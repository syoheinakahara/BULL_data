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760" windowWidth="27700" windowHeight="15940" tabRatio="963" activeTab="9"/>
  </bookViews>
  <sheets>
    <sheet name="output" sheetId="49" r:id="rId1"/>
    <sheet name="units" sheetId="23" r:id="rId2"/>
    <sheet name="unit_skills" sheetId="52" r:id="rId3"/>
    <sheet name="crash_skills" sheetId="53" r:id="rId4"/>
    <sheet name="unit_serifs" sheetId="54" r:id="rId5"/>
    <sheet name="awake_materials" sheetId="3" r:id="rId6"/>
    <sheet name="unit_abilities" sheetId="57" r:id="rId7"/>
    <sheet name="→base値" sheetId="51" r:id="rId8"/>
    <sheet name="ghosts_label" sheetId="56" r:id="rId9"/>
    <sheet name="コスト" sheetId="13" r:id="rId10"/>
    <sheet name="レベル" sheetId="12" r:id="rId11"/>
    <sheet name="経験値" sheetId="10" r:id="rId12"/>
    <sheet name="RC6SV" sheetId="11" r:id="rId13"/>
    <sheet name="ビット" sheetId="15" r:id="rId14"/>
    <sheet name="チェックシート" sheetId="55" r:id="rId15"/>
  </sheets>
  <externalReferences>
    <externalReference r:id="rId16"/>
    <externalReference r:id="rId17"/>
    <externalReference r:id="rId18"/>
    <externalReference r:id="rId19"/>
  </externalReferences>
  <definedNames>
    <definedName name="_xlnm._FilterDatabase" localSheetId="5" hidden="1">awake_materials!$B$1:$H$1</definedName>
    <definedName name="_xlnm._FilterDatabase" localSheetId="3" hidden="1">crash_skills!$A$1:$J$1</definedName>
    <definedName name="_xlnm._FilterDatabase" localSheetId="2" hidden="1">unit_skills!$A$1:$S$1</definedName>
    <definedName name="_xlnm._FilterDatabase" localSheetId="1" hidden="1">units!$A$1:$BQ$1</definedName>
    <definedName name="base_character_id" localSheetId="4">#REF!</definedName>
    <definedName name="base_character_id">awake_materials!$B$1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9" i="23" l="1"/>
  <c r="G9" i="23"/>
  <c r="BC9" i="23"/>
  <c r="BD9" i="23"/>
  <c r="Q9" i="23"/>
  <c r="S9" i="23"/>
  <c r="W9" i="23"/>
  <c r="AA9" i="23"/>
  <c r="I9" i="23"/>
  <c r="J9" i="23"/>
  <c r="BK9" i="23"/>
  <c r="F3" i="57"/>
  <c r="E3" i="57"/>
  <c r="B3" i="57"/>
  <c r="F2" i="57"/>
  <c r="E2" i="57"/>
  <c r="B2" i="57"/>
  <c r="C3" i="49"/>
  <c r="C4" i="49"/>
  <c r="C5" i="49"/>
  <c r="C6" i="49"/>
  <c r="C7" i="49"/>
  <c r="C8" i="49"/>
  <c r="C9" i="49"/>
  <c r="C10" i="49"/>
  <c r="C11" i="49"/>
  <c r="E11" i="49"/>
  <c r="H3" i="23"/>
  <c r="BR3" i="23"/>
  <c r="H4" i="23"/>
  <c r="BR4" i="23"/>
  <c r="H5" i="23"/>
  <c r="BR5" i="23"/>
  <c r="H6" i="23"/>
  <c r="BR6" i="23"/>
  <c r="H7" i="23"/>
  <c r="BR7" i="23"/>
  <c r="H8" i="23"/>
  <c r="BR8" i="23"/>
  <c r="BR9" i="23"/>
  <c r="H10" i="23"/>
  <c r="BR10" i="23"/>
  <c r="H11" i="23"/>
  <c r="BR11" i="23"/>
  <c r="H12" i="23"/>
  <c r="BR12" i="23"/>
  <c r="H13" i="23"/>
  <c r="BR13" i="23"/>
  <c r="H14" i="23"/>
  <c r="BR14" i="23"/>
  <c r="H15" i="23"/>
  <c r="BR15" i="23"/>
  <c r="H16" i="23"/>
  <c r="BR16" i="23"/>
  <c r="H17" i="23"/>
  <c r="BR17" i="23"/>
  <c r="H2" i="23"/>
  <c r="BR2" i="23"/>
  <c r="T9" i="23"/>
  <c r="AB9" i="23"/>
  <c r="K9" i="23"/>
  <c r="BL9" i="23"/>
  <c r="E8" i="52"/>
  <c r="E9" i="52"/>
  <c r="G8" i="54"/>
  <c r="G12" i="23"/>
  <c r="BC12" i="23"/>
  <c r="BD12" i="23"/>
  <c r="Q12" i="23"/>
  <c r="S12" i="23"/>
  <c r="W12" i="23"/>
  <c r="AA12" i="23"/>
  <c r="I12" i="23"/>
  <c r="J12" i="23"/>
  <c r="BK12" i="23"/>
  <c r="G13" i="23"/>
  <c r="BC13" i="23"/>
  <c r="BD13" i="23"/>
  <c r="Q13" i="23"/>
  <c r="S13" i="23"/>
  <c r="W13" i="23"/>
  <c r="AA13" i="23"/>
  <c r="I13" i="23"/>
  <c r="J13" i="23"/>
  <c r="BK13" i="23"/>
  <c r="T13" i="23"/>
  <c r="AB13" i="23"/>
  <c r="K13" i="23"/>
  <c r="BL13" i="23"/>
  <c r="E65" i="54"/>
  <c r="B65" i="54"/>
  <c r="E64" i="54"/>
  <c r="B64" i="54"/>
  <c r="E63" i="54"/>
  <c r="B63" i="54"/>
  <c r="E62" i="54"/>
  <c r="B62" i="54"/>
  <c r="E61" i="54"/>
  <c r="B61" i="54"/>
  <c r="E60" i="54"/>
  <c r="B60" i="54"/>
  <c r="E59" i="54"/>
  <c r="B59" i="54"/>
  <c r="E58" i="54"/>
  <c r="B58" i="54"/>
  <c r="E57" i="54"/>
  <c r="B57" i="54"/>
  <c r="E56" i="54"/>
  <c r="B56" i="54"/>
  <c r="E55" i="54"/>
  <c r="B55" i="54"/>
  <c r="E54" i="54"/>
  <c r="B54" i="54"/>
  <c r="E53" i="54"/>
  <c r="B53" i="54"/>
  <c r="E52" i="54"/>
  <c r="B52" i="54"/>
  <c r="E51" i="54"/>
  <c r="B51" i="54"/>
  <c r="E50" i="54"/>
  <c r="B50" i="54"/>
  <c r="E49" i="54"/>
  <c r="B49" i="54"/>
  <c r="E48" i="54"/>
  <c r="B48" i="54"/>
  <c r="E47" i="54"/>
  <c r="B47" i="54"/>
  <c r="E46" i="54"/>
  <c r="B46" i="54"/>
  <c r="E45" i="54"/>
  <c r="B45" i="54"/>
  <c r="E44" i="54"/>
  <c r="B44" i="54"/>
  <c r="E43" i="54"/>
  <c r="B43" i="54"/>
  <c r="E42" i="54"/>
  <c r="B42" i="54"/>
  <c r="E41" i="54"/>
  <c r="B41" i="54"/>
  <c r="E40" i="54"/>
  <c r="B40" i="54"/>
  <c r="E39" i="54"/>
  <c r="B39" i="54"/>
  <c r="E38" i="54"/>
  <c r="B38" i="54"/>
  <c r="E37" i="54"/>
  <c r="B37" i="54"/>
  <c r="E36" i="54"/>
  <c r="B36" i="54"/>
  <c r="E35" i="54"/>
  <c r="B35" i="54"/>
  <c r="E34" i="54"/>
  <c r="B34" i="54"/>
  <c r="E33" i="54"/>
  <c r="B33" i="54"/>
  <c r="E32" i="54"/>
  <c r="B32" i="54"/>
  <c r="E31" i="54"/>
  <c r="B31" i="54"/>
  <c r="E30" i="54"/>
  <c r="B30" i="54"/>
  <c r="E29" i="54"/>
  <c r="B29" i="54"/>
  <c r="E28" i="54"/>
  <c r="B28" i="54"/>
  <c r="E27" i="54"/>
  <c r="B27" i="54"/>
  <c r="E26" i="54"/>
  <c r="B26" i="54"/>
  <c r="E25" i="54"/>
  <c r="B25" i="54"/>
  <c r="E24" i="54"/>
  <c r="B24" i="54"/>
  <c r="E23" i="54"/>
  <c r="B23" i="54"/>
  <c r="E22" i="54"/>
  <c r="B22" i="54"/>
  <c r="E21" i="54"/>
  <c r="B21" i="54"/>
  <c r="E20" i="54"/>
  <c r="B20" i="54"/>
  <c r="E19" i="54"/>
  <c r="B19" i="54"/>
  <c r="E18" i="54"/>
  <c r="B18" i="54"/>
  <c r="E17" i="54"/>
  <c r="B17" i="54"/>
  <c r="E16" i="54"/>
  <c r="B16" i="54"/>
  <c r="E15" i="54"/>
  <c r="B15" i="54"/>
  <c r="E14" i="54"/>
  <c r="B14" i="54"/>
  <c r="E13" i="54"/>
  <c r="B13" i="54"/>
  <c r="E12" i="54"/>
  <c r="B12" i="54"/>
  <c r="E11" i="54"/>
  <c r="B11" i="54"/>
  <c r="E10" i="54"/>
  <c r="B10" i="54"/>
  <c r="E9" i="54"/>
  <c r="B9" i="54"/>
  <c r="E8" i="54"/>
  <c r="B8" i="54"/>
  <c r="H7" i="54"/>
  <c r="G7" i="54"/>
  <c r="E7" i="54"/>
  <c r="B7" i="54"/>
  <c r="H6" i="54"/>
  <c r="E6" i="54"/>
  <c r="B6" i="54"/>
  <c r="E5" i="54"/>
  <c r="B5" i="54"/>
  <c r="E4" i="54"/>
  <c r="B4" i="54"/>
  <c r="E3" i="54"/>
  <c r="B3" i="54"/>
  <c r="E2" i="54"/>
  <c r="B2" i="54"/>
  <c r="B6" i="23"/>
  <c r="C7" i="3"/>
  <c r="C8" i="3"/>
  <c r="C9" i="3"/>
  <c r="B14" i="23"/>
  <c r="C10" i="3"/>
  <c r="C11" i="3"/>
  <c r="C12" i="3"/>
  <c r="B16" i="23"/>
  <c r="C13" i="3"/>
  <c r="C14" i="3"/>
  <c r="C15" i="3"/>
  <c r="B10" i="23"/>
  <c r="C16" i="3"/>
  <c r="C17" i="3"/>
  <c r="C18" i="3"/>
  <c r="C19" i="3"/>
  <c r="C20" i="3"/>
  <c r="B12" i="23"/>
  <c r="C21" i="3"/>
  <c r="C22" i="3"/>
  <c r="C23" i="3"/>
  <c r="C24" i="3"/>
  <c r="C25" i="3"/>
  <c r="B8" i="23"/>
  <c r="C26" i="3"/>
  <c r="C27" i="3"/>
  <c r="C28" i="3"/>
  <c r="C29" i="3"/>
  <c r="C30" i="3"/>
  <c r="G30" i="3"/>
  <c r="E30" i="3"/>
  <c r="D30" i="3"/>
  <c r="A30" i="3"/>
  <c r="G29" i="3"/>
  <c r="E29" i="3"/>
  <c r="D29" i="3"/>
  <c r="A29" i="3"/>
  <c r="G28" i="3"/>
  <c r="E28" i="3"/>
  <c r="D28" i="3"/>
  <c r="A28" i="3"/>
  <c r="G27" i="3"/>
  <c r="E27" i="3"/>
  <c r="D27" i="3"/>
  <c r="A27" i="3"/>
  <c r="G26" i="3"/>
  <c r="E26" i="3"/>
  <c r="D26" i="3"/>
  <c r="A26" i="3"/>
  <c r="G25" i="3"/>
  <c r="E25" i="3"/>
  <c r="D25" i="3"/>
  <c r="A25" i="3"/>
  <c r="G24" i="3"/>
  <c r="E24" i="3"/>
  <c r="D24" i="3"/>
  <c r="A24" i="3"/>
  <c r="G23" i="3"/>
  <c r="E23" i="3"/>
  <c r="D23" i="3"/>
  <c r="A23" i="3"/>
  <c r="G22" i="3"/>
  <c r="E22" i="3"/>
  <c r="D22" i="3"/>
  <c r="A22" i="3"/>
  <c r="G21" i="3"/>
  <c r="E21" i="3"/>
  <c r="D21" i="3"/>
  <c r="A21" i="3"/>
  <c r="G20" i="3"/>
  <c r="E20" i="3"/>
  <c r="D20" i="3"/>
  <c r="A20" i="3"/>
  <c r="G19" i="3"/>
  <c r="E19" i="3"/>
  <c r="D19" i="3"/>
  <c r="A19" i="3"/>
  <c r="G18" i="3"/>
  <c r="E18" i="3"/>
  <c r="D18" i="3"/>
  <c r="A18" i="3"/>
  <c r="G17" i="3"/>
  <c r="E17" i="3"/>
  <c r="D17" i="3"/>
  <c r="A17" i="3"/>
  <c r="G16" i="3"/>
  <c r="E16" i="3"/>
  <c r="D16" i="3"/>
  <c r="A16" i="3"/>
  <c r="G15" i="3"/>
  <c r="E15" i="3"/>
  <c r="D15" i="3"/>
  <c r="A15" i="3"/>
  <c r="G14" i="3"/>
  <c r="E14" i="3"/>
  <c r="D14" i="3"/>
  <c r="A14" i="3"/>
  <c r="G13" i="3"/>
  <c r="E13" i="3"/>
  <c r="D13" i="3"/>
  <c r="A13" i="3"/>
  <c r="G12" i="3"/>
  <c r="E12" i="3"/>
  <c r="D12" i="3"/>
  <c r="A12" i="3"/>
  <c r="G11" i="3"/>
  <c r="E11" i="3"/>
  <c r="D11" i="3"/>
  <c r="A11" i="3"/>
  <c r="G10" i="3"/>
  <c r="E10" i="3"/>
  <c r="D10" i="3"/>
  <c r="A10" i="3"/>
  <c r="G9" i="3"/>
  <c r="E9" i="3"/>
  <c r="D9" i="3"/>
  <c r="A9" i="3"/>
  <c r="G8" i="3"/>
  <c r="E8" i="3"/>
  <c r="D8" i="3"/>
  <c r="A8" i="3"/>
  <c r="G7" i="3"/>
  <c r="E7" i="3"/>
  <c r="D7" i="3"/>
  <c r="A7" i="3"/>
  <c r="G4" i="3"/>
  <c r="G3" i="3"/>
  <c r="G2" i="3"/>
  <c r="B2" i="23"/>
  <c r="C2" i="3"/>
  <c r="G6" i="3"/>
  <c r="B4" i="23"/>
  <c r="C6" i="3"/>
  <c r="A4" i="3"/>
  <c r="C4" i="3"/>
  <c r="G2" i="23"/>
  <c r="D4" i="3"/>
  <c r="E4" i="3"/>
  <c r="A5" i="3"/>
  <c r="C5" i="3"/>
  <c r="D5" i="3"/>
  <c r="E5" i="3"/>
  <c r="G5" i="3"/>
  <c r="A6" i="3"/>
  <c r="G4" i="23"/>
  <c r="D6" i="3"/>
  <c r="E6" i="3"/>
  <c r="E3" i="3"/>
  <c r="D3" i="3"/>
  <c r="C3" i="3"/>
  <c r="A3" i="3"/>
  <c r="E13" i="52"/>
  <c r="E12" i="52"/>
  <c r="E7" i="52"/>
  <c r="E6" i="52"/>
  <c r="G3" i="23"/>
  <c r="BC3" i="23"/>
  <c r="BD3" i="23"/>
  <c r="Q3" i="23"/>
  <c r="V3" i="23"/>
  <c r="W3" i="23"/>
  <c r="AD3" i="23"/>
  <c r="I3" i="23"/>
  <c r="M3" i="23"/>
  <c r="BN3" i="23"/>
  <c r="G5" i="23"/>
  <c r="BC5" i="23"/>
  <c r="BD5" i="23"/>
  <c r="Q5" i="23"/>
  <c r="V5" i="23"/>
  <c r="W5" i="23"/>
  <c r="AD5" i="23"/>
  <c r="I5" i="23"/>
  <c r="M5" i="23"/>
  <c r="BN5" i="23"/>
  <c r="T5" i="23"/>
  <c r="AB5" i="23"/>
  <c r="K5" i="23"/>
  <c r="BL5" i="23"/>
  <c r="E11" i="52"/>
  <c r="E10" i="52"/>
  <c r="AT17" i="23"/>
  <c r="AT3" i="23"/>
  <c r="AT4" i="23"/>
  <c r="AT5" i="23"/>
  <c r="AT6" i="23"/>
  <c r="AT7" i="23"/>
  <c r="AT8" i="23"/>
  <c r="AT9" i="23"/>
  <c r="AT10" i="23"/>
  <c r="AT11" i="23"/>
  <c r="AT12" i="23"/>
  <c r="AT13" i="23"/>
  <c r="AT14" i="23"/>
  <c r="AT15" i="23"/>
  <c r="AT16" i="23"/>
  <c r="AT2" i="23"/>
  <c r="AP3" i="23"/>
  <c r="AP4" i="23"/>
  <c r="AP5" i="23"/>
  <c r="AP6" i="23"/>
  <c r="AP7" i="23"/>
  <c r="AP8" i="23"/>
  <c r="AP9" i="23"/>
  <c r="AP10" i="23"/>
  <c r="AP11" i="23"/>
  <c r="AP12" i="23"/>
  <c r="AP13" i="23"/>
  <c r="AP14" i="23"/>
  <c r="AP15" i="23"/>
  <c r="AP16" i="23"/>
  <c r="AP17" i="23"/>
  <c r="AP2" i="23"/>
  <c r="AE4" i="23"/>
  <c r="AE6" i="23"/>
  <c r="AE8" i="23"/>
  <c r="AE10" i="23"/>
  <c r="AE12" i="23"/>
  <c r="AE14" i="23"/>
  <c r="AE16" i="23"/>
  <c r="AE2" i="23"/>
  <c r="G4" i="53"/>
  <c r="E4" i="53"/>
  <c r="G5" i="53"/>
  <c r="E5" i="53"/>
  <c r="G6" i="53"/>
  <c r="E6" i="53"/>
  <c r="G7" i="53"/>
  <c r="E7" i="53"/>
  <c r="G8" i="53"/>
  <c r="E8" i="53"/>
  <c r="G9" i="53"/>
  <c r="E9" i="53"/>
  <c r="E10" i="53"/>
  <c r="G10" i="53"/>
  <c r="E11" i="53"/>
  <c r="G11" i="53"/>
  <c r="G12" i="53"/>
  <c r="E12" i="53"/>
  <c r="G13" i="53"/>
  <c r="E13" i="53"/>
  <c r="G14" i="53"/>
  <c r="E14" i="53"/>
  <c r="G15" i="53"/>
  <c r="E15" i="53"/>
  <c r="G16" i="53"/>
  <c r="E16" i="53"/>
  <c r="G17" i="53"/>
  <c r="E17" i="53"/>
  <c r="G3" i="53"/>
  <c r="E3" i="53"/>
  <c r="J15" i="52"/>
  <c r="E15" i="52"/>
  <c r="H15" i="52"/>
  <c r="J16" i="52"/>
  <c r="E16" i="52"/>
  <c r="H16" i="52"/>
  <c r="J17" i="52"/>
  <c r="E17" i="52"/>
  <c r="H17" i="52"/>
  <c r="J4" i="52"/>
  <c r="E4" i="52"/>
  <c r="H4" i="52"/>
  <c r="J5" i="52"/>
  <c r="E5" i="52"/>
  <c r="H5" i="52"/>
  <c r="J6" i="52"/>
  <c r="H6" i="52"/>
  <c r="J7" i="52"/>
  <c r="H7" i="52"/>
  <c r="J8" i="52"/>
  <c r="H8" i="52"/>
  <c r="J9" i="52"/>
  <c r="H9" i="52"/>
  <c r="H10" i="52"/>
  <c r="J10" i="52"/>
  <c r="H11" i="52"/>
  <c r="J11" i="52"/>
  <c r="J12" i="52"/>
  <c r="H12" i="52"/>
  <c r="J13" i="52"/>
  <c r="H13" i="52"/>
  <c r="J14" i="52"/>
  <c r="E14" i="52"/>
  <c r="H14" i="52"/>
  <c r="J3" i="52"/>
  <c r="H3" i="52"/>
  <c r="E3" i="52"/>
  <c r="C4" i="23"/>
  <c r="D4" i="23"/>
  <c r="E4" i="23"/>
  <c r="F4" i="23"/>
  <c r="I4" i="23"/>
  <c r="J4" i="23"/>
  <c r="K4" i="23"/>
  <c r="L4" i="23"/>
  <c r="M4" i="23"/>
  <c r="N4" i="23"/>
  <c r="O4" i="23"/>
  <c r="P4" i="23"/>
  <c r="Q4" i="23"/>
  <c r="R4" i="23"/>
  <c r="S4" i="23"/>
  <c r="T4" i="23"/>
  <c r="U4" i="23"/>
  <c r="V4" i="23"/>
  <c r="W4" i="23"/>
  <c r="X4" i="23"/>
  <c r="Y4" i="23"/>
  <c r="Z4" i="23"/>
  <c r="AA4" i="23"/>
  <c r="AB4" i="23"/>
  <c r="AC4" i="23"/>
  <c r="AD4" i="23"/>
  <c r="AF4" i="23"/>
  <c r="AG4" i="23"/>
  <c r="AH4" i="23"/>
  <c r="AI4" i="23"/>
  <c r="AK4" i="23"/>
  <c r="AL4" i="23"/>
  <c r="AM4" i="23"/>
  <c r="AN4" i="23"/>
  <c r="J2" i="52"/>
  <c r="AQ4" i="23"/>
  <c r="AR4" i="23"/>
  <c r="AS4" i="23"/>
  <c r="G2" i="53"/>
  <c r="AU4" i="23"/>
  <c r="AV4" i="23"/>
  <c r="AW4" i="23"/>
  <c r="AX4" i="23"/>
  <c r="BC4" i="23"/>
  <c r="BD4" i="23"/>
  <c r="BE4" i="23"/>
  <c r="BF4" i="23"/>
  <c r="BK4" i="23"/>
  <c r="BG4" i="23"/>
  <c r="BL4" i="23"/>
  <c r="BH4" i="23"/>
  <c r="BM4" i="23"/>
  <c r="BI4" i="23"/>
  <c r="BN4" i="23"/>
  <c r="BJ4" i="23"/>
  <c r="B5" i="23"/>
  <c r="C5" i="23"/>
  <c r="D5" i="23"/>
  <c r="E5" i="23"/>
  <c r="F5" i="23"/>
  <c r="J5" i="23"/>
  <c r="L5" i="23"/>
  <c r="N5" i="23"/>
  <c r="O5" i="23"/>
  <c r="P5" i="23"/>
  <c r="R5" i="23"/>
  <c r="S5" i="23"/>
  <c r="U5" i="23"/>
  <c r="X5" i="23"/>
  <c r="Y5" i="23"/>
  <c r="Z5" i="23"/>
  <c r="AA5" i="23"/>
  <c r="AC5" i="23"/>
  <c r="AF5" i="23"/>
  <c r="AG5" i="23"/>
  <c r="AH5" i="23"/>
  <c r="AI5" i="23"/>
  <c r="AK5" i="23"/>
  <c r="AL5" i="23"/>
  <c r="AM5" i="23"/>
  <c r="AN5" i="23"/>
  <c r="AQ5" i="23"/>
  <c r="AR5" i="23"/>
  <c r="AS5" i="23"/>
  <c r="AU5" i="23"/>
  <c r="AV5" i="23"/>
  <c r="AW5" i="23"/>
  <c r="AX5" i="23"/>
  <c r="BE5" i="23"/>
  <c r="BF5" i="23"/>
  <c r="BK5" i="23"/>
  <c r="BG5" i="23"/>
  <c r="BH5" i="23"/>
  <c r="BM5" i="23"/>
  <c r="BI5" i="23"/>
  <c r="BJ5" i="23"/>
  <c r="C6" i="23"/>
  <c r="D6" i="23"/>
  <c r="E6" i="23"/>
  <c r="F6" i="23"/>
  <c r="G6" i="23"/>
  <c r="I6" i="23"/>
  <c r="J6" i="23"/>
  <c r="K6" i="23"/>
  <c r="L6" i="23"/>
  <c r="M6" i="23"/>
  <c r="N6" i="23"/>
  <c r="O6" i="23"/>
  <c r="P6" i="23"/>
  <c r="Q6" i="23"/>
  <c r="R6" i="23"/>
  <c r="S6" i="23"/>
  <c r="T6" i="23"/>
  <c r="U6" i="23"/>
  <c r="V6" i="23"/>
  <c r="W6" i="23"/>
  <c r="X6" i="23"/>
  <c r="Y6" i="23"/>
  <c r="Z6" i="23"/>
  <c r="AA6" i="23"/>
  <c r="AB6" i="23"/>
  <c r="AC6" i="23"/>
  <c r="AD6" i="23"/>
  <c r="AF6" i="23"/>
  <c r="AG6" i="23"/>
  <c r="AH6" i="23"/>
  <c r="AI6" i="23"/>
  <c r="AK6" i="23"/>
  <c r="AL6" i="23"/>
  <c r="AM6" i="23"/>
  <c r="AN6" i="23"/>
  <c r="AQ6" i="23"/>
  <c r="AR6" i="23"/>
  <c r="AS6" i="23"/>
  <c r="AU6" i="23"/>
  <c r="AV6" i="23"/>
  <c r="AW6" i="23"/>
  <c r="AX6" i="23"/>
  <c r="BC6" i="23"/>
  <c r="BD6" i="23"/>
  <c r="BE6" i="23"/>
  <c r="BF6" i="23"/>
  <c r="BK6" i="23"/>
  <c r="BG6" i="23"/>
  <c r="BL6" i="23"/>
  <c r="BH6" i="23"/>
  <c r="BM6" i="23"/>
  <c r="BI6" i="23"/>
  <c r="BN6" i="23"/>
  <c r="BJ6" i="23"/>
  <c r="B7" i="23"/>
  <c r="C7" i="23"/>
  <c r="D7" i="23"/>
  <c r="E7" i="23"/>
  <c r="F7" i="23"/>
  <c r="G7" i="23"/>
  <c r="I7" i="23"/>
  <c r="J7" i="23"/>
  <c r="K7" i="23"/>
  <c r="L7" i="23"/>
  <c r="M7" i="23"/>
  <c r="G4" i="13"/>
  <c r="N7" i="23"/>
  <c r="O7" i="23"/>
  <c r="P7" i="23"/>
  <c r="Q7" i="23"/>
  <c r="R7" i="23"/>
  <c r="S7" i="23"/>
  <c r="T7" i="23"/>
  <c r="U7" i="23"/>
  <c r="V7" i="23"/>
  <c r="W7" i="23"/>
  <c r="X7" i="23"/>
  <c r="Y7" i="23"/>
  <c r="Z7" i="23"/>
  <c r="AA7" i="23"/>
  <c r="AB7" i="23"/>
  <c r="AC7" i="23"/>
  <c r="AD7" i="23"/>
  <c r="AF7" i="23"/>
  <c r="AG7" i="23"/>
  <c r="AH7" i="23"/>
  <c r="AI7" i="23"/>
  <c r="AK7" i="23"/>
  <c r="AL7" i="23"/>
  <c r="AM7" i="23"/>
  <c r="AN7" i="23"/>
  <c r="AQ7" i="23"/>
  <c r="AR7" i="23"/>
  <c r="AS7" i="23"/>
  <c r="AU7" i="23"/>
  <c r="AV7" i="23"/>
  <c r="AW7" i="23"/>
  <c r="AX7" i="23"/>
  <c r="BC7" i="23"/>
  <c r="BD7" i="23"/>
  <c r="BE7" i="23"/>
  <c r="BF7" i="23"/>
  <c r="BK7" i="23"/>
  <c r="BG7" i="23"/>
  <c r="BL7" i="23"/>
  <c r="BH7" i="23"/>
  <c r="BM7" i="23"/>
  <c r="BI7" i="23"/>
  <c r="BN7" i="23"/>
  <c r="BJ7" i="23"/>
  <c r="C8" i="23"/>
  <c r="D8" i="23"/>
  <c r="E8" i="23"/>
  <c r="F8" i="23"/>
  <c r="G8" i="23"/>
  <c r="I8" i="23"/>
  <c r="J8" i="23"/>
  <c r="K8" i="23"/>
  <c r="L8" i="23"/>
  <c r="M8" i="23"/>
  <c r="N8" i="23"/>
  <c r="O8" i="23"/>
  <c r="P8" i="23"/>
  <c r="Q8" i="23"/>
  <c r="R8" i="23"/>
  <c r="S8" i="23"/>
  <c r="T8" i="23"/>
  <c r="U8" i="23"/>
  <c r="V8" i="23"/>
  <c r="W8" i="23"/>
  <c r="X8" i="23"/>
  <c r="Y8" i="23"/>
  <c r="Z8" i="23"/>
  <c r="AA8" i="23"/>
  <c r="AB8" i="23"/>
  <c r="AC8" i="23"/>
  <c r="AD8" i="23"/>
  <c r="AF8" i="23"/>
  <c r="AG8" i="23"/>
  <c r="AH8" i="23"/>
  <c r="AI8" i="23"/>
  <c r="AK8" i="23"/>
  <c r="AL8" i="23"/>
  <c r="AM8" i="23"/>
  <c r="AN8" i="23"/>
  <c r="AQ8" i="23"/>
  <c r="AR8" i="23"/>
  <c r="AS8" i="23"/>
  <c r="AU8" i="23"/>
  <c r="AV8" i="23"/>
  <c r="AW8" i="23"/>
  <c r="AX8" i="23"/>
  <c r="BC8" i="23"/>
  <c r="BD8" i="23"/>
  <c r="BE8" i="23"/>
  <c r="BF8" i="23"/>
  <c r="BK8" i="23"/>
  <c r="BG8" i="23"/>
  <c r="BL8" i="23"/>
  <c r="BH8" i="23"/>
  <c r="BM8" i="23"/>
  <c r="BI8" i="23"/>
  <c r="BN8" i="23"/>
  <c r="BJ8" i="23"/>
  <c r="B9" i="23"/>
  <c r="C9" i="23"/>
  <c r="D9" i="23"/>
  <c r="E9" i="23"/>
  <c r="F9" i="23"/>
  <c r="L9" i="23"/>
  <c r="M9" i="23"/>
  <c r="G3" i="13"/>
  <c r="N9" i="23"/>
  <c r="O9" i="23"/>
  <c r="P9" i="23"/>
  <c r="R9" i="23"/>
  <c r="U9" i="23"/>
  <c r="V9" i="23"/>
  <c r="X9" i="23"/>
  <c r="Y9" i="23"/>
  <c r="Z9" i="23"/>
  <c r="AC9" i="23"/>
  <c r="AD9" i="23"/>
  <c r="AF9" i="23"/>
  <c r="AG9" i="23"/>
  <c r="AH9" i="23"/>
  <c r="AI9" i="23"/>
  <c r="AK9" i="23"/>
  <c r="AL9" i="23"/>
  <c r="AM9" i="23"/>
  <c r="AN9" i="23"/>
  <c r="AQ9" i="23"/>
  <c r="AR9" i="23"/>
  <c r="AS9" i="23"/>
  <c r="AU9" i="23"/>
  <c r="AV9" i="23"/>
  <c r="AW9" i="23"/>
  <c r="AX9" i="23"/>
  <c r="BE9" i="23"/>
  <c r="BF9" i="23"/>
  <c r="BG9" i="23"/>
  <c r="BH9" i="23"/>
  <c r="BM9" i="23"/>
  <c r="BI9" i="23"/>
  <c r="BN9" i="23"/>
  <c r="BJ9" i="23"/>
  <c r="C10" i="23"/>
  <c r="D10" i="23"/>
  <c r="E10" i="23"/>
  <c r="F10" i="23"/>
  <c r="G10" i="23"/>
  <c r="I10" i="23"/>
  <c r="J10" i="23"/>
  <c r="K10" i="23"/>
  <c r="L10" i="23"/>
  <c r="M10" i="23"/>
  <c r="N10" i="23"/>
  <c r="O10" i="23"/>
  <c r="P10" i="23"/>
  <c r="Q10" i="23"/>
  <c r="R10" i="23"/>
  <c r="S10" i="23"/>
  <c r="T10" i="23"/>
  <c r="U10" i="23"/>
  <c r="V10" i="23"/>
  <c r="W10" i="23"/>
  <c r="X10" i="23"/>
  <c r="Y10" i="23"/>
  <c r="Z10" i="23"/>
  <c r="AA10" i="23"/>
  <c r="AB10" i="23"/>
  <c r="AC10" i="23"/>
  <c r="AD10" i="23"/>
  <c r="AF10" i="23"/>
  <c r="AG10" i="23"/>
  <c r="AH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B11" i="23"/>
  <c r="C11" i="23"/>
  <c r="D11" i="23"/>
  <c r="E11" i="23"/>
  <c r="F11" i="23"/>
  <c r="G11" i="23"/>
  <c r="I11" i="23"/>
  <c r="J11" i="23"/>
  <c r="K11" i="23"/>
  <c r="L11" i="23"/>
  <c r="M11" i="23"/>
  <c r="G9" i="13"/>
  <c r="N11" i="23"/>
  <c r="O11" i="23"/>
  <c r="P11" i="23"/>
  <c r="Q11" i="23"/>
  <c r="R11" i="23"/>
  <c r="S11" i="23"/>
  <c r="T11" i="23"/>
  <c r="U11" i="23"/>
  <c r="V11" i="23"/>
  <c r="W11" i="23"/>
  <c r="X11" i="23"/>
  <c r="Y11" i="23"/>
  <c r="Z11" i="23"/>
  <c r="AA11" i="23"/>
  <c r="AB11" i="23"/>
  <c r="AC11" i="23"/>
  <c r="AD11" i="23"/>
  <c r="AF11" i="23"/>
  <c r="AG11" i="23"/>
  <c r="AH11" i="23"/>
  <c r="AI11" i="23"/>
  <c r="AK11" i="23"/>
  <c r="AL11" i="23"/>
  <c r="AM11" i="23"/>
  <c r="AN11" i="23"/>
  <c r="AQ11" i="23"/>
  <c r="AR11" i="23"/>
  <c r="AS11" i="23"/>
  <c r="AU11" i="23"/>
  <c r="AV11" i="23"/>
  <c r="AW11" i="23"/>
  <c r="AX11" i="23"/>
  <c r="BC11" i="23"/>
  <c r="BD11" i="23"/>
  <c r="BE11" i="23"/>
  <c r="BF11" i="23"/>
  <c r="BK11" i="23"/>
  <c r="BG11" i="23"/>
  <c r="BL11" i="23"/>
  <c r="BH11" i="23"/>
  <c r="BM11" i="23"/>
  <c r="BI11" i="23"/>
  <c r="BN11" i="23"/>
  <c r="BJ11" i="23"/>
  <c r="C12" i="23"/>
  <c r="D12" i="23"/>
  <c r="E12" i="23"/>
  <c r="F12" i="23"/>
  <c r="K12" i="23"/>
  <c r="L12" i="23"/>
  <c r="M12" i="23"/>
  <c r="N12" i="23"/>
  <c r="O12" i="23"/>
  <c r="P12" i="23"/>
  <c r="R12" i="23"/>
  <c r="T12" i="23"/>
  <c r="U12" i="23"/>
  <c r="V12" i="23"/>
  <c r="X12" i="23"/>
  <c r="Y12" i="23"/>
  <c r="Z12" i="23"/>
  <c r="AB12" i="23"/>
  <c r="AC12" i="23"/>
  <c r="AD12" i="23"/>
  <c r="AF12" i="23"/>
  <c r="AG12" i="23"/>
  <c r="AH12" i="23"/>
  <c r="AI12" i="23"/>
  <c r="AK12" i="23"/>
  <c r="AL12" i="23"/>
  <c r="AM12" i="23"/>
  <c r="AN12" i="23"/>
  <c r="AQ12" i="23"/>
  <c r="AR12" i="23"/>
  <c r="AS12" i="23"/>
  <c r="AU12" i="23"/>
  <c r="AV12" i="23"/>
  <c r="AW12" i="23"/>
  <c r="AX12" i="23"/>
  <c r="BE12" i="23"/>
  <c r="BF12" i="23"/>
  <c r="BG12" i="23"/>
  <c r="BL12" i="23"/>
  <c r="BH12" i="23"/>
  <c r="BM12" i="23"/>
  <c r="BI12" i="23"/>
  <c r="BN12" i="23"/>
  <c r="BJ12" i="23"/>
  <c r="B13" i="23"/>
  <c r="C13" i="23"/>
  <c r="D13" i="23"/>
  <c r="E13" i="23"/>
  <c r="F13" i="23"/>
  <c r="L13" i="23"/>
  <c r="M13" i="23"/>
  <c r="N13" i="23"/>
  <c r="O13" i="23"/>
  <c r="P13" i="23"/>
  <c r="R13" i="23"/>
  <c r="U13" i="23"/>
  <c r="V13" i="23"/>
  <c r="X13" i="23"/>
  <c r="Y13" i="23"/>
  <c r="Z13" i="23"/>
  <c r="AC13" i="23"/>
  <c r="AD13" i="23"/>
  <c r="AF13" i="23"/>
  <c r="AG13" i="23"/>
  <c r="AH13" i="23"/>
  <c r="AI13" i="23"/>
  <c r="AK13" i="23"/>
  <c r="AL13" i="23"/>
  <c r="AM13" i="23"/>
  <c r="AN13" i="23"/>
  <c r="AQ13" i="23"/>
  <c r="AR13" i="23"/>
  <c r="AS13" i="23"/>
  <c r="AU13" i="23"/>
  <c r="AV13" i="23"/>
  <c r="AW13" i="23"/>
  <c r="AX13" i="23"/>
  <c r="BE13" i="23"/>
  <c r="BF13" i="23"/>
  <c r="BG13" i="23"/>
  <c r="BH13" i="23"/>
  <c r="BM13" i="23"/>
  <c r="BI13" i="23"/>
  <c r="BN13" i="23"/>
  <c r="BJ13" i="23"/>
  <c r="C14" i="23"/>
  <c r="D14" i="23"/>
  <c r="E14" i="23"/>
  <c r="F14" i="23"/>
  <c r="G14" i="23"/>
  <c r="I14" i="23"/>
  <c r="J14" i="23"/>
  <c r="K14" i="23"/>
  <c r="L14" i="23"/>
  <c r="M14" i="23"/>
  <c r="N14" i="23"/>
  <c r="O14" i="23"/>
  <c r="P14" i="23"/>
  <c r="Q14" i="23"/>
  <c r="R14" i="23"/>
  <c r="S14" i="23"/>
  <c r="T14" i="23"/>
  <c r="U14" i="23"/>
  <c r="V14" i="23"/>
  <c r="W14" i="23"/>
  <c r="X14" i="23"/>
  <c r="Y14" i="23"/>
  <c r="Z14" i="23"/>
  <c r="AA14" i="23"/>
  <c r="AB14" i="23"/>
  <c r="AC14" i="23"/>
  <c r="AD14" i="23"/>
  <c r="AF14" i="23"/>
  <c r="AG14" i="23"/>
  <c r="AH14" i="23"/>
  <c r="AI14" i="23"/>
  <c r="AK14" i="23"/>
  <c r="AL14" i="23"/>
  <c r="AM14" i="23"/>
  <c r="AN14" i="23"/>
  <c r="AQ14" i="23"/>
  <c r="AR14" i="23"/>
  <c r="AS14" i="23"/>
  <c r="AU14" i="23"/>
  <c r="AV14" i="23"/>
  <c r="AW14" i="23"/>
  <c r="AX14" i="23"/>
  <c r="BC14" i="23"/>
  <c r="BD14" i="23"/>
  <c r="BE14" i="23"/>
  <c r="BF14" i="23"/>
  <c r="BK14" i="23"/>
  <c r="BG14" i="23"/>
  <c r="BL14" i="23"/>
  <c r="BH14" i="23"/>
  <c r="BM14" i="23"/>
  <c r="BI14" i="23"/>
  <c r="BN14" i="23"/>
  <c r="BJ14" i="23"/>
  <c r="B15" i="23"/>
  <c r="C15" i="23"/>
  <c r="D15" i="23"/>
  <c r="E15" i="23"/>
  <c r="F15" i="23"/>
  <c r="G15" i="23"/>
  <c r="I15" i="23"/>
  <c r="J15" i="23"/>
  <c r="K15" i="23"/>
  <c r="L15" i="23"/>
  <c r="M15" i="23"/>
  <c r="N15" i="23"/>
  <c r="O15" i="23"/>
  <c r="P15" i="23"/>
  <c r="Q15" i="23"/>
  <c r="R15" i="23"/>
  <c r="S15" i="23"/>
  <c r="T15" i="23"/>
  <c r="U15" i="23"/>
  <c r="V15" i="23"/>
  <c r="W15" i="23"/>
  <c r="X15" i="23"/>
  <c r="Y15" i="23"/>
  <c r="Z15" i="23"/>
  <c r="AA15" i="23"/>
  <c r="AB15" i="23"/>
  <c r="AC15" i="23"/>
  <c r="AD15" i="23"/>
  <c r="AF15" i="23"/>
  <c r="AG15" i="23"/>
  <c r="AH15" i="23"/>
  <c r="AI15" i="23"/>
  <c r="AK15" i="23"/>
  <c r="AL15" i="23"/>
  <c r="AM15" i="23"/>
  <c r="AN15" i="23"/>
  <c r="AQ15" i="23"/>
  <c r="AR15" i="23"/>
  <c r="AS15" i="23"/>
  <c r="AU15" i="23"/>
  <c r="AV15" i="23"/>
  <c r="AW15" i="23"/>
  <c r="AX15" i="23"/>
  <c r="BC15" i="23"/>
  <c r="BD15" i="23"/>
  <c r="BE15" i="23"/>
  <c r="BF15" i="23"/>
  <c r="BK15" i="23"/>
  <c r="BG15" i="23"/>
  <c r="BL15" i="23"/>
  <c r="BH15" i="23"/>
  <c r="BM15" i="23"/>
  <c r="BI15" i="23"/>
  <c r="BN15" i="23"/>
  <c r="BJ15" i="23"/>
  <c r="C16" i="23"/>
  <c r="D16" i="23"/>
  <c r="E16" i="23"/>
  <c r="F16" i="23"/>
  <c r="G16" i="23"/>
  <c r="I16" i="23"/>
  <c r="J16" i="23"/>
  <c r="K16" i="23"/>
  <c r="L16" i="23"/>
  <c r="M16" i="23"/>
  <c r="N16" i="23"/>
  <c r="O16" i="23"/>
  <c r="P16" i="23"/>
  <c r="Q16" i="23"/>
  <c r="R16" i="23"/>
  <c r="S16" i="23"/>
  <c r="T16" i="23"/>
  <c r="U16" i="23"/>
  <c r="V16" i="23"/>
  <c r="W16" i="23"/>
  <c r="X16" i="23"/>
  <c r="Y16" i="23"/>
  <c r="Z16" i="23"/>
  <c r="AA16" i="23"/>
  <c r="AB16" i="23"/>
  <c r="AC16" i="23"/>
  <c r="AD16" i="23"/>
  <c r="AF16" i="23"/>
  <c r="AG16" i="23"/>
  <c r="AH16" i="23"/>
  <c r="AI16" i="23"/>
  <c r="AK16" i="23"/>
  <c r="AL16" i="23"/>
  <c r="AM16" i="23"/>
  <c r="AN16" i="23"/>
  <c r="AQ16" i="23"/>
  <c r="AR16" i="23"/>
  <c r="AS16" i="23"/>
  <c r="AU16" i="23"/>
  <c r="AV16" i="23"/>
  <c r="AW16" i="23"/>
  <c r="AX16" i="23"/>
  <c r="BC16" i="23"/>
  <c r="BD16" i="23"/>
  <c r="BE16" i="23"/>
  <c r="BF16" i="23"/>
  <c r="BK16" i="23"/>
  <c r="BG16" i="23"/>
  <c r="BL16" i="23"/>
  <c r="BH16" i="23"/>
  <c r="BM16" i="23"/>
  <c r="BI16" i="23"/>
  <c r="BN16" i="23"/>
  <c r="BJ16" i="23"/>
  <c r="B17" i="23"/>
  <c r="C17" i="23"/>
  <c r="D17" i="23"/>
  <c r="E17" i="23"/>
  <c r="F17" i="23"/>
  <c r="G17" i="23"/>
  <c r="I17" i="23"/>
  <c r="J17" i="23"/>
  <c r="K17" i="23"/>
  <c r="L17" i="23"/>
  <c r="M17" i="23"/>
  <c r="N17" i="23"/>
  <c r="O17" i="23"/>
  <c r="P17" i="23"/>
  <c r="Q17" i="23"/>
  <c r="R17" i="23"/>
  <c r="S17" i="23"/>
  <c r="T17" i="23"/>
  <c r="U17" i="23"/>
  <c r="V17" i="23"/>
  <c r="W17" i="23"/>
  <c r="X17" i="23"/>
  <c r="Y17" i="23"/>
  <c r="Z17" i="23"/>
  <c r="AA17" i="23"/>
  <c r="AB17" i="23"/>
  <c r="AC17" i="23"/>
  <c r="AD17" i="23"/>
  <c r="AF17" i="23"/>
  <c r="AG17" i="23"/>
  <c r="AH17" i="23"/>
  <c r="AI17" i="23"/>
  <c r="AK17" i="23"/>
  <c r="AL17" i="23"/>
  <c r="AM17" i="23"/>
  <c r="AN17" i="23"/>
  <c r="AQ17" i="23"/>
  <c r="AR17" i="23"/>
  <c r="AS17" i="23"/>
  <c r="AU17" i="23"/>
  <c r="AV17" i="23"/>
  <c r="AW17" i="23"/>
  <c r="AX17" i="23"/>
  <c r="BC17" i="23"/>
  <c r="BD17" i="23"/>
  <c r="BE17" i="23"/>
  <c r="BF17" i="23"/>
  <c r="BK17" i="23"/>
  <c r="BG17" i="23"/>
  <c r="BL17" i="23"/>
  <c r="BH17" i="23"/>
  <c r="BM17" i="23"/>
  <c r="BI17" i="23"/>
  <c r="BN17" i="23"/>
  <c r="BJ17" i="23"/>
  <c r="P3" i="23"/>
  <c r="P2" i="23"/>
  <c r="G10" i="13"/>
  <c r="G8" i="13"/>
  <c r="G2" i="13"/>
  <c r="C2" i="23"/>
  <c r="D2" i="23"/>
  <c r="E2" i="23"/>
  <c r="F2" i="23"/>
  <c r="I2" i="23"/>
  <c r="J2" i="23"/>
  <c r="K2" i="23"/>
  <c r="L2" i="23"/>
  <c r="M2" i="23"/>
  <c r="N2" i="23"/>
  <c r="O2" i="23"/>
  <c r="Q2" i="23"/>
  <c r="R2" i="23"/>
  <c r="S2" i="23"/>
  <c r="T2" i="23"/>
  <c r="U2" i="23"/>
  <c r="V2" i="23"/>
  <c r="W2" i="23"/>
  <c r="X2" i="23"/>
  <c r="Y2" i="23"/>
  <c r="Z2" i="23"/>
  <c r="AA2" i="23"/>
  <c r="AB2" i="23"/>
  <c r="AC2" i="23"/>
  <c r="AD2" i="23"/>
  <c r="AF2" i="23"/>
  <c r="AG2" i="23"/>
  <c r="AH2" i="23"/>
  <c r="AI2" i="23"/>
  <c r="AK2" i="23"/>
  <c r="AL2" i="23"/>
  <c r="AM2" i="23"/>
  <c r="AN2" i="23"/>
  <c r="AQ2" i="23"/>
  <c r="AR2" i="23"/>
  <c r="AS2" i="23"/>
  <c r="AU2" i="23"/>
  <c r="AV2" i="23"/>
  <c r="AW2" i="23"/>
  <c r="AX2" i="23"/>
  <c r="BC2" i="23"/>
  <c r="BD2" i="23"/>
  <c r="BE2" i="23"/>
  <c r="BF2" i="23"/>
  <c r="BK2" i="23"/>
  <c r="BG2" i="23"/>
  <c r="BL2" i="23"/>
  <c r="BH2" i="23"/>
  <c r="BM2" i="23"/>
  <c r="BI2" i="23"/>
  <c r="BN2" i="23"/>
  <c r="BJ2" i="23"/>
  <c r="B3" i="23"/>
  <c r="C3" i="23"/>
  <c r="D3" i="23"/>
  <c r="E3" i="23"/>
  <c r="F3" i="23"/>
  <c r="J3" i="23"/>
  <c r="K3" i="23"/>
  <c r="L3" i="23"/>
  <c r="N3" i="23"/>
  <c r="O3" i="23"/>
  <c r="R3" i="23"/>
  <c r="S3" i="23"/>
  <c r="T3" i="23"/>
  <c r="U3" i="23"/>
  <c r="X3" i="23"/>
  <c r="Y3" i="23"/>
  <c r="Z3" i="23"/>
  <c r="AA3" i="23"/>
  <c r="AB3" i="23"/>
  <c r="AC3" i="23"/>
  <c r="AF3" i="23"/>
  <c r="AG3" i="23"/>
  <c r="AH3" i="23"/>
  <c r="AI3" i="23"/>
  <c r="AK3" i="23"/>
  <c r="AL3" i="23"/>
  <c r="AM3" i="23"/>
  <c r="AN3" i="23"/>
  <c r="AQ3" i="23"/>
  <c r="AR3" i="23"/>
  <c r="AS3" i="23"/>
  <c r="AU3" i="23"/>
  <c r="AV3" i="23"/>
  <c r="AW3" i="23"/>
  <c r="AX3" i="23"/>
  <c r="BE3" i="23"/>
  <c r="BF3" i="23"/>
  <c r="BK3" i="23"/>
  <c r="BG3" i="23"/>
  <c r="BL3" i="23"/>
  <c r="BH3" i="23"/>
  <c r="BM3" i="23"/>
  <c r="BI3" i="23"/>
  <c r="BJ3"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8" i="49"/>
  <c r="E7" i="49"/>
  <c r="E6" i="49"/>
  <c r="E5" i="49"/>
  <c r="E9" i="49"/>
  <c r="E10" i="49"/>
  <c r="E3" i="49"/>
  <c r="E4" i="49"/>
  <c r="E2" i="49"/>
  <c r="E2" i="3"/>
  <c r="D2" i="3"/>
</calcChain>
</file>

<file path=xl/sharedStrings.xml><?xml version="1.0" encoding="utf-8"?>
<sst xmlns="http://schemas.openxmlformats.org/spreadsheetml/2006/main" count="1122" uniqueCount="446">
  <si>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</si>
  <si>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</si>
  <si>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</si>
  <si>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</si>
  <si>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</si>
  <si>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</si>
  <si>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</si>
  <si>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</si>
  <si>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</si>
  <si>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</si>
  <si>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</si>
  <si>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</si>
  <si>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</si>
  <si>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</si>
  <si>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</si>
  <si>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</si>
  <si>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</si>
  <si>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</si>
  <si>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</si>
  <si>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</si>
  <si>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</si>
  <si>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</si>
  <si>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</si>
  <si>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</si>
  <si>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</si>
  <si>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</si>
  <si>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</si>
  <si>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</si>
  <si>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</si>
  <si>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</si>
  <si>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</si>
  <si>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</si>
  <si>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</si>
  <si>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</si>
  <si>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</si>
  <si>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</si>
  <si>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</si>
  <si>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</si>
  <si>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</si>
  <si>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</si>
  <si>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</si>
  <si>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</si>
  <si>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</si>
  <si>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</si>
  <si>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</si>
  <si>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</si>
  <si>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</si>
  <si>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</si>
  <si>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</si>
  <si>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</si>
  <si>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</si>
  <si>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</si>
  <si>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</si>
  <si>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</si>
  <si>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</si>
  <si>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</si>
  <si>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</si>
  <si>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</si>
  <si>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</si>
  <si>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</si>
  <si>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</si>
  <si>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</si>
  <si>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</si>
  <si>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</si>
  <si>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</si>
  <si>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</si>
  <si>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</si>
  <si>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</si>
  <si>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</si>
  <si>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</si>
  <si>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</si>
  <si>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</si>
  <si>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</si>
  <si>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</si>
  <si>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</si>
  <si>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</si>
  <si>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</si>
  <si>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</si>
  <si>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</si>
  <si>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</si>
  <si>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</si>
  <si>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</si>
  <si>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</si>
  <si>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</si>
  <si>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</si>
  <si>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</si>
  <si>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</si>
  <si>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</si>
  <si>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</si>
  <si>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</si>
  <si>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</si>
  <si>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</si>
  <si>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</si>
  <si>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</si>
  <si>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</si>
  <si>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</si>
  <si>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</si>
  <si>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</si>
  <si>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</si>
  <si>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</si>
  <si>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</si>
  <si>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</si>
  <si>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</si>
  <si>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</si>
  <si>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</si>
  <si>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</si>
  <si>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</si>
  <si>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</si>
  <si>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</si>
  <si>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</si>
  <si>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</si>
  <si>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</si>
  <si>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</si>
  <si>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</si>
  <si>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</si>
  <si>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</si>
  <si>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</si>
  <si>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</si>
  <si>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</si>
  <si>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</si>
  <si>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</si>
  <si>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</si>
  <si>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</si>
  <si>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</si>
  <si>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</si>
  <si>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</si>
  <si>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</si>
  <si>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</si>
  <si>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</si>
  <si>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</si>
  <si>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</si>
  <si>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</si>
  <si>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</si>
  <si>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</si>
  <si>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</si>
  <si>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</si>
  <si>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</si>
  <si>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</si>
  <si>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</si>
  <si>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</si>
  <si>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</si>
  <si>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</si>
  <si>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</si>
  <si>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</si>
  <si>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</si>
  <si>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</si>
  <si>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</si>
  <si>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</si>
  <si>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</si>
  <si>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</si>
  <si>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</si>
  <si>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</si>
  <si>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</si>
  <si>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</si>
  <si>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</si>
  <si>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</si>
  <si>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</si>
  <si>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</si>
  <si>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</si>
  <si>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</si>
  <si>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</si>
  <si>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</si>
  <si>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</si>
  <si>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</si>
  <si>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</si>
  <si>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</si>
  <si>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</si>
  <si>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</si>
  <si>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</si>
  <si>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</si>
  <si>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</si>
  <si>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</si>
  <si>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</si>
  <si>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</si>
  <si>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</si>
  <si>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</si>
  <si>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</si>
  <si>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</si>
  <si>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</si>
  <si>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</si>
  <si>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</si>
  <si>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</si>
  <si>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</si>
  <si>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</si>
  <si>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</si>
  <si>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</si>
  <si>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</si>
  <si>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</si>
  <si>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</si>
  <si>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</si>
  <si>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</si>
  <si>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</si>
  <si>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</si>
  <si>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</si>
  <si>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</si>
  <si>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</si>
  <si>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</si>
  <si>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</si>
  <si>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</si>
  <si>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</si>
  <si>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</si>
  <si>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</si>
  <si>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</si>
  <si>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</si>
  <si>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</si>
  <si>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</si>
  <si>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</si>
  <si>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</si>
  <si>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</si>
  <si>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</si>
  <si>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</si>
  <si>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</si>
  <si>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</si>
  <si>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</si>
  <si>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</si>
  <si>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</si>
  <si>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</si>
  <si>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</si>
  <si>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</si>
  <si>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</si>
  <si>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</si>
  <si>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</si>
  <si>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</si>
  <si>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</si>
  <si>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</si>
  <si>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</si>
  <si>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</si>
  <si>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</si>
  <si>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</si>
  <si>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</si>
  <si>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</si>
  <si>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</si>
  <si>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</si>
  <si>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</si>
  <si>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</si>
  <si>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</si>
  <si>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</si>
  <si>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</si>
  <si>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</si>
  <si>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</si>
  <si>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</si>
  <si>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</si>
  <si>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</si>
  <si>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</si>
  <si>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</si>
  <si>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</si>
  <si>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</si>
  <si>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</si>
  <si>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</si>
  <si>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</si>
  <si>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</si>
  <si>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satan01</t>
    <phoneticPr fontId="22"/>
  </si>
  <si>
    <t>old</t>
    <phoneticPr fontId="22"/>
  </si>
  <si>
    <t>1体に特大ダメージ</t>
    <rPh sb="3" eb="4">
      <t>トk</t>
    </rPh>
    <phoneticPr fontId="22"/>
  </si>
  <si>
    <t>パネルをランダムで1つSCパネル(威力大)に変換+ウィルス解除+3ターンHP小回復</t>
    <rPh sb="17" eb="20">
      <t>イリョk</t>
    </rPh>
    <rPh sb="22" eb="24">
      <t>ヘn</t>
    </rPh>
    <rPh sb="38" eb="41">
      <t>ショウカ</t>
    </rPh>
    <phoneticPr fontId="22"/>
  </si>
  <si>
    <t>[effect:damage, target:enemy_one, color:red, val:2.25, animation:damage_one_red05]</t>
    <phoneticPr fontId="22"/>
  </si>
  <si>
    <t>HP大回復+ハートパネルを青パネルに変換</t>
    <rPh sb="2" eb="5">
      <t>ダ</t>
    </rPh>
    <rPh sb="13" eb="14">
      <t>アオパネr</t>
    </rPh>
    <rPh sb="18" eb="20">
      <t>ヘn</t>
    </rPh>
    <phoneticPr fontId="22"/>
  </si>
  <si>
    <t>[effect:heal_ratio, val:0.3, animation:heal_unit, animation:heal02_unit01],[effect:sleep, target:enemy_one, turn:1, rate:0.10, animation:sleep01]</t>
    <phoneticPr fontId="22"/>
  </si>
  <si>
    <t>HP大回復+
低確率でスリープ付与</t>
    <rPh sb="2" eb="3">
      <t>ダ</t>
    </rPh>
    <rPh sb="3" eb="5">
      <t>カイフk</t>
    </rPh>
    <rPh sb="7" eb="8">
      <t>ヒk</t>
    </rPh>
    <rPh sb="8" eb="10">
      <t>カクリt</t>
    </rPh>
    <rPh sb="15" eb="17">
      <t>フy</t>
    </rPh>
    <phoneticPr fontId="22"/>
  </si>
  <si>
    <t>赤パネルを吸収してHP大回復+3ターン赤属性の攻撃力特大UP</t>
    <rPh sb="0" eb="1">
      <t>アk</t>
    </rPh>
    <rPh sb="5" eb="7">
      <t>キュ</t>
    </rPh>
    <rPh sb="11" eb="12">
      <t>ダ</t>
    </rPh>
    <rPh sb="12" eb="14">
      <t>カ</t>
    </rPh>
    <rPh sb="19" eb="22">
      <t>アk</t>
    </rPh>
    <rPh sb="23" eb="26">
      <t>コウゲk</t>
    </rPh>
    <rPh sb="26" eb="28">
      <t>トクダ</t>
    </rPh>
    <phoneticPr fontId="22"/>
  </si>
  <si>
    <t>[effect:break_heal_ratio, val:0.15, lowest_val:1000, count:-1, block:block_red, animation:heal03],[effect:enhance_unit, target:unit_red, turn:3, status:attack, val:0.255, calc:mul, animation:enhance_unit_all_attack03]</t>
    <phoneticPr fontId="22"/>
  </si>
  <si>
    <t>[effect:break_heal_ratio, val:0.15, lowest_val:1000, count:-1, block:block_red, animation:heal03],[effect:enhance_unit, target:unit_red, turn:3, status:attack, val:0.255, calc:mul, animation:enhance_unit_all_attack03]</t>
    <phoneticPr fontId="22"/>
  </si>
  <si>
    <t>3ターン種族を1つしか持たない敵の防御力を50%DOWN+全ユニットの回復力を特大UP+大カウンター</t>
    <rPh sb="4" eb="6">
      <t>シュゾk</t>
    </rPh>
    <rPh sb="15" eb="16">
      <t>テk</t>
    </rPh>
    <rPh sb="17" eb="20">
      <t>ボ</t>
    </rPh>
    <rPh sb="29" eb="30">
      <t>ゼn</t>
    </rPh>
    <rPh sb="35" eb="37">
      <t>カ</t>
    </rPh>
    <rPh sb="37" eb="38">
      <t>リョk</t>
    </rPh>
    <rPh sb="39" eb="41">
      <t>トk</t>
    </rPh>
    <rPh sb="44" eb="45">
      <t>ダイ</t>
    </rPh>
    <phoneticPr fontId="22"/>
  </si>
  <si>
    <t>1ターン自身の攻撃力を特大UPし、Cパネル生成を短縮(効果超大)</t>
    <rPh sb="4" eb="6">
      <t>ジシN</t>
    </rPh>
    <rPh sb="7" eb="10">
      <t>コウゲK</t>
    </rPh>
    <rPh sb="11" eb="13">
      <t>トK</t>
    </rPh>
    <rPh sb="21" eb="23">
      <t>セ</t>
    </rPh>
    <rPh sb="24" eb="26">
      <t>タン</t>
    </rPh>
    <rPh sb="27" eb="29">
      <t>コウK</t>
    </rPh>
    <rPh sb="29" eb="31">
      <t>チョ</t>
    </rPh>
    <phoneticPr fontId="22"/>
  </si>
  <si>
    <t>全体に特大ダメージ</t>
    <rPh sb="0" eb="2">
      <t>ゼンタ</t>
    </rPh>
    <rPh sb="3" eb="5">
      <t>トクダ</t>
    </rPh>
    <phoneticPr fontId="22"/>
  </si>
  <si>
    <t>パネルをランダムで2つ緑ボム(大)に変換+2ターン緑属性の攻撃力と防御力を超大UP</t>
    <rPh sb="25" eb="28">
      <t>ミドr</t>
    </rPh>
    <rPh sb="29" eb="32">
      <t>コウゲk</t>
    </rPh>
    <rPh sb="33" eb="36">
      <t>ボ</t>
    </rPh>
    <rPh sb="37" eb="38">
      <t>チョ</t>
    </rPh>
    <rPh sb="38" eb="39">
      <t>トクダ</t>
    </rPh>
    <phoneticPr fontId="22"/>
  </si>
  <si>
    <t xml:space="preserve">[effect:enhance_unit, target:myself, turn:1, status:attack, val:0.255, calc:mul, animation:enhance_unit_all_attack03],[effect:crash_condition, target:myself, val:-6, turn:1, animation:crash_panel_reduce03]  </t>
    <phoneticPr fontId="22"/>
  </si>
  <si>
    <t>1体に大ダメージ</t>
    <rPh sb="1" eb="2">
      <t>タンタ</t>
    </rPh>
    <rPh sb="3" eb="4">
      <t>ダ</t>
    </rPh>
    <phoneticPr fontId="22"/>
  </si>
  <si>
    <t>1体に大ダメージ+
HP小回復</t>
    <rPh sb="1" eb="2">
      <t>タンタ</t>
    </rPh>
    <rPh sb="3" eb="4">
      <t>ダ</t>
    </rPh>
    <rPh sb="12" eb="15">
      <t>ショ</t>
    </rPh>
    <phoneticPr fontId="22"/>
  </si>
  <si>
    <t>1体に特大ダメージ+
HP小回復</t>
    <rPh sb="1" eb="2">
      <t>タンタ</t>
    </rPh>
    <rPh sb="3" eb="5">
      <t>トクダ</t>
    </rPh>
    <rPh sb="13" eb="16">
      <t>ショ</t>
    </rPh>
    <phoneticPr fontId="22"/>
  </si>
  <si>
    <t>単体に2回中ダメージ</t>
    <rPh sb="0" eb="2">
      <t>タンタ</t>
    </rPh>
    <rPh sb="4" eb="5">
      <t>カ</t>
    </rPh>
    <rPh sb="5" eb="6">
      <t>チュウd</t>
    </rPh>
    <phoneticPr fontId="22"/>
  </si>
  <si>
    <t>単体に2回大ダメージ</t>
    <rPh sb="0" eb="2">
      <t>タンタ</t>
    </rPh>
    <rPh sb="4" eb="5">
      <t>カ</t>
    </rPh>
    <rPh sb="5" eb="6">
      <t>ダ</t>
    </rPh>
    <phoneticPr fontId="22"/>
  </si>
  <si>
    <t>[effect:damage, target:enemy_one, color:green, val:1.2, animation:damage_one_green03],[effect:damage, target:enemy_one, color:green, val:1.2, animation:damage_one_green03]</t>
    <phoneticPr fontId="22"/>
  </si>
  <si>
    <t>[effect:damage, target:enemy_one, color:green, val:1.35, animation:damage_one_green03],[effect:damage, target:enemy_one, color:green, val:1.35, animation:damage_one_green03]</t>
    <phoneticPr fontId="22"/>
  </si>
  <si>
    <t>[effect:damage, target:enemy_one, color:green, val:1.2, animation:damage_one_green03],[effect:heal_ratio, val:0.18, animation:heal_unit, animation:heal_unit01]</t>
    <phoneticPr fontId="22"/>
  </si>
  <si>
    <t>1体に中ダメージ
アニマルに効果大</t>
    <phoneticPr fontId="9"/>
  </si>
  <si>
    <t>パネルをランダムで2つSCパネル(威力大)に変換+ウィルス解除+3ターンHP小回復</t>
    <rPh sb="17" eb="20">
      <t>イリョk</t>
    </rPh>
    <rPh sb="22" eb="24">
      <t>ヘn</t>
    </rPh>
    <rPh sb="38" eb="41">
      <t>ショウカ</t>
    </rPh>
    <phoneticPr fontId="22"/>
  </si>
  <si>
    <t>[effect:damage, target:enemy_all, color:blue, val:1.125, animation:damage_all_blue05]</t>
    <phoneticPr fontId="22"/>
  </si>
  <si>
    <t>1,365,000ベネディクション</t>
    <phoneticPr fontId="22"/>
  </si>
  <si>
    <t>ヤグルシ・アンド・アイムール</t>
    <phoneticPr fontId="22"/>
  </si>
  <si>
    <t>天上天下ヤッツ裂き</t>
    <phoneticPr fontId="22"/>
  </si>
  <si>
    <t>トライアングル・デスマッチ</t>
    <phoneticPr fontId="22"/>
  </si>
  <si>
    <t>ヒノトリ・ストライク</t>
    <phoneticPr fontId="22"/>
  </si>
  <si>
    <t>ヒノトリ・ストライク・ゲイン</t>
    <phoneticPr fontId="22"/>
  </si>
  <si>
    <t>イントロ・ディソナンス</t>
    <phoneticPr fontId="22"/>
  </si>
  <si>
    <t>リフレイン・ディソナンス</t>
    <phoneticPr fontId="22"/>
  </si>
  <si>
    <t>HP中回復+ハートパネルを青パネルに変換</t>
    <rPh sb="2" eb="3">
      <t>チュ</t>
    </rPh>
    <rPh sb="3" eb="5">
      <t>ダ</t>
    </rPh>
    <rPh sb="13" eb="14">
      <t>アオパネr</t>
    </rPh>
    <rPh sb="18" eb="20">
      <t>ヘn</t>
    </rPh>
    <phoneticPr fontId="22"/>
  </si>
  <si>
    <t>導きの巨炎</t>
    <rPh sb="0" eb="1">
      <t>ミチビ</t>
    </rPh>
    <rPh sb="3" eb="4">
      <t>キョダイ</t>
    </rPh>
    <rPh sb="4" eb="5">
      <t>エン</t>
    </rPh>
    <phoneticPr fontId="22"/>
  </si>
  <si>
    <t>天へと続く導きの巨炎</t>
    <rPh sb="0" eb="1">
      <t>テン</t>
    </rPh>
    <rPh sb="3" eb="4">
      <t>ツヅ</t>
    </rPh>
    <rPh sb="5" eb="6">
      <t>ミチビ</t>
    </rPh>
    <rPh sb="8" eb="9">
      <t>キョダイ</t>
    </rPh>
    <rPh sb="9" eb="10">
      <t>ホノオ</t>
    </rPh>
    <phoneticPr fontId="22"/>
  </si>
  <si>
    <t>ファントム・ピンクトード</t>
    <phoneticPr fontId="22"/>
  </si>
  <si>
    <t>ファントム・ブラックキャット</t>
    <phoneticPr fontId="22"/>
  </si>
  <si>
    <t>ドリフトファング</t>
    <phoneticPr fontId="22"/>
  </si>
  <si>
    <t>ドリフトファング・エンドレス</t>
    <phoneticPr fontId="22"/>
  </si>
  <si>
    <t>ヒットマンズ・ウェイ</t>
    <phoneticPr fontId="22"/>
  </si>
  <si>
    <t>ヒットマンズ・コンビクション</t>
    <phoneticPr fontId="22"/>
  </si>
  <si>
    <t>1体に中ダメージ</t>
    <rPh sb="1" eb="2">
      <t>タンタ</t>
    </rPh>
    <rPh sb="3" eb="4">
      <t>チュ</t>
    </rPh>
    <phoneticPr fontId="22"/>
  </si>
  <si>
    <t>全体に大ダメージ</t>
    <rPh sb="0" eb="2">
      <t>ゼンタ</t>
    </rPh>
    <rPh sb="3" eb="4">
      <t>トクダ</t>
    </rPh>
    <phoneticPr fontId="22"/>
  </si>
  <si>
    <t>[effect:damage, target:enemy_all, color:blue, val:1.0, animation:damage_all_blue05]</t>
    <phoneticPr fontId="22"/>
  </si>
  <si>
    <t>[effect:damage, target:enemy_one, color:yellow, val:2.0, animation:damage_one_yellow04]</t>
    <phoneticPr fontId="22"/>
  </si>
  <si>
    <t>ja</t>
    <phoneticPr fontId="22"/>
  </si>
  <si>
    <t>giza</t>
    <phoneticPr fontId="22"/>
  </si>
  <si>
    <t>giza</t>
    <phoneticPr fontId="22"/>
  </si>
  <si>
    <t>cskill</t>
    <phoneticPr fontId="22"/>
  </si>
  <si>
    <t>cskill</t>
    <phoneticPr fontId="22"/>
  </si>
  <si>
    <t>maru</t>
    <phoneticPr fontId="22"/>
  </si>
  <si>
    <t>ja</t>
    <phoneticPr fontId="22"/>
  </si>
  <si>
    <t>cskill</t>
    <phoneticPr fontId="22"/>
  </si>
  <si>
    <t>ja</t>
    <phoneticPr fontId="22"/>
  </si>
  <si>
    <t>maru</t>
    <phoneticPr fontId="22"/>
  </si>
  <si>
    <t>ja</t>
    <phoneticPr fontId="22"/>
  </si>
  <si>
    <t>giza</t>
    <phoneticPr fontId="22"/>
  </si>
  <si>
    <t>cskill</t>
    <phoneticPr fontId="22"/>
  </si>
  <si>
    <t>cskill</t>
    <phoneticPr fontId="22"/>
  </si>
  <si>
    <t>ja</t>
    <phoneticPr fontId="22"/>
  </si>
  <si>
    <t>cskill</t>
    <phoneticPr fontId="22"/>
  </si>
  <si>
    <t>kumo</t>
    <phoneticPr fontId="22"/>
  </si>
  <si>
    <t>ja</t>
    <phoneticPr fontId="22"/>
  </si>
  <si>
    <t>skill</t>
    <phoneticPr fontId="22"/>
  </si>
  <si>
    <t>cskill</t>
    <phoneticPr fontId="22"/>
  </si>
  <si>
    <t>skill</t>
    <phoneticPr fontId="22"/>
  </si>
  <si>
    <t>cskill</t>
    <phoneticPr fontId="22"/>
  </si>
  <si>
    <t>(＊＾＾)皆いっくよ〜！</t>
    <rPh sb="5" eb="6">
      <t>ミンナ</t>
    </rPh>
    <phoneticPr fontId="22"/>
  </si>
  <si>
    <t>(＊＾＾)一緒に歌って〜！</t>
    <rPh sb="5" eb="7">
      <t>イッショ</t>
    </rPh>
    <rPh sb="8" eb="9">
      <t>ウタ</t>
    </rPh>
    <phoneticPr fontId="22"/>
  </si>
  <si>
    <t>歌うのって最高〜！</t>
    <rPh sb="0" eb="1">
      <t>ウタ</t>
    </rPh>
    <rPh sb="5" eb="7">
      <t>サイコウ</t>
    </rPh>
    <phoneticPr fontId="22"/>
  </si>
  <si>
    <t>会場揺らしちゃうよ！</t>
    <rPh sb="0" eb="2">
      <t>カイジョウ</t>
    </rPh>
    <rPh sb="2" eb="3">
      <t>ユ</t>
    </rPh>
    <phoneticPr fontId="22"/>
  </si>
  <si>
    <t>耳塞ぐなんてショック！</t>
    <rPh sb="0" eb="2">
      <t>ミミフサ</t>
    </rPh>
    <phoneticPr fontId="22"/>
  </si>
  <si>
    <t>…ぜんぶ観えてるから</t>
    <rPh sb="4" eb="5">
      <t>ミ</t>
    </rPh>
    <phoneticPr fontId="22"/>
  </si>
  <si>
    <t>…燃えてしまえ</t>
    <rPh sb="1" eb="2">
      <t>モ</t>
    </rPh>
    <phoneticPr fontId="22"/>
  </si>
  <si>
    <t>…あたしの炎、怖い？</t>
    <rPh sb="5" eb="6">
      <t>ホノオ</t>
    </rPh>
    <rPh sb="7" eb="8">
      <t>コワ</t>
    </rPh>
    <phoneticPr fontId="22"/>
  </si>
  <si>
    <t>…大丈夫、道は開く</t>
    <rPh sb="1" eb="4">
      <t>ダイジョウブ</t>
    </rPh>
    <rPh sb="5" eb="6">
      <t>ミチ</t>
    </rPh>
    <rPh sb="7" eb="8">
      <t>ヒラ</t>
    </rPh>
    <phoneticPr fontId="22"/>
  </si>
  <si>
    <t>maru</t>
    <phoneticPr fontId="22"/>
  </si>
  <si>
    <t>…逃げられないよ絶対</t>
    <rPh sb="1" eb="2">
      <t>ニ</t>
    </rPh>
    <rPh sb="8" eb="10">
      <t>ゼッタイ</t>
    </rPh>
    <phoneticPr fontId="22"/>
  </si>
  <si>
    <t>お喋りは苦手でね…</t>
    <rPh sb="1" eb="3">
      <t>s</t>
    </rPh>
    <rPh sb="4" eb="6">
      <t>ニガテ</t>
    </rPh>
    <phoneticPr fontId="22"/>
  </si>
  <si>
    <t>コイツが相手になる…</t>
    <rPh sb="4" eb="6">
      <t>アイテ</t>
    </rPh>
    <phoneticPr fontId="22"/>
  </si>
  <si>
    <t>見た目より凶暴だぞ…</t>
    <rPh sb="0" eb="1">
      <t>ミ</t>
    </rPh>
    <rPh sb="2" eb="3">
      <t>メ</t>
    </rPh>
    <rPh sb="5" eb="7">
      <t>キョウボウ</t>
    </rPh>
    <phoneticPr fontId="22"/>
  </si>
  <si>
    <t>不吉？…その通りだ</t>
    <rPh sb="0" eb="2">
      <t>フキツ</t>
    </rPh>
    <rPh sb="6" eb="7">
      <t>トオ</t>
    </rPh>
    <phoneticPr fontId="22"/>
  </si>
  <si>
    <t>そこが急所か…</t>
    <rPh sb="3" eb="5">
      <t>キュウショ</t>
    </rPh>
    <phoneticPr fontId="22"/>
  </si>
  <si>
    <t>これを使わせるとはな…！</t>
    <rPh sb="3" eb="4">
      <t>ツカ</t>
    </rPh>
    <phoneticPr fontId="22"/>
  </si>
  <si>
    <t>giza</t>
    <phoneticPr fontId="22"/>
  </si>
  <si>
    <t>うりゃうりゃー！</t>
    <phoneticPr fontId="22"/>
  </si>
  <si>
    <t>ザクザクいくよん！</t>
    <phoneticPr fontId="22"/>
  </si>
  <si>
    <t>giza</t>
    <phoneticPr fontId="22"/>
  </si>
  <si>
    <t>戦うのって最っ高ー！</t>
    <rPh sb="0" eb="1">
      <t>タタカ</t>
    </rPh>
    <rPh sb="5" eb="8">
      <t>サイコウ</t>
    </rPh>
    <phoneticPr fontId="22"/>
  </si>
  <si>
    <t>見て！爪すっごいでしょ！</t>
    <rPh sb="0" eb="1">
      <t>ミ</t>
    </rPh>
    <rPh sb="3" eb="4">
      <t>ツメ</t>
    </rPh>
    <phoneticPr fontId="22"/>
  </si>
  <si>
    <t>giza</t>
    <phoneticPr fontId="22"/>
  </si>
  <si>
    <t>ギッタギタにしちゃうよん！</t>
    <phoneticPr fontId="22"/>
  </si>
  <si>
    <t>maru</t>
    <phoneticPr fontId="22"/>
  </si>
  <si>
    <t>素人は怖いもの知らずだな</t>
    <rPh sb="0" eb="2">
      <t>シロウト</t>
    </rPh>
    <rPh sb="3" eb="4">
      <t>コワ</t>
    </rPh>
    <phoneticPr fontId="22"/>
  </si>
  <si>
    <t>泣いて詫び入れてもらうぜ</t>
    <rPh sb="0" eb="1">
      <t>ナ</t>
    </rPh>
    <rPh sb="3" eb="4">
      <t>ワ</t>
    </rPh>
    <rPh sb="5" eb="6">
      <t>イ</t>
    </rPh>
    <phoneticPr fontId="22"/>
  </si>
  <si>
    <t>スジ通してもらうぜ？</t>
    <rPh sb="2" eb="3">
      <t>トオ</t>
    </rPh>
    <phoneticPr fontId="22"/>
  </si>
  <si>
    <t>よーく見とくんだな！</t>
    <rPh sb="3" eb="4">
      <t>ミ</t>
    </rPh>
    <phoneticPr fontId="22"/>
  </si>
  <si>
    <t>仁義忘れちゃ終いよ！</t>
    <rPh sb="0" eb="2">
      <t>ジンギ</t>
    </rPh>
    <rPh sb="2" eb="3">
      <t>ワス</t>
    </rPh>
    <rPh sb="6" eb="7">
      <t>シマ</t>
    </rPh>
    <phoneticPr fontId="22"/>
  </si>
  <si>
    <t>365,000アイズ</t>
    <phoneticPr fontId="22"/>
  </si>
  <si>
    <t>[effect:heal_ratio, val:1.5, animation:heal03],[effect:force_change_block, new_block:block_blue, target:block_heart, ignore:crash, ignore02:crack_bomb, color:block_green, count:0, val:24, animation:change_block]</t>
    <phoneticPr fontId="22"/>
  </si>
  <si>
    <t>…もう終わり、ぜんぶ</t>
    <rPh sb="3" eb="4">
      <t>オ</t>
    </rPh>
    <phoneticPr fontId="22"/>
  </si>
  <si>
    <t>[effect:heal_ratio, val:3.0, animation:heal03],[effect:force_change_block, new_block:block_blue, target:block_heart, ignore:crash, ignore02:crack_bomb, color:block_green, count:0, val:24, animation:change_block]</t>
    <phoneticPr fontId="22"/>
  </si>
  <si>
    <t>[effect:force_change_block, new_block:crash, target:block_all, ignore:crash, ignore02:crack_bomb, color:block_red, count:2, val:24, animation:change_block],[effect:regenerate, turn:3, val:0.405, animation:heal_unit],[effect:cure, bad_status:virus, animation:cure01]</t>
    <phoneticPr fontId="22"/>
  </si>
  <si>
    <t>ハートパネルを青パネルに変換+3ターンマシンユニットのタップ回数を1増やす</t>
    <rPh sb="34" eb="35">
      <t>フ</t>
    </rPh>
    <phoneticPr fontId="22"/>
  </si>
  <si>
    <t>[effect:enhance_unit, target:unit_machine, turn:3, status:action, val:1, animation:enhance_unit_one_action01],[effect:force_change_block, new_block:block_blue, target:block_heart, count:0, val:8, animation:change_block]</t>
    <phoneticPr fontId="22"/>
  </si>
  <si>
    <t>[effect:enhance_unit, target:unit_machine, turn:3, status:action, val:1, animation:enhance_unit_one_action01],[effect:force_change_block, new_block:block_blue, target:block_heart, count:0, val:8, animation:change_block]</t>
    <phoneticPr fontId="22"/>
  </si>
  <si>
    <t>[effect:damage, target:enemy_one, color:yellow, val:1.75, animation:damage_one_yellow03]</t>
    <phoneticPr fontId="22"/>
  </si>
  <si>
    <t>ヒートウェイブ</t>
    <phoneticPr fontId="22"/>
  </si>
  <si>
    <t>1体に中ダメージ
アニマルに効果特大</t>
    <rPh sb="3" eb="4">
      <t>チュ</t>
    </rPh>
    <rPh sb="16" eb="18">
      <t>トk</t>
    </rPh>
    <phoneticPr fontId="9"/>
  </si>
  <si>
    <t>ヒートウェイブ・ストリクト</t>
    <phoneticPr fontId="22"/>
  </si>
  <si>
    <t>赤パネルを吸収してHP中回復+3ターン赤属性の攻撃力特大UP</t>
    <rPh sb="0" eb="1">
      <t>アk</t>
    </rPh>
    <rPh sb="5" eb="7">
      <t>キュ</t>
    </rPh>
    <rPh sb="11" eb="12">
      <t>チュ</t>
    </rPh>
    <rPh sb="12" eb="14">
      <t>カ</t>
    </rPh>
    <rPh sb="19" eb="22">
      <t>アk</t>
    </rPh>
    <rPh sb="23" eb="26">
      <t>コウゲk</t>
    </rPh>
    <rPh sb="26" eb="28">
      <t>トクダ</t>
    </rPh>
    <phoneticPr fontId="22"/>
  </si>
  <si>
    <t>ティンパナム・ブレイカー</t>
    <phoneticPr fontId="22"/>
  </si>
  <si>
    <t>ミッドナイト・バタフライ</t>
    <phoneticPr fontId="22"/>
  </si>
  <si>
    <t>アロガント・オラトリオ</t>
    <phoneticPr fontId="22"/>
  </si>
  <si>
    <t>エヴィル・オラトリオ・ツイン</t>
    <phoneticPr fontId="22"/>
  </si>
  <si>
    <t>魅惑的ドラァグクイーン</t>
    <phoneticPr fontId="22"/>
  </si>
  <si>
    <t>蠱惑的ドラァグクイーン</t>
    <rPh sb="0" eb="3">
      <t>コワクテキ</t>
    </rPh>
    <phoneticPr fontId="22"/>
  </si>
  <si>
    <t>天覆の黙示録</t>
    <rPh sb="0" eb="1">
      <t>テン</t>
    </rPh>
    <rPh sb="1" eb="2">
      <t>テンプク</t>
    </rPh>
    <rPh sb="3" eb="6">
      <t>モクシロク</t>
    </rPh>
    <phoneticPr fontId="22"/>
  </si>
  <si>
    <t>[effect:force_change_block, new_block:crash, target:block_all, ignore:crash, ignore02:crack_bomb, color:block_red, count:1, val:24, animation:change_block],[effect:regenerate, turn:3, val:0.405, animation:heal_unit],[effect:cure, bad_status:virus, animation:cure01]</t>
    <phoneticPr fontId="22"/>
  </si>
  <si>
    <t>オーヴァナイト・バタフライ</t>
    <phoneticPr fontId="22"/>
  </si>
  <si>
    <t>アナタかわいい顔ねぇ〜</t>
  </si>
  <si>
    <t>食べちゃいたい…ふふ</t>
  </si>
  <si>
    <t>照れなくてもいいのよ</t>
    <phoneticPr fontId="22"/>
  </si>
  <si>
    <t>忘れられない夜になるわ</t>
    <phoneticPr fontId="22"/>
  </si>
  <si>
    <t>アタシの虜にしてアゲル！</t>
    <phoneticPr fontId="22"/>
  </si>
  <si>
    <t>こっちへいらっしゃい…</t>
    <phoneticPr fontId="22"/>
  </si>
  <si>
    <t>[effect:damage_anti_tribe, target:enemy_one, tribe:animal, val1:3.0, val2:1.13,  animation:damage_one_red04]</t>
    <phoneticPr fontId="22"/>
  </si>
  <si>
    <t>[effect:damage_anti_tribe, target:enemy_one, tribe:animal, val1:3.375, val2:1.13,  animation:damage_one_red05]</t>
    <phoneticPr fontId="22"/>
  </si>
  <si>
    <t>度胸だけは褒めてやろう！</t>
    <rPh sb="0" eb="2">
      <t>ドキョウ</t>
    </rPh>
    <rPh sb="5" eb="6">
      <t>ホ</t>
    </rPh>
    <phoneticPr fontId="22"/>
  </si>
  <si>
    <t>生きては帰さないぞ！</t>
    <rPh sb="0" eb="1">
      <t>イ</t>
    </rPh>
    <rPh sb="4" eb="5">
      <t>カエ</t>
    </rPh>
    <phoneticPr fontId="22"/>
  </si>
  <si>
    <t>蒸発してもらう！</t>
    <rPh sb="0" eb="2">
      <t>ジョウハツ</t>
    </rPh>
    <phoneticPr fontId="22"/>
  </si>
  <si>
    <t>ここはボクの縄張りだ…</t>
    <rPh sb="6" eb="8">
      <t>ナワバ</t>
    </rPh>
    <phoneticPr fontId="22"/>
  </si>
  <si>
    <t>ボクは還ってきた！</t>
    <phoneticPr fontId="22"/>
  </si>
  <si>
    <t>なめられたものね…</t>
    <phoneticPr fontId="22"/>
  </si>
  <si>
    <t>逆転させてやるわ！</t>
    <rPh sb="0" eb="2">
      <t>ギャクテン</t>
    </rPh>
    <phoneticPr fontId="22"/>
  </si>
  <si>
    <t>誰にも邪魔させない…！</t>
    <rPh sb="0" eb="1">
      <t>ダレニモ</t>
    </rPh>
    <rPh sb="3" eb="5">
      <t>ジャマサセナイ</t>
    </rPh>
    <phoneticPr fontId="22"/>
  </si>
  <si>
    <t>手に入れてみせるわ…</t>
    <rPh sb="0" eb="1">
      <t>テニイレテミセル</t>
    </rPh>
    <phoneticPr fontId="22"/>
  </si>
  <si>
    <t>哀れなものね…！</t>
    <phoneticPr fontId="22"/>
  </si>
  <si>
    <t>こんな運命覆してあげる！</t>
    <rPh sb="3" eb="5">
      <t>ウンメイ</t>
    </rPh>
    <rPh sb="5" eb="6">
      <t>クツガエシテアゲル</t>
    </rPh>
    <phoneticPr fontId="22"/>
  </si>
  <si>
    <t>[effect:damage, target:enemy_one, color:green, val:2.25, animation:damage_one_green05]</t>
    <phoneticPr fontId="22"/>
  </si>
  <si>
    <t xml:space="preserve">[effect:enhance_unit, target:myself, turn:1, status:attack, val:0.255, calc:mul, animation:enhance_unit_all_attack03],[effect:crash_condition, target:myself, val:-6, turn:1, animation:crash_panel_reduce03]  </t>
    <phoneticPr fontId="22"/>
  </si>
  <si>
    <t>1体に特大ダメージ</t>
    <rPh sb="1" eb="2">
      <t>タイニ</t>
    </rPh>
    <rPh sb="4" eb="5">
      <t>チョ</t>
    </rPh>
    <phoneticPr fontId="22"/>
  </si>
  <si>
    <t>1体に大ダメージ</t>
    <phoneticPr fontId="22"/>
  </si>
  <si>
    <t>[effect:damage, target:enemy_one, color:green, val:2.0, animation:damage_one_green04]</t>
    <phoneticPr fontId="22"/>
  </si>
  <si>
    <t>赤・青・黄パネルを吸収して単体にダメージ+ハートパネルを緑パネルに変換し、2ターンCパネル生成短縮(効果超大)</t>
    <rPh sb="0" eb="1">
      <t>アk</t>
    </rPh>
    <rPh sb="2" eb="3">
      <t>ア</t>
    </rPh>
    <rPh sb="4" eb="5">
      <t>キイr</t>
    </rPh>
    <rPh sb="9" eb="11">
      <t>キュウシュ</t>
    </rPh>
    <rPh sb="13" eb="15">
      <t>タンタ</t>
    </rPh>
    <rPh sb="28" eb="29">
      <t>ミドr</t>
    </rPh>
    <rPh sb="33" eb="35">
      <t>ヘn</t>
    </rPh>
    <rPh sb="45" eb="47">
      <t>セイセ</t>
    </rPh>
    <rPh sb="47" eb="49">
      <t>タンシュk</t>
    </rPh>
    <rPh sb="50" eb="52">
      <t>コウk</t>
    </rPh>
    <rPh sb="52" eb="53">
      <t>チョ</t>
    </rPh>
    <rPh sb="53" eb="54">
      <t>トk</t>
    </rPh>
    <phoneticPr fontId="22"/>
  </si>
  <si>
    <t xml:space="preserve">[effect:crash_condition, target:unit_all, val:-6, turn:2, animation:crash_panel_reduce04],[effect:force_change_block, new_block:block_green, target:block_heart, ignore:crash, ignore02:crack_bomb, color:block_green, count:0, val:24, animation:change_block],[effect:break_attack, val:0.43, lowest_val:0, count:0, block01:block_red,block02:block_blue,block03:block_yellow, color:green, target:enemy_one, animation:damage_one_green06]    </t>
    <phoneticPr fontId="22"/>
  </si>
  <si>
    <t>sell_ghosts</t>
    <phoneticPr fontId="10"/>
  </si>
  <si>
    <t>sell_ghosts</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</si>
  <si>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</si>
  <si>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</si>
  <si>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</si>
  <si>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</si>
  <si>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</si>
  <si>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</si>
  <si>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</si>
  <si>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</si>
  <si>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</si>
  <si>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</si>
  <si>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</si>
  <si>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</si>
  <si>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</si>
  <si>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</si>
  <si>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</si>
  <si>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</si>
  <si>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</si>
  <si>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</si>
  <si>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</si>
  <si>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</si>
  <si>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1体に超大ダメージ+
1ターン赤属性ユニットの防御力特大UP</t>
    <rPh sb="1" eb="2">
      <t>タイニ</t>
    </rPh>
    <rPh sb="3" eb="5">
      <t>チョ</t>
    </rPh>
    <rPh sb="15" eb="18">
      <t>アカゾk</t>
    </rPh>
    <rPh sb="23" eb="26">
      <t>ボウgy</t>
    </rPh>
    <rPh sb="26" eb="28">
      <t>トクダ</t>
    </rPh>
    <phoneticPr fontId="22"/>
  </si>
  <si>
    <t>[effect:damage, target:enemy_one, color:red, val:2, animation:damage_one_red05],[effect:enhance_unit, target:unit_red, turn:1, status:defense, val:162, calc:add, animation:enhance_unit_all_defense04_unit01]</t>
    <phoneticPr fontId="22"/>
  </si>
  <si>
    <t>old</t>
  </si>
  <si>
    <t>unit_abilities_</t>
    <phoneticPr fontId="22"/>
  </si>
  <si>
    <t>.tmp</t>
    <phoneticPr fontId="22"/>
  </si>
  <si>
    <t>unit_abilities</t>
    <phoneticPr fontId="22"/>
  </si>
  <si>
    <t>character_id</t>
    <phoneticPr fontId="22"/>
  </si>
  <si>
    <t>ability_slot</t>
    <phoneticPr fontId="22"/>
  </si>
  <si>
    <t>ability_id</t>
    <phoneticPr fontId="9"/>
  </si>
  <si>
    <t>unlock_type</t>
    <phoneticPr fontId="9"/>
  </si>
  <si>
    <t>unlock_value</t>
    <phoneticPr fontId="22"/>
  </si>
  <si>
    <t>名前</t>
    <rPh sb="0" eb="2">
      <t>ナマ</t>
    </rPh>
    <phoneticPr fontId="22"/>
  </si>
  <si>
    <t>　アビリティ名</t>
    <phoneticPr fontId="22"/>
  </si>
  <si>
    <t>効果</t>
    <rPh sb="0" eb="2">
      <t>コウk</t>
    </rPh>
    <phoneticPr fontId="22"/>
  </si>
  <si>
    <t>bug</t>
    <phoneticPr fontId="22"/>
  </si>
  <si>
    <t>1</t>
    <phoneticPr fontId="22"/>
  </si>
  <si>
    <t>15</t>
    <phoneticPr fontId="22"/>
  </si>
  <si>
    <t>[effect:force_change_block, new_block:crack_bomb, target:block_all, ignore01:crash, ignore02:crack_bomb, ignore03:color_break, ignore04:magnet, color:block_green, count:2, val:20, animation:change_block],[effect:enhance_unit, target:unit_green, turn:2, status:attack, val:0.28, calc:mul, animation:enhance_unit_all_attack04_unit01],[effect:enhance_unit, target:unit_green, turn:2, status:defense, val:1440, calc:add, animation:enhance_unit_all_defense04_unit01]</t>
    <phoneticPr fontId="22"/>
  </si>
  <si>
    <t>ランダムで最大4個緑ボム(大)変換+2ターン緑属性の攻撃力と防御力を超大UPし、種族ゴッド・デーモンのタップ回数を1増やす</t>
    <phoneticPr fontId="22"/>
  </si>
  <si>
    <t>[effect:force_change_block, new_block:crack_bomb, target:block_all, ignore01:crash, ignore02:crack_bomb, ignore03:color_break, ignore04:magnet, color:block_green, count:4, val:24, animation:change_block],[effect:enhance_unit, target:unit_green, turn:2, status:attack, val:0.25, calc:mul, animation:enhance_unit_all_attack04],[effect:enhance_unit, target:unit_green, turn:2, status:defense, val:1440, calc:add, animation:enhance_unit_all_defense04],[effect:enhance_unit, target:unit_god/unit_demon/or, turn:2, status:action, val:1, calc:add, animation:enhance_unit_one_action01]</t>
    <phoneticPr fontId="22"/>
  </si>
  <si>
    <t>[effect:damage, target:enemy_one, color:green, val:1.5, animation:damage_one_green04],[effect:heal_ratio, val:0.18, animation:heal_unit, animation:heal_unit01]</t>
    <phoneticPr fontId="22"/>
  </si>
  <si>
    <t>[effect:force_change_block, new_block:block_heart, target:block_blue, count:0, val:0, animation:change_block],[effect:sp_boost, target:unit_attack, val:1, animation:sp_boost_one03],[effect:guard_break, target:enemy_all, turn:3, val:1.0, calc:mul, animation:guard_break04],[effect:enhance_unit, target:unit_all, turn:3, status:heal, val:0.45, calc:mul, animation:enhance_unit_all_heal04_unit01],[effect:counter_new, target:unit_all, invoke_condition:enemy_all, counter_target:attacker, turn:3, val:3, animation:counter_buff04]</t>
    <phoneticPr fontId="22"/>
  </si>
  <si>
    <t>[effect:guard_break, target:enemy_none, turn:3, val:0.5, calc:mul, animation:guard_break02],[effect:enhance_unit, target:unit_all, turn:3, status:heal, val:0.45, calc:mul, animation:enhance_unit_all_heal04_unit01],[effect:counter_new, target:unit_all, invoke_condition:enemy_all, counter_target:attacker, turn:3, val:2.0]</t>
    <phoneticPr fontId="22"/>
  </si>
  <si>
    <t>青をハートに変換+攻撃タイプのスキルターン1短縮+3ターン敵の防御力を0に、全ユニットの回復力特大UPし、特大カウンター</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</si>
</sst>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0.14999847407452621"/>
        <bgColor indexed="55"/>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6" tint="0.79998168889431442"/>
        <bgColor indexed="59"/>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9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1">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13" borderId="4" xfId="0" applyFont="1" applyFill="1" applyBorder="1"/>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4" borderId="10" xfId="0" applyFont="1" applyFill="1" applyBorder="1" applyAlignment="1">
      <alignment vertical="center"/>
    </xf>
    <xf numFmtId="0" fontId="16" fillId="14"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4"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9" borderId="0" xfId="0" applyFont="1" applyFill="1"/>
    <xf numFmtId="0" fontId="16" fillId="0" borderId="4" xfId="0" applyFont="1" applyFill="1" applyBorder="1" applyAlignment="1">
      <alignment vertical="center"/>
    </xf>
    <xf numFmtId="0" fontId="13" fillId="15" borderId="4" xfId="0" applyFont="1" applyFill="1" applyBorder="1" applyAlignment="1">
      <alignment vertical="center"/>
    </xf>
    <xf numFmtId="0" fontId="16" fillId="15"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4" borderId="21" xfId="0" applyFont="1" applyFill="1" applyBorder="1" applyAlignment="1">
      <alignment horizontal="center" vertical="center"/>
    </xf>
    <xf numFmtId="0" fontId="8" fillId="14"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6"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7" borderId="16" xfId="0" applyFont="1" applyFill="1" applyBorder="1" applyAlignment="1">
      <alignment horizontal="left" vertical="center"/>
    </xf>
    <xf numFmtId="0" fontId="19" fillId="18"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6" borderId="17" xfId="0" applyFont="1" applyFill="1" applyBorder="1" applyAlignment="1">
      <alignment horizontal="left" vertical="center"/>
    </xf>
    <xf numFmtId="0" fontId="19" fillId="17" borderId="17" xfId="0" applyFont="1" applyFill="1" applyBorder="1" applyAlignment="1">
      <alignment horizontal="left" vertical="center"/>
    </xf>
    <xf numFmtId="0" fontId="19" fillId="16" borderId="11" xfId="0" applyFont="1" applyFill="1" applyBorder="1" applyAlignment="1">
      <alignment horizontal="left" vertical="center"/>
    </xf>
    <xf numFmtId="0" fontId="19" fillId="16" borderId="12" xfId="0" applyFont="1" applyFill="1" applyBorder="1" applyAlignment="1">
      <alignment horizontal="left" vertical="center"/>
    </xf>
    <xf numFmtId="0" fontId="8" fillId="20" borderId="1" xfId="0" applyFont="1" applyFill="1" applyBorder="1" applyAlignment="1">
      <alignment horizontal="center" vertical="center"/>
    </xf>
    <xf numFmtId="0" fontId="8" fillId="0" borderId="10" xfId="0" applyFont="1" applyFill="1" applyBorder="1" applyAlignment="1">
      <alignment vertical="center"/>
    </xf>
    <xf numFmtId="0" fontId="23" fillId="21" borderId="4" xfId="0" applyFont="1" applyFill="1" applyBorder="1"/>
    <xf numFmtId="0" fontId="0" fillId="21"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12" fillId="22" borderId="4" xfId="0" applyFont="1" applyFill="1" applyBorder="1" applyAlignment="1">
      <alignment horizontal="center"/>
    </xf>
    <xf numFmtId="0" fontId="0" fillId="0" borderId="4" xfId="0" applyFont="1" applyBorder="1"/>
    <xf numFmtId="0" fontId="0" fillId="23"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20"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4" borderId="4" xfId="0" applyFill="1" applyBorder="1"/>
    <xf numFmtId="0" fontId="0" fillId="24" borderId="0" xfId="0" applyFill="1"/>
    <xf numFmtId="0" fontId="28" fillId="0" borderId="0" xfId="0" applyFont="1"/>
    <xf numFmtId="0" fontId="16" fillId="25" borderId="3" xfId="0" applyFont="1" applyFill="1" applyBorder="1" applyAlignment="1">
      <alignment horizontal="center" vertical="center"/>
    </xf>
    <xf numFmtId="0" fontId="8" fillId="25" borderId="20" xfId="0" applyFont="1" applyFill="1" applyBorder="1" applyAlignment="1">
      <alignment horizontal="center" vertical="center"/>
    </xf>
    <xf numFmtId="0" fontId="8" fillId="25" borderId="10" xfId="0" applyFont="1" applyFill="1" applyBorder="1" applyAlignment="1">
      <alignment horizontal="center" vertical="center"/>
    </xf>
    <xf numFmtId="0" fontId="8" fillId="26" borderId="10" xfId="0" applyFont="1" applyFill="1" applyBorder="1" applyAlignment="1">
      <alignment vertical="center"/>
    </xf>
    <xf numFmtId="0" fontId="8" fillId="25" borderId="19" xfId="0" applyFont="1" applyFill="1" applyBorder="1" applyAlignment="1">
      <alignment horizontal="center" vertical="center"/>
    </xf>
    <xf numFmtId="0" fontId="8" fillId="25" borderId="4" xfId="0" applyFont="1" applyFill="1" applyBorder="1" applyAlignment="1">
      <alignment horizontal="center" vertical="center"/>
    </xf>
    <xf numFmtId="0" fontId="8" fillId="26" borderId="4" xfId="0" applyFont="1" applyFill="1" applyBorder="1" applyAlignment="1">
      <alignment vertical="center"/>
    </xf>
    <xf numFmtId="0" fontId="8" fillId="25" borderId="23" xfId="0" applyFont="1" applyFill="1" applyBorder="1" applyAlignment="1">
      <alignment horizontal="center" vertical="center"/>
    </xf>
    <xf numFmtId="0" fontId="8" fillId="25" borderId="24" xfId="0" applyFont="1" applyFill="1" applyBorder="1" applyAlignment="1">
      <alignment horizontal="center" vertical="center"/>
    </xf>
    <xf numFmtId="0" fontId="8" fillId="26" borderId="24" xfId="0" applyFont="1" applyFill="1" applyBorder="1" applyAlignment="1">
      <alignment vertical="center"/>
    </xf>
    <xf numFmtId="0" fontId="16" fillId="26" borderId="4" xfId="0" applyFont="1" applyFill="1" applyBorder="1" applyAlignment="1">
      <alignment vertical="center"/>
    </xf>
    <xf numFmtId="0" fontId="18" fillId="26" borderId="4" xfId="0" applyFont="1" applyFill="1" applyBorder="1" applyAlignment="1">
      <alignment horizontal="center" vertical="center"/>
    </xf>
    <xf numFmtId="0" fontId="17" fillId="26" borderId="4" xfId="0" applyFont="1" applyFill="1" applyBorder="1" applyAlignment="1">
      <alignment horizontal="center" vertical="center" wrapText="1"/>
    </xf>
    <xf numFmtId="0" fontId="8" fillId="26" borderId="1" xfId="0" applyFont="1" applyFill="1" applyBorder="1" applyAlignment="1">
      <alignment vertical="center"/>
    </xf>
    <xf numFmtId="0" fontId="8" fillId="25" borderId="25" xfId="0" applyFont="1" applyFill="1" applyBorder="1" applyAlignment="1">
      <alignment horizontal="center" vertical="center"/>
    </xf>
    <xf numFmtId="0" fontId="8" fillId="25" borderId="12" xfId="0" applyFont="1" applyFill="1" applyBorder="1" applyAlignment="1">
      <alignment horizontal="center" vertical="center"/>
    </xf>
    <xf numFmtId="0" fontId="8" fillId="25" borderId="26" xfId="0" applyFont="1" applyFill="1" applyBorder="1" applyAlignment="1">
      <alignment horizontal="center" vertical="center"/>
    </xf>
    <xf numFmtId="0" fontId="8" fillId="25" borderId="6" xfId="0" applyFont="1" applyFill="1" applyBorder="1" applyAlignment="1">
      <alignment horizontal="center" vertical="center"/>
    </xf>
    <xf numFmtId="0" fontId="8" fillId="25" borderId="27" xfId="0" applyFont="1" applyFill="1" applyBorder="1" applyAlignment="1">
      <alignment horizontal="center" vertical="center"/>
    </xf>
    <xf numFmtId="0" fontId="16" fillId="25" borderId="21" xfId="0" applyFont="1" applyFill="1" applyBorder="1" applyAlignment="1">
      <alignment horizontal="center" vertical="center"/>
    </xf>
    <xf numFmtId="0" fontId="17" fillId="26" borderId="12" xfId="0" applyFont="1" applyFill="1" applyBorder="1" applyAlignment="1">
      <alignment horizontal="center" vertical="center" wrapText="1"/>
    </xf>
    <xf numFmtId="0" fontId="0" fillId="15" borderId="4" xfId="0" applyFill="1" applyBorder="1"/>
    <xf numFmtId="0" fontId="25" fillId="0" borderId="7" xfId="0" applyFont="1" applyFill="1" applyBorder="1" applyAlignment="1">
      <alignment vertical="center"/>
    </xf>
    <xf numFmtId="0" fontId="14" fillId="27" borderId="4" xfId="0" applyFont="1" applyFill="1" applyBorder="1" applyAlignment="1">
      <alignment horizontal="left" vertical="center" wrapText="1"/>
    </xf>
    <xf numFmtId="0" fontId="25" fillId="0" borderId="7" xfId="0" applyFont="1" applyFill="1" applyBorder="1" applyAlignment="1">
      <alignment vertical="center" wrapText="1"/>
    </xf>
    <xf numFmtId="0" fontId="12" fillId="28" borderId="4" xfId="0" applyFont="1" applyFill="1" applyBorder="1" applyAlignment="1">
      <alignment horizontal="left" vertical="center"/>
    </xf>
    <xf numFmtId="0" fontId="12" fillId="28" borderId="4" xfId="0" applyFont="1" applyFill="1" applyBorder="1" applyAlignment="1">
      <alignment horizontal="left" vertical="center" wrapText="1"/>
    </xf>
    <xf numFmtId="0" fontId="12" fillId="28" borderId="4" xfId="0" applyFont="1" applyFill="1" applyBorder="1" applyAlignment="1">
      <alignment vertical="center" wrapText="1"/>
    </xf>
    <xf numFmtId="0" fontId="16" fillId="28" borderId="4" xfId="0" applyFont="1" applyFill="1" applyBorder="1" applyAlignment="1">
      <alignment horizontal="left" vertical="center"/>
    </xf>
    <xf numFmtId="0" fontId="16" fillId="28" borderId="4" xfId="0" applyFont="1" applyFill="1" applyBorder="1" applyAlignment="1">
      <alignment vertical="center"/>
    </xf>
    <xf numFmtId="0" fontId="16" fillId="0" borderId="4" xfId="0" applyFont="1" applyFill="1" applyBorder="1" applyAlignment="1">
      <alignment horizontal="left" vertical="center"/>
    </xf>
    <xf numFmtId="0" fontId="16" fillId="29" borderId="4" xfId="0" applyFont="1" applyFill="1" applyBorder="1" applyAlignment="1">
      <alignment horizontal="center" vertical="center"/>
    </xf>
    <xf numFmtId="0" fontId="13" fillId="29" borderId="15" xfId="0" applyFont="1" applyFill="1" applyBorder="1" applyAlignment="1">
      <alignment horizontal="center" vertical="center"/>
    </xf>
    <xf numFmtId="0" fontId="13" fillId="29"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15" xfId="0" applyFont="1" applyFill="1" applyBorder="1" applyAlignment="1">
      <alignment horizontal="center" vertical="center"/>
    </xf>
    <xf numFmtId="0" fontId="13" fillId="24" borderId="15" xfId="0" applyFont="1" applyFill="1" applyBorder="1" applyAlignment="1">
      <alignment horizontal="center" vertical="center"/>
    </xf>
    <xf numFmtId="0" fontId="16" fillId="0" borderId="4" xfId="0" applyFont="1" applyFill="1" applyBorder="1" applyAlignment="1">
      <alignment horizontal="center" vertical="center"/>
    </xf>
    <xf numFmtId="0" fontId="16" fillId="7" borderId="4" xfId="0" applyFont="1" applyFill="1" applyBorder="1" applyAlignment="1">
      <alignment horizontal="center" vertical="center"/>
    </xf>
    <xf numFmtId="0" fontId="16" fillId="15" borderId="4" xfId="0" applyFont="1" applyFill="1" applyBorder="1" applyAlignment="1">
      <alignment horizontal="center" vertical="center"/>
    </xf>
    <xf numFmtId="0" fontId="16" fillId="24"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49" fontId="12" fillId="15" borderId="4" xfId="0" applyNumberFormat="1" applyFont="1" applyFill="1" applyBorder="1" applyAlignment="1">
      <alignment horizontal="center" vertical="center"/>
    </xf>
    <xf numFmtId="0" fontId="16" fillId="30" borderId="10" xfId="0" applyFont="1" applyFill="1" applyBorder="1" applyAlignment="1">
      <alignment horizontal="right" vertical="center"/>
    </xf>
  </cellXfs>
  <cellStyles count="459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赤字強調" xfId="4"/>
    <cellStyle name="青字強調" xfId="3"/>
  </cellStyles>
  <dxfs count="2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externalLink" Target="externalLinks/externalLink2.xml"/><Relationship Id="rId18" Type="http://schemas.openxmlformats.org/officeDocument/2006/relationships/externalLink" Target="externalLinks/externalLink3.xml"/><Relationship Id="rId19" Type="http://schemas.openxmlformats.org/officeDocument/2006/relationships/externalLink" Target="externalLinks/externalLink4.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engoku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Master_buffUpdate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awake_materials"/>
      <sheetName val="→base値"/>
      <sheetName val="ghosts_label"/>
      <sheetName val="コスト"/>
      <sheetName val="レベル"/>
      <sheetName val="経験値"/>
      <sheetName val="RC6SV"/>
      <sheetName val="ビット"/>
      <sheetName val="チェックシート"/>
    </sheetNames>
    <sheetDataSet>
      <sheetData sheetId="0" refreshError="1"/>
      <sheetData sheetId="1">
        <row r="1">
          <cell r="A1" t="str">
            <v>character_id</v>
          </cell>
          <cell r="B1" t="str">
            <v>name</v>
          </cell>
          <cell r="C1" t="str">
            <v>特徴</v>
          </cell>
          <cell r="D1" t="str">
            <v>勢力</v>
          </cell>
          <cell r="E1" t="str">
            <v>訴求軸</v>
          </cell>
          <cell r="F1" t="str">
            <v>性別</v>
          </cell>
          <cell r="G1" t="str">
            <v>rare</v>
          </cell>
          <cell r="H1" t="str">
            <v>drop_label</v>
          </cell>
          <cell r="I1" t="str">
            <v>color</v>
          </cell>
          <cell r="J1" t="str">
            <v>HP係数</v>
          </cell>
          <cell r="K1" t="str">
            <v>攻撃係数</v>
          </cell>
          <cell r="L1" t="str">
            <v>防御系数</v>
          </cell>
          <cell r="M1" t="str">
            <v>回復系数</v>
          </cell>
          <cell r="N1" t="str">
            <v>cost</v>
          </cell>
          <cell r="O1" t="str">
            <v>max_level</v>
          </cell>
          <cell r="P1" t="str">
            <v>max_bug</v>
          </cell>
          <cell r="Q1" t="str">
            <v>character_type_id</v>
          </cell>
          <cell r="R1" t="str">
            <v>name</v>
          </cell>
          <cell r="S1" t="str">
            <v>HP係数</v>
          </cell>
          <cell r="T1" t="str">
            <v>攻撃係数</v>
          </cell>
          <cell r="U1" t="str">
            <v>防御係数</v>
          </cell>
          <cell r="V1" t="str">
            <v>回復係数</v>
          </cell>
          <cell r="W1" t="str">
            <v>character_main_tribe_id</v>
          </cell>
          <cell r="X1" t="str">
            <v>name</v>
          </cell>
          <cell r="Y1" t="str">
            <v>character_sub_tribe_id</v>
          </cell>
          <cell r="Z1" t="str">
            <v>name</v>
          </cell>
          <cell r="AA1" t="str">
            <v>HP係数</v>
          </cell>
          <cell r="AB1" t="str">
            <v>攻撃係数</v>
          </cell>
          <cell r="AC1" t="str">
            <v>防御係数</v>
          </cell>
          <cell r="AD1" t="str">
            <v>回復係数</v>
          </cell>
          <cell r="AE1" t="str">
            <v>awake_character_id</v>
          </cell>
          <cell r="AF1" t="str">
            <v>name</v>
          </cell>
          <cell r="AG1" t="str">
            <v>base_character_id</v>
          </cell>
          <cell r="AH1" t="str">
            <v>name</v>
          </cell>
          <cell r="AI1" t="str">
            <v>awake_price</v>
          </cell>
          <cell r="AJ1" t="str">
            <v>growth_speed</v>
          </cell>
          <cell r="AK1" t="str">
            <v>成長速度名</v>
          </cell>
          <cell r="AL1" t="str">
            <v>exp_table</v>
          </cell>
          <cell r="AM1" t="str">
            <v>base_material_exp</v>
          </cell>
          <cell r="AN1" t="str">
            <v>base_soldprice</v>
          </cell>
          <cell r="AO1" t="str">
            <v>スキルタイプ</v>
          </cell>
          <cell r="AP1" t="str">
            <v>unit_skill_id</v>
          </cell>
          <cell r="AQ1" t="str">
            <v>name</v>
          </cell>
          <cell r="AR1" t="str">
            <v>comment</v>
          </cell>
          <cell r="AS1" t="str">
            <v>等級</v>
          </cell>
          <cell r="AT1" t="str">
            <v>crash_skill_id</v>
          </cell>
          <cell r="AU1" t="str">
            <v>name</v>
          </cell>
          <cell r="AV1" t="str">
            <v>comment</v>
          </cell>
          <cell r="AW1" t="str">
            <v>等級</v>
          </cell>
          <cell r="AX1" t="str">
            <v>valid_flg</v>
          </cell>
          <cell r="AY1" t="str">
            <v>HP係数</v>
          </cell>
          <cell r="AZ1" t="str">
            <v>攻撃系数</v>
          </cell>
          <cell r="BA1" t="str">
            <v>防御係数</v>
          </cell>
          <cell r="BB1" t="str">
            <v>回復系数</v>
          </cell>
          <cell r="BC1" t="str">
            <v>RC6SV</v>
          </cell>
          <cell r="BD1" t="str">
            <v>調整後</v>
          </cell>
          <cell r="BE1" t="str">
            <v>進化前RC6SV</v>
          </cell>
          <cell r="BF1" t="str">
            <v>進化前MAXレベル</v>
          </cell>
          <cell r="BG1" t="str">
            <v>min_hp</v>
          </cell>
          <cell r="BH1" t="str">
            <v>min_attack</v>
          </cell>
          <cell r="BI1" t="str">
            <v>min_defense</v>
          </cell>
          <cell r="BJ1" t="str">
            <v>min_heal</v>
          </cell>
          <cell r="BK1" t="str">
            <v>max_hp</v>
          </cell>
          <cell r="BL1" t="str">
            <v>max_attack</v>
          </cell>
          <cell r="BM1" t="str">
            <v>max_defense</v>
          </cell>
          <cell r="BN1" t="str">
            <v>max_heal</v>
          </cell>
          <cell r="BO1" t="str">
            <v>skip</v>
          </cell>
          <cell r="BP1" t="str">
            <v>min_max</v>
          </cell>
          <cell r="BQ1" t="str">
            <v>level_test</v>
          </cell>
          <cell r="BR1" t="str">
            <v>sell_ghosts</v>
          </cell>
        </row>
        <row r="2">
          <cell r="A2">
            <v>720</v>
          </cell>
        </row>
        <row r="3">
          <cell r="A3">
            <v>721</v>
          </cell>
        </row>
        <row r="4">
          <cell r="A4">
            <v>722</v>
          </cell>
        </row>
        <row r="5">
          <cell r="A5">
            <v>723</v>
          </cell>
        </row>
        <row r="6">
          <cell r="A6">
            <v>724</v>
          </cell>
        </row>
        <row r="7">
          <cell r="A7">
            <v>725</v>
          </cell>
        </row>
        <row r="8">
          <cell r="A8">
            <v>726</v>
          </cell>
        </row>
        <row r="9">
          <cell r="A9">
            <v>727</v>
          </cell>
        </row>
        <row r="10">
          <cell r="A10">
            <v>728</v>
          </cell>
        </row>
        <row r="11">
          <cell r="A11">
            <v>729</v>
          </cell>
        </row>
        <row r="12">
          <cell r="A12">
            <v>730</v>
          </cell>
        </row>
        <row r="13">
          <cell r="A13">
            <v>731</v>
          </cell>
        </row>
        <row r="14">
          <cell r="A14">
            <v>732</v>
          </cell>
        </row>
        <row r="15">
          <cell r="A15">
            <v>733</v>
          </cell>
        </row>
        <row r="16">
          <cell r="A16">
            <v>734</v>
          </cell>
        </row>
        <row r="17">
          <cell r="A17">
            <v>735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対ドラゴン&amp;アニマルダメージUP</v>
          </cell>
          <cell r="D64" t="str">
            <v>自身の攻撃対象が種族ドラゴン、アニマルの場合全ての攻撃の威力をUP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436</v>
          </cell>
          <cell r="B101" t="str">
            <v>ja</v>
          </cell>
          <cell r="C101" t="str">
            <v>対ゴッド&amp;ヒーロー ダメージUP</v>
          </cell>
          <cell r="D101" t="str">
            <v>自身の攻撃対象が種族ゴッド、ヒーローの場合全ての攻撃の威力をUP</v>
          </cell>
        </row>
        <row r="102">
          <cell r="A102">
            <v>600</v>
          </cell>
          <cell r="B102" t="str">
            <v>ja</v>
          </cell>
          <cell r="C102" t="str">
            <v>赤属性耐性25</v>
          </cell>
          <cell r="D102" t="str">
            <v>自身に対する赤属性の敵からの攻撃を25％軽減</v>
          </cell>
        </row>
        <row r="103">
          <cell r="A103">
            <v>601</v>
          </cell>
          <cell r="B103" t="str">
            <v>ja</v>
          </cell>
          <cell r="C103" t="str">
            <v>赤属性耐性25</v>
          </cell>
          <cell r="D103" t="str">
            <v>自身に対する赤属性の敵からの攻撃を25％軽減</v>
          </cell>
        </row>
        <row r="104">
          <cell r="A104">
            <v>602</v>
          </cell>
          <cell r="B104" t="str">
            <v>ja</v>
          </cell>
          <cell r="C104" t="str">
            <v>赤属性耐性25</v>
          </cell>
          <cell r="D104" t="str">
            <v>自身に対する赤属性の敵からの攻撃を25％軽減</v>
          </cell>
        </row>
        <row r="105">
          <cell r="A105">
            <v>603</v>
          </cell>
          <cell r="B105" t="str">
            <v>ja</v>
          </cell>
          <cell r="C105" t="str">
            <v>青属性耐性25</v>
          </cell>
          <cell r="D105" t="str">
            <v>自身に対する青属性の敵からの攻撃を25％軽減</v>
          </cell>
        </row>
        <row r="106">
          <cell r="A106">
            <v>604</v>
          </cell>
          <cell r="B106" t="str">
            <v>ja</v>
          </cell>
          <cell r="C106" t="str">
            <v>青属性耐性25</v>
          </cell>
          <cell r="D106" t="str">
            <v>自身に対する青属性の敵からの攻撃を25％軽減</v>
          </cell>
        </row>
        <row r="107">
          <cell r="A107">
            <v>605</v>
          </cell>
          <cell r="B107" t="str">
            <v>ja</v>
          </cell>
          <cell r="C107" t="str">
            <v>青属性耐性25</v>
          </cell>
          <cell r="D107" t="str">
            <v>自身に対する青属性の敵からの攻撃を25％軽減</v>
          </cell>
        </row>
        <row r="108">
          <cell r="A108">
            <v>606</v>
          </cell>
          <cell r="B108" t="str">
            <v>ja</v>
          </cell>
          <cell r="C108" t="str">
            <v>緑属性耐性25</v>
          </cell>
          <cell r="D108" t="str">
            <v>自身に対する緑属性の敵からの攻撃を25％軽減</v>
          </cell>
        </row>
        <row r="109">
          <cell r="A109">
            <v>607</v>
          </cell>
          <cell r="B109" t="str">
            <v>ja</v>
          </cell>
          <cell r="C109" t="str">
            <v>緑属性耐性25</v>
          </cell>
          <cell r="D109" t="str">
            <v>自身に対する緑属性の敵からの攻撃を25％軽減</v>
          </cell>
        </row>
        <row r="110">
          <cell r="A110">
            <v>608</v>
          </cell>
          <cell r="B110" t="str">
            <v>ja</v>
          </cell>
          <cell r="C110" t="str">
            <v>緑属性耐性25</v>
          </cell>
          <cell r="D110" t="str">
            <v>自身に対する緑属性の敵からの攻撃を25％軽減</v>
          </cell>
        </row>
        <row r="111">
          <cell r="A111">
            <v>609</v>
          </cell>
          <cell r="B111" t="str">
            <v>ja</v>
          </cell>
          <cell r="C111" t="str">
            <v>黄属性耐性25</v>
          </cell>
          <cell r="D111" t="str">
            <v>自身に対する黄属性の敵からの攻撃を25％軽減</v>
          </cell>
        </row>
        <row r="112">
          <cell r="A112">
            <v>610</v>
          </cell>
          <cell r="B112" t="str">
            <v>ja</v>
          </cell>
          <cell r="C112" t="str">
            <v>黄属性耐性25</v>
          </cell>
          <cell r="D112" t="str">
            <v>自身に対する黄属性の敵からの攻撃を25％軽減</v>
          </cell>
        </row>
        <row r="113">
          <cell r="A113">
            <v>611</v>
          </cell>
          <cell r="B113" t="str">
            <v>ja</v>
          </cell>
          <cell r="C113" t="str">
            <v>黄属性耐性25</v>
          </cell>
          <cell r="D113" t="str">
            <v>自身に対する黄属性の敵からの攻撃を25％軽減</v>
          </cell>
        </row>
        <row r="114">
          <cell r="A114">
            <v>612</v>
          </cell>
          <cell r="B114" t="str">
            <v>ja</v>
          </cell>
          <cell r="C114" t="str">
            <v>全属性耐性10</v>
          </cell>
          <cell r="D114" t="str">
            <v>自身に対する全属性の敵からの攻撃を10％軽減</v>
          </cell>
        </row>
        <row r="115">
          <cell r="A115">
            <v>613</v>
          </cell>
          <cell r="B115" t="str">
            <v>ja</v>
          </cell>
          <cell r="C115" t="str">
            <v>赤属性耐性10</v>
          </cell>
          <cell r="D115" t="str">
            <v>自身に対する赤属性の敵からの攻撃を10％軽減</v>
          </cell>
        </row>
        <row r="116">
          <cell r="A116">
            <v>614</v>
          </cell>
          <cell r="B116" t="str">
            <v>ja</v>
          </cell>
          <cell r="C116" t="str">
            <v>青属性耐性10</v>
          </cell>
          <cell r="D116" t="str">
            <v>自身に対する青属性の敵からの攻撃を10％軽減</v>
          </cell>
        </row>
        <row r="117">
          <cell r="A117">
            <v>615</v>
          </cell>
          <cell r="B117" t="str">
            <v>ja</v>
          </cell>
          <cell r="C117" t="str">
            <v>緑属性耐性10</v>
          </cell>
          <cell r="D117" t="str">
            <v>自身に対する緑属性の敵からの攻撃を10％軽減</v>
          </cell>
        </row>
        <row r="118">
          <cell r="A118">
            <v>616</v>
          </cell>
          <cell r="B118" t="str">
            <v>ja</v>
          </cell>
          <cell r="C118" t="str">
            <v>黄属性耐性10</v>
          </cell>
          <cell r="D118" t="str">
            <v>自身に対する黄属性の敵からの攻撃を10％軽減</v>
          </cell>
        </row>
        <row r="119">
          <cell r="A119">
            <v>617</v>
          </cell>
          <cell r="B119" t="str">
            <v>ja</v>
          </cell>
          <cell r="C119" t="str">
            <v>ゴッド種族耐性10</v>
          </cell>
          <cell r="D119" t="str">
            <v>自身に対するゴッド種族の敵からの攻撃を25％軽減</v>
          </cell>
        </row>
        <row r="120">
          <cell r="A120">
            <v>618</v>
          </cell>
          <cell r="B120" t="str">
            <v>ja</v>
          </cell>
          <cell r="C120" t="str">
            <v>赤属性耐性8</v>
          </cell>
          <cell r="D120" t="str">
            <v>自身に対する赤属性の敵からの攻撃を8%軽減</v>
          </cell>
        </row>
        <row r="121">
          <cell r="A121">
            <v>619</v>
          </cell>
          <cell r="B121" t="str">
            <v>ja</v>
          </cell>
          <cell r="C121" t="str">
            <v>青属性耐性8</v>
          </cell>
          <cell r="D121" t="str">
            <v>自身に対する青属性の敵からの攻撃を8%軽減</v>
          </cell>
        </row>
        <row r="122">
          <cell r="A122">
            <v>620</v>
          </cell>
          <cell r="B122" t="str">
            <v>ja</v>
          </cell>
          <cell r="C122" t="str">
            <v>緑属性耐性8</v>
          </cell>
          <cell r="D122" t="str">
            <v>自身に対する緑属性の敵からの攻撃を8%軽減</v>
          </cell>
        </row>
        <row r="123">
          <cell r="A123">
            <v>621</v>
          </cell>
          <cell r="B123" t="str">
            <v>ja</v>
          </cell>
          <cell r="C123" t="str">
            <v>黄属性耐性8</v>
          </cell>
          <cell r="D123" t="str">
            <v>自身に対する黄属性の敵からの攻撃を8%軽減</v>
          </cell>
        </row>
        <row r="124">
          <cell r="A124">
            <v>700</v>
          </cell>
          <cell r="B124" t="str">
            <v>ja</v>
          </cell>
          <cell r="C124" t="str">
            <v>フロア 回復</v>
          </cell>
          <cell r="D124" t="str">
            <v>全フロアの1ターン目終了時にパーティの合計HPの20％を回復する</v>
          </cell>
        </row>
        <row r="125">
          <cell r="A125">
            <v>800</v>
          </cell>
          <cell r="B125" t="str">
            <v>ja</v>
          </cell>
          <cell r="C125" t="str">
            <v>パネルブレイク30 攻撃力UP</v>
          </cell>
          <cell r="D125" t="str">
            <v>自身が先頭の時、1ターンの間に合計30個以上パネルを破壊した場合に攻撃力UP</v>
          </cell>
        </row>
        <row r="126">
          <cell r="A126">
            <v>801</v>
          </cell>
          <cell r="B126" t="str">
            <v>ja</v>
          </cell>
          <cell r="C126" t="str">
            <v>パネルブレイク30 回復力UP</v>
          </cell>
          <cell r="D126" t="str">
            <v>自身が先頭の時、1ターンの間に合計30個以上パネルを破壊した場合に回復力UP</v>
          </cell>
        </row>
        <row r="127">
          <cell r="A127">
            <v>802</v>
          </cell>
          <cell r="B127" t="str">
            <v>ja</v>
          </cell>
          <cell r="C127" t="str">
            <v>パネルブレイク30 防御力小UP</v>
          </cell>
          <cell r="D127" t="str">
            <v>自身が先頭の時、1ターンの間に合計30個以上パネルを破壊した場合に防御力小UP</v>
          </cell>
        </row>
        <row r="128">
          <cell r="A128">
            <v>803</v>
          </cell>
          <cell r="B128" t="str">
            <v>ja</v>
          </cell>
          <cell r="C128" t="str">
            <v>パネルブレイク30 防御力UP</v>
          </cell>
          <cell r="D128" t="str">
            <v>自身が先頭の時、1ターンの間に合計30個以上パネルを破壊した場合に防御力UP</v>
          </cell>
        </row>
        <row r="129">
          <cell r="A129">
            <v>804</v>
          </cell>
          <cell r="B129" t="str">
            <v>ja</v>
          </cell>
          <cell r="C129" t="str">
            <v>パネルブレイク30 防御力大UP</v>
          </cell>
          <cell r="D129" t="str">
            <v>自身が先頭の時、1ターンの間に合計30個以上パネルを破壊した場合に防御力大UP</v>
          </cell>
        </row>
        <row r="130">
          <cell r="A130">
            <v>805</v>
          </cell>
          <cell r="B130" t="str">
            <v>ja</v>
          </cell>
          <cell r="C130" t="str">
            <v>パネルブレイク30 防御力特大UP</v>
          </cell>
          <cell r="D130" t="str">
            <v>自身が先頭の時、1ターンの間に合計30個以上パネルを破壊した場合に防御力特大UP</v>
          </cell>
        </row>
        <row r="131">
          <cell r="A131">
            <v>806</v>
          </cell>
          <cell r="B131" t="str">
            <v>ja</v>
          </cell>
          <cell r="C131" t="str">
            <v>ボムブレイク10 防御力UP</v>
          </cell>
          <cell r="D131" t="str">
            <v>自身または味方が1ターンの間に合計10個以上ボムパネルを破壊した場合に防御力UP</v>
          </cell>
        </row>
        <row r="132">
          <cell r="A132">
            <v>807</v>
          </cell>
          <cell r="B132" t="str">
            <v>ja</v>
          </cell>
          <cell r="C132" t="str">
            <v>パネル18 破壊フィーバーゲージ上昇</v>
          </cell>
          <cell r="D132" t="str">
            <v>自身が先頭の時、1ターンの間に合計18個以上パネルを破壊した場合にフィーバーゲージ上昇</v>
          </cell>
        </row>
        <row r="133">
          <cell r="A133">
            <v>808</v>
          </cell>
          <cell r="B133" t="str">
            <v>ja</v>
          </cell>
          <cell r="C133" t="str">
            <v>パネルブレイク40 防御力UP</v>
          </cell>
          <cell r="D133" t="str">
            <v>自身が先頭の時、1ターンの間に合計40個以上パネルを破壊した場合に青属性ユニットの防御力を400UP</v>
          </cell>
        </row>
        <row r="134">
          <cell r="A134">
            <v>809</v>
          </cell>
          <cell r="B134" t="str">
            <v>ja</v>
          </cell>
          <cell r="C134" t="str">
            <v>パネルブレイク40 攻撃力UP</v>
          </cell>
          <cell r="D134" t="str">
            <v>自身が先頭の時、1ターンの間に合計40個以上パネルを破壊した場合に攻撃力UP</v>
          </cell>
        </row>
        <row r="135">
          <cell r="A135">
            <v>810</v>
          </cell>
          <cell r="B135" t="str">
            <v>ja</v>
          </cell>
          <cell r="C135" t="str">
            <v>パネルブレイク40 攻撃力小UP</v>
          </cell>
          <cell r="D135" t="str">
            <v>自身が先頭の時、1ターンの間に合計40個以上パネルを破壊した場合に攻撃力小UP</v>
          </cell>
        </row>
        <row r="136">
          <cell r="A136">
            <v>811</v>
          </cell>
          <cell r="B136" t="str">
            <v>ja</v>
          </cell>
          <cell r="C136" t="str">
            <v>パネルブレイク30 攻撃力小UP</v>
          </cell>
          <cell r="D136" t="str">
            <v>自身が先頭の時、1ターンの間に合計30個以上パネルを破壊した場合に攻撃力小UP</v>
          </cell>
        </row>
        <row r="137">
          <cell r="A137">
            <v>812</v>
          </cell>
          <cell r="B137" t="str">
            <v>ja</v>
          </cell>
          <cell r="C137" t="str">
            <v>パネルブレイク40 HP小回復</v>
          </cell>
          <cell r="D137" t="str">
            <v>自身が先頭の時、1ターンの間に合計40個以上パネルを破壊した場合にターン終了時HP小回復</v>
          </cell>
        </row>
        <row r="138">
          <cell r="A138">
            <v>813</v>
          </cell>
          <cell r="B138" t="str">
            <v>ja</v>
          </cell>
          <cell r="C138" t="str">
            <v>パネルブレイク100 攻撃力UP</v>
          </cell>
          <cell r="D138" t="str">
            <v>自身が先頭の時、1ターンの間に合計100個以上パネルを破壊した場合に攻撃力2140UP</v>
          </cell>
        </row>
        <row r="139">
          <cell r="A139">
            <v>814</v>
          </cell>
          <cell r="B139" t="str">
            <v>ja</v>
          </cell>
          <cell r="C139" t="str">
            <v>パネルブレイク50 タップ回数UP</v>
          </cell>
          <cell r="D139" t="str">
            <v>自身が先頭の時、1ターンの間に合計50個以上パネルを破壊した場合にタップ回数1UP</v>
          </cell>
        </row>
        <row r="140">
          <cell r="A140">
            <v>815</v>
          </cell>
          <cell r="B140" t="str">
            <v>ja</v>
          </cell>
          <cell r="C140" t="str">
            <v>パネルブレイク50 HP回復</v>
          </cell>
          <cell r="D140" t="str">
            <v>自身が先頭の時、1ターンの間に合計50個以上パネルを破壊した場合にターン終了時HP回復</v>
          </cell>
        </row>
        <row r="141">
          <cell r="A141">
            <v>816</v>
          </cell>
          <cell r="B141" t="str">
            <v>ja</v>
          </cell>
          <cell r="C141" t="str">
            <v>ボムブレイク10 黄属性攻撃力UP</v>
          </cell>
          <cell r="D141" t="str">
            <v>自身または味方が1ターンの間に合計10個以上ボムパネルを破壊した場合に黄属性ユニットの攻撃力UP</v>
          </cell>
        </row>
        <row r="142">
          <cell r="A142">
            <v>900</v>
          </cell>
          <cell r="B142" t="str">
            <v>ja</v>
          </cell>
          <cell r="C142" t="str">
            <v>チェイン12 攻撃力UP</v>
          </cell>
          <cell r="D142" t="str">
            <v>自身が先頭の時、1タップで12個以上パネルを繋げた場合に攻撃力UP</v>
          </cell>
        </row>
        <row r="143">
          <cell r="A143">
            <v>901</v>
          </cell>
          <cell r="B143" t="str">
            <v>ja</v>
          </cell>
          <cell r="C143" t="str">
            <v>チェイン12 回復力UP</v>
          </cell>
          <cell r="D143" t="str">
            <v>自身が先頭の時、1タップで12個以上パネルを繋げた場合に回復力UP</v>
          </cell>
        </row>
        <row r="144">
          <cell r="A144">
            <v>902</v>
          </cell>
          <cell r="B144" t="str">
            <v>ja</v>
          </cell>
          <cell r="C144" t="str">
            <v>チェイン12 タップ回数UP</v>
          </cell>
          <cell r="D144" t="str">
            <v>自身が先頭の時、1タップで12個以上パネルを繋げた場合にタップ回数を1回増やす</v>
          </cell>
        </row>
        <row r="145">
          <cell r="A145">
            <v>903</v>
          </cell>
          <cell r="B145" t="str">
            <v>ja</v>
          </cell>
          <cell r="C145" t="str">
            <v>チェイン18 スキルゲージUP</v>
          </cell>
          <cell r="D145" t="str">
            <v>自身が先頭の時、1タップで18個以上パネルを繋げた場合に自身のスキルゲージを1増やす(1ターンに1度だけ発動)</v>
          </cell>
        </row>
        <row r="146">
          <cell r="A146">
            <v>904</v>
          </cell>
          <cell r="B146" t="str">
            <v>ja</v>
          </cell>
          <cell r="C146" t="str">
            <v>チェイン17 回復力UP</v>
          </cell>
          <cell r="D146" t="str">
            <v>自身が先頭の時、1タップで17個以上パネルを繋げた場合に自身の回復力を2017UP</v>
          </cell>
        </row>
        <row r="147">
          <cell r="A147">
            <v>905</v>
          </cell>
          <cell r="B147" t="str">
            <v>ja</v>
          </cell>
          <cell r="C147" t="str">
            <v>チェイン12 攻撃力小UP</v>
          </cell>
          <cell r="D147" t="str">
            <v>自身が先頭の時、1タップで12個以上パネルを繋げた場合に攻撃力小UP</v>
          </cell>
        </row>
        <row r="148">
          <cell r="A148">
            <v>906</v>
          </cell>
          <cell r="B148" t="str">
            <v>ja</v>
          </cell>
          <cell r="C148" t="str">
            <v>チェイン14 回復力小UP</v>
          </cell>
          <cell r="D148" t="str">
            <v>自身が先頭の時、1タップで14個以上パネルを繋げた場合に回復力小UP</v>
          </cell>
        </row>
        <row r="149">
          <cell r="A149">
            <v>907</v>
          </cell>
          <cell r="B149" t="str">
            <v>ja</v>
          </cell>
          <cell r="C149" t="str">
            <v>チェイン14 攻撃力UP</v>
          </cell>
          <cell r="D149" t="str">
            <v>自身が先頭の時、1タップで14個以上パネルを繋げた場合に攻撃力UP</v>
          </cell>
        </row>
        <row r="150">
          <cell r="A150">
            <v>908</v>
          </cell>
          <cell r="B150" t="str">
            <v>ja</v>
          </cell>
          <cell r="C150" t="str">
            <v>チェイン16 黄属性防御力UP</v>
          </cell>
          <cell r="D150" t="str">
            <v>自身が先頭の時、1タップで16個以上パネルを繋げた場合に黄属性ユニットの防御力UP</v>
          </cell>
        </row>
        <row r="151">
          <cell r="A151">
            <v>1100</v>
          </cell>
          <cell r="B151" t="str">
            <v>ja</v>
          </cell>
          <cell r="C151" t="str">
            <v>Cパネル生成短縮</v>
          </cell>
          <cell r="D151" t="str">
            <v>自身が先頭の時、Cパネル生成に必要なチェイン数を1短縮する</v>
          </cell>
        </row>
        <row r="152">
          <cell r="A152">
            <v>1101</v>
          </cell>
          <cell r="B152" t="str">
            <v>ja</v>
          </cell>
          <cell r="C152" t="str">
            <v>Cパネル生成短縮(大)</v>
          </cell>
          <cell r="D152" t="str">
            <v>自身が先頭の時、Cパネル生成に必要なチェイン数を2短縮する</v>
          </cell>
        </row>
        <row r="153">
          <cell r="A153">
            <v>1200</v>
          </cell>
          <cell r="B153" t="str">
            <v>ja</v>
          </cell>
          <cell r="C153" t="str">
            <v>フィーバー攻撃UP</v>
          </cell>
          <cell r="D153" t="str">
            <v>自身が先頭の時、フィーバー発動時に緑属性の攻撃力と回復力UP</v>
          </cell>
        </row>
        <row r="154">
          <cell r="A154">
            <v>1300</v>
          </cell>
          <cell r="B154" t="str">
            <v>ja</v>
          </cell>
          <cell r="C154" t="str">
            <v>チェイン12 HP回復</v>
          </cell>
          <cell r="D154" t="str">
            <v>自身が先頭の時、1タップで12個以上パネルを繋げた場合にHPを2000回復(1ターンに1度だけ発動)</v>
          </cell>
        </row>
        <row r="155">
          <cell r="A155">
            <v>1400</v>
          </cell>
          <cell r="B155" t="str">
            <v>ja</v>
          </cell>
          <cell r="C155" t="str">
            <v>カウンター威力UP</v>
          </cell>
          <cell r="D155" t="str">
            <v>4ターン毎に自身のカウンタースキルの威力が1ターンの間UP</v>
          </cell>
        </row>
        <row r="156">
          <cell r="A156">
            <v>1500</v>
          </cell>
          <cell r="B156" t="str">
            <v>ja</v>
          </cell>
          <cell r="C156" t="str">
            <v>バリア15000</v>
          </cell>
          <cell r="D156" t="str">
            <v>戦闘開始時に、自身への直接ダメージを15000まで防ぐバリアを一度だけ展開(バリアは破壊されると復活しない)</v>
          </cell>
        </row>
        <row r="157">
          <cell r="A157">
            <v>1501</v>
          </cell>
          <cell r="B157" t="str">
            <v>ja</v>
          </cell>
          <cell r="C157" t="str">
            <v>バリア</v>
          </cell>
          <cell r="D157" t="str">
            <v>戦闘開始時に、ダメージを25000まで防ぐバリアを一度だけ展開</v>
          </cell>
        </row>
        <row r="158">
          <cell r="A158">
            <v>1502</v>
          </cell>
          <cell r="B158" t="str">
            <v>ja</v>
          </cell>
          <cell r="C158" t="str">
            <v>バリア</v>
          </cell>
          <cell r="D158" t="str">
            <v>戦闘開始時に、ダメージを50000まで防ぐバリアを一度だけ展開</v>
          </cell>
        </row>
        <row r="159">
          <cell r="A159">
            <v>1503</v>
          </cell>
          <cell r="B159" t="str">
            <v>ja</v>
          </cell>
          <cell r="C159" t="str">
            <v>バリア8000</v>
          </cell>
          <cell r="D159" t="str">
            <v>戦闘開始時に、自身への直接ダメージを8000まで防ぐバリアを一度だけ展開(バリアは破壊されると復活しない)</v>
          </cell>
        </row>
        <row r="160">
          <cell r="A160">
            <v>1504</v>
          </cell>
          <cell r="B160" t="str">
            <v>ja</v>
          </cell>
          <cell r="C160" t="str">
            <v>バリア10000</v>
          </cell>
          <cell r="D160" t="str">
            <v>戦闘開始時に、自身への直接ダメージを10000まで防ぐバリアを一度だけ展開(バリアは破壊されると復活しない)</v>
          </cell>
        </row>
        <row r="161">
          <cell r="A161">
            <v>1505</v>
          </cell>
          <cell r="B161" t="str">
            <v>ja</v>
          </cell>
          <cell r="C161" t="str">
            <v>バリア3939</v>
          </cell>
          <cell r="D161" t="str">
            <v>戦闘開始時に、自身への直接ダメージを3939まで防ぐバリアを一度だけ展開(バリアは破壊されると復活しない)</v>
          </cell>
        </row>
        <row r="162">
          <cell r="A162">
            <v>1600</v>
          </cell>
          <cell r="B162" t="str">
            <v>ja</v>
          </cell>
          <cell r="C162" t="str">
            <v>攻撃力・回復力UP</v>
          </cell>
          <cell r="D162" t="str">
            <v>自身の攻撃力と回復力をUP</v>
          </cell>
        </row>
        <row r="163">
          <cell r="A163">
            <v>1700</v>
          </cell>
          <cell r="B163" t="str">
            <v>ja</v>
          </cell>
          <cell r="C163" t="str">
            <v>パネルブレイク30 ターンHP小回復</v>
          </cell>
          <cell r="D163" t="str">
            <v>自身が先頭の時、1ターンの間に合計30個以上パネルを破壊した場合に1ターン HP小回復</v>
          </cell>
        </row>
        <row r="164">
          <cell r="A164">
            <v>1800</v>
          </cell>
          <cell r="B164" t="str">
            <v>ja</v>
          </cell>
          <cell r="C164" t="str">
            <v>フィーバー強化</v>
          </cell>
          <cell r="D164" t="str">
            <v>フィーバー時自身の攻撃力、回復力を特大UP</v>
          </cell>
        </row>
        <row r="165">
          <cell r="A165">
            <v>1900</v>
          </cell>
          <cell r="B165" t="str">
            <v>ja</v>
          </cell>
          <cell r="C165" t="str">
            <v>ハート出現率UP</v>
          </cell>
          <cell r="D165" t="str">
            <v>自身が先頭の時、ハートパネルの出現率UP</v>
          </cell>
        </row>
        <row r="166">
          <cell r="A166">
            <v>2000</v>
          </cell>
          <cell r="B166" t="str">
            <v>ja</v>
          </cell>
          <cell r="C166" t="str">
            <v>赤パネル出現率UP</v>
          </cell>
          <cell r="D166" t="str">
            <v>自身が先頭の時、赤パネルの出現率UP</v>
          </cell>
        </row>
        <row r="167">
          <cell r="A167">
            <v>2100</v>
          </cell>
          <cell r="B167" t="str">
            <v>ja</v>
          </cell>
          <cell r="C167" t="str">
            <v>緑パネル出現率UP</v>
          </cell>
          <cell r="D167" t="str">
            <v>自身が先頭の時、緑パネルの出現率UP</v>
          </cell>
        </row>
        <row r="168">
          <cell r="A168">
            <v>2200</v>
          </cell>
          <cell r="B168" t="str">
            <v>ja</v>
          </cell>
          <cell r="C168" t="str">
            <v>青パネル出現率UP</v>
          </cell>
          <cell r="D168" t="str">
            <v>自身が先頭の時、青パネルの出現率UP</v>
          </cell>
        </row>
        <row r="169">
          <cell r="A169">
            <v>2201</v>
          </cell>
          <cell r="B169" t="str">
            <v>ja</v>
          </cell>
          <cell r="C169" t="str">
            <v>青パネル出現率UP</v>
          </cell>
          <cell r="D169" t="str">
            <v>自身が先頭の時、青パネルの出現率UP</v>
          </cell>
        </row>
        <row r="170">
          <cell r="A170">
            <v>2300</v>
          </cell>
          <cell r="B170" t="str">
            <v>ja</v>
          </cell>
          <cell r="C170" t="str">
            <v>黄パネル出現率UP</v>
          </cell>
          <cell r="D170" t="str">
            <v>自身が先頭の時、黄パネルの出現率UP</v>
          </cell>
        </row>
        <row r="171">
          <cell r="A171">
            <v>2400</v>
          </cell>
          <cell r="B171" t="str">
            <v>ja</v>
          </cell>
          <cell r="C171" t="str">
            <v>ハートボムパネルドロップ</v>
          </cell>
          <cell r="D171" t="str">
            <v>自身が先頭の時、ハートパネルを確率でハートボムパネルに変換しドロップ</v>
          </cell>
        </row>
        <row r="172">
          <cell r="A172">
            <v>2401</v>
          </cell>
          <cell r="B172" t="str">
            <v>ja</v>
          </cell>
          <cell r="C172" t="str">
            <v>赤ボムパネルドロップ</v>
          </cell>
          <cell r="D172" t="str">
            <v>自身が先頭の時、赤パネルを低確率で赤ボムパネルに変換しドロップ</v>
          </cell>
        </row>
        <row r="173">
          <cell r="A173">
            <v>2402</v>
          </cell>
          <cell r="B173" t="str">
            <v>ja</v>
          </cell>
          <cell r="C173" t="str">
            <v>緑ボムパネルドロップ</v>
          </cell>
          <cell r="D173" t="str">
            <v>自身が先頭の時、緑パネルを低確率で緑ボムパネルに変換しドロップ</v>
          </cell>
        </row>
        <row r="174">
          <cell r="A174">
            <v>2403</v>
          </cell>
          <cell r="B174" t="str">
            <v>ja</v>
          </cell>
          <cell r="C174" t="str">
            <v>青ボムパネルドロップ</v>
          </cell>
          <cell r="D174" t="str">
            <v>自身が先頭の時、青パネルを確率で青ボムパネルに変換しドロップ</v>
          </cell>
        </row>
        <row r="175">
          <cell r="A175">
            <v>2500</v>
          </cell>
          <cell r="B175" t="str">
            <v>ja</v>
          </cell>
          <cell r="C175" t="str">
            <v>青パネルドロップ</v>
          </cell>
          <cell r="D175" t="str">
            <v>自身が先頭の時、緑パネルを確率で青パネルに変換しドロップ</v>
          </cell>
        </row>
        <row r="176">
          <cell r="A176">
            <v>2501</v>
          </cell>
          <cell r="B176" t="str">
            <v>ja</v>
          </cell>
          <cell r="C176" t="str">
            <v>黄パネルドロップ</v>
          </cell>
          <cell r="D176" t="str">
            <v>自身が先頭の時、青パネルを確率で黄パネルに変換しドロップ</v>
          </cell>
        </row>
        <row r="177">
          <cell r="A177">
            <v>2502</v>
          </cell>
          <cell r="B177" t="str">
            <v>ja</v>
          </cell>
          <cell r="C177" t="str">
            <v>赤パネルドロップ</v>
          </cell>
          <cell r="D177" t="str">
            <v>自身が先頭の時、黄パネルを確率で赤パネルに変換しドロップ</v>
          </cell>
        </row>
        <row r="178">
          <cell r="A178">
            <v>2503</v>
          </cell>
          <cell r="B178" t="str">
            <v>ja</v>
          </cell>
          <cell r="C178" t="str">
            <v>黄パネルドロップ</v>
          </cell>
          <cell r="D178" t="str">
            <v>自身が先頭の時、赤パネルを確率で黄パネルに変換しドロップ</v>
          </cell>
        </row>
        <row r="179">
          <cell r="A179">
            <v>2504</v>
          </cell>
          <cell r="B179" t="str">
            <v>ja</v>
          </cell>
          <cell r="C179" t="str">
            <v>SCパネルドロップ</v>
          </cell>
          <cell r="D179" t="str">
            <v>自身が先頭の時、緑パネルを確率でSCパネルに変換しドロップ</v>
          </cell>
        </row>
        <row r="180">
          <cell r="A180">
            <v>2505</v>
          </cell>
          <cell r="B180" t="str">
            <v>ja</v>
          </cell>
          <cell r="C180" t="str">
            <v>緑ボムパネル(大)ドロップ</v>
          </cell>
          <cell r="D180" t="str">
            <v>自身が先頭の時、低確率で緑ボムパネル(大)をドロップ</v>
          </cell>
        </row>
        <row r="181">
          <cell r="A181">
            <v>2506</v>
          </cell>
          <cell r="B181" t="str">
            <v>ja</v>
          </cell>
          <cell r="C181" t="str">
            <v>ハートボムパネル(大)ドロップ</v>
          </cell>
          <cell r="D181" t="str">
            <v>自身が先頭の時、低確率でハートボムパネル(大)をドロップ</v>
          </cell>
        </row>
        <row r="182">
          <cell r="A182">
            <v>2507</v>
          </cell>
          <cell r="B182" t="str">
            <v>ja</v>
          </cell>
          <cell r="C182" t="str">
            <v>Cパネルドロップ</v>
          </cell>
          <cell r="D182" t="str">
            <v>自身が先頭の時、低確率でCパネルをドロップ</v>
          </cell>
        </row>
        <row r="183">
          <cell r="A183">
            <v>2600</v>
          </cell>
          <cell r="B183" t="str">
            <v>ja</v>
          </cell>
          <cell r="C183" t="str">
            <v>回復力400UP</v>
          </cell>
          <cell r="D183" t="str">
            <v>自身の回復力を400UP</v>
          </cell>
        </row>
        <row r="184">
          <cell r="A184">
            <v>2601</v>
          </cell>
          <cell r="B184" t="str">
            <v>ja</v>
          </cell>
          <cell r="C184" t="str">
            <v>回復力300UP</v>
          </cell>
          <cell r="D184" t="str">
            <v>自身の回復力を300UP</v>
          </cell>
        </row>
        <row r="185">
          <cell r="A185">
            <v>2700</v>
          </cell>
          <cell r="B185" t="str">
            <v>ja</v>
          </cell>
          <cell r="C185" t="str">
            <v>攻撃力UP</v>
          </cell>
          <cell r="D185" t="str">
            <v>自身の攻撃力を300UP</v>
          </cell>
        </row>
        <row r="186">
          <cell r="A186">
            <v>2701</v>
          </cell>
          <cell r="B186" t="str">
            <v>ja</v>
          </cell>
          <cell r="C186" t="str">
            <v>攻撃力UP</v>
          </cell>
          <cell r="D186" t="str">
            <v>自身の攻撃力を500UP</v>
          </cell>
        </row>
        <row r="187">
          <cell r="A187">
            <v>2800</v>
          </cell>
          <cell r="B187" t="str">
            <v>ja</v>
          </cell>
          <cell r="C187" t="str">
            <v>防御力UP</v>
          </cell>
          <cell r="D187" t="str">
            <v>自身の防御力を250UP</v>
          </cell>
        </row>
        <row r="188">
          <cell r="A188">
            <v>2801</v>
          </cell>
          <cell r="B188" t="str">
            <v>ja</v>
          </cell>
          <cell r="C188" t="str">
            <v>防御力UP</v>
          </cell>
          <cell r="D188" t="str">
            <v>自身の防御力を350UP</v>
          </cell>
        </row>
        <row r="189">
          <cell r="A189">
            <v>2802</v>
          </cell>
          <cell r="B189" t="str">
            <v>ja</v>
          </cell>
          <cell r="C189" t="str">
            <v>防御力UP</v>
          </cell>
          <cell r="D189" t="str">
            <v>自身の防御力を300UP</v>
          </cell>
        </row>
        <row r="190">
          <cell r="A190">
            <v>2803</v>
          </cell>
          <cell r="B190" t="str">
            <v>ja</v>
          </cell>
          <cell r="C190" t="str">
            <v>防御力UP</v>
          </cell>
          <cell r="D190" t="str">
            <v>自身の防御力を400UP</v>
          </cell>
        </row>
        <row r="191">
          <cell r="A191">
            <v>2900</v>
          </cell>
          <cell r="B191" t="str">
            <v>ja</v>
          </cell>
          <cell r="C191" t="str">
            <v>フィーバー50 攻撃力小UP</v>
          </cell>
          <cell r="D191" t="str">
            <v>フィーバーゲージが50％以上の時、自身の攻撃力小UP</v>
          </cell>
        </row>
        <row r="192">
          <cell r="A192">
            <v>2901</v>
          </cell>
          <cell r="B192" t="str">
            <v>ja</v>
          </cell>
          <cell r="C192" t="str">
            <v>フィーバー40 攻撃力UP</v>
          </cell>
          <cell r="D192" t="str">
            <v>フィーバーゲージが40％以上の時、自身の攻撃力UP</v>
          </cell>
        </row>
        <row r="193">
          <cell r="A193">
            <v>3000</v>
          </cell>
          <cell r="B193" t="str">
            <v>ja</v>
          </cell>
          <cell r="C193" t="str">
            <v>攻撃参加</v>
          </cell>
          <cell r="D193" t="str">
            <v>最初の1ターン目と、その後7ターン毎に自身が先頭以外でも通常攻撃に参加する</v>
          </cell>
        </row>
        <row r="194">
          <cell r="A194">
            <v>9000</v>
          </cell>
          <cell r="B194" t="str">
            <v>ja</v>
          </cell>
          <cell r="C194" t="str">
            <v>ハップルチャレンジ ダメージUP</v>
          </cell>
          <cell r="D194" t="str">
            <v>ハップルチャレンジ内で自身の全ての攻撃の威力をUP</v>
          </cell>
        </row>
        <row r="195">
          <cell r="A195">
            <v>119402</v>
          </cell>
          <cell r="B195" t="str">
            <v>ja</v>
          </cell>
          <cell r="C195" t="str">
            <v>ハロウィンナイトパニック！ 威力UP</v>
          </cell>
          <cell r="D195" t="str">
            <v>ハロウィンナイトパニック！内で自身の全ての攻撃の威力を究極UP</v>
          </cell>
        </row>
        <row r="196">
          <cell r="A196">
            <v>808082</v>
          </cell>
          <cell r="B196" t="str">
            <v>ja</v>
          </cell>
          <cell r="C196" t="str">
            <v>Cパネルドロップ</v>
          </cell>
          <cell r="D196" t="str">
            <v>自身が先頭の時、低確率でCパネルをドロップ</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コスト"/>
      <sheetName val="レベル"/>
      <sheetName val="経験値"/>
      <sheetName val="RC6SV"/>
      <sheetName val="ビット"/>
      <sheetName val="ghosts_label"/>
      <sheetName val="チェックシート"/>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A1" t="str">
            <v>ability_id</v>
          </cell>
          <cell r="B1" t="str">
            <v>language</v>
          </cell>
          <cell r="C1" t="str">
            <v>name</v>
          </cell>
          <cell r="D1" t="str">
            <v>comment</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1"/>
  <sheetViews>
    <sheetView workbookViewId="0">
      <selection activeCell="D14" sqref="D14"/>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7" t="s">
        <v>125</v>
      </c>
      <c r="B1" s="107" t="s">
        <v>116</v>
      </c>
      <c r="C1" s="107" t="s">
        <v>117</v>
      </c>
      <c r="D1" s="107" t="s">
        <v>118</v>
      </c>
      <c r="E1" s="107" t="s">
        <v>119</v>
      </c>
      <c r="F1" s="107" t="s">
        <v>120</v>
      </c>
      <c r="G1" s="107" t="s">
        <v>121</v>
      </c>
      <c r="H1" s="107"/>
      <c r="I1" s="107"/>
      <c r="J1" s="107"/>
      <c r="K1" s="107"/>
      <c r="L1" s="108"/>
      <c r="M1" s="108"/>
      <c r="N1" s="108"/>
      <c r="O1" s="108"/>
      <c r="P1" s="108"/>
      <c r="Q1" s="108"/>
      <c r="R1" s="108"/>
      <c r="S1" s="108"/>
      <c r="T1" s="108"/>
      <c r="U1" s="108"/>
      <c r="V1" s="108"/>
      <c r="W1" s="108"/>
    </row>
    <row r="2" spans="1:29" x14ac:dyDescent="0.15">
      <c r="A2" s="109" t="s">
        <v>252</v>
      </c>
      <c r="B2" s="109" t="s">
        <v>129</v>
      </c>
      <c r="C2" s="168" t="s">
        <v>251</v>
      </c>
      <c r="D2" s="109" t="s">
        <v>128</v>
      </c>
      <c r="E2" s="108" t="str">
        <f>B2&amp;C2&amp;D2</f>
        <v>units_satan01.tmp</v>
      </c>
      <c r="F2" s="109" t="s">
        <v>124</v>
      </c>
      <c r="G2" s="63" t="s">
        <v>17</v>
      </c>
      <c r="H2" s="64" t="s">
        <v>96</v>
      </c>
      <c r="I2" s="64" t="s">
        <v>1</v>
      </c>
      <c r="J2" s="64" t="s">
        <v>3</v>
      </c>
      <c r="K2" s="64" t="s">
        <v>2</v>
      </c>
      <c r="L2" s="64" t="s">
        <v>98</v>
      </c>
      <c r="M2" s="64" t="s">
        <v>20</v>
      </c>
      <c r="N2" s="64" t="s">
        <v>103</v>
      </c>
      <c r="O2" s="64" t="s">
        <v>101</v>
      </c>
      <c r="P2" s="64" t="s">
        <v>39</v>
      </c>
      <c r="Q2" s="64" t="s">
        <v>57</v>
      </c>
      <c r="R2" s="109" t="s">
        <v>401</v>
      </c>
      <c r="S2" s="109"/>
      <c r="T2" s="109"/>
      <c r="U2" s="109"/>
      <c r="V2" s="109"/>
      <c r="W2" s="109"/>
    </row>
    <row r="3" spans="1:29" x14ac:dyDescent="0.15">
      <c r="A3" s="109" t="s">
        <v>252</v>
      </c>
      <c r="B3" s="109" t="s">
        <v>130</v>
      </c>
      <c r="C3" s="168" t="str">
        <f>C2</f>
        <v>satan01</v>
      </c>
      <c r="D3" s="109" t="s">
        <v>128</v>
      </c>
      <c r="E3" s="108" t="str">
        <f>B3&amp;C3&amp;D3</f>
        <v>awake_materials_satan01.tmp</v>
      </c>
      <c r="F3" s="109" t="s">
        <v>123</v>
      </c>
      <c r="G3" s="110" t="s">
        <v>38</v>
      </c>
      <c r="H3" s="111" t="s">
        <v>36</v>
      </c>
      <c r="I3" s="111" t="s">
        <v>37</v>
      </c>
      <c r="J3" s="113" t="s">
        <v>126</v>
      </c>
      <c r="K3" s="112"/>
      <c r="L3" s="112"/>
      <c r="M3" s="112"/>
      <c r="N3" s="112"/>
      <c r="O3" s="112"/>
      <c r="P3" s="112"/>
      <c r="Q3" s="112"/>
      <c r="R3" s="112"/>
      <c r="S3" s="112"/>
      <c r="T3" s="112"/>
      <c r="U3" s="112"/>
      <c r="V3" s="112"/>
      <c r="W3" s="112"/>
    </row>
    <row r="4" spans="1:29" x14ac:dyDescent="0.15">
      <c r="A4" s="109" t="s">
        <v>252</v>
      </c>
      <c r="B4" s="109" t="s">
        <v>131</v>
      </c>
      <c r="C4" s="168" t="str">
        <f t="shared" ref="C4:C11" si="0">C3</f>
        <v>satan01</v>
      </c>
      <c r="D4" s="109" t="s">
        <v>132</v>
      </c>
      <c r="E4" s="108" t="str">
        <f t="shared" ref="E4" si="1">B4&amp;C4&amp;D4</f>
        <v>unit_levels_calc_satan01.tmp</v>
      </c>
      <c r="F4" s="109" t="s">
        <v>122</v>
      </c>
      <c r="G4" s="59" t="s">
        <v>17</v>
      </c>
      <c r="H4" s="60" t="s">
        <v>2</v>
      </c>
      <c r="I4" s="61" t="s">
        <v>79</v>
      </c>
      <c r="J4" s="61" t="s">
        <v>80</v>
      </c>
      <c r="K4" s="61" t="s">
        <v>81</v>
      </c>
      <c r="L4" s="61" t="s">
        <v>82</v>
      </c>
      <c r="M4" s="61" t="s">
        <v>87</v>
      </c>
      <c r="N4" s="61" t="s">
        <v>88</v>
      </c>
      <c r="O4" s="61" t="s">
        <v>89</v>
      </c>
      <c r="P4" s="61" t="s">
        <v>90</v>
      </c>
      <c r="Q4" s="61" t="s">
        <v>91</v>
      </c>
      <c r="R4" s="61" t="s">
        <v>94</v>
      </c>
      <c r="S4" s="61" t="s">
        <v>92</v>
      </c>
      <c r="T4" s="61" t="s">
        <v>93</v>
      </c>
      <c r="U4" s="61" t="s">
        <v>83</v>
      </c>
      <c r="V4" s="61" t="s">
        <v>84</v>
      </c>
      <c r="W4" s="61" t="s">
        <v>85</v>
      </c>
    </row>
    <row r="5" spans="1:29" x14ac:dyDescent="0.15">
      <c r="A5" s="109" t="s">
        <v>252</v>
      </c>
      <c r="B5" s="109" t="s">
        <v>143</v>
      </c>
      <c r="C5" s="168" t="str">
        <f t="shared" si="0"/>
        <v>satan01</v>
      </c>
      <c r="D5" s="109" t="s">
        <v>144</v>
      </c>
      <c r="E5" s="108" t="str">
        <f>B5&amp;C5&amp;D5</f>
        <v>unit_skills_data_satan01.tmp</v>
      </c>
      <c r="F5" s="109" t="s">
        <v>145</v>
      </c>
      <c r="G5" s="118" t="s">
        <v>20</v>
      </c>
      <c r="H5" s="118" t="s">
        <v>146</v>
      </c>
      <c r="I5" s="118" t="s">
        <v>2</v>
      </c>
      <c r="J5" s="118" t="s">
        <v>147</v>
      </c>
      <c r="K5" s="118" t="s">
        <v>148</v>
      </c>
      <c r="L5" s="118" t="s">
        <v>4</v>
      </c>
      <c r="M5" s="61"/>
      <c r="N5" s="61"/>
      <c r="O5" s="61"/>
      <c r="P5" s="61"/>
      <c r="Q5" s="61"/>
      <c r="R5" s="61"/>
      <c r="S5" s="61"/>
      <c r="T5" s="61"/>
      <c r="U5" s="61"/>
      <c r="V5" s="61"/>
      <c r="W5" s="61"/>
    </row>
    <row r="6" spans="1:29" x14ac:dyDescent="0.15">
      <c r="A6" s="109" t="s">
        <v>252</v>
      </c>
      <c r="B6" s="109" t="s">
        <v>149</v>
      </c>
      <c r="C6" s="168" t="str">
        <f t="shared" si="0"/>
        <v>satan01</v>
      </c>
      <c r="D6" s="109" t="s">
        <v>128</v>
      </c>
      <c r="E6" s="108" t="str">
        <f>B6&amp;C6&amp;D6</f>
        <v>unit_skills_i18n_satan01.tmp</v>
      </c>
      <c r="F6" s="109" t="s">
        <v>145</v>
      </c>
      <c r="G6" s="118" t="s">
        <v>150</v>
      </c>
      <c r="H6" s="118" t="s">
        <v>134</v>
      </c>
      <c r="I6" s="118" t="s">
        <v>151</v>
      </c>
      <c r="J6" s="118" t="s">
        <v>152</v>
      </c>
      <c r="K6" s="112"/>
      <c r="L6" s="112"/>
      <c r="M6" s="61"/>
      <c r="N6" s="61"/>
      <c r="O6" s="61"/>
      <c r="P6" s="61"/>
      <c r="Q6" s="61"/>
      <c r="R6" s="61"/>
      <c r="S6" s="61"/>
      <c r="T6" s="61"/>
      <c r="U6" s="61"/>
      <c r="V6" s="61"/>
      <c r="W6" s="61"/>
    </row>
    <row r="7" spans="1:29" x14ac:dyDescent="0.15">
      <c r="A7" s="109" t="s">
        <v>252</v>
      </c>
      <c r="B7" s="109" t="s">
        <v>153</v>
      </c>
      <c r="C7" s="168" t="str">
        <f t="shared" si="0"/>
        <v>satan01</v>
      </c>
      <c r="D7" s="109" t="s">
        <v>154</v>
      </c>
      <c r="E7" s="108" t="str">
        <f>B7&amp;C7&amp;D7</f>
        <v>crash_skills_data_satan01.tmp</v>
      </c>
      <c r="F7" s="109" t="s">
        <v>155</v>
      </c>
      <c r="G7" s="118" t="s">
        <v>156</v>
      </c>
      <c r="H7" s="118" t="s">
        <v>148</v>
      </c>
      <c r="I7" s="118" t="s">
        <v>4</v>
      </c>
      <c r="J7" s="112"/>
      <c r="K7" s="112"/>
      <c r="L7" s="112"/>
      <c r="M7" s="61"/>
      <c r="N7" s="61"/>
      <c r="O7" s="61"/>
      <c r="P7" s="61"/>
      <c r="Q7" s="61"/>
      <c r="R7" s="61"/>
      <c r="S7" s="61"/>
      <c r="T7" s="61"/>
      <c r="U7" s="61"/>
      <c r="V7" s="61"/>
      <c r="W7" s="61"/>
    </row>
    <row r="8" spans="1:29" x14ac:dyDescent="0.15">
      <c r="A8" s="109" t="s">
        <v>252</v>
      </c>
      <c r="B8" s="109" t="s">
        <v>157</v>
      </c>
      <c r="C8" s="168" t="str">
        <f t="shared" si="0"/>
        <v>satan01</v>
      </c>
      <c r="D8" s="109" t="s">
        <v>158</v>
      </c>
      <c r="E8" s="108" t="str">
        <f t="shared" ref="E8" si="2">B8&amp;C8&amp;D8</f>
        <v>crash_skills_i18n_satan01.tmp</v>
      </c>
      <c r="F8" s="109" t="s">
        <v>155</v>
      </c>
      <c r="G8" s="118" t="s">
        <v>159</v>
      </c>
      <c r="H8" s="118" t="s">
        <v>160</v>
      </c>
      <c r="I8" s="118" t="s">
        <v>161</v>
      </c>
      <c r="J8" s="118" t="s">
        <v>162</v>
      </c>
      <c r="K8" s="119"/>
      <c r="L8" s="119"/>
      <c r="M8" s="61"/>
      <c r="N8" s="61"/>
      <c r="O8" s="61"/>
      <c r="P8" s="61"/>
      <c r="Q8" s="61"/>
      <c r="R8" s="61"/>
      <c r="S8" s="61"/>
      <c r="T8" s="61"/>
      <c r="U8" s="61"/>
      <c r="V8" s="61"/>
      <c r="W8" s="61"/>
    </row>
    <row r="9" spans="1:29" x14ac:dyDescent="0.15">
      <c r="A9" s="109" t="s">
        <v>252</v>
      </c>
      <c r="B9" s="112" t="s">
        <v>135</v>
      </c>
      <c r="C9" s="168" t="str">
        <f t="shared" si="0"/>
        <v>satan01</v>
      </c>
      <c r="D9" s="109" t="s">
        <v>158</v>
      </c>
      <c r="E9" s="108" t="str">
        <f t="shared" ref="E9:E10" si="3">B9&amp;C9&amp;D9</f>
        <v>unit_serifs_data_satan01.tmp</v>
      </c>
      <c r="F9" s="112" t="s">
        <v>137</v>
      </c>
      <c r="G9" s="117" t="s">
        <v>138</v>
      </c>
      <c r="H9" s="118" t="s">
        <v>139</v>
      </c>
      <c r="I9" s="118" t="s">
        <v>133</v>
      </c>
      <c r="J9" s="116" t="s">
        <v>190</v>
      </c>
      <c r="K9" s="109"/>
      <c r="L9" s="109"/>
      <c r="M9" s="109"/>
      <c r="N9" s="109"/>
      <c r="O9" s="109"/>
      <c r="P9" s="109"/>
      <c r="Q9" s="109"/>
      <c r="R9" s="109"/>
      <c r="S9" s="109"/>
      <c r="T9" s="109"/>
      <c r="U9" s="109"/>
      <c r="V9" s="109"/>
      <c r="W9" s="109"/>
    </row>
    <row r="10" spans="1:29" x14ac:dyDescent="0.15">
      <c r="A10" s="109" t="s">
        <v>252</v>
      </c>
      <c r="B10" s="112" t="s">
        <v>136</v>
      </c>
      <c r="C10" s="168" t="str">
        <f t="shared" si="0"/>
        <v>satan01</v>
      </c>
      <c r="D10" s="109" t="s">
        <v>158</v>
      </c>
      <c r="E10" s="108" t="str">
        <f t="shared" si="3"/>
        <v>unit_serifs_i18n_satan01.tmp</v>
      </c>
      <c r="F10" s="112" t="s">
        <v>137</v>
      </c>
      <c r="G10" s="117" t="s">
        <v>140</v>
      </c>
      <c r="H10" s="118" t="s">
        <v>141</v>
      </c>
      <c r="I10" s="118" t="s">
        <v>142</v>
      </c>
      <c r="J10" s="109"/>
      <c r="K10" s="109"/>
      <c r="L10" s="109"/>
      <c r="M10" s="109"/>
      <c r="N10" s="109"/>
      <c r="O10" s="109"/>
      <c r="P10" s="109"/>
      <c r="Q10" s="109"/>
      <c r="R10" s="109"/>
      <c r="S10" s="109"/>
      <c r="T10" s="109"/>
      <c r="U10" s="109"/>
      <c r="V10" s="109"/>
      <c r="W10" s="109"/>
    </row>
    <row r="11" spans="1:29" x14ac:dyDescent="0.15">
      <c r="A11" s="109" t="s">
        <v>424</v>
      </c>
      <c r="B11" s="109" t="s">
        <v>425</v>
      </c>
      <c r="C11" s="168" t="str">
        <f t="shared" si="0"/>
        <v>satan01</v>
      </c>
      <c r="D11" s="109" t="s">
        <v>426</v>
      </c>
      <c r="E11" s="108" t="str">
        <f>B11&amp;C11&amp;D11</f>
        <v>unit_abilities_satan01.tmp</v>
      </c>
      <c r="F11" s="109" t="s">
        <v>427</v>
      </c>
      <c r="G11" s="178" t="s">
        <v>428</v>
      </c>
      <c r="H11" s="179" t="s">
        <v>429</v>
      </c>
      <c r="I11" s="179" t="s">
        <v>430</v>
      </c>
      <c r="J11" s="180" t="s">
        <v>431</v>
      </c>
      <c r="K11" s="178" t="s">
        <v>432</v>
      </c>
      <c r="L11" s="109"/>
      <c r="M11" s="109"/>
      <c r="N11" s="109"/>
      <c r="O11" s="109"/>
      <c r="P11" s="109"/>
      <c r="Q11" s="109"/>
      <c r="R11" s="109"/>
      <c r="S11" s="109"/>
      <c r="T11" s="109"/>
      <c r="U11" s="109"/>
      <c r="V11" s="109"/>
      <c r="W11" s="109"/>
      <c r="X11" s="109"/>
      <c r="Y11" s="109"/>
      <c r="Z11" s="109"/>
      <c r="AA11" s="109"/>
      <c r="AB11" s="109"/>
      <c r="AC11" s="109"/>
    </row>
  </sheetData>
  <phoneticPr fontId="22"/>
  <dataValidations count="1">
    <dataValidation type="list" allowBlank="1" showInputMessage="1" showErrorMessage="1" sqref="A2:A11">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workbookViewId="0">
      <pane xSplit="9" ySplit="1" topLeftCell="AX2" activePane="bottomRight" state="frozen"/>
      <selection pane="topRight" activeCell="J1" sqref="J1"/>
      <selection pane="bottomLeft" activeCell="A3" sqref="A3"/>
      <selection pane="bottomRight" activeCell="A7" sqref="A7:XFD7"/>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lapsed="1"/>
    <col min="19" max="19" width="12.33203125" style="13" hidden="1" customWidth="1" outlineLevel="1"/>
    <col min="20" max="22" width="13.6640625" style="13" hidden="1"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6" bestFit="1" customWidth="1"/>
    <col min="42" max="42" width="14.33203125" style="15" bestFit="1" customWidth="1"/>
    <col min="43" max="43" width="20.83203125" style="13" customWidth="1" collapsed="1"/>
    <col min="44" max="44" width="80.6640625" style="13" hidden="1" customWidth="1" outlineLevel="1"/>
    <col min="45" max="45" width="6.83203125" style="13" customWidth="1"/>
    <col min="46" max="46" width="15.6640625" style="12" bestFit="1" customWidth="1"/>
    <col min="47" max="47" width="43.6640625" style="13" customWidth="1" collapsed="1"/>
    <col min="48" max="48" width="43.6640625" style="13" hidden="1" customWidth="1" outlineLevel="1"/>
    <col min="49" max="49" width="6.83203125" style="13" customWidth="1"/>
    <col min="50" max="50" width="11.33203125" style="13" bestFit="1" customWidth="1"/>
    <col min="51" max="54" width="8.33203125" style="12" customWidth="1"/>
    <col min="55" max="55" width="12" style="13" bestFit="1" customWidth="1"/>
    <col min="56" max="56" width="12" style="13" bestFit="1" customWidth="1" collapsed="1"/>
    <col min="57" max="57" width="14.33203125" style="13" hidden="1" customWidth="1" outlineLevel="1"/>
    <col min="58" max="58" width="16.1640625" style="13" hidden="1"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1" t="s">
        <v>108</v>
      </c>
      <c r="B1" s="83" t="s">
        <v>44</v>
      </c>
      <c r="C1" s="86" t="s">
        <v>27</v>
      </c>
      <c r="D1" s="86" t="s">
        <v>30</v>
      </c>
      <c r="E1" s="86" t="s">
        <v>28</v>
      </c>
      <c r="F1" s="86" t="s">
        <v>29</v>
      </c>
      <c r="G1" s="81" t="s">
        <v>1</v>
      </c>
      <c r="H1" s="84" t="s">
        <v>19</v>
      </c>
      <c r="I1" s="85" t="s">
        <v>0</v>
      </c>
      <c r="J1" s="87" t="s">
        <v>49</v>
      </c>
      <c r="K1" s="87" t="s">
        <v>48</v>
      </c>
      <c r="L1" s="87" t="s">
        <v>50</v>
      </c>
      <c r="M1" s="87" t="s">
        <v>51</v>
      </c>
      <c r="N1" s="81" t="s">
        <v>3</v>
      </c>
      <c r="O1" s="88" t="s">
        <v>2</v>
      </c>
      <c r="P1" s="81" t="s">
        <v>97</v>
      </c>
      <c r="Q1" s="89" t="s">
        <v>18</v>
      </c>
      <c r="R1" s="80" t="s">
        <v>52</v>
      </c>
      <c r="S1" s="90" t="s">
        <v>23</v>
      </c>
      <c r="T1" s="90" t="s">
        <v>24</v>
      </c>
      <c r="U1" s="90" t="s">
        <v>26</v>
      </c>
      <c r="V1" s="90" t="s">
        <v>25</v>
      </c>
      <c r="W1" s="85" t="s">
        <v>32</v>
      </c>
      <c r="X1" s="86" t="s">
        <v>53</v>
      </c>
      <c r="Y1" s="85" t="s">
        <v>33</v>
      </c>
      <c r="Z1" s="86" t="s">
        <v>53</v>
      </c>
      <c r="AA1" s="87" t="s">
        <v>23</v>
      </c>
      <c r="AB1" s="87" t="s">
        <v>24</v>
      </c>
      <c r="AC1" s="87" t="s">
        <v>26</v>
      </c>
      <c r="AD1" s="87" t="s">
        <v>25</v>
      </c>
      <c r="AE1" s="91" t="s">
        <v>100</v>
      </c>
      <c r="AF1" s="80" t="s">
        <v>45</v>
      </c>
      <c r="AG1" s="92" t="s">
        <v>58</v>
      </c>
      <c r="AH1" s="80" t="s">
        <v>45</v>
      </c>
      <c r="AI1" s="92" t="s">
        <v>46</v>
      </c>
      <c r="AJ1" s="82" t="s">
        <v>67</v>
      </c>
      <c r="AK1" s="80" t="s">
        <v>21</v>
      </c>
      <c r="AL1" s="93" t="s">
        <v>68</v>
      </c>
      <c r="AM1" s="94" t="s">
        <v>66</v>
      </c>
      <c r="AN1" s="94" t="s">
        <v>69</v>
      </c>
      <c r="AO1" s="95" t="s">
        <v>31</v>
      </c>
      <c r="AP1" s="91" t="s">
        <v>20</v>
      </c>
      <c r="AQ1" s="96" t="s">
        <v>113</v>
      </c>
      <c r="AR1" s="96" t="s">
        <v>107</v>
      </c>
      <c r="AS1" s="80" t="s">
        <v>104</v>
      </c>
      <c r="AT1" s="91" t="s">
        <v>102</v>
      </c>
      <c r="AU1" s="80" t="s">
        <v>110</v>
      </c>
      <c r="AV1" s="96" t="s">
        <v>107</v>
      </c>
      <c r="AW1" s="80" t="s">
        <v>104</v>
      </c>
      <c r="AX1" s="86" t="s">
        <v>4</v>
      </c>
      <c r="AY1" s="97" t="s">
        <v>54</v>
      </c>
      <c r="AZ1" s="97" t="s">
        <v>55</v>
      </c>
      <c r="BA1" s="97" t="s">
        <v>114</v>
      </c>
      <c r="BB1" s="97" t="s">
        <v>56</v>
      </c>
      <c r="BC1" s="5" t="s">
        <v>22</v>
      </c>
      <c r="BD1" s="100" t="s">
        <v>34</v>
      </c>
      <c r="BE1" s="98" t="s">
        <v>5</v>
      </c>
      <c r="BF1" s="99" t="s">
        <v>6</v>
      </c>
      <c r="BG1" s="101" t="s">
        <v>70</v>
      </c>
      <c r="BH1" s="101" t="s">
        <v>71</v>
      </c>
      <c r="BI1" s="101" t="s">
        <v>72</v>
      </c>
      <c r="BJ1" s="101" t="s">
        <v>73</v>
      </c>
      <c r="BK1" s="102" t="s">
        <v>74</v>
      </c>
      <c r="BL1" s="102" t="s">
        <v>95</v>
      </c>
      <c r="BM1" s="102" t="s">
        <v>75</v>
      </c>
      <c r="BN1" s="102" t="s">
        <v>76</v>
      </c>
      <c r="BO1" s="103" t="s">
        <v>77</v>
      </c>
      <c r="BP1" s="104" t="s">
        <v>78</v>
      </c>
      <c r="BQ1" s="82" t="s">
        <v>86</v>
      </c>
      <c r="BR1" s="10" t="s">
        <v>400</v>
      </c>
    </row>
    <row r="2" spans="1:70" ht="26" customHeight="1" x14ac:dyDescent="0.15">
      <c r="A2" s="12">
        <v>840</v>
      </c>
      <c r="B2" s="57" t="str">
        <f ca="1">VLOOKUP($A2,OFFSET([1]characters!$A$1,0,0,COUNTA([1]characters!$A:$A),MATCH(B$1,[1]characters!$1:$1,0)-MATCH($A$1,[1]characters!$1:$1,0)+1),MATCH(B$1,[1]characters!$1:$1,0)-MATCH($A$1,[1]characters!$1:$1,0)+1,FALSE)</f>
        <v>フェニックス</v>
      </c>
      <c r="C2" s="57" t="str">
        <f ca="1">VLOOKUP($A2,OFFSET([1]characters!$A$1,0,0,COUNTA([1]characters!$A:$A),MATCH(C$1,[1]characters!$1:$1,0)-MATCH($A$1,[1]characters!$1:$1,0)+1),MATCH(C$1,[1]characters!$1:$1,0)-MATCH($A$1,[1]characters!$1:$1,0)+1,FALSE)</f>
        <v>各属性相性良3・黄・R458</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男性</v>
      </c>
      <c r="G2" s="57">
        <f ca="1">VLOOKUP($A2,OFFSET([1]characters!$A$1,0,0,COUNTA([1]characters!$A:$A),MATCH(G$1,[1]characters!$1:$1,0)-MATCH($A$1,[1]characters!$1:$1,0)+1),MATCH(G$1,[1]characters!$1:$1,0)-MATCH($A$1,[1]characters!$1:$1,0)+1,FALSE)</f>
        <v>4</v>
      </c>
      <c r="H2" s="57" t="str">
        <f ca="1">VLOOKUP($A2,OFFSET([1]characters!$A$1,0,0,COUNTA([1]characters!$A:$A),MATCH(H$1,[1]characters!$1:$1,0)-MATCH($A$1,[1]characters!$1:$1,0)+1),MATCH(H$1,[1]characters!$1:$1,0)-MATCH($A$1,[1]characters!$1:$1,0)+1,FALSE)</f>
        <v>Drop2N</v>
      </c>
      <c r="I2" s="57"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INDEX(コスト!$A$1:$I$20,MATCH(H2,コスト!$A$1:$A$20,FALSE),MATCH(G2,コスト!$A$1:$I$1,FALSE))</f>
        <v>17</v>
      </c>
      <c r="O2" s="11">
        <f ca="1">INDEX(レベル!$A$1:$I$21,MATCH(H2,レベル!$A$1:$A$21,FALSE),MATCH(G2,レベル!$A$1:$I$1,FALSE))</f>
        <v>60</v>
      </c>
      <c r="P2" s="48">
        <f ca="1">IF(G2 &gt;= 6, 99,G2*15)</f>
        <v>60</v>
      </c>
      <c r="Q2" s="57" t="str">
        <f ca="1">VLOOKUP($A2,OFFSET([1]characters!$A$1,0,0,COUNTA([1]characters!$A:$A),MATCH(Q$1,[1]characters!$1:$1,0)-MATCH($A$1,[1]characters!$1:$1,0)+1),MATCH(Q$1,[1]characters!$1:$1,0)-MATCH($A$1,[1]characters!$1:$1,0)+1,FALSE)</f>
        <v>hp</v>
      </c>
      <c r="R2" s="5" t="str">
        <f ca="1">VLOOKUP(Q2,[1]character_type_i18n!$A:$H,3,FALSE)</f>
        <v>体力タイプ</v>
      </c>
      <c r="S2" s="11">
        <f ca="1">VLOOKUP(Q2,[1]character_type_i18n!$A:$H,4,FALSE)</f>
        <v>1.45</v>
      </c>
      <c r="T2" s="11">
        <f ca="1">VLOOKUP(Q2,[1]character_type_i18n!$A:$H,5,FALSE)</f>
        <v>0.85</v>
      </c>
      <c r="U2" s="11">
        <f ca="1">VLOOKUP(Q2,[1]character_type_i18n!$A:$H,6,FALSE)</f>
        <v>1</v>
      </c>
      <c r="V2" s="11">
        <f ca="1">VLOOKUP(Q2,[1]character_type_i18n!$A:$H,7,FALSE)</f>
        <v>0.7</v>
      </c>
      <c r="W2" s="57" t="str">
        <f ca="1">VLOOKUP($A2,OFFSET([1]characters!$A$1,0,0,COUNTA([1]characters!$A:$A),MATCH(W$1,[1]characters!$1:$1,0)-MATCH($A$1,[1]characters!$1:$1,0)+1),MATCH(W$1,[1]characters!$1:$1,0)-MATCH($A$1,[1]characters!$1:$1,0)+1,FALSE)</f>
        <v>animal</v>
      </c>
      <c r="X2" s="5" t="str">
        <f ca="1">VLOOKUP(W2,[1]character_tribe_i18n!$A:$H,3,FALSE)</f>
        <v>アニマル</v>
      </c>
      <c r="Y2" s="57"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1</v>
      </c>
      <c r="AB2" s="11">
        <f ca="1">VLOOKUP(W2,[1]character_tribe_i18n!$A:$H,5,FALSE)</f>
        <v>1.1000000000000001</v>
      </c>
      <c r="AC2" s="11">
        <f ca="1">VLOOKUP(W2,[1]character_tribe_i18n!$A:$H,6,FALSE)</f>
        <v>1</v>
      </c>
      <c r="AD2" s="11">
        <f ca="1">VLOOKUP(W2,[1]character_tribe_i18n!$A:$H,7,FALSE)</f>
        <v>0.9</v>
      </c>
      <c r="AE2" s="9">
        <f>A3</f>
        <v>841</v>
      </c>
      <c r="AF2" s="62" t="str">
        <f ca="1">IF(AE2="NULL","",VLOOKUP($AE2,OFFSET([1]characters!$A$1,0,0,COUNTA([1]characters!$A:$A),MATCH(AF$1,[1]characters!$1:$1,0)-MATCH($A$1,[1]characters!$1:$1,0)+1),MATCH(AF$1,[1]characters!$1:$1,0)-MATCH($A$1,[1]characters!$1:$1,0)+1,FALSE))</f>
        <v>排斥の不死鳥 フェニックス</v>
      </c>
      <c r="AG2" s="5">
        <f t="shared" ref="AG2:AG17" ca="1" si="0">IF(ISNA(MATCH(A2,AE:AE,0)),A2,INDIRECT(ADDRESS(MATCH(A2,AE:AE,0),COLUMN())))</f>
        <v>840</v>
      </c>
      <c r="AH2" s="62" t="str">
        <f ca="1">VLOOKUP($AG2,OFFSET([1]characters!$A$1,0,0,COUNTA([1]characters!$A:$A),MATCH(AH$1,[1]characters!$1:$1,0)-MATCH($A$1,[1]characters!$1:$1,0)+1),MATCH(AH$1,[1]characters!$1:$1,0)-MATCH($A$1,[1]characters!$1:$1,0)+1,FALSE)</f>
        <v>フェニックス</v>
      </c>
      <c r="AI2" s="11">
        <f ca="1">IF(AE2="NULL","NULL",VLOOKUP(G2,ビット!$A$2:$B$7,2))</f>
        <v>50000</v>
      </c>
      <c r="AJ2" s="6">
        <v>2</v>
      </c>
      <c r="AK2" s="7" t="str">
        <f t="shared" ref="AK2:AK3" si="1">IF(AJ2=1,"早熟",IF(AJ2=2,"普通",IF(AJ2=3,"晩成","")))</f>
        <v>普通</v>
      </c>
      <c r="AL2" s="11" t="str">
        <f ca="1">INDEX(経験値!$A$1:$I$20,MATCH(H2,経験値!$A$1:$A$20,FALSE),MATCH(G2,経験値!$A$1:$I$1,FALSE))</f>
        <v>required_exp_200</v>
      </c>
      <c r="AM2" s="8">
        <f ca="1">VLOOKUP(G2,経験値!$A$27:$B$31,2)</f>
        <v>3400</v>
      </c>
      <c r="AN2" s="17">
        <f ca="1">VLOOKUP(G2,ビット!$G$2:$H$7,2)</f>
        <v>600</v>
      </c>
      <c r="AO2" s="45"/>
      <c r="AP2" s="67">
        <f>A2</f>
        <v>840</v>
      </c>
      <c r="AQ2" s="57" t="str">
        <f ca="1">VLOOKUP($AP2,OFFSET(unit_skills!$A$1,0,0,COUNTA(unit_skills!$A:$A),MATCH(AQ$1,unit_skills!$1:$1,0)-MATCH($AP$1,unit_skills!$1:$1,0)+1),MATCH(AQ$1,unit_skills!$1:$1,0)-MATCH($AP$1,unit_skills!$1:$1,0)+1,FALSE)</f>
        <v>ヒノトリ・ストライク</v>
      </c>
      <c r="AR2" s="57" t="str">
        <f ca="1">VLOOKUP($AP2,OFFSET(unit_skills!$A$1,0,0,COUNTA(unit_skills!$A:$A),MATCH(AR$1,unit_skills!$1:$1,0)-MATCH($AP$1,unit_skills!$1:$1,0)+1),MATCH(AR$1,unit_skills!$1:$1,0)-MATCH($AP$1,unit_skills!$1:$1,0)+1,FALSE)</f>
        <v>赤パネルを吸収してHP中回復+3ターン赤属性の攻撃力特大UP</v>
      </c>
      <c r="AS2" s="57">
        <f ca="1">VLOOKUP($AP2,OFFSET(unit_skills!$A$1,0,0,COUNTA(unit_skills!$A:$A),MATCH(AS$1,unit_skills!$1:$1,0)-MATCH($AP$1,unit_skills!$1:$1,0)+1),MATCH(AS$1,unit_skills!$1:$1,0)-MATCH($AP$1,unit_skills!$1:$1,0)+1,FALSE)</f>
        <v>0</v>
      </c>
      <c r="AT2" s="41">
        <f>A2</f>
        <v>840</v>
      </c>
      <c r="AU2" s="57" t="str">
        <f ca="1">VLOOKUP($AT2,OFFSET(crash_skills!$A$1,0,0,COUNTA(crash_skills!$A:$A),MATCH(AU$1,crash_skills!$1:$1,0)-MATCH($AT$1,crash_skills!$1:$1,0)+1),MATCH(AU$1,crash_skills!$1:$1,0)-MATCH($AT$1,crash_skills!$1:$1,0)+1,FALSE)</f>
        <v>ヒートウェイブ</v>
      </c>
      <c r="AV2" s="57" t="str">
        <f ca="1">VLOOKUP($AT2,OFFSET(crash_skills!$A$1,0,0,COUNTA(crash_skills!$A:$A),MATCH(AV$1,crash_skills!$1:$1,0)-MATCH($AT$1,crash_skills!$1:$1,0)+1),MATCH(AV$1,crash_skills!$1:$1,0)-MATCH($AT$1,crash_skills!$1:$1,0)+1,FALSE)</f>
        <v>1体に中ダメージ_x000D_アニマルに効果大</v>
      </c>
      <c r="AW2" s="57">
        <f ca="1">VLOOKUP($AT2,OFFSET(crash_skills!$A$1,0,0,COUNTA(crash_skills!$A:$A),MATCH(AW$1,crash_skills!$1:$1,0)-MATCH($AT$1,crash_skills!$1:$1,0)+1),MATCH(AW$1,crash_skills!$1:$1,0)-MATCH($AT$1,crash_skills!$1:$1,0)+1,FALSE)</f>
        <v>0</v>
      </c>
      <c r="AX2" s="58">
        <f ca="1">VLOOKUP($A2,OFFSET([1]characters!$A$1,0,0,COUNTA([1]characters!$A:$A),MATCH(AX$1,[1]characters!$1:$1,0)-MATCH($A$1,[1]characters!$1:$1,0)+1),MATCH(AX$1,[1]characters!$1:$1,0)-MATCH($A$1,[1]characters!$1:$1,0)+1,FALSE)</f>
        <v>3</v>
      </c>
      <c r="AY2" s="68">
        <v>1</v>
      </c>
      <c r="AZ2" s="68">
        <v>1</v>
      </c>
      <c r="BA2" s="68">
        <v>0</v>
      </c>
      <c r="BB2" s="68">
        <v>1.1000000000000001</v>
      </c>
      <c r="BC2" s="11">
        <f ca="1">INDEX('RC6SV'!$A$1:$G$20,MATCH(H2,'RC6SV'!$A$1:$A$20,FALSE),MATCH(G2,'RC6SV'!$A$1:$G$1,FALSE))</f>
        <v>5800</v>
      </c>
      <c r="BD2" s="48">
        <f t="shared" ref="BD2:BD3" ca="1" si="2">ROUND(BC2*IF(AJ2=1,0.95,IF(AJ2=2,1,IF(AJ2,1.05,0))),0)</f>
        <v>5800</v>
      </c>
      <c r="BE2" s="11">
        <f t="shared" ref="BE2:BE17" ca="1" si="3">ROUND(IFERROR(INDIRECT(ADDRESS(MATCH($A2,$AE:$AE,0),MATCH($BC$1,$1:$1,0))),0),0)</f>
        <v>0</v>
      </c>
      <c r="BF2" s="11">
        <f t="shared" ref="BF2:BF17" ca="1" si="4">ROUND(IFERROR(INDIRECT(ADDRESS(MATCH($A2,$AE:$AE,0),10)),INDIRECT(ADDRESS(MATCH($A2,$A:$A,0),10))),0)</f>
        <v>1</v>
      </c>
      <c r="BG2" s="16">
        <f ca="1">IF($BE2&lt;=0,ROUND(BK2*0.5,0), ROUND($BE2*S2*AA2*J2*AY2*0.8*[1]ステータス!$B$2,0))</f>
        <v>2103</v>
      </c>
      <c r="BH2" s="16">
        <f ca="1">IF($BE2&lt;=0,ROUND(BL2*0.5,0), ROUND($BE2*T2*AB2*K2*AZ2*0.8*[1]ステータス!$C$2,0))</f>
        <v>830</v>
      </c>
      <c r="BI2" s="16">
        <f ca="1">IF($BE2&lt;=0,ROUND(BM2*0.5,0), ROUND($BE2*U2*AC2*L2*BA2*0.8*[1]ステータス!$D$2,0))</f>
        <v>0</v>
      </c>
      <c r="BJ2" s="16">
        <f ca="1">IF($BE2&lt;=0,ROUND(BN2*0.5,0), ROUND($BE2*V2*AD2*M2*BB2*0.8*[1]ステータス!$E$2,0))</f>
        <v>493</v>
      </c>
      <c r="BK2" s="11">
        <f ca="1">ROUND(BD2*S2*AA2*J2*AY2*[1]ステータス!$B$2,0)</f>
        <v>4205</v>
      </c>
      <c r="BL2" s="11">
        <f ca="1">ROUND(BD2*T2*AB2*K2*AZ2*[1]ステータス!$C$2,0)</f>
        <v>1659</v>
      </c>
      <c r="BM2" s="11">
        <f ca="1">ROUND(BD2*U2*AC2*L2*BA2*[1]ステータス!$D$2,0)</f>
        <v>0</v>
      </c>
      <c r="BN2" s="11">
        <f ca="1">ROUND(BD2*V2*AD2*M2*BB2*[1]ステータス!$E$2,0)</f>
        <v>985</v>
      </c>
      <c r="BO2" s="10">
        <v>0</v>
      </c>
      <c r="BP2" s="10">
        <v>1</v>
      </c>
      <c r="BQ2" s="10" t="s">
        <v>47</v>
      </c>
      <c r="BR2" s="10">
        <f ca="1">VLOOKUP(H2,ghosts_label!$A$2:$B$19,2,FALSE)</f>
        <v>1</v>
      </c>
    </row>
    <row r="3" spans="1:70" ht="26" customHeight="1" x14ac:dyDescent="0.15">
      <c r="A3" s="12">
        <v>841</v>
      </c>
      <c r="B3" s="57" t="str">
        <f ca="1">VLOOKUP($A3,OFFSET([1]characters!$A$1,0,0,COUNTA([1]characters!$A:$A),MATCH(B$1,[1]characters!$1:$1,0)-MATCH($A$1,[1]characters!$1:$1,0)+1),MATCH(B$1,[1]characters!$1:$1,0)-MATCH($A$1,[1]characters!$1:$1,0)+1,FALSE)</f>
        <v>排斥の不死鳥 フェニックス</v>
      </c>
      <c r="C3" s="57" t="str">
        <f ca="1">VLOOKUP($A3,OFFSET([1]characters!$A$1,0,0,COUNTA([1]characters!$A:$A),MATCH(C$1,[1]characters!$1:$1,0)-MATCH($A$1,[1]characters!$1:$1,0)+1),MATCH(C$1,[1]characters!$1:$1,0)-MATCH($A$1,[1]characters!$1:$1,0)+1,FALSE)</f>
        <v>各属性相性良3・黄・R459</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男性</v>
      </c>
      <c r="G3" s="57">
        <f ca="1">VLOOKUP($A3,OFFSET([1]characters!$A$1,0,0,COUNTA([1]characters!$A:$A),MATCH(G$1,[1]characters!$1:$1,0)-MATCH($A$1,[1]characters!$1:$1,0)+1),MATCH(G$1,[1]characters!$1:$1,0)-MATCH($A$1,[1]characters!$1:$1,0)+1,FALSE)</f>
        <v>5</v>
      </c>
      <c r="H3" s="57" t="str">
        <f ca="1">VLOOKUP($A3,OFFSET([1]characters!$A$1,0,0,COUNTA([1]characters!$A:$A),MATCH(H$1,[1]characters!$1:$1,0)-MATCH($A$1,[1]characters!$1:$1,0)+1),MATCH(H$1,[1]characters!$1:$1,0)-MATCH($A$1,[1]characters!$1:$1,0)+1,FALSE)</f>
        <v>Drop2N</v>
      </c>
      <c r="I3" s="57"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INDEX(コスト!$A$1:$I$20,MATCH(H3,コスト!$A$1:$A$20,FALSE),MATCH(G3,コスト!$A$1:$I$1,FALSE))</f>
        <v>26</v>
      </c>
      <c r="O3" s="11">
        <f ca="1">INDEX(レベル!$A$1:$I$21,MATCH(H3,レベル!$A$1:$A$21,FALSE),MATCH(G3,レベル!$A$1:$I$1,FALSE))</f>
        <v>80</v>
      </c>
      <c r="P3" s="48">
        <f t="shared" ref="P3:P4" ca="1" si="5">IF(G3 &gt;= 6, 99,G3*15)</f>
        <v>75</v>
      </c>
      <c r="Q3" s="57" t="str">
        <f ca="1">VLOOKUP($A3,OFFSET([1]characters!$A$1,0,0,COUNTA([1]characters!$A:$A),MATCH(Q$1,[1]characters!$1:$1,0)-MATCH($A$1,[1]characters!$1:$1,0)+1),MATCH(Q$1,[1]characters!$1:$1,0)-MATCH($A$1,[1]characters!$1:$1,0)+1,FALSE)</f>
        <v>hp</v>
      </c>
      <c r="R3" s="5" t="str">
        <f ca="1">VLOOKUP(Q3,[1]character_type_i18n!$A:$H,3,FALSE)</f>
        <v>体力タイプ</v>
      </c>
      <c r="S3" s="11">
        <f ca="1">VLOOKUP(Q3,[1]character_type_i18n!$A:$H,4,FALSE)</f>
        <v>1.45</v>
      </c>
      <c r="T3" s="11">
        <f ca="1">VLOOKUP(Q3,[1]character_type_i18n!$A:$H,5,FALSE)</f>
        <v>0.85</v>
      </c>
      <c r="U3" s="11">
        <f ca="1">VLOOKUP(Q3,[1]character_type_i18n!$A:$H,6,FALSE)</f>
        <v>1</v>
      </c>
      <c r="V3" s="11">
        <f ca="1">VLOOKUP(Q3,[1]character_type_i18n!$A:$H,7,FALSE)</f>
        <v>0.7</v>
      </c>
      <c r="W3" s="57" t="str">
        <f ca="1">VLOOKUP($A3,OFFSET([1]characters!$A$1,0,0,COUNTA([1]characters!$A:$A),MATCH(W$1,[1]characters!$1:$1,0)-MATCH($A$1,[1]characters!$1:$1,0)+1),MATCH(W$1,[1]characters!$1:$1,0)-MATCH($A$1,[1]characters!$1:$1,0)+1,FALSE)</f>
        <v>animal</v>
      </c>
      <c r="X3" s="5" t="str">
        <f ca="1">VLOOKUP(W3,[1]character_tribe_i18n!$A:$H,3,FALSE)</f>
        <v>アニマル</v>
      </c>
      <c r="Y3" s="57"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1</v>
      </c>
      <c r="AB3" s="11">
        <f ca="1">VLOOKUP(W3,[1]character_tribe_i18n!$A:$H,5,FALSE)</f>
        <v>1.1000000000000001</v>
      </c>
      <c r="AC3" s="11">
        <f ca="1">VLOOKUP(W3,[1]character_tribe_i18n!$A:$H,6,FALSE)</f>
        <v>1</v>
      </c>
      <c r="AD3" s="11">
        <f ca="1">VLOOKUP(W3,[1]character_tribe_i18n!$A:$H,7,FALSE)</f>
        <v>0.9</v>
      </c>
      <c r="AE3" s="9" t="s">
        <v>183</v>
      </c>
      <c r="AF3" s="62" t="str">
        <f ca="1">IF(AE3="NULL","",VLOOKUP($AE3,OFFSET([1]characters!$A$1,0,0,COUNTA([1]characters!$A:$A),MATCH(AF$1,[1]characters!$1:$1,0)-MATCH($A$1,[1]characters!$1:$1,0)+1),MATCH(AF$1,[1]characters!$1:$1,0)-MATCH($A$1,[1]characters!$1:$1,0)+1,FALSE))</f>
        <v/>
      </c>
      <c r="AG3" s="5">
        <f t="shared" ca="1" si="0"/>
        <v>840</v>
      </c>
      <c r="AH3" s="62" t="str">
        <f ca="1">VLOOKUP($AG3,OFFSET([1]characters!$A$1,0,0,COUNTA([1]characters!$A:$A),MATCH(AH$1,[1]characters!$1:$1,0)-MATCH($A$1,[1]characters!$1:$1,0)+1),MATCH(AH$1,[1]characters!$1:$1,0)-MATCH($A$1,[1]characters!$1:$1,0)+1,FALSE)</f>
        <v>フェニックス</v>
      </c>
      <c r="AI3" s="11" t="str">
        <f>IF(AE3="NULL","NULL",VLOOKUP(G3,ビット!$A$2:$B$7,2))</f>
        <v>NULL</v>
      </c>
      <c r="AJ3" s="6">
        <v>2</v>
      </c>
      <c r="AK3" s="7" t="str">
        <f t="shared" si="1"/>
        <v>普通</v>
      </c>
      <c r="AL3" s="11" t="str">
        <f ca="1">INDEX(経験値!$A$1:$I$20,MATCH(H3,経験値!$A$1:$A$20,FALSE),MATCH(G3,経験値!$A$1:$I$1,FALSE))</f>
        <v>required_exp_200</v>
      </c>
      <c r="AM3" s="8">
        <f ca="1">VLOOKUP(G3,経験値!$A$27:$B$31,2)</f>
        <v>6400</v>
      </c>
      <c r="AN3" s="17">
        <f ca="1">VLOOKUP(G3,ビット!$G$2:$H$7,2)</f>
        <v>900</v>
      </c>
      <c r="AO3" s="45"/>
      <c r="AP3" s="67">
        <f t="shared" ref="AP3:AP17" si="6">A3</f>
        <v>841</v>
      </c>
      <c r="AQ3" s="57" t="str">
        <f ca="1">VLOOKUP($AP3,OFFSET(unit_skills!$A$1,0,0,COUNTA(unit_skills!$A:$A),MATCH(AQ$1,unit_skills!$1:$1,0)-MATCH($AP$1,unit_skills!$1:$1,0)+1),MATCH(AQ$1,unit_skills!$1:$1,0)-MATCH($AP$1,unit_skills!$1:$1,0)+1,FALSE)</f>
        <v>ヒノトリ・ストライク・ゲイン</v>
      </c>
      <c r="AR3" s="57" t="str">
        <f ca="1">VLOOKUP($AP3,OFFSET(unit_skills!$A$1,0,0,COUNTA(unit_skills!$A:$A),MATCH(AR$1,unit_skills!$1:$1,0)-MATCH($AP$1,unit_skills!$1:$1,0)+1),MATCH(AR$1,unit_skills!$1:$1,0)-MATCH($AP$1,unit_skills!$1:$1,0)+1,FALSE)</f>
        <v>赤パネルを吸収してHP大回復+3ターン赤属性の攻撃力特大UP</v>
      </c>
      <c r="AS3" s="57">
        <f ca="1">VLOOKUP($AP3,OFFSET(unit_skills!$A$1,0,0,COUNTA(unit_skills!$A:$A),MATCH(AS$1,unit_skills!$1:$1,0)-MATCH($AP$1,unit_skills!$1:$1,0)+1),MATCH(AS$1,unit_skills!$1:$1,0)-MATCH($AP$1,unit_skills!$1:$1,0)+1,FALSE)</f>
        <v>0</v>
      </c>
      <c r="AT3" s="41">
        <f t="shared" ref="AT3:AT16" si="7">A3</f>
        <v>841</v>
      </c>
      <c r="AU3" s="57" t="str">
        <f ca="1">VLOOKUP($AT3,OFFSET(crash_skills!$A$1,0,0,COUNTA(crash_skills!$A:$A),MATCH(AU$1,crash_skills!$1:$1,0)-MATCH($AT$1,crash_skills!$1:$1,0)+1),MATCH(AU$1,crash_skills!$1:$1,0)-MATCH($AT$1,crash_skills!$1:$1,0)+1,FALSE)</f>
        <v>ヒートウェイブ・ストリクト</v>
      </c>
      <c r="AV3" s="57" t="str">
        <f ca="1">VLOOKUP($AT3,OFFSET(crash_skills!$A$1,0,0,COUNTA(crash_skills!$A:$A),MATCH(AV$1,crash_skills!$1:$1,0)-MATCH($AT$1,crash_skills!$1:$1,0)+1),MATCH(AV$1,crash_skills!$1:$1,0)-MATCH($AT$1,crash_skills!$1:$1,0)+1,FALSE)</f>
        <v>1体に中ダメージ_x000D_アニマルに効果特大</v>
      </c>
      <c r="AW3" s="57">
        <f ca="1">VLOOKUP($AT3,OFFSET(crash_skills!$A$1,0,0,COUNTA(crash_skills!$A:$A),MATCH(AW$1,crash_skills!$1:$1,0)-MATCH($AT$1,crash_skills!$1:$1,0)+1),MATCH(AW$1,crash_skills!$1:$1,0)-MATCH($AT$1,crash_skills!$1:$1,0)+1,FALSE)</f>
        <v>0</v>
      </c>
      <c r="AX3" s="58">
        <f ca="1">VLOOKUP($A3,OFFSET([1]characters!$A$1,0,0,COUNTA([1]characters!$A:$A),MATCH(AX$1,[1]characters!$1:$1,0)-MATCH($A$1,[1]characters!$1:$1,0)+1),MATCH(AX$1,[1]characters!$1:$1,0)-MATCH($A$1,[1]characters!$1:$1,0)+1,FALSE)</f>
        <v>3</v>
      </c>
      <c r="AY3" s="68">
        <v>1</v>
      </c>
      <c r="AZ3" s="68">
        <v>1</v>
      </c>
      <c r="BA3" s="68">
        <v>0</v>
      </c>
      <c r="BB3" s="68">
        <v>1.1000000000000001</v>
      </c>
      <c r="BC3" s="11">
        <f ca="1">INDEX('RC6SV'!$A$1:$G$20,MATCH(H3,'RC6SV'!$A$1:$A$20,FALSE),MATCH(G3,'RC6SV'!$A$1:$G$1,FALSE))</f>
        <v>7600</v>
      </c>
      <c r="BD3" s="48">
        <f t="shared" ca="1" si="2"/>
        <v>7600</v>
      </c>
      <c r="BE3" s="11">
        <f t="shared" ca="1" si="3"/>
        <v>5800</v>
      </c>
      <c r="BF3" s="11">
        <f t="shared" ca="1" si="4"/>
        <v>1</v>
      </c>
      <c r="BG3" s="16">
        <f ca="1">IF($BE3&lt;=0,ROUND(BK3*0.5,0), ROUND($BE3*S3*AA3*J3*AY3*0.8*[1]ステータス!$B$2,0))</f>
        <v>3364</v>
      </c>
      <c r="BH3" s="16">
        <f ca="1">IF($BE3&lt;=0,ROUND(BL3*0.5,0), ROUND($BE3*T3*AB3*K3*AZ3*0.8*[1]ステータス!$C$2,0))</f>
        <v>1328</v>
      </c>
      <c r="BI3" s="16">
        <f ca="1">IF($BE3&lt;=0,ROUND(BM3*0.5,0), ROUND($BE3*U3*AC3*L3*BA3*0.8*[1]ステータス!$D$2,0))</f>
        <v>0</v>
      </c>
      <c r="BJ3" s="16">
        <f ca="1">IF($BE3&lt;=0,ROUND(BN3*0.5,0), ROUND($BE3*V3*AD3*M3*BB3*0.8*[1]ステータス!$E$2,0))</f>
        <v>788</v>
      </c>
      <c r="BK3" s="11">
        <f ca="1">ROUND(BD3*S3*AA3*J3*AY3*[1]ステータス!$B$2,0)</f>
        <v>5510</v>
      </c>
      <c r="BL3" s="11">
        <f ca="1">ROUND(BD3*T3*AB3*K3*AZ3*[1]ステータス!$C$2,0)</f>
        <v>2174</v>
      </c>
      <c r="BM3" s="11">
        <f ca="1">ROUND(BD3*U3*AC3*L3*BA3*[1]ステータス!$D$2,0)</f>
        <v>0</v>
      </c>
      <c r="BN3" s="11">
        <f ca="1">ROUND(BD3*V3*AD3*M3*BB3*[1]ステータス!$E$2,0)</f>
        <v>1290</v>
      </c>
      <c r="BO3" s="10">
        <v>0</v>
      </c>
      <c r="BP3" s="10">
        <v>1</v>
      </c>
      <c r="BQ3" s="10" t="s">
        <v>47</v>
      </c>
      <c r="BR3" s="10">
        <f ca="1">VLOOKUP(H3,ghosts_label!$A$2:$B$19,2,FALSE)</f>
        <v>1</v>
      </c>
    </row>
    <row r="4" spans="1:70" ht="26" customHeight="1" x14ac:dyDescent="0.15">
      <c r="A4" s="12">
        <v>842</v>
      </c>
      <c r="B4" s="57" t="str">
        <f ca="1">VLOOKUP($A4,OFFSET([1]characters!$A$1,0,0,COUNTA([1]characters!$A:$A),MATCH(B$1,[1]characters!$1:$1,0)-MATCH($A$1,[1]characters!$1:$1,0)+1),MATCH(B$1,[1]characters!$1:$1,0)-MATCH($A$1,[1]characters!$1:$1,0)+1,FALSE)</f>
        <v>セイレーン</v>
      </c>
      <c r="C4" s="57" t="str">
        <f ca="1">VLOOKUP($A4,OFFSET([1]characters!$A$1,0,0,COUNTA([1]characters!$A:$A),MATCH(C$1,[1]characters!$1:$1,0)-MATCH($A$1,[1]characters!$1:$1,0)+1),MATCH(C$1,[1]characters!$1:$1,0)-MATCH($A$1,[1]characters!$1:$1,0)+1,FALSE)</f>
        <v>各属性相性良3・黄・R460</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男性</v>
      </c>
      <c r="G4" s="57">
        <f ca="1">VLOOKUP($A4,OFFSET([1]characters!$A$1,0,0,COUNTA([1]characters!$A:$A),MATCH(G$1,[1]characters!$1:$1,0)-MATCH($A$1,[1]characters!$1:$1,0)+1),MATCH(G$1,[1]characters!$1:$1,0)-MATCH($A$1,[1]characters!$1:$1,0)+1,FALSE)</f>
        <v>4</v>
      </c>
      <c r="H4" s="57" t="str">
        <f ca="1">VLOOKUP($A4,OFFSET([1]characters!$A$1,0,0,COUNTA([1]characters!$A:$A),MATCH(H$1,[1]characters!$1:$1,0)-MATCH($A$1,[1]characters!$1:$1,0)+1),MATCH(H$1,[1]characters!$1:$1,0)-MATCH($A$1,[1]characters!$1:$1,0)+1,FALSE)</f>
        <v>Drop2N</v>
      </c>
      <c r="I4" s="57"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INDEX(コスト!$A$1:$I$20,MATCH(H4,コスト!$A$1:$A$20,FALSE),MATCH(G4,コスト!$A$1:$I$1,FALSE))</f>
        <v>17</v>
      </c>
      <c r="O4" s="11">
        <f ca="1">INDEX(レベル!$A$1:$I$21,MATCH(H4,レベル!$A$1:$A$21,FALSE),MATCH(G4,レベル!$A$1:$I$1,FALSE))</f>
        <v>60</v>
      </c>
      <c r="P4" s="48">
        <f t="shared" ca="1" si="5"/>
        <v>60</v>
      </c>
      <c r="Q4" s="57" t="str">
        <f ca="1">VLOOKUP($A4,OFFSET([1]characters!$A$1,0,0,COUNTA([1]characters!$A:$A),MATCH(Q$1,[1]characters!$1:$1,0)-MATCH($A$1,[1]characters!$1:$1,0)+1),MATCH(Q$1,[1]characters!$1:$1,0)-MATCH($A$1,[1]characters!$1:$1,0)+1,FALSE)</f>
        <v>heal</v>
      </c>
      <c r="R4" s="5" t="str">
        <f ca="1">VLOOKUP(Q4,[1]character_type_i18n!$A:$H,3,FALSE)</f>
        <v>回復タイプ</v>
      </c>
      <c r="S4" s="11">
        <f ca="1">VLOOKUP(Q4,[1]character_type_i18n!$A:$H,4,FALSE)</f>
        <v>0.8</v>
      </c>
      <c r="T4" s="11">
        <f ca="1">VLOOKUP(Q4,[1]character_type_i18n!$A:$H,5,FALSE)</f>
        <v>0.78</v>
      </c>
      <c r="U4" s="11">
        <f ca="1">VLOOKUP(Q4,[1]character_type_i18n!$A:$H,6,FALSE)</f>
        <v>1</v>
      </c>
      <c r="V4" s="11">
        <f ca="1">VLOOKUP(Q4,[1]character_type_i18n!$A:$H,7,FALSE)</f>
        <v>1.42</v>
      </c>
      <c r="W4" s="57" t="str">
        <f ca="1">VLOOKUP($A4,OFFSET([1]characters!$A$1,0,0,COUNTA([1]characters!$A:$A),MATCH(W$1,[1]characters!$1:$1,0)-MATCH($A$1,[1]characters!$1:$1,0)+1),MATCH(W$1,[1]characters!$1:$1,0)-MATCH($A$1,[1]characters!$1:$1,0)+1,FALSE)</f>
        <v>animal</v>
      </c>
      <c r="X4" s="5" t="str">
        <f ca="1">VLOOKUP(W4,[1]character_tribe_i18n!$A:$H,3,FALSE)</f>
        <v>アニマル</v>
      </c>
      <c r="Y4" s="57"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1</v>
      </c>
      <c r="AB4" s="11">
        <f ca="1">VLOOKUP(W4,[1]character_tribe_i18n!$A:$H,5,FALSE)</f>
        <v>1.1000000000000001</v>
      </c>
      <c r="AC4" s="11">
        <f ca="1">VLOOKUP(W4,[1]character_tribe_i18n!$A:$H,6,FALSE)</f>
        <v>1</v>
      </c>
      <c r="AD4" s="11">
        <f ca="1">VLOOKUP(W4,[1]character_tribe_i18n!$A:$H,7,FALSE)</f>
        <v>0.9</v>
      </c>
      <c r="AE4" s="9">
        <f t="shared" ref="AE4" si="8">A5</f>
        <v>843</v>
      </c>
      <c r="AF4" s="62" t="str">
        <f ca="1">IF(AE4="NULL","",VLOOKUP($AE4,OFFSET([1]characters!$A$1,0,0,COUNTA([1]characters!$A:$A),MATCH(AF$1,[1]characters!$1:$1,0)-MATCH($A$1,[1]characters!$1:$1,0)+1),MATCH(AF$1,[1]characters!$1:$1,0)-MATCH($A$1,[1]characters!$1:$1,0)+1,FALSE))</f>
        <v>荒れ狂う乱歌 セイレーン</v>
      </c>
      <c r="AG4" s="5">
        <f t="shared" ca="1" si="0"/>
        <v>842</v>
      </c>
      <c r="AH4" s="62" t="str">
        <f ca="1">VLOOKUP($AG4,OFFSET([1]characters!$A$1,0,0,COUNTA([1]characters!$A:$A),MATCH(AH$1,[1]characters!$1:$1,0)-MATCH($A$1,[1]characters!$1:$1,0)+1),MATCH(AH$1,[1]characters!$1:$1,0)-MATCH($A$1,[1]characters!$1:$1,0)+1,FALSE)</f>
        <v>セイレーン</v>
      </c>
      <c r="AI4" s="11">
        <f ca="1">IF(AE4="NULL","NULL",VLOOKUP(G4,ビット!$A$2:$B$7,2))</f>
        <v>50000</v>
      </c>
      <c r="AJ4" s="6">
        <v>2</v>
      </c>
      <c r="AK4" s="7" t="str">
        <f t="shared" ref="AK4:AK17" si="9">IF(AJ4=1,"早熟",IF(AJ4=2,"普通",IF(AJ4=3,"晩成","")))</f>
        <v>普通</v>
      </c>
      <c r="AL4" s="11" t="str">
        <f ca="1">INDEX(経験値!$A$1:$I$20,MATCH(H4,経験値!$A$1:$A$20,FALSE),MATCH(G4,経験値!$A$1:$I$1,FALSE))</f>
        <v>required_exp_200</v>
      </c>
      <c r="AM4" s="8">
        <f ca="1">VLOOKUP(G4,経験値!$A$27:$B$31,2)</f>
        <v>3400</v>
      </c>
      <c r="AN4" s="17">
        <f ca="1">VLOOKUP(G4,ビット!$G$2:$H$7,2)</f>
        <v>600</v>
      </c>
      <c r="AO4" s="45"/>
      <c r="AP4" s="67">
        <f t="shared" si="6"/>
        <v>842</v>
      </c>
      <c r="AQ4" s="57" t="str">
        <f ca="1">VLOOKUP($AP4,OFFSET(unit_skills!$A$1,0,0,COUNTA(unit_skills!$A:$A),MATCH(AQ$1,unit_skills!$1:$1,0)-MATCH($AP$1,unit_skills!$1:$1,0)+1),MATCH(AQ$1,unit_skills!$1:$1,0)-MATCH($AP$1,unit_skills!$1:$1,0)+1,FALSE)</f>
        <v>イントロ・ディソナンス</v>
      </c>
      <c r="AR4" s="57" t="str">
        <f ca="1">VLOOKUP($AP4,OFFSET(unit_skills!$A$1,0,0,COUNTA(unit_skills!$A:$A),MATCH(AR$1,unit_skills!$1:$1,0)-MATCH($AP$1,unit_skills!$1:$1,0)+1),MATCH(AR$1,unit_skills!$1:$1,0)-MATCH($AP$1,unit_skills!$1:$1,0)+1,FALSE)</f>
        <v>HP中回復+ハートパネルを青パネルに変換</v>
      </c>
      <c r="AS4" s="57">
        <f ca="1">VLOOKUP($AP4,OFFSET(unit_skills!$A$1,0,0,COUNTA(unit_skills!$A:$A),MATCH(AS$1,unit_skills!$1:$1,0)-MATCH($AP$1,unit_skills!$1:$1,0)+1),MATCH(AS$1,unit_skills!$1:$1,0)-MATCH($AP$1,unit_skills!$1:$1,0)+1,FALSE)</f>
        <v>0</v>
      </c>
      <c r="AT4" s="41">
        <f t="shared" si="7"/>
        <v>842</v>
      </c>
      <c r="AU4" s="57" t="str">
        <f ca="1">VLOOKUP($AT4,OFFSET(crash_skills!$A$1,0,0,COUNTA(crash_skills!$A:$A),MATCH(AU$1,crash_skills!$1:$1,0)-MATCH($AT$1,crash_skills!$1:$1,0)+1),MATCH(AU$1,crash_skills!$1:$1,0)-MATCH($AT$1,crash_skills!$1:$1,0)+1,FALSE)</f>
        <v>ティンパナム・ブレイカー</v>
      </c>
      <c r="AV4" s="57" t="str">
        <f ca="1">VLOOKUP($AT4,OFFSET(crash_skills!$A$1,0,0,COUNTA(crash_skills!$A:$A),MATCH(AV$1,crash_skills!$1:$1,0)-MATCH($AT$1,crash_skills!$1:$1,0)+1),MATCH(AV$1,crash_skills!$1:$1,0)-MATCH($AT$1,crash_skills!$1:$1,0)+1,FALSE)</f>
        <v>HP大回復+_x000D_低確率でスリープ付与</v>
      </c>
      <c r="AW4" s="57">
        <f ca="1">VLOOKUP($AT4,OFFSET(crash_skills!$A$1,0,0,COUNTA(crash_skills!$A:$A),MATCH(AW$1,crash_skills!$1:$1,0)-MATCH($AT$1,crash_skills!$1:$1,0)+1),MATCH(AW$1,crash_skills!$1:$1,0)-MATCH($AT$1,crash_skills!$1:$1,0)+1,FALSE)</f>
        <v>0</v>
      </c>
      <c r="AX4" s="58">
        <f ca="1">VLOOKUP($A4,OFFSET([1]characters!$A$1,0,0,COUNTA([1]characters!$A:$A),MATCH(AX$1,[1]characters!$1:$1,0)-MATCH($A$1,[1]characters!$1:$1,0)+1),MATCH(AX$1,[1]characters!$1:$1,0)-MATCH($A$1,[1]characters!$1:$1,0)+1,FALSE)</f>
        <v>3</v>
      </c>
      <c r="AY4" s="68">
        <v>1</v>
      </c>
      <c r="AZ4" s="68">
        <v>0.95</v>
      </c>
      <c r="BA4" s="68">
        <v>0</v>
      </c>
      <c r="BB4" s="68">
        <v>1.3</v>
      </c>
      <c r="BC4" s="11">
        <f ca="1">INDEX('RC6SV'!$A$1:$G$20,MATCH(H4,'RC6SV'!$A$1:$A$20,FALSE),MATCH(G4,'RC6SV'!$A$1:$G$1,FALSE))</f>
        <v>5800</v>
      </c>
      <c r="BD4" s="48">
        <f t="shared" ref="BD4:BD17" ca="1" si="10">ROUND(BC4*IF(AJ4=1,0.95,IF(AJ4=2,1,IF(AJ4,1.05,0))),0)</f>
        <v>5800</v>
      </c>
      <c r="BE4" s="11">
        <f t="shared" ca="1" si="3"/>
        <v>0</v>
      </c>
      <c r="BF4" s="11">
        <f t="shared" ca="1" si="4"/>
        <v>1</v>
      </c>
      <c r="BG4" s="16">
        <f ca="1">IF($BE4&lt;=0,ROUND(BK4*0.5,0), ROUND($BE4*S4*AA4*J4*AY4*0.8*[1]ステータス!$B$2,0))</f>
        <v>1160</v>
      </c>
      <c r="BH4" s="16">
        <f ca="1">IF($BE4&lt;=0,ROUND(BL4*0.5,0), ROUND($BE4*T4*AB4*K4*AZ4*0.8*[1]ステータス!$C$2,0))</f>
        <v>695</v>
      </c>
      <c r="BI4" s="16">
        <f ca="1">IF($BE4&lt;=0,ROUND(BM4*0.5,0), ROUND($BE4*U4*AC4*L4*BA4*0.8*[1]ステータス!$D$2,0))</f>
        <v>0</v>
      </c>
      <c r="BJ4" s="16">
        <f ca="1">IF($BE4&lt;=0,ROUND(BN4*0.5,0), ROUND($BE4*V4*AD4*M4*BB4*0.8*[1]ステータス!$E$2,0))</f>
        <v>1229</v>
      </c>
      <c r="BK4" s="11">
        <f ca="1">ROUND(BD4*S4*AA4*J4*AY4*[1]ステータス!$B$2,0)</f>
        <v>2320</v>
      </c>
      <c r="BL4" s="11">
        <f ca="1">ROUND(BD4*T4*AB4*K4*AZ4*[1]ステータス!$C$2,0)</f>
        <v>1390</v>
      </c>
      <c r="BM4" s="11">
        <f ca="1">ROUND(BD4*U4*AC4*L4*BA4*[1]ステータス!$D$2,0)</f>
        <v>0</v>
      </c>
      <c r="BN4" s="11">
        <f ca="1">ROUND(BD4*V4*AD4*M4*BB4*[1]ステータス!$E$2,0)</f>
        <v>2457</v>
      </c>
      <c r="BO4" s="10">
        <v>0</v>
      </c>
      <c r="BP4" s="10">
        <v>1</v>
      </c>
      <c r="BQ4" s="10" t="s">
        <v>47</v>
      </c>
      <c r="BR4" s="10">
        <f ca="1">VLOOKUP(H4,ghosts_label!$A$2:$B$19,2,FALSE)</f>
        <v>1</v>
      </c>
    </row>
    <row r="5" spans="1:70" ht="26" customHeight="1" x14ac:dyDescent="0.15">
      <c r="A5" s="12">
        <v>843</v>
      </c>
      <c r="B5" s="57" t="str">
        <f ca="1">VLOOKUP($A5,OFFSET([1]characters!$A$1,0,0,COUNTA([1]characters!$A:$A),MATCH(B$1,[1]characters!$1:$1,0)-MATCH($A$1,[1]characters!$1:$1,0)+1),MATCH(B$1,[1]characters!$1:$1,0)-MATCH($A$1,[1]characters!$1:$1,0)+1,FALSE)</f>
        <v>荒れ狂う乱歌 セイレーン</v>
      </c>
      <c r="C5" s="57" t="str">
        <f ca="1">VLOOKUP($A5,OFFSET([1]characters!$A$1,0,0,COUNTA([1]characters!$A:$A),MATCH(C$1,[1]characters!$1:$1,0)-MATCH($A$1,[1]characters!$1:$1,0)+1),MATCH(C$1,[1]characters!$1:$1,0)-MATCH($A$1,[1]characters!$1:$1,0)+1,FALSE)</f>
        <v>各属性相性良3・黄・R461</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男性</v>
      </c>
      <c r="G5" s="57">
        <f ca="1">VLOOKUP($A5,OFFSET([1]characters!$A$1,0,0,COUNTA([1]characters!$A:$A),MATCH(G$1,[1]characters!$1:$1,0)-MATCH($A$1,[1]characters!$1:$1,0)+1),MATCH(G$1,[1]characters!$1:$1,0)-MATCH($A$1,[1]characters!$1:$1,0)+1,FALSE)</f>
        <v>5</v>
      </c>
      <c r="H5" s="57" t="str">
        <f ca="1">VLOOKUP($A5,OFFSET([1]characters!$A$1,0,0,COUNTA([1]characters!$A:$A),MATCH(H$1,[1]characters!$1:$1,0)-MATCH($A$1,[1]characters!$1:$1,0)+1),MATCH(H$1,[1]characters!$1:$1,0)-MATCH($A$1,[1]characters!$1:$1,0)+1,FALSE)</f>
        <v>Drop2N</v>
      </c>
      <c r="I5" s="57" t="str">
        <f ca="1">VLOOKUP($A5,OFFSET([1]characters!$A$1,0,0,COUNTA([1]characters!$A:$A),MATCH(I$1,[1]characters!$1:$1,0)-MATCH($A$1,[1]characters!$1:$1,0)+1),MATCH(I$1,[1]characters!$1:$1,0)-MATCH($A$1,[1]characters!$1:$1,0)+1,FALSE)</f>
        <v>blue</v>
      </c>
      <c r="J5" s="11">
        <f ca="1">VLOOKUP(I5,[1]属性!$A:$E,2,FALSE)</f>
        <v>1</v>
      </c>
      <c r="K5" s="11">
        <f ca="1">VLOOKUP(I5,[1]属性!$A:$E,3,FALSE)</f>
        <v>0.98</v>
      </c>
      <c r="L5" s="11">
        <f ca="1">VLOOKUP(I5,[1]属性!$A:$E,4,FALSE)</f>
        <v>1</v>
      </c>
      <c r="M5" s="11">
        <f ca="1">VLOOKUP(I5,[1]属性!$A:$E,5,FALSE)</f>
        <v>1.02</v>
      </c>
      <c r="N5" s="11">
        <f ca="1">INDEX(コスト!$A$1:$I$20,MATCH(H5,コスト!$A$1:$A$20,FALSE),MATCH(G5,コスト!$A$1:$I$1,FALSE))</f>
        <v>26</v>
      </c>
      <c r="O5" s="11">
        <f ca="1">INDEX(レベル!$A$1:$I$21,MATCH(H5,レベル!$A$1:$A$21,FALSE),MATCH(G5,レベル!$A$1:$I$1,FALSE))</f>
        <v>80</v>
      </c>
      <c r="P5" s="48">
        <f t="shared" ref="P5:P17" ca="1" si="11">IF(G5 &gt;= 6, 99,G5*15)</f>
        <v>75</v>
      </c>
      <c r="Q5" s="57" t="str">
        <f ca="1">VLOOKUP($A5,OFFSET([1]characters!$A$1,0,0,COUNTA([1]characters!$A:$A),MATCH(Q$1,[1]characters!$1:$1,0)-MATCH($A$1,[1]characters!$1:$1,0)+1),MATCH(Q$1,[1]characters!$1:$1,0)-MATCH($A$1,[1]characters!$1:$1,0)+1,FALSE)</f>
        <v>heal</v>
      </c>
      <c r="R5" s="5" t="str">
        <f ca="1">VLOOKUP(Q5,[1]character_type_i18n!$A:$H,3,FALSE)</f>
        <v>回復タイプ</v>
      </c>
      <c r="S5" s="11">
        <f ca="1">VLOOKUP(Q5,[1]character_type_i18n!$A:$H,4,FALSE)</f>
        <v>0.8</v>
      </c>
      <c r="T5" s="11">
        <f ca="1">VLOOKUP(Q5,[1]character_type_i18n!$A:$H,5,FALSE)</f>
        <v>0.78</v>
      </c>
      <c r="U5" s="11">
        <f ca="1">VLOOKUP(Q5,[1]character_type_i18n!$A:$H,6,FALSE)</f>
        <v>1</v>
      </c>
      <c r="V5" s="11">
        <f ca="1">VLOOKUP(Q5,[1]character_type_i18n!$A:$H,7,FALSE)</f>
        <v>1.42</v>
      </c>
      <c r="W5" s="57" t="str">
        <f ca="1">VLOOKUP($A5,OFFSET([1]characters!$A$1,0,0,COUNTA([1]characters!$A:$A),MATCH(W$1,[1]characters!$1:$1,0)-MATCH($A$1,[1]characters!$1:$1,0)+1),MATCH(W$1,[1]characters!$1:$1,0)-MATCH($A$1,[1]characters!$1:$1,0)+1,FALSE)</f>
        <v>animal</v>
      </c>
      <c r="X5" s="5" t="str">
        <f ca="1">VLOOKUP(W5,[1]character_tribe_i18n!$A:$H,3,FALSE)</f>
        <v>アニマル</v>
      </c>
      <c r="Y5" s="57"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1</v>
      </c>
      <c r="AB5" s="11">
        <f ca="1">VLOOKUP(W5,[1]character_tribe_i18n!$A:$H,5,FALSE)</f>
        <v>1.1000000000000001</v>
      </c>
      <c r="AC5" s="11">
        <f ca="1">VLOOKUP(W5,[1]character_tribe_i18n!$A:$H,6,FALSE)</f>
        <v>1</v>
      </c>
      <c r="AD5" s="11">
        <f ca="1">VLOOKUP(W5,[1]character_tribe_i18n!$A:$H,7,FALSE)</f>
        <v>0.9</v>
      </c>
      <c r="AE5" s="9" t="s">
        <v>183</v>
      </c>
      <c r="AF5" s="62" t="str">
        <f ca="1">IF(AE5="NULL","",VLOOKUP($AE5,OFFSET([1]characters!$A$1,0,0,COUNTA([1]characters!$A:$A),MATCH(AF$1,[1]characters!$1:$1,0)-MATCH($A$1,[1]characters!$1:$1,0)+1),MATCH(AF$1,[1]characters!$1:$1,0)-MATCH($A$1,[1]characters!$1:$1,0)+1,FALSE))</f>
        <v/>
      </c>
      <c r="AG5" s="5">
        <f t="shared" ca="1" si="0"/>
        <v>842</v>
      </c>
      <c r="AH5" s="62" t="str">
        <f ca="1">VLOOKUP($AG5,OFFSET([1]characters!$A$1,0,0,COUNTA([1]characters!$A:$A),MATCH(AH$1,[1]characters!$1:$1,0)-MATCH($A$1,[1]characters!$1:$1,0)+1),MATCH(AH$1,[1]characters!$1:$1,0)-MATCH($A$1,[1]characters!$1:$1,0)+1,FALSE)</f>
        <v>セイレーン</v>
      </c>
      <c r="AI5" s="11" t="str">
        <f>IF(AE5="NULL","NULL",VLOOKUP(G5,ビット!$A$2:$B$7,2))</f>
        <v>NULL</v>
      </c>
      <c r="AJ5" s="6">
        <v>2</v>
      </c>
      <c r="AK5" s="7" t="str">
        <f t="shared" si="9"/>
        <v>普通</v>
      </c>
      <c r="AL5" s="11" t="str">
        <f ca="1">INDEX(経験値!$A$1:$I$20,MATCH(H5,経験値!$A$1:$A$20,FALSE),MATCH(G5,経験値!$A$1:$I$1,FALSE))</f>
        <v>required_exp_200</v>
      </c>
      <c r="AM5" s="8">
        <f ca="1">VLOOKUP(G5,経験値!$A$27:$B$31,2)</f>
        <v>6400</v>
      </c>
      <c r="AN5" s="17">
        <f ca="1">VLOOKUP(G5,ビット!$G$2:$H$7,2)</f>
        <v>900</v>
      </c>
      <c r="AO5" s="45"/>
      <c r="AP5" s="67">
        <f t="shared" si="6"/>
        <v>843</v>
      </c>
      <c r="AQ5" s="57" t="str">
        <f ca="1">VLOOKUP($AP5,OFFSET(unit_skills!$A$1,0,0,COUNTA(unit_skills!$A:$A),MATCH(AQ$1,unit_skills!$1:$1,0)-MATCH($AP$1,unit_skills!$1:$1,0)+1),MATCH(AQ$1,unit_skills!$1:$1,0)-MATCH($AP$1,unit_skills!$1:$1,0)+1,FALSE)</f>
        <v>リフレイン・ディソナンス</v>
      </c>
      <c r="AR5" s="57" t="str">
        <f ca="1">VLOOKUP($AP5,OFFSET(unit_skills!$A$1,0,0,COUNTA(unit_skills!$A:$A),MATCH(AR$1,unit_skills!$1:$1,0)-MATCH($AP$1,unit_skills!$1:$1,0)+1),MATCH(AR$1,unit_skills!$1:$1,0)-MATCH($AP$1,unit_skills!$1:$1,0)+1,FALSE)</f>
        <v>HP大回復+ハートパネルを青パネルに変換</v>
      </c>
      <c r="AS5" s="57">
        <f ca="1">VLOOKUP($AP5,OFFSET(unit_skills!$A$1,0,0,COUNTA(unit_skills!$A:$A),MATCH(AS$1,unit_skills!$1:$1,0)-MATCH($AP$1,unit_skills!$1:$1,0)+1),MATCH(AS$1,unit_skills!$1:$1,0)-MATCH($AP$1,unit_skills!$1:$1,0)+1,FALSE)</f>
        <v>0</v>
      </c>
      <c r="AT5" s="41">
        <f t="shared" si="7"/>
        <v>843</v>
      </c>
      <c r="AU5" s="57" t="str">
        <f ca="1">VLOOKUP($AT5,OFFSET(crash_skills!$A$1,0,0,COUNTA(crash_skills!$A:$A),MATCH(AU$1,crash_skills!$1:$1,0)-MATCH($AT$1,crash_skills!$1:$1,0)+1),MATCH(AU$1,crash_skills!$1:$1,0)-MATCH($AT$1,crash_skills!$1:$1,0)+1,FALSE)</f>
        <v>ティンパナム・ブレイカー</v>
      </c>
      <c r="AV5" s="57" t="str">
        <f ca="1">VLOOKUP($AT5,OFFSET(crash_skills!$A$1,0,0,COUNTA(crash_skills!$A:$A),MATCH(AV$1,crash_skills!$1:$1,0)-MATCH($AT$1,crash_skills!$1:$1,0)+1),MATCH(AV$1,crash_skills!$1:$1,0)-MATCH($AT$1,crash_skills!$1:$1,0)+1,FALSE)</f>
        <v>HP大回復+_x000D_低確率でスリープ付与</v>
      </c>
      <c r="AW5" s="57">
        <f ca="1">VLOOKUP($AT5,OFFSET(crash_skills!$A$1,0,0,COUNTA(crash_skills!$A:$A),MATCH(AW$1,crash_skills!$1:$1,0)-MATCH($AT$1,crash_skills!$1:$1,0)+1),MATCH(AW$1,crash_skills!$1:$1,0)-MATCH($AT$1,crash_skills!$1:$1,0)+1,FALSE)</f>
        <v>0</v>
      </c>
      <c r="AX5" s="58">
        <f ca="1">VLOOKUP($A5,OFFSET([1]characters!$A$1,0,0,COUNTA([1]characters!$A:$A),MATCH(AX$1,[1]characters!$1:$1,0)-MATCH($A$1,[1]characters!$1:$1,0)+1),MATCH(AX$1,[1]characters!$1:$1,0)-MATCH($A$1,[1]characters!$1:$1,0)+1,FALSE)</f>
        <v>3</v>
      </c>
      <c r="AY5" s="68">
        <v>1</v>
      </c>
      <c r="AZ5" s="68">
        <v>0.95</v>
      </c>
      <c r="BA5" s="68">
        <v>0</v>
      </c>
      <c r="BB5" s="68">
        <v>1.3</v>
      </c>
      <c r="BC5" s="11">
        <f ca="1">INDEX('RC6SV'!$A$1:$G$20,MATCH(H5,'RC6SV'!$A$1:$A$20,FALSE),MATCH(G5,'RC6SV'!$A$1:$G$1,FALSE))</f>
        <v>7600</v>
      </c>
      <c r="BD5" s="48">
        <f t="shared" ca="1" si="10"/>
        <v>7600</v>
      </c>
      <c r="BE5" s="11">
        <f t="shared" ca="1" si="3"/>
        <v>5800</v>
      </c>
      <c r="BF5" s="11">
        <f t="shared" ca="1" si="4"/>
        <v>1</v>
      </c>
      <c r="BG5" s="16">
        <f ca="1">IF($BE5&lt;=0,ROUND(BK5*0.5,0), ROUND($BE5*S5*AA5*J5*AY5*0.8*[1]ステータス!$B$2,0))</f>
        <v>1856</v>
      </c>
      <c r="BH5" s="16">
        <f ca="1">IF($BE5&lt;=0,ROUND(BL5*0.5,0), ROUND($BE5*T5*AB5*K5*AZ5*0.8*[1]ステータス!$C$2,0))</f>
        <v>1112</v>
      </c>
      <c r="BI5" s="16">
        <f ca="1">IF($BE5&lt;=0,ROUND(BM5*0.5,0), ROUND($BE5*U5*AC5*L5*BA5*0.8*[1]ステータス!$D$2,0))</f>
        <v>0</v>
      </c>
      <c r="BJ5" s="16">
        <f ca="1">IF($BE5&lt;=0,ROUND(BN5*0.5,0), ROUND($BE5*V5*AD5*M5*BB5*0.8*[1]ステータス!$E$2,0))</f>
        <v>1966</v>
      </c>
      <c r="BK5" s="11">
        <f ca="1">ROUND(BD5*S5*AA5*J5*AY5*[1]ステータス!$B$2,0)</f>
        <v>3040</v>
      </c>
      <c r="BL5" s="11">
        <f ca="1">ROUND(BD5*T5*AB5*K5*AZ5*[1]ステータス!$C$2,0)</f>
        <v>1821</v>
      </c>
      <c r="BM5" s="11">
        <f ca="1">ROUND(BD5*U5*AC5*L5*BA5*[1]ステータス!$D$2,0)</f>
        <v>0</v>
      </c>
      <c r="BN5" s="11">
        <f ca="1">ROUND(BD5*V5*AD5*M5*BB5*[1]ステータス!$E$2,0)</f>
        <v>3220</v>
      </c>
      <c r="BO5" s="10">
        <v>0</v>
      </c>
      <c r="BP5" s="10">
        <v>1</v>
      </c>
      <c r="BQ5" s="10" t="s">
        <v>47</v>
      </c>
      <c r="BR5" s="10">
        <f ca="1">VLOOKUP(H5,ghosts_label!$A$2:$B$19,2,FALSE)</f>
        <v>1</v>
      </c>
    </row>
    <row r="6" spans="1:70" ht="26" customHeight="1" x14ac:dyDescent="0.15">
      <c r="A6" s="12">
        <v>844</v>
      </c>
      <c r="B6" s="57" t="str">
        <f ca="1">VLOOKUP($A6,OFFSET([1]characters!$A$1,0,0,COUNTA([1]characters!$A:$A),MATCH(B$1,[1]characters!$1:$1,0)-MATCH($A$1,[1]characters!$1:$1,0)+1),MATCH(B$1,[1]characters!$1:$1,0)-MATCH($A$1,[1]characters!$1:$1,0)+1,FALSE)</f>
        <v>ベルゼブブ</v>
      </c>
      <c r="C6" s="57" t="str">
        <f ca="1">VLOOKUP($A6,OFFSET([1]characters!$A$1,0,0,COUNTA([1]characters!$A:$A),MATCH(C$1,[1]characters!$1:$1,0)-MATCH($A$1,[1]characters!$1:$1,0)+1),MATCH(C$1,[1]characters!$1:$1,0)-MATCH($A$1,[1]characters!$1:$1,0)+1,FALSE)</f>
        <v>各属性相性良3・黄・R462</v>
      </c>
      <c r="D6" s="57" t="str">
        <f ca="1">VLOOKUP($A6,OFFSET([1]characters!$A$1,0,0,COUNTA([1]characters!$A:$A),MATCH(D$1,[1]characters!$1:$1,0)-MATCH($A$1,[1]characters!$1:$1,0)+1),MATCH(D$1,[1]characters!$1:$1,0)-MATCH($A$1,[1]characters!$1:$1,0)+1,FALSE)</f>
        <v>執行者</v>
      </c>
      <c r="E6" s="57" t="str">
        <f ca="1">VLOOKUP($A6,OFFSET([1]characters!$A$1,0,0,COUNTA([1]characters!$A:$A),MATCH(E$1,[1]characters!$1:$1,0)-MATCH($A$1,[1]characters!$1:$1,0)+1),MATCH(E$1,[1]characters!$1:$1,0)-MATCH($A$1,[1]characters!$1:$1,0)+1,FALSE)</f>
        <v>格好いい</v>
      </c>
      <c r="F6" s="57" t="str">
        <f ca="1">VLOOKUP($A6,OFFSET([1]characters!$A$1,0,0,COUNTA([1]characters!$A:$A),MATCH(F$1,[1]characters!$1:$1,0)-MATCH($A$1,[1]characters!$1:$1,0)+1),MATCH(F$1,[1]characters!$1:$1,0)-MATCH($A$1,[1]characters!$1:$1,0)+1,FALSE)</f>
        <v>男性</v>
      </c>
      <c r="G6" s="57">
        <f ca="1">VLOOKUP($A6,OFFSET([1]characters!$A$1,0,0,COUNTA([1]characters!$A:$A),MATCH(G$1,[1]characters!$1:$1,0)-MATCH($A$1,[1]characters!$1:$1,0)+1),MATCH(G$1,[1]characters!$1:$1,0)-MATCH($A$1,[1]characters!$1:$1,0)+1,FALSE)</f>
        <v>5</v>
      </c>
      <c r="H6" s="57" t="str">
        <f ca="1">VLOOKUP($A6,OFFSET([1]characters!$A$1,0,0,COUNTA([1]characters!$A:$A),MATCH(H$1,[1]characters!$1:$1,0)-MATCH($A$1,[1]characters!$1:$1,0)+1),MATCH(H$1,[1]characters!$1:$1,0)-MATCH($A$1,[1]characters!$1:$1,0)+1,FALSE)</f>
        <v>DropWizS</v>
      </c>
      <c r="I6" s="57" t="str">
        <f ca="1">VLOOKUP($A6,OFFSET([1]characters!$A$1,0,0,COUNTA([1]characters!$A:$A),MATCH(I$1,[1]characters!$1:$1,0)-MATCH($A$1,[1]characters!$1:$1,0)+1),MATCH(I$1,[1]characters!$1:$1,0)-MATCH($A$1,[1]characters!$1:$1,0)+1,FALSE)</f>
        <v>green</v>
      </c>
      <c r="J6" s="11">
        <f ca="1">VLOOKUP(I6,[1]属性!$A:$E,2,FALSE)</f>
        <v>1.02</v>
      </c>
      <c r="K6" s="11">
        <f ca="1">VLOOKUP(I6,[1]属性!$A:$E,3,FALSE)</f>
        <v>0.98</v>
      </c>
      <c r="L6" s="11">
        <f ca="1">VLOOKUP(I6,[1]属性!$A:$E,4,FALSE)</f>
        <v>1</v>
      </c>
      <c r="M6" s="11">
        <f ca="1">VLOOKUP(I6,[1]属性!$A:$E,5,FALSE)</f>
        <v>1</v>
      </c>
      <c r="N6" s="11">
        <f ca="1">INDEX(コスト!$A$1:$I$20,MATCH(H6,コスト!$A$1:$A$20,FALSE),MATCH(G6,コスト!$A$1:$I$1,FALSE))</f>
        <v>30</v>
      </c>
      <c r="O6" s="11">
        <f ca="1">INDEX(レベル!$A$1:$I$21,MATCH(H6,レベル!$A$1:$A$21,FALSE),MATCH(G6,レベル!$A$1:$I$1,FALSE))</f>
        <v>80</v>
      </c>
      <c r="P6" s="48">
        <f t="shared" ca="1" si="11"/>
        <v>75</v>
      </c>
      <c r="Q6" s="57" t="str">
        <f ca="1">VLOOKUP($A6,OFFSET([1]characters!$A$1,0,0,COUNTA([1]characters!$A:$A),MATCH(Q$1,[1]characters!$1:$1,0)-MATCH($A$1,[1]characters!$1:$1,0)+1),MATCH(Q$1,[1]characters!$1:$1,0)-MATCH($A$1,[1]characters!$1:$1,0)+1,FALSE)</f>
        <v>technical</v>
      </c>
      <c r="R6" s="5" t="str">
        <f ca="1">VLOOKUP(Q6,[1]character_type_i18n!$A:$H,3,FALSE)</f>
        <v>テクニカルタイプ</v>
      </c>
      <c r="S6" s="11">
        <f ca="1">VLOOKUP(Q6,[1]character_type_i18n!$A:$H,4,FALSE)</f>
        <v>0.9</v>
      </c>
      <c r="T6" s="11">
        <f ca="1">VLOOKUP(Q6,[1]character_type_i18n!$A:$H,5,FALSE)</f>
        <v>0.9</v>
      </c>
      <c r="U6" s="11">
        <f ca="1">VLOOKUP(Q6,[1]character_type_i18n!$A:$H,6,FALSE)</f>
        <v>1</v>
      </c>
      <c r="V6" s="11">
        <f ca="1">VLOOKUP(Q6,[1]character_type_i18n!$A:$H,7,FALSE)</f>
        <v>0.9</v>
      </c>
      <c r="W6" s="57" t="str">
        <f ca="1">VLOOKUP($A6,OFFSET([1]characters!$A$1,0,0,COUNTA([1]characters!$A:$A),MATCH(W$1,[1]characters!$1:$1,0)-MATCH($A$1,[1]characters!$1:$1,0)+1),MATCH(W$1,[1]characters!$1:$1,0)-MATCH($A$1,[1]characters!$1:$1,0)+1,FALSE)</f>
        <v>god</v>
      </c>
      <c r="X6" s="5" t="str">
        <f ca="1">VLOOKUP(W6,[1]character_tribe_i18n!$A:$H,3,FALSE)</f>
        <v>ゴッド</v>
      </c>
      <c r="Y6" s="57" t="str">
        <f ca="1">VLOOKUP($A6,OFFSET([1]characters!$A$1,0,0,COUNTA([1]characters!$A:$A),MATCH(Y$1,[1]characters!$1:$1,0)-MATCH($A$1,[1]characters!$1:$1,0)+1),MATCH(Y$1,[1]characters!$1:$1,0)-MATCH($A$1,[1]characters!$1:$1,0)+1,FALSE)</f>
        <v>animal</v>
      </c>
      <c r="Z6" s="5" t="str">
        <f ca="1">VLOOKUP(Y6,[1]character_tribe_i18n!$A:$H,3,FALSE)</f>
        <v>アニマル</v>
      </c>
      <c r="AA6" s="11">
        <f ca="1">VLOOKUP(W6,[1]character_tribe_i18n!$A:$H,4,FALSE)</f>
        <v>0.96</v>
      </c>
      <c r="AB6" s="11">
        <f ca="1">VLOOKUP(W6,[1]character_tribe_i18n!$A:$H,5,FALSE)</f>
        <v>1.02</v>
      </c>
      <c r="AC6" s="11">
        <f ca="1">VLOOKUP(W6,[1]character_tribe_i18n!$A:$H,6,FALSE)</f>
        <v>1</v>
      </c>
      <c r="AD6" s="11">
        <f ca="1">VLOOKUP(W6,[1]character_tribe_i18n!$A:$H,7,FALSE)</f>
        <v>1.02</v>
      </c>
      <c r="AE6" s="9">
        <f t="shared" ref="AE6" si="12">A7</f>
        <v>845</v>
      </c>
      <c r="AF6" s="62" t="str">
        <f ca="1">IF(AE6="NULL","",VLOOKUP($AE6,OFFSET([1]characters!$A$1,0,0,COUNTA([1]characters!$A:$A),MATCH(AF$1,[1]characters!$1:$1,0)-MATCH($A$1,[1]characters!$1:$1,0)+1),MATCH(AF$1,[1]characters!$1:$1,0)-MATCH($A$1,[1]characters!$1:$1,0)+1,FALSE))</f>
        <v>妖艶なる蝿王 ベルゼブブ</v>
      </c>
      <c r="AG6" s="5">
        <f t="shared" ca="1" si="0"/>
        <v>844</v>
      </c>
      <c r="AH6" s="62" t="str">
        <f ca="1">VLOOKUP($AG6,OFFSET([1]characters!$A$1,0,0,COUNTA([1]characters!$A:$A),MATCH(AH$1,[1]characters!$1:$1,0)-MATCH($A$1,[1]characters!$1:$1,0)+1),MATCH(AH$1,[1]characters!$1:$1,0)-MATCH($A$1,[1]characters!$1:$1,0)+1,FALSE)</f>
        <v>ベルゼブブ</v>
      </c>
      <c r="AI6" s="11">
        <f ca="1">IF(AE6="NULL","NULL",VLOOKUP(G6,ビット!$A$2:$B$7,2))</f>
        <v>200000</v>
      </c>
      <c r="AJ6" s="6">
        <v>2</v>
      </c>
      <c r="AK6" s="7" t="str">
        <f t="shared" si="9"/>
        <v>普通</v>
      </c>
      <c r="AL6" s="11" t="str">
        <f ca="1">INDEX(経験値!$A$1:$I$20,MATCH(H6,経験値!$A$1:$A$20,FALSE),MATCH(G6,経験値!$A$1:$I$1,FALSE))</f>
        <v>required_exp_200</v>
      </c>
      <c r="AM6" s="8">
        <f ca="1">VLOOKUP(G6,経験値!$A$27:$B$31,2)</f>
        <v>6400</v>
      </c>
      <c r="AN6" s="17">
        <f ca="1">VLOOKUP(G6,ビット!$G$2:$H$7,2)</f>
        <v>900</v>
      </c>
      <c r="AO6" s="45"/>
      <c r="AP6" s="67">
        <f t="shared" si="6"/>
        <v>844</v>
      </c>
      <c r="AQ6" s="57" t="str">
        <f ca="1">VLOOKUP($AP6,OFFSET(unit_skills!$A$1,0,0,COUNTA(unit_skills!$A:$A),MATCH(AQ$1,unit_skills!$1:$1,0)-MATCH($AP$1,unit_skills!$1:$1,0)+1),MATCH(AQ$1,unit_skills!$1:$1,0)-MATCH($AP$1,unit_skills!$1:$1,0)+1,FALSE)</f>
        <v>魅惑的ドラァグクイーン</v>
      </c>
      <c r="AR6" s="57" t="str">
        <f ca="1">VLOOKUP($AP6,OFFSET(unit_skills!$A$1,0,0,COUNTA(unit_skills!$A:$A),MATCH(AR$1,unit_skills!$1:$1,0)-MATCH($AP$1,unit_skills!$1:$1,0)+1),MATCH(AR$1,unit_skills!$1:$1,0)-MATCH($AP$1,unit_skills!$1:$1,0)+1,FALSE)</f>
        <v>3ターン種族を1つしか持たない敵の防御力を50%DOWN+全ユニットの回復力を特大UP+大カウンター</v>
      </c>
      <c r="AS6" s="57">
        <f ca="1">VLOOKUP($AP6,OFFSET(unit_skills!$A$1,0,0,COUNTA(unit_skills!$A:$A),MATCH(AS$1,unit_skills!$1:$1,0)-MATCH($AP$1,unit_skills!$1:$1,0)+1),MATCH(AS$1,unit_skills!$1:$1,0)-MATCH($AP$1,unit_skills!$1:$1,0)+1,FALSE)</f>
        <v>0</v>
      </c>
      <c r="AT6" s="41">
        <f t="shared" si="7"/>
        <v>844</v>
      </c>
      <c r="AU6" s="57" t="str">
        <f ca="1">VLOOKUP($AT6,OFFSET(crash_skills!$A$1,0,0,COUNTA(crash_skills!$A:$A),MATCH(AU$1,crash_skills!$1:$1,0)-MATCH($AT$1,crash_skills!$1:$1,0)+1),MATCH(AU$1,crash_skills!$1:$1,0)-MATCH($AT$1,crash_skills!$1:$1,0)+1,FALSE)</f>
        <v>ミッドナイト・バタフライ</v>
      </c>
      <c r="AV6" s="57" t="str">
        <f ca="1">VLOOKUP($AT6,OFFSET(crash_skills!$A$1,0,0,COUNTA(crash_skills!$A:$A),MATCH(AV$1,crash_skills!$1:$1,0)-MATCH($AT$1,crash_skills!$1:$1,0)+1),MATCH(AV$1,crash_skills!$1:$1,0)-MATCH($AT$1,crash_skills!$1:$1,0)+1,FALSE)</f>
        <v>1体に大ダメージ+_x000D_HP小回復</v>
      </c>
      <c r="AW6" s="57">
        <f ca="1">VLOOKUP($AT6,OFFSET(crash_skills!$A$1,0,0,COUNTA(crash_skills!$A:$A),MATCH(AW$1,crash_skills!$1:$1,0)-MATCH($AT$1,crash_skills!$1:$1,0)+1),MATCH(AW$1,crash_skills!$1:$1,0)-MATCH($AT$1,crash_skills!$1:$1,0)+1,FALSE)</f>
        <v>0</v>
      </c>
      <c r="AX6" s="58">
        <f ca="1">VLOOKUP($A6,OFFSET([1]characters!$A$1,0,0,COUNTA([1]characters!$A:$A),MATCH(AX$1,[1]characters!$1:$1,0)-MATCH($A$1,[1]characters!$1:$1,0)+1),MATCH(AX$1,[1]characters!$1:$1,0)-MATCH($A$1,[1]characters!$1:$1,0)+1,FALSE)</f>
        <v>3</v>
      </c>
      <c r="AY6" s="68">
        <v>1</v>
      </c>
      <c r="AZ6" s="68">
        <v>1</v>
      </c>
      <c r="BA6" s="68">
        <v>0</v>
      </c>
      <c r="BB6" s="68">
        <v>1</v>
      </c>
      <c r="BC6" s="11">
        <f ca="1">INDEX('RC6SV'!$A$1:$G$20,MATCH(H6,'RC6SV'!$A$1:$A$20,FALSE),MATCH(G6,'RC6SV'!$A$1:$G$1,FALSE))</f>
        <v>9000</v>
      </c>
      <c r="BD6" s="48">
        <f t="shared" ca="1" si="10"/>
        <v>9000</v>
      </c>
      <c r="BE6" s="11">
        <f t="shared" ca="1" si="3"/>
        <v>0</v>
      </c>
      <c r="BF6" s="11">
        <f t="shared" ca="1" si="4"/>
        <v>1</v>
      </c>
      <c r="BG6" s="16">
        <f ca="1">IF($BE6&lt;=0,ROUND(BK6*0.5,0), ROUND($BE6*S6*AA6*J6*AY6*0.8*[1]ステータス!$B$2,0))</f>
        <v>1983</v>
      </c>
      <c r="BH6" s="16">
        <f ca="1">IF($BE6&lt;=0,ROUND(BL6*0.5,0), ROUND($BE6*T6*AB6*K6*AZ6*0.8*[1]ステータス!$C$2,0))</f>
        <v>1215</v>
      </c>
      <c r="BI6" s="16">
        <f ca="1">IF($BE6&lt;=0,ROUND(BM6*0.5,0), ROUND($BE6*U6*AC6*L6*BA6*0.8*[1]ステータス!$D$2,0))</f>
        <v>0</v>
      </c>
      <c r="BJ6" s="16">
        <f ca="1">IF($BE6&lt;=0,ROUND(BN6*0.5,0), ROUND($BE6*V6*AD6*M6*BB6*0.8*[1]ステータス!$E$2,0))</f>
        <v>1033</v>
      </c>
      <c r="BK6" s="11">
        <f ca="1">ROUND(BD6*S6*AA6*J6*AY6*[1]ステータス!$B$2,0)</f>
        <v>3966</v>
      </c>
      <c r="BL6" s="11">
        <f ca="1">ROUND(BD6*T6*AB6*K6*AZ6*[1]ステータス!$C$2,0)</f>
        <v>2429</v>
      </c>
      <c r="BM6" s="11">
        <f ca="1">ROUND(BD6*U6*AC6*L6*BA6*[1]ステータス!$D$2,0)</f>
        <v>0</v>
      </c>
      <c r="BN6" s="11">
        <f ca="1">ROUND(BD6*V6*AD6*M6*BB6*[1]ステータス!$E$2,0)</f>
        <v>2066</v>
      </c>
      <c r="BO6" s="10">
        <v>0</v>
      </c>
      <c r="BP6" s="10">
        <v>1</v>
      </c>
      <c r="BQ6" s="10" t="s">
        <v>47</v>
      </c>
      <c r="BR6" s="10">
        <f ca="1">VLOOKUP(H6,ghosts_label!$A$2:$B$19,2,FALSE)</f>
        <v>1</v>
      </c>
    </row>
    <row r="7" spans="1:70" ht="26" customHeight="1" x14ac:dyDescent="0.15">
      <c r="A7" s="12">
        <v>845</v>
      </c>
      <c r="B7" s="57" t="str">
        <f ca="1">VLOOKUP($A7,OFFSET([1]characters!$A$1,0,0,COUNTA([1]characters!$A:$A),MATCH(B$1,[1]characters!$1:$1,0)-MATCH($A$1,[1]characters!$1:$1,0)+1),MATCH(B$1,[1]characters!$1:$1,0)-MATCH($A$1,[1]characters!$1:$1,0)+1,FALSE)</f>
        <v>妖艶なる蝿王 ベルゼブブ</v>
      </c>
      <c r="C7" s="57" t="str">
        <f ca="1">VLOOKUP($A7,OFFSET([1]characters!$A$1,0,0,COUNTA([1]characters!$A:$A),MATCH(C$1,[1]characters!$1:$1,0)-MATCH($A$1,[1]characters!$1:$1,0)+1),MATCH(C$1,[1]characters!$1:$1,0)-MATCH($A$1,[1]characters!$1:$1,0)+1,FALSE)</f>
        <v>各属性相性良3・黄・R463</v>
      </c>
      <c r="D7" s="57" t="str">
        <f ca="1">VLOOKUP($A7,OFFSET([1]characters!$A$1,0,0,COUNTA([1]characters!$A:$A),MATCH(D$1,[1]characters!$1:$1,0)-MATCH($A$1,[1]characters!$1:$1,0)+1),MATCH(D$1,[1]characters!$1:$1,0)-MATCH($A$1,[1]characters!$1:$1,0)+1,FALSE)</f>
        <v>執行者</v>
      </c>
      <c r="E7" s="57" t="str">
        <f ca="1">VLOOKUP($A7,OFFSET([1]characters!$A$1,0,0,COUNTA([1]characters!$A:$A),MATCH(E$1,[1]characters!$1:$1,0)-MATCH($A$1,[1]characters!$1:$1,0)+1),MATCH(E$1,[1]characters!$1:$1,0)-MATCH($A$1,[1]characters!$1:$1,0)+1,FALSE)</f>
        <v>格好いい</v>
      </c>
      <c r="F7" s="57" t="str">
        <f ca="1">VLOOKUP($A7,OFFSET([1]characters!$A$1,0,0,COUNTA([1]characters!$A:$A),MATCH(F$1,[1]characters!$1:$1,0)-MATCH($A$1,[1]characters!$1:$1,0)+1),MATCH(F$1,[1]characters!$1:$1,0)-MATCH($A$1,[1]characters!$1:$1,0)+1,FALSE)</f>
        <v>男性</v>
      </c>
      <c r="G7" s="57">
        <f ca="1">VLOOKUP($A7,OFFSET([1]characters!$A$1,0,0,COUNTA([1]characters!$A:$A),MATCH(G$1,[1]characters!$1:$1,0)-MATCH($A$1,[1]characters!$1:$1,0)+1),MATCH(G$1,[1]characters!$1:$1,0)-MATCH($A$1,[1]characters!$1:$1,0)+1,FALSE)</f>
        <v>6</v>
      </c>
      <c r="H7" s="57" t="str">
        <f ca="1">VLOOKUP($A7,OFFSET([1]characters!$A$1,0,0,COUNTA([1]characters!$A:$A),MATCH(H$1,[1]characters!$1:$1,0)-MATCH($A$1,[1]characters!$1:$1,0)+1),MATCH(H$1,[1]characters!$1:$1,0)-MATCH($A$1,[1]characters!$1:$1,0)+1,FALSE)</f>
        <v>DropWizS</v>
      </c>
      <c r="I7" s="57" t="str">
        <f ca="1">VLOOKUP($A7,OFFSET([1]characters!$A$1,0,0,COUNTA([1]characters!$A:$A),MATCH(I$1,[1]characters!$1:$1,0)-MATCH($A$1,[1]characters!$1:$1,0)+1),MATCH(I$1,[1]characters!$1:$1,0)-MATCH($A$1,[1]characters!$1:$1,0)+1,FALSE)</f>
        <v>green</v>
      </c>
      <c r="J7" s="11">
        <f ca="1">VLOOKUP(I7,[1]属性!$A:$E,2,FALSE)</f>
        <v>1.02</v>
      </c>
      <c r="K7" s="11">
        <f ca="1">VLOOKUP(I7,[1]属性!$A:$E,3,FALSE)</f>
        <v>0.98</v>
      </c>
      <c r="L7" s="11">
        <f ca="1">VLOOKUP(I7,[1]属性!$A:$E,4,FALSE)</f>
        <v>1</v>
      </c>
      <c r="M7" s="11">
        <f ca="1">VLOOKUP(I7,[1]属性!$A:$E,5,FALSE)</f>
        <v>1</v>
      </c>
      <c r="N7" s="11">
        <f ca="1">INDEX(コスト!$A$1:$I$20,MATCH(H7,コスト!$A$1:$A$20,FALSE),MATCH(G7,コスト!$A$1:$I$1,FALSE))</f>
        <v>45</v>
      </c>
      <c r="O7" s="11">
        <f ca="1">INDEX(レベル!$A$1:$I$21,MATCH(H7,レベル!$A$1:$A$21,FALSE),MATCH(G7,レベル!$A$1:$I$1,FALSE))</f>
        <v>99</v>
      </c>
      <c r="P7" s="48">
        <f t="shared" ca="1" si="11"/>
        <v>99</v>
      </c>
      <c r="Q7" s="57" t="str">
        <f ca="1">VLOOKUP($A7,OFFSET([1]characters!$A$1,0,0,COUNTA([1]characters!$A:$A),MATCH(Q$1,[1]characters!$1:$1,0)-MATCH($A$1,[1]characters!$1:$1,0)+1),MATCH(Q$1,[1]characters!$1:$1,0)-MATCH($A$1,[1]characters!$1:$1,0)+1,FALSE)</f>
        <v>technical</v>
      </c>
      <c r="R7" s="5" t="str">
        <f ca="1">VLOOKUP(Q7,[1]character_type_i18n!$A:$H,3,FALSE)</f>
        <v>テクニカルタイプ</v>
      </c>
      <c r="S7" s="11">
        <f ca="1">VLOOKUP(Q7,[1]character_type_i18n!$A:$H,4,FALSE)</f>
        <v>0.9</v>
      </c>
      <c r="T7" s="11">
        <f ca="1">VLOOKUP(Q7,[1]character_type_i18n!$A:$H,5,FALSE)</f>
        <v>0.9</v>
      </c>
      <c r="U7" s="11">
        <f ca="1">VLOOKUP(Q7,[1]character_type_i18n!$A:$H,6,FALSE)</f>
        <v>1</v>
      </c>
      <c r="V7" s="11">
        <f ca="1">VLOOKUP(Q7,[1]character_type_i18n!$A:$H,7,FALSE)</f>
        <v>0.9</v>
      </c>
      <c r="W7" s="57" t="str">
        <f ca="1">VLOOKUP($A7,OFFSET([1]characters!$A$1,0,0,COUNTA([1]characters!$A:$A),MATCH(W$1,[1]characters!$1:$1,0)-MATCH($A$1,[1]characters!$1:$1,0)+1),MATCH(W$1,[1]characters!$1:$1,0)-MATCH($A$1,[1]characters!$1:$1,0)+1,FALSE)</f>
        <v>god</v>
      </c>
      <c r="X7" s="5" t="str">
        <f ca="1">VLOOKUP(W7,[1]character_tribe_i18n!$A:$H,3,FALSE)</f>
        <v>ゴッド</v>
      </c>
      <c r="Y7" s="57" t="str">
        <f ca="1">VLOOKUP($A7,OFFSET([1]characters!$A$1,0,0,COUNTA([1]characters!$A:$A),MATCH(Y$1,[1]characters!$1:$1,0)-MATCH($A$1,[1]characters!$1:$1,0)+1),MATCH(Y$1,[1]characters!$1:$1,0)-MATCH($A$1,[1]characters!$1:$1,0)+1,FALSE)</f>
        <v>animal</v>
      </c>
      <c r="Z7" s="5" t="str">
        <f ca="1">VLOOKUP(Y7,[1]character_tribe_i18n!$A:$H,3,FALSE)</f>
        <v>アニマル</v>
      </c>
      <c r="AA7" s="11">
        <f ca="1">VLOOKUP(W7,[1]character_tribe_i18n!$A:$H,4,FALSE)</f>
        <v>0.96</v>
      </c>
      <c r="AB7" s="11">
        <f ca="1">VLOOKUP(W7,[1]character_tribe_i18n!$A:$H,5,FALSE)</f>
        <v>1.02</v>
      </c>
      <c r="AC7" s="11">
        <f ca="1">VLOOKUP(W7,[1]character_tribe_i18n!$A:$H,6,FALSE)</f>
        <v>1</v>
      </c>
      <c r="AD7" s="11">
        <f ca="1">VLOOKUP(W7,[1]character_tribe_i18n!$A:$H,7,FALSE)</f>
        <v>1.02</v>
      </c>
      <c r="AE7" s="9" t="s">
        <v>183</v>
      </c>
      <c r="AF7" s="62" t="str">
        <f ca="1">IF(AE7="NULL","",VLOOKUP($AE7,OFFSET([1]characters!$A$1,0,0,COUNTA([1]characters!$A:$A),MATCH(AF$1,[1]characters!$1:$1,0)-MATCH($A$1,[1]characters!$1:$1,0)+1),MATCH(AF$1,[1]characters!$1:$1,0)-MATCH($A$1,[1]characters!$1:$1,0)+1,FALSE))</f>
        <v/>
      </c>
      <c r="AG7" s="5">
        <f t="shared" ca="1" si="0"/>
        <v>844</v>
      </c>
      <c r="AH7" s="62" t="str">
        <f ca="1">VLOOKUP($AG7,OFFSET([1]characters!$A$1,0,0,COUNTA([1]characters!$A:$A),MATCH(AH$1,[1]characters!$1:$1,0)-MATCH($A$1,[1]characters!$1:$1,0)+1),MATCH(AH$1,[1]characters!$1:$1,0)-MATCH($A$1,[1]characters!$1:$1,0)+1,FALSE)</f>
        <v>ベルゼブブ</v>
      </c>
      <c r="AI7" s="11" t="str">
        <f>IF(AE7="NULL","NULL",VLOOKUP(G7,ビット!$A$2:$B$7,2))</f>
        <v>NULL</v>
      </c>
      <c r="AJ7" s="6">
        <v>2</v>
      </c>
      <c r="AK7" s="7" t="str">
        <f t="shared" si="9"/>
        <v>普通</v>
      </c>
      <c r="AL7" s="11" t="str">
        <f ca="1">INDEX(経験値!$A$1:$I$20,MATCH(H7,経験値!$A$1:$A$20,FALSE),MATCH(G7,経験値!$A$1:$I$1,FALSE))</f>
        <v>required_exp_250</v>
      </c>
      <c r="AM7" s="8">
        <f ca="1">VLOOKUP(G7,経験値!$A$27:$B$31,2)</f>
        <v>6400</v>
      </c>
      <c r="AN7" s="17">
        <f ca="1">VLOOKUP(G7,ビット!$G$2:$H$7,2)</f>
        <v>900</v>
      </c>
      <c r="AO7" s="45"/>
      <c r="AP7" s="67">
        <f t="shared" si="6"/>
        <v>845</v>
      </c>
      <c r="AQ7" s="57" t="str">
        <f ca="1">VLOOKUP($AP7,OFFSET(unit_skills!$A$1,0,0,COUNTA(unit_skills!$A:$A),MATCH(AQ$1,unit_skills!$1:$1,0)-MATCH($AP$1,unit_skills!$1:$1,0)+1),MATCH(AQ$1,unit_skills!$1:$1,0)-MATCH($AP$1,unit_skills!$1:$1,0)+1,FALSE)</f>
        <v>蠱惑的ドラァグクイーン</v>
      </c>
      <c r="AR7" s="57" t="str">
        <f ca="1">VLOOKUP($AP7,OFFSET(unit_skills!$A$1,0,0,COUNTA(unit_skills!$A:$A),MATCH(AR$1,unit_skills!$1:$1,0)-MATCH($AP$1,unit_skills!$1:$1,0)+1),MATCH(AR$1,unit_skills!$1:$1,0)-MATCH($AP$1,unit_skills!$1:$1,0)+1,FALSE)</f>
        <v>青をハートに変換+攻撃タイプのスキルターン1短縮+3ターン敵の防御力を0に、全ユニットの回復力特大UPし、特大カウンター</v>
      </c>
      <c r="AS7" s="57">
        <f ca="1">VLOOKUP($AP7,OFFSET(unit_skills!$A$1,0,0,COUNTA(unit_skills!$A:$A),MATCH(AS$1,unit_skills!$1:$1,0)-MATCH($AP$1,unit_skills!$1:$1,0)+1),MATCH(AS$1,unit_skills!$1:$1,0)-MATCH($AP$1,unit_skills!$1:$1,0)+1,FALSE)</f>
        <v>0</v>
      </c>
      <c r="AT7" s="41">
        <f t="shared" si="7"/>
        <v>845</v>
      </c>
      <c r="AU7" s="57" t="str">
        <f ca="1">VLOOKUP($AT7,OFFSET(crash_skills!$A$1,0,0,COUNTA(crash_skills!$A:$A),MATCH(AU$1,crash_skills!$1:$1,0)-MATCH($AT$1,crash_skills!$1:$1,0)+1),MATCH(AU$1,crash_skills!$1:$1,0)-MATCH($AT$1,crash_skills!$1:$1,0)+1,FALSE)</f>
        <v>オーヴァナイト・バタフライ</v>
      </c>
      <c r="AV7" s="57" t="str">
        <f ca="1">VLOOKUP($AT7,OFFSET(crash_skills!$A$1,0,0,COUNTA(crash_skills!$A:$A),MATCH(AV$1,crash_skills!$1:$1,0)-MATCH($AT$1,crash_skills!$1:$1,0)+1),MATCH(AV$1,crash_skills!$1:$1,0)-MATCH($AT$1,crash_skills!$1:$1,0)+1,FALSE)</f>
        <v>1体に特大ダメージ+_x000D_HP小回復</v>
      </c>
      <c r="AW7" s="57">
        <f ca="1">VLOOKUP($AT7,OFFSET(crash_skills!$A$1,0,0,COUNTA(crash_skills!$A:$A),MATCH(AW$1,crash_skills!$1:$1,0)-MATCH($AT$1,crash_skills!$1:$1,0)+1),MATCH(AW$1,crash_skills!$1:$1,0)-MATCH($AT$1,crash_skills!$1:$1,0)+1,FALSE)</f>
        <v>0</v>
      </c>
      <c r="AX7" s="58">
        <f ca="1">VLOOKUP($A7,OFFSET([1]characters!$A$1,0,0,COUNTA([1]characters!$A:$A),MATCH(AX$1,[1]characters!$1:$1,0)-MATCH($A$1,[1]characters!$1:$1,0)+1),MATCH(AX$1,[1]characters!$1:$1,0)-MATCH($A$1,[1]characters!$1:$1,0)+1,FALSE)</f>
        <v>3</v>
      </c>
      <c r="AY7" s="68">
        <v>1.1379999999999999</v>
      </c>
      <c r="AZ7" s="68">
        <v>1.0620000000000001</v>
      </c>
      <c r="BA7" s="68">
        <v>0</v>
      </c>
      <c r="BB7" s="68">
        <v>1.036</v>
      </c>
      <c r="BC7" s="11">
        <f ca="1">INDEX('RC6SV'!$A$1:$G$20,MATCH(H7,'RC6SV'!$A$1:$A$20,FALSE),MATCH(G7,'RC6SV'!$A$1:$G$1,FALSE))</f>
        <v>12000</v>
      </c>
      <c r="BD7" s="48">
        <f t="shared" ca="1" si="10"/>
        <v>12000</v>
      </c>
      <c r="BE7" s="11">
        <f t="shared" ca="1" si="3"/>
        <v>9000</v>
      </c>
      <c r="BF7" s="11">
        <f t="shared" ca="1" si="4"/>
        <v>1</v>
      </c>
      <c r="BG7" s="16">
        <f ca="1">IF($BE7&lt;=0,ROUND(BK7*0.5,0), ROUND($BE7*S7*AA7*J7*AY7*0.8*[1]ステータス!$B$2,0))</f>
        <v>3610</v>
      </c>
      <c r="BH7" s="16">
        <f ca="1">IF($BE7&lt;=0,ROUND(BL7*0.5,0), ROUND($BE7*T7*AB7*K7*AZ7*0.8*[1]ステータス!$C$2,0))</f>
        <v>2064</v>
      </c>
      <c r="BI7" s="16">
        <f ca="1">IF($BE7&lt;=0,ROUND(BM7*0.5,0), ROUND($BE7*U7*AC7*L7*BA7*0.8*[1]ステータス!$D$2,0))</f>
        <v>0</v>
      </c>
      <c r="BJ7" s="16">
        <f ca="1">IF($BE7&lt;=0,ROUND(BN7*0.5,0), ROUND($BE7*V7*AD7*M7*BB7*0.8*[1]ステータス!$E$2,0))</f>
        <v>1712</v>
      </c>
      <c r="BK7" s="11">
        <f ca="1">ROUND(BD7*S7*AA7*J7*AY7*[1]ステータス!$B$2,0)</f>
        <v>6017</v>
      </c>
      <c r="BL7" s="11">
        <f ca="1">ROUND(BD7*T7*AB7*K7*AZ7*[1]ステータス!$C$2,0)</f>
        <v>3440</v>
      </c>
      <c r="BM7" s="11">
        <f ca="1">ROUND(BD7*U7*AC7*L7*BA7*[1]ステータス!$D$2,0)</f>
        <v>0</v>
      </c>
      <c r="BN7" s="11">
        <f ca="1">ROUND(BD7*V7*AD7*M7*BB7*[1]ステータス!$E$2,0)</f>
        <v>2853</v>
      </c>
      <c r="BO7" s="10">
        <v>0</v>
      </c>
      <c r="BP7" s="10">
        <v>1</v>
      </c>
      <c r="BQ7" s="10" t="s">
        <v>47</v>
      </c>
      <c r="BR7" s="10">
        <f ca="1">VLOOKUP(H7,ghosts_label!$A$2:$B$19,2,FALSE)</f>
        <v>1</v>
      </c>
    </row>
    <row r="8" spans="1:70" ht="26" customHeight="1" x14ac:dyDescent="0.15">
      <c r="A8" s="12">
        <v>846</v>
      </c>
      <c r="B8" s="57" t="str">
        <f ca="1">VLOOKUP($A8,OFFSET([1]characters!$A$1,0,0,COUNTA([1]characters!$A:$A),MATCH(B$1,[1]characters!$1:$1,0)-MATCH($A$1,[1]characters!$1:$1,0)+1),MATCH(B$1,[1]characters!$1:$1,0)-MATCH($A$1,[1]characters!$1:$1,0)+1,FALSE)</f>
        <v>ルシファー</v>
      </c>
      <c r="C8" s="57" t="str">
        <f ca="1">VLOOKUP($A8,OFFSET([1]characters!$A$1,0,0,COUNTA([1]characters!$A:$A),MATCH(C$1,[1]characters!$1:$1,0)-MATCH($A$1,[1]characters!$1:$1,0)+1),MATCH(C$1,[1]characters!$1:$1,0)-MATCH($A$1,[1]characters!$1:$1,0)+1,FALSE)</f>
        <v>各属性相性良3・黄・R464</v>
      </c>
      <c r="D8" s="57" t="str">
        <f ca="1">VLOOKUP($A8,OFFSET([1]characters!$A$1,0,0,COUNTA([1]characters!$A:$A),MATCH(D$1,[1]characters!$1:$1,0)-MATCH($A$1,[1]characters!$1:$1,0)+1),MATCH(D$1,[1]characters!$1:$1,0)-MATCH($A$1,[1]characters!$1:$1,0)+1,FALSE)</f>
        <v>執行者</v>
      </c>
      <c r="E8" s="57" t="str">
        <f ca="1">VLOOKUP($A8,OFFSET([1]characters!$A$1,0,0,COUNTA([1]characters!$A:$A),MATCH(E$1,[1]characters!$1:$1,0)-MATCH($A$1,[1]characters!$1:$1,0)+1),MATCH(E$1,[1]characters!$1:$1,0)-MATCH($A$1,[1]characters!$1:$1,0)+1,FALSE)</f>
        <v>格好いい</v>
      </c>
      <c r="F8" s="57" t="str">
        <f ca="1">VLOOKUP($A8,OFFSET([1]characters!$A$1,0,0,COUNTA([1]characters!$A:$A),MATCH(F$1,[1]characters!$1:$1,0)-MATCH($A$1,[1]characters!$1:$1,0)+1),MATCH(F$1,[1]characters!$1:$1,0)-MATCH($A$1,[1]characters!$1:$1,0)+1,FALSE)</f>
        <v>男性</v>
      </c>
      <c r="G8" s="57">
        <f ca="1">VLOOKUP($A8,OFFSET([1]characters!$A$1,0,0,COUNTA([1]characters!$A:$A),MATCH(G$1,[1]characters!$1:$1,0)-MATCH($A$1,[1]characters!$1:$1,0)+1),MATCH(G$1,[1]characters!$1:$1,0)-MATCH($A$1,[1]characters!$1:$1,0)+1,FALSE)</f>
        <v>5</v>
      </c>
      <c r="H8" s="57" t="str">
        <f ca="1">VLOOKUP($A8,OFFSET([1]characters!$A$1,0,0,COUNTA([1]characters!$A:$A),MATCH(H$1,[1]characters!$1:$1,0)-MATCH($A$1,[1]characters!$1:$1,0)+1),MATCH(H$1,[1]characters!$1:$1,0)-MATCH($A$1,[1]characters!$1:$1,0)+1,FALSE)</f>
        <v>DropWizSS</v>
      </c>
      <c r="I8" s="57" t="str">
        <f ca="1">VLOOKUP($A8,OFFSET([1]characters!$A$1,0,0,COUNTA([1]characters!$A:$A),MATCH(I$1,[1]characters!$1:$1,0)-MATCH($A$1,[1]characters!$1:$1,0)+1),MATCH(I$1,[1]characters!$1:$1,0)-MATCH($A$1,[1]characters!$1:$1,0)+1,FALSE)</f>
        <v>green</v>
      </c>
      <c r="J8" s="11">
        <f ca="1">VLOOKUP(I8,[1]属性!$A:$E,2,FALSE)</f>
        <v>1.02</v>
      </c>
      <c r="K8" s="11">
        <f ca="1">VLOOKUP(I8,[1]属性!$A:$E,3,FALSE)</f>
        <v>0.98</v>
      </c>
      <c r="L8" s="11">
        <f ca="1">VLOOKUP(I8,[1]属性!$A:$E,4,FALSE)</f>
        <v>1</v>
      </c>
      <c r="M8" s="11">
        <f ca="1">VLOOKUP(I8,[1]属性!$A:$E,5,FALSE)</f>
        <v>1</v>
      </c>
      <c r="N8" s="11">
        <f ca="1">INDEX(コスト!$A$1:$I$20,MATCH(H8,コスト!$A$1:$A$20,FALSE),MATCH(G8,コスト!$A$1:$I$1,FALSE))</f>
        <v>35</v>
      </c>
      <c r="O8" s="11">
        <f ca="1">INDEX(レベル!$A$1:$I$21,MATCH(H8,レベル!$A$1:$A$21,FALSE),MATCH(G8,レベル!$A$1:$I$1,FALSE))</f>
        <v>80</v>
      </c>
      <c r="P8" s="48">
        <f t="shared" ca="1" si="11"/>
        <v>75</v>
      </c>
      <c r="Q8" s="57"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7" t="str">
        <f ca="1">VLOOKUP($A8,OFFSET([1]characters!$A$1,0,0,COUNTA([1]characters!$A:$A),MATCH(W$1,[1]characters!$1:$1,0)-MATCH($A$1,[1]characters!$1:$1,0)+1),MATCH(W$1,[1]characters!$1:$1,0)-MATCH($A$1,[1]characters!$1:$1,0)+1,FALSE)</f>
        <v>god</v>
      </c>
      <c r="X8" s="5" t="str">
        <f ca="1">VLOOKUP(W8,[1]character_tribe_i18n!$A:$H,3,FALSE)</f>
        <v>ゴッド</v>
      </c>
      <c r="Y8" s="57"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0.96</v>
      </c>
      <c r="AB8" s="11">
        <f ca="1">VLOOKUP(W8,[1]character_tribe_i18n!$A:$H,5,FALSE)</f>
        <v>1.02</v>
      </c>
      <c r="AC8" s="11">
        <f ca="1">VLOOKUP(W8,[1]character_tribe_i18n!$A:$H,6,FALSE)</f>
        <v>1</v>
      </c>
      <c r="AD8" s="11">
        <f ca="1">VLOOKUP(W8,[1]character_tribe_i18n!$A:$H,7,FALSE)</f>
        <v>1.02</v>
      </c>
      <c r="AE8" s="9">
        <f t="shared" ref="AE8" si="13">A9</f>
        <v>847</v>
      </c>
      <c r="AF8" s="62" t="str">
        <f ca="1">IF(AE8="NULL","",VLOOKUP($AE8,OFFSET([1]characters!$A$1,0,0,COUNTA([1]characters!$A:$A),MATCH(AF$1,[1]characters!$1:$1,0)-MATCH($A$1,[1]characters!$1:$1,0)+1),MATCH(AF$1,[1]characters!$1:$1,0)-MATCH($A$1,[1]characters!$1:$1,0)+1,FALSE))</f>
        <v>傲慢なる堕天史 ルシファー</v>
      </c>
      <c r="AG8" s="5">
        <f t="shared" ca="1" si="0"/>
        <v>846</v>
      </c>
      <c r="AH8" s="62" t="str">
        <f ca="1">VLOOKUP($AG8,OFFSET([1]characters!$A$1,0,0,COUNTA([1]characters!$A:$A),MATCH(AH$1,[1]characters!$1:$1,0)-MATCH($A$1,[1]characters!$1:$1,0)+1),MATCH(AH$1,[1]characters!$1:$1,0)-MATCH($A$1,[1]characters!$1:$1,0)+1,FALSE)</f>
        <v>ルシファー</v>
      </c>
      <c r="AI8" s="11">
        <f ca="1">IF(AE8="NULL","NULL",VLOOKUP(G8,ビット!$A$2:$B$7,2))</f>
        <v>200000</v>
      </c>
      <c r="AJ8" s="6">
        <v>2</v>
      </c>
      <c r="AK8" s="7" t="str">
        <f t="shared" si="9"/>
        <v>普通</v>
      </c>
      <c r="AL8" s="11" t="str">
        <f ca="1">INDEX(経験値!$A$1:$I$20,MATCH(H8,経験値!$A$1:$A$20,FALSE),MATCH(G8,経験値!$A$1:$I$1,FALSE))</f>
        <v>required_exp_200</v>
      </c>
      <c r="AM8" s="8">
        <f ca="1">VLOOKUP(G8,経験値!$A$27:$B$31,2)</f>
        <v>6400</v>
      </c>
      <c r="AN8" s="17">
        <f ca="1">VLOOKUP(G8,ビット!$G$2:$H$7,2)</f>
        <v>900</v>
      </c>
      <c r="AO8" s="45"/>
      <c r="AP8" s="67">
        <f t="shared" si="6"/>
        <v>846</v>
      </c>
      <c r="AQ8" s="57" t="str">
        <f ca="1">VLOOKUP($AP8,OFFSET(unit_skills!$A$1,0,0,COUNTA(unit_skills!$A:$A),MATCH(AQ$1,unit_skills!$1:$1,0)-MATCH($AP$1,unit_skills!$1:$1,0)+1),MATCH(AQ$1,unit_skills!$1:$1,0)-MATCH($AP$1,unit_skills!$1:$1,0)+1,FALSE)</f>
        <v>天覆の黙示録</v>
      </c>
      <c r="AR8" s="57" t="str">
        <f ca="1">VLOOKUP($AP8,OFFSET(unit_skills!$A$1,0,0,COUNTA(unit_skills!$A:$A),MATCH(AR$1,unit_skills!$1:$1,0)-MATCH($AP$1,unit_skills!$1:$1,0)+1),MATCH(AR$1,unit_skills!$1:$1,0)-MATCH($AP$1,unit_skills!$1:$1,0)+1,FALSE)</f>
        <v>赤・青・黄パネルを吸収して単体にダメージ+ハートパネルを緑パネルに変換し、2ターンCパネル生成短縮(効果超大)</v>
      </c>
      <c r="AS8" s="57">
        <f ca="1">VLOOKUP($AP8,OFFSET(unit_skills!$A$1,0,0,COUNTA(unit_skills!$A:$A),MATCH(AS$1,unit_skills!$1:$1,0)-MATCH($AP$1,unit_skills!$1:$1,0)+1),MATCH(AS$1,unit_skills!$1:$1,0)-MATCH($AP$1,unit_skills!$1:$1,0)+1,FALSE)</f>
        <v>0</v>
      </c>
      <c r="AT8" s="41">
        <f t="shared" si="7"/>
        <v>846</v>
      </c>
      <c r="AU8" s="57" t="str">
        <f ca="1">VLOOKUP($AT8,OFFSET(crash_skills!$A$1,0,0,COUNTA(crash_skills!$A:$A),MATCH(AU$1,crash_skills!$1:$1,0)-MATCH($AT$1,crash_skills!$1:$1,0)+1),MATCH(AU$1,crash_skills!$1:$1,0)-MATCH($AT$1,crash_skills!$1:$1,0)+1,FALSE)</f>
        <v>アロガント・オラトリオ</v>
      </c>
      <c r="AV8" s="57" t="str">
        <f ca="1">VLOOKUP($AT8,OFFSET(crash_skills!$A$1,0,0,COUNTA(crash_skills!$A:$A),MATCH(AV$1,crash_skills!$1:$1,0)-MATCH($AT$1,crash_skills!$1:$1,0)+1),MATCH(AV$1,crash_skills!$1:$1,0)-MATCH($AT$1,crash_skills!$1:$1,0)+1,FALSE)</f>
        <v>1体に大ダメージ</v>
      </c>
      <c r="AW8" s="57">
        <f ca="1">VLOOKUP($AT8,OFFSET(crash_skills!$A$1,0,0,COUNTA(crash_skills!$A:$A),MATCH(AW$1,crash_skills!$1:$1,0)-MATCH($AT$1,crash_skills!$1:$1,0)+1),MATCH(AW$1,crash_skills!$1:$1,0)-MATCH($AT$1,crash_skills!$1:$1,0)+1,FALSE)</f>
        <v>0</v>
      </c>
      <c r="AX8" s="58">
        <f ca="1">VLOOKUP($A8,OFFSET([1]characters!$A$1,0,0,COUNTA([1]characters!$A:$A),MATCH(AX$1,[1]characters!$1:$1,0)-MATCH($A$1,[1]characters!$1:$1,0)+1),MATCH(AX$1,[1]characters!$1:$1,0)-MATCH($A$1,[1]characters!$1:$1,0)+1,FALSE)</f>
        <v>3</v>
      </c>
      <c r="AY8" s="68">
        <v>1</v>
      </c>
      <c r="AZ8" s="68">
        <v>1</v>
      </c>
      <c r="BA8" s="68">
        <v>0</v>
      </c>
      <c r="BB8" s="68">
        <v>1</v>
      </c>
      <c r="BC8" s="11">
        <f ca="1">INDEX('RC6SV'!$A$1:$G$20,MATCH(H8,'RC6SV'!$A$1:$A$20,FALSE),MATCH(G8,'RC6SV'!$A$1:$G$1,FALSE))</f>
        <v>9500</v>
      </c>
      <c r="BD8" s="48">
        <f t="shared" ca="1" si="10"/>
        <v>9500</v>
      </c>
      <c r="BE8" s="11">
        <f t="shared" ca="1" si="3"/>
        <v>0</v>
      </c>
      <c r="BF8" s="11">
        <f t="shared" ca="1" si="4"/>
        <v>1</v>
      </c>
      <c r="BG8" s="16">
        <f ca="1">IF($BE8&lt;=0,ROUND(BK8*0.5,0), ROUND($BE8*S8*AA8*J8*AY8*0.8*[1]ステータス!$B$2,0))</f>
        <v>2326</v>
      </c>
      <c r="BH8" s="16">
        <f ca="1">IF($BE8&lt;=0,ROUND(BL8*0.5,0), ROUND($BE8*T8*AB8*K8*AZ8*0.8*[1]ステータス!$C$2,0))</f>
        <v>1895</v>
      </c>
      <c r="BI8" s="16">
        <f ca="1">IF($BE8&lt;=0,ROUND(BM8*0.5,0), ROUND($BE8*U8*AC8*L8*BA8*0.8*[1]ステータス!$D$2,0))</f>
        <v>0</v>
      </c>
      <c r="BJ8" s="16">
        <f ca="1">IF($BE8&lt;=0,ROUND(BN8*0.5,0), ROUND($BE8*V8*AD8*M8*BB8*0.8*[1]ステータス!$E$2,0))</f>
        <v>812</v>
      </c>
      <c r="BK8" s="11">
        <f ca="1">ROUND(BD8*S8*AA8*J8*AY8*[1]ステータス!$B$2,0)</f>
        <v>4651</v>
      </c>
      <c r="BL8" s="11">
        <f ca="1">ROUND(BD8*T8*AB8*K8*AZ8*[1]ステータス!$C$2,0)</f>
        <v>3789</v>
      </c>
      <c r="BM8" s="11">
        <f ca="1">ROUND(BD8*U8*AC8*L8*BA8*[1]ステータス!$D$2,0)</f>
        <v>0</v>
      </c>
      <c r="BN8" s="11">
        <f ca="1">ROUND(BD8*V8*AD8*M8*BB8*[1]ステータス!$E$2,0)</f>
        <v>1623</v>
      </c>
      <c r="BO8" s="10">
        <v>0</v>
      </c>
      <c r="BP8" s="10">
        <v>1</v>
      </c>
      <c r="BQ8" s="10" t="s">
        <v>47</v>
      </c>
      <c r="BR8" s="10">
        <f ca="1">VLOOKUP(H8,ghosts_label!$A$2:$B$19,2,FALSE)</f>
        <v>1</v>
      </c>
    </row>
    <row r="9" spans="1:70" ht="26" customHeight="1" x14ac:dyDescent="0.15">
      <c r="A9" s="12">
        <v>847</v>
      </c>
      <c r="B9" s="57" t="str">
        <f ca="1">VLOOKUP($A9,OFFSET([1]characters!$A$1,0,0,COUNTA([1]characters!$A:$A),MATCH(B$1,[1]characters!$1:$1,0)-MATCH($A$1,[1]characters!$1:$1,0)+1),MATCH(B$1,[1]characters!$1:$1,0)-MATCH($A$1,[1]characters!$1:$1,0)+1,FALSE)</f>
        <v>傲慢なる堕天史 ルシファー</v>
      </c>
      <c r="C9" s="57" t="str">
        <f ca="1">VLOOKUP($A9,OFFSET([1]characters!$A$1,0,0,COUNTA([1]characters!$A:$A),MATCH(C$1,[1]characters!$1:$1,0)-MATCH($A$1,[1]characters!$1:$1,0)+1),MATCH(C$1,[1]characters!$1:$1,0)-MATCH($A$1,[1]characters!$1:$1,0)+1,FALSE)</f>
        <v>各属性相性良3・黄・R465</v>
      </c>
      <c r="D9" s="57" t="str">
        <f ca="1">VLOOKUP($A9,OFFSET([1]characters!$A$1,0,0,COUNTA([1]characters!$A:$A),MATCH(D$1,[1]characters!$1:$1,0)-MATCH($A$1,[1]characters!$1:$1,0)+1),MATCH(D$1,[1]characters!$1:$1,0)-MATCH($A$1,[1]characters!$1:$1,0)+1,FALSE)</f>
        <v>執行者</v>
      </c>
      <c r="E9" s="57" t="str">
        <f ca="1">VLOOKUP($A9,OFFSET([1]characters!$A$1,0,0,COUNTA([1]characters!$A:$A),MATCH(E$1,[1]characters!$1:$1,0)-MATCH($A$1,[1]characters!$1:$1,0)+1),MATCH(E$1,[1]characters!$1:$1,0)-MATCH($A$1,[1]characters!$1:$1,0)+1,FALSE)</f>
        <v>格好いい</v>
      </c>
      <c r="F9" s="57" t="str">
        <f ca="1">VLOOKUP($A9,OFFSET([1]characters!$A$1,0,0,COUNTA([1]characters!$A:$A),MATCH(F$1,[1]characters!$1:$1,0)-MATCH($A$1,[1]characters!$1:$1,0)+1),MATCH(F$1,[1]characters!$1:$1,0)-MATCH($A$1,[1]characters!$1:$1,0)+1,FALSE)</f>
        <v>男性</v>
      </c>
      <c r="G9" s="57">
        <f ca="1">VLOOKUP($A9,OFFSET([1]characters!$A$1,0,0,COUNTA([1]characters!$A:$A),MATCH(G$1,[1]characters!$1:$1,0)-MATCH($A$1,[1]characters!$1:$1,0)+1),MATCH(G$1,[1]characters!$1:$1,0)-MATCH($A$1,[1]characters!$1:$1,0)+1,FALSE)</f>
        <v>6</v>
      </c>
      <c r="H9" s="57" t="str">
        <f ca="1">VLOOKUP($A9,OFFSET([1]characters!$A$1,0,0,COUNTA([1]characters!$A:$A),MATCH(H$1,[1]characters!$1:$1,0)-MATCH($A$1,[1]characters!$1:$1,0)+1),MATCH(H$1,[1]characters!$1:$1,0)-MATCH($A$1,[1]characters!$1:$1,0)+1,FALSE)</f>
        <v>DropWizSS</v>
      </c>
      <c r="I9" s="57" t="str">
        <f ca="1">VLOOKUP($A9,OFFSET([1]characters!$A$1,0,0,COUNTA([1]characters!$A:$A),MATCH(I$1,[1]characters!$1:$1,0)-MATCH($A$1,[1]characters!$1:$1,0)+1),MATCH(I$1,[1]characters!$1:$1,0)-MATCH($A$1,[1]characters!$1:$1,0)+1,FALSE)</f>
        <v>green</v>
      </c>
      <c r="J9" s="11">
        <f ca="1">VLOOKUP(I9,[1]属性!$A:$E,2,FALSE)</f>
        <v>1.02</v>
      </c>
      <c r="K9" s="11">
        <f ca="1">VLOOKUP(I9,[1]属性!$A:$E,3,FALSE)</f>
        <v>0.98</v>
      </c>
      <c r="L9" s="11">
        <f ca="1">VLOOKUP(I9,[1]属性!$A:$E,4,FALSE)</f>
        <v>1</v>
      </c>
      <c r="M9" s="11">
        <f ca="1">VLOOKUP(I9,[1]属性!$A:$E,5,FALSE)</f>
        <v>1</v>
      </c>
      <c r="N9" s="11">
        <f ca="1">INDEX(コスト!$A$1:$I$20,MATCH(H9,コスト!$A$1:$A$20,FALSE),MATCH(G9,コスト!$A$1:$I$1,FALSE))</f>
        <v>50</v>
      </c>
      <c r="O9" s="11">
        <f ca="1">INDEX(レベル!$A$1:$I$21,MATCH(H9,レベル!$A$1:$A$21,FALSE),MATCH(G9,レベル!$A$1:$I$1,FALSE))</f>
        <v>99</v>
      </c>
      <c r="P9" s="48">
        <f t="shared" ca="1" si="11"/>
        <v>99</v>
      </c>
      <c r="Q9" s="57"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7" t="str">
        <f ca="1">VLOOKUP($A9,OFFSET([1]characters!$A$1,0,0,COUNTA([1]characters!$A:$A),MATCH(W$1,[1]characters!$1:$1,0)-MATCH($A$1,[1]characters!$1:$1,0)+1),MATCH(W$1,[1]characters!$1:$1,0)-MATCH($A$1,[1]characters!$1:$1,0)+1,FALSE)</f>
        <v>god</v>
      </c>
      <c r="X9" s="5" t="str">
        <f ca="1">VLOOKUP(W9,[1]character_tribe_i18n!$A:$H,3,FALSE)</f>
        <v>ゴッド</v>
      </c>
      <c r="Y9" s="57"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0.96</v>
      </c>
      <c r="AB9" s="11">
        <f ca="1">VLOOKUP(W9,[1]character_tribe_i18n!$A:$H,5,FALSE)</f>
        <v>1.02</v>
      </c>
      <c r="AC9" s="11">
        <f ca="1">VLOOKUP(W9,[1]character_tribe_i18n!$A:$H,6,FALSE)</f>
        <v>1</v>
      </c>
      <c r="AD9" s="11">
        <f ca="1">VLOOKUP(W9,[1]character_tribe_i18n!$A:$H,7,FALSE)</f>
        <v>1.02</v>
      </c>
      <c r="AE9" s="9" t="s">
        <v>183</v>
      </c>
      <c r="AF9" s="62" t="str">
        <f ca="1">IF(AE9="NULL","",VLOOKUP($AE9,OFFSET([1]characters!$A$1,0,0,COUNTA([1]characters!$A:$A),MATCH(AF$1,[1]characters!$1:$1,0)-MATCH($A$1,[1]characters!$1:$1,0)+1),MATCH(AF$1,[1]characters!$1:$1,0)-MATCH($A$1,[1]characters!$1:$1,0)+1,FALSE))</f>
        <v/>
      </c>
      <c r="AG9" s="5">
        <f t="shared" ca="1" si="0"/>
        <v>846</v>
      </c>
      <c r="AH9" s="62" t="str">
        <f ca="1">VLOOKUP($AG9,OFFSET([1]characters!$A$1,0,0,COUNTA([1]characters!$A:$A),MATCH(AH$1,[1]characters!$1:$1,0)-MATCH($A$1,[1]characters!$1:$1,0)+1),MATCH(AH$1,[1]characters!$1:$1,0)-MATCH($A$1,[1]characters!$1:$1,0)+1,FALSE)</f>
        <v>ルシファー</v>
      </c>
      <c r="AI9" s="11" t="str">
        <f>IF(AE9="NULL","NULL",VLOOKUP(G9,ビット!$A$2:$B$7,2))</f>
        <v>NULL</v>
      </c>
      <c r="AJ9" s="6">
        <v>2</v>
      </c>
      <c r="AK9" s="7" t="str">
        <f t="shared" si="9"/>
        <v>普通</v>
      </c>
      <c r="AL9" s="11" t="str">
        <f ca="1">INDEX(経験値!$A$1:$I$20,MATCH(H9,経験値!$A$1:$A$20,FALSE),MATCH(G9,経験値!$A$1:$I$1,FALSE))</f>
        <v>required_exp_250</v>
      </c>
      <c r="AM9" s="8">
        <f ca="1">VLOOKUP(G9,経験値!$A$27:$B$31,2)</f>
        <v>6400</v>
      </c>
      <c r="AN9" s="17">
        <f ca="1">VLOOKUP(G9,ビット!$G$2:$H$7,2)</f>
        <v>900</v>
      </c>
      <c r="AO9" s="45"/>
      <c r="AP9" s="67">
        <f t="shared" si="6"/>
        <v>847</v>
      </c>
      <c r="AQ9" s="57" t="str">
        <f ca="1">VLOOKUP($AP9,OFFSET(unit_skills!$A$1,0,0,COUNTA(unit_skills!$A:$A),MATCH(AQ$1,unit_skills!$1:$1,0)-MATCH($AP$1,unit_skills!$1:$1,0)+1),MATCH(AQ$1,unit_skills!$1:$1,0)-MATCH($AP$1,unit_skills!$1:$1,0)+1,FALSE)</f>
        <v>天覆の黙示録</v>
      </c>
      <c r="AR9" s="57" t="str">
        <f ca="1">VLOOKUP($AP9,OFFSET(unit_skills!$A$1,0,0,COUNTA(unit_skills!$A:$A),MATCH(AR$1,unit_skills!$1:$1,0)-MATCH($AP$1,unit_skills!$1:$1,0)+1),MATCH(AR$1,unit_skills!$1:$1,0)-MATCH($AP$1,unit_skills!$1:$1,0)+1,FALSE)</f>
        <v>赤・青・黄パネルを吸収して単体にダメージ+ハートパネルを緑パネルに変換し、2ターンCパネル生成短縮(効果超大)</v>
      </c>
      <c r="AS9" s="57">
        <f ca="1">VLOOKUP($AP9,OFFSET(unit_skills!$A$1,0,0,COUNTA(unit_skills!$A:$A),MATCH(AS$1,unit_skills!$1:$1,0)-MATCH($AP$1,unit_skills!$1:$1,0)+1),MATCH(AS$1,unit_skills!$1:$1,0)-MATCH($AP$1,unit_skills!$1:$1,0)+1,FALSE)</f>
        <v>0</v>
      </c>
      <c r="AT9" s="41">
        <f t="shared" si="7"/>
        <v>847</v>
      </c>
      <c r="AU9" s="57" t="str">
        <f ca="1">VLOOKUP($AT9,OFFSET(crash_skills!$A$1,0,0,COUNTA(crash_skills!$A:$A),MATCH(AU$1,crash_skills!$1:$1,0)-MATCH($AT$1,crash_skills!$1:$1,0)+1),MATCH(AU$1,crash_skills!$1:$1,0)-MATCH($AT$1,crash_skills!$1:$1,0)+1,FALSE)</f>
        <v>エヴィル・オラトリオ・ツイン</v>
      </c>
      <c r="AV9" s="57" t="str">
        <f ca="1">VLOOKUP($AT9,OFFSET(crash_skills!$A$1,0,0,COUNTA(crash_skills!$A:$A),MATCH(AV$1,crash_skills!$1:$1,0)-MATCH($AT$1,crash_skills!$1:$1,0)+1),MATCH(AV$1,crash_skills!$1:$1,0)-MATCH($AT$1,crash_skills!$1:$1,0)+1,FALSE)</f>
        <v>1体に特大ダメージ</v>
      </c>
      <c r="AW9" s="57">
        <f ca="1">VLOOKUP($AT9,OFFSET(crash_skills!$A$1,0,0,COUNTA(crash_skills!$A:$A),MATCH(AW$1,crash_skills!$1:$1,0)-MATCH($AT$1,crash_skills!$1:$1,0)+1),MATCH(AW$1,crash_skills!$1:$1,0)-MATCH($AT$1,crash_skills!$1:$1,0)+1,FALSE)</f>
        <v>0</v>
      </c>
      <c r="AX9" s="58">
        <f ca="1">VLOOKUP($A9,OFFSET([1]characters!$A$1,0,0,COUNTA([1]characters!$A:$A),MATCH(AX$1,[1]characters!$1:$1,0)-MATCH($A$1,[1]characters!$1:$1,0)+1),MATCH(AX$1,[1]characters!$1:$1,0)-MATCH($A$1,[1]characters!$1:$1,0)+1,FALSE)</f>
        <v>3</v>
      </c>
      <c r="AY9" s="190">
        <v>1.0813999999999999</v>
      </c>
      <c r="AZ9" s="190">
        <v>1.0483</v>
      </c>
      <c r="BA9" s="68">
        <v>0</v>
      </c>
      <c r="BB9" s="68">
        <v>1</v>
      </c>
      <c r="BC9" s="11">
        <f ca="1">INDEX('RC6SV'!$A$1:$G$20,MATCH(H9,'RC6SV'!$A$1:$A$20,FALSE),MATCH(G9,'RC6SV'!$A$1:$G$1,FALSE))</f>
        <v>13000</v>
      </c>
      <c r="BD9" s="48">
        <f t="shared" ca="1" si="10"/>
        <v>13000</v>
      </c>
      <c r="BE9" s="11">
        <f t="shared" ca="1" si="3"/>
        <v>9500</v>
      </c>
      <c r="BF9" s="11">
        <f t="shared" ca="1" si="4"/>
        <v>1</v>
      </c>
      <c r="BG9" s="16">
        <f ca="1">IF($BE9&lt;=0,ROUND(BK9*0.5,0), ROUND($BE9*S9*AA9*J9*AY9*0.8*[1]ステータス!$B$2,0))</f>
        <v>4024</v>
      </c>
      <c r="BH9" s="16">
        <f ca="1">IF($BE9&lt;=0,ROUND(BL9*0.5,0), ROUND($BE9*T9*AB9*K9*AZ9*0.8*[1]ステータス!$C$2,0))</f>
        <v>3178</v>
      </c>
      <c r="BI9" s="16">
        <f ca="1">IF($BE9&lt;=0,ROUND(BM9*0.5,0), ROUND($BE9*U9*AC9*L9*BA9*0.8*[1]ステータス!$D$2,0))</f>
        <v>0</v>
      </c>
      <c r="BJ9" s="16">
        <f ca="1">IF($BE9&lt;=0,ROUND(BN9*0.5,0), ROUND($BE9*V9*AD9*M9*BB9*0.8*[1]ステータス!$E$2,0))</f>
        <v>1298</v>
      </c>
      <c r="BK9" s="11">
        <f ca="1">ROUND(BD9*S9*AA9*J9*AY9*[1]ステータス!$B$2,0)</f>
        <v>6883</v>
      </c>
      <c r="BL9" s="11">
        <f ca="1">ROUND(BD9*T9*AB9*K9*AZ9*[1]ステータス!$C$2,0)</f>
        <v>5435</v>
      </c>
      <c r="BM9" s="11">
        <f ca="1">ROUND(BD9*U9*AC9*L9*BA9*[1]ステータス!$D$2,0)</f>
        <v>0</v>
      </c>
      <c r="BN9" s="11">
        <f ca="1">ROUND(BD9*V9*AD9*M9*BB9*[1]ステータス!$E$2,0)</f>
        <v>2221</v>
      </c>
      <c r="BO9" s="10">
        <v>0</v>
      </c>
      <c r="BP9" s="10">
        <v>1</v>
      </c>
      <c r="BQ9" s="10" t="s">
        <v>47</v>
      </c>
      <c r="BR9" s="10">
        <f ca="1">VLOOKUP(H9,ghosts_label!$A$2:$B$19,2,FALSE)</f>
        <v>1</v>
      </c>
    </row>
    <row r="10" spans="1:70" ht="26" customHeight="1" x14ac:dyDescent="0.15">
      <c r="A10" s="12">
        <v>848</v>
      </c>
      <c r="B10" s="57" t="str">
        <f ca="1">VLOOKUP($A10,OFFSET([1]characters!$A$1,0,0,COUNTA([1]characters!$A:$A),MATCH(B$1,[1]characters!$1:$1,0)-MATCH($A$1,[1]characters!$1:$1,0)+1),MATCH(B$1,[1]characters!$1:$1,0)-MATCH($A$1,[1]characters!$1:$1,0)+1,FALSE)</f>
        <v>メタトロン</v>
      </c>
      <c r="C10" s="57" t="str">
        <f ca="1">VLOOKUP($A10,OFFSET([1]characters!$A$1,0,0,COUNTA([1]characters!$A:$A),MATCH(C$1,[1]characters!$1:$1,0)-MATCH($A$1,[1]characters!$1:$1,0)+1),MATCH(C$1,[1]characters!$1:$1,0)-MATCH($A$1,[1]characters!$1:$1,0)+1,FALSE)</f>
        <v>各属性相性良3・黄・R466</v>
      </c>
      <c r="D10" s="57" t="str">
        <f ca="1">VLOOKUP($A10,OFFSET([1]characters!$A$1,0,0,COUNTA([1]characters!$A:$A),MATCH(D$1,[1]characters!$1:$1,0)-MATCH($A$1,[1]characters!$1:$1,0)+1),MATCH(D$1,[1]characters!$1:$1,0)-MATCH($A$1,[1]characters!$1:$1,0)+1,FALSE)</f>
        <v>執行者</v>
      </c>
      <c r="E10" s="57" t="str">
        <f ca="1">VLOOKUP($A10,OFFSET([1]characters!$A$1,0,0,COUNTA([1]characters!$A:$A),MATCH(E$1,[1]characters!$1:$1,0)-MATCH($A$1,[1]characters!$1:$1,0)+1),MATCH(E$1,[1]characters!$1:$1,0)-MATCH($A$1,[1]characters!$1:$1,0)+1,FALSE)</f>
        <v>格好いい</v>
      </c>
      <c r="F10" s="57" t="str">
        <f ca="1">VLOOKUP($A10,OFFSET([1]characters!$A$1,0,0,COUNTA([1]characters!$A:$A),MATCH(F$1,[1]characters!$1:$1,0)-MATCH($A$1,[1]characters!$1:$1,0)+1),MATCH(F$1,[1]characters!$1:$1,0)-MATCH($A$1,[1]characters!$1:$1,0)+1,FALSE)</f>
        <v>男性</v>
      </c>
      <c r="G10" s="57">
        <f ca="1">VLOOKUP($A10,OFFSET([1]characters!$A$1,0,0,COUNTA([1]characters!$A:$A),MATCH(G$1,[1]characters!$1:$1,0)-MATCH($A$1,[1]characters!$1:$1,0)+1),MATCH(G$1,[1]characters!$1:$1,0)-MATCH($A$1,[1]characters!$1:$1,0)+1,FALSE)</f>
        <v>5</v>
      </c>
      <c r="H10" s="57" t="str">
        <f ca="1">VLOOKUP($A10,OFFSET([1]characters!$A$1,0,0,COUNTA([1]characters!$A:$A),MATCH(H$1,[1]characters!$1:$1,0)-MATCH($A$1,[1]characters!$1:$1,0)+1),MATCH(H$1,[1]characters!$1:$1,0)-MATCH($A$1,[1]characters!$1:$1,0)+1,FALSE)</f>
        <v>PremiumSS</v>
      </c>
      <c r="I10" s="57" t="str">
        <f ca="1">VLOOKUP($A10,OFFSET([1]characters!$A$1,0,0,COUNTA([1]characters!$A:$A),MATCH(I$1,[1]characters!$1:$1,0)-MATCH($A$1,[1]characters!$1:$1,0)+1),MATCH(I$1,[1]characters!$1:$1,0)-MATCH($A$1,[1]characters!$1:$1,0)+1,FALSE)</f>
        <v>red</v>
      </c>
      <c r="J10" s="11">
        <f ca="1">VLOOKUP(I10,[1]属性!$A:$E,2,FALSE)</f>
        <v>1</v>
      </c>
      <c r="K10" s="11">
        <f ca="1">VLOOKUP(I10,[1]属性!$A:$E,3,FALSE)</f>
        <v>1.02</v>
      </c>
      <c r="L10" s="11">
        <f ca="1">VLOOKUP(I10,[1]属性!$A:$E,4,FALSE)</f>
        <v>1</v>
      </c>
      <c r="M10" s="11">
        <f ca="1">VLOOKUP(I10,[1]属性!$A:$E,5,FALSE)</f>
        <v>0.98</v>
      </c>
      <c r="N10" s="11">
        <f ca="1">INDEX(コスト!$A$1:$I$20,MATCH(H10,コスト!$A$1:$A$20,FALSE),MATCH(G10,コスト!$A$1:$I$1,FALSE))</f>
        <v>35</v>
      </c>
      <c r="O10" s="11">
        <f ca="1">INDEX(レベル!$A$1:$I$21,MATCH(H10,レベル!$A$1:$A$21,FALSE),MATCH(G10,レベル!$A$1:$I$1,FALSE))</f>
        <v>80</v>
      </c>
      <c r="P10" s="48">
        <f t="shared" ca="1" si="11"/>
        <v>75</v>
      </c>
      <c r="Q10" s="57"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7" t="str">
        <f ca="1">VLOOKUP($A10,OFFSET([1]characters!$A$1,0,0,COUNTA([1]characters!$A:$A),MATCH(W$1,[1]characters!$1:$1,0)-MATCH($A$1,[1]characters!$1:$1,0)+1),MATCH(W$1,[1]characters!$1:$1,0)-MATCH($A$1,[1]characters!$1:$1,0)+1,FALSE)</f>
        <v>god</v>
      </c>
      <c r="X10" s="5" t="str">
        <f ca="1">VLOOKUP(W10,[1]character_tribe_i18n!$A:$H,3,FALSE)</f>
        <v>ゴッド</v>
      </c>
      <c r="Y10" s="57" t="str">
        <f ca="1">VLOOKUP($A10,OFFSET([1]characters!$A$1,0,0,COUNTA([1]characters!$A:$A),MATCH(Y$1,[1]characters!$1:$1,0)-MATCH($A$1,[1]characters!$1:$1,0)+1),MATCH(Y$1,[1]characters!$1:$1,0)-MATCH($A$1,[1]characters!$1:$1,0)+1,FALSE)</f>
        <v>machine</v>
      </c>
      <c r="Z10" s="5" t="str">
        <f ca="1">VLOOKUP(Y10,[1]character_tribe_i18n!$A:$H,3,FALSE)</f>
        <v>マシン</v>
      </c>
      <c r="AA10" s="11">
        <f ca="1">VLOOKUP(W10,[1]character_tribe_i18n!$A:$H,4,FALSE)</f>
        <v>0.96</v>
      </c>
      <c r="AB10" s="11">
        <f ca="1">VLOOKUP(W10,[1]character_tribe_i18n!$A:$H,5,FALSE)</f>
        <v>1.02</v>
      </c>
      <c r="AC10" s="11">
        <f ca="1">VLOOKUP(W10,[1]character_tribe_i18n!$A:$H,6,FALSE)</f>
        <v>1</v>
      </c>
      <c r="AD10" s="11">
        <f ca="1">VLOOKUP(W10,[1]character_tribe_i18n!$A:$H,7,FALSE)</f>
        <v>1.02</v>
      </c>
      <c r="AE10" s="9">
        <f t="shared" ref="AE10" si="14">A11</f>
        <v>849</v>
      </c>
      <c r="AF10" s="62" t="str">
        <f ca="1">IF(AE10="NULL","",VLOOKUP($AE10,OFFSET([1]characters!$A$1,0,0,COUNTA([1]characters!$A:$A),MATCH(AF$1,[1]characters!$1:$1,0)-MATCH($A$1,[1]characters!$1:$1,0)+1),MATCH(AF$1,[1]characters!$1:$1,0)-MATCH($A$1,[1]characters!$1:$1,0)+1,FALSE))</f>
        <v>燦然たる天使 メタトロン・ラヴァ</v>
      </c>
      <c r="AG10" s="5">
        <f t="shared" ca="1" si="0"/>
        <v>848</v>
      </c>
      <c r="AH10" s="62" t="str">
        <f ca="1">VLOOKUP($AG10,OFFSET([1]characters!$A$1,0,0,COUNTA([1]characters!$A:$A),MATCH(AH$1,[1]characters!$1:$1,0)-MATCH($A$1,[1]characters!$1:$1,0)+1),MATCH(AH$1,[1]characters!$1:$1,0)-MATCH($A$1,[1]characters!$1:$1,0)+1,FALSE)</f>
        <v>メタトロン</v>
      </c>
      <c r="AI10" s="11">
        <f ca="1">IF(AE10="NULL","NULL",VLOOKUP(G10,ビット!$A$2:$B$7,2))</f>
        <v>200000</v>
      </c>
      <c r="AJ10" s="6">
        <v>2</v>
      </c>
      <c r="AK10" s="7" t="str">
        <f t="shared" si="9"/>
        <v>普通</v>
      </c>
      <c r="AL10" s="11" t="str">
        <f ca="1">INDEX(経験値!$A$1:$I$20,MATCH(H10,経験値!$A$1:$A$20,FALSE),MATCH(G10,経験値!$A$1:$I$1,FALSE))</f>
        <v>required_exp_200</v>
      </c>
      <c r="AM10" s="8">
        <f ca="1">VLOOKUP(G10,経験値!$A$27:$B$31,2)</f>
        <v>6400</v>
      </c>
      <c r="AN10" s="17">
        <f ca="1">VLOOKUP(G10,ビット!$G$2:$H$7,2)</f>
        <v>900</v>
      </c>
      <c r="AO10" s="45"/>
      <c r="AP10" s="67">
        <f t="shared" si="6"/>
        <v>848</v>
      </c>
      <c r="AQ10" s="57" t="str">
        <f ca="1">VLOOKUP($AP10,OFFSET(unit_skills!$A$1,0,0,COUNTA(unit_skills!$A:$A),MATCH(AQ$1,unit_skills!$1:$1,0)-MATCH($AP$1,unit_skills!$1:$1,0)+1),MATCH(AQ$1,unit_skills!$1:$1,0)-MATCH($AP$1,unit_skills!$1:$1,0)+1,FALSE)</f>
        <v>365,000アイズ</v>
      </c>
      <c r="AR10" s="57" t="str">
        <f ca="1">VLOOKUP($AP10,OFFSET(unit_skills!$A$1,0,0,COUNTA(unit_skills!$A:$A),MATCH(AR$1,unit_skills!$1:$1,0)-MATCH($AP$1,unit_skills!$1:$1,0)+1),MATCH(AR$1,unit_skills!$1:$1,0)-MATCH($AP$1,unit_skills!$1:$1,0)+1,FALSE)</f>
        <v>パネルをランダムで1つSCパネル(威力大)に変換+ウィルス解除+3ターンHP小回復</v>
      </c>
      <c r="AS10" s="57">
        <f ca="1">VLOOKUP($AP10,OFFSET(unit_skills!$A$1,0,0,COUNTA(unit_skills!$A:$A),MATCH(AS$1,unit_skills!$1:$1,0)-MATCH($AP$1,unit_skills!$1:$1,0)+1),MATCH(AS$1,unit_skills!$1:$1,0)-MATCH($AP$1,unit_skills!$1:$1,0)+1,FALSE)</f>
        <v>0</v>
      </c>
      <c r="AT10" s="41">
        <f t="shared" si="7"/>
        <v>848</v>
      </c>
      <c r="AU10" s="57" t="str">
        <f ca="1">VLOOKUP($AT10,OFFSET(crash_skills!$A$1,0,0,COUNTA(crash_skills!$A:$A),MATCH(AU$1,crash_skills!$1:$1,0)-MATCH($AT$1,crash_skills!$1:$1,0)+1),MATCH(AU$1,crash_skills!$1:$1,0)-MATCH($AT$1,crash_skills!$1:$1,0)+1,FALSE)</f>
        <v>導きの巨炎</v>
      </c>
      <c r="AV10" s="57" t="str">
        <f ca="1">VLOOKUP($AT10,OFFSET(crash_skills!$A$1,0,0,COUNTA(crash_skills!$A:$A),MATCH(AV$1,crash_skills!$1:$1,0)-MATCH($AT$1,crash_skills!$1:$1,0)+1),MATCH(AV$1,crash_skills!$1:$1,0)-MATCH($AT$1,crash_skills!$1:$1,0)+1,FALSE)</f>
        <v>1体に特大ダメージ</v>
      </c>
      <c r="AW10" s="57">
        <f ca="1">VLOOKUP($AT10,OFFSET(crash_skills!$A$1,0,0,COUNTA(crash_skills!$A:$A),MATCH(AW$1,crash_skills!$1:$1,0)-MATCH($AT$1,crash_skills!$1:$1,0)+1),MATCH(AW$1,crash_skills!$1:$1,0)-MATCH($AT$1,crash_skills!$1:$1,0)+1,FALSE)</f>
        <v>0</v>
      </c>
      <c r="AX10" s="58">
        <f ca="1">VLOOKUP($A10,OFFSET([1]characters!$A$1,0,0,COUNTA([1]characters!$A:$A),MATCH(AX$1,[1]characters!$1:$1,0)-MATCH($A$1,[1]characters!$1:$1,0)+1),MATCH(AX$1,[1]characters!$1:$1,0)-MATCH($A$1,[1]characters!$1:$1,0)+1,FALSE)</f>
        <v>3</v>
      </c>
      <c r="AY10" s="68">
        <v>1</v>
      </c>
      <c r="AZ10" s="68">
        <v>1</v>
      </c>
      <c r="BA10" s="68">
        <v>0</v>
      </c>
      <c r="BB10" s="68">
        <v>1</v>
      </c>
      <c r="BC10" s="11">
        <f ca="1">INDEX('RC6SV'!$A$1:$G$20,MATCH(H10,'RC6SV'!$A$1:$A$20,FALSE),MATCH(G10,'RC6SV'!$A$1:$G$1,FALSE))</f>
        <v>9500</v>
      </c>
      <c r="BD10" s="48">
        <f t="shared" ca="1" si="10"/>
        <v>9500</v>
      </c>
      <c r="BE10" s="11">
        <f t="shared" ca="1" si="3"/>
        <v>0</v>
      </c>
      <c r="BF10" s="11">
        <f t="shared" ca="1" si="4"/>
        <v>1</v>
      </c>
      <c r="BG10" s="16">
        <f ca="1">IF($BE10&lt;=0,ROUND(BK10*0.5,0), ROUND($BE10*S10*AA10*J10*AY10*0.8*[1]ステータス!$B$2,0))</f>
        <v>2280</v>
      </c>
      <c r="BH10" s="16">
        <f ca="1">IF($BE10&lt;=0,ROUND(BL10*0.5,0), ROUND($BE10*T10*AB10*K10*AZ10*0.8*[1]ステータス!$C$2,0))</f>
        <v>1483</v>
      </c>
      <c r="BI10" s="16">
        <f ca="1">IF($BE10&lt;=0,ROUND(BM10*0.5,0), ROUND($BE10*U10*AC10*L10*BA10*0.8*[1]ステータス!$D$2,0))</f>
        <v>0</v>
      </c>
      <c r="BJ10" s="16">
        <f ca="1">IF($BE10&lt;=0,ROUND(BN10*0.5,0), ROUND($BE10*V10*AD10*M10*BB10*0.8*[1]ステータス!$E$2,0))</f>
        <v>1187</v>
      </c>
      <c r="BK10" s="11">
        <f ca="1">ROUND(BD10*S10*AA10*J10*AY10*[1]ステータス!$B$2,0)</f>
        <v>4560</v>
      </c>
      <c r="BL10" s="11">
        <f ca="1">ROUND(BD10*T10*AB10*K10*AZ10*[1]ステータス!$C$2,0)</f>
        <v>2965</v>
      </c>
      <c r="BM10" s="11">
        <f ca="1">ROUND(BD10*U10*AC10*L10*BA10*[1]ステータス!$D$2,0)</f>
        <v>0</v>
      </c>
      <c r="BN10" s="11">
        <f ca="1">ROUND(BD10*V10*AD10*M10*BB10*[1]ステータス!$E$2,0)</f>
        <v>2374</v>
      </c>
      <c r="BO10" s="10">
        <v>0</v>
      </c>
      <c r="BP10" s="10">
        <v>1</v>
      </c>
      <c r="BQ10" s="10" t="s">
        <v>47</v>
      </c>
      <c r="BR10" s="10">
        <f ca="1">VLOOKUP(H10,ghosts_label!$A$2:$B$19,2,FALSE)</f>
        <v>5500</v>
      </c>
    </row>
    <row r="11" spans="1:70" ht="26" customHeight="1" x14ac:dyDescent="0.15">
      <c r="A11" s="12">
        <v>849</v>
      </c>
      <c r="B11" s="57" t="str">
        <f ca="1">VLOOKUP($A11,OFFSET([1]characters!$A$1,0,0,COUNTA([1]characters!$A:$A),MATCH(B$1,[1]characters!$1:$1,0)-MATCH($A$1,[1]characters!$1:$1,0)+1),MATCH(B$1,[1]characters!$1:$1,0)-MATCH($A$1,[1]characters!$1:$1,0)+1,FALSE)</f>
        <v>燦然たる天使 メタトロン・ラヴァ</v>
      </c>
      <c r="C11" s="57" t="str">
        <f ca="1">VLOOKUP($A11,OFFSET([1]characters!$A$1,0,0,COUNTA([1]characters!$A:$A),MATCH(C$1,[1]characters!$1:$1,0)-MATCH($A$1,[1]characters!$1:$1,0)+1),MATCH(C$1,[1]characters!$1:$1,0)-MATCH($A$1,[1]characters!$1:$1,0)+1,FALSE)</f>
        <v>各属性相性良3・黄・R467</v>
      </c>
      <c r="D11" s="57" t="str">
        <f ca="1">VLOOKUP($A11,OFFSET([1]characters!$A$1,0,0,COUNTA([1]characters!$A:$A),MATCH(D$1,[1]characters!$1:$1,0)-MATCH($A$1,[1]characters!$1:$1,0)+1),MATCH(D$1,[1]characters!$1:$1,0)-MATCH($A$1,[1]characters!$1:$1,0)+1,FALSE)</f>
        <v>執行者</v>
      </c>
      <c r="E11" s="57" t="str">
        <f ca="1">VLOOKUP($A11,OFFSET([1]characters!$A$1,0,0,COUNTA([1]characters!$A:$A),MATCH(E$1,[1]characters!$1:$1,0)-MATCH($A$1,[1]characters!$1:$1,0)+1),MATCH(E$1,[1]characters!$1:$1,0)-MATCH($A$1,[1]characters!$1:$1,0)+1,FALSE)</f>
        <v>格好いい</v>
      </c>
      <c r="F11" s="57" t="str">
        <f ca="1">VLOOKUP($A11,OFFSET([1]characters!$A$1,0,0,COUNTA([1]characters!$A:$A),MATCH(F$1,[1]characters!$1:$1,0)-MATCH($A$1,[1]characters!$1:$1,0)+1),MATCH(F$1,[1]characters!$1:$1,0)-MATCH($A$1,[1]characters!$1:$1,0)+1,FALSE)</f>
        <v>男性</v>
      </c>
      <c r="G11" s="57">
        <f ca="1">VLOOKUP($A11,OFFSET([1]characters!$A$1,0,0,COUNTA([1]characters!$A:$A),MATCH(G$1,[1]characters!$1:$1,0)-MATCH($A$1,[1]characters!$1:$1,0)+1),MATCH(G$1,[1]characters!$1:$1,0)-MATCH($A$1,[1]characters!$1:$1,0)+1,FALSE)</f>
        <v>6</v>
      </c>
      <c r="H11" s="57" t="str">
        <f ca="1">VLOOKUP($A11,OFFSET([1]characters!$A$1,0,0,COUNTA([1]characters!$A:$A),MATCH(H$1,[1]characters!$1:$1,0)-MATCH($A$1,[1]characters!$1:$1,0)+1),MATCH(H$1,[1]characters!$1:$1,0)-MATCH($A$1,[1]characters!$1:$1,0)+1,FALSE)</f>
        <v>PremiumSS</v>
      </c>
      <c r="I11" s="57" t="str">
        <f ca="1">VLOOKUP($A11,OFFSET([1]characters!$A$1,0,0,COUNTA([1]characters!$A:$A),MATCH(I$1,[1]characters!$1:$1,0)-MATCH($A$1,[1]characters!$1:$1,0)+1),MATCH(I$1,[1]characters!$1:$1,0)-MATCH($A$1,[1]characters!$1:$1,0)+1,FALSE)</f>
        <v>red</v>
      </c>
      <c r="J11" s="11">
        <f ca="1">VLOOKUP(I11,[1]属性!$A:$E,2,FALSE)</f>
        <v>1</v>
      </c>
      <c r="K11" s="11">
        <f ca="1">VLOOKUP(I11,[1]属性!$A:$E,3,FALSE)</f>
        <v>1.02</v>
      </c>
      <c r="L11" s="11">
        <f ca="1">VLOOKUP(I11,[1]属性!$A:$E,4,FALSE)</f>
        <v>1</v>
      </c>
      <c r="M11" s="11">
        <f ca="1">VLOOKUP(I11,[1]属性!$A:$E,5,FALSE)</f>
        <v>0.98</v>
      </c>
      <c r="N11" s="11">
        <f ca="1">INDEX(コスト!$A$1:$I$20,MATCH(H11,コスト!$A$1:$A$20,FALSE),MATCH(G11,コスト!$A$1:$I$1,FALSE))</f>
        <v>50</v>
      </c>
      <c r="O11" s="11">
        <f ca="1">INDEX(レベル!$A$1:$I$21,MATCH(H11,レベル!$A$1:$A$21,FALSE),MATCH(G11,レベル!$A$1:$I$1,FALSE))</f>
        <v>99</v>
      </c>
      <c r="P11" s="48">
        <f t="shared" ca="1" si="11"/>
        <v>99</v>
      </c>
      <c r="Q11" s="57"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7" t="str">
        <f ca="1">VLOOKUP($A11,OFFSET([1]characters!$A$1,0,0,COUNTA([1]characters!$A:$A),MATCH(W$1,[1]characters!$1:$1,0)-MATCH($A$1,[1]characters!$1:$1,0)+1),MATCH(W$1,[1]characters!$1:$1,0)-MATCH($A$1,[1]characters!$1:$1,0)+1,FALSE)</f>
        <v>god</v>
      </c>
      <c r="X11" s="5" t="str">
        <f ca="1">VLOOKUP(W11,[1]character_tribe_i18n!$A:$H,3,FALSE)</f>
        <v>ゴッド</v>
      </c>
      <c r="Y11" s="57" t="str">
        <f ca="1">VLOOKUP($A11,OFFSET([1]characters!$A$1,0,0,COUNTA([1]characters!$A:$A),MATCH(Y$1,[1]characters!$1:$1,0)-MATCH($A$1,[1]characters!$1:$1,0)+1),MATCH(Y$1,[1]characters!$1:$1,0)-MATCH($A$1,[1]characters!$1:$1,0)+1,FALSE)</f>
        <v>machine</v>
      </c>
      <c r="Z11" s="5" t="str">
        <f ca="1">VLOOKUP(Y11,[1]character_tribe_i18n!$A:$H,3,FALSE)</f>
        <v>マシン</v>
      </c>
      <c r="AA11" s="11">
        <f ca="1">VLOOKUP(W11,[1]character_tribe_i18n!$A:$H,4,FALSE)</f>
        <v>0.96</v>
      </c>
      <c r="AB11" s="11">
        <f ca="1">VLOOKUP(W11,[1]character_tribe_i18n!$A:$H,5,FALSE)</f>
        <v>1.02</v>
      </c>
      <c r="AC11" s="11">
        <f ca="1">VLOOKUP(W11,[1]character_tribe_i18n!$A:$H,6,FALSE)</f>
        <v>1</v>
      </c>
      <c r="AD11" s="11">
        <f ca="1">VLOOKUP(W11,[1]character_tribe_i18n!$A:$H,7,FALSE)</f>
        <v>1.02</v>
      </c>
      <c r="AE11" s="9" t="s">
        <v>183</v>
      </c>
      <c r="AF11" s="62" t="str">
        <f ca="1">IF(AE11="NULL","",VLOOKUP($AE11,OFFSET([1]characters!$A$1,0,0,COUNTA([1]characters!$A:$A),MATCH(AF$1,[1]characters!$1:$1,0)-MATCH($A$1,[1]characters!$1:$1,0)+1),MATCH(AF$1,[1]characters!$1:$1,0)-MATCH($A$1,[1]characters!$1:$1,0)+1,FALSE))</f>
        <v/>
      </c>
      <c r="AG11" s="5">
        <f t="shared" ca="1" si="0"/>
        <v>848</v>
      </c>
      <c r="AH11" s="62" t="str">
        <f ca="1">VLOOKUP($AG11,OFFSET([1]characters!$A$1,0,0,COUNTA([1]characters!$A:$A),MATCH(AH$1,[1]characters!$1:$1,0)-MATCH($A$1,[1]characters!$1:$1,0)+1),MATCH(AH$1,[1]characters!$1:$1,0)-MATCH($A$1,[1]characters!$1:$1,0)+1,FALSE)</f>
        <v>メタトロン</v>
      </c>
      <c r="AI11" s="11" t="str">
        <f>IF(AE11="NULL","NULL",VLOOKUP(G11,ビット!$A$2:$B$7,2))</f>
        <v>NULL</v>
      </c>
      <c r="AJ11" s="6">
        <v>2</v>
      </c>
      <c r="AK11" s="7" t="str">
        <f t="shared" si="9"/>
        <v>普通</v>
      </c>
      <c r="AL11" s="11" t="str">
        <f ca="1">INDEX(経験値!$A$1:$I$20,MATCH(H11,経験値!$A$1:$A$20,FALSE),MATCH(G11,経験値!$A$1:$I$1,FALSE))</f>
        <v>required_exp_250</v>
      </c>
      <c r="AM11" s="8">
        <f ca="1">VLOOKUP(G11,経験値!$A$27:$B$31,2)</f>
        <v>6400</v>
      </c>
      <c r="AN11" s="17">
        <f ca="1">VLOOKUP(G11,ビット!$G$2:$H$7,2)</f>
        <v>900</v>
      </c>
      <c r="AO11" s="45"/>
      <c r="AP11" s="67">
        <f t="shared" si="6"/>
        <v>849</v>
      </c>
      <c r="AQ11" s="57" t="str">
        <f ca="1">VLOOKUP($AP11,OFFSET(unit_skills!$A$1,0,0,COUNTA(unit_skills!$A:$A),MATCH(AQ$1,unit_skills!$1:$1,0)-MATCH($AP$1,unit_skills!$1:$1,0)+1),MATCH(AQ$1,unit_skills!$1:$1,0)-MATCH($AP$1,unit_skills!$1:$1,0)+1,FALSE)</f>
        <v>1,365,000ベネディクション</v>
      </c>
      <c r="AR11" s="57" t="str">
        <f ca="1">VLOOKUP($AP11,OFFSET(unit_skills!$A$1,0,0,COUNTA(unit_skills!$A:$A),MATCH(AR$1,unit_skills!$1:$1,0)-MATCH($AP$1,unit_skills!$1:$1,0)+1),MATCH(AR$1,unit_skills!$1:$1,0)-MATCH($AP$1,unit_skills!$1:$1,0)+1,FALSE)</f>
        <v>パネルをランダムで2つSCパネル(威力大)に変換+ウィルス解除+3ターンHP小回復</v>
      </c>
      <c r="AS11" s="57">
        <f ca="1">VLOOKUP($AP11,OFFSET(unit_skills!$A$1,0,0,COUNTA(unit_skills!$A:$A),MATCH(AS$1,unit_skills!$1:$1,0)-MATCH($AP$1,unit_skills!$1:$1,0)+1),MATCH(AS$1,unit_skills!$1:$1,0)-MATCH($AP$1,unit_skills!$1:$1,0)+1,FALSE)</f>
        <v>0</v>
      </c>
      <c r="AT11" s="41">
        <f t="shared" si="7"/>
        <v>849</v>
      </c>
      <c r="AU11" s="57" t="str">
        <f ca="1">VLOOKUP($AT11,OFFSET(crash_skills!$A$1,0,0,COUNTA(crash_skills!$A:$A),MATCH(AU$1,crash_skills!$1:$1,0)-MATCH($AT$1,crash_skills!$1:$1,0)+1),MATCH(AU$1,crash_skills!$1:$1,0)-MATCH($AT$1,crash_skills!$1:$1,0)+1,FALSE)</f>
        <v>天へと続く導きの巨炎</v>
      </c>
      <c r="AV11" s="57" t="str">
        <f ca="1">VLOOKUP($AT11,OFFSET(crash_skills!$A$1,0,0,COUNTA(crash_skills!$A:$A),MATCH(AV$1,crash_skills!$1:$1,0)-MATCH($AT$1,crash_skills!$1:$1,0)+1),MATCH(AV$1,crash_skills!$1:$1,0)-MATCH($AT$1,crash_skills!$1:$1,0)+1,FALSE)</f>
        <v>1体に超大ダメージ+_x000D_1ターン赤属性ユニットの防御力特大UP</v>
      </c>
      <c r="AW11" s="57">
        <f ca="1">VLOOKUP($AT11,OFFSET(crash_skills!$A$1,0,0,COUNTA(crash_skills!$A:$A),MATCH(AW$1,crash_skills!$1:$1,0)-MATCH($AT$1,crash_skills!$1:$1,0)+1),MATCH(AW$1,crash_skills!$1:$1,0)-MATCH($AT$1,crash_skills!$1:$1,0)+1,FALSE)</f>
        <v>0</v>
      </c>
      <c r="AX11" s="58">
        <f ca="1">VLOOKUP($A11,OFFSET([1]characters!$A$1,0,0,COUNTA([1]characters!$A:$A),MATCH(AX$1,[1]characters!$1:$1,0)-MATCH($A$1,[1]characters!$1:$1,0)+1),MATCH(AX$1,[1]characters!$1:$1,0)-MATCH($A$1,[1]characters!$1:$1,0)+1,FALSE)</f>
        <v>3</v>
      </c>
      <c r="AY11" s="68">
        <v>1</v>
      </c>
      <c r="AZ11" s="68">
        <v>1</v>
      </c>
      <c r="BA11" s="68">
        <v>0</v>
      </c>
      <c r="BB11" s="68">
        <v>1.0620000000000001</v>
      </c>
      <c r="BC11" s="11">
        <f ca="1">INDEX('RC6SV'!$A$1:$G$20,MATCH(H11,'RC6SV'!$A$1:$A$20,FALSE),MATCH(G11,'RC6SV'!$A$1:$G$1,FALSE))</f>
        <v>13000</v>
      </c>
      <c r="BD11" s="48">
        <f t="shared" ca="1" si="10"/>
        <v>13000</v>
      </c>
      <c r="BE11" s="11">
        <f t="shared" ca="1" si="3"/>
        <v>9500</v>
      </c>
      <c r="BF11" s="11">
        <f t="shared" ca="1" si="4"/>
        <v>1</v>
      </c>
      <c r="BG11" s="16">
        <f ca="1">IF($BE11&lt;=0,ROUND(BK11*0.5,0), ROUND($BE11*S11*AA11*J11*AY11*0.8*[1]ステータス!$B$2,0))</f>
        <v>3648</v>
      </c>
      <c r="BH11" s="16">
        <f ca="1">IF($BE11&lt;=0,ROUND(BL11*0.5,0), ROUND($BE11*T11*AB11*K11*AZ11*0.8*[1]ステータス!$C$2,0))</f>
        <v>2372</v>
      </c>
      <c r="BI11" s="16">
        <f ca="1">IF($BE11&lt;=0,ROUND(BM11*0.5,0), ROUND($BE11*U11*AC11*L11*BA11*0.8*[1]ステータス!$D$2,0))</f>
        <v>0</v>
      </c>
      <c r="BJ11" s="16">
        <f ca="1">IF($BE11&lt;=0,ROUND(BN11*0.5,0), ROUND($BE11*V11*AD11*M11*BB11*0.8*[1]ステータス!$E$2,0))</f>
        <v>2017</v>
      </c>
      <c r="BK11" s="11">
        <f ca="1">ROUND(BD11*S11*AA11*J11*AY11*[1]ステータス!$B$2,0)</f>
        <v>6240</v>
      </c>
      <c r="BL11" s="11">
        <f ca="1">ROUND(BD11*T11*AB11*K11*AZ11*[1]ステータス!$C$2,0)</f>
        <v>4058</v>
      </c>
      <c r="BM11" s="11">
        <f ca="1">ROUND(BD11*U11*AC11*L11*BA11*[1]ステータス!$D$2,0)</f>
        <v>0</v>
      </c>
      <c r="BN11" s="11">
        <f ca="1">ROUND(BD11*V11*AD11*M11*BB11*[1]ステータス!$E$2,0)</f>
        <v>3450</v>
      </c>
      <c r="BO11" s="10">
        <v>0</v>
      </c>
      <c r="BP11" s="10">
        <v>1</v>
      </c>
      <c r="BQ11" s="10" t="s">
        <v>47</v>
      </c>
      <c r="BR11" s="10">
        <f ca="1">VLOOKUP(H11,ghosts_label!$A$2:$B$19,2,FALSE)</f>
        <v>5500</v>
      </c>
    </row>
    <row r="12" spans="1:70" ht="26" customHeight="1" x14ac:dyDescent="0.15">
      <c r="A12" s="12">
        <v>850</v>
      </c>
      <c r="B12" s="57" t="str">
        <f ca="1">VLOOKUP($A12,OFFSET([1]characters!$A$1,0,0,COUNTA([1]characters!$A:$A),MATCH(B$1,[1]characters!$1:$1,0)-MATCH($A$1,[1]characters!$1:$1,0)+1),MATCH(B$1,[1]characters!$1:$1,0)-MATCH($A$1,[1]characters!$1:$1,0)+1,FALSE)</f>
        <v>バアル</v>
      </c>
      <c r="C12" s="57" t="str">
        <f ca="1">VLOOKUP($A12,OFFSET([1]characters!$A$1,0,0,COUNTA([1]characters!$A:$A),MATCH(C$1,[1]characters!$1:$1,0)-MATCH($A$1,[1]characters!$1:$1,0)+1),MATCH(C$1,[1]characters!$1:$1,0)-MATCH($A$1,[1]characters!$1:$1,0)+1,FALSE)</f>
        <v>各属性相性良3・黄・R468</v>
      </c>
      <c r="D12" s="57" t="str">
        <f ca="1">VLOOKUP($A12,OFFSET([1]characters!$A$1,0,0,COUNTA([1]characters!$A:$A),MATCH(D$1,[1]characters!$1:$1,0)-MATCH($A$1,[1]characters!$1:$1,0)+1),MATCH(D$1,[1]characters!$1:$1,0)-MATCH($A$1,[1]characters!$1:$1,0)+1,FALSE)</f>
        <v>執行者</v>
      </c>
      <c r="E12" s="57" t="str">
        <f ca="1">VLOOKUP($A12,OFFSET([1]characters!$A$1,0,0,COUNTA([1]characters!$A:$A),MATCH(E$1,[1]characters!$1:$1,0)-MATCH($A$1,[1]characters!$1:$1,0)+1),MATCH(E$1,[1]characters!$1:$1,0)-MATCH($A$1,[1]characters!$1:$1,0)+1,FALSE)</f>
        <v>格好いい</v>
      </c>
      <c r="F12" s="57" t="str">
        <f ca="1">VLOOKUP($A12,OFFSET([1]characters!$A$1,0,0,COUNTA([1]characters!$A:$A),MATCH(F$1,[1]characters!$1:$1,0)-MATCH($A$1,[1]characters!$1:$1,0)+1),MATCH(F$1,[1]characters!$1:$1,0)-MATCH($A$1,[1]characters!$1:$1,0)+1,FALSE)</f>
        <v>男性</v>
      </c>
      <c r="G12" s="57">
        <f ca="1">VLOOKUP($A12,OFFSET([1]characters!$A$1,0,0,COUNTA([1]characters!$A:$A),MATCH(G$1,[1]characters!$1:$1,0)-MATCH($A$1,[1]characters!$1:$1,0)+1),MATCH(G$1,[1]characters!$1:$1,0)-MATCH($A$1,[1]characters!$1:$1,0)+1,FALSE)</f>
        <v>5</v>
      </c>
      <c r="H12" s="57" t="str">
        <f ca="1">VLOOKUP($A12,OFFSET([1]characters!$A$1,0,0,COUNTA([1]characters!$A:$A),MATCH(H$1,[1]characters!$1:$1,0)-MATCH($A$1,[1]characters!$1:$1,0)+1),MATCH(H$1,[1]characters!$1:$1,0)-MATCH($A$1,[1]characters!$1:$1,0)+1,FALSE)</f>
        <v>PremiumSS</v>
      </c>
      <c r="I12" s="57" t="str">
        <f ca="1">VLOOKUP($A12,OFFSET([1]characters!$A$1,0,0,COUNTA([1]characters!$A:$A),MATCH(I$1,[1]characters!$1:$1,0)-MATCH($A$1,[1]characters!$1:$1,0)+1),MATCH(I$1,[1]characters!$1:$1,0)-MATCH($A$1,[1]characters!$1:$1,0)+1,FALSE)</f>
        <v>green</v>
      </c>
      <c r="J12" s="11">
        <f ca="1">VLOOKUP(I12,[1]属性!$A:$E,2,FALSE)</f>
        <v>1.02</v>
      </c>
      <c r="K12" s="11">
        <f ca="1">VLOOKUP(I12,[1]属性!$A:$E,3,FALSE)</f>
        <v>0.98</v>
      </c>
      <c r="L12" s="11">
        <f ca="1">VLOOKUP(I12,[1]属性!$A:$E,4,FALSE)</f>
        <v>1</v>
      </c>
      <c r="M12" s="11">
        <f ca="1">VLOOKUP(I12,[1]属性!$A:$E,5,FALSE)</f>
        <v>1</v>
      </c>
      <c r="N12" s="11">
        <f ca="1">INDEX(コスト!$A$1:$I$20,MATCH(H12,コスト!$A$1:$A$20,FALSE),MATCH(G12,コスト!$A$1:$I$1,FALSE))</f>
        <v>35</v>
      </c>
      <c r="O12" s="11">
        <f ca="1">INDEX(レベル!$A$1:$I$21,MATCH(H12,レベル!$A$1:$A$21,FALSE),MATCH(G12,レベル!$A$1:$I$1,FALSE))</f>
        <v>80</v>
      </c>
      <c r="P12" s="48">
        <f t="shared" ca="1" si="11"/>
        <v>75</v>
      </c>
      <c r="Q12" s="57" t="str">
        <f ca="1">VLOOKUP($A12,OFFSET([1]characters!$A$1,0,0,COUNTA([1]characters!$A:$A),MATCH(Q$1,[1]characters!$1:$1,0)-MATCH($A$1,[1]characters!$1:$1,0)+1),MATCH(Q$1,[1]characters!$1:$1,0)-MATCH($A$1,[1]characters!$1:$1,0)+1,FALSE)</f>
        <v>technical</v>
      </c>
      <c r="R12" s="5" t="str">
        <f ca="1">VLOOKUP(Q12,[1]character_type_i18n!$A:$H,3,FALSE)</f>
        <v>テクニカルタイプ</v>
      </c>
      <c r="S12" s="11">
        <f ca="1">VLOOKUP(Q12,[1]character_type_i18n!$A:$H,4,FALSE)</f>
        <v>0.9</v>
      </c>
      <c r="T12" s="11">
        <f ca="1">VLOOKUP(Q12,[1]character_type_i18n!$A:$H,5,FALSE)</f>
        <v>0.9</v>
      </c>
      <c r="U12" s="11">
        <f ca="1">VLOOKUP(Q12,[1]character_type_i18n!$A:$H,6,FALSE)</f>
        <v>1</v>
      </c>
      <c r="V12" s="11">
        <f ca="1">VLOOKUP(Q12,[1]character_type_i18n!$A:$H,7,FALSE)</f>
        <v>0.9</v>
      </c>
      <c r="W12" s="57" t="str">
        <f ca="1">VLOOKUP($A12,OFFSET([1]characters!$A$1,0,0,COUNTA([1]characters!$A:$A),MATCH(W$1,[1]characters!$1:$1,0)-MATCH($A$1,[1]characters!$1:$1,0)+1),MATCH(W$1,[1]characters!$1:$1,0)-MATCH($A$1,[1]characters!$1:$1,0)+1,FALSE)</f>
        <v>god</v>
      </c>
      <c r="X12" s="5" t="str">
        <f ca="1">VLOOKUP(W12,[1]character_tribe_i18n!$A:$H,3,FALSE)</f>
        <v>ゴッド</v>
      </c>
      <c r="Y12" s="57"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0.96</v>
      </c>
      <c r="AB12" s="11">
        <f ca="1">VLOOKUP(W12,[1]character_tribe_i18n!$A:$H,5,FALSE)</f>
        <v>1.02</v>
      </c>
      <c r="AC12" s="11">
        <f ca="1">VLOOKUP(W12,[1]character_tribe_i18n!$A:$H,6,FALSE)</f>
        <v>1</v>
      </c>
      <c r="AD12" s="11">
        <f ca="1">VLOOKUP(W12,[1]character_tribe_i18n!$A:$H,7,FALSE)</f>
        <v>1.02</v>
      </c>
      <c r="AE12" s="9">
        <f t="shared" ref="AE12" si="15">A13</f>
        <v>851</v>
      </c>
      <c r="AF12" s="62" t="str">
        <f ca="1">IF(AE12="NULL","",VLOOKUP($AE12,OFFSET([1]characters!$A$1,0,0,COUNTA([1]characters!$A:$A),MATCH(AF$1,[1]characters!$1:$1,0)-MATCH($A$1,[1]characters!$1:$1,0)+1),MATCH(AF$1,[1]characters!$1:$1,0)-MATCH($A$1,[1]characters!$1:$1,0)+1,FALSE))</f>
        <v>寡黙なる凶王 バアル</v>
      </c>
      <c r="AG12" s="5">
        <f t="shared" ca="1" si="0"/>
        <v>850</v>
      </c>
      <c r="AH12" s="62" t="str">
        <f ca="1">VLOOKUP($AG12,OFFSET([1]characters!$A$1,0,0,COUNTA([1]characters!$A:$A),MATCH(AH$1,[1]characters!$1:$1,0)-MATCH($A$1,[1]characters!$1:$1,0)+1),MATCH(AH$1,[1]characters!$1:$1,0)-MATCH($A$1,[1]characters!$1:$1,0)+1,FALSE)</f>
        <v>バアル</v>
      </c>
      <c r="AI12" s="11">
        <f ca="1">IF(AE12="NULL","NULL",VLOOKUP(G12,ビット!$A$2:$B$7,2))</f>
        <v>200000</v>
      </c>
      <c r="AJ12" s="6">
        <v>2</v>
      </c>
      <c r="AK12" s="7" t="str">
        <f t="shared" si="9"/>
        <v>普通</v>
      </c>
      <c r="AL12" s="11" t="str">
        <f ca="1">INDEX(経験値!$A$1:$I$20,MATCH(H12,経験値!$A$1:$A$20,FALSE),MATCH(G12,経験値!$A$1:$I$1,FALSE))</f>
        <v>required_exp_200</v>
      </c>
      <c r="AM12" s="8">
        <f ca="1">VLOOKUP(G12,経験値!$A$27:$B$31,2)</f>
        <v>6400</v>
      </c>
      <c r="AN12" s="17">
        <f ca="1">VLOOKUP(G12,ビット!$G$2:$H$7,2)</f>
        <v>900</v>
      </c>
      <c r="AO12" s="45"/>
      <c r="AP12" s="67">
        <f t="shared" si="6"/>
        <v>850</v>
      </c>
      <c r="AQ12" s="57" t="str">
        <f ca="1">VLOOKUP($AP12,OFFSET(unit_skills!$A$1,0,0,COUNTA(unit_skills!$A:$A),MATCH(AQ$1,unit_skills!$1:$1,0)-MATCH($AP$1,unit_skills!$1:$1,0)+1),MATCH(AQ$1,unit_skills!$1:$1,0)-MATCH($AP$1,unit_skills!$1:$1,0)+1,FALSE)</f>
        <v>ヤグルシ・アンド・アイムール</v>
      </c>
      <c r="AR12" s="57" t="str">
        <f ca="1">VLOOKUP($AP12,OFFSET(unit_skills!$A$1,0,0,COUNTA(unit_skills!$A:$A),MATCH(AR$1,unit_skills!$1:$1,0)-MATCH($AP$1,unit_skills!$1:$1,0)+1),MATCH(AR$1,unit_skills!$1:$1,0)-MATCH($AP$1,unit_skills!$1:$1,0)+1,FALSE)</f>
        <v>パネルをランダムで2つ緑ボム(大)に変換+2ターン緑属性の攻撃力と防御力を超大UP</v>
      </c>
      <c r="AS12" s="57">
        <f ca="1">VLOOKUP($AP12,OFFSET(unit_skills!$A$1,0,0,COUNTA(unit_skills!$A:$A),MATCH(AS$1,unit_skills!$1:$1,0)-MATCH($AP$1,unit_skills!$1:$1,0)+1),MATCH(AS$1,unit_skills!$1:$1,0)-MATCH($AP$1,unit_skills!$1:$1,0)+1,FALSE)</f>
        <v>0</v>
      </c>
      <c r="AT12" s="41">
        <f t="shared" si="7"/>
        <v>850</v>
      </c>
      <c r="AU12" s="57" t="str">
        <f ca="1">VLOOKUP($AT12,OFFSET(crash_skills!$A$1,0,0,COUNTA(crash_skills!$A:$A),MATCH(AU$1,crash_skills!$1:$1,0)-MATCH($AT$1,crash_skills!$1:$1,0)+1),MATCH(AU$1,crash_skills!$1:$1,0)-MATCH($AT$1,crash_skills!$1:$1,0)+1,FALSE)</f>
        <v>ファントム・ピンクトード</v>
      </c>
      <c r="AV12" s="57" t="str">
        <f ca="1">VLOOKUP($AT12,OFFSET(crash_skills!$A$1,0,0,COUNTA(crash_skills!$A:$A),MATCH(AV$1,crash_skills!$1:$1,0)-MATCH($AT$1,crash_skills!$1:$1,0)+1),MATCH(AV$1,crash_skills!$1:$1,0)-MATCH($AT$1,crash_skills!$1:$1,0)+1,FALSE)</f>
        <v>単体に2回中ダメージ</v>
      </c>
      <c r="AW12" s="57">
        <f ca="1">VLOOKUP($AT12,OFFSET(crash_skills!$A$1,0,0,COUNTA(crash_skills!$A:$A),MATCH(AW$1,crash_skills!$1:$1,0)-MATCH($AT$1,crash_skills!$1:$1,0)+1),MATCH(AW$1,crash_skills!$1:$1,0)-MATCH($AT$1,crash_skills!$1:$1,0)+1,FALSE)</f>
        <v>0</v>
      </c>
      <c r="AX12" s="58">
        <f ca="1">VLOOKUP($A12,OFFSET([1]characters!$A$1,0,0,COUNTA([1]characters!$A:$A),MATCH(AX$1,[1]characters!$1:$1,0)-MATCH($A$1,[1]characters!$1:$1,0)+1),MATCH(AX$1,[1]characters!$1:$1,0)-MATCH($A$1,[1]characters!$1:$1,0)+1,FALSE)</f>
        <v>3</v>
      </c>
      <c r="AY12" s="68">
        <v>1.05</v>
      </c>
      <c r="AZ12" s="68">
        <v>1.1000000000000001</v>
      </c>
      <c r="BA12" s="68">
        <v>0</v>
      </c>
      <c r="BB12" s="68">
        <v>0.94</v>
      </c>
      <c r="BC12" s="11">
        <f ca="1">INDEX('RC6SV'!$A$1:$G$20,MATCH(H12,'RC6SV'!$A$1:$A$20,FALSE),MATCH(G12,'RC6SV'!$A$1:$G$1,FALSE))</f>
        <v>9500</v>
      </c>
      <c r="BD12" s="48">
        <f t="shared" ca="1" si="10"/>
        <v>9500</v>
      </c>
      <c r="BE12" s="11">
        <f t="shared" ca="1" si="3"/>
        <v>0</v>
      </c>
      <c r="BF12" s="11">
        <f t="shared" ca="1" si="4"/>
        <v>1</v>
      </c>
      <c r="BG12" s="16">
        <f ca="1">IF($BE12&lt;=0,ROUND(BK12*0.5,0), ROUND($BE12*S12*AA12*J12*AY12*0.8*[1]ステータス!$B$2,0))</f>
        <v>2198</v>
      </c>
      <c r="BH12" s="16">
        <f ca="1">IF($BE12&lt;=0,ROUND(BL12*0.5,0), ROUND($BE12*T12*AB12*K12*AZ12*0.8*[1]ステータス!$C$2,0))</f>
        <v>1410</v>
      </c>
      <c r="BI12" s="16">
        <f ca="1">IF($BE12&lt;=0,ROUND(BM12*0.5,0), ROUND($BE12*U12*AC12*L12*BA12*0.8*[1]ステータス!$D$2,0))</f>
        <v>0</v>
      </c>
      <c r="BJ12" s="16">
        <f ca="1">IF($BE12&lt;=0,ROUND(BN12*0.5,0), ROUND($BE12*V12*AD12*M12*BB12*0.8*[1]ステータス!$E$2,0))</f>
        <v>1025</v>
      </c>
      <c r="BK12" s="11">
        <f ca="1">ROUND(BD12*S12*AA12*J12*AY12*[1]ステータス!$B$2,0)</f>
        <v>4395</v>
      </c>
      <c r="BL12" s="11">
        <f ca="1">ROUND(BD12*T12*AB12*K12*AZ12*[1]ステータス!$C$2,0)</f>
        <v>2820</v>
      </c>
      <c r="BM12" s="11">
        <f ca="1">ROUND(BD12*U12*AC12*L12*BA12*[1]ステータス!$D$2,0)</f>
        <v>0</v>
      </c>
      <c r="BN12" s="11">
        <f ca="1">ROUND(BD12*V12*AD12*M12*BB12*[1]ステータス!$E$2,0)</f>
        <v>2049</v>
      </c>
      <c r="BO12" s="10">
        <v>0</v>
      </c>
      <c r="BP12" s="10">
        <v>1</v>
      </c>
      <c r="BQ12" s="10" t="s">
        <v>47</v>
      </c>
      <c r="BR12" s="10">
        <f ca="1">VLOOKUP(H12,ghosts_label!$A$2:$B$19,2,FALSE)</f>
        <v>5500</v>
      </c>
    </row>
    <row r="13" spans="1:70" ht="26" customHeight="1" x14ac:dyDescent="0.15">
      <c r="A13" s="12">
        <v>851</v>
      </c>
      <c r="B13" s="57" t="str">
        <f ca="1">VLOOKUP($A13,OFFSET([1]characters!$A$1,0,0,COUNTA([1]characters!$A:$A),MATCH(B$1,[1]characters!$1:$1,0)-MATCH($A$1,[1]characters!$1:$1,0)+1),MATCH(B$1,[1]characters!$1:$1,0)-MATCH($A$1,[1]characters!$1:$1,0)+1,FALSE)</f>
        <v>寡黙なる凶王 バアル</v>
      </c>
      <c r="C13" s="57" t="str">
        <f ca="1">VLOOKUP($A13,OFFSET([1]characters!$A$1,0,0,COUNTA([1]characters!$A:$A),MATCH(C$1,[1]characters!$1:$1,0)-MATCH($A$1,[1]characters!$1:$1,0)+1),MATCH(C$1,[1]characters!$1:$1,0)-MATCH($A$1,[1]characters!$1:$1,0)+1,FALSE)</f>
        <v>各属性相性良3・黄・R469</v>
      </c>
      <c r="D13" s="57" t="str">
        <f ca="1">VLOOKUP($A13,OFFSET([1]characters!$A$1,0,0,COUNTA([1]characters!$A:$A),MATCH(D$1,[1]characters!$1:$1,0)-MATCH($A$1,[1]characters!$1:$1,0)+1),MATCH(D$1,[1]characters!$1:$1,0)-MATCH($A$1,[1]characters!$1:$1,0)+1,FALSE)</f>
        <v>執行者</v>
      </c>
      <c r="E13" s="57" t="str">
        <f ca="1">VLOOKUP($A13,OFFSET([1]characters!$A$1,0,0,COUNTA([1]characters!$A:$A),MATCH(E$1,[1]characters!$1:$1,0)-MATCH($A$1,[1]characters!$1:$1,0)+1),MATCH(E$1,[1]characters!$1:$1,0)-MATCH($A$1,[1]characters!$1:$1,0)+1,FALSE)</f>
        <v>格好いい</v>
      </c>
      <c r="F13" s="57" t="str">
        <f ca="1">VLOOKUP($A13,OFFSET([1]characters!$A$1,0,0,COUNTA([1]characters!$A:$A),MATCH(F$1,[1]characters!$1:$1,0)-MATCH($A$1,[1]characters!$1:$1,0)+1),MATCH(F$1,[1]characters!$1:$1,0)-MATCH($A$1,[1]characters!$1:$1,0)+1,FALSE)</f>
        <v>男性</v>
      </c>
      <c r="G13" s="57">
        <f ca="1">VLOOKUP($A13,OFFSET([1]characters!$A$1,0,0,COUNTA([1]characters!$A:$A),MATCH(G$1,[1]characters!$1:$1,0)-MATCH($A$1,[1]characters!$1:$1,0)+1),MATCH(G$1,[1]characters!$1:$1,0)-MATCH($A$1,[1]characters!$1:$1,0)+1,FALSE)</f>
        <v>6</v>
      </c>
      <c r="H13" s="57" t="str">
        <f ca="1">VLOOKUP($A13,OFFSET([1]characters!$A$1,0,0,COUNTA([1]characters!$A:$A),MATCH(H$1,[1]characters!$1:$1,0)-MATCH($A$1,[1]characters!$1:$1,0)+1),MATCH(H$1,[1]characters!$1:$1,0)-MATCH($A$1,[1]characters!$1:$1,0)+1,FALSE)</f>
        <v>PremiumSS</v>
      </c>
      <c r="I13" s="57" t="str">
        <f ca="1">VLOOKUP($A13,OFFSET([1]characters!$A$1,0,0,COUNTA([1]characters!$A:$A),MATCH(I$1,[1]characters!$1:$1,0)-MATCH($A$1,[1]characters!$1:$1,0)+1),MATCH(I$1,[1]characters!$1:$1,0)-MATCH($A$1,[1]characters!$1:$1,0)+1,FALSE)</f>
        <v>green</v>
      </c>
      <c r="J13" s="11">
        <f ca="1">VLOOKUP(I13,[1]属性!$A:$E,2,FALSE)</f>
        <v>1.02</v>
      </c>
      <c r="K13" s="11">
        <f ca="1">VLOOKUP(I13,[1]属性!$A:$E,3,FALSE)</f>
        <v>0.98</v>
      </c>
      <c r="L13" s="11">
        <f ca="1">VLOOKUP(I13,[1]属性!$A:$E,4,FALSE)</f>
        <v>1</v>
      </c>
      <c r="M13" s="11">
        <f ca="1">VLOOKUP(I13,[1]属性!$A:$E,5,FALSE)</f>
        <v>1</v>
      </c>
      <c r="N13" s="11">
        <f ca="1">INDEX(コスト!$A$1:$I$20,MATCH(H13,コスト!$A$1:$A$20,FALSE),MATCH(G13,コスト!$A$1:$I$1,FALSE))</f>
        <v>50</v>
      </c>
      <c r="O13" s="11">
        <f ca="1">INDEX(レベル!$A$1:$I$21,MATCH(H13,レベル!$A$1:$A$21,FALSE),MATCH(G13,レベル!$A$1:$I$1,FALSE))</f>
        <v>99</v>
      </c>
      <c r="P13" s="48">
        <f t="shared" ca="1" si="11"/>
        <v>99</v>
      </c>
      <c r="Q13" s="57" t="str">
        <f ca="1">VLOOKUP($A13,OFFSET([1]characters!$A$1,0,0,COUNTA([1]characters!$A:$A),MATCH(Q$1,[1]characters!$1:$1,0)-MATCH($A$1,[1]characters!$1:$1,0)+1),MATCH(Q$1,[1]characters!$1:$1,0)-MATCH($A$1,[1]characters!$1:$1,0)+1,FALSE)</f>
        <v>technical</v>
      </c>
      <c r="R13" s="5" t="str">
        <f ca="1">VLOOKUP(Q13,[1]character_type_i18n!$A:$H,3,FALSE)</f>
        <v>テクニカルタイプ</v>
      </c>
      <c r="S13" s="11">
        <f ca="1">VLOOKUP(Q13,[1]character_type_i18n!$A:$H,4,FALSE)</f>
        <v>0.9</v>
      </c>
      <c r="T13" s="11">
        <f ca="1">VLOOKUP(Q13,[1]character_type_i18n!$A:$H,5,FALSE)</f>
        <v>0.9</v>
      </c>
      <c r="U13" s="11">
        <f ca="1">VLOOKUP(Q13,[1]character_type_i18n!$A:$H,6,FALSE)</f>
        <v>1</v>
      </c>
      <c r="V13" s="11">
        <f ca="1">VLOOKUP(Q13,[1]character_type_i18n!$A:$H,7,FALSE)</f>
        <v>0.9</v>
      </c>
      <c r="W13" s="57" t="str">
        <f ca="1">VLOOKUP($A13,OFFSET([1]characters!$A$1,0,0,COUNTA([1]characters!$A:$A),MATCH(W$1,[1]characters!$1:$1,0)-MATCH($A$1,[1]characters!$1:$1,0)+1),MATCH(W$1,[1]characters!$1:$1,0)-MATCH($A$1,[1]characters!$1:$1,0)+1,FALSE)</f>
        <v>god</v>
      </c>
      <c r="X13" s="5" t="str">
        <f ca="1">VLOOKUP(W13,[1]character_tribe_i18n!$A:$H,3,FALSE)</f>
        <v>ゴッド</v>
      </c>
      <c r="Y13" s="57" t="str">
        <f ca="1">VLOOKUP($A13,OFFSET([1]characters!$A$1,0,0,COUNTA([1]characters!$A:$A),MATCH(Y$1,[1]characters!$1:$1,0)-MATCH($A$1,[1]characters!$1:$1,0)+1),MATCH(Y$1,[1]characters!$1:$1,0)-MATCH($A$1,[1]characters!$1:$1,0)+1,FALSE)</f>
        <v>demon</v>
      </c>
      <c r="Z13" s="5" t="str">
        <f ca="1">VLOOKUP(Y13,[1]character_tribe_i18n!$A:$H,3,FALSE)</f>
        <v>デーモン</v>
      </c>
      <c r="AA13" s="11">
        <f ca="1">VLOOKUP(W13,[1]character_tribe_i18n!$A:$H,4,FALSE)</f>
        <v>0.96</v>
      </c>
      <c r="AB13" s="11">
        <f ca="1">VLOOKUP(W13,[1]character_tribe_i18n!$A:$H,5,FALSE)</f>
        <v>1.02</v>
      </c>
      <c r="AC13" s="11">
        <f ca="1">VLOOKUP(W13,[1]character_tribe_i18n!$A:$H,6,FALSE)</f>
        <v>1</v>
      </c>
      <c r="AD13" s="11">
        <f ca="1">VLOOKUP(W13,[1]character_tribe_i18n!$A:$H,7,FALSE)</f>
        <v>1.02</v>
      </c>
      <c r="AE13" s="9" t="s">
        <v>183</v>
      </c>
      <c r="AF13" s="62" t="str">
        <f ca="1">IF(AE13="NULL","",VLOOKUP($AE13,OFFSET([1]characters!$A$1,0,0,COUNTA([1]characters!$A:$A),MATCH(AF$1,[1]characters!$1:$1,0)-MATCH($A$1,[1]characters!$1:$1,0)+1),MATCH(AF$1,[1]characters!$1:$1,0)-MATCH($A$1,[1]characters!$1:$1,0)+1,FALSE))</f>
        <v/>
      </c>
      <c r="AG13" s="5">
        <f t="shared" ca="1" si="0"/>
        <v>850</v>
      </c>
      <c r="AH13" s="62" t="str">
        <f ca="1">VLOOKUP($AG13,OFFSET([1]characters!$A$1,0,0,COUNTA([1]characters!$A:$A),MATCH(AH$1,[1]characters!$1:$1,0)-MATCH($A$1,[1]characters!$1:$1,0)+1),MATCH(AH$1,[1]characters!$1:$1,0)-MATCH($A$1,[1]characters!$1:$1,0)+1,FALSE)</f>
        <v>バアル</v>
      </c>
      <c r="AI13" s="11" t="str">
        <f>IF(AE13="NULL","NULL",VLOOKUP(G13,ビット!$A$2:$B$7,2))</f>
        <v>NULL</v>
      </c>
      <c r="AJ13" s="6">
        <v>2</v>
      </c>
      <c r="AK13" s="7" t="str">
        <f t="shared" si="9"/>
        <v>普通</v>
      </c>
      <c r="AL13" s="11" t="str">
        <f ca="1">INDEX(経験値!$A$1:$I$20,MATCH(H13,経験値!$A$1:$A$20,FALSE),MATCH(G13,経験値!$A$1:$I$1,FALSE))</f>
        <v>required_exp_250</v>
      </c>
      <c r="AM13" s="8">
        <f ca="1">VLOOKUP(G13,経験値!$A$27:$B$31,2)</f>
        <v>6400</v>
      </c>
      <c r="AN13" s="17">
        <f ca="1">VLOOKUP(G13,ビット!$G$2:$H$7,2)</f>
        <v>900</v>
      </c>
      <c r="AO13" s="45"/>
      <c r="AP13" s="67">
        <f t="shared" si="6"/>
        <v>851</v>
      </c>
      <c r="AQ13" s="57" t="str">
        <f ca="1">VLOOKUP($AP13,OFFSET(unit_skills!$A$1,0,0,COUNTA(unit_skills!$A:$A),MATCH(AQ$1,unit_skills!$1:$1,0)-MATCH($AP$1,unit_skills!$1:$1,0)+1),MATCH(AQ$1,unit_skills!$1:$1,0)-MATCH($AP$1,unit_skills!$1:$1,0)+1,FALSE)</f>
        <v>ヤグルシ・アンド・アイムール</v>
      </c>
      <c r="AR13" s="57" t="str">
        <f ca="1">VLOOKUP($AP13,OFFSET(unit_skills!$A$1,0,0,COUNTA(unit_skills!$A:$A),MATCH(AR$1,unit_skills!$1:$1,0)-MATCH($AP$1,unit_skills!$1:$1,0)+1),MATCH(AR$1,unit_skills!$1:$1,0)-MATCH($AP$1,unit_skills!$1:$1,0)+1,FALSE)</f>
        <v>ランダムで最大4個緑ボム(大)変換+2ターン緑属性の攻撃力と防御力を超大UPし、種族ゴッド・デーモンのタップ回数を1増やす</v>
      </c>
      <c r="AS13" s="57">
        <f ca="1">VLOOKUP($AP13,OFFSET(unit_skills!$A$1,0,0,COUNTA(unit_skills!$A:$A),MATCH(AS$1,unit_skills!$1:$1,0)-MATCH($AP$1,unit_skills!$1:$1,0)+1),MATCH(AS$1,unit_skills!$1:$1,0)-MATCH($AP$1,unit_skills!$1:$1,0)+1,FALSE)</f>
        <v>0</v>
      </c>
      <c r="AT13" s="41">
        <f t="shared" si="7"/>
        <v>851</v>
      </c>
      <c r="AU13" s="57" t="str">
        <f ca="1">VLOOKUP($AT13,OFFSET(crash_skills!$A$1,0,0,COUNTA(crash_skills!$A:$A),MATCH(AU$1,crash_skills!$1:$1,0)-MATCH($AT$1,crash_skills!$1:$1,0)+1),MATCH(AU$1,crash_skills!$1:$1,0)-MATCH($AT$1,crash_skills!$1:$1,0)+1,FALSE)</f>
        <v>ファントム・ブラックキャット</v>
      </c>
      <c r="AV13" s="57" t="str">
        <f ca="1">VLOOKUP($AT13,OFFSET(crash_skills!$A$1,0,0,COUNTA(crash_skills!$A:$A),MATCH(AV$1,crash_skills!$1:$1,0)-MATCH($AT$1,crash_skills!$1:$1,0)+1),MATCH(AV$1,crash_skills!$1:$1,0)-MATCH($AT$1,crash_skills!$1:$1,0)+1,FALSE)</f>
        <v>単体に2回大ダメージ</v>
      </c>
      <c r="AW13" s="57">
        <f ca="1">VLOOKUP($AT13,OFFSET(crash_skills!$A$1,0,0,COUNTA(crash_skills!$A:$A),MATCH(AW$1,crash_skills!$1:$1,0)-MATCH($AT$1,crash_skills!$1:$1,0)+1),MATCH(AW$1,crash_skills!$1:$1,0)-MATCH($AT$1,crash_skills!$1:$1,0)+1,FALSE)</f>
        <v>0</v>
      </c>
      <c r="AX13" s="58">
        <f ca="1">VLOOKUP($A13,OFFSET([1]characters!$A$1,0,0,COUNTA([1]characters!$A:$A),MATCH(AX$1,[1]characters!$1:$1,0)-MATCH($A$1,[1]characters!$1:$1,0)+1),MATCH(AX$1,[1]characters!$1:$1,0)-MATCH($A$1,[1]characters!$1:$1,0)+1,FALSE)</f>
        <v>3</v>
      </c>
      <c r="AY13" s="68">
        <v>1.103</v>
      </c>
      <c r="AZ13" s="68">
        <v>1.21</v>
      </c>
      <c r="BA13" s="68">
        <v>0</v>
      </c>
      <c r="BB13" s="68">
        <v>0.94</v>
      </c>
      <c r="BC13" s="11">
        <f ca="1">INDEX('RC6SV'!$A$1:$G$20,MATCH(H13,'RC6SV'!$A$1:$A$20,FALSE),MATCH(G13,'RC6SV'!$A$1:$G$1,FALSE))</f>
        <v>13000</v>
      </c>
      <c r="BD13" s="48">
        <f t="shared" ca="1" si="10"/>
        <v>13000</v>
      </c>
      <c r="BE13" s="11">
        <f t="shared" ca="1" si="3"/>
        <v>9500</v>
      </c>
      <c r="BF13" s="11">
        <f t="shared" ca="1" si="4"/>
        <v>1</v>
      </c>
      <c r="BG13" s="16">
        <f ca="1">IF($BE13&lt;=0,ROUND(BK13*0.5,0), ROUND($BE13*S13*AA13*J13*AY13*0.8*[1]ステータス!$B$2,0))</f>
        <v>3694</v>
      </c>
      <c r="BH13" s="16">
        <f ca="1">IF($BE13&lt;=0,ROUND(BL13*0.5,0), ROUND($BE13*T13*AB13*K13*AZ13*0.8*[1]ステータス!$C$2,0))</f>
        <v>2482</v>
      </c>
      <c r="BI13" s="16">
        <f ca="1">IF($BE13&lt;=0,ROUND(BM13*0.5,0), ROUND($BE13*U13*AC13*L13*BA13*0.8*[1]ステータス!$D$2,0))</f>
        <v>0</v>
      </c>
      <c r="BJ13" s="16">
        <f ca="1">IF($BE13&lt;=0,ROUND(BN13*0.5,0), ROUND($BE13*V13*AD13*M13*BB13*0.8*[1]ステータス!$E$2,0))</f>
        <v>1640</v>
      </c>
      <c r="BK13" s="11">
        <f ca="1">ROUND(BD13*S13*AA13*J13*AY13*[1]ステータス!$B$2,0)</f>
        <v>6318</v>
      </c>
      <c r="BL13" s="11">
        <f ca="1">ROUND(BD13*T13*AB13*K13*AZ13*[1]ステータス!$C$2,0)</f>
        <v>4245</v>
      </c>
      <c r="BM13" s="11">
        <f ca="1">ROUND(BD13*U13*AC13*L13*BA13*[1]ステータス!$D$2,0)</f>
        <v>0</v>
      </c>
      <c r="BN13" s="11">
        <f ca="1">ROUND(BD13*V13*AD13*M13*BB13*[1]ステータス!$E$2,0)</f>
        <v>2804</v>
      </c>
      <c r="BO13" s="10">
        <v>0</v>
      </c>
      <c r="BP13" s="10">
        <v>1</v>
      </c>
      <c r="BQ13" s="10" t="s">
        <v>47</v>
      </c>
      <c r="BR13" s="10">
        <f ca="1">VLOOKUP(H13,ghosts_label!$A$2:$B$19,2,FALSE)</f>
        <v>5500</v>
      </c>
    </row>
    <row r="14" spans="1:70" ht="26" customHeight="1" x14ac:dyDescent="0.15">
      <c r="A14" s="12">
        <v>852</v>
      </c>
      <c r="B14" s="57" t="str">
        <f ca="1">VLOOKUP($A14,OFFSET([1]characters!$A$1,0,0,COUNTA([1]characters!$A:$A),MATCH(B$1,[1]characters!$1:$1,0)-MATCH($A$1,[1]characters!$1:$1,0)+1),MATCH(B$1,[1]characters!$1:$1,0)-MATCH($A$1,[1]characters!$1:$1,0)+1,FALSE)</f>
        <v>サキエル</v>
      </c>
      <c r="C14" s="57" t="str">
        <f ca="1">VLOOKUP($A14,OFFSET([1]characters!$A$1,0,0,COUNTA([1]characters!$A:$A),MATCH(C$1,[1]characters!$1:$1,0)-MATCH($A$1,[1]characters!$1:$1,0)+1),MATCH(C$1,[1]characters!$1:$1,0)-MATCH($A$1,[1]characters!$1:$1,0)+1,FALSE)</f>
        <v>各属性相性良3・黄・R470</v>
      </c>
      <c r="D14" s="57" t="str">
        <f ca="1">VLOOKUP($A14,OFFSET([1]characters!$A$1,0,0,COUNTA([1]characters!$A:$A),MATCH(D$1,[1]characters!$1:$1,0)-MATCH($A$1,[1]characters!$1:$1,0)+1),MATCH(D$1,[1]characters!$1:$1,0)-MATCH($A$1,[1]characters!$1:$1,0)+1,FALSE)</f>
        <v>執行者</v>
      </c>
      <c r="E14" s="57" t="str">
        <f ca="1">VLOOKUP($A14,OFFSET([1]characters!$A$1,0,0,COUNTA([1]characters!$A:$A),MATCH(E$1,[1]characters!$1:$1,0)-MATCH($A$1,[1]characters!$1:$1,0)+1),MATCH(E$1,[1]characters!$1:$1,0)-MATCH($A$1,[1]characters!$1:$1,0)+1,FALSE)</f>
        <v>格好いい</v>
      </c>
      <c r="F14" s="57" t="str">
        <f ca="1">VLOOKUP($A14,OFFSET([1]characters!$A$1,0,0,COUNTA([1]characters!$A:$A),MATCH(F$1,[1]characters!$1:$1,0)-MATCH($A$1,[1]characters!$1:$1,0)+1),MATCH(F$1,[1]characters!$1:$1,0)-MATCH($A$1,[1]characters!$1:$1,0)+1,FALSE)</f>
        <v>男性</v>
      </c>
      <c r="G14" s="57">
        <f ca="1">VLOOKUP($A14,OFFSET([1]characters!$A$1,0,0,COUNTA([1]characters!$A:$A),MATCH(G$1,[1]characters!$1:$1,0)-MATCH($A$1,[1]characters!$1:$1,0)+1),MATCH(G$1,[1]characters!$1:$1,0)-MATCH($A$1,[1]characters!$1:$1,0)+1,FALSE)</f>
        <v>4</v>
      </c>
      <c r="H14" s="57" t="str">
        <f ca="1">VLOOKUP($A14,OFFSET([1]characters!$A$1,0,0,COUNTA([1]characters!$A:$A),MATCH(H$1,[1]characters!$1:$1,0)-MATCH($A$1,[1]characters!$1:$1,0)+1),MATCH(H$1,[1]characters!$1:$1,0)-MATCH($A$1,[1]characters!$1:$1,0)+1,FALSE)</f>
        <v>PremiumS</v>
      </c>
      <c r="I14" s="57" t="str">
        <f ca="1">VLOOKUP($A14,OFFSET([1]characters!$A$1,0,0,COUNTA([1]characters!$A:$A),MATCH(I$1,[1]characters!$1:$1,0)-MATCH($A$1,[1]characters!$1:$1,0)+1),MATCH(I$1,[1]characters!$1:$1,0)-MATCH($A$1,[1]characters!$1:$1,0)+1,FALSE)</f>
        <v>blue</v>
      </c>
      <c r="J14" s="11">
        <f ca="1">VLOOKUP(I14,[1]属性!$A:$E,2,FALSE)</f>
        <v>1</v>
      </c>
      <c r="K14" s="11">
        <f ca="1">VLOOKUP(I14,[1]属性!$A:$E,3,FALSE)</f>
        <v>0.98</v>
      </c>
      <c r="L14" s="11">
        <f ca="1">VLOOKUP(I14,[1]属性!$A:$E,4,FALSE)</f>
        <v>1</v>
      </c>
      <c r="M14" s="11">
        <f ca="1">VLOOKUP(I14,[1]属性!$A:$E,5,FALSE)</f>
        <v>1.02</v>
      </c>
      <c r="N14" s="11">
        <f ca="1">INDEX(コスト!$A$1:$I$20,MATCH(H14,コスト!$A$1:$A$20,FALSE),MATCH(G14,コスト!$A$1:$I$1,FALSE))</f>
        <v>20</v>
      </c>
      <c r="O14" s="11">
        <f ca="1">INDEX(レベル!$A$1:$I$21,MATCH(H14,レベル!$A$1:$A$21,FALSE),MATCH(G14,レベル!$A$1:$I$1,FALSE))</f>
        <v>60</v>
      </c>
      <c r="P14" s="48">
        <f t="shared" ca="1" si="11"/>
        <v>60</v>
      </c>
      <c r="Q14" s="57" t="str">
        <f ca="1">VLOOKUP($A14,OFFSET([1]characters!$A$1,0,0,COUNTA([1]characters!$A:$A),MATCH(Q$1,[1]characters!$1:$1,0)-MATCH($A$1,[1]characters!$1:$1,0)+1),MATCH(Q$1,[1]characters!$1:$1,0)-MATCH($A$1,[1]characters!$1:$1,0)+1,FALSE)</f>
        <v>hp</v>
      </c>
      <c r="R14" s="5" t="str">
        <f ca="1">VLOOKUP(Q14,[1]character_type_i18n!$A:$H,3,FALSE)</f>
        <v>体力タイプ</v>
      </c>
      <c r="S14" s="11">
        <f ca="1">VLOOKUP(Q14,[1]character_type_i18n!$A:$H,4,FALSE)</f>
        <v>1.45</v>
      </c>
      <c r="T14" s="11">
        <f ca="1">VLOOKUP(Q14,[1]character_type_i18n!$A:$H,5,FALSE)</f>
        <v>0.85</v>
      </c>
      <c r="U14" s="11">
        <f ca="1">VLOOKUP(Q14,[1]character_type_i18n!$A:$H,6,FALSE)</f>
        <v>1</v>
      </c>
      <c r="V14" s="11">
        <f ca="1">VLOOKUP(Q14,[1]character_type_i18n!$A:$H,7,FALSE)</f>
        <v>0.7</v>
      </c>
      <c r="W14" s="57" t="str">
        <f ca="1">VLOOKUP($A14,OFFSET([1]characters!$A$1,0,0,COUNTA([1]characters!$A:$A),MATCH(W$1,[1]characters!$1:$1,0)-MATCH($A$1,[1]characters!$1:$1,0)+1),MATCH(W$1,[1]characters!$1:$1,0)-MATCH($A$1,[1]characters!$1:$1,0)+1,FALSE)</f>
        <v>god</v>
      </c>
      <c r="X14" s="5" t="str">
        <f ca="1">VLOOKUP(W14,[1]character_tribe_i18n!$A:$H,3,FALSE)</f>
        <v>ゴッド</v>
      </c>
      <c r="Y14" s="57" t="str">
        <f ca="1">VLOOKUP($A14,OFFSET([1]characters!$A$1,0,0,COUNTA([1]characters!$A:$A),MATCH(Y$1,[1]characters!$1:$1,0)-MATCH($A$1,[1]characters!$1:$1,0)+1),MATCH(Y$1,[1]characters!$1:$1,0)-MATCH($A$1,[1]characters!$1:$1,0)+1,FALSE)</f>
        <v>machine</v>
      </c>
      <c r="Z14" s="5" t="str">
        <f ca="1">VLOOKUP(Y14,[1]character_tribe_i18n!$A:$H,3,FALSE)</f>
        <v>マシン</v>
      </c>
      <c r="AA14" s="11">
        <f ca="1">VLOOKUP(W14,[1]character_tribe_i18n!$A:$H,4,FALSE)</f>
        <v>0.96</v>
      </c>
      <c r="AB14" s="11">
        <f ca="1">VLOOKUP(W14,[1]character_tribe_i18n!$A:$H,5,FALSE)</f>
        <v>1.02</v>
      </c>
      <c r="AC14" s="11">
        <f ca="1">VLOOKUP(W14,[1]character_tribe_i18n!$A:$H,6,FALSE)</f>
        <v>1</v>
      </c>
      <c r="AD14" s="11">
        <f ca="1">VLOOKUP(W14,[1]character_tribe_i18n!$A:$H,7,FALSE)</f>
        <v>1.02</v>
      </c>
      <c r="AE14" s="9">
        <f t="shared" ref="AE14" si="16">A15</f>
        <v>853</v>
      </c>
      <c r="AF14" s="62" t="str">
        <f ca="1">IF(AE14="NULL","",VLOOKUP($AE14,OFFSET([1]characters!$A$1,0,0,COUNTA([1]characters!$A:$A),MATCH(AF$1,[1]characters!$1:$1,0)-MATCH($A$1,[1]characters!$1:$1,0)+1),MATCH(AF$1,[1]characters!$1:$1,0)-MATCH($A$1,[1]characters!$1:$1,0)+1,FALSE))</f>
        <v>裂爪の天使 サキエル・ティア</v>
      </c>
      <c r="AG14" s="5">
        <f t="shared" ca="1" si="0"/>
        <v>852</v>
      </c>
      <c r="AH14" s="62" t="str">
        <f ca="1">VLOOKUP($AG14,OFFSET([1]characters!$A$1,0,0,COUNTA([1]characters!$A:$A),MATCH(AH$1,[1]characters!$1:$1,0)-MATCH($A$1,[1]characters!$1:$1,0)+1),MATCH(AH$1,[1]characters!$1:$1,0)-MATCH($A$1,[1]characters!$1:$1,0)+1,FALSE)</f>
        <v>サキエル</v>
      </c>
      <c r="AI14" s="11">
        <f ca="1">IF(AE14="NULL","NULL",VLOOKUP(G14,ビット!$A$2:$B$7,2))</f>
        <v>50000</v>
      </c>
      <c r="AJ14" s="6">
        <v>2</v>
      </c>
      <c r="AK14" s="7" t="str">
        <f t="shared" si="9"/>
        <v>普通</v>
      </c>
      <c r="AL14" s="11" t="str">
        <f ca="1">INDEX(経験値!$A$1:$I$20,MATCH(H14,経験値!$A$1:$A$20,FALSE),MATCH(G14,経験値!$A$1:$I$1,FALSE))</f>
        <v>required_exp_200</v>
      </c>
      <c r="AM14" s="8">
        <f ca="1">VLOOKUP(G14,経験値!$A$27:$B$31,2)</f>
        <v>3400</v>
      </c>
      <c r="AN14" s="17">
        <f ca="1">VLOOKUP(G14,ビット!$G$2:$H$7,2)</f>
        <v>600</v>
      </c>
      <c r="AO14" s="45"/>
      <c r="AP14" s="67">
        <f t="shared" si="6"/>
        <v>852</v>
      </c>
      <c r="AQ14" s="57" t="str">
        <f ca="1">VLOOKUP($AP14,OFFSET(unit_skills!$A$1,0,0,COUNTA(unit_skills!$A:$A),MATCH(AQ$1,unit_skills!$1:$1,0)-MATCH($AP$1,unit_skills!$1:$1,0)+1),MATCH(AQ$1,unit_skills!$1:$1,0)-MATCH($AP$1,unit_skills!$1:$1,0)+1,FALSE)</f>
        <v>天上天下ヤッツ裂き</v>
      </c>
      <c r="AR14" s="57" t="str">
        <f ca="1">VLOOKUP($AP14,OFFSET(unit_skills!$A$1,0,0,COUNTA(unit_skills!$A:$A),MATCH(AR$1,unit_skills!$1:$1,0)-MATCH($AP$1,unit_skills!$1:$1,0)+1),MATCH(AR$1,unit_skills!$1:$1,0)-MATCH($AP$1,unit_skills!$1:$1,0)+1,FALSE)</f>
        <v>ハートパネルを青パネルに変換+3ターンマシンユニットのタップ回数を1増やす</v>
      </c>
      <c r="AS14" s="57">
        <f ca="1">VLOOKUP($AP14,OFFSET(unit_skills!$A$1,0,0,COUNTA(unit_skills!$A:$A),MATCH(AS$1,unit_skills!$1:$1,0)-MATCH($AP$1,unit_skills!$1:$1,0)+1),MATCH(AS$1,unit_skills!$1:$1,0)-MATCH($AP$1,unit_skills!$1:$1,0)+1,FALSE)</f>
        <v>0</v>
      </c>
      <c r="AT14" s="41">
        <f t="shared" si="7"/>
        <v>852</v>
      </c>
      <c r="AU14" s="57" t="str">
        <f ca="1">VLOOKUP($AT14,OFFSET(crash_skills!$A$1,0,0,COUNTA(crash_skills!$A:$A),MATCH(AU$1,crash_skills!$1:$1,0)-MATCH($AT$1,crash_skills!$1:$1,0)+1),MATCH(AU$1,crash_skills!$1:$1,0)-MATCH($AT$1,crash_skills!$1:$1,0)+1,FALSE)</f>
        <v>ドリフトファング</v>
      </c>
      <c r="AV14" s="57" t="str">
        <f ca="1">VLOOKUP($AT14,OFFSET(crash_skills!$A$1,0,0,COUNTA(crash_skills!$A:$A),MATCH(AV$1,crash_skills!$1:$1,0)-MATCH($AT$1,crash_skills!$1:$1,0)+1),MATCH(AV$1,crash_skills!$1:$1,0)-MATCH($AT$1,crash_skills!$1:$1,0)+1,FALSE)</f>
        <v>全体に大ダメージ</v>
      </c>
      <c r="AW14" s="57">
        <f ca="1">VLOOKUP($AT14,OFFSET(crash_skills!$A$1,0,0,COUNTA(crash_skills!$A:$A),MATCH(AW$1,crash_skills!$1:$1,0)-MATCH($AT$1,crash_skills!$1:$1,0)+1),MATCH(AW$1,crash_skills!$1:$1,0)-MATCH($AT$1,crash_skills!$1:$1,0)+1,FALSE)</f>
        <v>0</v>
      </c>
      <c r="AX14" s="58">
        <f ca="1">VLOOKUP($A14,OFFSET([1]characters!$A$1,0,0,COUNTA([1]characters!$A:$A),MATCH(AX$1,[1]characters!$1:$1,0)-MATCH($A$1,[1]characters!$1:$1,0)+1),MATCH(AX$1,[1]characters!$1:$1,0)-MATCH($A$1,[1]characters!$1:$1,0)+1,FALSE)</f>
        <v>3</v>
      </c>
      <c r="AY14" s="68">
        <v>1</v>
      </c>
      <c r="AZ14" s="68">
        <v>1</v>
      </c>
      <c r="BA14" s="68">
        <v>0</v>
      </c>
      <c r="BB14" s="68">
        <v>1</v>
      </c>
      <c r="BC14" s="11">
        <f ca="1">INDEX('RC6SV'!$A$1:$G$20,MATCH(H14,'RC6SV'!$A$1:$A$20,FALSE),MATCH(G14,'RC6SV'!$A$1:$G$1,FALSE))</f>
        <v>7000</v>
      </c>
      <c r="BD14" s="48">
        <f t="shared" ca="1" si="10"/>
        <v>7000</v>
      </c>
      <c r="BE14" s="11">
        <f t="shared" ca="1" si="3"/>
        <v>0</v>
      </c>
      <c r="BF14" s="11">
        <f t="shared" ca="1" si="4"/>
        <v>1</v>
      </c>
      <c r="BG14" s="16">
        <f ca="1">IF($BE14&lt;=0,ROUND(BK14*0.5,0), ROUND($BE14*S14*AA14*J14*AY14*0.8*[1]ステータス!$B$2,0))</f>
        <v>2436</v>
      </c>
      <c r="BH14" s="16">
        <f ca="1">IF($BE14&lt;=0,ROUND(BL14*0.5,0), ROUND($BE14*T14*AB14*K14*AZ14*0.8*[1]ステータス!$C$2,0))</f>
        <v>892</v>
      </c>
      <c r="BI14" s="16">
        <f ca="1">IF($BE14&lt;=0,ROUND(BM14*0.5,0), ROUND($BE14*U14*AC14*L14*BA14*0.8*[1]ステータス!$D$2,0))</f>
        <v>0</v>
      </c>
      <c r="BJ14" s="16">
        <f ca="1">IF($BE14&lt;=0,ROUND(BN14*0.5,0), ROUND($BE14*V14*AD14*M14*BB14*0.8*[1]ステータス!$E$2,0))</f>
        <v>637</v>
      </c>
      <c r="BK14" s="11">
        <f ca="1">ROUND(BD14*S14*AA14*J14*AY14*[1]ステータス!$B$2,0)</f>
        <v>4872</v>
      </c>
      <c r="BL14" s="11">
        <f ca="1">ROUND(BD14*T14*AB14*K14*AZ14*[1]ステータス!$C$2,0)</f>
        <v>1784</v>
      </c>
      <c r="BM14" s="11">
        <f ca="1">ROUND(BD14*U14*AC14*L14*BA14*[1]ステータス!$D$2,0)</f>
        <v>0</v>
      </c>
      <c r="BN14" s="11">
        <f ca="1">ROUND(BD14*V14*AD14*M14*BB14*[1]ステータス!$E$2,0)</f>
        <v>1274</v>
      </c>
      <c r="BO14" s="10">
        <v>0</v>
      </c>
      <c r="BP14" s="10">
        <v>1</v>
      </c>
      <c r="BQ14" s="10" t="s">
        <v>47</v>
      </c>
      <c r="BR14" s="10">
        <f ca="1">VLOOKUP(H14,ghosts_label!$A$2:$B$19,2,FALSE)</f>
        <v>700</v>
      </c>
    </row>
    <row r="15" spans="1:70" ht="26" customHeight="1" x14ac:dyDescent="0.15">
      <c r="A15" s="12">
        <v>853</v>
      </c>
      <c r="B15" s="57" t="str">
        <f ca="1">VLOOKUP($A15,OFFSET([1]characters!$A$1,0,0,COUNTA([1]characters!$A:$A),MATCH(B$1,[1]characters!$1:$1,0)-MATCH($A$1,[1]characters!$1:$1,0)+1),MATCH(B$1,[1]characters!$1:$1,0)-MATCH($A$1,[1]characters!$1:$1,0)+1,FALSE)</f>
        <v>裂爪の天使 サキエル・ティア</v>
      </c>
      <c r="C15" s="57" t="str">
        <f ca="1">VLOOKUP($A15,OFFSET([1]characters!$A$1,0,0,COUNTA([1]characters!$A:$A),MATCH(C$1,[1]characters!$1:$1,0)-MATCH($A$1,[1]characters!$1:$1,0)+1),MATCH(C$1,[1]characters!$1:$1,0)-MATCH($A$1,[1]characters!$1:$1,0)+1,FALSE)</f>
        <v>各属性相性良3・黄・R471</v>
      </c>
      <c r="D15" s="57" t="str">
        <f ca="1">VLOOKUP($A15,OFFSET([1]characters!$A$1,0,0,COUNTA([1]characters!$A:$A),MATCH(D$1,[1]characters!$1:$1,0)-MATCH($A$1,[1]characters!$1:$1,0)+1),MATCH(D$1,[1]characters!$1:$1,0)-MATCH($A$1,[1]characters!$1:$1,0)+1,FALSE)</f>
        <v>執行者</v>
      </c>
      <c r="E15" s="57" t="str">
        <f ca="1">VLOOKUP($A15,OFFSET([1]characters!$A$1,0,0,COUNTA([1]characters!$A:$A),MATCH(E$1,[1]characters!$1:$1,0)-MATCH($A$1,[1]characters!$1:$1,0)+1),MATCH(E$1,[1]characters!$1:$1,0)-MATCH($A$1,[1]characters!$1:$1,0)+1,FALSE)</f>
        <v>格好いい</v>
      </c>
      <c r="F15" s="57" t="str">
        <f ca="1">VLOOKUP($A15,OFFSET([1]characters!$A$1,0,0,COUNTA([1]characters!$A:$A),MATCH(F$1,[1]characters!$1:$1,0)-MATCH($A$1,[1]characters!$1:$1,0)+1),MATCH(F$1,[1]characters!$1:$1,0)-MATCH($A$1,[1]characters!$1:$1,0)+1,FALSE)</f>
        <v>男性</v>
      </c>
      <c r="G15" s="57">
        <f ca="1">VLOOKUP($A15,OFFSET([1]characters!$A$1,0,0,COUNTA([1]characters!$A:$A),MATCH(G$1,[1]characters!$1:$1,0)-MATCH($A$1,[1]characters!$1:$1,0)+1),MATCH(G$1,[1]characters!$1:$1,0)-MATCH($A$1,[1]characters!$1:$1,0)+1,FALSE)</f>
        <v>5</v>
      </c>
      <c r="H15" s="57" t="str">
        <f ca="1">VLOOKUP($A15,OFFSET([1]characters!$A$1,0,0,COUNTA([1]characters!$A:$A),MATCH(H$1,[1]characters!$1:$1,0)-MATCH($A$1,[1]characters!$1:$1,0)+1),MATCH(H$1,[1]characters!$1:$1,0)-MATCH($A$1,[1]characters!$1:$1,0)+1,FALSE)</f>
        <v>PremiumS</v>
      </c>
      <c r="I15" s="57" t="str">
        <f ca="1">VLOOKUP($A15,OFFSET([1]characters!$A$1,0,0,COUNTA([1]characters!$A:$A),MATCH(I$1,[1]characters!$1:$1,0)-MATCH($A$1,[1]characters!$1:$1,0)+1),MATCH(I$1,[1]characters!$1:$1,0)-MATCH($A$1,[1]characters!$1:$1,0)+1,FALSE)</f>
        <v>blue</v>
      </c>
      <c r="J15" s="11">
        <f ca="1">VLOOKUP(I15,[1]属性!$A:$E,2,FALSE)</f>
        <v>1</v>
      </c>
      <c r="K15" s="11">
        <f ca="1">VLOOKUP(I15,[1]属性!$A:$E,3,FALSE)</f>
        <v>0.98</v>
      </c>
      <c r="L15" s="11">
        <f ca="1">VLOOKUP(I15,[1]属性!$A:$E,4,FALSE)</f>
        <v>1</v>
      </c>
      <c r="M15" s="11">
        <f ca="1">VLOOKUP(I15,[1]属性!$A:$E,5,FALSE)</f>
        <v>1.02</v>
      </c>
      <c r="N15" s="11">
        <f ca="1">INDEX(コスト!$A$1:$I$20,MATCH(H15,コスト!$A$1:$A$20,FALSE),MATCH(G15,コスト!$A$1:$I$1,FALSE))</f>
        <v>30</v>
      </c>
      <c r="O15" s="11">
        <f ca="1">INDEX(レベル!$A$1:$I$21,MATCH(H15,レベル!$A$1:$A$21,FALSE),MATCH(G15,レベル!$A$1:$I$1,FALSE))</f>
        <v>80</v>
      </c>
      <c r="P15" s="48">
        <f t="shared" ca="1" si="11"/>
        <v>75</v>
      </c>
      <c r="Q15" s="57" t="str">
        <f ca="1">VLOOKUP($A15,OFFSET([1]characters!$A$1,0,0,COUNTA([1]characters!$A:$A),MATCH(Q$1,[1]characters!$1:$1,0)-MATCH($A$1,[1]characters!$1:$1,0)+1),MATCH(Q$1,[1]characters!$1:$1,0)-MATCH($A$1,[1]characters!$1:$1,0)+1,FALSE)</f>
        <v>hp</v>
      </c>
      <c r="R15" s="5" t="str">
        <f ca="1">VLOOKUP(Q15,[1]character_type_i18n!$A:$H,3,FALSE)</f>
        <v>体力タイプ</v>
      </c>
      <c r="S15" s="11">
        <f ca="1">VLOOKUP(Q15,[1]character_type_i18n!$A:$H,4,FALSE)</f>
        <v>1.45</v>
      </c>
      <c r="T15" s="11">
        <f ca="1">VLOOKUP(Q15,[1]character_type_i18n!$A:$H,5,FALSE)</f>
        <v>0.85</v>
      </c>
      <c r="U15" s="11">
        <f ca="1">VLOOKUP(Q15,[1]character_type_i18n!$A:$H,6,FALSE)</f>
        <v>1</v>
      </c>
      <c r="V15" s="11">
        <f ca="1">VLOOKUP(Q15,[1]character_type_i18n!$A:$H,7,FALSE)</f>
        <v>0.7</v>
      </c>
      <c r="W15" s="57" t="str">
        <f ca="1">VLOOKUP($A15,OFFSET([1]characters!$A$1,0,0,COUNTA([1]characters!$A:$A),MATCH(W$1,[1]characters!$1:$1,0)-MATCH($A$1,[1]characters!$1:$1,0)+1),MATCH(W$1,[1]characters!$1:$1,0)-MATCH($A$1,[1]characters!$1:$1,0)+1,FALSE)</f>
        <v>god</v>
      </c>
      <c r="X15" s="5" t="str">
        <f ca="1">VLOOKUP(W15,[1]character_tribe_i18n!$A:$H,3,FALSE)</f>
        <v>ゴッド</v>
      </c>
      <c r="Y15" s="57" t="str">
        <f ca="1">VLOOKUP($A15,OFFSET([1]characters!$A$1,0,0,COUNTA([1]characters!$A:$A),MATCH(Y$1,[1]characters!$1:$1,0)-MATCH($A$1,[1]characters!$1:$1,0)+1),MATCH(Y$1,[1]characters!$1:$1,0)-MATCH($A$1,[1]characters!$1:$1,0)+1,FALSE)</f>
        <v>machine</v>
      </c>
      <c r="Z15" s="5" t="str">
        <f ca="1">VLOOKUP(Y15,[1]character_tribe_i18n!$A:$H,3,FALSE)</f>
        <v>マシン</v>
      </c>
      <c r="AA15" s="11">
        <f ca="1">VLOOKUP(W15,[1]character_tribe_i18n!$A:$H,4,FALSE)</f>
        <v>0.96</v>
      </c>
      <c r="AB15" s="11">
        <f ca="1">VLOOKUP(W15,[1]character_tribe_i18n!$A:$H,5,FALSE)</f>
        <v>1.02</v>
      </c>
      <c r="AC15" s="11">
        <f ca="1">VLOOKUP(W15,[1]character_tribe_i18n!$A:$H,6,FALSE)</f>
        <v>1</v>
      </c>
      <c r="AD15" s="11">
        <f ca="1">VLOOKUP(W15,[1]character_tribe_i18n!$A:$H,7,FALSE)</f>
        <v>1.02</v>
      </c>
      <c r="AE15" s="9" t="s">
        <v>183</v>
      </c>
      <c r="AF15" s="62" t="str">
        <f ca="1">IF(AE15="NULL","",VLOOKUP($AE15,OFFSET([1]characters!$A$1,0,0,COUNTA([1]characters!$A:$A),MATCH(AF$1,[1]characters!$1:$1,0)-MATCH($A$1,[1]characters!$1:$1,0)+1),MATCH(AF$1,[1]characters!$1:$1,0)-MATCH($A$1,[1]characters!$1:$1,0)+1,FALSE))</f>
        <v/>
      </c>
      <c r="AG15" s="5">
        <f t="shared" ca="1" si="0"/>
        <v>852</v>
      </c>
      <c r="AH15" s="62" t="str">
        <f ca="1">VLOOKUP($AG15,OFFSET([1]characters!$A$1,0,0,COUNTA([1]characters!$A:$A),MATCH(AH$1,[1]characters!$1:$1,0)-MATCH($A$1,[1]characters!$1:$1,0)+1),MATCH(AH$1,[1]characters!$1:$1,0)-MATCH($A$1,[1]characters!$1:$1,0)+1,FALSE)</f>
        <v>サキエル</v>
      </c>
      <c r="AI15" s="11" t="str">
        <f>IF(AE15="NULL","NULL",VLOOKUP(G15,ビット!$A$2:$B$7,2))</f>
        <v>NULL</v>
      </c>
      <c r="AJ15" s="6">
        <v>2</v>
      </c>
      <c r="AK15" s="7" t="str">
        <f t="shared" si="9"/>
        <v>普通</v>
      </c>
      <c r="AL15" s="11" t="str">
        <f ca="1">INDEX(経験値!$A$1:$I$20,MATCH(H15,経験値!$A$1:$A$20,FALSE),MATCH(G15,経験値!$A$1:$I$1,FALSE))</f>
        <v>required_exp_200</v>
      </c>
      <c r="AM15" s="8">
        <f ca="1">VLOOKUP(G15,経験値!$A$27:$B$31,2)</f>
        <v>6400</v>
      </c>
      <c r="AN15" s="17">
        <f ca="1">VLOOKUP(G15,ビット!$G$2:$H$7,2)</f>
        <v>900</v>
      </c>
      <c r="AO15" s="45"/>
      <c r="AP15" s="67">
        <f t="shared" si="6"/>
        <v>853</v>
      </c>
      <c r="AQ15" s="57" t="str">
        <f ca="1">VLOOKUP($AP15,OFFSET(unit_skills!$A$1,0,0,COUNTA(unit_skills!$A:$A),MATCH(AQ$1,unit_skills!$1:$1,0)-MATCH($AP$1,unit_skills!$1:$1,0)+1),MATCH(AQ$1,unit_skills!$1:$1,0)-MATCH($AP$1,unit_skills!$1:$1,0)+1,FALSE)</f>
        <v>天上天下ヤッツ裂き</v>
      </c>
      <c r="AR15" s="57" t="str">
        <f ca="1">VLOOKUP($AP15,OFFSET(unit_skills!$A$1,0,0,COUNTA(unit_skills!$A:$A),MATCH(AR$1,unit_skills!$1:$1,0)-MATCH($AP$1,unit_skills!$1:$1,0)+1),MATCH(AR$1,unit_skills!$1:$1,0)-MATCH($AP$1,unit_skills!$1:$1,0)+1,FALSE)</f>
        <v>ハートパネルを青パネルに変換+3ターンマシンユニットのタップ回数を1増やす</v>
      </c>
      <c r="AS15" s="57">
        <f ca="1">VLOOKUP($AP15,OFFSET(unit_skills!$A$1,0,0,COUNTA(unit_skills!$A:$A),MATCH(AS$1,unit_skills!$1:$1,0)-MATCH($AP$1,unit_skills!$1:$1,0)+1),MATCH(AS$1,unit_skills!$1:$1,0)-MATCH($AP$1,unit_skills!$1:$1,0)+1,FALSE)</f>
        <v>0</v>
      </c>
      <c r="AT15" s="41">
        <f t="shared" si="7"/>
        <v>853</v>
      </c>
      <c r="AU15" s="57" t="str">
        <f ca="1">VLOOKUP($AT15,OFFSET(crash_skills!$A$1,0,0,COUNTA(crash_skills!$A:$A),MATCH(AU$1,crash_skills!$1:$1,0)-MATCH($AT$1,crash_skills!$1:$1,0)+1),MATCH(AU$1,crash_skills!$1:$1,0)-MATCH($AT$1,crash_skills!$1:$1,0)+1,FALSE)</f>
        <v>ドリフトファング・エンドレス</v>
      </c>
      <c r="AV15" s="57" t="str">
        <f ca="1">VLOOKUP($AT15,OFFSET(crash_skills!$A$1,0,0,COUNTA(crash_skills!$A:$A),MATCH(AV$1,crash_skills!$1:$1,0)-MATCH($AT$1,crash_skills!$1:$1,0)+1),MATCH(AV$1,crash_skills!$1:$1,0)-MATCH($AT$1,crash_skills!$1:$1,0)+1,FALSE)</f>
        <v>全体に特大ダメージ</v>
      </c>
      <c r="AW15" s="57">
        <f ca="1">VLOOKUP($AT15,OFFSET(crash_skills!$A$1,0,0,COUNTA(crash_skills!$A:$A),MATCH(AW$1,crash_skills!$1:$1,0)-MATCH($AT$1,crash_skills!$1:$1,0)+1),MATCH(AW$1,crash_skills!$1:$1,0)-MATCH($AT$1,crash_skills!$1:$1,0)+1,FALSE)</f>
        <v>0</v>
      </c>
      <c r="AX15" s="58">
        <f ca="1">VLOOKUP($A15,OFFSET([1]characters!$A$1,0,0,COUNTA([1]characters!$A:$A),MATCH(AX$1,[1]characters!$1:$1,0)-MATCH($A$1,[1]characters!$1:$1,0)+1),MATCH(AX$1,[1]characters!$1:$1,0)-MATCH($A$1,[1]characters!$1:$1,0)+1,FALSE)</f>
        <v>3</v>
      </c>
      <c r="AY15" s="68">
        <v>1</v>
      </c>
      <c r="AZ15" s="68">
        <v>1</v>
      </c>
      <c r="BA15" s="68">
        <v>0</v>
      </c>
      <c r="BB15" s="68">
        <v>1</v>
      </c>
      <c r="BC15" s="11">
        <f ca="1">INDEX('RC6SV'!$A$1:$G$20,MATCH(H15,'RC6SV'!$A$1:$A$20,FALSE),MATCH(G15,'RC6SV'!$A$1:$G$1,FALSE))</f>
        <v>9000</v>
      </c>
      <c r="BD15" s="48">
        <f t="shared" ca="1" si="10"/>
        <v>9000</v>
      </c>
      <c r="BE15" s="11">
        <f t="shared" ca="1" si="3"/>
        <v>7000</v>
      </c>
      <c r="BF15" s="11">
        <f t="shared" ca="1" si="4"/>
        <v>1</v>
      </c>
      <c r="BG15" s="16">
        <f ca="1">IF($BE15&lt;=0,ROUND(BK15*0.5,0), ROUND($BE15*S15*AA15*J15*AY15*0.8*[1]ステータス!$B$2,0))</f>
        <v>3898</v>
      </c>
      <c r="BH15" s="16">
        <f ca="1">IF($BE15&lt;=0,ROUND(BL15*0.5,0), ROUND($BE15*T15*AB15*K15*AZ15*0.8*[1]ステータス!$C$2,0))</f>
        <v>1427</v>
      </c>
      <c r="BI15" s="16">
        <f ca="1">IF($BE15&lt;=0,ROUND(BM15*0.5,0), ROUND($BE15*U15*AC15*L15*BA15*0.8*[1]ステータス!$D$2,0))</f>
        <v>0</v>
      </c>
      <c r="BJ15" s="16">
        <f ca="1">IF($BE15&lt;=0,ROUND(BN15*0.5,0), ROUND($BE15*V15*AD15*M15*BB15*0.8*[1]ステータス!$E$2,0))</f>
        <v>1020</v>
      </c>
      <c r="BK15" s="11">
        <f ca="1">ROUND(BD15*S15*AA15*J15*AY15*[1]ステータス!$B$2,0)</f>
        <v>6264</v>
      </c>
      <c r="BL15" s="11">
        <f ca="1">ROUND(BD15*T15*AB15*K15*AZ15*[1]ステータス!$C$2,0)</f>
        <v>2294</v>
      </c>
      <c r="BM15" s="11">
        <f ca="1">ROUND(BD15*U15*AC15*L15*BA15*[1]ステータス!$D$2,0)</f>
        <v>0</v>
      </c>
      <c r="BN15" s="11">
        <f ca="1">ROUND(BD15*V15*AD15*M15*BB15*[1]ステータス!$E$2,0)</f>
        <v>1639</v>
      </c>
      <c r="BO15" s="10">
        <v>0</v>
      </c>
      <c r="BP15" s="10">
        <v>1</v>
      </c>
      <c r="BQ15" s="10" t="s">
        <v>47</v>
      </c>
      <c r="BR15" s="10">
        <f ca="1">VLOOKUP(H15,ghosts_label!$A$2:$B$19,2,FALSE)</f>
        <v>700</v>
      </c>
    </row>
    <row r="16" spans="1:70" ht="26" customHeight="1" x14ac:dyDescent="0.15">
      <c r="A16" s="12">
        <v>854</v>
      </c>
      <c r="B16" s="57" t="str">
        <f ca="1">VLOOKUP($A16,OFFSET([1]characters!$A$1,0,0,COUNTA([1]characters!$A:$A),MATCH(B$1,[1]characters!$1:$1,0)-MATCH($A$1,[1]characters!$1:$1,0)+1),MATCH(B$1,[1]characters!$1:$1,0)-MATCH($A$1,[1]characters!$1:$1,0)+1,FALSE)</f>
        <v>フラウロス</v>
      </c>
      <c r="C16" s="57" t="str">
        <f ca="1">VLOOKUP($A16,OFFSET([1]characters!$A$1,0,0,COUNTA([1]characters!$A:$A),MATCH(C$1,[1]characters!$1:$1,0)-MATCH($A$1,[1]characters!$1:$1,0)+1),MATCH(C$1,[1]characters!$1:$1,0)-MATCH($A$1,[1]characters!$1:$1,0)+1,FALSE)</f>
        <v>各属性相性良3・黄・R472</v>
      </c>
      <c r="D16" s="57" t="str">
        <f ca="1">VLOOKUP($A16,OFFSET([1]characters!$A$1,0,0,COUNTA([1]characters!$A:$A),MATCH(D$1,[1]characters!$1:$1,0)-MATCH($A$1,[1]characters!$1:$1,0)+1),MATCH(D$1,[1]characters!$1:$1,0)-MATCH($A$1,[1]characters!$1:$1,0)+1,FALSE)</f>
        <v>執行者</v>
      </c>
      <c r="E16" s="57" t="str">
        <f ca="1">VLOOKUP($A16,OFFSET([1]characters!$A$1,0,0,COUNTA([1]characters!$A:$A),MATCH(E$1,[1]characters!$1:$1,0)-MATCH($A$1,[1]characters!$1:$1,0)+1),MATCH(E$1,[1]characters!$1:$1,0)-MATCH($A$1,[1]characters!$1:$1,0)+1,FALSE)</f>
        <v>格好いい</v>
      </c>
      <c r="F16" s="57" t="str">
        <f ca="1">VLOOKUP($A16,OFFSET([1]characters!$A$1,0,0,COUNTA([1]characters!$A:$A),MATCH(F$1,[1]characters!$1:$1,0)-MATCH($A$1,[1]characters!$1:$1,0)+1),MATCH(F$1,[1]characters!$1:$1,0)-MATCH($A$1,[1]characters!$1:$1,0)+1,FALSE)</f>
        <v>男性</v>
      </c>
      <c r="G16" s="57">
        <f ca="1">VLOOKUP($A16,OFFSET([1]characters!$A$1,0,0,COUNTA([1]characters!$A:$A),MATCH(G$1,[1]characters!$1:$1,0)-MATCH($A$1,[1]characters!$1:$1,0)+1),MATCH(G$1,[1]characters!$1:$1,0)-MATCH($A$1,[1]characters!$1:$1,0)+1,FALSE)</f>
        <v>4</v>
      </c>
      <c r="H16" s="57" t="str">
        <f ca="1">VLOOKUP($A16,OFFSET([1]characters!$A$1,0,0,COUNTA([1]characters!$A:$A),MATCH(H$1,[1]characters!$1:$1,0)-MATCH($A$1,[1]characters!$1:$1,0)+1),MATCH(H$1,[1]characters!$1:$1,0)-MATCH($A$1,[1]characters!$1:$1,0)+1,FALSE)</f>
        <v>PremiumS</v>
      </c>
      <c r="I16" s="57" t="str">
        <f ca="1">VLOOKUP($A16,OFFSET([1]characters!$A$1,0,0,COUNTA([1]characters!$A:$A),MATCH(I$1,[1]characters!$1:$1,0)-MATCH($A$1,[1]characters!$1:$1,0)+1),MATCH(I$1,[1]characters!$1:$1,0)-MATCH($A$1,[1]characters!$1:$1,0)+1,FALSE)</f>
        <v>yellow</v>
      </c>
      <c r="J16" s="11">
        <f ca="1">VLOOKUP(I16,[1]属性!$A:$E,2,FALSE)</f>
        <v>0.98</v>
      </c>
      <c r="K16" s="11">
        <f ca="1">VLOOKUP(I16,[1]属性!$A:$E,3,FALSE)</f>
        <v>1.01</v>
      </c>
      <c r="L16" s="11">
        <f ca="1">VLOOKUP(I16,[1]属性!$A:$E,4,FALSE)</f>
        <v>1</v>
      </c>
      <c r="M16" s="11">
        <f ca="1">VLOOKUP(I16,[1]属性!$A:$E,5,FALSE)</f>
        <v>1.01</v>
      </c>
      <c r="N16" s="11">
        <f ca="1">INDEX(コスト!$A$1:$I$20,MATCH(H16,コスト!$A$1:$A$20,FALSE),MATCH(G16,コスト!$A$1:$I$1,FALSE))</f>
        <v>20</v>
      </c>
      <c r="O16" s="11">
        <f ca="1">INDEX(レベル!$A$1:$I$21,MATCH(H16,レベル!$A$1:$A$21,FALSE),MATCH(G16,レベル!$A$1:$I$1,FALSE))</f>
        <v>60</v>
      </c>
      <c r="P16" s="48">
        <f t="shared" ca="1" si="11"/>
        <v>60</v>
      </c>
      <c r="Q16" s="57" t="str">
        <f ca="1">VLOOKUP($A16,OFFSET([1]characters!$A$1,0,0,COUNTA([1]characters!$A:$A),MATCH(Q$1,[1]characters!$1:$1,0)-MATCH($A$1,[1]characters!$1:$1,0)+1),MATCH(Q$1,[1]characters!$1:$1,0)-MATCH($A$1,[1]characters!$1:$1,0)+1,FALSE)</f>
        <v>attack</v>
      </c>
      <c r="R16" s="5" t="str">
        <f ca="1">VLOOKUP(Q16,[1]character_type_i18n!$A:$H,3,FALSE)</f>
        <v>攻撃タイプ</v>
      </c>
      <c r="S16" s="11">
        <f ca="1">VLOOKUP(Q16,[1]character_type_i18n!$A:$H,4,FALSE)</f>
        <v>1</v>
      </c>
      <c r="T16" s="11">
        <f ca="1">VLOOKUP(Q16,[1]character_type_i18n!$A:$H,5,FALSE)</f>
        <v>1.33</v>
      </c>
      <c r="U16" s="11">
        <f ca="1">VLOOKUP(Q16,[1]character_type_i18n!$A:$H,6,FALSE)</f>
        <v>1</v>
      </c>
      <c r="V16" s="11">
        <f ca="1">VLOOKUP(Q16,[1]character_type_i18n!$A:$H,7,FALSE)</f>
        <v>0.67</v>
      </c>
      <c r="W16" s="57" t="str">
        <f ca="1">VLOOKUP($A16,OFFSET([1]characters!$A$1,0,0,COUNTA([1]characters!$A:$A),MATCH(W$1,[1]characters!$1:$1,0)-MATCH($A$1,[1]characters!$1:$1,0)+1),MATCH(W$1,[1]characters!$1:$1,0)-MATCH($A$1,[1]characters!$1:$1,0)+1,FALSE)</f>
        <v>animal</v>
      </c>
      <c r="X16" s="5" t="str">
        <f ca="1">VLOOKUP(W16,[1]character_tribe_i18n!$A:$H,3,FALSE)</f>
        <v>アニマル</v>
      </c>
      <c r="Y16" s="57" t="str">
        <f ca="1">VLOOKUP($A16,OFFSET([1]characters!$A$1,0,0,COUNTA([1]characters!$A:$A),MATCH(Y$1,[1]characters!$1:$1,0)-MATCH($A$1,[1]characters!$1:$1,0)+1),MATCH(Y$1,[1]characters!$1:$1,0)-MATCH($A$1,[1]characters!$1:$1,0)+1,FALSE)</f>
        <v>none</v>
      </c>
      <c r="Z16" s="5" t="str">
        <f ca="1">VLOOKUP(Y16,[1]character_tribe_i18n!$A:$H,3,FALSE)</f>
        <v>種族なし</v>
      </c>
      <c r="AA16" s="11">
        <f ca="1">VLOOKUP(W16,[1]character_tribe_i18n!$A:$H,4,FALSE)</f>
        <v>1</v>
      </c>
      <c r="AB16" s="11">
        <f ca="1">VLOOKUP(W16,[1]character_tribe_i18n!$A:$H,5,FALSE)</f>
        <v>1.1000000000000001</v>
      </c>
      <c r="AC16" s="11">
        <f ca="1">VLOOKUP(W16,[1]character_tribe_i18n!$A:$H,6,FALSE)</f>
        <v>1</v>
      </c>
      <c r="AD16" s="11">
        <f ca="1">VLOOKUP(W16,[1]character_tribe_i18n!$A:$H,7,FALSE)</f>
        <v>0.9</v>
      </c>
      <c r="AE16" s="9">
        <f t="shared" ref="AE16" si="17">A17</f>
        <v>855</v>
      </c>
      <c r="AF16" s="62" t="str">
        <f ca="1">IF(AE16="NULL","",VLOOKUP($AE16,OFFSET([1]characters!$A$1,0,0,COUNTA([1]characters!$A:$A),MATCH(AF$1,[1]characters!$1:$1,0)-MATCH($A$1,[1]characters!$1:$1,0)+1),MATCH(AF$1,[1]characters!$1:$1,0)-MATCH($A$1,[1]characters!$1:$1,0)+1,FALSE))</f>
        <v>豹魔の侠客 フラウロス</v>
      </c>
      <c r="AG16" s="5">
        <f t="shared" ca="1" si="0"/>
        <v>854</v>
      </c>
      <c r="AH16" s="62" t="str">
        <f ca="1">VLOOKUP($AG16,OFFSET([1]characters!$A$1,0,0,COUNTA([1]characters!$A:$A),MATCH(AH$1,[1]characters!$1:$1,0)-MATCH($A$1,[1]characters!$1:$1,0)+1),MATCH(AH$1,[1]characters!$1:$1,0)-MATCH($A$1,[1]characters!$1:$1,0)+1,FALSE)</f>
        <v>フラウロス</v>
      </c>
      <c r="AI16" s="11">
        <f ca="1">IF(AE16="NULL","NULL",VLOOKUP(G16,ビット!$A$2:$B$7,2))</f>
        <v>50000</v>
      </c>
      <c r="AJ16" s="6">
        <v>2</v>
      </c>
      <c r="AK16" s="7" t="str">
        <f t="shared" si="9"/>
        <v>普通</v>
      </c>
      <c r="AL16" s="11" t="str">
        <f ca="1">INDEX(経験値!$A$1:$I$20,MATCH(H16,経験値!$A$1:$A$20,FALSE),MATCH(G16,経験値!$A$1:$I$1,FALSE))</f>
        <v>required_exp_200</v>
      </c>
      <c r="AM16" s="8">
        <f ca="1">VLOOKUP(G16,経験値!$A$27:$B$31,2)</f>
        <v>3400</v>
      </c>
      <c r="AN16" s="17">
        <f ca="1">VLOOKUP(G16,ビット!$G$2:$H$7,2)</f>
        <v>600</v>
      </c>
      <c r="AO16" s="45"/>
      <c r="AP16" s="67">
        <f t="shared" si="6"/>
        <v>854</v>
      </c>
      <c r="AQ16" s="57" t="str">
        <f ca="1">VLOOKUP($AP16,OFFSET(unit_skills!$A$1,0,0,COUNTA(unit_skills!$A:$A),MATCH(AQ$1,unit_skills!$1:$1,0)-MATCH($AP$1,unit_skills!$1:$1,0)+1),MATCH(AQ$1,unit_skills!$1:$1,0)-MATCH($AP$1,unit_skills!$1:$1,0)+1,FALSE)</f>
        <v>トライアングル・デスマッチ</v>
      </c>
      <c r="AR16" s="57" t="str">
        <f ca="1">VLOOKUP($AP16,OFFSET(unit_skills!$A$1,0,0,COUNTA(unit_skills!$A:$A),MATCH(AR$1,unit_skills!$1:$1,0)-MATCH($AP$1,unit_skills!$1:$1,0)+1),MATCH(AR$1,unit_skills!$1:$1,0)-MATCH($AP$1,unit_skills!$1:$1,0)+1,FALSE)</f>
        <v>1ターン自身の攻撃力を特大UPし、Cパネル生成を短縮(効果超大)</v>
      </c>
      <c r="AS16" s="57">
        <f ca="1">VLOOKUP($AP16,OFFSET(unit_skills!$A$1,0,0,COUNTA(unit_skills!$A:$A),MATCH(AS$1,unit_skills!$1:$1,0)-MATCH($AP$1,unit_skills!$1:$1,0)+1),MATCH(AS$1,unit_skills!$1:$1,0)-MATCH($AP$1,unit_skills!$1:$1,0)+1,FALSE)</f>
        <v>0</v>
      </c>
      <c r="AT16" s="41">
        <f t="shared" si="7"/>
        <v>854</v>
      </c>
      <c r="AU16" s="57" t="str">
        <f ca="1">VLOOKUP($AT16,OFFSET(crash_skills!$A$1,0,0,COUNTA(crash_skills!$A:$A),MATCH(AU$1,crash_skills!$1:$1,0)-MATCH($AT$1,crash_skills!$1:$1,0)+1),MATCH(AU$1,crash_skills!$1:$1,0)-MATCH($AT$1,crash_skills!$1:$1,0)+1,FALSE)</f>
        <v>ヒットマンズ・ウェイ</v>
      </c>
      <c r="AV16" s="57" t="str">
        <f ca="1">VLOOKUP($AT16,OFFSET(crash_skills!$A$1,0,0,COUNTA(crash_skills!$A:$A),MATCH(AV$1,crash_skills!$1:$1,0)-MATCH($AT$1,crash_skills!$1:$1,0)+1),MATCH(AV$1,crash_skills!$1:$1,0)-MATCH($AT$1,crash_skills!$1:$1,0)+1,FALSE)</f>
        <v>1体に中ダメージ</v>
      </c>
      <c r="AW16" s="57">
        <f ca="1">VLOOKUP($AT16,OFFSET(crash_skills!$A$1,0,0,COUNTA(crash_skills!$A:$A),MATCH(AW$1,crash_skills!$1:$1,0)-MATCH($AT$1,crash_skills!$1:$1,0)+1),MATCH(AW$1,crash_skills!$1:$1,0)-MATCH($AT$1,crash_skills!$1:$1,0)+1,FALSE)</f>
        <v>0</v>
      </c>
      <c r="AX16" s="58">
        <f ca="1">VLOOKUP($A16,OFFSET([1]characters!$A$1,0,0,COUNTA([1]characters!$A:$A),MATCH(AX$1,[1]characters!$1:$1,0)-MATCH($A$1,[1]characters!$1:$1,0)+1),MATCH(AX$1,[1]characters!$1:$1,0)-MATCH($A$1,[1]characters!$1:$1,0)+1,FALSE)</f>
        <v>3</v>
      </c>
      <c r="AY16" s="68">
        <v>1</v>
      </c>
      <c r="AZ16" s="68">
        <v>1</v>
      </c>
      <c r="BA16" s="68">
        <v>0</v>
      </c>
      <c r="BB16" s="68">
        <v>1</v>
      </c>
      <c r="BC16" s="11">
        <f ca="1">INDEX('RC6SV'!$A$1:$G$20,MATCH(H16,'RC6SV'!$A$1:$A$20,FALSE),MATCH(G16,'RC6SV'!$A$1:$G$1,FALSE))</f>
        <v>7000</v>
      </c>
      <c r="BD16" s="48">
        <f t="shared" ca="1" si="10"/>
        <v>7000</v>
      </c>
      <c r="BE16" s="11">
        <f t="shared" ca="1" si="3"/>
        <v>0</v>
      </c>
      <c r="BF16" s="11">
        <f t="shared" ca="1" si="4"/>
        <v>1</v>
      </c>
      <c r="BG16" s="16">
        <f ca="1">IF($BE16&lt;=0,ROUND(BK16*0.5,0), ROUND($BE16*S16*AA16*J16*AY16*0.8*[1]ステータス!$B$2,0))</f>
        <v>1715</v>
      </c>
      <c r="BH16" s="16">
        <f ca="1">IF($BE16&lt;=0,ROUND(BL16*0.5,0), ROUND($BE16*T16*AB16*K16*AZ16*0.8*[1]ステータス!$C$2,0))</f>
        <v>1552</v>
      </c>
      <c r="BI16" s="16">
        <f ca="1">IF($BE16&lt;=0,ROUND(BM16*0.5,0), ROUND($BE16*U16*AC16*L16*BA16*0.8*[1]ステータス!$D$2,0))</f>
        <v>0</v>
      </c>
      <c r="BJ16" s="16">
        <f ca="1">IF($BE16&lt;=0,ROUND(BN16*0.5,0), ROUND($BE16*V16*AD16*M16*BB16*0.8*[1]ステータス!$E$2,0))</f>
        <v>533</v>
      </c>
      <c r="BK16" s="11">
        <f ca="1">ROUND(BD16*S16*AA16*J16*AY16*[1]ステータス!$B$2,0)</f>
        <v>3430</v>
      </c>
      <c r="BL16" s="11">
        <f ca="1">ROUND(BD16*T16*AB16*K16*AZ16*[1]ステータス!$C$2,0)</f>
        <v>3103</v>
      </c>
      <c r="BM16" s="11">
        <f ca="1">ROUND(BD16*U16*AC16*L16*BA16*[1]ステータス!$D$2,0)</f>
        <v>0</v>
      </c>
      <c r="BN16" s="11">
        <f ca="1">ROUND(BD16*V16*AD16*M16*BB16*[1]ステータス!$E$2,0)</f>
        <v>1066</v>
      </c>
      <c r="BO16" s="10">
        <v>0</v>
      </c>
      <c r="BP16" s="10">
        <v>1</v>
      </c>
      <c r="BQ16" s="10" t="s">
        <v>47</v>
      </c>
      <c r="BR16" s="10">
        <f ca="1">VLOOKUP(H16,ghosts_label!$A$2:$B$19,2,FALSE)</f>
        <v>700</v>
      </c>
    </row>
    <row r="17" spans="1:70" ht="26" customHeight="1" x14ac:dyDescent="0.15">
      <c r="A17" s="12">
        <v>855</v>
      </c>
      <c r="B17" s="57" t="str">
        <f ca="1">VLOOKUP($A17,OFFSET([1]characters!$A$1,0,0,COUNTA([1]characters!$A:$A),MATCH(B$1,[1]characters!$1:$1,0)-MATCH($A$1,[1]characters!$1:$1,0)+1),MATCH(B$1,[1]characters!$1:$1,0)-MATCH($A$1,[1]characters!$1:$1,0)+1,FALSE)</f>
        <v>豹魔の侠客 フラウロス</v>
      </c>
      <c r="C17" s="57" t="str">
        <f ca="1">VLOOKUP($A17,OFFSET([1]characters!$A$1,0,0,COUNTA([1]characters!$A:$A),MATCH(C$1,[1]characters!$1:$1,0)-MATCH($A$1,[1]characters!$1:$1,0)+1),MATCH(C$1,[1]characters!$1:$1,0)-MATCH($A$1,[1]characters!$1:$1,0)+1,FALSE)</f>
        <v>各属性相性良3・黄・R473</v>
      </c>
      <c r="D17" s="57" t="str">
        <f ca="1">VLOOKUP($A17,OFFSET([1]characters!$A$1,0,0,COUNTA([1]characters!$A:$A),MATCH(D$1,[1]characters!$1:$1,0)-MATCH($A$1,[1]characters!$1:$1,0)+1),MATCH(D$1,[1]characters!$1:$1,0)-MATCH($A$1,[1]characters!$1:$1,0)+1,FALSE)</f>
        <v>執行者</v>
      </c>
      <c r="E17" s="57" t="str">
        <f ca="1">VLOOKUP($A17,OFFSET([1]characters!$A$1,0,0,COUNTA([1]characters!$A:$A),MATCH(E$1,[1]characters!$1:$1,0)-MATCH($A$1,[1]characters!$1:$1,0)+1),MATCH(E$1,[1]characters!$1:$1,0)-MATCH($A$1,[1]characters!$1:$1,0)+1,FALSE)</f>
        <v>格好いい</v>
      </c>
      <c r="F17" s="57" t="str">
        <f ca="1">VLOOKUP($A17,OFFSET([1]characters!$A$1,0,0,COUNTA([1]characters!$A:$A),MATCH(F$1,[1]characters!$1:$1,0)-MATCH($A$1,[1]characters!$1:$1,0)+1),MATCH(F$1,[1]characters!$1:$1,0)-MATCH($A$1,[1]characters!$1:$1,0)+1,FALSE)</f>
        <v>男性</v>
      </c>
      <c r="G17" s="57">
        <f ca="1">VLOOKUP($A17,OFFSET([1]characters!$A$1,0,0,COUNTA([1]characters!$A:$A),MATCH(G$1,[1]characters!$1:$1,0)-MATCH($A$1,[1]characters!$1:$1,0)+1),MATCH(G$1,[1]characters!$1:$1,0)-MATCH($A$1,[1]characters!$1:$1,0)+1,FALSE)</f>
        <v>5</v>
      </c>
      <c r="H17" s="57" t="str">
        <f ca="1">VLOOKUP($A17,OFFSET([1]characters!$A$1,0,0,COUNTA([1]characters!$A:$A),MATCH(H$1,[1]characters!$1:$1,0)-MATCH($A$1,[1]characters!$1:$1,0)+1),MATCH(H$1,[1]characters!$1:$1,0)-MATCH($A$1,[1]characters!$1:$1,0)+1,FALSE)</f>
        <v>PremiumS</v>
      </c>
      <c r="I17" s="57" t="str">
        <f ca="1">VLOOKUP($A17,OFFSET([1]characters!$A$1,0,0,COUNTA([1]characters!$A:$A),MATCH(I$1,[1]characters!$1:$1,0)-MATCH($A$1,[1]characters!$1:$1,0)+1),MATCH(I$1,[1]characters!$1:$1,0)-MATCH($A$1,[1]characters!$1:$1,0)+1,FALSE)</f>
        <v>yellow</v>
      </c>
      <c r="J17" s="11">
        <f ca="1">VLOOKUP(I17,[1]属性!$A:$E,2,FALSE)</f>
        <v>0.98</v>
      </c>
      <c r="K17" s="11">
        <f ca="1">VLOOKUP(I17,[1]属性!$A:$E,3,FALSE)</f>
        <v>1.01</v>
      </c>
      <c r="L17" s="11">
        <f ca="1">VLOOKUP(I17,[1]属性!$A:$E,4,FALSE)</f>
        <v>1</v>
      </c>
      <c r="M17" s="11">
        <f ca="1">VLOOKUP(I17,[1]属性!$A:$E,5,FALSE)</f>
        <v>1.01</v>
      </c>
      <c r="N17" s="11">
        <f ca="1">INDEX(コスト!$A$1:$I$20,MATCH(H17,コスト!$A$1:$A$20,FALSE),MATCH(G17,コスト!$A$1:$I$1,FALSE))</f>
        <v>30</v>
      </c>
      <c r="O17" s="11">
        <f ca="1">INDEX(レベル!$A$1:$I$21,MATCH(H17,レベル!$A$1:$A$21,FALSE),MATCH(G17,レベル!$A$1:$I$1,FALSE))</f>
        <v>80</v>
      </c>
      <c r="P17" s="48">
        <f t="shared" ca="1" si="11"/>
        <v>75</v>
      </c>
      <c r="Q17" s="57" t="str">
        <f ca="1">VLOOKUP($A17,OFFSET([1]characters!$A$1,0,0,COUNTA([1]characters!$A:$A),MATCH(Q$1,[1]characters!$1:$1,0)-MATCH($A$1,[1]characters!$1:$1,0)+1),MATCH(Q$1,[1]characters!$1:$1,0)-MATCH($A$1,[1]characters!$1:$1,0)+1,FALSE)</f>
        <v>attack</v>
      </c>
      <c r="R17" s="5" t="str">
        <f ca="1">VLOOKUP(Q17,[1]character_type_i18n!$A:$H,3,FALSE)</f>
        <v>攻撃タイプ</v>
      </c>
      <c r="S17" s="11">
        <f ca="1">VLOOKUP(Q17,[1]character_type_i18n!$A:$H,4,FALSE)</f>
        <v>1</v>
      </c>
      <c r="T17" s="11">
        <f ca="1">VLOOKUP(Q17,[1]character_type_i18n!$A:$H,5,FALSE)</f>
        <v>1.33</v>
      </c>
      <c r="U17" s="11">
        <f ca="1">VLOOKUP(Q17,[1]character_type_i18n!$A:$H,6,FALSE)</f>
        <v>1</v>
      </c>
      <c r="V17" s="11">
        <f ca="1">VLOOKUP(Q17,[1]character_type_i18n!$A:$H,7,FALSE)</f>
        <v>0.67</v>
      </c>
      <c r="W17" s="57" t="str">
        <f ca="1">VLOOKUP($A17,OFFSET([1]characters!$A$1,0,0,COUNTA([1]characters!$A:$A),MATCH(W$1,[1]characters!$1:$1,0)-MATCH($A$1,[1]characters!$1:$1,0)+1),MATCH(W$1,[1]characters!$1:$1,0)-MATCH($A$1,[1]characters!$1:$1,0)+1,FALSE)</f>
        <v>animal</v>
      </c>
      <c r="X17" s="5" t="str">
        <f ca="1">VLOOKUP(W17,[1]character_tribe_i18n!$A:$H,3,FALSE)</f>
        <v>アニマル</v>
      </c>
      <c r="Y17" s="57" t="str">
        <f ca="1">VLOOKUP($A17,OFFSET([1]characters!$A$1,0,0,COUNTA([1]characters!$A:$A),MATCH(Y$1,[1]characters!$1:$1,0)-MATCH($A$1,[1]characters!$1:$1,0)+1),MATCH(Y$1,[1]characters!$1:$1,0)-MATCH($A$1,[1]characters!$1:$1,0)+1,FALSE)</f>
        <v>none</v>
      </c>
      <c r="Z17" s="5" t="str">
        <f ca="1">VLOOKUP(Y17,[1]character_tribe_i18n!$A:$H,3,FALSE)</f>
        <v>種族なし</v>
      </c>
      <c r="AA17" s="11">
        <f ca="1">VLOOKUP(W17,[1]character_tribe_i18n!$A:$H,4,FALSE)</f>
        <v>1</v>
      </c>
      <c r="AB17" s="11">
        <f ca="1">VLOOKUP(W17,[1]character_tribe_i18n!$A:$H,5,FALSE)</f>
        <v>1.1000000000000001</v>
      </c>
      <c r="AC17" s="11">
        <f ca="1">VLOOKUP(W17,[1]character_tribe_i18n!$A:$H,6,FALSE)</f>
        <v>1</v>
      </c>
      <c r="AD17" s="11">
        <f ca="1">VLOOKUP(W17,[1]character_tribe_i18n!$A:$H,7,FALSE)</f>
        <v>0.9</v>
      </c>
      <c r="AE17" s="9" t="s">
        <v>183</v>
      </c>
      <c r="AF17" s="62" t="str">
        <f ca="1">IF(AE17="NULL","",VLOOKUP($AE17,OFFSET([1]characters!$A$1,0,0,COUNTA([1]characters!$A:$A),MATCH(AF$1,[1]characters!$1:$1,0)-MATCH($A$1,[1]characters!$1:$1,0)+1),MATCH(AF$1,[1]characters!$1:$1,0)-MATCH($A$1,[1]characters!$1:$1,0)+1,FALSE))</f>
        <v/>
      </c>
      <c r="AG17" s="5">
        <f t="shared" ca="1" si="0"/>
        <v>854</v>
      </c>
      <c r="AH17" s="62" t="str">
        <f ca="1">VLOOKUP($AG17,OFFSET([1]characters!$A$1,0,0,COUNTA([1]characters!$A:$A),MATCH(AH$1,[1]characters!$1:$1,0)-MATCH($A$1,[1]characters!$1:$1,0)+1),MATCH(AH$1,[1]characters!$1:$1,0)-MATCH($A$1,[1]characters!$1:$1,0)+1,FALSE)</f>
        <v>フラウロス</v>
      </c>
      <c r="AI17" s="11" t="str">
        <f>IF(AE17="NULL","NULL",VLOOKUP(G17,ビット!$A$2:$B$7,2))</f>
        <v>NULL</v>
      </c>
      <c r="AJ17" s="6">
        <v>2</v>
      </c>
      <c r="AK17" s="7" t="str">
        <f t="shared" si="9"/>
        <v>普通</v>
      </c>
      <c r="AL17" s="11" t="str">
        <f ca="1">INDEX(経験値!$A$1:$I$20,MATCH(H17,経験値!$A$1:$A$20,FALSE),MATCH(G17,経験値!$A$1:$I$1,FALSE))</f>
        <v>required_exp_200</v>
      </c>
      <c r="AM17" s="8">
        <f ca="1">VLOOKUP(G17,経験値!$A$27:$B$31,2)</f>
        <v>6400</v>
      </c>
      <c r="AN17" s="17">
        <f ca="1">VLOOKUP(G17,ビット!$G$2:$H$7,2)</f>
        <v>900</v>
      </c>
      <c r="AO17" s="45"/>
      <c r="AP17" s="67">
        <f t="shared" si="6"/>
        <v>855</v>
      </c>
      <c r="AQ17" s="57" t="str">
        <f ca="1">VLOOKUP($AP17,OFFSET(unit_skills!$A$1,0,0,COUNTA(unit_skills!$A:$A),MATCH(AQ$1,unit_skills!$1:$1,0)-MATCH($AP$1,unit_skills!$1:$1,0)+1),MATCH(AQ$1,unit_skills!$1:$1,0)-MATCH($AP$1,unit_skills!$1:$1,0)+1,FALSE)</f>
        <v>トライアングル・デスマッチ</v>
      </c>
      <c r="AR17" s="57" t="str">
        <f ca="1">VLOOKUP($AP17,OFFSET(unit_skills!$A$1,0,0,COUNTA(unit_skills!$A:$A),MATCH(AR$1,unit_skills!$1:$1,0)-MATCH($AP$1,unit_skills!$1:$1,0)+1),MATCH(AR$1,unit_skills!$1:$1,0)-MATCH($AP$1,unit_skills!$1:$1,0)+1,FALSE)</f>
        <v>1ターン自身の攻撃力を特大UPし、Cパネル生成を短縮(効果超大)</v>
      </c>
      <c r="AS17" s="57">
        <f ca="1">VLOOKUP($AP17,OFFSET(unit_skills!$A$1,0,0,COUNTA(unit_skills!$A:$A),MATCH(AS$1,unit_skills!$1:$1,0)-MATCH($AP$1,unit_skills!$1:$1,0)+1),MATCH(AS$1,unit_skills!$1:$1,0)-MATCH($AP$1,unit_skills!$1:$1,0)+1,FALSE)</f>
        <v>0</v>
      </c>
      <c r="AT17" s="41">
        <f>A17</f>
        <v>855</v>
      </c>
      <c r="AU17" s="57" t="str">
        <f ca="1">VLOOKUP($AT17,OFFSET(crash_skills!$A$1,0,0,COUNTA(crash_skills!$A:$A),MATCH(AU$1,crash_skills!$1:$1,0)-MATCH($AT$1,crash_skills!$1:$1,0)+1),MATCH(AU$1,crash_skills!$1:$1,0)-MATCH($AT$1,crash_skills!$1:$1,0)+1,FALSE)</f>
        <v>ヒットマンズ・コンビクション</v>
      </c>
      <c r="AV17" s="57" t="str">
        <f ca="1">VLOOKUP($AT17,OFFSET(crash_skills!$A$1,0,0,COUNTA(crash_skills!$A:$A),MATCH(AV$1,crash_skills!$1:$1,0)-MATCH($AT$1,crash_skills!$1:$1,0)+1),MATCH(AV$1,crash_skills!$1:$1,0)-MATCH($AT$1,crash_skills!$1:$1,0)+1,FALSE)</f>
        <v>1体に大ダメージ</v>
      </c>
      <c r="AW17" s="57">
        <f ca="1">VLOOKUP($AT17,OFFSET(crash_skills!$A$1,0,0,COUNTA(crash_skills!$A:$A),MATCH(AW$1,crash_skills!$1:$1,0)-MATCH($AT$1,crash_skills!$1:$1,0)+1),MATCH(AW$1,crash_skills!$1:$1,0)-MATCH($AT$1,crash_skills!$1:$1,0)+1,FALSE)</f>
        <v>0</v>
      </c>
      <c r="AX17" s="58">
        <f ca="1">VLOOKUP($A17,OFFSET([1]characters!$A$1,0,0,COUNTA([1]characters!$A:$A),MATCH(AX$1,[1]characters!$1:$1,0)-MATCH($A$1,[1]characters!$1:$1,0)+1),MATCH(AX$1,[1]characters!$1:$1,0)-MATCH($A$1,[1]characters!$1:$1,0)+1,FALSE)</f>
        <v>3</v>
      </c>
      <c r="AY17" s="68">
        <v>1</v>
      </c>
      <c r="AZ17" s="68">
        <v>1</v>
      </c>
      <c r="BA17" s="68">
        <v>0</v>
      </c>
      <c r="BB17" s="68">
        <v>1</v>
      </c>
      <c r="BC17" s="11">
        <f ca="1">INDEX('RC6SV'!$A$1:$G$20,MATCH(H17,'RC6SV'!$A$1:$A$20,FALSE),MATCH(G17,'RC6SV'!$A$1:$G$1,FALSE))</f>
        <v>9000</v>
      </c>
      <c r="BD17" s="48">
        <f t="shared" ca="1" si="10"/>
        <v>9000</v>
      </c>
      <c r="BE17" s="11">
        <f t="shared" ca="1" si="3"/>
        <v>7000</v>
      </c>
      <c r="BF17" s="11">
        <f t="shared" ca="1" si="4"/>
        <v>1</v>
      </c>
      <c r="BG17" s="16">
        <f ca="1">IF($BE17&lt;=0,ROUND(BK17*0.5,0), ROUND($BE17*S17*AA17*J17*AY17*0.8*[1]ステータス!$B$2,0))</f>
        <v>2744</v>
      </c>
      <c r="BH17" s="16">
        <f ca="1">IF($BE17&lt;=0,ROUND(BL17*0.5,0), ROUND($BE17*T17*AB17*K17*AZ17*0.8*[1]ステータス!$C$2,0))</f>
        <v>2482</v>
      </c>
      <c r="BI17" s="16">
        <f ca="1">IF($BE17&lt;=0,ROUND(BM17*0.5,0), ROUND($BE17*U17*AC17*L17*BA17*0.8*[1]ステータス!$D$2,0))</f>
        <v>0</v>
      </c>
      <c r="BJ17" s="16">
        <f ca="1">IF($BE17&lt;=0,ROUND(BN17*0.5,0), ROUND($BE17*V17*AD17*M17*BB17*0.8*[1]ステータス!$E$2,0))</f>
        <v>853</v>
      </c>
      <c r="BK17" s="11">
        <f ca="1">ROUND(BD17*S17*AA17*J17*AY17*[1]ステータス!$B$2,0)</f>
        <v>4410</v>
      </c>
      <c r="BL17" s="11">
        <f ca="1">ROUND(BD17*T17*AB17*K17*AZ17*[1]ステータス!$C$2,0)</f>
        <v>3990</v>
      </c>
      <c r="BM17" s="11">
        <f ca="1">ROUND(BD17*U17*AC17*L17*BA17*[1]ステータス!$D$2,0)</f>
        <v>0</v>
      </c>
      <c r="BN17" s="11">
        <f ca="1">ROUND(BD17*V17*AD17*M17*BB17*[1]ステータス!$E$2,0)</f>
        <v>1370</v>
      </c>
      <c r="BO17" s="10">
        <v>0</v>
      </c>
      <c r="BP17" s="10">
        <v>1</v>
      </c>
      <c r="BQ17" s="10" t="s">
        <v>47</v>
      </c>
      <c r="BR17" s="10">
        <f ca="1">VLOOKUP(H17,ghosts_label!$A$2:$B$19,2,FALSE)</f>
        <v>700</v>
      </c>
    </row>
  </sheetData>
  <autoFilter ref="A1:BQ1"/>
  <phoneticPr fontId="10"/>
  <conditionalFormatting sqref="BO1">
    <cfRule type="cellIs" dxfId="28" priority="120" stopIfTrue="1" operator="equal">
      <formula>1</formula>
    </cfRule>
  </conditionalFormatting>
  <conditionalFormatting sqref="BQ1">
    <cfRule type="cellIs" dxfId="2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workbookViewId="0">
      <pane xSplit="4" ySplit="1" topLeftCell="E3" activePane="bottomRight" state="frozen"/>
      <selection pane="topRight" activeCell="D1" sqref="D1"/>
      <selection pane="bottomLeft" activeCell="A2" sqref="A2"/>
      <selection pane="bottomRight" activeCell="D27" sqref="D27"/>
    </sheetView>
  </sheetViews>
  <sheetFormatPr baseColWidth="12" defaultColWidth="13" defaultRowHeight="21" customHeight="1" outlineLevelCol="1" x14ac:dyDescent="0.15"/>
  <cols>
    <col min="1" max="1" width="16.1640625" style="132" bestFit="1" customWidth="1"/>
    <col min="2" max="2" width="13" style="132" bestFit="1" customWidth="1"/>
    <col min="3" max="3" width="21.83203125" style="132" customWidth="1"/>
    <col min="4" max="4" width="41.83203125" style="132" customWidth="1"/>
    <col min="5" max="5" width="9" style="132" customWidth="1"/>
    <col min="6" max="6" width="7.83203125" style="132" bestFit="1" customWidth="1"/>
    <col min="7" max="7" width="8.1640625" style="132" bestFit="1" customWidth="1"/>
    <col min="8" max="8" width="13.6640625" style="132" bestFit="1" customWidth="1"/>
    <col min="9" max="10" width="51.6640625" style="132" customWidth="1"/>
    <col min="11" max="11" width="10.83203125" style="132" customWidth="1" outlineLevel="1"/>
    <col min="12" max="17" width="9.5" style="131" customWidth="1" outlineLevel="1"/>
    <col min="18" max="18" width="20.33203125" style="132" customWidth="1" outlineLevel="1"/>
    <col min="19" max="19" width="10.33203125" style="132" bestFit="1" customWidth="1"/>
    <col min="20" max="16384" width="13" style="132"/>
  </cols>
  <sheetData>
    <row r="1" spans="1:19" s="131" customFormat="1" ht="21" customHeight="1" x14ac:dyDescent="0.15">
      <c r="A1" s="120" t="s">
        <v>20</v>
      </c>
      <c r="B1" s="121" t="s">
        <v>134</v>
      </c>
      <c r="C1" s="122" t="s">
        <v>40</v>
      </c>
      <c r="D1" s="123" t="s">
        <v>163</v>
      </c>
      <c r="E1" s="123" t="s">
        <v>164</v>
      </c>
      <c r="F1" s="120" t="s">
        <v>146</v>
      </c>
      <c r="G1" s="124" t="s">
        <v>2</v>
      </c>
      <c r="H1" s="124" t="s">
        <v>165</v>
      </c>
      <c r="I1" s="124" t="s">
        <v>166</v>
      </c>
      <c r="J1" s="125" t="s">
        <v>184</v>
      </c>
      <c r="K1" s="124" t="s">
        <v>4</v>
      </c>
      <c r="L1" s="126" t="s">
        <v>167</v>
      </c>
      <c r="M1" s="127" t="s">
        <v>168</v>
      </c>
      <c r="N1" s="127" t="s">
        <v>169</v>
      </c>
      <c r="O1" s="127" t="s">
        <v>170</v>
      </c>
      <c r="P1" s="127" t="s">
        <v>171</v>
      </c>
      <c r="Q1" s="128" t="s">
        <v>172</v>
      </c>
      <c r="R1" s="129" t="s">
        <v>173</v>
      </c>
      <c r="S1" s="130" t="s">
        <v>174</v>
      </c>
    </row>
    <row r="2" spans="1:19" ht="21" customHeight="1" x14ac:dyDescent="0.15">
      <c r="A2" s="12">
        <v>840</v>
      </c>
      <c r="B2" s="135" t="s">
        <v>185</v>
      </c>
      <c r="C2" s="174" t="s">
        <v>282</v>
      </c>
      <c r="D2" s="136" t="s">
        <v>364</v>
      </c>
      <c r="E2" s="137">
        <f t="shared" ref="E2" si="0">LEN(D2)</f>
        <v>30</v>
      </c>
      <c r="F2" s="119">
        <v>13</v>
      </c>
      <c r="G2" s="119">
        <v>5</v>
      </c>
      <c r="H2" s="138">
        <f>2001</f>
        <v>2001</v>
      </c>
      <c r="I2" s="138" t="s">
        <v>261</v>
      </c>
      <c r="J2" s="57" t="str">
        <f ca="1">VLOOKUP($A2,OFFSET([1]characters!$A$1,0,0,COUNTA([1]characters!$A:$A),MATCH("name",[1]characters!$1:$1,0)-MATCH("character_id",[1]characters!$1:$1,0)+1),MATCH("name",[1]characters!$1:$1,0)-MATCH("character_id",[1]characters!$1:$1,0)+1,FALSE)</f>
        <v>フェニックス</v>
      </c>
      <c r="K2" s="139">
        <v>3</v>
      </c>
      <c r="L2" s="140"/>
      <c r="M2" s="141"/>
      <c r="N2" s="141"/>
      <c r="O2" s="141"/>
      <c r="P2" s="141"/>
      <c r="Q2" s="141"/>
      <c r="R2" s="136"/>
      <c r="S2" s="142"/>
    </row>
    <row r="3" spans="1:19" ht="21" customHeight="1" x14ac:dyDescent="0.15">
      <c r="A3" s="12">
        <v>841</v>
      </c>
      <c r="B3" s="135" t="s">
        <v>185</v>
      </c>
      <c r="C3" s="174" t="s">
        <v>283</v>
      </c>
      <c r="D3" s="136" t="s">
        <v>259</v>
      </c>
      <c r="E3" s="137">
        <f t="shared" ref="E3:E4" si="1">LEN(D3)</f>
        <v>30</v>
      </c>
      <c r="F3" s="119">
        <v>13</v>
      </c>
      <c r="G3" s="119">
        <v>5</v>
      </c>
      <c r="H3" s="138">
        <f>2001</f>
        <v>2001</v>
      </c>
      <c r="I3" s="138" t="s">
        <v>260</v>
      </c>
      <c r="J3" s="57" t="str">
        <f ca="1">VLOOKUP($A3,OFFSET([1]characters!$A$1,0,0,COUNTA([1]characters!$A:$A),MATCH("name",[1]characters!$1:$1,0)-MATCH("character_id",[1]characters!$1:$1,0)+1),MATCH("name",[1]characters!$1:$1,0)-MATCH("character_id",[1]characters!$1:$1,0)+1,FALSE)</f>
        <v>排斥の不死鳥 フェニックス</v>
      </c>
      <c r="K3" s="139">
        <v>3</v>
      </c>
      <c r="L3" s="140"/>
      <c r="M3" s="141"/>
      <c r="N3" s="141"/>
      <c r="O3" s="141"/>
      <c r="P3" s="141"/>
      <c r="Q3" s="141"/>
      <c r="R3" s="136"/>
      <c r="S3" s="142"/>
    </row>
    <row r="4" spans="1:19" ht="21" customHeight="1" x14ac:dyDescent="0.15">
      <c r="A4" s="12">
        <v>842</v>
      </c>
      <c r="B4" s="135" t="s">
        <v>185</v>
      </c>
      <c r="C4" s="173" t="s">
        <v>284</v>
      </c>
      <c r="D4" s="136" t="s">
        <v>286</v>
      </c>
      <c r="E4" s="137">
        <f t="shared" si="1"/>
        <v>20</v>
      </c>
      <c r="F4" s="119">
        <v>13</v>
      </c>
      <c r="G4" s="119">
        <v>5</v>
      </c>
      <c r="H4" s="138">
        <f>2001</f>
        <v>2001</v>
      </c>
      <c r="I4" s="138" t="s">
        <v>353</v>
      </c>
      <c r="J4" s="57" t="str">
        <f ca="1">VLOOKUP($A4,OFFSET([1]characters!$A$1,0,0,COUNTA([1]characters!$A:$A),MATCH("name",[1]characters!$1:$1,0)-MATCH("character_id",[1]characters!$1:$1,0)+1),MATCH("name",[1]characters!$1:$1,0)-MATCH("character_id",[1]characters!$1:$1,0)+1,FALSE)</f>
        <v>セイレーン</v>
      </c>
      <c r="K4" s="139">
        <v>3</v>
      </c>
      <c r="L4" s="140"/>
      <c r="M4" s="141"/>
      <c r="N4" s="141"/>
      <c r="O4" s="141"/>
      <c r="P4" s="141"/>
      <c r="Q4" s="141"/>
      <c r="R4" s="136"/>
      <c r="S4" s="142"/>
    </row>
    <row r="5" spans="1:19" ht="21" customHeight="1" x14ac:dyDescent="0.15">
      <c r="A5" s="12">
        <v>843</v>
      </c>
      <c r="B5" s="135" t="s">
        <v>185</v>
      </c>
      <c r="C5" s="173" t="s">
        <v>285</v>
      </c>
      <c r="D5" s="136" t="s">
        <v>256</v>
      </c>
      <c r="E5" s="137">
        <f t="shared" ref="E5:E14" si="2">LEN(D5)</f>
        <v>20</v>
      </c>
      <c r="F5" s="119">
        <v>14</v>
      </c>
      <c r="G5" s="119">
        <v>5</v>
      </c>
      <c r="H5" s="138">
        <f>2001</f>
        <v>2001</v>
      </c>
      <c r="I5" s="138" t="s">
        <v>355</v>
      </c>
      <c r="J5" s="57" t="str">
        <f ca="1">VLOOKUP($A5,OFFSET([1]characters!$A$1,0,0,COUNTA([1]characters!$A:$A),MATCH("name",[1]characters!$1:$1,0)-MATCH("character_id",[1]characters!$1:$1,0)+1),MATCH("name",[1]characters!$1:$1,0)-MATCH("character_id",[1]characters!$1:$1,0)+1,FALSE)</f>
        <v>荒れ狂う乱歌 セイレーン</v>
      </c>
      <c r="K5" s="139">
        <v>3</v>
      </c>
      <c r="L5" s="140"/>
      <c r="M5" s="141"/>
      <c r="N5" s="141"/>
      <c r="O5" s="141"/>
      <c r="P5" s="141"/>
      <c r="Q5" s="141"/>
      <c r="R5" s="136"/>
      <c r="S5" s="142"/>
    </row>
    <row r="6" spans="1:19" ht="21" customHeight="1" x14ac:dyDescent="0.15">
      <c r="A6" s="12">
        <v>844</v>
      </c>
      <c r="B6" s="135" t="s">
        <v>185</v>
      </c>
      <c r="C6" s="173" t="s">
        <v>369</v>
      </c>
      <c r="D6" s="136" t="s">
        <v>262</v>
      </c>
      <c r="E6" s="137">
        <f t="shared" ref="E6:E13" si="3">LEN(D6)</f>
        <v>50</v>
      </c>
      <c r="F6" s="119">
        <v>14</v>
      </c>
      <c r="G6" s="119">
        <v>5</v>
      </c>
      <c r="H6" s="138">
        <f>2001</f>
        <v>2001</v>
      </c>
      <c r="I6" s="138" t="s">
        <v>444</v>
      </c>
      <c r="J6" s="57" t="str">
        <f ca="1">VLOOKUP($A6,OFFSET([1]characters!$A$1,0,0,COUNTA([1]characters!$A:$A),MATCH("name",[1]characters!$1:$1,0)-MATCH("character_id",[1]characters!$1:$1,0)+1),MATCH("name",[1]characters!$1:$1,0)-MATCH("character_id",[1]characters!$1:$1,0)+1,FALSE)</f>
        <v>ベルゼブブ</v>
      </c>
      <c r="K6" s="139">
        <v>3</v>
      </c>
      <c r="L6" s="140"/>
      <c r="M6" s="141"/>
      <c r="N6" s="141"/>
      <c r="O6" s="141"/>
      <c r="P6" s="141"/>
      <c r="Q6" s="141"/>
      <c r="R6" s="136"/>
      <c r="S6" s="142"/>
    </row>
    <row r="7" spans="1:19" ht="21" customHeight="1" x14ac:dyDescent="0.15">
      <c r="A7" s="12">
        <v>845</v>
      </c>
      <c r="B7" s="135" t="s">
        <v>185</v>
      </c>
      <c r="C7" s="173" t="s">
        <v>370</v>
      </c>
      <c r="D7" s="136" t="s">
        <v>445</v>
      </c>
      <c r="E7" s="137">
        <f t="shared" si="3"/>
        <v>60</v>
      </c>
      <c r="F7" s="119">
        <v>14</v>
      </c>
      <c r="G7" s="119">
        <v>5</v>
      </c>
      <c r="H7" s="138">
        <f>2001</f>
        <v>2001</v>
      </c>
      <c r="I7" s="138" t="s">
        <v>443</v>
      </c>
      <c r="J7" s="57" t="str">
        <f ca="1">VLOOKUP($A7,OFFSET([1]characters!$A$1,0,0,COUNTA([1]characters!$A:$A),MATCH("name",[1]characters!$1:$1,0)-MATCH("character_id",[1]characters!$1:$1,0)+1),MATCH("name",[1]characters!$1:$1,0)-MATCH("character_id",[1]characters!$1:$1,0)+1,FALSE)</f>
        <v>妖艶なる蝿王 ベルゼブブ</v>
      </c>
      <c r="K7" s="139">
        <v>3</v>
      </c>
      <c r="L7" s="140"/>
      <c r="M7" s="141"/>
      <c r="N7" s="141"/>
      <c r="O7" s="141"/>
      <c r="P7" s="141"/>
      <c r="Q7" s="141"/>
      <c r="R7" s="136"/>
      <c r="S7" s="142"/>
    </row>
    <row r="8" spans="1:19" ht="21" customHeight="1" x14ac:dyDescent="0.15">
      <c r="A8" s="12">
        <v>846</v>
      </c>
      <c r="B8" s="135" t="s">
        <v>185</v>
      </c>
      <c r="C8" s="172" t="s">
        <v>371</v>
      </c>
      <c r="D8" s="136" t="s">
        <v>398</v>
      </c>
      <c r="E8" s="137">
        <f t="shared" si="3"/>
        <v>55</v>
      </c>
      <c r="F8" s="119">
        <v>23</v>
      </c>
      <c r="G8" s="119">
        <v>16</v>
      </c>
      <c r="H8" s="138">
        <f>2001</f>
        <v>2001</v>
      </c>
      <c r="I8" s="138" t="s">
        <v>399</v>
      </c>
      <c r="J8" s="57" t="str">
        <f ca="1">VLOOKUP($A8,OFFSET([1]characters!$A$1,0,0,COUNTA([1]characters!$A:$A),MATCH("name",[1]characters!$1:$1,0)-MATCH("character_id",[1]characters!$1:$1,0)+1),MATCH("name",[1]characters!$1:$1,0)-MATCH("character_id",[1]characters!$1:$1,0)+1,FALSE)</f>
        <v>ルシファー</v>
      </c>
      <c r="K8" s="139">
        <v>3</v>
      </c>
      <c r="L8" s="140"/>
      <c r="M8" s="141"/>
      <c r="N8" s="141"/>
      <c r="O8" s="141"/>
      <c r="P8" s="141"/>
      <c r="Q8" s="141"/>
      <c r="R8" s="136"/>
      <c r="S8" s="142"/>
    </row>
    <row r="9" spans="1:19" ht="21" customHeight="1" x14ac:dyDescent="0.15">
      <c r="A9" s="12">
        <v>847</v>
      </c>
      <c r="B9" s="135" t="s">
        <v>185</v>
      </c>
      <c r="C9" s="172" t="s">
        <v>371</v>
      </c>
      <c r="D9" s="136" t="s">
        <v>398</v>
      </c>
      <c r="E9" s="137">
        <f t="shared" si="3"/>
        <v>55</v>
      </c>
      <c r="F9" s="119">
        <v>23</v>
      </c>
      <c r="G9" s="119">
        <v>16</v>
      </c>
      <c r="H9" s="138">
        <f>2001</f>
        <v>2001</v>
      </c>
      <c r="I9" s="138" t="s">
        <v>399</v>
      </c>
      <c r="J9" s="57" t="str">
        <f ca="1">VLOOKUP($A9,OFFSET([1]characters!$A$1,0,0,COUNTA([1]characters!$A:$A),MATCH("name",[1]characters!$1:$1,0)-MATCH("character_id",[1]characters!$1:$1,0)+1),MATCH("name",[1]characters!$1:$1,0)-MATCH("character_id",[1]characters!$1:$1,0)+1,FALSE)</f>
        <v>傲慢なる堕天史 ルシファー</v>
      </c>
      <c r="K9" s="139">
        <v>3</v>
      </c>
      <c r="L9" s="140"/>
      <c r="M9" s="141"/>
      <c r="N9" s="141"/>
      <c r="O9" s="141"/>
      <c r="P9" s="141"/>
      <c r="Q9" s="141"/>
      <c r="R9" s="136"/>
      <c r="S9" s="142"/>
    </row>
    <row r="10" spans="1:19" ht="21" customHeight="1" x14ac:dyDescent="0.15">
      <c r="A10" s="12">
        <v>848</v>
      </c>
      <c r="B10" s="135" t="s">
        <v>185</v>
      </c>
      <c r="C10" s="136" t="s">
        <v>352</v>
      </c>
      <c r="D10" s="136" t="s">
        <v>254</v>
      </c>
      <c r="E10" s="137">
        <f t="shared" si="3"/>
        <v>41</v>
      </c>
      <c r="F10" s="119">
        <v>10</v>
      </c>
      <c r="G10" s="119">
        <v>5</v>
      </c>
      <c r="H10" s="138">
        <f>2001</f>
        <v>2001</v>
      </c>
      <c r="I10" s="138" t="s">
        <v>372</v>
      </c>
      <c r="J10" s="57" t="str">
        <f ca="1">VLOOKUP($A10,OFFSET([1]characters!$A$1,0,0,COUNTA([1]characters!$A:$A),MATCH("name",[1]characters!$1:$1,0)-MATCH("character_id",[1]characters!$1:$1,0)+1),MATCH("name",[1]characters!$1:$1,0)-MATCH("character_id",[1]characters!$1:$1,0)+1,FALSE)</f>
        <v>メタトロン</v>
      </c>
      <c r="K10" s="139">
        <v>3</v>
      </c>
      <c r="L10" s="140"/>
      <c r="M10" s="141"/>
      <c r="N10" s="141"/>
      <c r="O10" s="141"/>
      <c r="P10" s="141"/>
      <c r="Q10" s="141"/>
      <c r="R10" s="136"/>
      <c r="S10" s="142"/>
    </row>
    <row r="11" spans="1:19" ht="21" customHeight="1" x14ac:dyDescent="0.15">
      <c r="A11" s="12">
        <v>849</v>
      </c>
      <c r="B11" s="135" t="s">
        <v>185</v>
      </c>
      <c r="C11" s="172" t="s">
        <v>278</v>
      </c>
      <c r="D11" s="136" t="s">
        <v>276</v>
      </c>
      <c r="E11" s="137">
        <f t="shared" si="3"/>
        <v>41</v>
      </c>
      <c r="F11" s="119">
        <v>11</v>
      </c>
      <c r="G11" s="119">
        <v>5</v>
      </c>
      <c r="H11" s="138">
        <f>2001</f>
        <v>2001</v>
      </c>
      <c r="I11" s="138" t="s">
        <v>356</v>
      </c>
      <c r="J11" s="57" t="str">
        <f ca="1">VLOOKUP($A11,OFFSET([1]characters!$A$1,0,0,COUNTA([1]characters!$A:$A),MATCH("name",[1]characters!$1:$1,0)-MATCH("character_id",[1]characters!$1:$1,0)+1),MATCH("name",[1]characters!$1:$1,0)-MATCH("character_id",[1]characters!$1:$1,0)+1,FALSE)</f>
        <v>燦然たる天使 メタトロン・ラヴァ</v>
      </c>
      <c r="K11" s="139">
        <v>3</v>
      </c>
      <c r="L11" s="140"/>
      <c r="M11" s="141"/>
      <c r="N11" s="141"/>
      <c r="O11" s="141"/>
      <c r="P11" s="141"/>
      <c r="Q11" s="141"/>
      <c r="R11" s="136"/>
      <c r="S11" s="142"/>
    </row>
    <row r="12" spans="1:19" ht="21" customHeight="1" x14ac:dyDescent="0.15">
      <c r="A12" s="12">
        <v>850</v>
      </c>
      <c r="B12" s="135" t="s">
        <v>185</v>
      </c>
      <c r="C12" s="173" t="s">
        <v>279</v>
      </c>
      <c r="D12" s="136" t="s">
        <v>265</v>
      </c>
      <c r="E12" s="137">
        <f t="shared" si="3"/>
        <v>41</v>
      </c>
      <c r="F12" s="119">
        <v>13</v>
      </c>
      <c r="G12" s="119">
        <v>5</v>
      </c>
      <c r="H12" s="138">
        <f>2001</f>
        <v>2001</v>
      </c>
      <c r="I12" s="138" t="s">
        <v>439</v>
      </c>
      <c r="J12" s="57" t="str">
        <f ca="1">VLOOKUP($A12,OFFSET([1]characters!$A$1,0,0,COUNTA([1]characters!$A:$A),MATCH("name",[1]characters!$1:$1,0)-MATCH("character_id",[1]characters!$1:$1,0)+1),MATCH("name",[1]characters!$1:$1,0)-MATCH("character_id",[1]characters!$1:$1,0)+1,FALSE)</f>
        <v>バアル</v>
      </c>
      <c r="K12" s="139">
        <v>3</v>
      </c>
      <c r="L12" s="140"/>
      <c r="M12" s="141"/>
      <c r="N12" s="141"/>
      <c r="O12" s="141"/>
      <c r="P12" s="141"/>
      <c r="Q12" s="141"/>
      <c r="R12" s="136"/>
      <c r="S12" s="142"/>
    </row>
    <row r="13" spans="1:19" ht="21" customHeight="1" x14ac:dyDescent="0.15">
      <c r="A13" s="12">
        <v>851</v>
      </c>
      <c r="B13" s="135" t="s">
        <v>185</v>
      </c>
      <c r="C13" s="173" t="s">
        <v>279</v>
      </c>
      <c r="D13" s="136" t="s">
        <v>440</v>
      </c>
      <c r="E13" s="137">
        <f t="shared" si="3"/>
        <v>61</v>
      </c>
      <c r="F13" s="119">
        <v>12</v>
      </c>
      <c r="G13" s="119">
        <v>5</v>
      </c>
      <c r="H13" s="138">
        <f>2001</f>
        <v>2001</v>
      </c>
      <c r="I13" s="138" t="s">
        <v>441</v>
      </c>
      <c r="J13" s="57" t="str">
        <f ca="1">VLOOKUP($A13,OFFSET([1]characters!$A$1,0,0,COUNTA([1]characters!$A:$A),MATCH("name",[1]characters!$1:$1,0)-MATCH("character_id",[1]characters!$1:$1,0)+1),MATCH("name",[1]characters!$1:$1,0)-MATCH("character_id",[1]characters!$1:$1,0)+1,FALSE)</f>
        <v>寡黙なる凶王 バアル</v>
      </c>
      <c r="K13" s="139">
        <v>3</v>
      </c>
      <c r="L13" s="140"/>
      <c r="M13" s="141"/>
      <c r="N13" s="141"/>
      <c r="O13" s="141"/>
      <c r="P13" s="141"/>
      <c r="Q13" s="141"/>
      <c r="R13" s="136"/>
      <c r="S13" s="142"/>
    </row>
    <row r="14" spans="1:19" ht="21" customHeight="1" x14ac:dyDescent="0.15">
      <c r="A14" s="12">
        <v>852</v>
      </c>
      <c r="B14" s="135" t="s">
        <v>185</v>
      </c>
      <c r="C14" s="173" t="s">
        <v>280</v>
      </c>
      <c r="D14" s="136" t="s">
        <v>357</v>
      </c>
      <c r="E14" s="137">
        <f t="shared" si="2"/>
        <v>37</v>
      </c>
      <c r="F14" s="119">
        <v>11</v>
      </c>
      <c r="G14" s="119">
        <v>5</v>
      </c>
      <c r="H14" s="138">
        <f>2001</f>
        <v>2001</v>
      </c>
      <c r="I14" s="138" t="s">
        <v>358</v>
      </c>
      <c r="J14" s="57" t="str">
        <f ca="1">VLOOKUP($A14,OFFSET([1]characters!$A$1,0,0,COUNTA([1]characters!$A:$A),MATCH("name",[1]characters!$1:$1,0)-MATCH("character_id",[1]characters!$1:$1,0)+1),MATCH("name",[1]characters!$1:$1,0)-MATCH("character_id",[1]characters!$1:$1,0)+1,FALSE)</f>
        <v>サキエル</v>
      </c>
      <c r="K14" s="139">
        <v>3</v>
      </c>
      <c r="L14" s="140"/>
      <c r="M14" s="141"/>
      <c r="N14" s="141"/>
      <c r="O14" s="141"/>
      <c r="P14" s="141"/>
      <c r="Q14" s="141"/>
      <c r="R14" s="136"/>
      <c r="S14" s="142"/>
    </row>
    <row r="15" spans="1:19" ht="21" customHeight="1" x14ac:dyDescent="0.15">
      <c r="A15" s="12">
        <v>853</v>
      </c>
      <c r="B15" s="135" t="s">
        <v>185</v>
      </c>
      <c r="C15" s="173" t="s">
        <v>280</v>
      </c>
      <c r="D15" s="136" t="s">
        <v>357</v>
      </c>
      <c r="E15" s="137">
        <f t="shared" ref="E15:E17" si="4">LEN(D15)</f>
        <v>37</v>
      </c>
      <c r="F15" s="119">
        <v>11</v>
      </c>
      <c r="G15" s="119">
        <v>5</v>
      </c>
      <c r="H15" s="138">
        <f>2001</f>
        <v>2001</v>
      </c>
      <c r="I15" s="138" t="s">
        <v>359</v>
      </c>
      <c r="J15" s="57" t="str">
        <f ca="1">VLOOKUP($A15,OFFSET([1]characters!$A$1,0,0,COUNTA([1]characters!$A:$A),MATCH("name",[1]characters!$1:$1,0)-MATCH("character_id",[1]characters!$1:$1,0)+1),MATCH("name",[1]characters!$1:$1,0)-MATCH("character_id",[1]characters!$1:$1,0)+1,FALSE)</f>
        <v>裂爪の天使 サキエル・ティア</v>
      </c>
      <c r="K15" s="139">
        <v>3</v>
      </c>
      <c r="L15" s="140"/>
      <c r="M15" s="141"/>
      <c r="N15" s="141"/>
      <c r="O15" s="141"/>
      <c r="P15" s="141"/>
      <c r="Q15" s="141"/>
      <c r="R15" s="136"/>
      <c r="S15" s="142"/>
    </row>
    <row r="16" spans="1:19" ht="21" customHeight="1" x14ac:dyDescent="0.15">
      <c r="A16" s="12">
        <v>854</v>
      </c>
      <c r="B16" s="135" t="s">
        <v>185</v>
      </c>
      <c r="C16" s="172" t="s">
        <v>281</v>
      </c>
      <c r="D16" s="136" t="s">
        <v>263</v>
      </c>
      <c r="E16" s="137">
        <f t="shared" si="4"/>
        <v>32</v>
      </c>
      <c r="F16" s="119">
        <v>10</v>
      </c>
      <c r="G16" s="119">
        <v>5</v>
      </c>
      <c r="H16" s="138">
        <f>2001</f>
        <v>2001</v>
      </c>
      <c r="I16" s="138" t="s">
        <v>394</v>
      </c>
      <c r="J16" s="57" t="str">
        <f ca="1">VLOOKUP($A16,OFFSET([1]characters!$A$1,0,0,COUNTA([1]characters!$A:$A),MATCH("name",[1]characters!$1:$1,0)-MATCH("character_id",[1]characters!$1:$1,0)+1),MATCH("name",[1]characters!$1:$1,0)-MATCH("character_id",[1]characters!$1:$1,0)+1,FALSE)</f>
        <v>フラウロス</v>
      </c>
      <c r="K16" s="139">
        <v>3</v>
      </c>
      <c r="L16" s="140"/>
      <c r="M16" s="141"/>
      <c r="N16" s="141"/>
      <c r="O16" s="141"/>
      <c r="P16" s="141"/>
      <c r="Q16" s="141"/>
      <c r="R16" s="136"/>
      <c r="S16" s="142"/>
    </row>
    <row r="17" spans="1:19" ht="21" customHeight="1" x14ac:dyDescent="0.15">
      <c r="A17" s="12">
        <v>855</v>
      </c>
      <c r="B17" s="135" t="s">
        <v>185</v>
      </c>
      <c r="C17" s="172" t="s">
        <v>281</v>
      </c>
      <c r="D17" s="136" t="s">
        <v>263</v>
      </c>
      <c r="E17" s="137">
        <f t="shared" si="4"/>
        <v>32</v>
      </c>
      <c r="F17" s="119">
        <v>10</v>
      </c>
      <c r="G17" s="119">
        <v>5</v>
      </c>
      <c r="H17" s="138">
        <f>2001</f>
        <v>2001</v>
      </c>
      <c r="I17" s="138" t="s">
        <v>266</v>
      </c>
      <c r="J17" s="57" t="str">
        <f ca="1">VLOOKUP($A17,OFFSET([1]characters!$A$1,0,0,COUNTA([1]characters!$A:$A),MATCH("name",[1]characters!$1:$1,0)-MATCH("character_id",[1]characters!$1:$1,0)+1),MATCH("name",[1]characters!$1:$1,0)-MATCH("character_id",[1]characters!$1:$1,0)+1,FALSE)</f>
        <v>豹魔の侠客 フラウロス</v>
      </c>
      <c r="K17" s="139">
        <v>3</v>
      </c>
      <c r="L17" s="140"/>
      <c r="M17" s="141"/>
      <c r="N17" s="141"/>
      <c r="O17" s="141"/>
      <c r="P17" s="141"/>
      <c r="Q17" s="141"/>
      <c r="R17" s="136"/>
      <c r="S17" s="142"/>
    </row>
  </sheetData>
  <sheetProtection selectLockedCells="1" selectUnlockedCells="1"/>
  <autoFilter ref="A1:S1">
    <sortState ref="A2:T432">
      <sortCondition ref="A1:A432"/>
    </sortState>
  </autoFilter>
  <phoneticPr fontId="22"/>
  <conditionalFormatting sqref="E1 E18:E1048576">
    <cfRule type="cellIs" dxfId="26" priority="8" operator="greaterThan">
      <formula>41</formula>
    </cfRule>
  </conditionalFormatting>
  <conditionalFormatting sqref="E2 E4 E6 E8 E10 E12 E14 E16">
    <cfRule type="cellIs" dxfId="25" priority="2" operator="greaterThan">
      <formula>41</formula>
    </cfRule>
  </conditionalFormatting>
  <conditionalFormatting sqref="E3 E5 E7 E9 E11 E13 E15 E17">
    <cfRule type="cellIs" dxfId="24"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3" sqref="A3"/>
      <selection pane="bottomRight" activeCell="C13" sqref="C13"/>
    </sheetView>
  </sheetViews>
  <sheetFormatPr baseColWidth="12" defaultColWidth="13" defaultRowHeight="21" customHeight="1" x14ac:dyDescent="0.15"/>
  <cols>
    <col min="1" max="2" width="12.1640625" style="132" customWidth="1"/>
    <col min="3" max="3" width="48.83203125" style="133" customWidth="1"/>
    <col min="4" max="4" width="23.83203125" style="133" customWidth="1"/>
    <col min="5" max="5" width="10.5" style="133" customWidth="1"/>
    <col min="6" max="7" width="59.1640625" style="133" customWidth="1"/>
    <col min="8" max="8" width="6.83203125" style="132" bestFit="1" customWidth="1"/>
    <col min="9" max="9" width="20.33203125" style="132" customWidth="1"/>
    <col min="10" max="10" width="5" style="132" bestFit="1" customWidth="1"/>
    <col min="11" max="16384" width="13" style="132"/>
  </cols>
  <sheetData>
    <row r="1" spans="1:19" ht="21" customHeight="1" x14ac:dyDescent="0.15">
      <c r="A1" s="120" t="s">
        <v>182</v>
      </c>
      <c r="B1" s="121" t="s">
        <v>181</v>
      </c>
      <c r="C1" s="122" t="s">
        <v>180</v>
      </c>
      <c r="D1" s="123" t="s">
        <v>179</v>
      </c>
      <c r="E1" s="123" t="s">
        <v>178</v>
      </c>
      <c r="F1" s="124" t="s">
        <v>177</v>
      </c>
      <c r="G1" s="125" t="s">
        <v>184</v>
      </c>
      <c r="H1" s="124" t="s">
        <v>176</v>
      </c>
      <c r="I1" s="125" t="s">
        <v>175</v>
      </c>
      <c r="J1" s="129" t="s">
        <v>174</v>
      </c>
    </row>
    <row r="2" spans="1:19" ht="21" customHeight="1" x14ac:dyDescent="0.15">
      <c r="A2" s="12">
        <v>840</v>
      </c>
      <c r="B2" s="135" t="s">
        <v>186</v>
      </c>
      <c r="C2" s="173" t="s">
        <v>361</v>
      </c>
      <c r="D2" s="170" t="s">
        <v>275</v>
      </c>
      <c r="E2" s="137">
        <f t="shared" ref="E2" si="0">LEN(D2)</f>
        <v>17</v>
      </c>
      <c r="F2" s="169" t="s">
        <v>380</v>
      </c>
      <c r="G2" s="57" t="str">
        <f ca="1">VLOOKUP($A2,OFFSET([1]characters!$A$1,0,0,COUNTA([1]characters!$A:$A),MATCH("name",[1]characters!$1:$1,0)-MATCH("character_id",[1]characters!$1:$1,0)+1),MATCH("name",[1]characters!$1:$1,0)-MATCH("character_id",[1]characters!$1:$1,0)+1,FALSE)</f>
        <v>フェニックス</v>
      </c>
      <c r="H2" s="138">
        <v>3</v>
      </c>
      <c r="I2" s="138"/>
      <c r="J2" s="143"/>
      <c r="K2" s="139">
        <v>1</v>
      </c>
      <c r="L2" s="140"/>
      <c r="M2" s="141"/>
      <c r="N2" s="141"/>
      <c r="O2" s="141"/>
      <c r="P2" s="141"/>
      <c r="Q2" s="141"/>
      <c r="R2" s="136"/>
      <c r="S2" s="142"/>
    </row>
    <row r="3" spans="1:19" ht="21" customHeight="1" x14ac:dyDescent="0.15">
      <c r="A3" s="12">
        <v>841</v>
      </c>
      <c r="B3" s="135" t="s">
        <v>186</v>
      </c>
      <c r="C3" s="173" t="s">
        <v>363</v>
      </c>
      <c r="D3" s="170" t="s">
        <v>362</v>
      </c>
      <c r="E3" s="137">
        <f t="shared" ref="E3:E4" si="1">LEN(D3)</f>
        <v>18</v>
      </c>
      <c r="F3" s="169" t="s">
        <v>381</v>
      </c>
      <c r="G3" s="57" t="str">
        <f ca="1">VLOOKUP($A3,OFFSET([1]characters!$A$1,0,0,COUNTA([1]characters!$A:$A),MATCH("name",[1]characters!$1:$1,0)-MATCH("character_id",[1]characters!$1:$1,0)+1),MATCH("name",[1]characters!$1:$1,0)-MATCH("character_id",[1]characters!$1:$1,0)+1,FALSE)</f>
        <v>排斥の不死鳥 フェニックス</v>
      </c>
      <c r="H3" s="138">
        <v>3</v>
      </c>
      <c r="I3" s="138"/>
      <c r="J3" s="143"/>
      <c r="K3" s="139">
        <v>2</v>
      </c>
      <c r="L3" s="140"/>
      <c r="M3" s="141"/>
      <c r="N3" s="141"/>
      <c r="O3" s="141"/>
      <c r="P3" s="141"/>
      <c r="Q3" s="141"/>
      <c r="R3" s="136"/>
      <c r="S3" s="142"/>
    </row>
    <row r="4" spans="1:19" ht="21" customHeight="1" x14ac:dyDescent="0.15">
      <c r="A4" s="12">
        <v>842</v>
      </c>
      <c r="B4" s="135" t="s">
        <v>186</v>
      </c>
      <c r="C4" s="173" t="s">
        <v>365</v>
      </c>
      <c r="D4" s="136" t="s">
        <v>258</v>
      </c>
      <c r="E4" s="137">
        <f t="shared" si="1"/>
        <v>17</v>
      </c>
      <c r="F4" s="119" t="s">
        <v>257</v>
      </c>
      <c r="G4" s="57" t="str">
        <f ca="1">VLOOKUP($A4,OFFSET([1]characters!$A$1,0,0,COUNTA([1]characters!$A:$A),MATCH("name",[1]characters!$1:$1,0)-MATCH("character_id",[1]characters!$1:$1,0)+1),MATCH("name",[1]characters!$1:$1,0)-MATCH("character_id",[1]characters!$1:$1,0)+1,FALSE)</f>
        <v>セイレーン</v>
      </c>
      <c r="H4" s="138">
        <v>3</v>
      </c>
      <c r="I4" s="138"/>
      <c r="J4" s="143"/>
      <c r="K4" s="139">
        <v>3</v>
      </c>
      <c r="L4" s="140"/>
      <c r="M4" s="141"/>
      <c r="N4" s="141"/>
      <c r="O4" s="141"/>
      <c r="P4" s="141"/>
      <c r="Q4" s="141"/>
      <c r="R4" s="136"/>
      <c r="S4" s="142"/>
    </row>
    <row r="5" spans="1:19" ht="21" customHeight="1" x14ac:dyDescent="0.15">
      <c r="A5" s="12">
        <v>843</v>
      </c>
      <c r="B5" s="135" t="s">
        <v>186</v>
      </c>
      <c r="C5" s="173" t="s">
        <v>365</v>
      </c>
      <c r="D5" s="136" t="s">
        <v>258</v>
      </c>
      <c r="E5" s="137">
        <f t="shared" ref="E5:E17" si="2">LEN(D5)</f>
        <v>17</v>
      </c>
      <c r="F5" s="119" t="s">
        <v>257</v>
      </c>
      <c r="G5" s="57" t="str">
        <f ca="1">VLOOKUP($A5,OFFSET([1]characters!$A$1,0,0,COUNTA([1]characters!$A:$A),MATCH("name",[1]characters!$1:$1,0)-MATCH("character_id",[1]characters!$1:$1,0)+1),MATCH("name",[1]characters!$1:$1,0)-MATCH("character_id",[1]characters!$1:$1,0)+1,FALSE)</f>
        <v>荒れ狂う乱歌 セイレーン</v>
      </c>
      <c r="H5" s="138">
        <v>3</v>
      </c>
      <c r="I5" s="138"/>
      <c r="J5" s="143"/>
      <c r="K5" s="139">
        <v>4</v>
      </c>
      <c r="L5" s="140"/>
      <c r="M5" s="141"/>
      <c r="N5" s="141"/>
      <c r="O5" s="141"/>
      <c r="P5" s="141"/>
      <c r="Q5" s="141"/>
      <c r="R5" s="136"/>
      <c r="S5" s="142"/>
    </row>
    <row r="6" spans="1:19" ht="21" customHeight="1" x14ac:dyDescent="0.15">
      <c r="A6" s="12">
        <v>844</v>
      </c>
      <c r="B6" s="135" t="s">
        <v>186</v>
      </c>
      <c r="C6" s="173" t="s">
        <v>366</v>
      </c>
      <c r="D6" s="136" t="s">
        <v>268</v>
      </c>
      <c r="E6" s="137">
        <f t="shared" si="2"/>
        <v>15</v>
      </c>
      <c r="F6" s="171" t="s">
        <v>274</v>
      </c>
      <c r="G6" s="57" t="str">
        <f ca="1">VLOOKUP($A6,OFFSET([1]characters!$A$1,0,0,COUNTA([1]characters!$A:$A),MATCH("name",[1]characters!$1:$1,0)-MATCH("character_id",[1]characters!$1:$1,0)+1),MATCH("name",[1]characters!$1:$1,0)-MATCH("character_id",[1]characters!$1:$1,0)+1,FALSE)</f>
        <v>ベルゼブブ</v>
      </c>
      <c r="H6" s="138">
        <v>3</v>
      </c>
      <c r="I6" s="138"/>
      <c r="J6" s="143"/>
      <c r="K6" s="139">
        <v>5</v>
      </c>
      <c r="L6" s="140"/>
      <c r="M6" s="141"/>
      <c r="N6" s="141"/>
      <c r="O6" s="141"/>
      <c r="P6" s="141"/>
      <c r="Q6" s="141"/>
      <c r="R6" s="136"/>
      <c r="S6" s="142"/>
    </row>
    <row r="7" spans="1:19" ht="21" customHeight="1" x14ac:dyDescent="0.15">
      <c r="A7" s="12">
        <v>845</v>
      </c>
      <c r="B7" s="135" t="s">
        <v>186</v>
      </c>
      <c r="C7" s="173" t="s">
        <v>373</v>
      </c>
      <c r="D7" s="136" t="s">
        <v>269</v>
      </c>
      <c r="E7" s="137">
        <f t="shared" si="2"/>
        <v>16</v>
      </c>
      <c r="F7" s="171" t="s">
        <v>442</v>
      </c>
      <c r="G7" s="57" t="str">
        <f ca="1">VLOOKUP($A7,OFFSET([1]characters!$A$1,0,0,COUNTA([1]characters!$A:$A),MATCH("name",[1]characters!$1:$1,0)-MATCH("character_id",[1]characters!$1:$1,0)+1),MATCH("name",[1]characters!$1:$1,0)-MATCH("character_id",[1]characters!$1:$1,0)+1,FALSE)</f>
        <v>妖艶なる蝿王 ベルゼブブ</v>
      </c>
      <c r="H7" s="138">
        <v>3</v>
      </c>
      <c r="I7" s="138"/>
      <c r="J7" s="143"/>
      <c r="K7" s="139">
        <v>6</v>
      </c>
      <c r="L7" s="140"/>
      <c r="M7" s="141"/>
      <c r="N7" s="141"/>
      <c r="O7" s="141"/>
      <c r="P7" s="141"/>
      <c r="Q7" s="141"/>
      <c r="R7" s="136"/>
      <c r="S7" s="142"/>
    </row>
    <row r="8" spans="1:19" ht="21" customHeight="1" x14ac:dyDescent="0.15">
      <c r="A8" s="12">
        <v>846</v>
      </c>
      <c r="B8" s="135" t="s">
        <v>186</v>
      </c>
      <c r="C8" s="173" t="s">
        <v>367</v>
      </c>
      <c r="D8" s="136" t="s">
        <v>396</v>
      </c>
      <c r="E8" s="137">
        <f t="shared" si="2"/>
        <v>8</v>
      </c>
      <c r="F8" s="119" t="s">
        <v>397</v>
      </c>
      <c r="G8" s="57" t="str">
        <f ca="1">VLOOKUP($A8,OFFSET([1]characters!$A$1,0,0,COUNTA([1]characters!$A:$A),MATCH("name",[1]characters!$1:$1,0)-MATCH("character_id",[1]characters!$1:$1,0)+1),MATCH("name",[1]characters!$1:$1,0)-MATCH("character_id",[1]characters!$1:$1,0)+1,FALSE)</f>
        <v>ルシファー</v>
      </c>
      <c r="H8" s="138">
        <v>3</v>
      </c>
      <c r="I8" s="138"/>
      <c r="J8" s="143"/>
      <c r="K8" s="139">
        <v>7</v>
      </c>
      <c r="L8" s="140"/>
      <c r="M8" s="141"/>
      <c r="N8" s="141"/>
      <c r="O8" s="141"/>
      <c r="P8" s="141"/>
      <c r="Q8" s="141"/>
      <c r="R8" s="136"/>
      <c r="S8" s="142"/>
    </row>
    <row r="9" spans="1:19" ht="21" customHeight="1" x14ac:dyDescent="0.15">
      <c r="A9" s="12">
        <v>847</v>
      </c>
      <c r="B9" s="135" t="s">
        <v>186</v>
      </c>
      <c r="C9" s="172" t="s">
        <v>368</v>
      </c>
      <c r="D9" s="136" t="s">
        <v>395</v>
      </c>
      <c r="E9" s="137">
        <f t="shared" si="2"/>
        <v>9</v>
      </c>
      <c r="F9" s="119" t="s">
        <v>393</v>
      </c>
      <c r="G9" s="57" t="str">
        <f ca="1">VLOOKUP($A9,OFFSET([1]characters!$A$1,0,0,COUNTA([1]characters!$A:$A),MATCH("name",[1]characters!$1:$1,0)-MATCH("character_id",[1]characters!$1:$1,0)+1),MATCH("name",[1]characters!$1:$1,0)-MATCH("character_id",[1]characters!$1:$1,0)+1,FALSE)</f>
        <v>傲慢なる堕天史 ルシファー</v>
      </c>
      <c r="H9" s="138">
        <v>3</v>
      </c>
      <c r="I9" s="138"/>
      <c r="J9" s="143"/>
      <c r="K9" s="139">
        <v>8</v>
      </c>
      <c r="L9" s="140"/>
      <c r="M9" s="141"/>
      <c r="N9" s="141"/>
      <c r="O9" s="141"/>
      <c r="P9" s="141"/>
      <c r="Q9" s="141"/>
      <c r="R9" s="136"/>
      <c r="S9" s="142"/>
    </row>
    <row r="10" spans="1:19" ht="21" customHeight="1" x14ac:dyDescent="0.15">
      <c r="A10" s="12">
        <v>848</v>
      </c>
      <c r="B10" s="135" t="s">
        <v>186</v>
      </c>
      <c r="C10" s="172" t="s">
        <v>287</v>
      </c>
      <c r="D10" s="136" t="s">
        <v>253</v>
      </c>
      <c r="E10" s="137">
        <f t="shared" si="2"/>
        <v>9</v>
      </c>
      <c r="F10" s="119" t="s">
        <v>255</v>
      </c>
      <c r="G10" s="57" t="str">
        <f ca="1">VLOOKUP($A10,OFFSET([1]characters!$A$1,0,0,COUNTA([1]characters!$A:$A),MATCH("name",[1]characters!$1:$1,0)-MATCH("character_id",[1]characters!$1:$1,0)+1),MATCH("name",[1]characters!$1:$1,0)-MATCH("character_id",[1]characters!$1:$1,0)+1,FALSE)</f>
        <v>メタトロン</v>
      </c>
      <c r="H10" s="138">
        <v>3</v>
      </c>
      <c r="I10" s="138"/>
      <c r="J10" s="143"/>
      <c r="K10" s="139">
        <v>9</v>
      </c>
      <c r="L10" s="140"/>
      <c r="M10" s="141"/>
      <c r="N10" s="141"/>
      <c r="O10" s="141"/>
      <c r="P10" s="141"/>
      <c r="Q10" s="141"/>
      <c r="R10" s="136"/>
      <c r="S10" s="142"/>
    </row>
    <row r="11" spans="1:19" ht="21" customHeight="1" x14ac:dyDescent="0.15">
      <c r="A11" s="12">
        <v>849</v>
      </c>
      <c r="B11" s="135" t="s">
        <v>186</v>
      </c>
      <c r="C11" s="172" t="s">
        <v>288</v>
      </c>
      <c r="D11" s="136" t="s">
        <v>422</v>
      </c>
      <c r="E11" s="137">
        <f t="shared" si="2"/>
        <v>30</v>
      </c>
      <c r="F11" s="119" t="s">
        <v>423</v>
      </c>
      <c r="G11" s="57" t="str">
        <f ca="1">VLOOKUP($A11,OFFSET([1]characters!$A$1,0,0,COUNTA([1]characters!$A:$A),MATCH("name",[1]characters!$1:$1,0)-MATCH("character_id",[1]characters!$1:$1,0)+1),MATCH("name",[1]characters!$1:$1,0)-MATCH("character_id",[1]characters!$1:$1,0)+1,FALSE)</f>
        <v>燦然たる天使 メタトロン・ラヴァ</v>
      </c>
      <c r="H11" s="138">
        <v>3</v>
      </c>
      <c r="I11" s="138"/>
      <c r="J11" s="143"/>
      <c r="K11" s="139">
        <v>10</v>
      </c>
      <c r="L11" s="140"/>
      <c r="M11" s="141"/>
      <c r="N11" s="141"/>
      <c r="O11" s="141"/>
      <c r="P11" s="141"/>
      <c r="Q11" s="141"/>
      <c r="R11" s="136"/>
      <c r="S11" s="142"/>
    </row>
    <row r="12" spans="1:19" ht="21" customHeight="1" x14ac:dyDescent="0.15">
      <c r="A12" s="12">
        <v>850</v>
      </c>
      <c r="B12" s="135" t="s">
        <v>186</v>
      </c>
      <c r="C12" s="172" t="s">
        <v>289</v>
      </c>
      <c r="D12" s="136" t="s">
        <v>270</v>
      </c>
      <c r="E12" s="137">
        <f t="shared" si="2"/>
        <v>10</v>
      </c>
      <c r="F12" s="119" t="s">
        <v>272</v>
      </c>
      <c r="G12" s="57" t="str">
        <f ca="1">VLOOKUP($A12,OFFSET([1]characters!$A$1,0,0,COUNTA([1]characters!$A:$A),MATCH("name",[1]characters!$1:$1,0)-MATCH("character_id",[1]characters!$1:$1,0)+1),MATCH("name",[1]characters!$1:$1,0)-MATCH("character_id",[1]characters!$1:$1,0)+1,FALSE)</f>
        <v>バアル</v>
      </c>
      <c r="H12" s="138">
        <v>3</v>
      </c>
      <c r="I12" s="138"/>
      <c r="J12" s="143"/>
      <c r="K12" s="139">
        <v>11</v>
      </c>
      <c r="L12" s="140"/>
      <c r="M12" s="141"/>
      <c r="N12" s="141"/>
      <c r="O12" s="141"/>
      <c r="P12" s="141"/>
      <c r="Q12" s="141"/>
      <c r="R12" s="136"/>
      <c r="S12" s="142"/>
    </row>
    <row r="13" spans="1:19" ht="21" customHeight="1" x14ac:dyDescent="0.15">
      <c r="A13" s="12">
        <v>851</v>
      </c>
      <c r="B13" s="135" t="s">
        <v>186</v>
      </c>
      <c r="C13" s="172" t="s">
        <v>290</v>
      </c>
      <c r="D13" s="136" t="s">
        <v>271</v>
      </c>
      <c r="E13" s="137">
        <f t="shared" si="2"/>
        <v>10</v>
      </c>
      <c r="F13" s="119" t="s">
        <v>273</v>
      </c>
      <c r="G13" s="57" t="str">
        <f ca="1">VLOOKUP($A13,OFFSET([1]characters!$A$1,0,0,COUNTA([1]characters!$A:$A),MATCH("name",[1]characters!$1:$1,0)-MATCH("character_id",[1]characters!$1:$1,0)+1),MATCH("name",[1]characters!$1:$1,0)-MATCH("character_id",[1]characters!$1:$1,0)+1,FALSE)</f>
        <v>寡黙なる凶王 バアル</v>
      </c>
      <c r="H13" s="138">
        <v>3</v>
      </c>
      <c r="I13" s="138"/>
      <c r="J13" s="143"/>
      <c r="K13" s="139">
        <v>12</v>
      </c>
      <c r="L13" s="140"/>
      <c r="M13" s="141"/>
      <c r="N13" s="141"/>
      <c r="O13" s="141"/>
      <c r="P13" s="141"/>
      <c r="Q13" s="141"/>
      <c r="R13" s="136"/>
      <c r="S13" s="142"/>
    </row>
    <row r="14" spans="1:19" ht="21" customHeight="1" x14ac:dyDescent="0.15">
      <c r="A14" s="12">
        <v>852</v>
      </c>
      <c r="B14" s="135" t="s">
        <v>186</v>
      </c>
      <c r="C14" s="172" t="s">
        <v>291</v>
      </c>
      <c r="D14" s="136" t="s">
        <v>296</v>
      </c>
      <c r="E14" s="137">
        <f t="shared" si="2"/>
        <v>8</v>
      </c>
      <c r="F14" s="119" t="s">
        <v>297</v>
      </c>
      <c r="G14" s="57" t="str">
        <f ca="1">VLOOKUP($A14,OFFSET([1]characters!$A$1,0,0,COUNTA([1]characters!$A:$A),MATCH("name",[1]characters!$1:$1,0)-MATCH("character_id",[1]characters!$1:$1,0)+1),MATCH("name",[1]characters!$1:$1,0)-MATCH("character_id",[1]characters!$1:$1,0)+1,FALSE)</f>
        <v>サキエル</v>
      </c>
      <c r="H14" s="138">
        <v>3</v>
      </c>
      <c r="I14" s="138"/>
      <c r="J14" s="143"/>
      <c r="K14" s="139">
        <v>13</v>
      </c>
      <c r="L14" s="140"/>
      <c r="M14" s="141"/>
      <c r="N14" s="141"/>
      <c r="O14" s="141"/>
      <c r="P14" s="141"/>
      <c r="Q14" s="141"/>
      <c r="R14" s="136"/>
      <c r="S14" s="142"/>
    </row>
    <row r="15" spans="1:19" ht="21" customHeight="1" x14ac:dyDescent="0.15">
      <c r="A15" s="12">
        <v>853</v>
      </c>
      <c r="B15" s="135" t="s">
        <v>186</v>
      </c>
      <c r="C15" s="172" t="s">
        <v>292</v>
      </c>
      <c r="D15" s="136" t="s">
        <v>264</v>
      </c>
      <c r="E15" s="137">
        <f t="shared" si="2"/>
        <v>9</v>
      </c>
      <c r="F15" s="119" t="s">
        <v>277</v>
      </c>
      <c r="G15" s="57" t="str">
        <f ca="1">VLOOKUP($A15,OFFSET([1]characters!$A$1,0,0,COUNTA([1]characters!$A:$A),MATCH("name",[1]characters!$1:$1,0)-MATCH("character_id",[1]characters!$1:$1,0)+1),MATCH("name",[1]characters!$1:$1,0)-MATCH("character_id",[1]characters!$1:$1,0)+1,FALSE)</f>
        <v>裂爪の天使 サキエル・ティア</v>
      </c>
      <c r="H15" s="138">
        <v>3</v>
      </c>
      <c r="I15" s="138"/>
      <c r="J15" s="143"/>
      <c r="K15" s="139">
        <v>14</v>
      </c>
      <c r="L15" s="140"/>
      <c r="M15" s="141"/>
      <c r="N15" s="141"/>
      <c r="O15" s="141"/>
      <c r="P15" s="141"/>
      <c r="Q15" s="141"/>
      <c r="R15" s="136"/>
      <c r="S15" s="142"/>
    </row>
    <row r="16" spans="1:19" ht="21" customHeight="1" x14ac:dyDescent="0.15">
      <c r="A16" s="12">
        <v>854</v>
      </c>
      <c r="B16" s="135" t="s">
        <v>186</v>
      </c>
      <c r="C16" s="172" t="s">
        <v>293</v>
      </c>
      <c r="D16" s="136" t="s">
        <v>295</v>
      </c>
      <c r="E16" s="137">
        <f t="shared" si="2"/>
        <v>8</v>
      </c>
      <c r="F16" s="119" t="s">
        <v>360</v>
      </c>
      <c r="G16" s="57" t="str">
        <f ca="1">VLOOKUP($A16,OFFSET([1]characters!$A$1,0,0,COUNTA([1]characters!$A:$A),MATCH("name",[1]characters!$1:$1,0)-MATCH("character_id",[1]characters!$1:$1,0)+1),MATCH("name",[1]characters!$1:$1,0)-MATCH("character_id",[1]characters!$1:$1,0)+1,FALSE)</f>
        <v>フラウロス</v>
      </c>
      <c r="H16" s="138">
        <v>3</v>
      </c>
      <c r="I16" s="138"/>
      <c r="J16" s="143"/>
      <c r="K16" s="139">
        <v>15</v>
      </c>
      <c r="L16" s="140"/>
      <c r="M16" s="141"/>
      <c r="N16" s="141"/>
      <c r="O16" s="141"/>
      <c r="P16" s="141"/>
      <c r="Q16" s="141"/>
      <c r="R16" s="136"/>
      <c r="S16" s="142"/>
    </row>
    <row r="17" spans="1:19" ht="21" customHeight="1" x14ac:dyDescent="0.15">
      <c r="A17" s="12">
        <v>855</v>
      </c>
      <c r="B17" s="135" t="s">
        <v>186</v>
      </c>
      <c r="C17" s="172" t="s">
        <v>294</v>
      </c>
      <c r="D17" s="136" t="s">
        <v>267</v>
      </c>
      <c r="E17" s="137">
        <f t="shared" si="2"/>
        <v>8</v>
      </c>
      <c r="F17" s="119" t="s">
        <v>298</v>
      </c>
      <c r="G17" s="57" t="str">
        <f ca="1">VLOOKUP($A17,OFFSET([1]characters!$A$1,0,0,COUNTA([1]characters!$A:$A),MATCH("name",[1]characters!$1:$1,0)-MATCH("character_id",[1]characters!$1:$1,0)+1),MATCH("name",[1]characters!$1:$1,0)-MATCH("character_id",[1]characters!$1:$1,0)+1,FALSE)</f>
        <v>豹魔の侠客 フラウロス</v>
      </c>
      <c r="H17" s="138">
        <v>3</v>
      </c>
      <c r="I17" s="138"/>
      <c r="J17" s="143"/>
      <c r="K17" s="139">
        <v>16</v>
      </c>
      <c r="L17" s="140"/>
      <c r="M17" s="141"/>
      <c r="N17" s="141"/>
      <c r="O17" s="141"/>
      <c r="P17" s="141"/>
      <c r="Q17" s="141"/>
      <c r="R17" s="136"/>
      <c r="S17" s="142"/>
    </row>
  </sheetData>
  <sheetProtection selectLockedCells="1" selectUnlockedCells="1"/>
  <autoFilter ref="A1:J1"/>
  <phoneticPr fontId="22"/>
  <conditionalFormatting sqref="E2:E17">
    <cfRule type="cellIs" dxfId="23"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5"/>
  <sheetViews>
    <sheetView topLeftCell="A16" workbookViewId="0">
      <selection activeCell="H33" sqref="H33"/>
    </sheetView>
  </sheetViews>
  <sheetFormatPr baseColWidth="12" defaultRowHeight="15" outlineLevelCol="1" x14ac:dyDescent="0.15"/>
  <cols>
    <col min="2" max="2" width="12.83203125" style="145"/>
    <col min="4" max="4" width="12.83203125" style="145" customWidth="1" outlineLevel="1"/>
    <col min="5" max="5" width="12.83203125" style="145"/>
    <col min="8" max="8" width="27.83203125" customWidth="1"/>
  </cols>
  <sheetData>
    <row r="1" spans="1:8" x14ac:dyDescent="0.15">
      <c r="A1" s="116" t="s">
        <v>187</v>
      </c>
      <c r="B1" s="144" t="s">
        <v>188</v>
      </c>
      <c r="C1" s="116" t="s">
        <v>189</v>
      </c>
      <c r="D1" s="144" t="s">
        <v>191</v>
      </c>
      <c r="E1" s="144" t="s">
        <v>192</v>
      </c>
      <c r="F1" s="113" t="s">
        <v>193</v>
      </c>
      <c r="G1" s="116" t="s">
        <v>190</v>
      </c>
      <c r="H1" s="113" t="s">
        <v>194</v>
      </c>
    </row>
    <row r="2" spans="1:8" x14ac:dyDescent="0.15">
      <c r="A2" s="12">
        <v>840</v>
      </c>
      <c r="B2" s="144" t="str">
        <f>VLOOKUP(A2,[1]characters!$A:$C,3,FALSE)</f>
        <v>フェニックス</v>
      </c>
      <c r="C2" s="109" t="s">
        <v>195</v>
      </c>
      <c r="D2" s="144"/>
      <c r="E2" s="144" t="str">
        <f>A2&amp;+(COUNTIF(A$2:A2,A2)-1)</f>
        <v>8400</v>
      </c>
      <c r="F2" s="109" t="s">
        <v>299</v>
      </c>
      <c r="G2" s="112" t="s">
        <v>301</v>
      </c>
      <c r="H2" s="176" t="s">
        <v>382</v>
      </c>
    </row>
    <row r="3" spans="1:8" x14ac:dyDescent="0.15">
      <c r="A3" s="12">
        <v>840</v>
      </c>
      <c r="B3" s="144" t="str">
        <f>VLOOKUP(A3,[1]characters!$A:$C,3,FALSE)</f>
        <v>フェニックス</v>
      </c>
      <c r="C3" s="109" t="s">
        <v>303</v>
      </c>
      <c r="D3" s="144"/>
      <c r="E3" s="144" t="str">
        <f>A3&amp;+(COUNTIF(A$2:A3,A3)-1)</f>
        <v>8401</v>
      </c>
      <c r="F3" s="109" t="s">
        <v>299</v>
      </c>
      <c r="G3" s="112" t="s">
        <v>300</v>
      </c>
      <c r="H3" s="175" t="s">
        <v>384</v>
      </c>
    </row>
    <row r="4" spans="1:8" x14ac:dyDescent="0.15">
      <c r="A4" s="12">
        <v>840</v>
      </c>
      <c r="B4" s="144" t="str">
        <f>VLOOKUP(A4,[1]characters!$A:$C,3,FALSE)</f>
        <v>フェニックス</v>
      </c>
      <c r="C4" s="109" t="s">
        <v>302</v>
      </c>
      <c r="D4" s="144"/>
      <c r="E4" s="144" t="str">
        <f>A4&amp;+(COUNTIF(A$2:A4,A4)-1)</f>
        <v>8402</v>
      </c>
      <c r="F4" s="109" t="s">
        <v>305</v>
      </c>
      <c r="G4" s="177" t="s">
        <v>304</v>
      </c>
      <c r="H4" s="175" t="s">
        <v>385</v>
      </c>
    </row>
    <row r="5" spans="1:8" x14ac:dyDescent="0.15">
      <c r="A5" s="12">
        <v>841</v>
      </c>
      <c r="B5" s="144" t="str">
        <f>VLOOKUP(A5,[1]characters!$A:$C,3,FALSE)</f>
        <v>排斥の不死鳥 フェニックス</v>
      </c>
      <c r="C5" s="109" t="s">
        <v>195</v>
      </c>
      <c r="D5" s="144"/>
      <c r="E5" s="144" t="str">
        <f>A5&amp;+(COUNTIF(A$2:A5,A5)-1)</f>
        <v>8410</v>
      </c>
      <c r="F5" s="109" t="s">
        <v>186</v>
      </c>
      <c r="G5" s="112" t="s">
        <v>300</v>
      </c>
      <c r="H5" s="176" t="s">
        <v>383</v>
      </c>
    </row>
    <row r="6" spans="1:8" x14ac:dyDescent="0.15">
      <c r="A6" s="12">
        <v>841</v>
      </c>
      <c r="B6" s="144" t="str">
        <f>VLOOKUP(A6,[1]characters!$A:$C,3,FALSE)</f>
        <v>排斥の不死鳥 フェニックス</v>
      </c>
      <c r="C6" s="109" t="s">
        <v>302</v>
      </c>
      <c r="D6" s="144"/>
      <c r="E6" s="144" t="str">
        <f>A6&amp;+(COUNTIF(A$2:A6,A6)-1)</f>
        <v>8411</v>
      </c>
      <c r="F6" s="109" t="s">
        <v>186</v>
      </c>
      <c r="G6" s="112" t="s">
        <v>300</v>
      </c>
      <c r="H6" s="112" t="str">
        <f>H3</f>
        <v>蒸発してもらう！</v>
      </c>
    </row>
    <row r="7" spans="1:8" x14ac:dyDescent="0.15">
      <c r="A7" s="12">
        <v>841</v>
      </c>
      <c r="B7" s="144" t="str">
        <f>VLOOKUP(A7,[1]characters!$A:$C,3,FALSE)</f>
        <v>排斥の不死鳥 フェニックス</v>
      </c>
      <c r="C7" s="109" t="s">
        <v>302</v>
      </c>
      <c r="D7" s="144"/>
      <c r="E7" s="144" t="str">
        <f>A7&amp;+(COUNTIF(A$2:A7,A7)-1)</f>
        <v>8412</v>
      </c>
      <c r="F7" s="109" t="s">
        <v>186</v>
      </c>
      <c r="G7" s="112" t="str">
        <f>G4</f>
        <v>maru</v>
      </c>
      <c r="H7" s="112" t="str">
        <f>H4</f>
        <v>ここはボクの縄張りだ…</v>
      </c>
    </row>
    <row r="8" spans="1:8" x14ac:dyDescent="0.15">
      <c r="A8" s="12">
        <v>841</v>
      </c>
      <c r="B8" s="144" t="str">
        <f>VLOOKUP(A8,[1]characters!$A:$C,3,FALSE)</f>
        <v>排斥の不死鳥 フェニックス</v>
      </c>
      <c r="C8" s="109" t="s">
        <v>196</v>
      </c>
      <c r="D8" s="144"/>
      <c r="E8" s="144" t="str">
        <f>A8&amp;+(COUNTIF(A$2:A8,A8)-1)</f>
        <v>8413</v>
      </c>
      <c r="F8" s="109" t="s">
        <v>186</v>
      </c>
      <c r="G8" s="112" t="str">
        <f>G5</f>
        <v>giza</v>
      </c>
      <c r="H8" s="175" t="s">
        <v>386</v>
      </c>
    </row>
    <row r="9" spans="1:8" x14ac:dyDescent="0.15">
      <c r="A9" s="12">
        <v>842</v>
      </c>
      <c r="B9" s="144" t="str">
        <f>VLOOKUP(A9,[1]characters!$A:$C,3,FALSE)</f>
        <v>セイレーン</v>
      </c>
      <c r="C9" s="109" t="s">
        <v>195</v>
      </c>
      <c r="D9" s="144"/>
      <c r="E9" s="144" t="str">
        <f>A9&amp;+(COUNTIF(A$2:A9,A9)-1)</f>
        <v>8420</v>
      </c>
      <c r="F9" s="109" t="s">
        <v>186</v>
      </c>
      <c r="G9" s="175" t="s">
        <v>300</v>
      </c>
      <c r="H9" s="176" t="s">
        <v>321</v>
      </c>
    </row>
    <row r="10" spans="1:8" x14ac:dyDescent="0.15">
      <c r="A10" s="12">
        <v>842</v>
      </c>
      <c r="B10" s="144" t="str">
        <f>VLOOKUP(A10,[1]characters!$A:$C,3,FALSE)</f>
        <v>セイレーン</v>
      </c>
      <c r="C10" s="109" t="s">
        <v>302</v>
      </c>
      <c r="D10" s="144"/>
      <c r="E10" s="144" t="str">
        <f>A10&amp;+(COUNTIF(A$2:A10,A10)-1)</f>
        <v>8421</v>
      </c>
      <c r="F10" s="109" t="s">
        <v>186</v>
      </c>
      <c r="G10" s="175" t="s">
        <v>300</v>
      </c>
      <c r="H10" s="175" t="s">
        <v>323</v>
      </c>
    </row>
    <row r="11" spans="1:8" x14ac:dyDescent="0.15">
      <c r="A11" s="12">
        <v>842</v>
      </c>
      <c r="B11" s="144" t="str">
        <f>VLOOKUP(A11,[1]characters!$A:$C,3,FALSE)</f>
        <v>セイレーン</v>
      </c>
      <c r="C11" s="109" t="s">
        <v>302</v>
      </c>
      <c r="D11" s="144"/>
      <c r="E11" s="144" t="str">
        <f>A11&amp;+(COUNTIF(A$2:A11,A11)-1)</f>
        <v>8422</v>
      </c>
      <c r="F11" s="109" t="s">
        <v>186</v>
      </c>
      <c r="G11" s="175" t="s">
        <v>300</v>
      </c>
      <c r="H11" s="175" t="s">
        <v>324</v>
      </c>
    </row>
    <row r="12" spans="1:8" x14ac:dyDescent="0.15">
      <c r="A12" s="12">
        <v>843</v>
      </c>
      <c r="B12" s="144" t="str">
        <f>VLOOKUP(A12,[1]characters!$A:$C,3,FALSE)</f>
        <v>荒れ狂う乱歌 セイレーン</v>
      </c>
      <c r="C12" s="109" t="s">
        <v>195</v>
      </c>
      <c r="D12" s="144"/>
      <c r="E12" s="144" t="str">
        <f>A12&amp;+(COUNTIF(A$2:A12,A12)-1)</f>
        <v>8430</v>
      </c>
      <c r="F12" s="109" t="s">
        <v>186</v>
      </c>
      <c r="G12" s="175" t="s">
        <v>300</v>
      </c>
      <c r="H12" s="176" t="s">
        <v>322</v>
      </c>
    </row>
    <row r="13" spans="1:8" x14ac:dyDescent="0.15">
      <c r="A13" s="12">
        <v>843</v>
      </c>
      <c r="B13" s="144" t="str">
        <f>VLOOKUP(A13,[1]characters!$A:$C,3,FALSE)</f>
        <v>荒れ狂う乱歌 セイレーン</v>
      </c>
      <c r="C13" s="109" t="s">
        <v>302</v>
      </c>
      <c r="D13" s="144"/>
      <c r="E13" s="144" t="str">
        <f>A13&amp;+(COUNTIF(A$2:A13,A13)-1)</f>
        <v>8431</v>
      </c>
      <c r="F13" s="109" t="s">
        <v>186</v>
      </c>
      <c r="G13" s="175" t="s">
        <v>300</v>
      </c>
      <c r="H13" s="175" t="s">
        <v>323</v>
      </c>
    </row>
    <row r="14" spans="1:8" x14ac:dyDescent="0.15">
      <c r="A14" s="12">
        <v>843</v>
      </c>
      <c r="B14" s="144" t="str">
        <f>VLOOKUP(A14,[1]characters!$A:$C,3,FALSE)</f>
        <v>荒れ狂う乱歌 セイレーン</v>
      </c>
      <c r="C14" s="109" t="s">
        <v>302</v>
      </c>
      <c r="D14" s="144"/>
      <c r="E14" s="144" t="str">
        <f>A14&amp;+(COUNTIF(A$2:A14,A14)-1)</f>
        <v>8432</v>
      </c>
      <c r="F14" s="109" t="s">
        <v>186</v>
      </c>
      <c r="G14" s="175" t="s">
        <v>300</v>
      </c>
      <c r="H14" s="175" t="s">
        <v>324</v>
      </c>
    </row>
    <row r="15" spans="1:8" x14ac:dyDescent="0.15">
      <c r="A15" s="12">
        <v>843</v>
      </c>
      <c r="B15" s="144" t="str">
        <f>VLOOKUP(A15,[1]characters!$A:$C,3,FALSE)</f>
        <v>荒れ狂う乱歌 セイレーン</v>
      </c>
      <c r="C15" s="109" t="s">
        <v>196</v>
      </c>
      <c r="D15" s="144"/>
      <c r="E15" s="144" t="str">
        <f>A15&amp;+(COUNTIF(A$2:A15,A15)-1)</f>
        <v>8433</v>
      </c>
      <c r="F15" s="109" t="s">
        <v>186</v>
      </c>
      <c r="G15" s="175" t="s">
        <v>300</v>
      </c>
      <c r="H15" s="175" t="s">
        <v>325</v>
      </c>
    </row>
    <row r="16" spans="1:8" x14ac:dyDescent="0.15">
      <c r="A16" s="12">
        <v>844</v>
      </c>
      <c r="B16" s="144" t="str">
        <f>VLOOKUP(A16,[1]characters!$A:$C,3,FALSE)</f>
        <v>ベルゼブブ</v>
      </c>
      <c r="C16" s="109" t="s">
        <v>195</v>
      </c>
      <c r="D16" s="144"/>
      <c r="E16" s="144" t="str">
        <f>A16&amp;+(COUNTIF(A$2:A16,A16)-1)</f>
        <v>8440</v>
      </c>
      <c r="F16" s="109" t="s">
        <v>186</v>
      </c>
      <c r="G16" s="177" t="s">
        <v>304</v>
      </c>
      <c r="H16" s="66" t="s">
        <v>374</v>
      </c>
    </row>
    <row r="17" spans="1:8" x14ac:dyDescent="0.15">
      <c r="A17" s="12">
        <v>844</v>
      </c>
      <c r="B17" s="144" t="str">
        <f>VLOOKUP(A17,[1]characters!$A:$C,3,FALSE)</f>
        <v>ベルゼブブ</v>
      </c>
      <c r="C17" s="109" t="s">
        <v>302</v>
      </c>
      <c r="D17" s="144"/>
      <c r="E17" s="144" t="str">
        <f>A17&amp;+(COUNTIF(A$2:A17,A17)-1)</f>
        <v>8441</v>
      </c>
      <c r="F17" s="109" t="s">
        <v>186</v>
      </c>
      <c r="G17" s="177" t="s">
        <v>300</v>
      </c>
      <c r="H17" s="177" t="s">
        <v>375</v>
      </c>
    </row>
    <row r="18" spans="1:8" x14ac:dyDescent="0.15">
      <c r="A18" s="12">
        <v>844</v>
      </c>
      <c r="B18" s="144" t="str">
        <f>VLOOKUP(A18,[1]characters!$A:$C,3,FALSE)</f>
        <v>ベルゼブブ</v>
      </c>
      <c r="C18" s="109" t="s">
        <v>302</v>
      </c>
      <c r="D18" s="144"/>
      <c r="E18" s="144" t="str">
        <f>A18&amp;+(COUNTIF(A$2:A18,A18)-1)</f>
        <v>8442</v>
      </c>
      <c r="F18" s="109" t="s">
        <v>186</v>
      </c>
      <c r="G18" s="177" t="s">
        <v>304</v>
      </c>
      <c r="H18" s="177" t="s">
        <v>376</v>
      </c>
    </row>
    <row r="19" spans="1:8" x14ac:dyDescent="0.15">
      <c r="A19" s="12">
        <v>844</v>
      </c>
      <c r="B19" s="144" t="str">
        <f>VLOOKUP(A19,[1]characters!$A:$C,3,FALSE)</f>
        <v>ベルゼブブ</v>
      </c>
      <c r="C19" s="109" t="s">
        <v>306</v>
      </c>
      <c r="D19" s="144"/>
      <c r="E19" s="144" t="str">
        <f>A19&amp;+(COUNTIF(A$2:A19,A19)-1)</f>
        <v>8443</v>
      </c>
      <c r="F19" s="109" t="s">
        <v>307</v>
      </c>
      <c r="G19" s="177" t="s">
        <v>308</v>
      </c>
      <c r="H19" s="66" t="s">
        <v>377</v>
      </c>
    </row>
    <row r="20" spans="1:8" x14ac:dyDescent="0.15">
      <c r="A20" s="12">
        <v>845</v>
      </c>
      <c r="B20" s="144" t="str">
        <f>VLOOKUP(A20,[1]characters!$A:$C,3,FALSE)</f>
        <v>妖艶なる蝿王 ベルゼブブ</v>
      </c>
      <c r="C20" s="109" t="s">
        <v>195</v>
      </c>
      <c r="D20" s="144"/>
      <c r="E20" s="144" t="str">
        <f>A20&amp;+(COUNTIF(A$2:A20,A20)-1)</f>
        <v>8450</v>
      </c>
      <c r="F20" s="109" t="s">
        <v>309</v>
      </c>
      <c r="G20" s="177" t="s">
        <v>310</v>
      </c>
      <c r="H20" s="66" t="s">
        <v>378</v>
      </c>
    </row>
    <row r="21" spans="1:8" x14ac:dyDescent="0.15">
      <c r="A21" s="12">
        <v>845</v>
      </c>
      <c r="B21" s="144" t="str">
        <f>VLOOKUP(A21,[1]characters!$A:$C,3,FALSE)</f>
        <v>妖艶なる蝿王 ベルゼブブ</v>
      </c>
      <c r="C21" s="109" t="s">
        <v>311</v>
      </c>
      <c r="D21" s="144"/>
      <c r="E21" s="144" t="str">
        <f>A21&amp;+(COUNTIF(A$2:A21,A21)-1)</f>
        <v>8451</v>
      </c>
      <c r="F21" s="109" t="s">
        <v>309</v>
      </c>
      <c r="G21" s="177" t="s">
        <v>304</v>
      </c>
      <c r="H21" s="177" t="s">
        <v>375</v>
      </c>
    </row>
    <row r="22" spans="1:8" x14ac:dyDescent="0.15">
      <c r="A22" s="12">
        <v>845</v>
      </c>
      <c r="B22" s="144" t="str">
        <f>VLOOKUP(A22,[1]characters!$A:$C,3,FALSE)</f>
        <v>妖艶なる蝿王 ベルゼブブ</v>
      </c>
      <c r="C22" s="109" t="s">
        <v>302</v>
      </c>
      <c r="D22" s="144"/>
      <c r="E22" s="144" t="str">
        <f>A22&amp;+(COUNTIF(A$2:A22,A22)-1)</f>
        <v>8452</v>
      </c>
      <c r="F22" s="109" t="s">
        <v>186</v>
      </c>
      <c r="G22" s="177" t="s">
        <v>304</v>
      </c>
      <c r="H22" s="177" t="s">
        <v>376</v>
      </c>
    </row>
    <row r="23" spans="1:8" x14ac:dyDescent="0.15">
      <c r="A23" s="12">
        <v>845</v>
      </c>
      <c r="B23" s="144" t="str">
        <f>VLOOKUP(A23,[1]characters!$A:$C,3,FALSE)</f>
        <v>妖艶なる蝿王 ベルゼブブ</v>
      </c>
      <c r="C23" s="109" t="s">
        <v>196</v>
      </c>
      <c r="D23" s="144"/>
      <c r="E23" s="144" t="str">
        <f>A23&amp;+(COUNTIF(A$2:A23,A23)-1)</f>
        <v>8453</v>
      </c>
      <c r="F23" s="109" t="s">
        <v>186</v>
      </c>
      <c r="G23" s="177" t="s">
        <v>304</v>
      </c>
      <c r="H23" s="66" t="s">
        <v>377</v>
      </c>
    </row>
    <row r="24" spans="1:8" x14ac:dyDescent="0.15">
      <c r="A24" s="12">
        <v>845</v>
      </c>
      <c r="B24" s="144" t="str">
        <f>VLOOKUP(A24,[1]characters!$A:$C,3,FALSE)</f>
        <v>妖艶なる蝿王 ベルゼブブ</v>
      </c>
      <c r="C24" s="109" t="s">
        <v>196</v>
      </c>
      <c r="D24" s="144"/>
      <c r="E24" s="144" t="str">
        <f>A24&amp;+(COUNTIF(A$2:A24,A24)-1)</f>
        <v>8454</v>
      </c>
      <c r="F24" s="109" t="s">
        <v>186</v>
      </c>
      <c r="G24" s="177" t="s">
        <v>304</v>
      </c>
      <c r="H24" s="66" t="s">
        <v>379</v>
      </c>
    </row>
    <row r="25" spans="1:8" x14ac:dyDescent="0.15">
      <c r="A25" s="12">
        <v>846</v>
      </c>
      <c r="B25" s="144" t="str">
        <f>VLOOKUP(A25,[1]characters!$A:$C,3,FALSE)</f>
        <v>ルシファー</v>
      </c>
      <c r="C25" s="109" t="s">
        <v>195</v>
      </c>
      <c r="D25" s="144"/>
      <c r="E25" s="144" t="str">
        <f>A25&amp;+(COUNTIF(A$2:A25,A25)-1)</f>
        <v>8460</v>
      </c>
      <c r="F25" s="109" t="s">
        <v>186</v>
      </c>
      <c r="G25" s="177" t="s">
        <v>300</v>
      </c>
      <c r="H25" s="177" t="s">
        <v>391</v>
      </c>
    </row>
    <row r="26" spans="1:8" x14ac:dyDescent="0.15">
      <c r="A26" s="12">
        <v>846</v>
      </c>
      <c r="B26" s="144" t="str">
        <f>VLOOKUP(A26,[1]characters!$A:$C,3,FALSE)</f>
        <v>ルシファー</v>
      </c>
      <c r="C26" s="109" t="s">
        <v>302</v>
      </c>
      <c r="D26" s="144"/>
      <c r="E26" s="144" t="str">
        <f>A26&amp;+(COUNTIF(A$2:A26,A26)-1)</f>
        <v>8461</v>
      </c>
      <c r="F26" s="109" t="s">
        <v>186</v>
      </c>
      <c r="G26" s="177" t="s">
        <v>300</v>
      </c>
      <c r="H26" s="175" t="s">
        <v>389</v>
      </c>
    </row>
    <row r="27" spans="1:8" x14ac:dyDescent="0.15">
      <c r="A27" s="12">
        <v>846</v>
      </c>
      <c r="B27" s="144" t="str">
        <f>VLOOKUP(A27,[1]characters!$A:$C,3,FALSE)</f>
        <v>ルシファー</v>
      </c>
      <c r="C27" s="109" t="s">
        <v>302</v>
      </c>
      <c r="D27" s="144"/>
      <c r="E27" s="144" t="str">
        <f>A27&amp;+(COUNTIF(A$2:A27,A27)-1)</f>
        <v>8462</v>
      </c>
      <c r="F27" s="109" t="s">
        <v>186</v>
      </c>
      <c r="G27" s="177" t="s">
        <v>304</v>
      </c>
      <c r="H27" s="175" t="s">
        <v>387</v>
      </c>
    </row>
    <row r="28" spans="1:8" x14ac:dyDescent="0.15">
      <c r="A28" s="12">
        <v>846</v>
      </c>
      <c r="B28" s="144" t="str">
        <f>VLOOKUP(A28,[1]characters!$A:$C,3,FALSE)</f>
        <v>ルシファー</v>
      </c>
      <c r="C28" s="109" t="s">
        <v>312</v>
      </c>
      <c r="D28" s="144"/>
      <c r="E28" s="144" t="str">
        <f>A28&amp;+(COUNTIF(A$2:A28,A28)-1)</f>
        <v>8463</v>
      </c>
      <c r="F28" s="109" t="s">
        <v>313</v>
      </c>
      <c r="G28" s="177" t="s">
        <v>300</v>
      </c>
      <c r="H28" s="175" t="s">
        <v>390</v>
      </c>
    </row>
    <row r="29" spans="1:8" x14ac:dyDescent="0.15">
      <c r="A29" s="12">
        <v>847</v>
      </c>
      <c r="B29" s="144" t="str">
        <f>VLOOKUP(A29,[1]characters!$A:$C,3,FALSE)</f>
        <v>傲慢なる堕天史 ルシファー</v>
      </c>
      <c r="C29" s="109" t="s">
        <v>195</v>
      </c>
      <c r="D29" s="144"/>
      <c r="E29" s="144" t="str">
        <f>A29&amp;+(COUNTIF(A$2:A29,A29)-1)</f>
        <v>8470</v>
      </c>
      <c r="F29" s="109" t="s">
        <v>186</v>
      </c>
      <c r="G29" s="177" t="s">
        <v>300</v>
      </c>
      <c r="H29" s="176" t="s">
        <v>388</v>
      </c>
    </row>
    <row r="30" spans="1:8" x14ac:dyDescent="0.15">
      <c r="A30" s="12">
        <v>847</v>
      </c>
      <c r="B30" s="144" t="str">
        <f>VLOOKUP(A30,[1]characters!$A:$C,3,FALSE)</f>
        <v>傲慢なる堕天史 ルシファー</v>
      </c>
      <c r="C30" s="109" t="s">
        <v>302</v>
      </c>
      <c r="D30" s="144"/>
      <c r="E30" s="144" t="str">
        <f>A30&amp;+(COUNTIF(A$2:A30,A30)-1)</f>
        <v>8471</v>
      </c>
      <c r="F30" s="109" t="s">
        <v>186</v>
      </c>
      <c r="G30" s="177" t="s">
        <v>300</v>
      </c>
      <c r="H30" s="175" t="s">
        <v>389</v>
      </c>
    </row>
    <row r="31" spans="1:8" x14ac:dyDescent="0.15">
      <c r="A31" s="12">
        <v>847</v>
      </c>
      <c r="B31" s="144" t="str">
        <f>VLOOKUP(A31,[1]characters!$A:$C,3,FALSE)</f>
        <v>傲慢なる堕天史 ルシファー</v>
      </c>
      <c r="C31" s="109" t="s">
        <v>302</v>
      </c>
      <c r="D31" s="144"/>
      <c r="E31" s="144" t="str">
        <f>A31&amp;+(COUNTIF(A$2:A31,A31)-1)</f>
        <v>8472</v>
      </c>
      <c r="F31" s="109" t="s">
        <v>186</v>
      </c>
      <c r="G31" s="177" t="s">
        <v>304</v>
      </c>
      <c r="H31" s="175" t="s">
        <v>387</v>
      </c>
    </row>
    <row r="32" spans="1:8" x14ac:dyDescent="0.15">
      <c r="A32" s="12">
        <v>847</v>
      </c>
      <c r="B32" s="144" t="str">
        <f>VLOOKUP(A32,[1]characters!$A:$C,3,FALSE)</f>
        <v>傲慢なる堕天史 ルシファー</v>
      </c>
      <c r="C32" s="109" t="s">
        <v>196</v>
      </c>
      <c r="D32" s="144"/>
      <c r="E32" s="144" t="str">
        <f>A32&amp;+(COUNTIF(A$2:A32,A32)-1)</f>
        <v>8473</v>
      </c>
      <c r="F32" s="109" t="s">
        <v>186</v>
      </c>
      <c r="G32" s="177" t="s">
        <v>300</v>
      </c>
      <c r="H32" s="175" t="s">
        <v>390</v>
      </c>
    </row>
    <row r="33" spans="1:8" x14ac:dyDescent="0.15">
      <c r="A33" s="12">
        <v>847</v>
      </c>
      <c r="B33" s="144" t="str">
        <f>VLOOKUP(A33,[1]characters!$A:$C,3,FALSE)</f>
        <v>傲慢なる堕天史 ルシファー</v>
      </c>
      <c r="C33" s="109" t="s">
        <v>196</v>
      </c>
      <c r="D33" s="144"/>
      <c r="E33" s="144" t="str">
        <f>A33&amp;+(COUNTIF(A$2:A33,A33)-1)</f>
        <v>8474</v>
      </c>
      <c r="F33" s="109" t="s">
        <v>186</v>
      </c>
      <c r="G33" s="177" t="s">
        <v>300</v>
      </c>
      <c r="H33" s="175" t="s">
        <v>392</v>
      </c>
    </row>
    <row r="34" spans="1:8" x14ac:dyDescent="0.15">
      <c r="A34" s="12">
        <v>848</v>
      </c>
      <c r="B34" s="144" t="str">
        <f>VLOOKUP(A34,[1]characters!$A:$C,3,FALSE)</f>
        <v>メタトロン</v>
      </c>
      <c r="C34" s="109" t="s">
        <v>195</v>
      </c>
      <c r="D34" s="144"/>
      <c r="E34" s="144" t="str">
        <f>A34&amp;+(COUNTIF(A$2:A34,A34)-1)</f>
        <v>8480</v>
      </c>
      <c r="F34" s="109" t="s">
        <v>186</v>
      </c>
      <c r="G34" s="175" t="s">
        <v>315</v>
      </c>
      <c r="H34" s="176" t="s">
        <v>326</v>
      </c>
    </row>
    <row r="35" spans="1:8" x14ac:dyDescent="0.15">
      <c r="A35" s="12">
        <v>848</v>
      </c>
      <c r="B35" s="144" t="str">
        <f>VLOOKUP(A35,[1]characters!$A:$C,3,FALSE)</f>
        <v>メタトロン</v>
      </c>
      <c r="C35" s="109" t="s">
        <v>314</v>
      </c>
      <c r="D35" s="144"/>
      <c r="E35" s="144" t="str">
        <f>A35&amp;+(COUNTIF(A$2:A35,A35)-1)</f>
        <v>8481</v>
      </c>
      <c r="F35" s="109" t="s">
        <v>186</v>
      </c>
      <c r="G35" s="175" t="s">
        <v>330</v>
      </c>
      <c r="H35" s="175" t="s">
        <v>327</v>
      </c>
    </row>
    <row r="36" spans="1:8" x14ac:dyDescent="0.15">
      <c r="A36" s="12">
        <v>848</v>
      </c>
      <c r="B36" s="144" t="str">
        <f>VLOOKUP(A36,[1]characters!$A:$C,3,FALSE)</f>
        <v>メタトロン</v>
      </c>
      <c r="C36" s="109" t="s">
        <v>302</v>
      </c>
      <c r="D36" s="144"/>
      <c r="E36" s="144" t="str">
        <f>A36&amp;+(COUNTIF(A$2:A36,A36)-1)</f>
        <v>8482</v>
      </c>
      <c r="F36" s="109" t="s">
        <v>186</v>
      </c>
      <c r="G36" s="175" t="s">
        <v>330</v>
      </c>
      <c r="H36" s="175" t="s">
        <v>328</v>
      </c>
    </row>
    <row r="37" spans="1:8" x14ac:dyDescent="0.15">
      <c r="A37" s="12">
        <v>848</v>
      </c>
      <c r="B37" s="144" t="str">
        <f>VLOOKUP(A37,[1]characters!$A:$C,3,FALSE)</f>
        <v>メタトロン</v>
      </c>
      <c r="C37" s="109" t="s">
        <v>302</v>
      </c>
      <c r="D37" s="144"/>
      <c r="E37" s="144" t="str">
        <f>A37&amp;+(COUNTIF(A$2:A37,A37)-1)</f>
        <v>8483</v>
      </c>
      <c r="F37" s="109" t="s">
        <v>186</v>
      </c>
      <c r="G37" s="175" t="s">
        <v>330</v>
      </c>
      <c r="H37" s="175" t="s">
        <v>329</v>
      </c>
    </row>
    <row r="38" spans="1:8" x14ac:dyDescent="0.15">
      <c r="A38" s="12">
        <v>849</v>
      </c>
      <c r="B38" s="144" t="str">
        <f>VLOOKUP(A38,[1]characters!$A:$C,3,FALSE)</f>
        <v>燦然たる天使 メタトロン・ラヴァ</v>
      </c>
      <c r="C38" s="109" t="s">
        <v>317</v>
      </c>
      <c r="D38" s="144"/>
      <c r="E38" s="144" t="str">
        <f>A38&amp;+(COUNTIF(A$2:A38,A38)-1)</f>
        <v>8490</v>
      </c>
      <c r="F38" s="109" t="s">
        <v>186</v>
      </c>
      <c r="G38" s="175" t="s">
        <v>304</v>
      </c>
      <c r="H38" s="176" t="s">
        <v>354</v>
      </c>
    </row>
    <row r="39" spans="1:8" x14ac:dyDescent="0.15">
      <c r="A39" s="12">
        <v>849</v>
      </c>
      <c r="B39" s="144" t="str">
        <f>VLOOKUP(A39,[1]characters!$A:$C,3,FALSE)</f>
        <v>燦然たる天使 メタトロン・ラヴァ</v>
      </c>
      <c r="C39" s="109" t="s">
        <v>302</v>
      </c>
      <c r="D39" s="144"/>
      <c r="E39" s="144" t="str">
        <f>A39&amp;+(COUNTIF(A$2:A39,A39)-1)</f>
        <v>8491</v>
      </c>
      <c r="F39" s="109" t="s">
        <v>186</v>
      </c>
      <c r="G39" s="175" t="s">
        <v>304</v>
      </c>
      <c r="H39" s="175" t="s">
        <v>327</v>
      </c>
    </row>
    <row r="40" spans="1:8" x14ac:dyDescent="0.15">
      <c r="A40" s="12">
        <v>849</v>
      </c>
      <c r="B40" s="144" t="str">
        <f>VLOOKUP(A40,[1]characters!$A:$C,3,FALSE)</f>
        <v>燦然たる天使 メタトロン・ラヴァ</v>
      </c>
      <c r="C40" s="109" t="s">
        <v>196</v>
      </c>
      <c r="D40" s="144"/>
      <c r="E40" s="144" t="str">
        <f>A40&amp;+(COUNTIF(A$2:A40,A40)-1)</f>
        <v>8492</v>
      </c>
      <c r="F40" s="109" t="s">
        <v>186</v>
      </c>
      <c r="G40" s="175" t="s">
        <v>304</v>
      </c>
      <c r="H40" s="175" t="s">
        <v>328</v>
      </c>
    </row>
    <row r="41" spans="1:8" x14ac:dyDescent="0.15">
      <c r="A41" s="12">
        <v>849</v>
      </c>
      <c r="B41" s="144" t="str">
        <f>VLOOKUP(A41,[1]characters!$A:$C,3,FALSE)</f>
        <v>燦然たる天使 メタトロン・ラヴァ</v>
      </c>
      <c r="C41" s="109" t="s">
        <v>302</v>
      </c>
      <c r="D41" s="144"/>
      <c r="E41" s="144" t="str">
        <f>A41&amp;+(COUNTIF(A$2:A41,A41)-1)</f>
        <v>8493</v>
      </c>
      <c r="F41" s="109" t="s">
        <v>316</v>
      </c>
      <c r="G41" s="175" t="s">
        <v>304</v>
      </c>
      <c r="H41" s="175" t="s">
        <v>329</v>
      </c>
    </row>
    <row r="42" spans="1:8" x14ac:dyDescent="0.15">
      <c r="A42" s="12">
        <v>849</v>
      </c>
      <c r="B42" s="144" t="str">
        <f>VLOOKUP(A42,[1]characters!$A:$C,3,FALSE)</f>
        <v>燦然たる天使 メタトロン・ラヴァ</v>
      </c>
      <c r="C42" s="109" t="s">
        <v>314</v>
      </c>
      <c r="D42" s="144"/>
      <c r="E42" s="144" t="str">
        <f>A42&amp;+(COUNTIF(A$2:A42,A42)-1)</f>
        <v>8494</v>
      </c>
      <c r="F42" s="109" t="s">
        <v>186</v>
      </c>
      <c r="G42" s="175" t="s">
        <v>304</v>
      </c>
      <c r="H42" s="175" t="s">
        <v>331</v>
      </c>
    </row>
    <row r="43" spans="1:8" x14ac:dyDescent="0.15">
      <c r="A43" s="12">
        <v>850</v>
      </c>
      <c r="B43" s="144" t="str">
        <f>VLOOKUP(A43,[1]characters!$A:$C,3,FALSE)</f>
        <v>バアル</v>
      </c>
      <c r="C43" s="109" t="s">
        <v>317</v>
      </c>
      <c r="D43" s="144"/>
      <c r="E43" s="144" t="str">
        <f>A43&amp;+(COUNTIF(A$2:A43,A43)-1)</f>
        <v>8500</v>
      </c>
      <c r="F43" s="109" t="s">
        <v>186</v>
      </c>
      <c r="G43" s="175" t="s">
        <v>304</v>
      </c>
      <c r="H43" s="176" t="s">
        <v>336</v>
      </c>
    </row>
    <row r="44" spans="1:8" x14ac:dyDescent="0.15">
      <c r="A44" s="12">
        <v>850</v>
      </c>
      <c r="B44" s="144" t="str">
        <f>VLOOKUP(A44,[1]characters!$A:$C,3,FALSE)</f>
        <v>バアル</v>
      </c>
      <c r="C44" s="109" t="s">
        <v>318</v>
      </c>
      <c r="D44" s="144"/>
      <c r="E44" s="144" t="str">
        <f>A44&amp;+(COUNTIF(A$2:A44,A44)-1)</f>
        <v>8501</v>
      </c>
      <c r="F44" s="109" t="s">
        <v>186</v>
      </c>
      <c r="G44" s="175" t="s">
        <v>304</v>
      </c>
      <c r="H44" s="175" t="s">
        <v>332</v>
      </c>
    </row>
    <row r="45" spans="1:8" x14ac:dyDescent="0.15">
      <c r="A45" s="12">
        <v>850</v>
      </c>
      <c r="B45" s="144" t="str">
        <f>VLOOKUP(A45,[1]characters!$A:$C,3,FALSE)</f>
        <v>バアル</v>
      </c>
      <c r="C45" s="109" t="s">
        <v>302</v>
      </c>
      <c r="D45" s="144"/>
      <c r="E45" s="144" t="str">
        <f>A45&amp;+(COUNTIF(A$2:A45,A45)-1)</f>
        <v>8502</v>
      </c>
      <c r="F45" s="109" t="s">
        <v>186</v>
      </c>
      <c r="G45" s="175" t="s">
        <v>304</v>
      </c>
      <c r="H45" s="175" t="s">
        <v>333</v>
      </c>
    </row>
    <row r="46" spans="1:8" x14ac:dyDescent="0.15">
      <c r="A46" s="12">
        <v>850</v>
      </c>
      <c r="B46" s="144" t="str">
        <f>VLOOKUP(A46,[1]characters!$A:$C,3,FALSE)</f>
        <v>バアル</v>
      </c>
      <c r="C46" s="109" t="s">
        <v>302</v>
      </c>
      <c r="D46" s="144"/>
      <c r="E46" s="144" t="str">
        <f>A46&amp;+(COUNTIF(A$2:A46,A46)-1)</f>
        <v>8503</v>
      </c>
      <c r="F46" s="109" t="s">
        <v>186</v>
      </c>
      <c r="G46" s="175" t="s">
        <v>304</v>
      </c>
      <c r="H46" s="175" t="s">
        <v>334</v>
      </c>
    </row>
    <row r="47" spans="1:8" x14ac:dyDescent="0.15">
      <c r="A47" s="12">
        <v>851</v>
      </c>
      <c r="B47" s="144" t="str">
        <f>VLOOKUP(A47,[1]characters!$A:$C,3,FALSE)</f>
        <v>寡黙なる凶王 バアル</v>
      </c>
      <c r="C47" s="109" t="s">
        <v>317</v>
      </c>
      <c r="D47" s="144"/>
      <c r="E47" s="144" t="str">
        <f>A47&amp;+(COUNTIF(A$2:A47,A47)-1)</f>
        <v>8510</v>
      </c>
      <c r="F47" s="109" t="s">
        <v>186</v>
      </c>
      <c r="G47" s="175" t="s">
        <v>300</v>
      </c>
      <c r="H47" s="176" t="s">
        <v>337</v>
      </c>
    </row>
    <row r="48" spans="1:8" x14ac:dyDescent="0.15">
      <c r="A48" s="12">
        <v>851</v>
      </c>
      <c r="B48" s="144" t="str">
        <f>VLOOKUP(A48,[1]characters!$A:$C,3,FALSE)</f>
        <v>寡黙なる凶王 バアル</v>
      </c>
      <c r="C48" s="109" t="s">
        <v>318</v>
      </c>
      <c r="D48" s="144"/>
      <c r="E48" s="144" t="str">
        <f>A48&amp;+(COUNTIF(A$2:A48,A48)-1)</f>
        <v>8511</v>
      </c>
      <c r="F48" s="109" t="s">
        <v>316</v>
      </c>
      <c r="G48" s="175" t="s">
        <v>304</v>
      </c>
      <c r="H48" s="175" t="s">
        <v>332</v>
      </c>
    </row>
    <row r="49" spans="1:8" x14ac:dyDescent="0.15">
      <c r="A49" s="12">
        <v>851</v>
      </c>
      <c r="B49" s="144" t="str">
        <f>VLOOKUP(A49,[1]characters!$A:$C,3,FALSE)</f>
        <v>寡黙なる凶王 バアル</v>
      </c>
      <c r="C49" s="109" t="s">
        <v>302</v>
      </c>
      <c r="D49" s="144"/>
      <c r="E49" s="144" t="str">
        <f>A49&amp;+(COUNTIF(A$2:A49,A49)-1)</f>
        <v>8512</v>
      </c>
      <c r="F49" s="109" t="s">
        <v>186</v>
      </c>
      <c r="G49" s="175" t="s">
        <v>304</v>
      </c>
      <c r="H49" s="175" t="s">
        <v>333</v>
      </c>
    </row>
    <row r="50" spans="1:8" x14ac:dyDescent="0.15">
      <c r="A50" s="12">
        <v>851</v>
      </c>
      <c r="B50" s="144" t="str">
        <f>VLOOKUP(A50,[1]characters!$A:$C,3,FALSE)</f>
        <v>寡黙なる凶王 バアル</v>
      </c>
      <c r="C50" s="109" t="s">
        <v>302</v>
      </c>
      <c r="D50" s="144"/>
      <c r="E50" s="144" t="str">
        <f>A50&amp;+(COUNTIF(A$2:A50,A50)-1)</f>
        <v>8513</v>
      </c>
      <c r="F50" s="109" t="s">
        <v>186</v>
      </c>
      <c r="G50" s="175" t="s">
        <v>304</v>
      </c>
      <c r="H50" s="175" t="s">
        <v>334</v>
      </c>
    </row>
    <row r="51" spans="1:8" x14ac:dyDescent="0.15">
      <c r="A51" s="12">
        <v>851</v>
      </c>
      <c r="B51" s="144" t="str">
        <f>VLOOKUP(A51,[1]characters!$A:$C,3,FALSE)</f>
        <v>寡黙なる凶王 バアル</v>
      </c>
      <c r="C51" s="109" t="s">
        <v>302</v>
      </c>
      <c r="D51" s="144"/>
      <c r="E51" s="144" t="str">
        <f>A51&amp;+(COUNTIF(A$2:A51,A51)-1)</f>
        <v>8514</v>
      </c>
      <c r="F51" s="109" t="s">
        <v>186</v>
      </c>
      <c r="G51" s="175" t="s">
        <v>304</v>
      </c>
      <c r="H51" s="175" t="s">
        <v>335</v>
      </c>
    </row>
    <row r="52" spans="1:8" x14ac:dyDescent="0.15">
      <c r="A52" s="12">
        <v>852</v>
      </c>
      <c r="B52" s="144" t="str">
        <f>VLOOKUP(A52,[1]characters!$A:$C,3,FALSE)</f>
        <v>サキエル</v>
      </c>
      <c r="C52" s="109" t="s">
        <v>195</v>
      </c>
      <c r="D52" s="144"/>
      <c r="E52" s="144" t="str">
        <f>A52&amp;+(COUNTIF(A$2:A52,A52)-1)</f>
        <v>8520</v>
      </c>
      <c r="F52" s="109" t="s">
        <v>186</v>
      </c>
      <c r="G52" s="175" t="s">
        <v>304</v>
      </c>
      <c r="H52" s="176" t="s">
        <v>343</v>
      </c>
    </row>
    <row r="53" spans="1:8" x14ac:dyDescent="0.15">
      <c r="A53" s="12">
        <v>852</v>
      </c>
      <c r="B53" s="144" t="str">
        <f>VLOOKUP(A53,[1]characters!$A:$C,3,FALSE)</f>
        <v>サキエル</v>
      </c>
      <c r="C53" s="109" t="s">
        <v>302</v>
      </c>
      <c r="D53" s="144"/>
      <c r="E53" s="144" t="str">
        <f>A53&amp;+(COUNTIF(A$2:A53,A53)-1)</f>
        <v>8521</v>
      </c>
      <c r="F53" s="109" t="s">
        <v>186</v>
      </c>
      <c r="G53" s="175" t="s">
        <v>338</v>
      </c>
      <c r="H53" s="175" t="s">
        <v>339</v>
      </c>
    </row>
    <row r="54" spans="1:8" x14ac:dyDescent="0.15">
      <c r="A54" s="12">
        <v>852</v>
      </c>
      <c r="B54" s="144" t="str">
        <f>VLOOKUP(A54,[1]characters!$A:$C,3,FALSE)</f>
        <v>サキエル</v>
      </c>
      <c r="C54" s="109" t="s">
        <v>302</v>
      </c>
      <c r="D54" s="144"/>
      <c r="E54" s="144" t="str">
        <f>A54&amp;+(COUNTIF(A$2:A54,A54)-1)</f>
        <v>8522</v>
      </c>
      <c r="F54" s="109" t="s">
        <v>186</v>
      </c>
      <c r="G54" s="175" t="s">
        <v>300</v>
      </c>
      <c r="H54" s="175" t="s">
        <v>340</v>
      </c>
    </row>
    <row r="55" spans="1:8" x14ac:dyDescent="0.15">
      <c r="A55" s="12">
        <v>853</v>
      </c>
      <c r="B55" s="144" t="str">
        <f>VLOOKUP(A55,[1]characters!$A:$C,3,FALSE)</f>
        <v>裂爪の天使 サキエル・ティア</v>
      </c>
      <c r="C55" s="109" t="s">
        <v>319</v>
      </c>
      <c r="D55" s="144"/>
      <c r="E55" s="144" t="str">
        <f>A55&amp;+(COUNTIF(A$2:A55,A55)-1)</f>
        <v>8530</v>
      </c>
      <c r="F55" s="109" t="s">
        <v>186</v>
      </c>
      <c r="G55" s="175" t="s">
        <v>344</v>
      </c>
      <c r="H55" s="176" t="s">
        <v>345</v>
      </c>
    </row>
    <row r="56" spans="1:8" x14ac:dyDescent="0.15">
      <c r="A56" s="12">
        <v>853</v>
      </c>
      <c r="B56" s="144" t="str">
        <f>VLOOKUP(A56,[1]characters!$A:$C,3,FALSE)</f>
        <v>裂爪の天使 サキエル・ティア</v>
      </c>
      <c r="C56" s="109" t="s">
        <v>314</v>
      </c>
      <c r="D56" s="144"/>
      <c r="E56" s="144" t="str">
        <f>A56&amp;+(COUNTIF(A$2:A56,A56)-1)</f>
        <v>8531</v>
      </c>
      <c r="F56" s="109" t="s">
        <v>186</v>
      </c>
      <c r="G56" s="175" t="s">
        <v>338</v>
      </c>
      <c r="H56" s="175" t="s">
        <v>339</v>
      </c>
    </row>
    <row r="57" spans="1:8" x14ac:dyDescent="0.15">
      <c r="A57" s="12">
        <v>853</v>
      </c>
      <c r="B57" s="144" t="str">
        <f>VLOOKUP(A57,[1]characters!$A:$C,3,FALSE)</f>
        <v>裂爪の天使 サキエル・ティア</v>
      </c>
      <c r="C57" s="109" t="s">
        <v>302</v>
      </c>
      <c r="D57" s="144"/>
      <c r="E57" s="144" t="str">
        <f>A57&amp;+(COUNTIF(A$2:A57,A57)-1)</f>
        <v>8532</v>
      </c>
      <c r="F57" s="109" t="s">
        <v>186</v>
      </c>
      <c r="G57" s="175" t="s">
        <v>300</v>
      </c>
      <c r="H57" s="175" t="s">
        <v>340</v>
      </c>
    </row>
    <row r="58" spans="1:8" x14ac:dyDescent="0.15">
      <c r="A58" s="12">
        <v>853</v>
      </c>
      <c r="B58" s="144" t="str">
        <f>VLOOKUP(A58,[1]characters!$A:$C,3,FALSE)</f>
        <v>裂爪の天使 サキエル・ティア</v>
      </c>
      <c r="C58" s="109" t="s">
        <v>302</v>
      </c>
      <c r="D58" s="144"/>
      <c r="E58" s="144" t="str">
        <f>A58&amp;+(COUNTIF(A$2:A58,A58)-1)</f>
        <v>8533</v>
      </c>
      <c r="F58" s="109" t="s">
        <v>186</v>
      </c>
      <c r="G58" s="175" t="s">
        <v>341</v>
      </c>
      <c r="H58" s="175" t="s">
        <v>342</v>
      </c>
    </row>
    <row r="59" spans="1:8" x14ac:dyDescent="0.15">
      <c r="A59" s="12">
        <v>854</v>
      </c>
      <c r="B59" s="144" t="str">
        <f>VLOOKUP(A59,[1]characters!$A:$C,3,FALSE)</f>
        <v>フラウロス</v>
      </c>
      <c r="C59" s="109" t="s">
        <v>317</v>
      </c>
      <c r="D59" s="144"/>
      <c r="E59" s="144" t="str">
        <f>A59&amp;+(COUNTIF(A$2:A59,A59)-1)</f>
        <v>8540</v>
      </c>
      <c r="F59" s="109" t="s">
        <v>186</v>
      </c>
      <c r="G59" s="175" t="s">
        <v>346</v>
      </c>
      <c r="H59" s="176" t="s">
        <v>347</v>
      </c>
    </row>
    <row r="60" spans="1:8" x14ac:dyDescent="0.15">
      <c r="A60" s="12">
        <v>854</v>
      </c>
      <c r="B60" s="144" t="str">
        <f>VLOOKUP(A60,[1]characters!$A:$C,3,FALSE)</f>
        <v>フラウロス</v>
      </c>
      <c r="C60" s="109" t="s">
        <v>302</v>
      </c>
      <c r="D60" s="144"/>
      <c r="E60" s="144" t="str">
        <f>A60&amp;+(COUNTIF(A$2:A60,A60)-1)</f>
        <v>8541</v>
      </c>
      <c r="F60" s="109" t="s">
        <v>186</v>
      </c>
      <c r="G60" s="175" t="s">
        <v>304</v>
      </c>
      <c r="H60" s="175" t="s">
        <v>349</v>
      </c>
    </row>
    <row r="61" spans="1:8" x14ac:dyDescent="0.15">
      <c r="A61" s="12">
        <v>854</v>
      </c>
      <c r="B61" s="144" t="str">
        <f>VLOOKUP(A61,[1]characters!$A:$C,3,FALSE)</f>
        <v>フラウロス</v>
      </c>
      <c r="C61" s="109" t="s">
        <v>320</v>
      </c>
      <c r="D61" s="144"/>
      <c r="E61" s="144" t="str">
        <f>A61&amp;+(COUNTIF(A$2:A61,A61)-1)</f>
        <v>8542</v>
      </c>
      <c r="F61" s="109" t="s">
        <v>186</v>
      </c>
      <c r="G61" s="175" t="s">
        <v>300</v>
      </c>
      <c r="H61" s="175" t="s">
        <v>350</v>
      </c>
    </row>
    <row r="62" spans="1:8" x14ac:dyDescent="0.15">
      <c r="A62" s="12">
        <v>855</v>
      </c>
      <c r="B62" s="144" t="str">
        <f>VLOOKUP(A62,[1]characters!$A:$C,3,FALSE)</f>
        <v>豹魔の侠客 フラウロス</v>
      </c>
      <c r="C62" s="109" t="s">
        <v>317</v>
      </c>
      <c r="D62" s="144"/>
      <c r="E62" s="144" t="str">
        <f>A62&amp;+(COUNTIF(A$2:A62,A62)-1)</f>
        <v>8550</v>
      </c>
      <c r="F62" s="109" t="s">
        <v>186</v>
      </c>
      <c r="G62" s="175" t="s">
        <v>304</v>
      </c>
      <c r="H62" s="176" t="s">
        <v>348</v>
      </c>
    </row>
    <row r="63" spans="1:8" x14ac:dyDescent="0.15">
      <c r="A63" s="12">
        <v>855</v>
      </c>
      <c r="B63" s="144" t="str">
        <f>VLOOKUP(A63,[1]characters!$A:$C,3,FALSE)</f>
        <v>豹魔の侠客 フラウロス</v>
      </c>
      <c r="C63" s="109" t="s">
        <v>302</v>
      </c>
      <c r="D63" s="144"/>
      <c r="E63" s="144" t="str">
        <f>A63&amp;+(COUNTIF(A$2:A63,A63)-1)</f>
        <v>8551</v>
      </c>
      <c r="F63" s="109" t="s">
        <v>186</v>
      </c>
      <c r="G63" s="175" t="s">
        <v>304</v>
      </c>
      <c r="H63" s="175" t="s">
        <v>349</v>
      </c>
    </row>
    <row r="64" spans="1:8" x14ac:dyDescent="0.15">
      <c r="A64" s="12">
        <v>855</v>
      </c>
      <c r="B64" s="144" t="str">
        <f>VLOOKUP(A64,[1]characters!$A:$C,3,FALSE)</f>
        <v>豹魔の侠客 フラウロス</v>
      </c>
      <c r="C64" s="109" t="s">
        <v>196</v>
      </c>
      <c r="D64" s="144"/>
      <c r="E64" s="144" t="str">
        <f>A64&amp;+(COUNTIF(A$2:A64,A64)-1)</f>
        <v>8552</v>
      </c>
      <c r="F64" s="109" t="s">
        <v>186</v>
      </c>
      <c r="G64" s="175" t="s">
        <v>300</v>
      </c>
      <c r="H64" s="175" t="s">
        <v>350</v>
      </c>
    </row>
    <row r="65" spans="1:8" x14ac:dyDescent="0.15">
      <c r="A65" s="12">
        <v>855</v>
      </c>
      <c r="B65" s="144" t="str">
        <f>VLOOKUP(A65,[1]characters!$A:$C,3,FALSE)</f>
        <v>豹魔の侠客 フラウロス</v>
      </c>
      <c r="C65" s="109" t="s">
        <v>196</v>
      </c>
      <c r="D65" s="144"/>
      <c r="E65" s="144" t="str">
        <f>A65&amp;+(COUNTIF(A$2:A65,A65)-1)</f>
        <v>8553</v>
      </c>
      <c r="F65" s="109" t="s">
        <v>186</v>
      </c>
      <c r="G65" s="175" t="s">
        <v>300</v>
      </c>
      <c r="H65" s="175" t="s">
        <v>351</v>
      </c>
    </row>
  </sheetData>
  <phoneticPr fontId="22"/>
  <dataValidations count="2">
    <dataValidation type="list" allowBlank="1" showInputMessage="1" showErrorMessage="1" sqref="G24:G32 G54 G15:G21 G57:G59 G34:G37 G9:G12 G48:G52 G41:G46 G2:G6">
      <formula1>"maru,giza,kumo"</formula1>
    </dataValidation>
    <dataValidation type="list" allowBlank="1" showInputMessage="1" showErrorMessage="1" sqref="C2:C65">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I30"/>
  <sheetViews>
    <sheetView showGridLines="0" workbookViewId="0">
      <pane ySplit="1" topLeftCell="A21" activePane="bottomLeft" state="frozen"/>
      <selection pane="bottomLeft" activeCell="D42" sqref="D42"/>
    </sheetView>
  </sheetViews>
  <sheetFormatPr baseColWidth="12" defaultColWidth="13" defaultRowHeight="15" x14ac:dyDescent="0.15"/>
  <cols>
    <col min="1" max="1" width="11.5" style="65" bestFit="1" customWidth="1"/>
    <col min="2" max="2" width="19.1640625" style="3" bestFit="1" customWidth="1"/>
    <col min="3" max="3" width="22.83203125" style="2" bestFit="1" customWidth="1"/>
    <col min="4" max="4" width="9.6640625" style="2" bestFit="1" customWidth="1"/>
    <col min="5" max="5" width="13.6640625" style="2" bestFit="1" customWidth="1"/>
    <col min="6" max="6" width="21.33203125" style="2" bestFit="1" customWidth="1"/>
    <col min="7" max="7" width="13.5" style="2" bestFit="1" customWidth="1"/>
    <col min="8" max="8" width="17" style="1" bestFit="1" customWidth="1"/>
    <col min="9" max="16384" width="13" style="2"/>
  </cols>
  <sheetData>
    <row r="1" spans="1:9" ht="21" customHeight="1" x14ac:dyDescent="0.15">
      <c r="A1" s="65" t="s">
        <v>99</v>
      </c>
      <c r="B1" s="42" t="s">
        <v>38</v>
      </c>
      <c r="C1" s="20" t="s">
        <v>40</v>
      </c>
      <c r="D1" s="20" t="s">
        <v>42</v>
      </c>
      <c r="E1" s="20" t="s">
        <v>43</v>
      </c>
      <c r="F1" s="43" t="s">
        <v>36</v>
      </c>
      <c r="G1" s="20" t="s">
        <v>41</v>
      </c>
      <c r="H1" s="19" t="s">
        <v>37</v>
      </c>
      <c r="I1" s="114" t="s">
        <v>127</v>
      </c>
    </row>
    <row r="2" spans="1:9" ht="21" customHeight="1" x14ac:dyDescent="0.15">
      <c r="A2" s="65" t="str">
        <f>B2&amp;"_"&amp;F2</f>
        <v>840_104</v>
      </c>
      <c r="B2" s="44">
        <v>840</v>
      </c>
      <c r="C2" s="21" t="str">
        <f ca="1">VLOOKUP(B2,units!A:B,2)</f>
        <v>フェニックス</v>
      </c>
      <c r="D2" s="21">
        <f ca="1">VLOOKUP($B2,OFFSET(units!$A$1,0,0,COUNTA(units!$A:$A),MATCH(D$1,units!$1:$1,0)-COLUMN(INDIRECT("character_id"))+1),MATCH(D$1,units!$1:$1,0)-COLUMN(INDIRECT("character_id"))+1,FALSE)</f>
        <v>4</v>
      </c>
      <c r="E2" s="21" t="str">
        <f ca="1">VLOOKUP($B2,OFFSET(units!$A$1,0,0,COUNTA(units!$A:$A),MATCH(E$1,units!$1:$1,0)-COLUMN(INDIRECT("character_id"))+1),MATCH(E$1,units!$1:$1,0)-COLUMN(INDIRECT("character_id"))+1,FALSE)</f>
        <v>Drop2N</v>
      </c>
      <c r="F2" s="44">
        <v>104</v>
      </c>
      <c r="G2" s="21" t="str">
        <f>VLOOKUP(F2,[1]characters!$A:$C,3,FALSE)</f>
        <v>炎のマッドハッター</v>
      </c>
      <c r="H2" s="18">
        <v>1</v>
      </c>
      <c r="I2" s="115">
        <v>1</v>
      </c>
    </row>
    <row r="3" spans="1:9" ht="21" customHeight="1" x14ac:dyDescent="0.15">
      <c r="A3" s="65" t="str">
        <f>B3&amp;"_"&amp;F3</f>
        <v>840_103</v>
      </c>
      <c r="B3" s="44">
        <v>840</v>
      </c>
      <c r="C3" s="21" t="str">
        <f ca="1">VLOOKUP(B3,units!A:B,2)</f>
        <v>フェニックス</v>
      </c>
      <c r="D3" s="21">
        <f ca="1">VLOOKUP($B3,OFFSET(units!$A$1,0,0,COUNTA(units!$A:$A),MATCH(D$1,units!$1:$1,0)-COLUMN(INDIRECT("character_id"))+1),MATCH(D$1,units!$1:$1,0)-COLUMN(INDIRECT("character_id"))+1,FALSE)</f>
        <v>4</v>
      </c>
      <c r="E3" s="21" t="str">
        <f ca="1">VLOOKUP($B3,OFFSET(units!$A$1,0,0,COUNTA(units!$A:$A),MATCH(E$1,units!$1:$1,0)-COLUMN(INDIRECT("character_id"))+1),MATCH(E$1,units!$1:$1,0)-COLUMN(INDIRECT("character_id"))+1,FALSE)</f>
        <v>Drop2N</v>
      </c>
      <c r="F3" s="44">
        <v>103</v>
      </c>
      <c r="G3" s="21" t="str">
        <f>VLOOKUP(F3,[1]characters!$A:$C,3,FALSE)</f>
        <v>レッドキャタップ</v>
      </c>
      <c r="H3" s="18">
        <v>1</v>
      </c>
      <c r="I3" s="115">
        <v>1</v>
      </c>
    </row>
    <row r="4" spans="1:9" ht="21" customHeight="1" x14ac:dyDescent="0.15">
      <c r="A4" s="65" t="str">
        <f t="shared" ref="A4:A6" si="0">B4&amp;"_"&amp;F4</f>
        <v>840_102</v>
      </c>
      <c r="B4" s="44">
        <v>840</v>
      </c>
      <c r="C4" s="21" t="str">
        <f ca="1">VLOOKUP(B4,units!A:B,2)</f>
        <v>フェニックス</v>
      </c>
      <c r="D4" s="21">
        <f ca="1">VLOOKUP($B4,OFFSET(units!$A$1,0,0,COUNTA(units!$A:$A),MATCH(D$1,units!$1:$1,0)-COLUMN(INDIRECT("character_id"))+1),MATCH(D$1,units!$1:$1,0)-COLUMN(INDIRECT("character_id"))+1,FALSE)</f>
        <v>4</v>
      </c>
      <c r="E4" s="21" t="str">
        <f ca="1">VLOOKUP($B4,OFFSET(units!$A$1,0,0,COUNTA(units!$A:$A),MATCH(E$1,units!$1:$1,0)-COLUMN(INDIRECT("character_id"))+1),MATCH(E$1,units!$1:$1,0)-COLUMN(INDIRECT("character_id"))+1,FALSE)</f>
        <v>Drop2N</v>
      </c>
      <c r="F4" s="44">
        <v>102</v>
      </c>
      <c r="G4" s="21" t="str">
        <f>VLOOKUP(F4,[1]characters!$A:$C,3,FALSE)</f>
        <v>レッドラビット</v>
      </c>
      <c r="H4" s="18">
        <v>2</v>
      </c>
      <c r="I4" s="115">
        <v>1</v>
      </c>
    </row>
    <row r="5" spans="1:9" ht="21" customHeight="1" x14ac:dyDescent="0.15">
      <c r="A5" s="65" t="str">
        <f t="shared" si="0"/>
        <v>840_101</v>
      </c>
      <c r="B5" s="44">
        <v>840</v>
      </c>
      <c r="C5" s="21" t="str">
        <f ca="1">VLOOKUP(B5,units!A:B,2)</f>
        <v>フェニックス</v>
      </c>
      <c r="D5" s="21">
        <f ca="1">VLOOKUP($B5,OFFSET(units!$A$1,0,0,COUNTA(units!$A:$A),MATCH(D$1,units!$1:$1,0)-COLUMN(INDIRECT("character_id"))+1),MATCH(D$1,units!$1:$1,0)-COLUMN(INDIRECT("character_id"))+1,FALSE)</f>
        <v>4</v>
      </c>
      <c r="E5" s="21" t="str">
        <f ca="1">VLOOKUP($B5,OFFSET(units!$A$1,0,0,COUNTA(units!$A:$A),MATCH(E$1,units!$1:$1,0)-COLUMN(INDIRECT("character_id"))+1),MATCH(E$1,units!$1:$1,0)-COLUMN(INDIRECT("character_id"))+1,FALSE)</f>
        <v>Drop2N</v>
      </c>
      <c r="F5" s="44">
        <v>101</v>
      </c>
      <c r="G5" s="21" t="str">
        <f>VLOOKUP(F5,[1]characters!$A:$C,3,FALSE)</f>
        <v>レッドチェシャ</v>
      </c>
      <c r="H5" s="18">
        <v>1</v>
      </c>
      <c r="I5" s="115">
        <v>1</v>
      </c>
    </row>
    <row r="6" spans="1:9" ht="21" customHeight="1" x14ac:dyDescent="0.15">
      <c r="A6" s="65" t="str">
        <f t="shared" si="0"/>
        <v>842_842</v>
      </c>
      <c r="B6" s="44">
        <v>842</v>
      </c>
      <c r="C6" s="21" t="str">
        <f ca="1">VLOOKUP(B6,units!A:B,2)</f>
        <v>セイレーン</v>
      </c>
      <c r="D6" s="21">
        <f ca="1">VLOOKUP($B6,OFFSET(units!$A$1,0,0,COUNTA(units!$A:$A),MATCH(D$1,units!$1:$1,0)-COLUMN(INDIRECT("character_id"))+1),MATCH(D$1,units!$1:$1,0)-COLUMN(INDIRECT("character_id"))+1,FALSE)</f>
        <v>4</v>
      </c>
      <c r="E6" s="21" t="str">
        <f ca="1">VLOOKUP($B6,OFFSET(units!$A$1,0,0,COUNTA(units!$A:$A),MATCH(E$1,units!$1:$1,0)-COLUMN(INDIRECT("character_id"))+1),MATCH(E$1,units!$1:$1,0)-COLUMN(INDIRECT("character_id"))+1,FALSE)</f>
        <v>Drop2N</v>
      </c>
      <c r="F6" s="44">
        <v>842</v>
      </c>
      <c r="G6" s="21" t="str">
        <f>VLOOKUP(F6,[1]characters!$A:$C,3,FALSE)</f>
        <v>セイレーン</v>
      </c>
      <c r="H6" s="18">
        <v>1</v>
      </c>
      <c r="I6" s="115">
        <v>10</v>
      </c>
    </row>
    <row r="7" spans="1:9" ht="21" customHeight="1" x14ac:dyDescent="0.15">
      <c r="A7" s="65" t="str">
        <f>B7&amp;"_"&amp;F7</f>
        <v>844_840</v>
      </c>
      <c r="B7" s="44">
        <v>844</v>
      </c>
      <c r="C7" s="21" t="str">
        <f ca="1">VLOOKUP(B7,units!A:B,2)</f>
        <v>ベルゼブブ</v>
      </c>
      <c r="D7" s="21" t="e">
        <f ca="1">VLOOKUP($B7,OFFSET([2]units!$A$1,0,0,COUNTA([2]units!$A:$A),MATCH(D$1,[2]units!$1:$1,0)-COLUMN(INDIRECT("character_id"))+1),MATCH(D$1,[2]units!$1:$1,0)-COLUMN(INDIRECT("character_id"))+1,FALSE)</f>
        <v>#VALUE!</v>
      </c>
      <c r="E7" s="21" t="e">
        <f ca="1">VLOOKUP($B7,OFFSET([2]units!$A$1,0,0,COUNTA([2]units!$A:$A),MATCH(E$1,[2]units!$1:$1,0)-COLUMN(INDIRECT("character_id"))+1),MATCH(E$1,[2]units!$1:$1,0)-COLUMN(INDIRECT("character_id"))+1,FALSE)</f>
        <v>#VALUE!</v>
      </c>
      <c r="F7" s="44">
        <v>840</v>
      </c>
      <c r="G7" s="21" t="str">
        <f>VLOOKUP(F7,[1]characters!$A:$C,3,FALSE)</f>
        <v>フェニックス</v>
      </c>
      <c r="H7" s="18">
        <v>1</v>
      </c>
      <c r="I7" s="115">
        <v>2</v>
      </c>
    </row>
    <row r="8" spans="1:9" ht="21" customHeight="1" x14ac:dyDescent="0.15">
      <c r="A8" s="65" t="str">
        <f>B8&amp;"_"&amp;F8</f>
        <v>844_842</v>
      </c>
      <c r="B8" s="44">
        <v>844</v>
      </c>
      <c r="C8" s="21" t="str">
        <f ca="1">VLOOKUP(B8,units!A:B,2)</f>
        <v>ベルゼブブ</v>
      </c>
      <c r="D8" s="21" t="e">
        <f ca="1">VLOOKUP($B8,OFFSET([2]units!$A$1,0,0,COUNTA([2]units!$A:$A),MATCH(D$1,[2]units!$1:$1,0)-COLUMN(INDIRECT("character_id"))+1),MATCH(D$1,[2]units!$1:$1,0)-COLUMN(INDIRECT("character_id"))+1,FALSE)</f>
        <v>#VALUE!</v>
      </c>
      <c r="E8" s="21" t="e">
        <f ca="1">VLOOKUP($B8,OFFSET([2]units!$A$1,0,0,COUNTA([2]units!$A:$A),MATCH(E$1,[2]units!$1:$1,0)-COLUMN(INDIRECT("character_id"))+1),MATCH(E$1,[2]units!$1:$1,0)-COLUMN(INDIRECT("character_id"))+1,FALSE)</f>
        <v>#VALUE!</v>
      </c>
      <c r="F8" s="44">
        <v>842</v>
      </c>
      <c r="G8" s="21" t="str">
        <f>VLOOKUP(F8,[1]characters!$A:$C,3,FALSE)</f>
        <v>セイレーン</v>
      </c>
      <c r="H8" s="18">
        <v>1</v>
      </c>
      <c r="I8" s="115">
        <v>3</v>
      </c>
    </row>
    <row r="9" spans="1:9" ht="21" customHeight="1" x14ac:dyDescent="0.15">
      <c r="A9" s="65" t="str">
        <f t="shared" ref="A9:A30" si="1">B9&amp;"_"&amp;F9</f>
        <v>844_837</v>
      </c>
      <c r="B9" s="44">
        <v>844</v>
      </c>
      <c r="C9" s="21" t="str">
        <f ca="1">VLOOKUP(B9,units!A:B,2)</f>
        <v>ベルゼブブ</v>
      </c>
      <c r="D9" s="21" t="e">
        <f ca="1">VLOOKUP($B9,OFFSET([2]units!$A$1,0,0,COUNTA([2]units!$A:$A),MATCH(D$1,[2]units!$1:$1,0)-COLUMN(INDIRECT("character_id"))+1),MATCH(D$1,[2]units!$1:$1,0)-COLUMN(INDIRECT("character_id"))+1,FALSE)</f>
        <v>#VALUE!</v>
      </c>
      <c r="E9" s="21" t="e">
        <f ca="1">VLOOKUP($B9,OFFSET([2]units!$A$1,0,0,COUNTA([2]units!$A:$A),MATCH(E$1,[2]units!$1:$1,0)-COLUMN(INDIRECT("character_id"))+1),MATCH(E$1,[2]units!$1:$1,0)-COLUMN(INDIRECT("character_id"))+1,FALSE)</f>
        <v>#VALUE!</v>
      </c>
      <c r="F9" s="44">
        <v>837</v>
      </c>
      <c r="G9" s="21" t="str">
        <f>VLOOKUP(F9,[1]characters!$A:$C,3,FALSE)</f>
        <v>リトルハンプティ</v>
      </c>
      <c r="H9" s="18">
        <v>1</v>
      </c>
      <c r="I9" s="115">
        <v>1</v>
      </c>
    </row>
    <row r="10" spans="1:9" ht="21" customHeight="1" x14ac:dyDescent="0.15">
      <c r="A10" s="65" t="str">
        <f t="shared" si="1"/>
        <v>852_112</v>
      </c>
      <c r="B10" s="44">
        <v>852</v>
      </c>
      <c r="C10" s="21" t="str">
        <f ca="1">VLOOKUP(B10,units!A:B,2)</f>
        <v>サキエル</v>
      </c>
      <c r="D10" s="21" t="e">
        <f ca="1">VLOOKUP($B10,OFFSET([2]units!$A$1,0,0,COUNTA([2]units!$A:$A),MATCH(D$1,[2]units!$1:$1,0)-COLUMN(INDIRECT("character_id"))+1),MATCH(D$1,[2]units!$1:$1,0)-COLUMN(INDIRECT("character_id"))+1,FALSE)</f>
        <v>#VALUE!</v>
      </c>
      <c r="E10" s="21" t="e">
        <f ca="1">VLOOKUP($B10,OFFSET([2]units!$A$1,0,0,COUNTA([2]units!$A:$A),MATCH(E$1,[2]units!$1:$1,0)-COLUMN(INDIRECT("character_id"))+1),MATCH(E$1,[2]units!$1:$1,0)-COLUMN(INDIRECT("character_id"))+1,FALSE)</f>
        <v>#VALUE!</v>
      </c>
      <c r="F10" s="44">
        <v>112</v>
      </c>
      <c r="G10" s="21" t="str">
        <f>VLOOKUP(F10,[1]characters!$A:$C,3,FALSE)</f>
        <v>水のマッドハッター</v>
      </c>
      <c r="H10" s="18">
        <v>2</v>
      </c>
      <c r="I10" s="115">
        <v>1</v>
      </c>
    </row>
    <row r="11" spans="1:9" ht="21" customHeight="1" x14ac:dyDescent="0.15">
      <c r="A11" s="65" t="str">
        <f t="shared" si="1"/>
        <v>852_111</v>
      </c>
      <c r="B11" s="44">
        <v>852</v>
      </c>
      <c r="C11" s="21" t="str">
        <f ca="1">VLOOKUP(B11,units!A:B,2)</f>
        <v>サキエル</v>
      </c>
      <c r="D11" s="21" t="e">
        <f ca="1">VLOOKUP($B11,OFFSET([2]units!$A$1,0,0,COUNTA([2]units!$A:$A),MATCH(D$1,[2]units!$1:$1,0)-COLUMN(INDIRECT("character_id"))+1),MATCH(D$1,[2]units!$1:$1,0)-COLUMN(INDIRECT("character_id"))+1,FALSE)</f>
        <v>#VALUE!</v>
      </c>
      <c r="E11" s="21" t="e">
        <f ca="1">VLOOKUP($B11,OFFSET([2]units!$A$1,0,0,COUNTA([2]units!$A:$A),MATCH(E$1,[2]units!$1:$1,0)-COLUMN(INDIRECT("character_id"))+1),MATCH(E$1,[2]units!$1:$1,0)-COLUMN(INDIRECT("character_id"))+1,FALSE)</f>
        <v>#VALUE!</v>
      </c>
      <c r="F11" s="44">
        <v>111</v>
      </c>
      <c r="G11" s="21" t="str">
        <f>VLOOKUP(F11,[1]characters!$A:$C,3,FALSE)</f>
        <v>ブルーキャタップ</v>
      </c>
      <c r="H11" s="18">
        <v>2</v>
      </c>
      <c r="I11" s="115">
        <v>1</v>
      </c>
    </row>
    <row r="12" spans="1:9" ht="21" customHeight="1" x14ac:dyDescent="0.15">
      <c r="A12" s="65" t="str">
        <f t="shared" si="1"/>
        <v>852_110</v>
      </c>
      <c r="B12" s="44">
        <v>852</v>
      </c>
      <c r="C12" s="21" t="str">
        <f ca="1">VLOOKUP(B12,units!A:B,2)</f>
        <v>サキエル</v>
      </c>
      <c r="D12" s="21" t="e">
        <f ca="1">VLOOKUP($B12,OFFSET([2]units!$A$1,0,0,COUNTA([2]units!$A:$A),MATCH(D$1,[2]units!$1:$1,0)-COLUMN(INDIRECT("character_id"))+1),MATCH(D$1,[2]units!$1:$1,0)-COLUMN(INDIRECT("character_id"))+1,FALSE)</f>
        <v>#VALUE!</v>
      </c>
      <c r="E12" s="21" t="e">
        <f ca="1">VLOOKUP($B12,OFFSET([2]units!$A$1,0,0,COUNTA([2]units!$A:$A),MATCH(E$1,[2]units!$1:$1,0)-COLUMN(INDIRECT("character_id"))+1),MATCH(E$1,[2]units!$1:$1,0)-COLUMN(INDIRECT("character_id"))+1,FALSE)</f>
        <v>#VALUE!</v>
      </c>
      <c r="F12" s="44">
        <v>110</v>
      </c>
      <c r="G12" s="21" t="str">
        <f>VLOOKUP(F12,[1]characters!$A:$C,3,FALSE)</f>
        <v>ブルーラビット</v>
      </c>
      <c r="H12" s="18">
        <v>1</v>
      </c>
      <c r="I12" s="115">
        <v>1</v>
      </c>
    </row>
    <row r="13" spans="1:9" ht="21" customHeight="1" x14ac:dyDescent="0.15">
      <c r="A13" s="65" t="str">
        <f t="shared" si="1"/>
        <v>854_116</v>
      </c>
      <c r="B13" s="44">
        <v>854</v>
      </c>
      <c r="C13" s="21" t="str">
        <f ca="1">VLOOKUP(B13,units!A:B,2)</f>
        <v>フラウロス</v>
      </c>
      <c r="D13" s="21" t="e">
        <f ca="1">VLOOKUP($B13,OFFSET([2]units!$A$1,0,0,COUNTA([2]units!$A:$A),MATCH(D$1,[2]units!$1:$1,0)-COLUMN(INDIRECT("character_id"))+1),MATCH(D$1,[2]units!$1:$1,0)-COLUMN(INDIRECT("character_id"))+1,FALSE)</f>
        <v>#VALUE!</v>
      </c>
      <c r="E13" s="21" t="e">
        <f ca="1">VLOOKUP($B13,OFFSET([2]units!$A$1,0,0,COUNTA([2]units!$A:$A),MATCH(E$1,[2]units!$1:$1,0)-COLUMN(INDIRECT("character_id"))+1),MATCH(E$1,[2]units!$1:$1,0)-COLUMN(INDIRECT("character_id"))+1,FALSE)</f>
        <v>#VALUE!</v>
      </c>
      <c r="F13" s="44">
        <v>116</v>
      </c>
      <c r="G13" s="21" t="str">
        <f>VLOOKUP(F13,[1]characters!$A:$C,3,FALSE)</f>
        <v>雷のマッドハッター</v>
      </c>
      <c r="H13" s="18">
        <v>2</v>
      </c>
      <c r="I13" s="115">
        <v>1</v>
      </c>
    </row>
    <row r="14" spans="1:9" ht="21" customHeight="1" x14ac:dyDescent="0.15">
      <c r="A14" s="65" t="str">
        <f t="shared" si="1"/>
        <v>854_115</v>
      </c>
      <c r="B14" s="44">
        <v>854</v>
      </c>
      <c r="C14" s="21" t="str">
        <f ca="1">VLOOKUP(B14,units!A:B,2)</f>
        <v>フラウロス</v>
      </c>
      <c r="D14" s="21" t="e">
        <f ca="1">VLOOKUP($B14,OFFSET([2]units!$A$1,0,0,COUNTA([2]units!$A:$A),MATCH(D$1,[2]units!$1:$1,0)-COLUMN(INDIRECT("character_id"))+1),MATCH(D$1,[2]units!$1:$1,0)-COLUMN(INDIRECT("character_id"))+1,FALSE)</f>
        <v>#VALUE!</v>
      </c>
      <c r="E14" s="21" t="e">
        <f ca="1">VLOOKUP($B14,OFFSET([2]units!$A$1,0,0,COUNTA([2]units!$A:$A),MATCH(E$1,[2]units!$1:$1,0)-COLUMN(INDIRECT("character_id"))+1),MATCH(E$1,[2]units!$1:$1,0)-COLUMN(INDIRECT("character_id"))+1,FALSE)</f>
        <v>#VALUE!</v>
      </c>
      <c r="F14" s="44">
        <v>115</v>
      </c>
      <c r="G14" s="21" t="str">
        <f>VLOOKUP(F14,[1]characters!$A:$C,3,FALSE)</f>
        <v>イエローキャタップ</v>
      </c>
      <c r="H14" s="18">
        <v>2</v>
      </c>
      <c r="I14" s="115">
        <v>1</v>
      </c>
    </row>
    <row r="15" spans="1:9" ht="21" customHeight="1" x14ac:dyDescent="0.15">
      <c r="A15" s="65" t="str">
        <f t="shared" si="1"/>
        <v>854_114</v>
      </c>
      <c r="B15" s="44">
        <v>854</v>
      </c>
      <c r="C15" s="21" t="str">
        <f ca="1">VLOOKUP(B15,units!A:B,2)</f>
        <v>フラウロス</v>
      </c>
      <c r="D15" s="21" t="e">
        <f ca="1">VLOOKUP($B15,OFFSET([2]units!$A$1,0,0,COUNTA([2]units!$A:$A),MATCH(D$1,[2]units!$1:$1,0)-COLUMN(INDIRECT("character_id"))+1),MATCH(D$1,[2]units!$1:$1,0)-COLUMN(INDIRECT("character_id"))+1,FALSE)</f>
        <v>#VALUE!</v>
      </c>
      <c r="E15" s="21" t="e">
        <f ca="1">VLOOKUP($B15,OFFSET([2]units!$A$1,0,0,COUNTA([2]units!$A:$A),MATCH(E$1,[2]units!$1:$1,0)-COLUMN(INDIRECT("character_id"))+1),MATCH(E$1,[2]units!$1:$1,0)-COLUMN(INDIRECT("character_id"))+1,FALSE)</f>
        <v>#VALUE!</v>
      </c>
      <c r="F15" s="44">
        <v>114</v>
      </c>
      <c r="G15" s="21" t="str">
        <f>VLOOKUP(F15,[1]characters!$A:$C,3,FALSE)</f>
        <v>イエローラビット</v>
      </c>
      <c r="H15" s="18">
        <v>1</v>
      </c>
      <c r="I15" s="115">
        <v>1</v>
      </c>
    </row>
    <row r="16" spans="1:9" ht="21" customHeight="1" x14ac:dyDescent="0.15">
      <c r="A16" s="65" t="str">
        <f t="shared" si="1"/>
        <v>848_837</v>
      </c>
      <c r="B16" s="44">
        <v>848</v>
      </c>
      <c r="C16" s="21" t="str">
        <f ca="1">VLOOKUP(B16,units!A:B,2)</f>
        <v>メタトロン</v>
      </c>
      <c r="D16" s="21" t="e">
        <f ca="1">VLOOKUP($B16,OFFSET([2]units!$A$1,0,0,COUNTA([2]units!$A:$A),MATCH(D$1,[2]units!$1:$1,0)-COLUMN(INDIRECT("character_id"))+1),MATCH(D$1,[2]units!$1:$1,0)-COLUMN(INDIRECT("character_id"))+1,FALSE)</f>
        <v>#VALUE!</v>
      </c>
      <c r="E16" s="21" t="e">
        <f ca="1">VLOOKUP($B16,OFFSET([2]units!$A$1,0,0,COUNTA([2]units!$A:$A),MATCH(E$1,[2]units!$1:$1,0)-COLUMN(INDIRECT("character_id"))+1),MATCH(E$1,[2]units!$1:$1,0)-COLUMN(INDIRECT("character_id"))+1,FALSE)</f>
        <v>#VALUE!</v>
      </c>
      <c r="F16" s="44">
        <v>837</v>
      </c>
      <c r="G16" s="21" t="str">
        <f>VLOOKUP(F16,[1]characters!$A:$C,3,FALSE)</f>
        <v>リトルハンプティ</v>
      </c>
      <c r="H16" s="18">
        <v>1</v>
      </c>
      <c r="I16" s="115">
        <v>1</v>
      </c>
    </row>
    <row r="17" spans="1:9" ht="21" customHeight="1" x14ac:dyDescent="0.15">
      <c r="A17" s="65" t="str">
        <f t="shared" si="1"/>
        <v>848_104</v>
      </c>
      <c r="B17" s="44">
        <v>848</v>
      </c>
      <c r="C17" s="21" t="str">
        <f ca="1">VLOOKUP(B17,units!A:B,2)</f>
        <v>メタトロン</v>
      </c>
      <c r="D17" s="21" t="e">
        <f ca="1">VLOOKUP($B17,OFFSET([2]units!$A$1,0,0,COUNTA([2]units!$A:$A),MATCH(D$1,[2]units!$1:$1,0)-COLUMN(INDIRECT("character_id"))+1),MATCH(D$1,[2]units!$1:$1,0)-COLUMN(INDIRECT("character_id"))+1,FALSE)</f>
        <v>#VALUE!</v>
      </c>
      <c r="E17" s="21" t="e">
        <f ca="1">VLOOKUP($B17,OFFSET([2]units!$A$1,0,0,COUNTA([2]units!$A:$A),MATCH(E$1,[2]units!$1:$1,0)-COLUMN(INDIRECT("character_id"))+1),MATCH(E$1,[2]units!$1:$1,0)-COLUMN(INDIRECT("character_id"))+1,FALSE)</f>
        <v>#VALUE!</v>
      </c>
      <c r="F17" s="44">
        <v>104</v>
      </c>
      <c r="G17" s="21" t="str">
        <f>VLOOKUP(F17,[1]characters!$A:$C,3,FALSE)</f>
        <v>炎のマッドハッター</v>
      </c>
      <c r="H17" s="18">
        <v>1</v>
      </c>
      <c r="I17" s="115">
        <v>1</v>
      </c>
    </row>
    <row r="18" spans="1:9" ht="21" customHeight="1" x14ac:dyDescent="0.15">
      <c r="A18" s="65" t="str">
        <f t="shared" si="1"/>
        <v>848_103</v>
      </c>
      <c r="B18" s="44">
        <v>848</v>
      </c>
      <c r="C18" s="21" t="str">
        <f ca="1">VLOOKUP(B18,units!A:B,2)</f>
        <v>メタトロン</v>
      </c>
      <c r="D18" s="21" t="e">
        <f ca="1">VLOOKUP($B18,OFFSET([2]units!$A$1,0,0,COUNTA([2]units!$A:$A),MATCH(D$1,[2]units!$1:$1,0)-COLUMN(INDIRECT("character_id"))+1),MATCH(D$1,[2]units!$1:$1,0)-COLUMN(INDIRECT("character_id"))+1,FALSE)</f>
        <v>#VALUE!</v>
      </c>
      <c r="E18" s="21" t="e">
        <f ca="1">VLOOKUP($B18,OFFSET([2]units!$A$1,0,0,COUNTA([2]units!$A:$A),MATCH(E$1,[2]units!$1:$1,0)-COLUMN(INDIRECT("character_id"))+1),MATCH(E$1,[2]units!$1:$1,0)-COLUMN(INDIRECT("character_id"))+1,FALSE)</f>
        <v>#VALUE!</v>
      </c>
      <c r="F18" s="44">
        <v>103</v>
      </c>
      <c r="G18" s="21" t="str">
        <f>VLOOKUP(F18,[1]characters!$A:$C,3,FALSE)</f>
        <v>レッドキャタップ</v>
      </c>
      <c r="H18" s="18">
        <v>1</v>
      </c>
      <c r="I18" s="115">
        <v>1</v>
      </c>
    </row>
    <row r="19" spans="1:9" ht="21" customHeight="1" x14ac:dyDescent="0.15">
      <c r="A19" s="65" t="str">
        <f t="shared" si="1"/>
        <v>848_577</v>
      </c>
      <c r="B19" s="44">
        <v>848</v>
      </c>
      <c r="C19" s="21" t="str">
        <f ca="1">VLOOKUP(B19,units!A:B,2)</f>
        <v>メタトロン</v>
      </c>
      <c r="D19" s="21" t="e">
        <f ca="1">VLOOKUP($B19,OFFSET([2]units!$A$1,0,0,COUNTA([2]units!$A:$A),MATCH(D$1,[2]units!$1:$1,0)-COLUMN(INDIRECT("character_id"))+1),MATCH(D$1,[2]units!$1:$1,0)-COLUMN(INDIRECT("character_id"))+1,FALSE)</f>
        <v>#VALUE!</v>
      </c>
      <c r="E19" s="21" t="e">
        <f ca="1">VLOOKUP($B19,OFFSET([2]units!$A$1,0,0,COUNTA([2]units!$A:$A),MATCH(E$1,[2]units!$1:$1,0)-COLUMN(INDIRECT("character_id"))+1),MATCH(E$1,[2]units!$1:$1,0)-COLUMN(INDIRECT("character_id"))+1,FALSE)</f>
        <v>#VALUE!</v>
      </c>
      <c r="F19" s="44">
        <v>577</v>
      </c>
      <c r="G19" s="21" t="str">
        <f>VLOOKUP(F19,[1]characters!$A:$C,3,FALSE)</f>
        <v>ビュグヴィルとベイラ</v>
      </c>
      <c r="H19" s="18">
        <v>1</v>
      </c>
      <c r="I19" s="115">
        <v>1</v>
      </c>
    </row>
    <row r="20" spans="1:9" ht="21" customHeight="1" x14ac:dyDescent="0.15">
      <c r="A20" s="65" t="str">
        <f t="shared" si="1"/>
        <v>848_840</v>
      </c>
      <c r="B20" s="44">
        <v>848</v>
      </c>
      <c r="C20" s="21" t="str">
        <f ca="1">VLOOKUP(B20,units!A:B,2)</f>
        <v>メタトロン</v>
      </c>
      <c r="D20" s="21" t="e">
        <f ca="1">VLOOKUP($B20,OFFSET([2]units!$A$1,0,0,COUNTA([2]units!$A:$A),MATCH(D$1,[2]units!$1:$1,0)-COLUMN(INDIRECT("character_id"))+1),MATCH(D$1,[2]units!$1:$1,0)-COLUMN(INDIRECT("character_id"))+1,FALSE)</f>
        <v>#VALUE!</v>
      </c>
      <c r="E20" s="21" t="e">
        <f ca="1">VLOOKUP($B20,OFFSET([2]units!$A$1,0,0,COUNTA([2]units!$A:$A),MATCH(E$1,[2]units!$1:$1,0)-COLUMN(INDIRECT("character_id"))+1),MATCH(E$1,[2]units!$1:$1,0)-COLUMN(INDIRECT("character_id"))+1,FALSE)</f>
        <v>#VALUE!</v>
      </c>
      <c r="F20" s="44">
        <v>840</v>
      </c>
      <c r="G20" s="21" t="str">
        <f>VLOOKUP(F20,[1]characters!$A:$C,3,FALSE)</f>
        <v>フェニックス</v>
      </c>
      <c r="H20" s="18">
        <v>1</v>
      </c>
      <c r="I20" s="115">
        <v>1</v>
      </c>
    </row>
    <row r="21" spans="1:9" ht="21" customHeight="1" x14ac:dyDescent="0.15">
      <c r="A21" s="65" t="str">
        <f t="shared" si="1"/>
        <v>850_837</v>
      </c>
      <c r="B21" s="44">
        <v>850</v>
      </c>
      <c r="C21" s="21" t="str">
        <f ca="1">VLOOKUP(B21,units!A:B,2)</f>
        <v>バアル</v>
      </c>
      <c r="D21" s="21" t="e">
        <f ca="1">VLOOKUP($B21,OFFSET([2]units!$A$1,0,0,COUNTA([2]units!$A:$A),MATCH(D$1,[2]units!$1:$1,0)-COLUMN(INDIRECT("character_id"))+1),MATCH(D$1,[2]units!$1:$1,0)-COLUMN(INDIRECT("character_id"))+1,FALSE)</f>
        <v>#VALUE!</v>
      </c>
      <c r="E21" s="21" t="e">
        <f ca="1">VLOOKUP($B21,OFFSET([2]units!$A$1,0,0,COUNTA([2]units!$A:$A),MATCH(E$1,[2]units!$1:$1,0)-COLUMN(INDIRECT("character_id"))+1),MATCH(E$1,[2]units!$1:$1,0)-COLUMN(INDIRECT("character_id"))+1,FALSE)</f>
        <v>#VALUE!</v>
      </c>
      <c r="F21" s="44">
        <v>837</v>
      </c>
      <c r="G21" s="21" t="str">
        <f>VLOOKUP(F21,[1]characters!$A:$C,3,FALSE)</f>
        <v>リトルハンプティ</v>
      </c>
      <c r="H21" s="18">
        <v>1</v>
      </c>
      <c r="I21" s="115">
        <v>1</v>
      </c>
    </row>
    <row r="22" spans="1:9" ht="21" customHeight="1" x14ac:dyDescent="0.15">
      <c r="A22" s="65" t="str">
        <f t="shared" si="1"/>
        <v>850_108</v>
      </c>
      <c r="B22" s="44">
        <v>850</v>
      </c>
      <c r="C22" s="21" t="str">
        <f ca="1">VLOOKUP(B22,units!A:B,2)</f>
        <v>バアル</v>
      </c>
      <c r="D22" s="21" t="e">
        <f ca="1">VLOOKUP($B22,OFFSET([2]units!$A$1,0,0,COUNTA([2]units!$A:$A),MATCH(D$1,[2]units!$1:$1,0)-COLUMN(INDIRECT("character_id"))+1),MATCH(D$1,[2]units!$1:$1,0)-COLUMN(INDIRECT("character_id"))+1,FALSE)</f>
        <v>#VALUE!</v>
      </c>
      <c r="E22" s="21" t="e">
        <f ca="1">VLOOKUP($B22,OFFSET([2]units!$A$1,0,0,COUNTA([2]units!$A:$A),MATCH(E$1,[2]units!$1:$1,0)-COLUMN(INDIRECT("character_id"))+1),MATCH(E$1,[2]units!$1:$1,0)-COLUMN(INDIRECT("character_id"))+1,FALSE)</f>
        <v>#VALUE!</v>
      </c>
      <c r="F22" s="44">
        <v>108</v>
      </c>
      <c r="G22" s="21" t="str">
        <f>VLOOKUP(F22,[1]characters!$A:$C,3,FALSE)</f>
        <v>森のマッドハッター</v>
      </c>
      <c r="H22" s="18">
        <v>1</v>
      </c>
      <c r="I22" s="115">
        <v>1</v>
      </c>
    </row>
    <row r="23" spans="1:9" ht="21" customHeight="1" x14ac:dyDescent="0.15">
      <c r="A23" s="65" t="str">
        <f t="shared" si="1"/>
        <v>850_107</v>
      </c>
      <c r="B23" s="44">
        <v>850</v>
      </c>
      <c r="C23" s="21" t="str">
        <f ca="1">VLOOKUP(B23,units!A:B,2)</f>
        <v>バアル</v>
      </c>
      <c r="D23" s="21" t="e">
        <f ca="1">VLOOKUP($B23,OFFSET([2]units!$A$1,0,0,COUNTA([2]units!$A:$A),MATCH(D$1,[2]units!$1:$1,0)-COLUMN(INDIRECT("character_id"))+1),MATCH(D$1,[2]units!$1:$1,0)-COLUMN(INDIRECT("character_id"))+1,FALSE)</f>
        <v>#VALUE!</v>
      </c>
      <c r="E23" s="21" t="e">
        <f ca="1">VLOOKUP($B23,OFFSET([2]units!$A$1,0,0,COUNTA([2]units!$A:$A),MATCH(E$1,[2]units!$1:$1,0)-COLUMN(INDIRECT("character_id"))+1),MATCH(E$1,[2]units!$1:$1,0)-COLUMN(INDIRECT("character_id"))+1,FALSE)</f>
        <v>#VALUE!</v>
      </c>
      <c r="F23" s="44">
        <v>107</v>
      </c>
      <c r="G23" s="21" t="str">
        <f>VLOOKUP(F23,[1]characters!$A:$C,3,FALSE)</f>
        <v>グリーンキャタップ</v>
      </c>
      <c r="H23" s="18">
        <v>1</v>
      </c>
      <c r="I23" s="115">
        <v>1</v>
      </c>
    </row>
    <row r="24" spans="1:9" ht="21" customHeight="1" x14ac:dyDescent="0.15">
      <c r="A24" s="65" t="str">
        <f t="shared" si="1"/>
        <v>850_842</v>
      </c>
      <c r="B24" s="44">
        <v>850</v>
      </c>
      <c r="C24" s="21" t="str">
        <f ca="1">VLOOKUP(B24,units!A:B,2)</f>
        <v>バアル</v>
      </c>
      <c r="D24" s="21" t="e">
        <f ca="1">VLOOKUP($B24,OFFSET([2]units!$A$1,0,0,COUNTA([2]units!$A:$A),MATCH(D$1,[2]units!$1:$1,0)-COLUMN(INDIRECT("character_id"))+1),MATCH(D$1,[2]units!$1:$1,0)-COLUMN(INDIRECT("character_id"))+1,FALSE)</f>
        <v>#VALUE!</v>
      </c>
      <c r="E24" s="21" t="e">
        <f ca="1">VLOOKUP($B24,OFFSET([2]units!$A$1,0,0,COUNTA([2]units!$A:$A),MATCH(E$1,[2]units!$1:$1,0)-COLUMN(INDIRECT("character_id"))+1),MATCH(E$1,[2]units!$1:$1,0)-COLUMN(INDIRECT("character_id"))+1,FALSE)</f>
        <v>#VALUE!</v>
      </c>
      <c r="F24" s="44">
        <v>842</v>
      </c>
      <c r="G24" s="21" t="str">
        <f>VLOOKUP(F24,[1]characters!$A:$C,3,FALSE)</f>
        <v>セイレーン</v>
      </c>
      <c r="H24" s="18">
        <v>1</v>
      </c>
      <c r="I24" s="115">
        <v>1</v>
      </c>
    </row>
    <row r="25" spans="1:9" ht="21" customHeight="1" x14ac:dyDescent="0.15">
      <c r="A25" s="65" t="str">
        <f t="shared" si="1"/>
        <v>850_504</v>
      </c>
      <c r="B25" s="44">
        <v>850</v>
      </c>
      <c r="C25" s="21" t="str">
        <f ca="1">VLOOKUP(B25,units!A:B,2)</f>
        <v>バアル</v>
      </c>
      <c r="D25" s="21" t="e">
        <f ca="1">VLOOKUP($B25,OFFSET([2]units!$A$1,0,0,COUNTA([2]units!$A:$A),MATCH(D$1,[2]units!$1:$1,0)-COLUMN(INDIRECT("character_id"))+1),MATCH(D$1,[2]units!$1:$1,0)-COLUMN(INDIRECT("character_id"))+1,FALSE)</f>
        <v>#VALUE!</v>
      </c>
      <c r="E25" s="21" t="e">
        <f ca="1">VLOOKUP($B25,OFFSET([2]units!$A$1,0,0,COUNTA([2]units!$A:$A),MATCH(E$1,[2]units!$1:$1,0)-COLUMN(INDIRECT("character_id"))+1),MATCH(E$1,[2]units!$1:$1,0)-COLUMN(INDIRECT("character_id"))+1,FALSE)</f>
        <v>#VALUE!</v>
      </c>
      <c r="F25" s="44">
        <v>504</v>
      </c>
      <c r="G25" s="21" t="str">
        <f>VLOOKUP(F25,[1]characters!$A:$C,3,FALSE)</f>
        <v>ハイディン・オーガ</v>
      </c>
      <c r="H25" s="18">
        <v>1</v>
      </c>
      <c r="I25" s="115">
        <v>1</v>
      </c>
    </row>
    <row r="26" spans="1:9" ht="21" customHeight="1" x14ac:dyDescent="0.15">
      <c r="A26" s="65" t="str">
        <f t="shared" si="1"/>
        <v>846_837</v>
      </c>
      <c r="B26" s="44">
        <v>846</v>
      </c>
      <c r="C26" s="21" t="str">
        <f ca="1">VLOOKUP(B26,units!A:B,2)</f>
        <v>ルシファー</v>
      </c>
      <c r="D26" s="21" t="e">
        <f ca="1">VLOOKUP($B26,OFFSET([2]units!$A$1,0,0,COUNTA([2]units!$A:$A),MATCH(D$1,[2]units!$1:$1,0)-COLUMN(INDIRECT("character_id"))+1),MATCH(D$1,[2]units!$1:$1,0)-COLUMN(INDIRECT("character_id"))+1,FALSE)</f>
        <v>#VALUE!</v>
      </c>
      <c r="E26" s="21" t="e">
        <f ca="1">VLOOKUP($B26,OFFSET([2]units!$A$1,0,0,COUNTA([2]units!$A:$A),MATCH(E$1,[2]units!$1:$1,0)-COLUMN(INDIRECT("character_id"))+1),MATCH(E$1,[2]units!$1:$1,0)-COLUMN(INDIRECT("character_id"))+1,FALSE)</f>
        <v>#VALUE!</v>
      </c>
      <c r="F26" s="44">
        <v>837</v>
      </c>
      <c r="G26" s="21" t="str">
        <f>VLOOKUP(F26,[1]characters!$A:$C,3,FALSE)</f>
        <v>リトルハンプティ</v>
      </c>
      <c r="H26" s="18">
        <v>1</v>
      </c>
      <c r="I26" s="115">
        <v>1</v>
      </c>
    </row>
    <row r="27" spans="1:9" ht="21" customHeight="1" x14ac:dyDescent="0.15">
      <c r="A27" s="65" t="str">
        <f t="shared" si="1"/>
        <v>846_844</v>
      </c>
      <c r="B27" s="44">
        <v>846</v>
      </c>
      <c r="C27" s="21" t="str">
        <f ca="1">VLOOKUP(B27,units!A:B,2)</f>
        <v>ルシファー</v>
      </c>
      <c r="D27" s="21" t="e">
        <f ca="1">VLOOKUP($B27,OFFSET([2]units!$A$1,0,0,COUNTA([2]units!$A:$A),MATCH(D$1,[2]units!$1:$1,0)-COLUMN(INDIRECT("character_id"))+1),MATCH(D$1,[2]units!$1:$1,0)-COLUMN(INDIRECT("character_id"))+1,FALSE)</f>
        <v>#VALUE!</v>
      </c>
      <c r="E27" s="21" t="e">
        <f ca="1">VLOOKUP($B27,OFFSET([2]units!$A$1,0,0,COUNTA([2]units!$A:$A),MATCH(E$1,[2]units!$1:$1,0)-COLUMN(INDIRECT("character_id"))+1),MATCH(E$1,[2]units!$1:$1,0)-COLUMN(INDIRECT("character_id"))+1,FALSE)</f>
        <v>#VALUE!</v>
      </c>
      <c r="F27" s="44">
        <v>844</v>
      </c>
      <c r="G27" s="21" t="str">
        <f>VLOOKUP(F27,[1]characters!$A:$C,3,FALSE)</f>
        <v>ベルゼブブ</v>
      </c>
      <c r="H27" s="18">
        <v>1</v>
      </c>
      <c r="I27" s="115">
        <v>1</v>
      </c>
    </row>
    <row r="28" spans="1:9" ht="21" customHeight="1" x14ac:dyDescent="0.15">
      <c r="A28" s="65" t="str">
        <f t="shared" si="1"/>
        <v>846_575</v>
      </c>
      <c r="B28" s="44">
        <v>846</v>
      </c>
      <c r="C28" s="21" t="str">
        <f ca="1">VLOOKUP(B28,units!A:B,2)</f>
        <v>ルシファー</v>
      </c>
      <c r="D28" s="21" t="e">
        <f ca="1">VLOOKUP($B28,OFFSET([2]units!$A$1,0,0,COUNTA([2]units!$A:$A),MATCH(D$1,[2]units!$1:$1,0)-COLUMN(INDIRECT("character_id"))+1),MATCH(D$1,[2]units!$1:$1,0)-COLUMN(INDIRECT("character_id"))+1,FALSE)</f>
        <v>#VALUE!</v>
      </c>
      <c r="E28" s="21" t="e">
        <f ca="1">VLOOKUP($B28,OFFSET([2]units!$A$1,0,0,COUNTA([2]units!$A:$A),MATCH(E$1,[2]units!$1:$1,0)-COLUMN(INDIRECT("character_id"))+1),MATCH(E$1,[2]units!$1:$1,0)-COLUMN(INDIRECT("character_id"))+1,FALSE)</f>
        <v>#VALUE!</v>
      </c>
      <c r="F28" s="44">
        <v>575</v>
      </c>
      <c r="G28" s="21" t="str">
        <f>VLOOKUP(F28,[1]characters!$A:$C,3,FALSE)</f>
        <v>フレイ</v>
      </c>
      <c r="H28" s="18">
        <v>1</v>
      </c>
      <c r="I28" s="115">
        <v>1</v>
      </c>
    </row>
    <row r="29" spans="1:9" ht="21" customHeight="1" x14ac:dyDescent="0.15">
      <c r="A29" s="65" t="str">
        <f t="shared" si="1"/>
        <v>846_314</v>
      </c>
      <c r="B29" s="44">
        <v>846</v>
      </c>
      <c r="C29" s="21" t="str">
        <f ca="1">VLOOKUP(B29,units!A:B,2)</f>
        <v>ルシファー</v>
      </c>
      <c r="D29" s="21" t="e">
        <f ca="1">VLOOKUP($B29,OFFSET([2]units!$A$1,0,0,COUNTA([2]units!$A:$A),MATCH(D$1,[2]units!$1:$1,0)-COLUMN(INDIRECT("character_id"))+1),MATCH(D$1,[2]units!$1:$1,0)-COLUMN(INDIRECT("character_id"))+1,FALSE)</f>
        <v>#VALUE!</v>
      </c>
      <c r="E29" s="21" t="e">
        <f ca="1">VLOOKUP($B29,OFFSET([2]units!$A$1,0,0,COUNTA([2]units!$A:$A),MATCH(E$1,[2]units!$1:$1,0)-COLUMN(INDIRECT("character_id"))+1),MATCH(E$1,[2]units!$1:$1,0)-COLUMN(INDIRECT("character_id"))+1,FALSE)</f>
        <v>#VALUE!</v>
      </c>
      <c r="F29" s="44">
        <v>314</v>
      </c>
      <c r="G29" s="21" t="str">
        <f>VLOOKUP(F29,[1]characters!$A:$C,3,FALSE)</f>
        <v>ジャンヌ</v>
      </c>
      <c r="H29" s="18">
        <v>1</v>
      </c>
      <c r="I29" s="115">
        <v>1</v>
      </c>
    </row>
    <row r="30" spans="1:9" ht="21" customHeight="1" x14ac:dyDescent="0.15">
      <c r="A30" s="65" t="str">
        <f t="shared" si="1"/>
        <v>846_426</v>
      </c>
      <c r="B30" s="44">
        <v>846</v>
      </c>
      <c r="C30" s="21" t="str">
        <f ca="1">VLOOKUP(B30,units!A:B,2)</f>
        <v>ルシファー</v>
      </c>
      <c r="D30" s="21" t="e">
        <f ca="1">VLOOKUP($B30,OFFSET([2]units!$A$1,0,0,COUNTA([2]units!$A:$A),MATCH(D$1,[2]units!$1:$1,0)-COLUMN(INDIRECT("character_id"))+1),MATCH(D$1,[2]units!$1:$1,0)-COLUMN(INDIRECT("character_id"))+1,FALSE)</f>
        <v>#VALUE!</v>
      </c>
      <c r="E30" s="21" t="e">
        <f ca="1">VLOOKUP($B30,OFFSET([2]units!$A$1,0,0,COUNTA([2]units!$A:$A),MATCH(E$1,[2]units!$1:$1,0)-COLUMN(INDIRECT("character_id"))+1),MATCH(E$1,[2]units!$1:$1,0)-COLUMN(INDIRECT("character_id"))+1,FALSE)</f>
        <v>#VALUE!</v>
      </c>
      <c r="F30" s="44">
        <v>426</v>
      </c>
      <c r="G30" s="21" t="str">
        <f>VLOOKUP(F30,[1]characters!$A:$C,3,FALSE)</f>
        <v>宮本武蔵</v>
      </c>
      <c r="H30" s="18">
        <v>1</v>
      </c>
      <c r="I30" s="115">
        <v>1</v>
      </c>
    </row>
  </sheetData>
  <sheetProtection selectLockedCells="1" selectUnlockedCells="1"/>
  <autoFilter ref="B1:H1"/>
  <phoneticPr fontId="9"/>
  <pageMargins left="0.75" right="0.75" top="1" bottom="1" header="0.51180555555555551" footer="0.51180555555555551"/>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3"/>
  <sheetViews>
    <sheetView workbookViewId="0">
      <selection activeCell="G15" sqref="G15"/>
    </sheetView>
  </sheetViews>
  <sheetFormatPr baseColWidth="12" defaultRowHeight="15" x14ac:dyDescent="0.15"/>
  <cols>
    <col min="5" max="5" width="22.6640625" customWidth="1"/>
    <col min="6" max="6" width="58.5" customWidth="1"/>
  </cols>
  <sheetData>
    <row r="1" spans="1:8" s="24" customFormat="1" ht="21" customHeight="1" x14ac:dyDescent="0.15">
      <c r="A1" s="181" t="s">
        <v>428</v>
      </c>
      <c r="B1" s="182" t="s">
        <v>433</v>
      </c>
      <c r="C1" s="121" t="s">
        <v>429</v>
      </c>
      <c r="D1" s="121" t="s">
        <v>430</v>
      </c>
      <c r="E1" s="183" t="s">
        <v>434</v>
      </c>
      <c r="F1" s="183" t="s">
        <v>435</v>
      </c>
      <c r="G1" s="124" t="s">
        <v>431</v>
      </c>
      <c r="H1" s="181" t="s">
        <v>432</v>
      </c>
    </row>
    <row r="2" spans="1:8" s="4" customFormat="1" ht="21" customHeight="1" x14ac:dyDescent="0.15">
      <c r="A2" s="184">
        <v>847</v>
      </c>
      <c r="B2" s="185" t="str">
        <f>VLOOKUP(A2,[1]characters!$A:$C,3)</f>
        <v>傲慢なる堕天史 ルシファー</v>
      </c>
      <c r="C2" s="186">
        <v>1</v>
      </c>
      <c r="D2" s="186">
        <v>200</v>
      </c>
      <c r="E2" s="187" t="str">
        <f>IF(ISERROR(VLOOKUP(D2,[3]abilities!A:D,3,FALSE))=FALSE,VLOOKUP(D2,[3]abilities!A:D,3),IF(ISERROR(VLOOKUP(D2,[4]abilities!A:D,3,FALSE))=FALSE,VLOOKUP(D2,[4]abilities!A:D,3),"なし"))</f>
        <v>ウィルス無効</v>
      </c>
      <c r="F2" s="187" t="str">
        <f>IF(ISERROR(VLOOKUP(D2,[3]abilities!A:D,4,FALSE))=FALSE,VLOOKUP(D2,[3]abilities!A:D,4),IF(ISERROR(VLOOKUP(D2,[4]abilities!A:D,4,FALSE))=FALSE,VLOOKUP(D2,[4]abilities!A:D,4),"なし"))</f>
        <v>自身にかかるウィルスを無効化する</v>
      </c>
      <c r="G2" s="188" t="s">
        <v>436</v>
      </c>
      <c r="H2" s="189" t="s">
        <v>437</v>
      </c>
    </row>
    <row r="3" spans="1:8" s="4" customFormat="1" ht="21" customHeight="1" x14ac:dyDescent="0.15">
      <c r="A3" s="184">
        <v>847</v>
      </c>
      <c r="B3" s="185" t="str">
        <f>VLOOKUP(A3,[1]characters!$A:$C,3)</f>
        <v>傲慢なる堕天史 ルシファー</v>
      </c>
      <c r="C3" s="186">
        <v>2</v>
      </c>
      <c r="D3" s="186">
        <v>106</v>
      </c>
      <c r="E3" s="187" t="str">
        <f>IF(ISERROR(VLOOKUP(D3,[3]abilities!A:D,3,FALSE))=FALSE,VLOOKUP(D3,[3]abilities!A:D,3),IF(ISERROR(VLOOKUP(D3,[4]abilities!A:D,3,FALSE))=FALSE,VLOOKUP(D3,[4]abilities!A:D,3),"なし"))</f>
        <v>時限式ブレイク</v>
      </c>
      <c r="F3" s="187" t="str">
        <f>IF(ISERROR(VLOOKUP(D3,[3]abilities!A:D,4,FALSE))=FALSE,VLOOKUP(D3,[3]abilities!A:D,4),IF(ISERROR(VLOOKUP(D3,[4]abilities!A:D,4,FALSE))=FALSE,VLOOKUP(D3,[4]abilities!A:D,4),"なし"))</f>
        <v>自身が先頭の時、時限式ダメージパネルを破壊できる</v>
      </c>
      <c r="G3" s="188" t="s">
        <v>436</v>
      </c>
      <c r="H3" s="189" t="s">
        <v>438</v>
      </c>
    </row>
  </sheetData>
  <phoneticPr fontId="2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B19"/>
  <sheetViews>
    <sheetView workbookViewId="0">
      <selection activeCell="G17" sqref="G17"/>
    </sheetView>
  </sheetViews>
  <sheetFormatPr baseColWidth="12" defaultRowHeight="15" x14ac:dyDescent="0.15"/>
  <sheetData>
    <row r="1" spans="1:2" x14ac:dyDescent="0.15">
      <c r="A1" t="s">
        <v>402</v>
      </c>
      <c r="B1" t="s">
        <v>403</v>
      </c>
    </row>
    <row r="2" spans="1:2" x14ac:dyDescent="0.15">
      <c r="A2" t="s">
        <v>404</v>
      </c>
      <c r="B2">
        <v>1</v>
      </c>
    </row>
    <row r="3" spans="1:2" x14ac:dyDescent="0.15">
      <c r="A3" t="s">
        <v>405</v>
      </c>
      <c r="B3">
        <v>1</v>
      </c>
    </row>
    <row r="4" spans="1:2" x14ac:dyDescent="0.15">
      <c r="A4" t="s">
        <v>406</v>
      </c>
      <c r="B4">
        <v>1</v>
      </c>
    </row>
    <row r="5" spans="1:2" x14ac:dyDescent="0.15">
      <c r="A5" t="s">
        <v>407</v>
      </c>
      <c r="B5">
        <v>1</v>
      </c>
    </row>
    <row r="6" spans="1:2" x14ac:dyDescent="0.15">
      <c r="A6" t="s">
        <v>408</v>
      </c>
      <c r="B6">
        <v>1</v>
      </c>
    </row>
    <row r="7" spans="1:2" x14ac:dyDescent="0.15">
      <c r="A7" t="s">
        <v>409</v>
      </c>
      <c r="B7">
        <v>1</v>
      </c>
    </row>
    <row r="8" spans="1:2" x14ac:dyDescent="0.15">
      <c r="A8" t="s">
        <v>410</v>
      </c>
      <c r="B8">
        <v>1</v>
      </c>
    </row>
    <row r="9" spans="1:2" x14ac:dyDescent="0.15">
      <c r="A9" t="s">
        <v>411</v>
      </c>
      <c r="B9">
        <v>1</v>
      </c>
    </row>
    <row r="10" spans="1:2" x14ac:dyDescent="0.15">
      <c r="A10" t="s">
        <v>412</v>
      </c>
      <c r="B10">
        <v>1</v>
      </c>
    </row>
    <row r="11" spans="1:2" x14ac:dyDescent="0.15">
      <c r="A11" t="s">
        <v>413</v>
      </c>
      <c r="B11">
        <v>1</v>
      </c>
    </row>
    <row r="12" spans="1:2" x14ac:dyDescent="0.15">
      <c r="A12" t="s">
        <v>414</v>
      </c>
      <c r="B12">
        <v>1</v>
      </c>
    </row>
    <row r="13" spans="1:2" x14ac:dyDescent="0.15">
      <c r="A13" t="s">
        <v>415</v>
      </c>
      <c r="B13">
        <v>0</v>
      </c>
    </row>
    <row r="14" spans="1:2" x14ac:dyDescent="0.15">
      <c r="A14" t="s">
        <v>416</v>
      </c>
      <c r="B14">
        <v>500</v>
      </c>
    </row>
    <row r="15" spans="1:2" x14ac:dyDescent="0.15">
      <c r="A15" t="s">
        <v>417</v>
      </c>
      <c r="B15">
        <v>600</v>
      </c>
    </row>
    <row r="16" spans="1:2" x14ac:dyDescent="0.15">
      <c r="A16" t="s">
        <v>418</v>
      </c>
      <c r="B16">
        <v>700</v>
      </c>
    </row>
    <row r="17" spans="1:2" x14ac:dyDescent="0.15">
      <c r="A17" t="s">
        <v>419</v>
      </c>
      <c r="B17">
        <v>5500</v>
      </c>
    </row>
    <row r="18" spans="1:2" x14ac:dyDescent="0.15">
      <c r="A18" t="s">
        <v>420</v>
      </c>
      <c r="B18">
        <v>6000</v>
      </c>
    </row>
    <row r="19" spans="1:2" x14ac:dyDescent="0.15">
      <c r="A19" t="s">
        <v>421</v>
      </c>
      <c r="B19">
        <v>30000</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workbookViewId="0">
      <selection activeCell="F18" sqref="F18"/>
    </sheetView>
  </sheetViews>
  <sheetFormatPr baseColWidth="12" defaultColWidth="13" defaultRowHeight="21" customHeight="1" x14ac:dyDescent="0.15"/>
  <cols>
    <col min="1" max="1" width="13" style="4"/>
    <col min="2" max="16384" width="13" style="24"/>
  </cols>
  <sheetData>
    <row r="1" spans="1:9" s="4" customFormat="1" ht="21" customHeight="1" x14ac:dyDescent="0.15">
      <c r="A1" s="31" t="s">
        <v>232</v>
      </c>
      <c r="B1" s="33">
        <v>1</v>
      </c>
      <c r="C1" s="33">
        <v>2</v>
      </c>
      <c r="D1" s="33">
        <v>3</v>
      </c>
      <c r="E1" s="33">
        <v>4</v>
      </c>
      <c r="F1" s="33">
        <v>5</v>
      </c>
      <c r="G1" s="33">
        <v>6</v>
      </c>
      <c r="H1" s="33">
        <v>7</v>
      </c>
      <c r="I1" s="33">
        <v>8</v>
      </c>
    </row>
    <row r="2" spans="1:9" s="4" customFormat="1" ht="21" customHeight="1" x14ac:dyDescent="0.15">
      <c r="A2" s="147" t="s">
        <v>233</v>
      </c>
      <c r="B2" s="148"/>
      <c r="C2" s="149"/>
      <c r="D2" s="150" t="s">
        <v>234</v>
      </c>
      <c r="E2" s="150">
        <v>30</v>
      </c>
      <c r="F2" s="150">
        <v>40</v>
      </c>
      <c r="G2" s="150">
        <f>15+F2</f>
        <v>55</v>
      </c>
      <c r="H2" s="149"/>
      <c r="I2" s="149"/>
    </row>
    <row r="3" spans="1:9" s="4" customFormat="1" ht="21" customHeight="1" x14ac:dyDescent="0.15">
      <c r="A3" s="147" t="s">
        <v>235</v>
      </c>
      <c r="B3" s="151"/>
      <c r="C3" s="152"/>
      <c r="D3" s="153" t="s">
        <v>234</v>
      </c>
      <c r="E3" s="153">
        <v>25</v>
      </c>
      <c r="F3" s="153">
        <v>35</v>
      </c>
      <c r="G3" s="150">
        <f t="shared" ref="G3:G4" si="0">15+F3</f>
        <v>50</v>
      </c>
      <c r="H3" s="152"/>
      <c r="I3" s="152"/>
    </row>
    <row r="4" spans="1:9" s="4" customFormat="1" ht="21" customHeight="1" x14ac:dyDescent="0.15">
      <c r="A4" s="147" t="s">
        <v>236</v>
      </c>
      <c r="B4" s="154"/>
      <c r="C4" s="155"/>
      <c r="D4" s="156">
        <v>10</v>
      </c>
      <c r="E4" s="156">
        <v>20</v>
      </c>
      <c r="F4" s="156">
        <v>30</v>
      </c>
      <c r="G4" s="156">
        <f t="shared" si="0"/>
        <v>45</v>
      </c>
      <c r="H4" s="155"/>
      <c r="I4" s="155"/>
    </row>
    <row r="5" spans="1:9" s="4" customFormat="1" ht="21" customHeight="1" x14ac:dyDescent="0.15">
      <c r="A5" s="166" t="s">
        <v>237</v>
      </c>
      <c r="B5" s="161"/>
      <c r="C5" s="162"/>
      <c r="D5" s="29">
        <v>9</v>
      </c>
      <c r="E5" s="29">
        <v>18</v>
      </c>
      <c r="F5" s="29">
        <v>28</v>
      </c>
      <c r="G5" s="39">
        <v>38</v>
      </c>
      <c r="H5" s="162"/>
      <c r="I5" s="162"/>
    </row>
    <row r="6" spans="1:9" s="4" customFormat="1" ht="21" customHeight="1" x14ac:dyDescent="0.15">
      <c r="A6" s="166" t="s">
        <v>238</v>
      </c>
      <c r="B6" s="161"/>
      <c r="C6" s="162"/>
      <c r="D6" s="29">
        <v>7</v>
      </c>
      <c r="E6" s="29">
        <v>16</v>
      </c>
      <c r="F6" s="69" t="s">
        <v>11</v>
      </c>
      <c r="G6" s="69" t="s">
        <v>11</v>
      </c>
      <c r="H6" s="162"/>
      <c r="I6" s="162"/>
    </row>
    <row r="7" spans="1:9" ht="21" customHeight="1" x14ac:dyDescent="0.15">
      <c r="A7" s="74" t="s">
        <v>239</v>
      </c>
      <c r="B7" s="47" t="s">
        <v>11</v>
      </c>
      <c r="C7" s="47" t="s">
        <v>11</v>
      </c>
      <c r="D7" s="39" t="s">
        <v>234</v>
      </c>
      <c r="E7" s="39" t="s">
        <v>234</v>
      </c>
      <c r="F7" s="39" t="s">
        <v>234</v>
      </c>
      <c r="G7" s="39" t="s">
        <v>234</v>
      </c>
      <c r="H7" s="39" t="s">
        <v>234</v>
      </c>
      <c r="I7" s="39" t="s">
        <v>234</v>
      </c>
    </row>
    <row r="8" spans="1:9" ht="21" customHeight="1" x14ac:dyDescent="0.15">
      <c r="A8" s="75" t="s">
        <v>240</v>
      </c>
      <c r="B8" s="47" t="s">
        <v>11</v>
      </c>
      <c r="C8" s="47" t="s">
        <v>11</v>
      </c>
      <c r="D8" s="39" t="s">
        <v>234</v>
      </c>
      <c r="E8" s="39">
        <v>30</v>
      </c>
      <c r="F8" s="39">
        <v>40</v>
      </c>
      <c r="G8" s="39">
        <f>15+F8</f>
        <v>55</v>
      </c>
      <c r="H8" s="39" t="s">
        <v>234</v>
      </c>
      <c r="I8" s="39" t="s">
        <v>234</v>
      </c>
    </row>
    <row r="9" spans="1:9" s="46" customFormat="1" ht="21" customHeight="1" x14ac:dyDescent="0.15">
      <c r="A9" s="76" t="s">
        <v>241</v>
      </c>
      <c r="B9" s="29" t="s">
        <v>11</v>
      </c>
      <c r="C9" s="29" t="s">
        <v>11</v>
      </c>
      <c r="D9" s="106" t="s">
        <v>234</v>
      </c>
      <c r="E9" s="106">
        <v>25</v>
      </c>
      <c r="F9" s="106">
        <v>35</v>
      </c>
      <c r="G9" s="39">
        <f t="shared" ref="G9:G10" si="1">15+F9</f>
        <v>50</v>
      </c>
      <c r="H9" s="106" t="s">
        <v>234</v>
      </c>
      <c r="I9" s="106" t="s">
        <v>234</v>
      </c>
    </row>
    <row r="10" spans="1:9" ht="21" customHeight="1" x14ac:dyDescent="0.15">
      <c r="A10" s="76" t="s">
        <v>9</v>
      </c>
      <c r="B10" s="69" t="s">
        <v>11</v>
      </c>
      <c r="C10" s="69" t="s">
        <v>11</v>
      </c>
      <c r="D10" s="29">
        <v>10</v>
      </c>
      <c r="E10" s="29">
        <v>20</v>
      </c>
      <c r="F10" s="29">
        <v>30</v>
      </c>
      <c r="G10" s="39">
        <f t="shared" si="1"/>
        <v>45</v>
      </c>
      <c r="H10" s="69" t="s">
        <v>11</v>
      </c>
      <c r="I10" s="69" t="s">
        <v>11</v>
      </c>
    </row>
    <row r="11" spans="1:9" ht="21" customHeight="1" x14ac:dyDescent="0.15">
      <c r="A11" s="76" t="s">
        <v>242</v>
      </c>
      <c r="B11" s="69" t="s">
        <v>11</v>
      </c>
      <c r="C11" s="69" t="s">
        <v>11</v>
      </c>
      <c r="D11" s="29">
        <v>9</v>
      </c>
      <c r="E11" s="29">
        <v>18</v>
      </c>
      <c r="F11" s="29">
        <v>28</v>
      </c>
      <c r="G11" s="39">
        <v>38</v>
      </c>
      <c r="H11" s="69" t="s">
        <v>11</v>
      </c>
      <c r="I11" s="69" t="s">
        <v>11</v>
      </c>
    </row>
    <row r="12" spans="1:9" ht="21" customHeight="1" x14ac:dyDescent="0.15">
      <c r="A12" s="76" t="s">
        <v>243</v>
      </c>
      <c r="B12" s="69" t="s">
        <v>11</v>
      </c>
      <c r="C12" s="69" t="s">
        <v>11</v>
      </c>
      <c r="D12" s="29">
        <v>7</v>
      </c>
      <c r="E12" s="29">
        <v>16</v>
      </c>
      <c r="F12" s="69" t="s">
        <v>11</v>
      </c>
      <c r="G12" s="69" t="s">
        <v>11</v>
      </c>
      <c r="H12" s="69" t="s">
        <v>11</v>
      </c>
      <c r="I12" s="69" t="s">
        <v>11</v>
      </c>
    </row>
    <row r="13" spans="1:9" ht="21" customHeight="1" x14ac:dyDescent="0.15">
      <c r="A13" s="105" t="s">
        <v>244</v>
      </c>
      <c r="B13" s="69" t="s">
        <v>11</v>
      </c>
      <c r="C13" s="69" t="s">
        <v>11</v>
      </c>
      <c r="D13" s="29">
        <v>8</v>
      </c>
      <c r="E13" s="29">
        <v>17</v>
      </c>
      <c r="F13" s="29">
        <v>26</v>
      </c>
      <c r="G13" s="69" t="s">
        <v>11</v>
      </c>
      <c r="H13" s="69" t="s">
        <v>11</v>
      </c>
      <c r="I13" s="69" t="s">
        <v>11</v>
      </c>
    </row>
    <row r="14" spans="1:9" ht="21" customHeight="1" x14ac:dyDescent="0.15">
      <c r="A14" s="76" t="s">
        <v>245</v>
      </c>
      <c r="B14" s="69" t="s">
        <v>11</v>
      </c>
      <c r="C14" s="69" t="s">
        <v>11</v>
      </c>
      <c r="D14" s="29">
        <v>8</v>
      </c>
      <c r="E14" s="29">
        <v>17</v>
      </c>
      <c r="F14" s="29">
        <v>26</v>
      </c>
      <c r="G14" s="69" t="s">
        <v>11</v>
      </c>
      <c r="H14" s="69" t="s">
        <v>11</v>
      </c>
      <c r="I14" s="69" t="s">
        <v>11</v>
      </c>
    </row>
    <row r="15" spans="1:9" ht="21" customHeight="1" x14ac:dyDescent="0.15">
      <c r="A15" s="76" t="s">
        <v>246</v>
      </c>
      <c r="B15" s="69" t="s">
        <v>11</v>
      </c>
      <c r="C15" s="69" t="s">
        <v>11</v>
      </c>
      <c r="D15" s="29">
        <v>6</v>
      </c>
      <c r="E15" s="29">
        <v>14</v>
      </c>
      <c r="F15" s="69" t="s">
        <v>11</v>
      </c>
      <c r="G15" s="69" t="s">
        <v>11</v>
      </c>
      <c r="H15" s="69" t="s">
        <v>11</v>
      </c>
      <c r="I15" s="69" t="s">
        <v>11</v>
      </c>
    </row>
    <row r="16" spans="1:9" ht="21" customHeight="1" x14ac:dyDescent="0.15">
      <c r="A16" s="76" t="s">
        <v>247</v>
      </c>
      <c r="B16" s="69" t="s">
        <v>11</v>
      </c>
      <c r="C16" s="29">
        <v>4</v>
      </c>
      <c r="D16" s="29">
        <v>6</v>
      </c>
      <c r="E16" s="29">
        <v>14</v>
      </c>
      <c r="F16" s="69" t="s">
        <v>11</v>
      </c>
      <c r="G16" s="69" t="s">
        <v>11</v>
      </c>
      <c r="H16" s="69" t="s">
        <v>11</v>
      </c>
      <c r="I16" s="69" t="s">
        <v>11</v>
      </c>
    </row>
    <row r="17" spans="1:9" ht="21" customHeight="1" x14ac:dyDescent="0.15">
      <c r="A17" s="76" t="s">
        <v>8</v>
      </c>
      <c r="B17" s="29">
        <v>2</v>
      </c>
      <c r="C17" s="29">
        <v>4</v>
      </c>
      <c r="D17" s="29">
        <v>6</v>
      </c>
      <c r="E17" s="69" t="s">
        <v>11</v>
      </c>
      <c r="F17" s="69" t="s">
        <v>11</v>
      </c>
      <c r="G17" s="69" t="s">
        <v>11</v>
      </c>
      <c r="H17" s="69" t="s">
        <v>11</v>
      </c>
      <c r="I17" s="69" t="s">
        <v>11</v>
      </c>
    </row>
    <row r="18" spans="1:9" ht="21" customHeight="1" x14ac:dyDescent="0.15">
      <c r="A18" s="77" t="s">
        <v>7</v>
      </c>
      <c r="B18" s="32">
        <v>1</v>
      </c>
      <c r="C18" s="32">
        <v>2</v>
      </c>
      <c r="D18" s="70" t="s">
        <v>11</v>
      </c>
      <c r="E18" s="70" t="s">
        <v>11</v>
      </c>
      <c r="F18" s="70" t="s">
        <v>11</v>
      </c>
      <c r="G18" s="70" t="s">
        <v>11</v>
      </c>
      <c r="H18" s="70" t="s">
        <v>11</v>
      </c>
      <c r="I18" s="70" t="s">
        <v>11</v>
      </c>
    </row>
    <row r="19" spans="1:9" ht="21" customHeight="1" x14ac:dyDescent="0.15">
      <c r="A19" s="78" t="s">
        <v>248</v>
      </c>
      <c r="B19" s="27">
        <v>1</v>
      </c>
      <c r="C19" s="27">
        <v>1</v>
      </c>
      <c r="D19" s="70" t="s">
        <v>11</v>
      </c>
      <c r="E19" s="70" t="s">
        <v>11</v>
      </c>
      <c r="F19" s="70" t="s">
        <v>11</v>
      </c>
      <c r="G19" s="70" t="s">
        <v>11</v>
      </c>
      <c r="H19" s="70" t="s">
        <v>11</v>
      </c>
      <c r="I19" s="70" t="s">
        <v>11</v>
      </c>
    </row>
    <row r="20" spans="1:9" ht="21" customHeight="1" x14ac:dyDescent="0.15">
      <c r="A20" s="38" t="s">
        <v>249</v>
      </c>
      <c r="B20" s="37">
        <v>99</v>
      </c>
      <c r="C20" s="37">
        <v>99</v>
      </c>
      <c r="D20" s="37">
        <v>99</v>
      </c>
      <c r="E20" s="37">
        <v>99</v>
      </c>
      <c r="F20" s="37">
        <v>99</v>
      </c>
      <c r="G20" s="37">
        <v>99</v>
      </c>
      <c r="H20" s="37">
        <v>99</v>
      </c>
      <c r="I20" s="37">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I24" sqref="I24"/>
    </sheetView>
  </sheetViews>
  <sheetFormatPr baseColWidth="12" defaultColWidth="13" defaultRowHeight="21" customHeight="1" x14ac:dyDescent="0.15"/>
  <cols>
    <col min="1" max="1" width="13" style="4"/>
    <col min="2" max="16384" width="13" style="24"/>
  </cols>
  <sheetData>
    <row r="1" spans="1:9" ht="21" customHeight="1" x14ac:dyDescent="0.15">
      <c r="A1" s="33" t="s">
        <v>10</v>
      </c>
      <c r="B1" s="23">
        <v>1</v>
      </c>
      <c r="C1" s="23">
        <v>2</v>
      </c>
      <c r="D1" s="23">
        <v>3</v>
      </c>
      <c r="E1" s="23">
        <v>4</v>
      </c>
      <c r="F1" s="23">
        <v>5</v>
      </c>
      <c r="G1" s="23">
        <v>6</v>
      </c>
      <c r="H1" s="23">
        <v>7</v>
      </c>
      <c r="I1" s="23">
        <v>8</v>
      </c>
    </row>
    <row r="2" spans="1:9" s="4" customFormat="1" ht="21" customHeight="1" x14ac:dyDescent="0.15">
      <c r="A2" s="147" t="s">
        <v>233</v>
      </c>
      <c r="B2" s="163"/>
      <c r="C2" s="149"/>
      <c r="D2" s="157" t="s">
        <v>109</v>
      </c>
      <c r="E2" s="157">
        <v>60</v>
      </c>
      <c r="F2" s="157">
        <v>80</v>
      </c>
      <c r="G2" s="157">
        <v>99</v>
      </c>
      <c r="H2" s="149"/>
      <c r="I2" s="149"/>
    </row>
    <row r="3" spans="1:9" s="4" customFormat="1" ht="21" customHeight="1" x14ac:dyDescent="0.15">
      <c r="A3" s="147" t="s">
        <v>235</v>
      </c>
      <c r="B3" s="164"/>
      <c r="C3" s="152"/>
      <c r="D3" s="157" t="s">
        <v>109</v>
      </c>
      <c r="E3" s="157">
        <v>60</v>
      </c>
      <c r="F3" s="157">
        <v>80</v>
      </c>
      <c r="G3" s="157">
        <v>99</v>
      </c>
      <c r="H3" s="152"/>
      <c r="I3" s="152"/>
    </row>
    <row r="4" spans="1:9" s="4" customFormat="1" ht="21" customHeight="1" x14ac:dyDescent="0.15">
      <c r="A4" s="147" t="s">
        <v>229</v>
      </c>
      <c r="B4" s="165"/>
      <c r="C4" s="155"/>
      <c r="D4" s="157">
        <v>40</v>
      </c>
      <c r="E4" s="157">
        <v>60</v>
      </c>
      <c r="F4" s="157">
        <v>80</v>
      </c>
      <c r="G4" s="157">
        <v>99</v>
      </c>
      <c r="H4" s="155"/>
      <c r="I4" s="155"/>
    </row>
    <row r="5" spans="1:9" s="4" customFormat="1" ht="21" customHeight="1" x14ac:dyDescent="0.15">
      <c r="A5" s="166" t="s">
        <v>237</v>
      </c>
      <c r="B5" s="161"/>
      <c r="C5" s="162"/>
      <c r="D5" s="157">
        <v>40</v>
      </c>
      <c r="E5" s="157">
        <v>60</v>
      </c>
      <c r="F5" s="157">
        <v>80</v>
      </c>
      <c r="G5" s="157">
        <v>99</v>
      </c>
      <c r="H5" s="162"/>
      <c r="I5" s="162"/>
    </row>
    <row r="6" spans="1:9" s="4" customFormat="1" ht="21" customHeight="1" x14ac:dyDescent="0.15">
      <c r="A6" s="166" t="s">
        <v>238</v>
      </c>
      <c r="B6" s="161"/>
      <c r="C6" s="162"/>
      <c r="D6" s="157">
        <v>40</v>
      </c>
      <c r="E6" s="157">
        <v>60</v>
      </c>
      <c r="F6" s="157" t="s">
        <v>109</v>
      </c>
      <c r="G6" s="157" t="s">
        <v>109</v>
      </c>
      <c r="H6" s="162"/>
      <c r="I6" s="162"/>
    </row>
    <row r="7" spans="1:9" ht="21" customHeight="1" x14ac:dyDescent="0.15">
      <c r="A7" s="74" t="s">
        <v>205</v>
      </c>
      <c r="B7" s="40" t="s">
        <v>109</v>
      </c>
      <c r="C7" s="40" t="s">
        <v>109</v>
      </c>
      <c r="D7" s="40" t="s">
        <v>109</v>
      </c>
      <c r="E7" s="40" t="s">
        <v>109</v>
      </c>
      <c r="F7" s="40" t="s">
        <v>109</v>
      </c>
      <c r="G7" s="40" t="s">
        <v>109</v>
      </c>
      <c r="H7" s="40" t="s">
        <v>109</v>
      </c>
      <c r="I7" s="40" t="s">
        <v>109</v>
      </c>
    </row>
    <row r="8" spans="1:9" ht="21" customHeight="1" x14ac:dyDescent="0.15">
      <c r="A8" s="75" t="s">
        <v>240</v>
      </c>
      <c r="B8" s="40" t="s">
        <v>109</v>
      </c>
      <c r="C8" s="40" t="s">
        <v>109</v>
      </c>
      <c r="D8" s="40" t="s">
        <v>109</v>
      </c>
      <c r="E8" s="40">
        <v>60</v>
      </c>
      <c r="F8" s="40">
        <v>80</v>
      </c>
      <c r="G8" s="40">
        <v>99</v>
      </c>
      <c r="H8" s="40" t="s">
        <v>109</v>
      </c>
      <c r="I8" s="40" t="s">
        <v>109</v>
      </c>
    </row>
    <row r="9" spans="1:9" s="46" customFormat="1" ht="21" customHeight="1" x14ac:dyDescent="0.15">
      <c r="A9" s="76" t="s">
        <v>241</v>
      </c>
      <c r="B9" s="66" t="s">
        <v>109</v>
      </c>
      <c r="C9" s="66" t="s">
        <v>109</v>
      </c>
      <c r="D9" s="66" t="s">
        <v>109</v>
      </c>
      <c r="E9" s="66">
        <v>60</v>
      </c>
      <c r="F9" s="66">
        <v>80</v>
      </c>
      <c r="G9" s="66">
        <v>99</v>
      </c>
      <c r="H9" s="66" t="s">
        <v>109</v>
      </c>
      <c r="I9" s="66" t="s">
        <v>109</v>
      </c>
    </row>
    <row r="10" spans="1:9" ht="21" customHeight="1" x14ac:dyDescent="0.15">
      <c r="A10" s="76" t="s">
        <v>9</v>
      </c>
      <c r="B10" s="71" t="s">
        <v>109</v>
      </c>
      <c r="C10" s="71" t="s">
        <v>109</v>
      </c>
      <c r="D10" s="37">
        <v>40</v>
      </c>
      <c r="E10" s="37">
        <v>60</v>
      </c>
      <c r="F10" s="37">
        <v>80</v>
      </c>
      <c r="G10" s="40">
        <v>99</v>
      </c>
      <c r="H10" s="71" t="s">
        <v>109</v>
      </c>
      <c r="I10" s="71" t="s">
        <v>109</v>
      </c>
    </row>
    <row r="11" spans="1:9" ht="21" customHeight="1" x14ac:dyDescent="0.15">
      <c r="A11" s="76" t="s">
        <v>208</v>
      </c>
      <c r="B11" s="71" t="s">
        <v>109</v>
      </c>
      <c r="C11" s="71" t="s">
        <v>109</v>
      </c>
      <c r="D11" s="37">
        <v>40</v>
      </c>
      <c r="E11" s="37">
        <v>60</v>
      </c>
      <c r="F11" s="37">
        <v>80</v>
      </c>
      <c r="G11" s="66">
        <v>99</v>
      </c>
      <c r="H11" s="71" t="s">
        <v>109</v>
      </c>
      <c r="I11" s="71" t="s">
        <v>109</v>
      </c>
    </row>
    <row r="12" spans="1:9" ht="21" customHeight="1" x14ac:dyDescent="0.15">
      <c r="A12" s="76" t="s">
        <v>204</v>
      </c>
      <c r="B12" s="71" t="s">
        <v>109</v>
      </c>
      <c r="C12" s="71" t="s">
        <v>109</v>
      </c>
      <c r="D12" s="37">
        <v>40</v>
      </c>
      <c r="E12" s="37">
        <v>60</v>
      </c>
      <c r="F12" s="71" t="s">
        <v>109</v>
      </c>
      <c r="G12" s="71" t="s">
        <v>109</v>
      </c>
      <c r="H12" s="71" t="s">
        <v>109</v>
      </c>
      <c r="I12" s="71" t="s">
        <v>109</v>
      </c>
    </row>
    <row r="13" spans="1:9" ht="21" customHeight="1" x14ac:dyDescent="0.15">
      <c r="A13" s="105" t="s">
        <v>244</v>
      </c>
      <c r="B13" s="71" t="s">
        <v>109</v>
      </c>
      <c r="C13" s="71" t="s">
        <v>109</v>
      </c>
      <c r="D13" s="37">
        <v>40</v>
      </c>
      <c r="E13" s="37">
        <v>60</v>
      </c>
      <c r="F13" s="37">
        <v>80</v>
      </c>
      <c r="G13" s="71" t="s">
        <v>109</v>
      </c>
      <c r="H13" s="71" t="s">
        <v>109</v>
      </c>
      <c r="I13" s="71" t="s">
        <v>109</v>
      </c>
    </row>
    <row r="14" spans="1:9" ht="21" customHeight="1" x14ac:dyDescent="0.15">
      <c r="A14" s="76" t="s">
        <v>245</v>
      </c>
      <c r="B14" s="71" t="s">
        <v>109</v>
      </c>
      <c r="C14" s="71" t="s">
        <v>109</v>
      </c>
      <c r="D14" s="37">
        <v>40</v>
      </c>
      <c r="E14" s="37">
        <v>60</v>
      </c>
      <c r="F14" s="37">
        <v>80</v>
      </c>
      <c r="G14" s="71" t="s">
        <v>109</v>
      </c>
      <c r="H14" s="71" t="s">
        <v>109</v>
      </c>
      <c r="I14" s="71" t="s">
        <v>109</v>
      </c>
    </row>
    <row r="15" spans="1:9" ht="21" customHeight="1" x14ac:dyDescent="0.15">
      <c r="A15" s="76" t="s">
        <v>105</v>
      </c>
      <c r="B15" s="71" t="s">
        <v>109</v>
      </c>
      <c r="C15" s="37">
        <v>30</v>
      </c>
      <c r="D15" s="37">
        <v>40</v>
      </c>
      <c r="E15" s="37">
        <v>60</v>
      </c>
      <c r="F15" s="71" t="s">
        <v>109</v>
      </c>
      <c r="G15" s="71" t="s">
        <v>109</v>
      </c>
      <c r="H15" s="71" t="s">
        <v>109</v>
      </c>
      <c r="I15" s="71" t="s">
        <v>109</v>
      </c>
    </row>
    <row r="16" spans="1:9" ht="21" customHeight="1" x14ac:dyDescent="0.15">
      <c r="A16" s="76" t="s">
        <v>247</v>
      </c>
      <c r="B16" s="71" t="s">
        <v>109</v>
      </c>
      <c r="C16" s="37">
        <v>30</v>
      </c>
      <c r="D16" s="37">
        <v>40</v>
      </c>
      <c r="E16" s="37">
        <v>60</v>
      </c>
      <c r="F16" s="71" t="s">
        <v>109</v>
      </c>
      <c r="G16" s="71" t="s">
        <v>109</v>
      </c>
      <c r="H16" s="71" t="s">
        <v>109</v>
      </c>
      <c r="I16" s="71" t="s">
        <v>109</v>
      </c>
    </row>
    <row r="17" spans="1:9" ht="21" customHeight="1" x14ac:dyDescent="0.15">
      <c r="A17" s="76" t="s">
        <v>8</v>
      </c>
      <c r="B17" s="37">
        <v>15</v>
      </c>
      <c r="C17" s="37">
        <v>30</v>
      </c>
      <c r="D17" s="37">
        <v>40</v>
      </c>
      <c r="E17" s="71" t="s">
        <v>109</v>
      </c>
      <c r="F17" s="71" t="s">
        <v>109</v>
      </c>
      <c r="G17" s="71" t="s">
        <v>109</v>
      </c>
      <c r="H17" s="71" t="s">
        <v>109</v>
      </c>
      <c r="I17" s="71" t="s">
        <v>109</v>
      </c>
    </row>
    <row r="18" spans="1:9" ht="21" customHeight="1" x14ac:dyDescent="0.15">
      <c r="A18" s="77" t="s">
        <v>7</v>
      </c>
      <c r="B18" s="37">
        <v>15</v>
      </c>
      <c r="C18" s="37">
        <v>30</v>
      </c>
      <c r="D18" s="37">
        <v>40</v>
      </c>
      <c r="E18" s="71" t="s">
        <v>214</v>
      </c>
      <c r="F18" s="71" t="s">
        <v>214</v>
      </c>
      <c r="G18" s="71" t="s">
        <v>214</v>
      </c>
      <c r="H18" s="71" t="s">
        <v>214</v>
      </c>
      <c r="I18" s="71" t="s">
        <v>214</v>
      </c>
    </row>
    <row r="19" spans="1:9" ht="21" customHeight="1" x14ac:dyDescent="0.15">
      <c r="A19" s="78" t="s">
        <v>248</v>
      </c>
      <c r="B19" s="37">
        <v>10</v>
      </c>
      <c r="C19" s="37">
        <v>20</v>
      </c>
      <c r="D19" s="71" t="s">
        <v>214</v>
      </c>
      <c r="E19" s="71" t="s">
        <v>214</v>
      </c>
      <c r="F19" s="71" t="s">
        <v>214</v>
      </c>
      <c r="G19" s="71" t="s">
        <v>214</v>
      </c>
      <c r="H19" s="71" t="s">
        <v>214</v>
      </c>
      <c r="I19" s="71" t="s">
        <v>214</v>
      </c>
    </row>
    <row r="20" spans="1:9" ht="21" customHeight="1" x14ac:dyDescent="0.15">
      <c r="A20" s="38" t="s">
        <v>249</v>
      </c>
      <c r="B20" s="37">
        <v>1</v>
      </c>
      <c r="C20" s="37">
        <v>1</v>
      </c>
      <c r="D20" s="37">
        <v>1</v>
      </c>
      <c r="E20" s="37">
        <v>1</v>
      </c>
      <c r="F20" s="37">
        <v>1</v>
      </c>
      <c r="G20" s="37">
        <v>1</v>
      </c>
      <c r="H20" s="37">
        <v>1</v>
      </c>
      <c r="I20" s="37">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H23" sqref="H23"/>
    </sheetView>
  </sheetViews>
  <sheetFormatPr baseColWidth="12" defaultColWidth="13" defaultRowHeight="21" customHeight="1" x14ac:dyDescent="0.15"/>
  <cols>
    <col min="1" max="16384" width="13" style="24"/>
  </cols>
  <sheetData>
    <row r="1" spans="1:11" ht="21" customHeight="1" x14ac:dyDescent="0.15">
      <c r="A1" s="49" t="s">
        <v>10</v>
      </c>
      <c r="B1" s="50">
        <v>1</v>
      </c>
      <c r="C1" s="50">
        <v>2</v>
      </c>
      <c r="D1" s="50">
        <v>3</v>
      </c>
      <c r="E1" s="50">
        <v>4</v>
      </c>
      <c r="F1" s="50">
        <v>5</v>
      </c>
      <c r="G1" s="50">
        <v>6</v>
      </c>
      <c r="H1" s="50">
        <v>7</v>
      </c>
      <c r="I1" s="50">
        <v>8</v>
      </c>
    </row>
    <row r="2" spans="1:11" s="4" customFormat="1" ht="21" customHeight="1" x14ac:dyDescent="0.15">
      <c r="A2" s="147" t="s">
        <v>233</v>
      </c>
      <c r="B2" s="148"/>
      <c r="C2" s="149"/>
      <c r="D2" s="157" t="s">
        <v>109</v>
      </c>
      <c r="E2" s="158" t="s">
        <v>59</v>
      </c>
      <c r="F2" s="158" t="s">
        <v>59</v>
      </c>
      <c r="G2" s="158" t="s">
        <v>250</v>
      </c>
      <c r="H2" s="149"/>
      <c r="I2" s="149"/>
    </row>
    <row r="3" spans="1:11" s="4" customFormat="1" ht="21" customHeight="1" x14ac:dyDescent="0.15">
      <c r="A3" s="147" t="s">
        <v>235</v>
      </c>
      <c r="B3" s="151"/>
      <c r="C3" s="152"/>
      <c r="D3" s="158" t="s">
        <v>59</v>
      </c>
      <c r="E3" s="158" t="s">
        <v>59</v>
      </c>
      <c r="F3" s="158" t="s">
        <v>59</v>
      </c>
      <c r="G3" s="158" t="s">
        <v>228</v>
      </c>
      <c r="H3" s="152"/>
      <c r="I3" s="152"/>
    </row>
    <row r="4" spans="1:11" s="4" customFormat="1" ht="21" customHeight="1" x14ac:dyDescent="0.15">
      <c r="A4" s="147" t="s">
        <v>229</v>
      </c>
      <c r="B4" s="154"/>
      <c r="C4" s="155"/>
      <c r="D4" s="159" t="s">
        <v>59</v>
      </c>
      <c r="E4" s="159" t="s">
        <v>59</v>
      </c>
      <c r="F4" s="159" t="s">
        <v>59</v>
      </c>
      <c r="G4" s="158" t="s">
        <v>228</v>
      </c>
      <c r="H4" s="155"/>
      <c r="I4" s="155"/>
    </row>
    <row r="5" spans="1:11" s="4" customFormat="1" ht="21" customHeight="1" x14ac:dyDescent="0.15">
      <c r="A5" s="166" t="s">
        <v>237</v>
      </c>
      <c r="B5" s="161"/>
      <c r="C5" s="162"/>
      <c r="D5" s="159" t="s">
        <v>59</v>
      </c>
      <c r="E5" s="159" t="s">
        <v>59</v>
      </c>
      <c r="F5" s="159" t="s">
        <v>59</v>
      </c>
      <c r="G5" s="158" t="s">
        <v>218</v>
      </c>
      <c r="H5" s="162"/>
      <c r="I5" s="162"/>
    </row>
    <row r="6" spans="1:11" s="4" customFormat="1" ht="21" customHeight="1" x14ac:dyDescent="0.15">
      <c r="A6" s="166" t="s">
        <v>238</v>
      </c>
      <c r="B6" s="161"/>
      <c r="C6" s="162"/>
      <c r="D6" s="167" t="s">
        <v>60</v>
      </c>
      <c r="E6" s="167" t="s">
        <v>60</v>
      </c>
      <c r="F6" s="157" t="s">
        <v>109</v>
      </c>
      <c r="G6" s="157" t="s">
        <v>109</v>
      </c>
      <c r="H6" s="162"/>
      <c r="I6" s="162"/>
    </row>
    <row r="7" spans="1:11" ht="21" customHeight="1" x14ac:dyDescent="0.15">
      <c r="A7" s="74" t="s">
        <v>205</v>
      </c>
      <c r="B7" s="40" t="s">
        <v>109</v>
      </c>
      <c r="C7" s="40" t="s">
        <v>109</v>
      </c>
      <c r="D7" s="40" t="s">
        <v>109</v>
      </c>
      <c r="E7" s="40" t="s">
        <v>109</v>
      </c>
      <c r="F7" s="40" t="s">
        <v>109</v>
      </c>
      <c r="G7" s="40" t="s">
        <v>109</v>
      </c>
      <c r="H7" s="40" t="s">
        <v>109</v>
      </c>
      <c r="I7" s="40" t="s">
        <v>109</v>
      </c>
    </row>
    <row r="8" spans="1:11" ht="21" customHeight="1" x14ac:dyDescent="0.15">
      <c r="A8" s="75" t="s">
        <v>240</v>
      </c>
      <c r="B8" s="40" t="s">
        <v>109</v>
      </c>
      <c r="C8" s="40" t="s">
        <v>109</v>
      </c>
      <c r="D8" s="40" t="s">
        <v>215</v>
      </c>
      <c r="E8" s="52" t="s">
        <v>115</v>
      </c>
      <c r="F8" s="52" t="s">
        <v>115</v>
      </c>
      <c r="G8" s="52" t="s">
        <v>216</v>
      </c>
      <c r="H8" s="40" t="s">
        <v>215</v>
      </c>
      <c r="I8" s="40" t="s">
        <v>109</v>
      </c>
    </row>
    <row r="9" spans="1:11" s="46" customFormat="1" ht="21" customHeight="1" x14ac:dyDescent="0.15">
      <c r="A9" s="76" t="s">
        <v>241</v>
      </c>
      <c r="B9" s="66" t="s">
        <v>109</v>
      </c>
      <c r="C9" s="66" t="s">
        <v>109</v>
      </c>
      <c r="D9" s="66" t="s">
        <v>109</v>
      </c>
      <c r="E9" s="52" t="s">
        <v>59</v>
      </c>
      <c r="F9" s="52" t="s">
        <v>59</v>
      </c>
      <c r="G9" s="52" t="s">
        <v>115</v>
      </c>
      <c r="H9" s="66" t="s">
        <v>217</v>
      </c>
      <c r="I9" s="66" t="s">
        <v>217</v>
      </c>
    </row>
    <row r="10" spans="1:11" ht="21" customHeight="1" x14ac:dyDescent="0.15">
      <c r="A10" s="76" t="s">
        <v>9</v>
      </c>
      <c r="B10" s="71" t="s">
        <v>109</v>
      </c>
      <c r="C10" s="71" t="s">
        <v>109</v>
      </c>
      <c r="D10" s="52" t="s">
        <v>59</v>
      </c>
      <c r="E10" s="52" t="s">
        <v>59</v>
      </c>
      <c r="F10" s="52" t="s">
        <v>59</v>
      </c>
      <c r="G10" s="52" t="s">
        <v>218</v>
      </c>
      <c r="H10" s="71" t="s">
        <v>217</v>
      </c>
      <c r="I10" s="71" t="s">
        <v>217</v>
      </c>
      <c r="K10" s="28" t="s">
        <v>12</v>
      </c>
    </row>
    <row r="11" spans="1:11" ht="21" customHeight="1" x14ac:dyDescent="0.15">
      <c r="A11" s="76" t="s">
        <v>208</v>
      </c>
      <c r="B11" s="71" t="s">
        <v>109</v>
      </c>
      <c r="C11" s="71" t="s">
        <v>109</v>
      </c>
      <c r="D11" s="53" t="s">
        <v>59</v>
      </c>
      <c r="E11" s="53" t="s">
        <v>59</v>
      </c>
      <c r="F11" s="53" t="s">
        <v>59</v>
      </c>
      <c r="G11" s="52" t="s">
        <v>218</v>
      </c>
      <c r="H11" s="71" t="s">
        <v>217</v>
      </c>
      <c r="I11" s="71" t="s">
        <v>217</v>
      </c>
      <c r="K11" s="30" t="s">
        <v>13</v>
      </c>
    </row>
    <row r="12" spans="1:11" ht="21" customHeight="1" x14ac:dyDescent="0.15">
      <c r="A12" s="76" t="s">
        <v>204</v>
      </c>
      <c r="B12" s="71" t="s">
        <v>109</v>
      </c>
      <c r="C12" s="71" t="s">
        <v>109</v>
      </c>
      <c r="D12" s="54" t="s">
        <v>60</v>
      </c>
      <c r="E12" s="54" t="s">
        <v>60</v>
      </c>
      <c r="F12" s="71" t="s">
        <v>109</v>
      </c>
      <c r="G12" s="71" t="s">
        <v>109</v>
      </c>
      <c r="H12" s="71" t="s">
        <v>109</v>
      </c>
      <c r="I12" s="71" t="s">
        <v>109</v>
      </c>
      <c r="K12" s="72" t="s">
        <v>35</v>
      </c>
    </row>
    <row r="13" spans="1:11" ht="21" customHeight="1" x14ac:dyDescent="0.15">
      <c r="A13" s="105" t="s">
        <v>244</v>
      </c>
      <c r="B13" s="71" t="s">
        <v>109</v>
      </c>
      <c r="C13" s="71" t="s">
        <v>109</v>
      </c>
      <c r="D13" s="55" t="s">
        <v>59</v>
      </c>
      <c r="E13" s="55" t="s">
        <v>59</v>
      </c>
      <c r="F13" s="55" t="s">
        <v>59</v>
      </c>
      <c r="G13" s="71" t="s">
        <v>109</v>
      </c>
      <c r="H13" s="71" t="s">
        <v>109</v>
      </c>
      <c r="I13" s="71" t="s">
        <v>109</v>
      </c>
      <c r="K13" s="73"/>
    </row>
    <row r="14" spans="1:11" ht="21" customHeight="1" x14ac:dyDescent="0.15">
      <c r="A14" s="76" t="s">
        <v>245</v>
      </c>
      <c r="B14" s="71" t="s">
        <v>109</v>
      </c>
      <c r="C14" s="71" t="s">
        <v>109</v>
      </c>
      <c r="D14" s="55" t="s">
        <v>59</v>
      </c>
      <c r="E14" s="55" t="s">
        <v>59</v>
      </c>
      <c r="F14" s="55" t="s">
        <v>59</v>
      </c>
      <c r="G14" s="71" t="s">
        <v>109</v>
      </c>
      <c r="H14" s="71" t="s">
        <v>109</v>
      </c>
      <c r="I14" s="71" t="s">
        <v>109</v>
      </c>
    </row>
    <row r="15" spans="1:11" ht="21" customHeight="1" x14ac:dyDescent="0.15">
      <c r="A15" s="76" t="s">
        <v>105</v>
      </c>
      <c r="B15" s="71" t="s">
        <v>109</v>
      </c>
      <c r="C15" s="71" t="s">
        <v>109</v>
      </c>
      <c r="D15" s="55" t="s">
        <v>60</v>
      </c>
      <c r="E15" s="55" t="s">
        <v>60</v>
      </c>
      <c r="F15" s="71" t="s">
        <v>109</v>
      </c>
      <c r="G15" s="71" t="s">
        <v>109</v>
      </c>
      <c r="H15" s="71" t="s">
        <v>109</v>
      </c>
      <c r="I15" s="71" t="s">
        <v>109</v>
      </c>
    </row>
    <row r="16" spans="1:11" ht="21" customHeight="1" x14ac:dyDescent="0.15">
      <c r="A16" s="76" t="s">
        <v>247</v>
      </c>
      <c r="B16" s="71" t="s">
        <v>109</v>
      </c>
      <c r="C16" s="55" t="s">
        <v>60</v>
      </c>
      <c r="D16" s="55" t="s">
        <v>60</v>
      </c>
      <c r="E16" s="55" t="s">
        <v>60</v>
      </c>
      <c r="F16" s="71" t="s">
        <v>109</v>
      </c>
      <c r="G16" s="71" t="s">
        <v>109</v>
      </c>
      <c r="H16" s="71" t="s">
        <v>109</v>
      </c>
      <c r="I16" s="71" t="s">
        <v>109</v>
      </c>
    </row>
    <row r="17" spans="1:9" ht="21" customHeight="1" x14ac:dyDescent="0.15">
      <c r="A17" s="76" t="s">
        <v>8</v>
      </c>
      <c r="B17" s="56" t="s">
        <v>61</v>
      </c>
      <c r="C17" s="56" t="s">
        <v>61</v>
      </c>
      <c r="D17" s="56" t="s">
        <v>61</v>
      </c>
      <c r="E17" s="71" t="s">
        <v>109</v>
      </c>
      <c r="F17" s="71" t="s">
        <v>109</v>
      </c>
      <c r="G17" s="71" t="s">
        <v>109</v>
      </c>
      <c r="H17" s="71" t="s">
        <v>109</v>
      </c>
      <c r="I17" s="71" t="s">
        <v>109</v>
      </c>
    </row>
    <row r="18" spans="1:9" ht="21" customHeight="1" x14ac:dyDescent="0.15">
      <c r="A18" s="77" t="s">
        <v>7</v>
      </c>
      <c r="B18" s="51" t="s">
        <v>62</v>
      </c>
      <c r="C18" s="51" t="s">
        <v>62</v>
      </c>
      <c r="D18" s="71" t="s">
        <v>109</v>
      </c>
      <c r="E18" s="71" t="s">
        <v>109</v>
      </c>
      <c r="F18" s="71" t="s">
        <v>109</v>
      </c>
      <c r="G18" s="71" t="s">
        <v>109</v>
      </c>
      <c r="H18" s="71" t="s">
        <v>109</v>
      </c>
      <c r="I18" s="71" t="s">
        <v>109</v>
      </c>
    </row>
    <row r="19" spans="1:9" ht="21" customHeight="1" x14ac:dyDescent="0.15">
      <c r="A19" s="78" t="s">
        <v>248</v>
      </c>
      <c r="B19" s="53" t="s">
        <v>63</v>
      </c>
      <c r="C19" s="53" t="s">
        <v>63</v>
      </c>
      <c r="D19" s="71" t="s">
        <v>109</v>
      </c>
      <c r="E19" s="71" t="s">
        <v>109</v>
      </c>
      <c r="F19" s="71" t="s">
        <v>109</v>
      </c>
      <c r="G19" s="71" t="s">
        <v>109</v>
      </c>
      <c r="H19" s="71" t="s">
        <v>109</v>
      </c>
      <c r="I19" s="71" t="s">
        <v>109</v>
      </c>
    </row>
    <row r="20" spans="1:9" ht="21" customHeight="1" x14ac:dyDescent="0.15">
      <c r="A20" s="38" t="s">
        <v>249</v>
      </c>
      <c r="B20" s="79" t="s">
        <v>47</v>
      </c>
      <c r="C20" s="79" t="s">
        <v>47</v>
      </c>
      <c r="D20" s="79" t="s">
        <v>47</v>
      </c>
      <c r="E20" s="79" t="s">
        <v>47</v>
      </c>
      <c r="F20" s="79" t="s">
        <v>47</v>
      </c>
      <c r="G20" s="79" t="s">
        <v>47</v>
      </c>
      <c r="H20" s="79" t="s">
        <v>47</v>
      </c>
      <c r="I20" s="79" t="s">
        <v>47</v>
      </c>
    </row>
    <row r="25" spans="1:9" ht="21" customHeight="1" x14ac:dyDescent="0.15">
      <c r="A25" s="24" t="s">
        <v>14</v>
      </c>
    </row>
    <row r="26" spans="1:9" ht="21" customHeight="1" x14ac:dyDescent="0.15">
      <c r="A26" s="22" t="s">
        <v>64</v>
      </c>
      <c r="B26" s="22" t="s">
        <v>65</v>
      </c>
    </row>
    <row r="27" spans="1:9" ht="21" customHeight="1" x14ac:dyDescent="0.15">
      <c r="A27" s="25">
        <v>1</v>
      </c>
      <c r="B27" s="25">
        <v>200</v>
      </c>
    </row>
    <row r="28" spans="1:9" ht="21" customHeight="1" x14ac:dyDescent="0.15">
      <c r="A28" s="25">
        <v>2</v>
      </c>
      <c r="B28" s="25">
        <v>600</v>
      </c>
    </row>
    <row r="29" spans="1:9" ht="21" customHeight="1" x14ac:dyDescent="0.15">
      <c r="A29" s="25">
        <v>3</v>
      </c>
      <c r="B29" s="25">
        <v>1500</v>
      </c>
    </row>
    <row r="30" spans="1:9" ht="21" customHeight="1" x14ac:dyDescent="0.15">
      <c r="A30" s="25">
        <v>4</v>
      </c>
      <c r="B30" s="25">
        <v>3400</v>
      </c>
    </row>
    <row r="31" spans="1:9" ht="21" customHeight="1" x14ac:dyDescent="0.15">
      <c r="A31" s="25">
        <v>5</v>
      </c>
      <c r="B31" s="25">
        <v>6400</v>
      </c>
    </row>
  </sheetData>
  <sheetProtection selectLockedCells="1" selectUnlockedCells="1"/>
  <phoneticPr fontId="9"/>
  <conditionalFormatting sqref="A34:I65540 J1:IV1 J10:J13 L10:IV13 J14:IV65540 J7:IV7">
    <cfRule type="cellIs" dxfId="22" priority="27" stopIfTrue="1" operator="equal">
      <formula>1</formula>
    </cfRule>
  </conditionalFormatting>
  <conditionalFormatting sqref="A24:B25 A32:B33 C24:I33">
    <cfRule type="cellIs" dxfId="21" priority="26" stopIfTrue="1" operator="equal">
      <formula>1</formula>
    </cfRule>
  </conditionalFormatting>
  <conditionalFormatting sqref="K10:K13">
    <cfRule type="cellIs" dxfId="20" priority="22" stopIfTrue="1" operator="equal">
      <formula>1</formula>
    </cfRule>
  </conditionalFormatting>
  <conditionalFormatting sqref="J8:IV8">
    <cfRule type="cellIs" dxfId="19" priority="21" stopIfTrue="1" operator="equal">
      <formula>1</formula>
    </cfRule>
  </conditionalFormatting>
  <conditionalFormatting sqref="J9:IV9">
    <cfRule type="cellIs" dxfId="18" priority="20" stopIfTrue="1" operator="equal">
      <formula>1</formula>
    </cfRule>
  </conditionalFormatting>
  <conditionalFormatting sqref="G19:I19">
    <cfRule type="cellIs" dxfId="17" priority="12" stopIfTrue="1" operator="equal">
      <formula>1</formula>
    </cfRule>
  </conditionalFormatting>
  <conditionalFormatting sqref="D18:G18 F15:G17 H15:I18">
    <cfRule type="cellIs" dxfId="16" priority="11" stopIfTrue="1" operator="equal">
      <formula>1</formula>
    </cfRule>
  </conditionalFormatting>
  <conditionalFormatting sqref="F17:G17">
    <cfRule type="cellIs" dxfId="15" priority="10" stopIfTrue="1" operator="equal">
      <formula>1</formula>
    </cfRule>
  </conditionalFormatting>
  <conditionalFormatting sqref="A20">
    <cfRule type="cellIs" dxfId="14" priority="9" stopIfTrue="1" operator="equal">
      <formula>1</formula>
    </cfRule>
  </conditionalFormatting>
  <conditionalFormatting sqref="G12:I14 H10:I11">
    <cfRule type="cellIs" dxfId="13" priority="8" stopIfTrue="1" operator="equal">
      <formula>1</formula>
    </cfRule>
  </conditionalFormatting>
  <conditionalFormatting sqref="B10:C15">
    <cfRule type="cellIs" dxfId="12" priority="7" stopIfTrue="1" operator="equal">
      <formula>1</formula>
    </cfRule>
  </conditionalFormatting>
  <conditionalFormatting sqref="B16">
    <cfRule type="cellIs" dxfId="11" priority="6" stopIfTrue="1" operator="equal">
      <formula>1</formula>
    </cfRule>
  </conditionalFormatting>
  <conditionalFormatting sqref="E17">
    <cfRule type="cellIs" dxfId="10" priority="5" stopIfTrue="1" operator="equal">
      <formula>1</formula>
    </cfRule>
  </conditionalFormatting>
  <conditionalFormatting sqref="F12">
    <cfRule type="cellIs" dxfId="9" priority="4" stopIfTrue="1" operator="equal">
      <formula>1</formula>
    </cfRule>
  </conditionalFormatting>
  <conditionalFormatting sqref="J2: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workbookViewId="0">
      <selection activeCell="D20" sqref="D20"/>
    </sheetView>
  </sheetViews>
  <sheetFormatPr baseColWidth="12" defaultColWidth="13" defaultRowHeight="21" customHeight="1" x14ac:dyDescent="0.15"/>
  <cols>
    <col min="1" max="1" width="13" style="4"/>
    <col min="2" max="16384" width="13" style="24"/>
  </cols>
  <sheetData>
    <row r="1" spans="1:9" s="4" customFormat="1" ht="21" customHeight="1" x14ac:dyDescent="0.15">
      <c r="A1" s="33" t="s">
        <v>10</v>
      </c>
      <c r="B1" s="33">
        <v>1</v>
      </c>
      <c r="C1" s="33">
        <v>2</v>
      </c>
      <c r="D1" s="33">
        <v>3</v>
      </c>
      <c r="E1" s="33">
        <v>4</v>
      </c>
      <c r="F1" s="33">
        <v>5</v>
      </c>
      <c r="G1" s="33">
        <v>6</v>
      </c>
      <c r="H1" s="33">
        <v>7</v>
      </c>
      <c r="I1" s="33">
        <v>8</v>
      </c>
    </row>
    <row r="2" spans="1:9" s="4" customFormat="1" ht="21" customHeight="1" x14ac:dyDescent="0.15">
      <c r="A2" s="147" t="s">
        <v>226</v>
      </c>
      <c r="B2" s="148"/>
      <c r="C2" s="149"/>
      <c r="D2" s="160" t="s">
        <v>11</v>
      </c>
      <c r="E2" s="160">
        <v>8000</v>
      </c>
      <c r="F2" s="160">
        <v>10000</v>
      </c>
      <c r="G2" s="160">
        <v>14000</v>
      </c>
      <c r="H2" s="149"/>
      <c r="I2" s="149"/>
    </row>
    <row r="3" spans="1:9" s="4" customFormat="1" ht="21" customHeight="1" x14ac:dyDescent="0.15">
      <c r="A3" s="147" t="s">
        <v>227</v>
      </c>
      <c r="B3" s="151"/>
      <c r="C3" s="152"/>
      <c r="D3" s="160" t="s">
        <v>11</v>
      </c>
      <c r="E3" s="160">
        <v>7500</v>
      </c>
      <c r="F3" s="160">
        <v>9500</v>
      </c>
      <c r="G3" s="160">
        <v>13000</v>
      </c>
      <c r="H3" s="152"/>
      <c r="I3" s="152"/>
    </row>
    <row r="4" spans="1:9" s="4" customFormat="1" ht="21" customHeight="1" x14ac:dyDescent="0.15">
      <c r="A4" s="147" t="s">
        <v>229</v>
      </c>
      <c r="B4" s="154"/>
      <c r="C4" s="155"/>
      <c r="D4" s="160">
        <v>5000</v>
      </c>
      <c r="E4" s="160">
        <v>7000</v>
      </c>
      <c r="F4" s="160">
        <v>9000</v>
      </c>
      <c r="G4" s="160">
        <v>12000</v>
      </c>
      <c r="H4" s="155"/>
      <c r="I4" s="155"/>
    </row>
    <row r="5" spans="1:9" s="4" customFormat="1" ht="21" customHeight="1" x14ac:dyDescent="0.15">
      <c r="A5" s="166" t="s">
        <v>230</v>
      </c>
      <c r="B5" s="161"/>
      <c r="C5" s="162"/>
      <c r="D5" s="160">
        <v>4900</v>
      </c>
      <c r="E5" s="160">
        <v>6700</v>
      </c>
      <c r="F5" s="160">
        <v>8500</v>
      </c>
      <c r="G5" s="160">
        <v>11000</v>
      </c>
      <c r="H5" s="162"/>
      <c r="I5" s="162"/>
    </row>
    <row r="6" spans="1:9" s="4" customFormat="1" ht="21" customHeight="1" x14ac:dyDescent="0.15">
      <c r="A6" s="166" t="s">
        <v>231</v>
      </c>
      <c r="B6" s="161"/>
      <c r="C6" s="162"/>
      <c r="D6" s="160">
        <v>4800</v>
      </c>
      <c r="E6" s="160">
        <v>6600</v>
      </c>
      <c r="F6" s="160" t="s">
        <v>11</v>
      </c>
      <c r="G6" s="160" t="s">
        <v>11</v>
      </c>
      <c r="H6" s="162"/>
      <c r="I6" s="162"/>
    </row>
    <row r="7" spans="1:9" ht="21" customHeight="1" x14ac:dyDescent="0.15">
      <c r="A7" s="74" t="s">
        <v>205</v>
      </c>
      <c r="B7" s="47" t="s">
        <v>11</v>
      </c>
      <c r="C7" s="47" t="s">
        <v>11</v>
      </c>
      <c r="D7" s="47" t="s">
        <v>11</v>
      </c>
      <c r="E7" s="47" t="s">
        <v>11</v>
      </c>
      <c r="F7" s="47" t="s">
        <v>11</v>
      </c>
      <c r="G7" s="47" t="s">
        <v>11</v>
      </c>
      <c r="H7" s="47" t="s">
        <v>11</v>
      </c>
      <c r="I7" s="47" t="s">
        <v>11</v>
      </c>
    </row>
    <row r="8" spans="1:9" ht="21" customHeight="1" x14ac:dyDescent="0.15">
      <c r="A8" s="75" t="s">
        <v>206</v>
      </c>
      <c r="B8" s="47" t="s">
        <v>11</v>
      </c>
      <c r="C8" s="47" t="s">
        <v>11</v>
      </c>
      <c r="D8" s="47" t="s">
        <v>11</v>
      </c>
      <c r="E8" s="47">
        <v>8000</v>
      </c>
      <c r="F8" s="29">
        <v>10000</v>
      </c>
      <c r="G8" s="47">
        <v>14000</v>
      </c>
      <c r="H8" s="47" t="s">
        <v>11</v>
      </c>
      <c r="I8" s="47" t="s">
        <v>11</v>
      </c>
    </row>
    <row r="9" spans="1:9" s="46" customFormat="1" ht="21" customHeight="1" x14ac:dyDescent="0.15">
      <c r="A9" s="76" t="s">
        <v>207</v>
      </c>
      <c r="B9" s="29" t="s">
        <v>11</v>
      </c>
      <c r="C9" s="29" t="s">
        <v>11</v>
      </c>
      <c r="D9" s="29" t="s">
        <v>11</v>
      </c>
      <c r="E9" s="29">
        <v>7500</v>
      </c>
      <c r="F9" s="29">
        <v>9500</v>
      </c>
      <c r="G9" s="47">
        <v>13000</v>
      </c>
      <c r="H9" s="29" t="s">
        <v>11</v>
      </c>
      <c r="I9" s="29" t="s">
        <v>11</v>
      </c>
    </row>
    <row r="10" spans="1:9" ht="21" customHeight="1" x14ac:dyDescent="0.15">
      <c r="A10" s="76" t="s">
        <v>9</v>
      </c>
      <c r="B10" s="69" t="s">
        <v>11</v>
      </c>
      <c r="C10" s="69" t="s">
        <v>11</v>
      </c>
      <c r="D10" s="29">
        <v>5000</v>
      </c>
      <c r="E10" s="29">
        <v>7000</v>
      </c>
      <c r="F10" s="29">
        <v>9000</v>
      </c>
      <c r="G10" s="47">
        <v>12000</v>
      </c>
      <c r="H10" s="69" t="s">
        <v>11</v>
      </c>
      <c r="I10" s="69" t="s">
        <v>11</v>
      </c>
    </row>
    <row r="11" spans="1:9" ht="21" customHeight="1" x14ac:dyDescent="0.15">
      <c r="A11" s="76" t="s">
        <v>208</v>
      </c>
      <c r="B11" s="69" t="s">
        <v>11</v>
      </c>
      <c r="C11" s="69" t="s">
        <v>11</v>
      </c>
      <c r="D11" s="29">
        <v>4900</v>
      </c>
      <c r="E11" s="29">
        <v>6700</v>
      </c>
      <c r="F11" s="29">
        <v>8500</v>
      </c>
      <c r="G11" s="47">
        <v>11000</v>
      </c>
      <c r="H11" s="69" t="s">
        <v>11</v>
      </c>
      <c r="I11" s="69" t="s">
        <v>11</v>
      </c>
    </row>
    <row r="12" spans="1:9" ht="21" customHeight="1" x14ac:dyDescent="0.15">
      <c r="A12" s="76" t="s">
        <v>106</v>
      </c>
      <c r="B12" s="69" t="s">
        <v>11</v>
      </c>
      <c r="C12" s="69" t="s">
        <v>11</v>
      </c>
      <c r="D12" s="29">
        <v>4800</v>
      </c>
      <c r="E12" s="29">
        <v>6600</v>
      </c>
      <c r="F12" s="69" t="s">
        <v>11</v>
      </c>
      <c r="G12" s="69" t="s">
        <v>11</v>
      </c>
      <c r="H12" s="69" t="s">
        <v>11</v>
      </c>
      <c r="I12" s="69" t="s">
        <v>11</v>
      </c>
    </row>
    <row r="13" spans="1:9" ht="21" customHeight="1" x14ac:dyDescent="0.15">
      <c r="A13" s="76" t="s">
        <v>209</v>
      </c>
      <c r="B13" s="69" t="s">
        <v>11</v>
      </c>
      <c r="C13" s="69" t="s">
        <v>11</v>
      </c>
      <c r="D13" s="69" t="s">
        <v>11</v>
      </c>
      <c r="E13" s="29">
        <v>6300</v>
      </c>
      <c r="F13" s="69" t="s">
        <v>11</v>
      </c>
      <c r="G13" s="69" t="s">
        <v>11</v>
      </c>
      <c r="H13" s="69" t="s">
        <v>11</v>
      </c>
      <c r="I13" s="69" t="s">
        <v>11</v>
      </c>
    </row>
    <row r="14" spans="1:9" ht="21" customHeight="1" x14ac:dyDescent="0.15">
      <c r="A14" s="76" t="s">
        <v>210</v>
      </c>
      <c r="B14" s="69" t="s">
        <v>11</v>
      </c>
      <c r="C14" s="69" t="s">
        <v>11</v>
      </c>
      <c r="D14" s="29">
        <v>4600</v>
      </c>
      <c r="E14" s="29">
        <v>5800</v>
      </c>
      <c r="F14" s="29">
        <v>7600</v>
      </c>
      <c r="G14" s="69" t="s">
        <v>11</v>
      </c>
      <c r="H14" s="69" t="s">
        <v>11</v>
      </c>
      <c r="I14" s="69" t="s">
        <v>11</v>
      </c>
    </row>
    <row r="15" spans="1:9" ht="21" customHeight="1" x14ac:dyDescent="0.15">
      <c r="A15" s="76" t="s">
        <v>105</v>
      </c>
      <c r="B15" s="69" t="s">
        <v>11</v>
      </c>
      <c r="C15" s="69" t="s">
        <v>11</v>
      </c>
      <c r="D15" s="29">
        <v>4400</v>
      </c>
      <c r="E15" s="29">
        <v>5600</v>
      </c>
      <c r="F15" s="69" t="s">
        <v>11</v>
      </c>
      <c r="G15" s="69" t="s">
        <v>11</v>
      </c>
      <c r="H15" s="69" t="s">
        <v>11</v>
      </c>
      <c r="I15" s="69" t="s">
        <v>11</v>
      </c>
    </row>
    <row r="16" spans="1:9" ht="21" customHeight="1" x14ac:dyDescent="0.15">
      <c r="A16" s="76" t="s">
        <v>211</v>
      </c>
      <c r="B16" s="69" t="s">
        <v>11</v>
      </c>
      <c r="C16" s="29">
        <v>3000</v>
      </c>
      <c r="D16" s="29">
        <v>4200</v>
      </c>
      <c r="E16" s="29">
        <v>5400</v>
      </c>
      <c r="F16" s="69" t="s">
        <v>11</v>
      </c>
      <c r="G16" s="69" t="s">
        <v>11</v>
      </c>
      <c r="H16" s="69" t="s">
        <v>11</v>
      </c>
      <c r="I16" s="69" t="s">
        <v>11</v>
      </c>
    </row>
    <row r="17" spans="1:9" ht="21" customHeight="1" x14ac:dyDescent="0.15">
      <c r="A17" s="76" t="s">
        <v>8</v>
      </c>
      <c r="B17" s="29">
        <v>2000</v>
      </c>
      <c r="C17" s="29">
        <v>2800</v>
      </c>
      <c r="D17" s="29">
        <v>4000</v>
      </c>
      <c r="E17" s="69" t="s">
        <v>11</v>
      </c>
      <c r="F17" s="69" t="s">
        <v>11</v>
      </c>
      <c r="G17" s="69" t="s">
        <v>11</v>
      </c>
      <c r="H17" s="69" t="s">
        <v>11</v>
      </c>
      <c r="I17" s="69" t="s">
        <v>11</v>
      </c>
    </row>
    <row r="18" spans="1:9" ht="21" customHeight="1" x14ac:dyDescent="0.15">
      <c r="A18" s="77" t="s">
        <v>7</v>
      </c>
      <c r="B18" s="29">
        <v>1750</v>
      </c>
      <c r="C18" s="29">
        <v>2550</v>
      </c>
      <c r="D18" s="69" t="s">
        <v>11</v>
      </c>
      <c r="E18" s="69" t="s">
        <v>11</v>
      </c>
      <c r="F18" s="69" t="s">
        <v>11</v>
      </c>
      <c r="G18" s="69" t="s">
        <v>11</v>
      </c>
      <c r="H18" s="69" t="s">
        <v>11</v>
      </c>
      <c r="I18" s="69" t="s">
        <v>11</v>
      </c>
    </row>
    <row r="19" spans="1:9" ht="21" customHeight="1" x14ac:dyDescent="0.15">
      <c r="A19" s="77" t="s">
        <v>212</v>
      </c>
      <c r="B19" s="29">
        <v>1500</v>
      </c>
      <c r="C19" s="29">
        <v>2300</v>
      </c>
      <c r="D19" s="69" t="s">
        <v>11</v>
      </c>
      <c r="E19" s="69" t="s">
        <v>11</v>
      </c>
      <c r="F19" s="69" t="s">
        <v>11</v>
      </c>
      <c r="G19" s="69" t="s">
        <v>11</v>
      </c>
      <c r="H19" s="69" t="s">
        <v>11</v>
      </c>
      <c r="I19" s="69" t="s">
        <v>11</v>
      </c>
    </row>
    <row r="20" spans="1:9" ht="21" customHeight="1" x14ac:dyDescent="0.15">
      <c r="A20" s="38" t="s">
        <v>213</v>
      </c>
      <c r="B20" s="37">
        <v>1000</v>
      </c>
      <c r="C20" s="37">
        <v>1000</v>
      </c>
      <c r="D20" s="37">
        <v>1000</v>
      </c>
      <c r="E20" s="37">
        <v>1000</v>
      </c>
      <c r="F20" s="37">
        <v>1000</v>
      </c>
      <c r="G20" s="37">
        <v>1000</v>
      </c>
      <c r="H20" s="37">
        <v>1000</v>
      </c>
      <c r="I20" s="37">
        <v>1000</v>
      </c>
    </row>
  </sheetData>
  <sheetProtection selectLockedCells="1" selectUnlockedCells="1"/>
  <phoneticPr fontId="9"/>
  <conditionalFormatting sqref="L22:R65541 J1:IU1 L7:R19 S7:IU1048576 J7:K1048576">
    <cfRule type="cellIs" dxfId="5" priority="7" stopIfTrue="1" operator="equal">
      <formula>1</formula>
    </cfRule>
  </conditionalFormatting>
  <conditionalFormatting sqref="A21:I65541">
    <cfRule type="cellIs" dxfId="4" priority="8" stopIfTrue="1" operator="equal">
      <formula>1</formula>
    </cfRule>
  </conditionalFormatting>
  <conditionalFormatting sqref="A20:I20">
    <cfRule type="cellIs" dxfId="3" priority="5" stopIfTrue="1" operator="equal">
      <formula>1</formula>
    </cfRule>
  </conditionalFormatting>
  <conditionalFormatting sqref="J2:IV4">
    <cfRule type="cellIs" dxfId="2" priority="4" stopIfTrue="1" operator="equal">
      <formula>1</formula>
    </cfRule>
  </conditionalFormatting>
  <conditionalFormatting sqref="J5:IV6">
    <cfRule type="cellIs" dxfId="1" priority="3"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4"/>
  </cols>
  <sheetData>
    <row r="1" spans="1:8" ht="21" customHeight="1" x14ac:dyDescent="0.15">
      <c r="A1" s="24" t="s">
        <v>111</v>
      </c>
      <c r="G1" s="24" t="s">
        <v>112</v>
      </c>
    </row>
    <row r="2" spans="1:8" ht="21" customHeight="1" x14ac:dyDescent="0.15">
      <c r="A2" s="22" t="s">
        <v>15</v>
      </c>
      <c r="B2" s="22" t="s">
        <v>16</v>
      </c>
      <c r="G2" s="22" t="s">
        <v>15</v>
      </c>
      <c r="H2" s="22" t="s">
        <v>16</v>
      </c>
    </row>
    <row r="3" spans="1:8" ht="21" customHeight="1" x14ac:dyDescent="0.15">
      <c r="A3" s="25">
        <v>1</v>
      </c>
      <c r="B3" s="34">
        <v>5000</v>
      </c>
      <c r="G3" s="25">
        <v>1</v>
      </c>
      <c r="H3" s="25">
        <v>75</v>
      </c>
    </row>
    <row r="4" spans="1:8" ht="21" customHeight="1" x14ac:dyDescent="0.15">
      <c r="A4" s="25">
        <v>2</v>
      </c>
      <c r="B4" s="26">
        <v>10000</v>
      </c>
      <c r="G4" s="25">
        <v>2</v>
      </c>
      <c r="H4" s="25">
        <v>150</v>
      </c>
    </row>
    <row r="5" spans="1:8" ht="21" customHeight="1" x14ac:dyDescent="0.15">
      <c r="A5" s="25">
        <v>3</v>
      </c>
      <c r="B5" s="26">
        <v>20000</v>
      </c>
      <c r="G5" s="25">
        <v>3</v>
      </c>
      <c r="H5" s="25">
        <v>300</v>
      </c>
    </row>
    <row r="6" spans="1:8" ht="21" customHeight="1" x14ac:dyDescent="0.15">
      <c r="A6" s="25">
        <v>4</v>
      </c>
      <c r="B6" s="26">
        <v>50000</v>
      </c>
      <c r="G6" s="25">
        <v>4</v>
      </c>
      <c r="H6" s="25">
        <v>600</v>
      </c>
    </row>
    <row r="7" spans="1:8" ht="21" customHeight="1" x14ac:dyDescent="0.15">
      <c r="A7" s="25">
        <v>5</v>
      </c>
      <c r="B7" s="26">
        <v>200000</v>
      </c>
      <c r="G7" s="25">
        <v>5</v>
      </c>
      <c r="H7" s="25">
        <v>900</v>
      </c>
    </row>
    <row r="8" spans="1:8" ht="21" customHeight="1" x14ac:dyDescent="0.15">
      <c r="A8" s="25">
        <v>6</v>
      </c>
      <c r="B8" s="35">
        <v>0</v>
      </c>
      <c r="G8" s="25">
        <v>6</v>
      </c>
      <c r="H8" s="36">
        <v>1200</v>
      </c>
    </row>
    <row r="9" spans="1:8" ht="21" customHeight="1" x14ac:dyDescent="0.15">
      <c r="A9" s="25">
        <v>7</v>
      </c>
      <c r="B9" s="35"/>
      <c r="G9" s="25">
        <v>7</v>
      </c>
      <c r="H9" s="35"/>
    </row>
    <row r="10" spans="1:8" ht="21" customHeight="1" x14ac:dyDescent="0.15">
      <c r="A10" s="25">
        <v>8</v>
      </c>
      <c r="B10" s="35"/>
      <c r="G10" s="25">
        <v>8</v>
      </c>
      <c r="H10" s="35"/>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197</v>
      </c>
      <c r="B2" s="12">
        <v>591</v>
      </c>
    </row>
    <row r="3" spans="1:4" x14ac:dyDescent="0.15">
      <c r="A3" t="s">
        <v>198</v>
      </c>
      <c r="B3" s="134">
        <v>592</v>
      </c>
    </row>
    <row r="4" spans="1:4" x14ac:dyDescent="0.15">
      <c r="A4" t="s">
        <v>199</v>
      </c>
      <c r="B4" s="134">
        <v>593</v>
      </c>
    </row>
    <row r="7" spans="1:4" x14ac:dyDescent="0.15">
      <c r="A7" t="s">
        <v>200</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219</v>
      </c>
    </row>
    <row r="13" spans="1:4" x14ac:dyDescent="0.15">
      <c r="B13" t="s">
        <v>223</v>
      </c>
      <c r="C13" t="s">
        <v>224</v>
      </c>
      <c r="D13" t="s">
        <v>225</v>
      </c>
    </row>
    <row r="14" spans="1:4" x14ac:dyDescent="0.15">
      <c r="A14" t="s">
        <v>221</v>
      </c>
      <c r="B14" t="e">
        <f>VLOOKUP($B2,units!$A:$BN,63)</f>
        <v>#N/A</v>
      </c>
      <c r="C14" t="e">
        <f>VLOOKUP($B2,units!$A:$BN,64)</f>
        <v>#N/A</v>
      </c>
      <c r="D14" t="e">
        <f>VLOOKUP($B2,units!$A:$BN,66)</f>
        <v>#N/A</v>
      </c>
    </row>
    <row r="15" spans="1:4" x14ac:dyDescent="0.15">
      <c r="A15" t="s">
        <v>222</v>
      </c>
      <c r="B15" t="e">
        <f>VLOOKUP($B3,units!$A:$BN,63)</f>
        <v>#N/A</v>
      </c>
      <c r="C15" t="e">
        <f>VLOOKUP($B3,units!$A:$BN,64)</f>
        <v>#N/A</v>
      </c>
      <c r="D15" t="e">
        <f>VLOOKUP($B3,units!$A:$BN,66)</f>
        <v>#N/A</v>
      </c>
    </row>
    <row r="16" spans="1:4" x14ac:dyDescent="0.15">
      <c r="A16" t="s">
        <v>220</v>
      </c>
      <c r="B16" t="e">
        <f>VLOOKUP($B4,units!$A:$BN,63)</f>
        <v>#N/A</v>
      </c>
      <c r="C16" t="e">
        <f>VLOOKUP($B4,units!$A:$BN,64)</f>
        <v>#N/A</v>
      </c>
      <c r="D16" t="e">
        <f>VLOOKUP($B4,units!$A:$BN,66)</f>
        <v>#N/A</v>
      </c>
    </row>
    <row r="19" spans="1:1" ht="19" customHeight="1" x14ac:dyDescent="0.15">
      <c r="A19" t="s">
        <v>201</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202</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203</v>
      </c>
    </row>
    <row r="49" spans="1:1" x14ac:dyDescent="0.15">
      <c r="A49" t="str">
        <f>IFERROR(VLOOKUP($B$3,awake_materials!A:I,2),"なし")</f>
        <v>なし</v>
      </c>
    </row>
    <row r="50" spans="1:1" x14ac:dyDescent="0.15">
      <c r="A50" t="str">
        <f>IFERROR(VLOOKUP($B$3,awake_materials!A:I,2),"なし")</f>
        <v>なし</v>
      </c>
    </row>
    <row r="51" spans="1:1" x14ac:dyDescent="0.15">
      <c r="A51" t="str">
        <f>IFERROR(VLOOKUP($B$3,awake_materials!A:I,2),"なし")</f>
        <v>なし</v>
      </c>
    </row>
    <row r="52" spans="1:1" x14ac:dyDescent="0.15">
      <c r="A52" t="str">
        <f>IFERROR(VLOOKUP($B$3,awake_materials!A:I,2),"なし")</f>
        <v>なし</v>
      </c>
    </row>
    <row r="53" spans="1:1" x14ac:dyDescent="0.15">
      <c r="A53" t="str">
        <f>IFERROR(VLOOKUP($B$3,awake_materials!A:I,2),"なし")</f>
        <v>なし</v>
      </c>
    </row>
    <row r="55" spans="1:1" x14ac:dyDescent="0.15">
      <c r="A55" s="146"/>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15</vt:i4>
      </vt:variant>
    </vt:vector>
  </HeadingPairs>
  <TitlesOfParts>
    <vt:vector size="15" baseType="lpstr">
      <vt:lpstr>output</vt:lpstr>
      <vt:lpstr>units</vt:lpstr>
      <vt:lpstr>unit_skills</vt:lpstr>
      <vt:lpstr>crash_skills</vt:lpstr>
      <vt:lpstr>unit_serifs</vt:lpstr>
      <vt:lpstr>awake_materials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2017-06-06T09:55:12Z</dcterms:modified>
</cp:coreProperties>
</file>