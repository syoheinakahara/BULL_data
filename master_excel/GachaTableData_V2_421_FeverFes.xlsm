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21010" sheetId="157" r:id="rId4"/>
    <sheet name="tables_421010" sheetId="158" r:id="rId5"/>
    <sheet name="input_421100" sheetId="153" r:id="rId6"/>
    <sheet name="tables_421100" sheetId="154" r:id="rId7"/>
    <sheet name="tables_settle_421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tables_421010!$A$1:$V$294</definedName>
    <definedName name="_xlnm._FilterDatabase" localSheetId="6" hidden="1">tables_421100!$A$1:$V$294</definedName>
    <definedName name="_xlnm._FilterDatabase" localSheetId="7" hidden="1">tables_settle_421100!$A$1:$V$294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4" i="159" l="1"/>
  <c r="F35" i="153"/>
  <c r="F34" i="153"/>
  <c r="B30" i="153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E26" i="157"/>
  <c r="B26" i="157"/>
  <c r="F5" i="157"/>
  <c r="E5" i="157"/>
  <c r="E28" i="157"/>
  <c r="B28" i="157"/>
  <c r="E29" i="157"/>
  <c r="B29" i="157"/>
  <c r="B21" i="157"/>
  <c r="E20" i="157"/>
  <c r="B20" i="157"/>
  <c r="F35" i="157"/>
  <c r="F34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E18" i="157"/>
  <c r="E19" i="157"/>
  <c r="B19" i="157"/>
  <c r="E24" i="157"/>
  <c r="B24" i="157"/>
  <c r="B17" i="157"/>
  <c r="B18" i="157"/>
  <c r="A36" i="157"/>
  <c r="G29" i="157"/>
  <c r="H29" i="157"/>
  <c r="G17" i="157"/>
  <c r="E17" i="157"/>
  <c r="H17" i="157"/>
  <c r="A2" i="157"/>
  <c r="O2" i="158"/>
  <c r="G20" i="157"/>
  <c r="H20" i="157"/>
  <c r="O42" i="158"/>
  <c r="G19" i="157"/>
  <c r="H19" i="157"/>
  <c r="O43" i="158"/>
  <c r="R4" i="157"/>
  <c r="O45" i="158"/>
  <c r="R5" i="157"/>
  <c r="O46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R3" i="157"/>
  <c r="O44" i="158"/>
  <c r="R6" i="157"/>
  <c r="O47" i="158"/>
  <c r="R7" i="157"/>
  <c r="O48" i="158"/>
  <c r="R8" i="157"/>
  <c r="O49" i="158"/>
  <c r="R9" i="157"/>
  <c r="O50" i="158"/>
  <c r="E25" i="157"/>
  <c r="B25" i="157"/>
  <c r="G25" i="157"/>
  <c r="H25" i="157"/>
  <c r="O51" i="158"/>
  <c r="G26" i="157"/>
  <c r="H26" i="157"/>
  <c r="O52" i="158"/>
  <c r="O53" i="158"/>
  <c r="O54" i="158"/>
  <c r="G21" i="157"/>
  <c r="E21" i="157"/>
  <c r="H21" i="157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G23" i="157"/>
  <c r="H23" i="157"/>
  <c r="O93" i="158"/>
  <c r="E22" i="157"/>
  <c r="B22" i="157"/>
  <c r="G22" i="157"/>
  <c r="H22" i="157"/>
  <c r="O94" i="158"/>
  <c r="O95" i="158"/>
  <c r="O96" i="158"/>
  <c r="O97" i="158"/>
  <c r="O98" i="158"/>
  <c r="O99" i="158"/>
  <c r="O100" i="158"/>
  <c r="O101" i="158"/>
  <c r="O102" i="158"/>
  <c r="O103" i="158"/>
  <c r="O104" i="158"/>
  <c r="G24" i="157"/>
  <c r="H24" i="157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G28" i="157"/>
  <c r="H28" i="157"/>
  <c r="O128" i="158"/>
  <c r="O129" i="158"/>
  <c r="O130" i="158"/>
  <c r="E27" i="157"/>
  <c r="B27" i="157"/>
  <c r="G27" i="157"/>
  <c r="H27" i="157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G30" i="157"/>
  <c r="E30" i="157"/>
  <c r="H30" i="157"/>
  <c r="O264" i="158"/>
  <c r="G31" i="157"/>
  <c r="E31" i="157"/>
  <c r="H31" i="157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F42" i="157"/>
  <c r="G42" i="157"/>
  <c r="F40" i="157"/>
  <c r="G40" i="157"/>
  <c r="C4" i="103"/>
  <c r="E4" i="103"/>
  <c r="A2" i="153"/>
  <c r="I106" i="159"/>
  <c r="D106" i="159"/>
  <c r="J106" i="159"/>
  <c r="E106" i="159"/>
  <c r="F106" i="159"/>
  <c r="C106" i="159"/>
  <c r="I107" i="159"/>
  <c r="D107" i="159"/>
  <c r="J107" i="159"/>
  <c r="E107" i="159"/>
  <c r="F107" i="159"/>
  <c r="C107" i="159"/>
  <c r="I108" i="159"/>
  <c r="D108" i="159"/>
  <c r="J108" i="159"/>
  <c r="E108" i="159"/>
  <c r="F108" i="159"/>
  <c r="C108" i="159"/>
  <c r="I109" i="159"/>
  <c r="D109" i="159"/>
  <c r="J109" i="159"/>
  <c r="E109" i="159"/>
  <c r="F109" i="159"/>
  <c r="C109" i="159"/>
  <c r="I110" i="159"/>
  <c r="D110" i="159"/>
  <c r="J110" i="159"/>
  <c r="E110" i="159"/>
  <c r="F110" i="159"/>
  <c r="C110" i="159"/>
  <c r="I111" i="159"/>
  <c r="D111" i="159"/>
  <c r="J111" i="159"/>
  <c r="E111" i="159"/>
  <c r="F111" i="159"/>
  <c r="C111" i="159"/>
  <c r="I112" i="159"/>
  <c r="D112" i="159"/>
  <c r="J112" i="159"/>
  <c r="E112" i="159"/>
  <c r="F112" i="159"/>
  <c r="C112" i="159"/>
  <c r="I113" i="159"/>
  <c r="D113" i="159"/>
  <c r="J113" i="159"/>
  <c r="E113" i="159"/>
  <c r="F113" i="159"/>
  <c r="C113" i="159"/>
  <c r="I114" i="159"/>
  <c r="D114" i="159"/>
  <c r="J114" i="159"/>
  <c r="E114" i="159"/>
  <c r="F114" i="159"/>
  <c r="C114" i="159"/>
  <c r="I115" i="159"/>
  <c r="D115" i="159"/>
  <c r="J115" i="159"/>
  <c r="E115" i="159"/>
  <c r="F115" i="159"/>
  <c r="C115" i="159"/>
  <c r="I116" i="159"/>
  <c r="D116" i="159"/>
  <c r="J116" i="159"/>
  <c r="E116" i="159"/>
  <c r="F116" i="159"/>
  <c r="C116" i="159"/>
  <c r="I117" i="159"/>
  <c r="D117" i="159"/>
  <c r="J117" i="159"/>
  <c r="E117" i="159"/>
  <c r="F117" i="159"/>
  <c r="C117" i="159"/>
  <c r="I118" i="159"/>
  <c r="D118" i="159"/>
  <c r="J118" i="159"/>
  <c r="E118" i="159"/>
  <c r="F118" i="159"/>
  <c r="C118" i="159"/>
  <c r="I119" i="159"/>
  <c r="D119" i="159"/>
  <c r="J119" i="159"/>
  <c r="E119" i="159"/>
  <c r="F119" i="159"/>
  <c r="C119" i="159"/>
  <c r="I120" i="159"/>
  <c r="D120" i="159"/>
  <c r="J120" i="159"/>
  <c r="E120" i="159"/>
  <c r="F120" i="159"/>
  <c r="C120" i="159"/>
  <c r="I121" i="159"/>
  <c r="D121" i="159"/>
  <c r="J121" i="159"/>
  <c r="E121" i="159"/>
  <c r="F121" i="159"/>
  <c r="C121" i="159"/>
  <c r="I122" i="159"/>
  <c r="D122" i="159"/>
  <c r="J122" i="159"/>
  <c r="E122" i="159"/>
  <c r="F122" i="159"/>
  <c r="C122" i="159"/>
  <c r="I123" i="159"/>
  <c r="D123" i="159"/>
  <c r="J123" i="159"/>
  <c r="E123" i="159"/>
  <c r="F123" i="159"/>
  <c r="C123" i="159"/>
  <c r="I124" i="159"/>
  <c r="D124" i="159"/>
  <c r="J124" i="159"/>
  <c r="E124" i="159"/>
  <c r="F124" i="159"/>
  <c r="C124" i="159"/>
  <c r="I125" i="159"/>
  <c r="D125" i="159"/>
  <c r="J125" i="159"/>
  <c r="E125" i="159"/>
  <c r="F125" i="159"/>
  <c r="C125" i="159"/>
  <c r="I57" i="159"/>
  <c r="D57" i="159"/>
  <c r="J57" i="159"/>
  <c r="E57" i="159"/>
  <c r="F57" i="159"/>
  <c r="C57" i="159"/>
  <c r="I58" i="159"/>
  <c r="D58" i="159"/>
  <c r="J58" i="159"/>
  <c r="E58" i="159"/>
  <c r="F58" i="159"/>
  <c r="C58" i="159"/>
  <c r="I59" i="159"/>
  <c r="D59" i="159"/>
  <c r="J59" i="159"/>
  <c r="E59" i="159"/>
  <c r="F59" i="159"/>
  <c r="C59" i="159"/>
  <c r="I60" i="159"/>
  <c r="D60" i="159"/>
  <c r="J60" i="159"/>
  <c r="E60" i="159"/>
  <c r="F60" i="159"/>
  <c r="C60" i="159"/>
  <c r="I61" i="159"/>
  <c r="D61" i="159"/>
  <c r="J61" i="159"/>
  <c r="E61" i="159"/>
  <c r="F61" i="159"/>
  <c r="C61" i="159"/>
  <c r="I62" i="159"/>
  <c r="D62" i="159"/>
  <c r="J62" i="159"/>
  <c r="E62" i="159"/>
  <c r="F62" i="159"/>
  <c r="C62" i="159"/>
  <c r="I63" i="159"/>
  <c r="D63" i="159"/>
  <c r="J63" i="159"/>
  <c r="E63" i="159"/>
  <c r="F63" i="159"/>
  <c r="C63" i="159"/>
  <c r="I64" i="159"/>
  <c r="D64" i="159"/>
  <c r="J64" i="159"/>
  <c r="E64" i="159"/>
  <c r="F64" i="159"/>
  <c r="C64" i="159"/>
  <c r="I65" i="159"/>
  <c r="D65" i="159"/>
  <c r="J65" i="159"/>
  <c r="E65" i="159"/>
  <c r="F65" i="159"/>
  <c r="C65" i="159"/>
  <c r="I66" i="159"/>
  <c r="D66" i="159"/>
  <c r="J66" i="159"/>
  <c r="E66" i="159"/>
  <c r="F66" i="159"/>
  <c r="C66" i="159"/>
  <c r="I67" i="159"/>
  <c r="D67" i="159"/>
  <c r="J67" i="159"/>
  <c r="E67" i="159"/>
  <c r="F67" i="159"/>
  <c r="C67" i="159"/>
  <c r="I68" i="159"/>
  <c r="D68" i="159"/>
  <c r="J68" i="159"/>
  <c r="E68" i="159"/>
  <c r="F68" i="159"/>
  <c r="C68" i="159"/>
  <c r="I8" i="159"/>
  <c r="D8" i="159"/>
  <c r="J8" i="159"/>
  <c r="E8" i="159"/>
  <c r="F8" i="159"/>
  <c r="C8" i="159"/>
  <c r="I9" i="159"/>
  <c r="D9" i="159"/>
  <c r="J9" i="159"/>
  <c r="E9" i="159"/>
  <c r="F9" i="159"/>
  <c r="C9" i="159"/>
  <c r="I10" i="159"/>
  <c r="D10" i="159"/>
  <c r="J10" i="159"/>
  <c r="E10" i="159"/>
  <c r="F10" i="159"/>
  <c r="C10" i="159"/>
  <c r="I11" i="159"/>
  <c r="D11" i="159"/>
  <c r="J11" i="159"/>
  <c r="E11" i="159"/>
  <c r="F11" i="159"/>
  <c r="C11" i="159"/>
  <c r="I69" i="159"/>
  <c r="D69" i="159"/>
  <c r="J69" i="159"/>
  <c r="E69" i="159"/>
  <c r="F69" i="159"/>
  <c r="C69" i="159"/>
  <c r="I12" i="159"/>
  <c r="D12" i="159"/>
  <c r="J12" i="159"/>
  <c r="E12" i="159"/>
  <c r="F12" i="159"/>
  <c r="C12" i="159"/>
  <c r="I13" i="159"/>
  <c r="D13" i="159"/>
  <c r="J13" i="159"/>
  <c r="E13" i="159"/>
  <c r="F13" i="159"/>
  <c r="C13" i="159"/>
  <c r="I70" i="159"/>
  <c r="D70" i="159"/>
  <c r="J70" i="159"/>
  <c r="E70" i="159"/>
  <c r="F70" i="159"/>
  <c r="C70" i="159"/>
  <c r="I14" i="159"/>
  <c r="D14" i="159"/>
  <c r="J14" i="159"/>
  <c r="E14" i="159"/>
  <c r="F14" i="159"/>
  <c r="C14" i="159"/>
  <c r="I71" i="159"/>
  <c r="D71" i="159"/>
  <c r="J71" i="159"/>
  <c r="E71" i="159"/>
  <c r="F71" i="159"/>
  <c r="C71" i="159"/>
  <c r="I72" i="159"/>
  <c r="D72" i="159"/>
  <c r="J72" i="159"/>
  <c r="E72" i="159"/>
  <c r="F72" i="159"/>
  <c r="C72" i="159"/>
  <c r="I15" i="159"/>
  <c r="D15" i="159"/>
  <c r="J15" i="159"/>
  <c r="E15" i="159"/>
  <c r="F15" i="159"/>
  <c r="C15" i="159"/>
  <c r="I73" i="159"/>
  <c r="D73" i="159"/>
  <c r="J73" i="159"/>
  <c r="E73" i="159"/>
  <c r="F73" i="159"/>
  <c r="C73" i="159"/>
  <c r="I16" i="159"/>
  <c r="D16" i="159"/>
  <c r="J16" i="159"/>
  <c r="E16" i="159"/>
  <c r="F16" i="159"/>
  <c r="C16" i="159"/>
  <c r="I74" i="159"/>
  <c r="D74" i="159"/>
  <c r="J74" i="159"/>
  <c r="E74" i="159"/>
  <c r="F74" i="159"/>
  <c r="C74" i="159"/>
  <c r="I17" i="159"/>
  <c r="D17" i="159"/>
  <c r="J17" i="159"/>
  <c r="E17" i="159"/>
  <c r="F17" i="159"/>
  <c r="C17" i="159"/>
  <c r="I18" i="159"/>
  <c r="D18" i="159"/>
  <c r="J18" i="159"/>
  <c r="E18" i="159"/>
  <c r="F18" i="159"/>
  <c r="C18" i="159"/>
  <c r="I75" i="159"/>
  <c r="D75" i="159"/>
  <c r="J75" i="159"/>
  <c r="E75" i="159"/>
  <c r="F75" i="159"/>
  <c r="C75" i="159"/>
  <c r="I76" i="159"/>
  <c r="D76" i="159"/>
  <c r="J76" i="159"/>
  <c r="E76" i="159"/>
  <c r="F76" i="159"/>
  <c r="C76" i="159"/>
  <c r="I19" i="159"/>
  <c r="D19" i="159"/>
  <c r="J19" i="159"/>
  <c r="E19" i="159"/>
  <c r="F19" i="159"/>
  <c r="C19" i="159"/>
  <c r="I77" i="159"/>
  <c r="D77" i="159"/>
  <c r="J77" i="159"/>
  <c r="E77" i="159"/>
  <c r="F77" i="159"/>
  <c r="C77" i="159"/>
  <c r="I20" i="159"/>
  <c r="D20" i="159"/>
  <c r="J20" i="159"/>
  <c r="E20" i="159"/>
  <c r="F20" i="159"/>
  <c r="C20" i="159"/>
  <c r="I21" i="159"/>
  <c r="D21" i="159"/>
  <c r="J21" i="159"/>
  <c r="E21" i="159"/>
  <c r="F21" i="159"/>
  <c r="C21" i="159"/>
  <c r="I78" i="159"/>
  <c r="D78" i="159"/>
  <c r="J78" i="159"/>
  <c r="E78" i="159"/>
  <c r="F78" i="159"/>
  <c r="C78" i="159"/>
  <c r="I22" i="159"/>
  <c r="D22" i="159"/>
  <c r="J22" i="159"/>
  <c r="E22" i="159"/>
  <c r="F22" i="159"/>
  <c r="C22" i="159"/>
  <c r="I79" i="159"/>
  <c r="D79" i="159"/>
  <c r="J79" i="159"/>
  <c r="E79" i="159"/>
  <c r="F79" i="159"/>
  <c r="C79" i="159"/>
  <c r="I23" i="159"/>
  <c r="D23" i="159"/>
  <c r="J23" i="159"/>
  <c r="E23" i="159"/>
  <c r="F23" i="159"/>
  <c r="C23" i="159"/>
  <c r="I80" i="159"/>
  <c r="D80" i="159"/>
  <c r="J80" i="159"/>
  <c r="E80" i="159"/>
  <c r="F80" i="159"/>
  <c r="C80" i="159"/>
  <c r="I24" i="159"/>
  <c r="D24" i="159"/>
  <c r="J24" i="159"/>
  <c r="E24" i="159"/>
  <c r="F24" i="159"/>
  <c r="C24" i="159"/>
  <c r="I25" i="159"/>
  <c r="D25" i="159"/>
  <c r="J25" i="159"/>
  <c r="E25" i="159"/>
  <c r="F25" i="159"/>
  <c r="C25" i="159"/>
  <c r="I81" i="159"/>
  <c r="D81" i="159"/>
  <c r="J81" i="159"/>
  <c r="E81" i="159"/>
  <c r="F81" i="159"/>
  <c r="C81" i="159"/>
  <c r="I26" i="159"/>
  <c r="D26" i="159"/>
  <c r="J26" i="159"/>
  <c r="E26" i="159"/>
  <c r="F26" i="159"/>
  <c r="C26" i="159"/>
  <c r="I27" i="159"/>
  <c r="D27" i="159"/>
  <c r="J27" i="159"/>
  <c r="E27" i="159"/>
  <c r="F27" i="159"/>
  <c r="C27" i="159"/>
  <c r="I82" i="159"/>
  <c r="D82" i="159"/>
  <c r="J82" i="159"/>
  <c r="E82" i="159"/>
  <c r="F82" i="159"/>
  <c r="C82" i="159"/>
  <c r="I83" i="159"/>
  <c r="D83" i="159"/>
  <c r="J83" i="159"/>
  <c r="E83" i="159"/>
  <c r="F83" i="159"/>
  <c r="C83" i="159"/>
  <c r="I28" i="159"/>
  <c r="D28" i="159"/>
  <c r="J28" i="159"/>
  <c r="E28" i="159"/>
  <c r="F28" i="159"/>
  <c r="C28" i="159"/>
  <c r="I84" i="159"/>
  <c r="D84" i="159"/>
  <c r="J84" i="159"/>
  <c r="E84" i="159"/>
  <c r="F84" i="159"/>
  <c r="C84" i="159"/>
  <c r="I85" i="159"/>
  <c r="D85" i="159"/>
  <c r="J85" i="159"/>
  <c r="E85" i="159"/>
  <c r="F85" i="159"/>
  <c r="C85" i="159"/>
  <c r="I29" i="159"/>
  <c r="D29" i="159"/>
  <c r="J29" i="159"/>
  <c r="E29" i="159"/>
  <c r="F29" i="159"/>
  <c r="C29" i="159"/>
  <c r="I86" i="159"/>
  <c r="D86" i="159"/>
  <c r="J86" i="159"/>
  <c r="E86" i="159"/>
  <c r="F86" i="159"/>
  <c r="C86" i="159"/>
  <c r="I30" i="159"/>
  <c r="D30" i="159"/>
  <c r="J30" i="159"/>
  <c r="E30" i="159"/>
  <c r="F30" i="159"/>
  <c r="C30" i="159"/>
  <c r="I31" i="159"/>
  <c r="D31" i="159"/>
  <c r="J31" i="159"/>
  <c r="E31" i="159"/>
  <c r="F31" i="159"/>
  <c r="C31" i="159"/>
  <c r="I87" i="159"/>
  <c r="D87" i="159"/>
  <c r="J87" i="159"/>
  <c r="E87" i="159"/>
  <c r="F87" i="159"/>
  <c r="C87" i="159"/>
  <c r="I88" i="159"/>
  <c r="D88" i="159"/>
  <c r="J88" i="159"/>
  <c r="E88" i="159"/>
  <c r="F88" i="159"/>
  <c r="C88" i="159"/>
  <c r="I89" i="159"/>
  <c r="D89" i="159"/>
  <c r="J89" i="159"/>
  <c r="E89" i="159"/>
  <c r="F89" i="159"/>
  <c r="C89" i="159"/>
  <c r="I90" i="159"/>
  <c r="D90" i="159"/>
  <c r="J90" i="159"/>
  <c r="E90" i="159"/>
  <c r="F90" i="159"/>
  <c r="C90" i="159"/>
  <c r="I32" i="159"/>
  <c r="D32" i="159"/>
  <c r="J32" i="159"/>
  <c r="E32" i="159"/>
  <c r="F32" i="159"/>
  <c r="C32" i="159"/>
  <c r="I33" i="159"/>
  <c r="D33" i="159"/>
  <c r="J33" i="159"/>
  <c r="E33" i="159"/>
  <c r="F33" i="159"/>
  <c r="C33" i="159"/>
  <c r="I91" i="159"/>
  <c r="D91" i="159"/>
  <c r="J91" i="159"/>
  <c r="E91" i="159"/>
  <c r="F91" i="159"/>
  <c r="C91" i="159"/>
  <c r="I92" i="159"/>
  <c r="D92" i="159"/>
  <c r="J92" i="159"/>
  <c r="E92" i="159"/>
  <c r="F92" i="159"/>
  <c r="C92" i="159"/>
  <c r="I34" i="159"/>
  <c r="D34" i="159"/>
  <c r="J34" i="159"/>
  <c r="E34" i="159"/>
  <c r="F34" i="159"/>
  <c r="C34" i="159"/>
  <c r="I35" i="159"/>
  <c r="D35" i="159"/>
  <c r="J35" i="159"/>
  <c r="E35" i="159"/>
  <c r="F35" i="159"/>
  <c r="C35" i="159"/>
  <c r="I38" i="159"/>
  <c r="D38" i="159"/>
  <c r="J38" i="159"/>
  <c r="E38" i="159"/>
  <c r="F38" i="159"/>
  <c r="C38" i="159"/>
  <c r="I39" i="159"/>
  <c r="D39" i="159"/>
  <c r="J39" i="159"/>
  <c r="E39" i="159"/>
  <c r="F39" i="159"/>
  <c r="C39" i="159"/>
  <c r="I95" i="159"/>
  <c r="D95" i="159"/>
  <c r="J95" i="159"/>
  <c r="E95" i="159"/>
  <c r="F95" i="159"/>
  <c r="C95" i="159"/>
  <c r="I96" i="159"/>
  <c r="D96" i="159"/>
  <c r="J96" i="159"/>
  <c r="E96" i="159"/>
  <c r="F96" i="159"/>
  <c r="C96" i="159"/>
  <c r="I40" i="159"/>
  <c r="D40" i="159"/>
  <c r="J40" i="159"/>
  <c r="E40" i="159"/>
  <c r="F40" i="159"/>
  <c r="C40" i="159"/>
  <c r="I41" i="159"/>
  <c r="D41" i="159"/>
  <c r="J41" i="159"/>
  <c r="E41" i="159"/>
  <c r="F41" i="159"/>
  <c r="C41" i="159"/>
  <c r="I97" i="159"/>
  <c r="D97" i="159"/>
  <c r="J97" i="159"/>
  <c r="E97" i="159"/>
  <c r="F97" i="159"/>
  <c r="C97" i="159"/>
  <c r="I98" i="159"/>
  <c r="D98" i="159"/>
  <c r="J98" i="159"/>
  <c r="E98" i="159"/>
  <c r="F98" i="159"/>
  <c r="C98" i="159"/>
  <c r="I99" i="159"/>
  <c r="D99" i="159"/>
  <c r="J99" i="159"/>
  <c r="E99" i="159"/>
  <c r="F99" i="159"/>
  <c r="C99" i="159"/>
  <c r="I100" i="159"/>
  <c r="D100" i="159"/>
  <c r="J100" i="159"/>
  <c r="E100" i="159"/>
  <c r="F100" i="159"/>
  <c r="C100" i="159"/>
  <c r="I42" i="159"/>
  <c r="D42" i="159"/>
  <c r="J42" i="159"/>
  <c r="E42" i="159"/>
  <c r="F42" i="159"/>
  <c r="C42" i="159"/>
  <c r="I43" i="159"/>
  <c r="D43" i="159"/>
  <c r="J43" i="159"/>
  <c r="E43" i="159"/>
  <c r="F43" i="159"/>
  <c r="C43" i="159"/>
  <c r="I36" i="159"/>
  <c r="D36" i="159"/>
  <c r="J36" i="159"/>
  <c r="E36" i="159"/>
  <c r="F36" i="159"/>
  <c r="C36" i="159"/>
  <c r="I37" i="159"/>
  <c r="D37" i="159"/>
  <c r="J37" i="159"/>
  <c r="E37" i="159"/>
  <c r="F37" i="159"/>
  <c r="C37" i="159"/>
  <c r="I93" i="159"/>
  <c r="D93" i="159"/>
  <c r="J93" i="159"/>
  <c r="E93" i="159"/>
  <c r="F93" i="159"/>
  <c r="C93" i="159"/>
  <c r="I94" i="159"/>
  <c r="D94" i="159"/>
  <c r="J94" i="159"/>
  <c r="E94" i="159"/>
  <c r="F94" i="159"/>
  <c r="C94" i="159"/>
  <c r="I44" i="159"/>
  <c r="D44" i="159"/>
  <c r="J44" i="159"/>
  <c r="E44" i="159"/>
  <c r="F44" i="159"/>
  <c r="C44" i="159"/>
  <c r="I101" i="159"/>
  <c r="D101" i="159"/>
  <c r="J101" i="159"/>
  <c r="E101" i="159"/>
  <c r="F101" i="159"/>
  <c r="C101" i="159"/>
  <c r="I45" i="159"/>
  <c r="D45" i="159"/>
  <c r="J45" i="159"/>
  <c r="E45" i="159"/>
  <c r="F45" i="159"/>
  <c r="C45" i="159"/>
  <c r="I46" i="159"/>
  <c r="D46" i="159"/>
  <c r="J46" i="159"/>
  <c r="E46" i="159"/>
  <c r="F46" i="159"/>
  <c r="C46" i="159"/>
  <c r="I47" i="159"/>
  <c r="D47" i="159"/>
  <c r="J47" i="159"/>
  <c r="E47" i="159"/>
  <c r="F47" i="159"/>
  <c r="C47" i="159"/>
  <c r="I48" i="159"/>
  <c r="D48" i="159"/>
  <c r="J48" i="159"/>
  <c r="E48" i="159"/>
  <c r="F48" i="159"/>
  <c r="C48" i="159"/>
  <c r="I102" i="159"/>
  <c r="D102" i="159"/>
  <c r="J102" i="159"/>
  <c r="E102" i="159"/>
  <c r="F102" i="159"/>
  <c r="C102" i="159"/>
  <c r="I49" i="159"/>
  <c r="D49" i="159"/>
  <c r="J49" i="159"/>
  <c r="E49" i="159"/>
  <c r="F49" i="159"/>
  <c r="C49" i="159"/>
  <c r="I103" i="159"/>
  <c r="D103" i="159"/>
  <c r="J103" i="159"/>
  <c r="E103" i="159"/>
  <c r="F103" i="159"/>
  <c r="C103" i="159"/>
  <c r="I50" i="159"/>
  <c r="D50" i="159"/>
  <c r="J50" i="159"/>
  <c r="E50" i="159"/>
  <c r="F50" i="159"/>
  <c r="C50" i="159"/>
  <c r="I51" i="159"/>
  <c r="D51" i="159"/>
  <c r="J51" i="159"/>
  <c r="E51" i="159"/>
  <c r="F51" i="159"/>
  <c r="C51" i="159"/>
  <c r="I52" i="159"/>
  <c r="D52" i="159"/>
  <c r="J52" i="159"/>
  <c r="E52" i="159"/>
  <c r="F52" i="159"/>
  <c r="C52" i="159"/>
  <c r="I104" i="159"/>
  <c r="D104" i="159"/>
  <c r="J104" i="159"/>
  <c r="E104" i="159"/>
  <c r="F104" i="159"/>
  <c r="C104" i="159"/>
  <c r="I53" i="159"/>
  <c r="D53" i="159"/>
  <c r="J53" i="159"/>
  <c r="E53" i="159"/>
  <c r="F53" i="159"/>
  <c r="C53" i="159"/>
  <c r="I2" i="159"/>
  <c r="D2" i="159"/>
  <c r="J2" i="159"/>
  <c r="E2" i="159"/>
  <c r="F2" i="159"/>
  <c r="C2" i="159"/>
  <c r="I54" i="159"/>
  <c r="D54" i="159"/>
  <c r="J54" i="159"/>
  <c r="E54" i="159"/>
  <c r="F54" i="159"/>
  <c r="C54" i="159"/>
  <c r="I105" i="159"/>
  <c r="D105" i="159"/>
  <c r="J105" i="159"/>
  <c r="E105" i="159"/>
  <c r="F105" i="159"/>
  <c r="C105" i="159"/>
  <c r="I56" i="159"/>
  <c r="D56" i="159"/>
  <c r="J56" i="159"/>
  <c r="E56" i="159"/>
  <c r="F56" i="159"/>
  <c r="C56" i="159"/>
  <c r="I3" i="159"/>
  <c r="D3" i="159"/>
  <c r="J3" i="159"/>
  <c r="E3" i="159"/>
  <c r="F3" i="159"/>
  <c r="C3" i="159"/>
  <c r="I55" i="159"/>
  <c r="D55" i="159"/>
  <c r="J55" i="159"/>
  <c r="E55" i="159"/>
  <c r="F55" i="159"/>
  <c r="C55" i="159"/>
  <c r="I6" i="159"/>
  <c r="D6" i="159"/>
  <c r="J6" i="159"/>
  <c r="E6" i="159"/>
  <c r="F6" i="159"/>
  <c r="C6" i="159"/>
  <c r="I7" i="159"/>
  <c r="D7" i="159"/>
  <c r="J7" i="159"/>
  <c r="E7" i="159"/>
  <c r="F7" i="159"/>
  <c r="C7" i="159"/>
  <c r="I5" i="159"/>
  <c r="D5" i="159"/>
  <c r="J5" i="159"/>
  <c r="E5" i="159"/>
  <c r="F5" i="159"/>
  <c r="C5" i="159"/>
  <c r="I4" i="159"/>
  <c r="D4" i="159"/>
  <c r="J4" i="159"/>
  <c r="E4" i="159"/>
  <c r="F4" i="159"/>
  <c r="C4" i="159"/>
  <c r="N4" i="159"/>
  <c r="M4" i="159"/>
  <c r="L4" i="159"/>
  <c r="K4" i="159"/>
  <c r="H4" i="159"/>
  <c r="A4" i="159"/>
  <c r="P5" i="159"/>
  <c r="N5" i="159"/>
  <c r="M5" i="159"/>
  <c r="L5" i="159"/>
  <c r="K5" i="159"/>
  <c r="H5" i="159"/>
  <c r="A5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5" i="159"/>
  <c r="N55" i="159"/>
  <c r="M55" i="159"/>
  <c r="L55" i="159"/>
  <c r="K55" i="159"/>
  <c r="H55" i="159"/>
  <c r="A55" i="159"/>
  <c r="P3" i="159"/>
  <c r="N3" i="159"/>
  <c r="M3" i="159"/>
  <c r="L3" i="159"/>
  <c r="K3" i="159"/>
  <c r="H3" i="159"/>
  <c r="A3" i="159"/>
  <c r="P56" i="159"/>
  <c r="N56" i="159"/>
  <c r="M56" i="159"/>
  <c r="L56" i="159"/>
  <c r="K56" i="159"/>
  <c r="H56" i="159"/>
  <c r="A56" i="159"/>
  <c r="P105" i="159"/>
  <c r="N105" i="159"/>
  <c r="M105" i="159"/>
  <c r="L105" i="159"/>
  <c r="K105" i="159"/>
  <c r="H105" i="159"/>
  <c r="A105" i="159"/>
  <c r="P54" i="159"/>
  <c r="N54" i="159"/>
  <c r="M54" i="159"/>
  <c r="L54" i="159"/>
  <c r="K54" i="159"/>
  <c r="H54" i="159"/>
  <c r="A54" i="159"/>
  <c r="P2" i="159"/>
  <c r="N2" i="159"/>
  <c r="M2" i="159"/>
  <c r="L2" i="159"/>
  <c r="K2" i="159"/>
  <c r="H2" i="159"/>
  <c r="A2" i="159"/>
  <c r="P53" i="159"/>
  <c r="N53" i="159"/>
  <c r="M53" i="159"/>
  <c r="L53" i="159"/>
  <c r="K53" i="159"/>
  <c r="H53" i="159"/>
  <c r="A53" i="159"/>
  <c r="P104" i="159"/>
  <c r="N104" i="159"/>
  <c r="M104" i="159"/>
  <c r="L104" i="159"/>
  <c r="K104" i="159"/>
  <c r="H104" i="159"/>
  <c r="A104" i="159"/>
  <c r="P52" i="159"/>
  <c r="N52" i="159"/>
  <c r="M52" i="159"/>
  <c r="L52" i="159"/>
  <c r="K52" i="159"/>
  <c r="H52" i="159"/>
  <c r="A52" i="159"/>
  <c r="P51" i="159"/>
  <c r="N51" i="159"/>
  <c r="M51" i="159"/>
  <c r="L51" i="159"/>
  <c r="K51" i="159"/>
  <c r="H51" i="159"/>
  <c r="A51" i="159"/>
  <c r="P50" i="159"/>
  <c r="N50" i="159"/>
  <c r="M50" i="159"/>
  <c r="L50" i="159"/>
  <c r="K50" i="159"/>
  <c r="H50" i="159"/>
  <c r="A50" i="159"/>
  <c r="P103" i="159"/>
  <c r="N103" i="159"/>
  <c r="M103" i="159"/>
  <c r="L103" i="159"/>
  <c r="K103" i="159"/>
  <c r="H103" i="159"/>
  <c r="A103" i="159"/>
  <c r="P49" i="159"/>
  <c r="N49" i="159"/>
  <c r="M49" i="159"/>
  <c r="L49" i="159"/>
  <c r="K49" i="159"/>
  <c r="H49" i="159"/>
  <c r="A49" i="159"/>
  <c r="P102" i="159"/>
  <c r="N102" i="159"/>
  <c r="M102" i="159"/>
  <c r="L102" i="159"/>
  <c r="K102" i="159"/>
  <c r="H102" i="159"/>
  <c r="A102" i="159"/>
  <c r="P48" i="159"/>
  <c r="N48" i="159"/>
  <c r="M48" i="159"/>
  <c r="L48" i="159"/>
  <c r="K48" i="159"/>
  <c r="H48" i="159"/>
  <c r="A48" i="159"/>
  <c r="P47" i="159"/>
  <c r="N47" i="159"/>
  <c r="M47" i="159"/>
  <c r="L47" i="159"/>
  <c r="K47" i="159"/>
  <c r="H47" i="159"/>
  <c r="A47" i="159"/>
  <c r="P46" i="159"/>
  <c r="N46" i="159"/>
  <c r="M46" i="159"/>
  <c r="L46" i="159"/>
  <c r="K46" i="159"/>
  <c r="H46" i="159"/>
  <c r="A46" i="159"/>
  <c r="P45" i="159"/>
  <c r="N45" i="159"/>
  <c r="M45" i="159"/>
  <c r="L45" i="159"/>
  <c r="K45" i="159"/>
  <c r="H45" i="159"/>
  <c r="A45" i="159"/>
  <c r="P101" i="159"/>
  <c r="N101" i="159"/>
  <c r="M101" i="159"/>
  <c r="L101" i="159"/>
  <c r="K101" i="159"/>
  <c r="H101" i="159"/>
  <c r="A101" i="159"/>
  <c r="P44" i="159"/>
  <c r="N44" i="159"/>
  <c r="M44" i="159"/>
  <c r="L44" i="159"/>
  <c r="K44" i="159"/>
  <c r="H44" i="159"/>
  <c r="A44" i="159"/>
  <c r="P94" i="159"/>
  <c r="N94" i="159"/>
  <c r="M94" i="159"/>
  <c r="L94" i="159"/>
  <c r="K94" i="159"/>
  <c r="H94" i="159"/>
  <c r="A94" i="159"/>
  <c r="P93" i="159"/>
  <c r="N93" i="159"/>
  <c r="M93" i="159"/>
  <c r="L93" i="159"/>
  <c r="K93" i="159"/>
  <c r="H93" i="159"/>
  <c r="A93" i="159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43" i="159"/>
  <c r="N43" i="159"/>
  <c r="M43" i="159"/>
  <c r="L43" i="159"/>
  <c r="K43" i="159"/>
  <c r="H43" i="159"/>
  <c r="A43" i="159"/>
  <c r="P42" i="159"/>
  <c r="N42" i="159"/>
  <c r="M42" i="159"/>
  <c r="L42" i="159"/>
  <c r="K42" i="159"/>
  <c r="H42" i="159"/>
  <c r="A42" i="159"/>
  <c r="P100" i="159"/>
  <c r="N100" i="159"/>
  <c r="M100" i="159"/>
  <c r="L100" i="159"/>
  <c r="K100" i="159"/>
  <c r="H100" i="159"/>
  <c r="A100" i="159"/>
  <c r="P99" i="159"/>
  <c r="N99" i="159"/>
  <c r="M99" i="159"/>
  <c r="L99" i="159"/>
  <c r="K99" i="159"/>
  <c r="H99" i="159"/>
  <c r="A99" i="159"/>
  <c r="P98" i="159"/>
  <c r="N98" i="159"/>
  <c r="M98" i="159"/>
  <c r="L98" i="159"/>
  <c r="K98" i="159"/>
  <c r="H98" i="159"/>
  <c r="A98" i="159"/>
  <c r="P97" i="159"/>
  <c r="N97" i="159"/>
  <c r="M97" i="159"/>
  <c r="L97" i="159"/>
  <c r="K97" i="159"/>
  <c r="H97" i="159"/>
  <c r="A97" i="159"/>
  <c r="P41" i="159"/>
  <c r="N41" i="159"/>
  <c r="M41" i="159"/>
  <c r="L41" i="159"/>
  <c r="K41" i="159"/>
  <c r="H41" i="159"/>
  <c r="A41" i="159"/>
  <c r="P40" i="159"/>
  <c r="N40" i="159"/>
  <c r="M40" i="159"/>
  <c r="L40" i="159"/>
  <c r="K40" i="159"/>
  <c r="H40" i="159"/>
  <c r="A40" i="159"/>
  <c r="P96" i="159"/>
  <c r="N96" i="159"/>
  <c r="M96" i="159"/>
  <c r="L96" i="159"/>
  <c r="K96" i="159"/>
  <c r="H96" i="159"/>
  <c r="A96" i="159"/>
  <c r="P95" i="159"/>
  <c r="N95" i="159"/>
  <c r="M95" i="159"/>
  <c r="L95" i="159"/>
  <c r="K95" i="159"/>
  <c r="H95" i="159"/>
  <c r="A95" i="159"/>
  <c r="P39" i="159"/>
  <c r="N39" i="159"/>
  <c r="M39" i="159"/>
  <c r="L39" i="159"/>
  <c r="K39" i="159"/>
  <c r="H39" i="159"/>
  <c r="A39" i="159"/>
  <c r="P38" i="159"/>
  <c r="N38" i="159"/>
  <c r="M38" i="159"/>
  <c r="L38" i="159"/>
  <c r="K38" i="159"/>
  <c r="H38" i="159"/>
  <c r="A38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92" i="159"/>
  <c r="N92" i="159"/>
  <c r="M92" i="159"/>
  <c r="L92" i="159"/>
  <c r="K92" i="159"/>
  <c r="H92" i="159"/>
  <c r="A92" i="159"/>
  <c r="P91" i="159"/>
  <c r="N91" i="159"/>
  <c r="M91" i="159"/>
  <c r="L91" i="159"/>
  <c r="K91" i="159"/>
  <c r="H91" i="159"/>
  <c r="A91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90" i="159"/>
  <c r="N90" i="159"/>
  <c r="M90" i="159"/>
  <c r="L90" i="159"/>
  <c r="K90" i="159"/>
  <c r="H90" i="159"/>
  <c r="A90" i="159"/>
  <c r="P89" i="159"/>
  <c r="N89" i="159"/>
  <c r="M89" i="159"/>
  <c r="L89" i="159"/>
  <c r="K89" i="159"/>
  <c r="H89" i="159"/>
  <c r="A89" i="159"/>
  <c r="P88" i="159"/>
  <c r="N88" i="159"/>
  <c r="M88" i="159"/>
  <c r="L88" i="159"/>
  <c r="K88" i="159"/>
  <c r="H88" i="159"/>
  <c r="A88" i="159"/>
  <c r="P87" i="159"/>
  <c r="N87" i="159"/>
  <c r="M87" i="159"/>
  <c r="L87" i="159"/>
  <c r="K87" i="159"/>
  <c r="H87" i="159"/>
  <c r="A87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86" i="159"/>
  <c r="N86" i="159"/>
  <c r="M86" i="159"/>
  <c r="L86" i="159"/>
  <c r="K86" i="159"/>
  <c r="H86" i="159"/>
  <c r="A86" i="159"/>
  <c r="P29" i="159"/>
  <c r="N29" i="159"/>
  <c r="M29" i="159"/>
  <c r="L29" i="159"/>
  <c r="K29" i="159"/>
  <c r="H29" i="159"/>
  <c r="A29" i="159"/>
  <c r="P85" i="159"/>
  <c r="N85" i="159"/>
  <c r="M85" i="159"/>
  <c r="L85" i="159"/>
  <c r="K85" i="159"/>
  <c r="H85" i="159"/>
  <c r="A85" i="159"/>
  <c r="P84" i="159"/>
  <c r="N84" i="159"/>
  <c r="M84" i="159"/>
  <c r="L84" i="159"/>
  <c r="K84" i="159"/>
  <c r="H84" i="159"/>
  <c r="A84" i="159"/>
  <c r="P28" i="159"/>
  <c r="N28" i="159"/>
  <c r="M28" i="159"/>
  <c r="L28" i="159"/>
  <c r="K28" i="159"/>
  <c r="H28" i="159"/>
  <c r="A28" i="159"/>
  <c r="P83" i="159"/>
  <c r="N83" i="159"/>
  <c r="M83" i="159"/>
  <c r="L83" i="159"/>
  <c r="K83" i="159"/>
  <c r="H83" i="159"/>
  <c r="A83" i="159"/>
  <c r="P82" i="159"/>
  <c r="N82" i="159"/>
  <c r="M82" i="159"/>
  <c r="L82" i="159"/>
  <c r="K82" i="159"/>
  <c r="H82" i="159"/>
  <c r="A82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81" i="159"/>
  <c r="N81" i="159"/>
  <c r="M81" i="159"/>
  <c r="L81" i="159"/>
  <c r="K81" i="159"/>
  <c r="H81" i="159"/>
  <c r="A81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80" i="159"/>
  <c r="N80" i="159"/>
  <c r="M80" i="159"/>
  <c r="L80" i="159"/>
  <c r="K80" i="159"/>
  <c r="H80" i="159"/>
  <c r="A80" i="159"/>
  <c r="P23" i="159"/>
  <c r="N23" i="159"/>
  <c r="M23" i="159"/>
  <c r="L23" i="159"/>
  <c r="K23" i="159"/>
  <c r="H23" i="159"/>
  <c r="A23" i="159"/>
  <c r="P79" i="159"/>
  <c r="N79" i="159"/>
  <c r="M79" i="159"/>
  <c r="L79" i="159"/>
  <c r="K79" i="159"/>
  <c r="H79" i="159"/>
  <c r="A79" i="159"/>
  <c r="P22" i="159"/>
  <c r="N22" i="159"/>
  <c r="M22" i="159"/>
  <c r="L22" i="159"/>
  <c r="K22" i="159"/>
  <c r="H22" i="159"/>
  <c r="A22" i="159"/>
  <c r="P78" i="159"/>
  <c r="N78" i="159"/>
  <c r="M78" i="159"/>
  <c r="L78" i="159"/>
  <c r="K78" i="159"/>
  <c r="H78" i="159"/>
  <c r="A78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77" i="159"/>
  <c r="N77" i="159"/>
  <c r="M77" i="159"/>
  <c r="L77" i="159"/>
  <c r="K77" i="159"/>
  <c r="H77" i="159"/>
  <c r="A77" i="159"/>
  <c r="P19" i="159"/>
  <c r="N19" i="159"/>
  <c r="M19" i="159"/>
  <c r="L19" i="159"/>
  <c r="K19" i="159"/>
  <c r="H19" i="159"/>
  <c r="A19" i="159"/>
  <c r="P76" i="159"/>
  <c r="N76" i="159"/>
  <c r="M76" i="159"/>
  <c r="L76" i="159"/>
  <c r="K76" i="159"/>
  <c r="H76" i="159"/>
  <c r="A76" i="159"/>
  <c r="P75" i="159"/>
  <c r="N75" i="159"/>
  <c r="M75" i="159"/>
  <c r="L75" i="159"/>
  <c r="K75" i="159"/>
  <c r="H75" i="159"/>
  <c r="A75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74" i="159"/>
  <c r="N74" i="159"/>
  <c r="M74" i="159"/>
  <c r="L74" i="159"/>
  <c r="K74" i="159"/>
  <c r="H74" i="159"/>
  <c r="A74" i="159"/>
  <c r="P16" i="159"/>
  <c r="N16" i="159"/>
  <c r="M16" i="159"/>
  <c r="L16" i="159"/>
  <c r="K16" i="159"/>
  <c r="H16" i="159"/>
  <c r="A16" i="159"/>
  <c r="P73" i="159"/>
  <c r="N73" i="159"/>
  <c r="M73" i="159"/>
  <c r="L73" i="159"/>
  <c r="K73" i="159"/>
  <c r="H73" i="159"/>
  <c r="A73" i="159"/>
  <c r="P15" i="159"/>
  <c r="N15" i="159"/>
  <c r="M15" i="159"/>
  <c r="L15" i="159"/>
  <c r="K15" i="159"/>
  <c r="H15" i="159"/>
  <c r="A15" i="159"/>
  <c r="P72" i="159"/>
  <c r="N72" i="159"/>
  <c r="M72" i="159"/>
  <c r="L72" i="159"/>
  <c r="K72" i="159"/>
  <c r="H72" i="159"/>
  <c r="A72" i="159"/>
  <c r="P71" i="159"/>
  <c r="N71" i="159"/>
  <c r="M71" i="159"/>
  <c r="L71" i="159"/>
  <c r="K71" i="159"/>
  <c r="H71" i="159"/>
  <c r="A71" i="159"/>
  <c r="P14" i="159"/>
  <c r="N14" i="159"/>
  <c r="M14" i="159"/>
  <c r="L14" i="159"/>
  <c r="K14" i="159"/>
  <c r="H14" i="159"/>
  <c r="A14" i="159"/>
  <c r="P70" i="159"/>
  <c r="N70" i="159"/>
  <c r="M70" i="159"/>
  <c r="L70" i="159"/>
  <c r="K70" i="159"/>
  <c r="H70" i="159"/>
  <c r="A70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69" i="159"/>
  <c r="N69" i="159"/>
  <c r="M69" i="159"/>
  <c r="L69" i="159"/>
  <c r="K69" i="159"/>
  <c r="H69" i="159"/>
  <c r="A69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68" i="159"/>
  <c r="N68" i="159"/>
  <c r="M68" i="159"/>
  <c r="L68" i="159"/>
  <c r="K68" i="159"/>
  <c r="H68" i="159"/>
  <c r="A68" i="159"/>
  <c r="P67" i="159"/>
  <c r="N67" i="159"/>
  <c r="M67" i="159"/>
  <c r="L67" i="159"/>
  <c r="K67" i="159"/>
  <c r="H67" i="159"/>
  <c r="A67" i="159"/>
  <c r="P66" i="159"/>
  <c r="N66" i="159"/>
  <c r="M66" i="159"/>
  <c r="L66" i="159"/>
  <c r="K66" i="159"/>
  <c r="H66" i="159"/>
  <c r="A66" i="159"/>
  <c r="P65" i="159"/>
  <c r="N65" i="159"/>
  <c r="M65" i="159"/>
  <c r="L65" i="159"/>
  <c r="K65" i="159"/>
  <c r="H65" i="159"/>
  <c r="A65" i="159"/>
  <c r="P64" i="159"/>
  <c r="N64" i="159"/>
  <c r="M64" i="159"/>
  <c r="L64" i="159"/>
  <c r="K64" i="159"/>
  <c r="H64" i="159"/>
  <c r="A64" i="159"/>
  <c r="P63" i="159"/>
  <c r="N63" i="159"/>
  <c r="M63" i="159"/>
  <c r="L63" i="159"/>
  <c r="K63" i="159"/>
  <c r="H63" i="159"/>
  <c r="A63" i="159"/>
  <c r="P62" i="159"/>
  <c r="N62" i="159"/>
  <c r="M62" i="159"/>
  <c r="L62" i="159"/>
  <c r="K62" i="159"/>
  <c r="H62" i="159"/>
  <c r="A62" i="159"/>
  <c r="P61" i="159"/>
  <c r="N61" i="159"/>
  <c r="M61" i="159"/>
  <c r="L61" i="159"/>
  <c r="K61" i="159"/>
  <c r="H61" i="159"/>
  <c r="A61" i="159"/>
  <c r="P60" i="159"/>
  <c r="N60" i="159"/>
  <c r="M60" i="159"/>
  <c r="L60" i="159"/>
  <c r="K60" i="159"/>
  <c r="H60" i="159"/>
  <c r="A60" i="159"/>
  <c r="P59" i="159"/>
  <c r="N59" i="159"/>
  <c r="M59" i="159"/>
  <c r="L59" i="159"/>
  <c r="K59" i="159"/>
  <c r="H59" i="159"/>
  <c r="A59" i="159"/>
  <c r="P58" i="159"/>
  <c r="N58" i="159"/>
  <c r="M58" i="159"/>
  <c r="L58" i="159"/>
  <c r="K58" i="159"/>
  <c r="H58" i="159"/>
  <c r="A58" i="159"/>
  <c r="P57" i="159"/>
  <c r="N57" i="159"/>
  <c r="M57" i="159"/>
  <c r="L57" i="159"/>
  <c r="K57" i="159"/>
  <c r="H57" i="159"/>
  <c r="A57" i="159"/>
  <c r="P125" i="159"/>
  <c r="N125" i="159"/>
  <c r="M125" i="159"/>
  <c r="L125" i="159"/>
  <c r="K125" i="159"/>
  <c r="H125" i="159"/>
  <c r="A125" i="159"/>
  <c r="P124" i="159"/>
  <c r="N124" i="159"/>
  <c r="M124" i="159"/>
  <c r="L124" i="159"/>
  <c r="K124" i="159"/>
  <c r="H124" i="159"/>
  <c r="A124" i="159"/>
  <c r="P123" i="159"/>
  <c r="N123" i="159"/>
  <c r="M123" i="159"/>
  <c r="L123" i="159"/>
  <c r="K123" i="159"/>
  <c r="H123" i="159"/>
  <c r="A123" i="159"/>
  <c r="P122" i="159"/>
  <c r="N122" i="159"/>
  <c r="M122" i="159"/>
  <c r="L122" i="159"/>
  <c r="K122" i="159"/>
  <c r="H122" i="159"/>
  <c r="A122" i="159"/>
  <c r="P121" i="159"/>
  <c r="N121" i="159"/>
  <c r="M121" i="159"/>
  <c r="L121" i="159"/>
  <c r="K121" i="159"/>
  <c r="H121" i="159"/>
  <c r="A121" i="159"/>
  <c r="P120" i="159"/>
  <c r="N120" i="159"/>
  <c r="M120" i="159"/>
  <c r="L120" i="159"/>
  <c r="K120" i="159"/>
  <c r="H120" i="159"/>
  <c r="A120" i="159"/>
  <c r="P119" i="159"/>
  <c r="N119" i="159"/>
  <c r="M119" i="159"/>
  <c r="L119" i="159"/>
  <c r="K119" i="159"/>
  <c r="H119" i="159"/>
  <c r="A119" i="159"/>
  <c r="P118" i="159"/>
  <c r="N118" i="159"/>
  <c r="M118" i="159"/>
  <c r="L118" i="159"/>
  <c r="K118" i="159"/>
  <c r="H118" i="159"/>
  <c r="A118" i="159"/>
  <c r="P117" i="159"/>
  <c r="N117" i="159"/>
  <c r="M117" i="159"/>
  <c r="L117" i="159"/>
  <c r="K117" i="159"/>
  <c r="H117" i="159"/>
  <c r="A117" i="159"/>
  <c r="P116" i="159"/>
  <c r="N116" i="159"/>
  <c r="M116" i="159"/>
  <c r="L116" i="159"/>
  <c r="K116" i="159"/>
  <c r="H116" i="159"/>
  <c r="A116" i="159"/>
  <c r="P115" i="159"/>
  <c r="N115" i="159"/>
  <c r="M115" i="159"/>
  <c r="L115" i="159"/>
  <c r="K115" i="159"/>
  <c r="H115" i="159"/>
  <c r="A115" i="159"/>
  <c r="P114" i="159"/>
  <c r="N114" i="159"/>
  <c r="M114" i="159"/>
  <c r="L114" i="159"/>
  <c r="K114" i="159"/>
  <c r="H114" i="159"/>
  <c r="A114" i="159"/>
  <c r="P113" i="159"/>
  <c r="N113" i="159"/>
  <c r="M113" i="159"/>
  <c r="L113" i="159"/>
  <c r="K113" i="159"/>
  <c r="H113" i="159"/>
  <c r="A113" i="159"/>
  <c r="P112" i="159"/>
  <c r="N112" i="159"/>
  <c r="M112" i="159"/>
  <c r="L112" i="159"/>
  <c r="K112" i="159"/>
  <c r="H112" i="159"/>
  <c r="A112" i="159"/>
  <c r="P111" i="159"/>
  <c r="N111" i="159"/>
  <c r="M111" i="159"/>
  <c r="L111" i="159"/>
  <c r="K111" i="159"/>
  <c r="H111" i="159"/>
  <c r="A111" i="159"/>
  <c r="P110" i="159"/>
  <c r="N110" i="159"/>
  <c r="M110" i="159"/>
  <c r="L110" i="159"/>
  <c r="K110" i="159"/>
  <c r="H110" i="159"/>
  <c r="A110" i="159"/>
  <c r="P109" i="159"/>
  <c r="N109" i="159"/>
  <c r="M109" i="159"/>
  <c r="L109" i="159"/>
  <c r="K109" i="159"/>
  <c r="H109" i="159"/>
  <c r="A109" i="159"/>
  <c r="P108" i="159"/>
  <c r="N108" i="159"/>
  <c r="M108" i="159"/>
  <c r="L108" i="159"/>
  <c r="K108" i="159"/>
  <c r="H108" i="159"/>
  <c r="A108" i="159"/>
  <c r="P107" i="159"/>
  <c r="N107" i="159"/>
  <c r="M107" i="159"/>
  <c r="L107" i="159"/>
  <c r="K107" i="159"/>
  <c r="H107" i="159"/>
  <c r="A107" i="159"/>
  <c r="P106" i="159"/>
  <c r="N106" i="159"/>
  <c r="M106" i="159"/>
  <c r="L106" i="159"/>
  <c r="K106" i="159"/>
  <c r="H106" i="159"/>
  <c r="A106" i="159"/>
  <c r="F315" i="154"/>
  <c r="H315" i="154"/>
  <c r="K315" i="154"/>
  <c r="L315" i="154"/>
  <c r="M315" i="154"/>
  <c r="N315" i="154"/>
  <c r="F316" i="154"/>
  <c r="F317" i="154"/>
  <c r="F318" i="154"/>
  <c r="F319" i="154"/>
  <c r="F320" i="154"/>
  <c r="F321" i="154"/>
  <c r="A36" i="153"/>
  <c r="R3" i="153"/>
  <c r="O315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R4" i="153"/>
  <c r="O316" i="154"/>
  <c r="R5" i="153"/>
  <c r="O317" i="154"/>
  <c r="R6" i="153"/>
  <c r="O318" i="154"/>
  <c r="R7" i="153"/>
  <c r="O319" i="154"/>
  <c r="R8" i="153"/>
  <c r="O320" i="154"/>
  <c r="R9" i="153"/>
  <c r="O321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H320" i="154"/>
  <c r="K320" i="154"/>
  <c r="L320" i="154"/>
  <c r="M320" i="154"/>
  <c r="N320" i="154"/>
  <c r="P320" i="154"/>
  <c r="H321" i="154"/>
  <c r="K321" i="154"/>
  <c r="L321" i="154"/>
  <c r="M321" i="154"/>
  <c r="N321" i="154"/>
  <c r="P321" i="154"/>
  <c r="A315" i="154"/>
  <c r="A316" i="154"/>
  <c r="A317" i="154"/>
  <c r="A318" i="154"/>
  <c r="A319" i="154"/>
  <c r="A320" i="154"/>
  <c r="A321" i="154"/>
  <c r="F41" i="157"/>
  <c r="G41" i="157"/>
  <c r="H44" i="158"/>
  <c r="K44" i="158"/>
  <c r="L44" i="158"/>
  <c r="M44" i="158"/>
  <c r="N44" i="158"/>
  <c r="P44" i="158"/>
  <c r="H45" i="158"/>
  <c r="K45" i="158"/>
  <c r="L45" i="158"/>
  <c r="M45" i="158"/>
  <c r="N45" i="158"/>
  <c r="P45" i="158"/>
  <c r="H46" i="158"/>
  <c r="K46" i="158"/>
  <c r="L46" i="158"/>
  <c r="M46" i="158"/>
  <c r="N46" i="158"/>
  <c r="P46" i="158"/>
  <c r="H47" i="158"/>
  <c r="K47" i="158"/>
  <c r="L47" i="158"/>
  <c r="M47" i="158"/>
  <c r="N47" i="158"/>
  <c r="P47" i="158"/>
  <c r="H48" i="158"/>
  <c r="K48" i="158"/>
  <c r="L48" i="158"/>
  <c r="M48" i="158"/>
  <c r="N48" i="158"/>
  <c r="P48" i="158"/>
  <c r="H49" i="158"/>
  <c r="K49" i="158"/>
  <c r="L49" i="158"/>
  <c r="M49" i="158"/>
  <c r="N49" i="158"/>
  <c r="P49" i="158"/>
  <c r="H50" i="158"/>
  <c r="K50" i="158"/>
  <c r="L50" i="158"/>
  <c r="M50" i="158"/>
  <c r="N50" i="158"/>
  <c r="P50" i="158"/>
  <c r="A44" i="158"/>
  <c r="A45" i="158"/>
  <c r="A46" i="158"/>
  <c r="A47" i="158"/>
  <c r="A48" i="158"/>
  <c r="A49" i="158"/>
  <c r="A50" i="158"/>
  <c r="B10" i="157"/>
  <c r="F310" i="154"/>
  <c r="H310" i="154"/>
  <c r="K310" i="154"/>
  <c r="L310" i="154"/>
  <c r="M310" i="154"/>
  <c r="N310" i="154"/>
  <c r="F311" i="154"/>
  <c r="F312" i="154"/>
  <c r="F313" i="154"/>
  <c r="F314" i="154"/>
  <c r="B10" i="153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H260" i="158"/>
  <c r="K260" i="158"/>
  <c r="L260" i="158"/>
  <c r="M260" i="158"/>
  <c r="N260" i="158"/>
  <c r="P260" i="158"/>
  <c r="H261" i="158"/>
  <c r="K261" i="158"/>
  <c r="L261" i="158"/>
  <c r="M261" i="158"/>
  <c r="N261" i="158"/>
  <c r="P261" i="158"/>
  <c r="H126" i="158"/>
  <c r="K126" i="158"/>
  <c r="L126" i="158"/>
  <c r="M126" i="158"/>
  <c r="N126" i="158"/>
  <c r="P126" i="158"/>
  <c r="H43" i="158"/>
  <c r="K43" i="158"/>
  <c r="L43" i="158"/>
  <c r="M43" i="158"/>
  <c r="N43" i="158"/>
  <c r="P43" i="158"/>
  <c r="H127" i="158"/>
  <c r="K127" i="158"/>
  <c r="L127" i="158"/>
  <c r="M127" i="158"/>
  <c r="N127" i="158"/>
  <c r="P127" i="158"/>
  <c r="A260" i="158"/>
  <c r="A261" i="158"/>
  <c r="A126" i="158"/>
  <c r="A43" i="158"/>
  <c r="A127" i="158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124" i="158"/>
  <c r="H124" i="158"/>
  <c r="K124" i="158"/>
  <c r="L124" i="158"/>
  <c r="M124" i="158"/>
  <c r="N124" i="158"/>
  <c r="P124" i="158"/>
  <c r="A42" i="158"/>
  <c r="H42" i="158"/>
  <c r="K42" i="158"/>
  <c r="L42" i="158"/>
  <c r="M42" i="158"/>
  <c r="N42" i="158"/>
  <c r="P42" i="158"/>
  <c r="A125" i="158"/>
  <c r="H125" i="158"/>
  <c r="K125" i="158"/>
  <c r="L125" i="158"/>
  <c r="M125" i="158"/>
  <c r="N125" i="158"/>
  <c r="P125" i="158"/>
  <c r="B30" i="157"/>
  <c r="P51" i="158"/>
  <c r="P52" i="158"/>
  <c r="P53" i="158"/>
  <c r="P54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55" i="158"/>
  <c r="P56" i="158"/>
  <c r="P57" i="158"/>
  <c r="P58" i="158"/>
  <c r="P164" i="158"/>
  <c r="P165" i="158"/>
  <c r="P166" i="158"/>
  <c r="P59" i="158"/>
  <c r="P60" i="158"/>
  <c r="P61" i="158"/>
  <c r="P62" i="158"/>
  <c r="P167" i="158"/>
  <c r="P168" i="158"/>
  <c r="P169" i="158"/>
  <c r="P63" i="158"/>
  <c r="P64" i="158"/>
  <c r="P170" i="158"/>
  <c r="P171" i="158"/>
  <c r="P172" i="158"/>
  <c r="P173" i="158"/>
  <c r="P174" i="158"/>
  <c r="P175" i="158"/>
  <c r="P65" i="158"/>
  <c r="P66" i="158"/>
  <c r="P176" i="158"/>
  <c r="P177" i="158"/>
  <c r="P178" i="158"/>
  <c r="P67" i="158"/>
  <c r="P68" i="158"/>
  <c r="P179" i="158"/>
  <c r="P180" i="158"/>
  <c r="P181" i="158"/>
  <c r="P69" i="158"/>
  <c r="P70" i="158"/>
  <c r="P71" i="158"/>
  <c r="P72" i="158"/>
  <c r="P182" i="158"/>
  <c r="P183" i="158"/>
  <c r="P184" i="158"/>
  <c r="P185" i="158"/>
  <c r="P186" i="158"/>
  <c r="P187" i="158"/>
  <c r="P73" i="158"/>
  <c r="P74" i="158"/>
  <c r="P188" i="158"/>
  <c r="P189" i="158"/>
  <c r="P190" i="158"/>
  <c r="P75" i="158"/>
  <c r="P76" i="158"/>
  <c r="P77" i="158"/>
  <c r="P78" i="158"/>
  <c r="P191" i="158"/>
  <c r="P192" i="158"/>
  <c r="P193" i="158"/>
  <c r="P79" i="158"/>
  <c r="P80" i="158"/>
  <c r="P194" i="158"/>
  <c r="P195" i="158"/>
  <c r="P196" i="158"/>
  <c r="P81" i="158"/>
  <c r="P82" i="158"/>
  <c r="P197" i="158"/>
  <c r="P198" i="158"/>
  <c r="P199" i="158"/>
  <c r="P83" i="158"/>
  <c r="P84" i="158"/>
  <c r="P85" i="158"/>
  <c r="P86" i="158"/>
  <c r="P200" i="158"/>
  <c r="P201" i="158"/>
  <c r="P202" i="158"/>
  <c r="P87" i="158"/>
  <c r="P88" i="158"/>
  <c r="P89" i="158"/>
  <c r="P90" i="158"/>
  <c r="P203" i="158"/>
  <c r="P204" i="158"/>
  <c r="P205" i="158"/>
  <c r="P206" i="158"/>
  <c r="P207" i="158"/>
  <c r="P208" i="158"/>
  <c r="P91" i="158"/>
  <c r="P92" i="158"/>
  <c r="P209" i="158"/>
  <c r="P210" i="158"/>
  <c r="P211" i="158"/>
  <c r="P212" i="158"/>
  <c r="P213" i="158"/>
  <c r="P214" i="158"/>
  <c r="P93" i="158"/>
  <c r="P94" i="158"/>
  <c r="P215" i="158"/>
  <c r="P216" i="158"/>
  <c r="P217" i="158"/>
  <c r="P95" i="158"/>
  <c r="P96" i="158"/>
  <c r="P97" i="158"/>
  <c r="P98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99" i="158"/>
  <c r="P100" i="158"/>
  <c r="P101" i="158"/>
  <c r="P102" i="158"/>
  <c r="P230" i="158"/>
  <c r="P231" i="158"/>
  <c r="P232" i="158"/>
  <c r="P233" i="158"/>
  <c r="P103" i="158"/>
  <c r="P104" i="158"/>
  <c r="P105" i="158"/>
  <c r="P106" i="158"/>
  <c r="P107" i="158"/>
  <c r="P108" i="158"/>
  <c r="P234" i="158"/>
  <c r="P235" i="158"/>
  <c r="P236" i="158"/>
  <c r="P237" i="158"/>
  <c r="P238" i="158"/>
  <c r="P239" i="158"/>
  <c r="P109" i="158"/>
  <c r="P110" i="158"/>
  <c r="P240" i="158"/>
  <c r="P241" i="158"/>
  <c r="P242" i="158"/>
  <c r="P243" i="158"/>
  <c r="P244" i="158"/>
  <c r="P245" i="158"/>
  <c r="P246" i="158"/>
  <c r="P247" i="158"/>
  <c r="P111" i="158"/>
  <c r="P112" i="158"/>
  <c r="P113" i="158"/>
  <c r="P114" i="158"/>
  <c r="P248" i="158"/>
  <c r="P249" i="158"/>
  <c r="P250" i="158"/>
  <c r="P251" i="158"/>
  <c r="P115" i="158"/>
  <c r="P252" i="158"/>
  <c r="P253" i="158"/>
  <c r="P116" i="158"/>
  <c r="P117" i="158"/>
  <c r="P118" i="158"/>
  <c r="P119" i="158"/>
  <c r="P254" i="158"/>
  <c r="P255" i="158"/>
  <c r="P120" i="158"/>
  <c r="P256" i="158"/>
  <c r="P257" i="158"/>
  <c r="P121" i="158"/>
  <c r="P122" i="158"/>
  <c r="P123" i="158"/>
  <c r="A300" i="154"/>
  <c r="F300" i="154"/>
  <c r="H300" i="154"/>
  <c r="K300" i="154"/>
  <c r="L300" i="154"/>
  <c r="M300" i="154"/>
  <c r="N300" i="154"/>
  <c r="F301" i="154"/>
  <c r="F302" i="154"/>
  <c r="F303" i="154"/>
  <c r="F304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120" i="158"/>
  <c r="H120" i="158"/>
  <c r="K120" i="158"/>
  <c r="L120" i="158"/>
  <c r="M120" i="158"/>
  <c r="N120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R10" i="153"/>
  <c r="R10" i="157"/>
  <c r="H115" i="158"/>
  <c r="K115" i="158"/>
  <c r="L115" i="158"/>
  <c r="M115" i="158"/>
  <c r="N115" i="158"/>
  <c r="H252" i="158"/>
  <c r="K252" i="158"/>
  <c r="L252" i="158"/>
  <c r="M252" i="158"/>
  <c r="N252" i="158"/>
  <c r="H253" i="158"/>
  <c r="K253" i="158"/>
  <c r="L253" i="158"/>
  <c r="M253" i="158"/>
  <c r="N253" i="158"/>
  <c r="H116" i="158"/>
  <c r="K116" i="158"/>
  <c r="L116" i="158"/>
  <c r="M116" i="158"/>
  <c r="N116" i="158"/>
  <c r="H117" i="158"/>
  <c r="K117" i="158"/>
  <c r="L117" i="158"/>
  <c r="M117" i="158"/>
  <c r="N117" i="158"/>
  <c r="A115" i="158"/>
  <c r="A252" i="158"/>
  <c r="A253" i="158"/>
  <c r="A116" i="158"/>
  <c r="A117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114" i="158"/>
  <c r="H114" i="158"/>
  <c r="K114" i="158"/>
  <c r="L114" i="158"/>
  <c r="M114" i="158"/>
  <c r="N114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B6" i="157"/>
  <c r="B5" i="157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321" i="158"/>
  <c r="M321" i="158"/>
  <c r="L321" i="158"/>
  <c r="K321" i="158"/>
  <c r="H321" i="158"/>
  <c r="A321" i="158"/>
  <c r="N320" i="158"/>
  <c r="M320" i="158"/>
  <c r="L320" i="158"/>
  <c r="K320" i="158"/>
  <c r="H320" i="158"/>
  <c r="A320" i="158"/>
  <c r="N319" i="158"/>
  <c r="M319" i="158"/>
  <c r="L319" i="158"/>
  <c r="K319" i="158"/>
  <c r="H319" i="158"/>
  <c r="A319" i="158"/>
  <c r="N318" i="158"/>
  <c r="M318" i="158"/>
  <c r="L318" i="158"/>
  <c r="K318" i="158"/>
  <c r="H318" i="158"/>
  <c r="A318" i="158"/>
  <c r="N317" i="158"/>
  <c r="M317" i="158"/>
  <c r="L317" i="158"/>
  <c r="K317" i="158"/>
  <c r="H317" i="158"/>
  <c r="A317" i="158"/>
  <c r="N316" i="158"/>
  <c r="M316" i="158"/>
  <c r="L316" i="158"/>
  <c r="K316" i="158"/>
  <c r="H316" i="158"/>
  <c r="A316" i="158"/>
  <c r="N315" i="158"/>
  <c r="M315" i="158"/>
  <c r="L315" i="158"/>
  <c r="K315" i="158"/>
  <c r="H315" i="158"/>
  <c r="A315" i="158"/>
  <c r="N314" i="158"/>
  <c r="M314" i="158"/>
  <c r="L314" i="158"/>
  <c r="K314" i="158"/>
  <c r="H314" i="158"/>
  <c r="A314" i="158"/>
  <c r="N313" i="158"/>
  <c r="M313" i="158"/>
  <c r="L313" i="158"/>
  <c r="K313" i="158"/>
  <c r="H313" i="158"/>
  <c r="A313" i="158"/>
  <c r="N312" i="158"/>
  <c r="M312" i="158"/>
  <c r="L312" i="158"/>
  <c r="K312" i="158"/>
  <c r="H312" i="158"/>
  <c r="A312" i="158"/>
  <c r="N311" i="158"/>
  <c r="M311" i="158"/>
  <c r="L311" i="158"/>
  <c r="K311" i="158"/>
  <c r="H311" i="158"/>
  <c r="A311" i="158"/>
  <c r="N310" i="158"/>
  <c r="M310" i="158"/>
  <c r="L310" i="158"/>
  <c r="K310" i="158"/>
  <c r="H310" i="158"/>
  <c r="A310" i="158"/>
  <c r="N309" i="158"/>
  <c r="M309" i="158"/>
  <c r="L309" i="158"/>
  <c r="K309" i="158"/>
  <c r="H309" i="158"/>
  <c r="A309" i="158"/>
  <c r="N308" i="158"/>
  <c r="M308" i="158"/>
  <c r="L308" i="158"/>
  <c r="K308" i="158"/>
  <c r="H308" i="158"/>
  <c r="A308" i="158"/>
  <c r="N307" i="158"/>
  <c r="M307" i="158"/>
  <c r="L307" i="158"/>
  <c r="K307" i="158"/>
  <c r="H307" i="158"/>
  <c r="A307" i="158"/>
  <c r="N306" i="158"/>
  <c r="M306" i="158"/>
  <c r="L306" i="158"/>
  <c r="K306" i="158"/>
  <c r="H306" i="158"/>
  <c r="A306" i="158"/>
  <c r="N305" i="158"/>
  <c r="M305" i="158"/>
  <c r="L305" i="158"/>
  <c r="K305" i="158"/>
  <c r="H305" i="158"/>
  <c r="A305" i="158"/>
  <c r="N304" i="158"/>
  <c r="M304" i="158"/>
  <c r="L304" i="158"/>
  <c r="K304" i="158"/>
  <c r="H304" i="158"/>
  <c r="A304" i="158"/>
  <c r="N303" i="158"/>
  <c r="M303" i="158"/>
  <c r="L303" i="158"/>
  <c r="K303" i="158"/>
  <c r="H303" i="158"/>
  <c r="A303" i="158"/>
  <c r="N302" i="158"/>
  <c r="M302" i="158"/>
  <c r="L302" i="158"/>
  <c r="K302" i="158"/>
  <c r="H302" i="158"/>
  <c r="A302" i="158"/>
  <c r="N301" i="158"/>
  <c r="M301" i="158"/>
  <c r="L301" i="158"/>
  <c r="K301" i="158"/>
  <c r="H301" i="158"/>
  <c r="A301" i="158"/>
  <c r="N300" i="158"/>
  <c r="M300" i="158"/>
  <c r="L300" i="158"/>
  <c r="K300" i="158"/>
  <c r="H300" i="158"/>
  <c r="A300" i="158"/>
  <c r="N299" i="158"/>
  <c r="M299" i="158"/>
  <c r="L299" i="158"/>
  <c r="K299" i="158"/>
  <c r="H299" i="158"/>
  <c r="A299" i="158"/>
  <c r="N298" i="158"/>
  <c r="M298" i="158"/>
  <c r="L298" i="158"/>
  <c r="K298" i="158"/>
  <c r="H298" i="158"/>
  <c r="A298" i="158"/>
  <c r="N297" i="158"/>
  <c r="M297" i="158"/>
  <c r="L297" i="158"/>
  <c r="K297" i="158"/>
  <c r="H297" i="158"/>
  <c r="A297" i="158"/>
  <c r="N296" i="158"/>
  <c r="M296" i="158"/>
  <c r="L296" i="158"/>
  <c r="K296" i="158"/>
  <c r="H296" i="158"/>
  <c r="A296" i="158"/>
  <c r="N295" i="158"/>
  <c r="M295" i="158"/>
  <c r="L295" i="158"/>
  <c r="K295" i="158"/>
  <c r="H295" i="158"/>
  <c r="A295" i="158"/>
  <c r="N294" i="158"/>
  <c r="M294" i="158"/>
  <c r="L294" i="158"/>
  <c r="K294" i="158"/>
  <c r="H294" i="158"/>
  <c r="A294" i="158"/>
  <c r="N293" i="158"/>
  <c r="M293" i="158"/>
  <c r="L293" i="158"/>
  <c r="K293" i="158"/>
  <c r="H293" i="158"/>
  <c r="A293" i="158"/>
  <c r="N292" i="158"/>
  <c r="M292" i="158"/>
  <c r="L292" i="158"/>
  <c r="K292" i="158"/>
  <c r="H292" i="158"/>
  <c r="A292" i="158"/>
  <c r="N291" i="158"/>
  <c r="M291" i="158"/>
  <c r="L291" i="158"/>
  <c r="K291" i="158"/>
  <c r="H291" i="158"/>
  <c r="A291" i="158"/>
  <c r="N290" i="158"/>
  <c r="M290" i="158"/>
  <c r="L290" i="158"/>
  <c r="K290" i="158"/>
  <c r="H290" i="158"/>
  <c r="A290" i="158"/>
  <c r="N289" i="158"/>
  <c r="M289" i="158"/>
  <c r="L289" i="158"/>
  <c r="K289" i="158"/>
  <c r="H289" i="158"/>
  <c r="A289" i="158"/>
  <c r="N288" i="158"/>
  <c r="M288" i="158"/>
  <c r="L288" i="158"/>
  <c r="K288" i="158"/>
  <c r="H288" i="158"/>
  <c r="A288" i="158"/>
  <c r="N287" i="158"/>
  <c r="M287" i="158"/>
  <c r="L287" i="158"/>
  <c r="K287" i="158"/>
  <c r="H287" i="158"/>
  <c r="A287" i="158"/>
  <c r="N286" i="158"/>
  <c r="M286" i="158"/>
  <c r="L286" i="158"/>
  <c r="K286" i="158"/>
  <c r="H286" i="158"/>
  <c r="A286" i="158"/>
  <c r="N285" i="158"/>
  <c r="M285" i="158"/>
  <c r="L285" i="158"/>
  <c r="K285" i="158"/>
  <c r="H285" i="158"/>
  <c r="A285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<sst xmlns="http://schemas.openxmlformats.org/spreadsheetml/2006/main" count="533" uniqueCount="253">
  <si>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</si>
  <si>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</si>
  <si>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</si>
  <si>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</si>
  <si>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</si>
  <si>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</si>
  <si>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</si>
  <si>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</si>
  <si>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</si>
  <si>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</si>
  <si>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</si>
  <si>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</si>
  <si>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</si>
  <si>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</si>
  <si>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</si>
  <si>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</si>
  <si>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</si>
  <si>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</si>
  <si>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</si>
  <si>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</si>
  <si>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</si>
  <si>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</si>
  <si>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</si>
  <si>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</si>
  <si>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</si>
  <si>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</si>
  <si>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</si>
  <si>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</si>
  <si>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</si>
  <si>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</si>
  <si>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</si>
  <si>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</si>
  <si>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</si>
  <si>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</si>
  <si>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</si>
  <si>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</si>
  <si>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</si>
  <si>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</si>
  <si>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</si>
  <si>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</si>
  <si>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</si>
  <si>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</si>
  <si>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</si>
  <si>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</si>
  <si>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</si>
  <si>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</si>
  <si>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</si>
  <si>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</si>
  <si>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</si>
  <si>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</si>
  <si>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</si>
  <si>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</si>
  <si>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</si>
  <si>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</si>
  <si>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</si>
  <si>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</si>
  <si>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</si>
  <si>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</si>
  <si>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</si>
  <si>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</si>
  <si>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</si>
  <si>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</si>
  <si>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</si>
  <si>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</si>
  <si>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</si>
  <si>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</si>
  <si>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</si>
  <si>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</si>
  <si>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</si>
  <si>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</si>
  <si>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</si>
  <si>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</si>
  <si>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</si>
  <si>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</si>
  <si>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</si>
  <si>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</si>
  <si>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</si>
  <si>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</si>
  <si>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</si>
  <si>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</si>
  <si>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</si>
  <si>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</si>
  <si>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</si>
  <si>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</si>
  <si>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</si>
  <si>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</si>
  <si>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</si>
  <si>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</si>
  <si>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</si>
  <si>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</si>
  <si>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</si>
  <si>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</si>
  <si>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</si>
  <si>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</si>
  <si>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</si>
  <si>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</si>
  <si>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</si>
  <si>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</si>
  <si>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</si>
  <si>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</si>
  <si>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</si>
  <si>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</si>
  <si>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</si>
  <si>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</si>
  <si>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</si>
  <si>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</si>
  <si>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</si>
  <si>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</si>
  <si>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</si>
  <si>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</si>
  <si>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</si>
  <si>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</si>
  <si>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</si>
  <si>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</si>
  <si>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</si>
  <si>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</si>
  <si>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</si>
  <si>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</si>
  <si>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</si>
  <si>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</si>
  <si>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</si>
  <si>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</si>
  <si>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</si>
  <si>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</si>
  <si>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</si>
  <si>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</si>
  <si>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</si>
  <si>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</si>
  <si>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</si>
  <si>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</si>
  <si>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</si>
  <si>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</si>
  <si>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</si>
  <si>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</si>
  <si>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</si>
  <si>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</si>
  <si>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</si>
  <si>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</si>
  <si>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</si>
  <si>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</si>
  <si>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</si>
  <si>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</si>
  <si>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</si>
  <si>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</si>
  <si>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</si>
  <si>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</si>
  <si>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</si>
  <si>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</si>
  <si>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</si>
  <si>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</si>
  <si>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</si>
  <si>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</si>
  <si>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</si>
  <si>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</si>
  <si>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</si>
  <si>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</si>
  <si>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</si>
  <si>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</si>
  <si>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</si>
  <si>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</si>
  <si>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</si>
  <si>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</si>
  <si>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</si>
  <si>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</si>
  <si>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</si>
  <si>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</si>
  <si>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</si>
  <si>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</si>
  <si>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</si>
  <si>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</si>
  <si>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</si>
  <si>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</si>
  <si>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</si>
  <si>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</si>
  <si>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</si>
  <si>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</si>
  <si>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</si>
  <si>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</si>
  <si>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</si>
  <si>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</si>
  <si>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</si>
  <si>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</si>
  <si>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</si>
  <si>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</si>
  <si>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</si>
  <si>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</si>
  <si>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</si>
  <si>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</si>
  <si>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</si>
  <si>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</si>
  <si>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</si>
  <si>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</si>
  <si>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</si>
  <si>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</si>
  <si>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</si>
  <si>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</si>
  <si>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</si>
  <si>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</si>
  <si>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</si>
  <si>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</si>
  <si>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</si>
  <si>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</si>
  <si>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</si>
  <si>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</si>
  <si>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</si>
  <si>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</si>
  <si>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</si>
  <si>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</si>
  <si>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</si>
  <si>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</si>
  <si>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</si>
  <si>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</si>
  <si>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</si>
  <si>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</si>
  <si>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</si>
  <si>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</si>
  <si>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</si>
  <si>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</si>
  <si>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</si>
  <si>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</si>
  <si>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</si>
  <si>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</si>
  <si>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</si>
  <si>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</si>
  <si>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</si>
  <si>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</si>
  <si>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</si>
  <si>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</si>
  <si>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</si>
  <si>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</si>
  <si>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</si>
  <si>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</si>
  <si>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</si>
  <si>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</si>
  <si>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</si>
  <si>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</si>
  <si>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</si>
  <si>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</si>
  <si>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</si>
  <si>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</si>
  <si>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</si>
  <si>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</si>
  <si>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</si>
  <si>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</si>
  <si>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</si>
  <si>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</si>
  <si>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tables_421100</t>
    <phoneticPr fontId="20"/>
  </si>
  <si>
    <t>tables_421010</t>
    <phoneticPr fontId="20"/>
  </si>
  <si>
    <t>old</t>
    <phoneticPr fontId="20"/>
  </si>
  <si>
    <t>フェス確率</t>
    <phoneticPr fontId="20"/>
  </si>
  <si>
    <t>gacha_settle_tables_</t>
    <phoneticPr fontId="20"/>
  </si>
  <si>
    <t>tables_settle_421100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</si>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</sst>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107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5" fillId="33" borderId="1" xfId="2" applyFont="1" applyFill="1" applyBorder="1" applyAlignment="1">
      <alignment vertical="center"/>
    </xf>
    <xf numFmtId="0" fontId="4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3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  <xf numFmtId="0" fontId="2" fillId="0" borderId="1" xfId="3036" applyFont="1" applyBorder="1"/>
    <xf numFmtId="176" fontId="0" fillId="0" borderId="0" xfId="3575" applyNumberFormat="1" applyFont="1"/>
    <xf numFmtId="180" fontId="0" fillId="0" borderId="0" xfId="0" applyNumberFormat="1"/>
    <xf numFmtId="176" fontId="0" fillId="0" borderId="0" xfId="0" applyNumberFormat="1"/>
    <xf numFmtId="181" fontId="0" fillId="29" borderId="1" xfId="3575" applyNumberFormat="1" applyFont="1" applyFill="1" applyBorder="1"/>
    <xf numFmtId="0" fontId="25" fillId="29" borderId="1" xfId="2" applyFont="1" applyFill="1" applyBorder="1" applyAlignment="1">
      <alignment vertical="center"/>
    </xf>
    <xf numFmtId="0" fontId="25" fillId="0" borderId="0" xfId="2" applyFont="1" applyFill="1" applyAlignment="1">
      <alignment vertical="center"/>
    </xf>
    <xf numFmtId="0" fontId="25" fillId="0" borderId="1" xfId="2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1185</v>
          </cell>
          <cell r="B1161" t="str">
            <v>ja</v>
          </cell>
          <cell r="C1161" t="str">
            <v>兆銀河団の星観者 ハーシェル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yellow</v>
          </cell>
          <cell r="I1161">
            <v>6</v>
          </cell>
          <cell r="J1161" t="str">
            <v>PremiumSSS</v>
          </cell>
          <cell r="K1161" t="str">
            <v>heal</v>
          </cell>
          <cell r="L1161" t="str">
            <v>回復タイプ</v>
          </cell>
          <cell r="M1161" t="str">
            <v>academia</v>
          </cell>
        </row>
        <row r="1162">
          <cell r="A1162">
            <v>1186</v>
          </cell>
          <cell r="B1162" t="str">
            <v>ja</v>
          </cell>
          <cell r="C1162" t="str">
            <v>超覚醒ユークリッド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blue</v>
          </cell>
          <cell r="I1162">
            <v>6</v>
          </cell>
          <cell r="J1162" t="str">
            <v>PremiumSSS</v>
          </cell>
          <cell r="K1162" t="str">
            <v>balance</v>
          </cell>
          <cell r="L1162" t="str">
            <v>バランスタイプ</v>
          </cell>
          <cell r="M1162" t="str">
            <v>academia</v>
          </cell>
        </row>
        <row r="1163">
          <cell r="A1163">
            <v>1187</v>
          </cell>
          <cell r="B1163" t="str">
            <v>ja</v>
          </cell>
          <cell r="C1163" t="str">
            <v>超覚醒ファラデー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balance</v>
          </cell>
          <cell r="L1163" t="str">
            <v>バランスタイプ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5" sqref="A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245</v>
      </c>
      <c r="B2" s="61" t="s">
        <v>110</v>
      </c>
      <c r="C2" s="50" t="str">
        <f t="shared" ref="C2" si="0">RIGHT(F2,6)</f>
        <v>421100</v>
      </c>
      <c r="D2" s="19" t="s">
        <v>45</v>
      </c>
      <c r="E2" s="17" t="str">
        <f t="shared" ref="E2" si="1">B2&amp;C2&amp;D2</f>
        <v>gacha_select_tables_421100.tmp</v>
      </c>
      <c r="F2" s="95" t="s">
        <v>246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248</v>
      </c>
      <c r="B3" s="61" t="s">
        <v>110</v>
      </c>
      <c r="C3" s="50" t="str">
        <f t="shared" ref="C3:C7" si="2">RIGHT(F3,6)</f>
        <v>421010</v>
      </c>
      <c r="D3" s="19" t="s">
        <v>45</v>
      </c>
      <c r="E3" s="17" t="str">
        <f t="shared" ref="E3:E10" si="3">B3&amp;C3&amp;D3</f>
        <v>gacha_select_tables_421010.tmp</v>
      </c>
      <c r="F3" s="95" t="s">
        <v>247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252</v>
      </c>
      <c r="B4" s="97" t="s">
        <v>250</v>
      </c>
      <c r="C4" s="98" t="str">
        <f t="shared" si="2"/>
        <v>421100</v>
      </c>
      <c r="D4" s="19" t="s">
        <v>45</v>
      </c>
      <c r="E4" s="17" t="str">
        <f t="shared" si="3"/>
        <v>gacha_settle_tables_421100.tmp</v>
      </c>
      <c r="F4" s="98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E34" sqref="E34:F35"/>
    </sheetView>
  </sheetViews>
  <sheetFormatPr baseColWidth="12" defaultRowHeight="14" x14ac:dyDescent="0.15"/>
  <cols>
    <col min="1" max="2" width="24.19921875" bestFit="1" customWidth="1"/>
    <col min="5" max="6" width="20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688</v>
      </c>
      <c r="M3" s="37" t="str">
        <f>VLOOKUP(L3,[1]characters!$A:$C,3,FALSE)</f>
        <v>ユークリッド</v>
      </c>
      <c r="N3" s="63">
        <v>2.2499999999999998E-3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VLOOKUP(L3,tables_421010!B:C,2,FALSE)</f>
        <v>PremiumSSS4R3less</v>
      </c>
      <c r="R3" s="62">
        <f t="shared" ref="R3:R20" si="1">N3*A$36</f>
        <v>204254.99999999997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689</v>
      </c>
      <c r="M4" s="37" t="str">
        <f>VLOOKUP(L4,[1]characters!$A:$C,3,FALSE)</f>
        <v>根原論理 ユークリッド</v>
      </c>
      <c r="N4" s="63">
        <v>2.5000000000000001E-4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VLOOKUP(L4,tables_421010!B:C,2,FALSE)</f>
        <v>PremiumSSS5R3less</v>
      </c>
      <c r="R4" s="62">
        <f t="shared" si="1"/>
        <v>22695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1.4705882352941176E-3</v>
      </c>
      <c r="F5">
        <f>(COUNTIF(tables_421010!C:C,input_421010!A28)+COUNTIF(tables_421010!C:C,input_421010!A29))</f>
        <v>51</v>
      </c>
      <c r="H5" s="84">
        <v>0</v>
      </c>
      <c r="I5" s="31">
        <v>0</v>
      </c>
      <c r="L5" s="60">
        <v>1109</v>
      </c>
      <c r="M5" s="37" t="str">
        <f>VLOOKUP(L5,[1]characters!$A:$C,3,FALSE)</f>
        <v>セキ</v>
      </c>
      <c r="N5" s="63">
        <v>2.5000000000000001E-3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VLOOKUP(L5,tables_421010!B:C,2,FALSE)</f>
        <v>PremiumSSS5R3less</v>
      </c>
      <c r="R5" s="62">
        <f t="shared" si="1"/>
        <v>226950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1.0280898876404494E-2</v>
      </c>
      <c r="F6">
        <f>(COUNTIF(tables_421010!C:C,input_421010!A25)+COUNTIF(tables_421010!C:C,input_421010!A18)+COUNTIF(tables_421010!C:C,input_421010!A20)+COUNTIF(tables_421010!C:C,input_421010!A22))</f>
        <v>89</v>
      </c>
      <c r="H6" s="89">
        <v>0</v>
      </c>
      <c r="I6" s="31">
        <v>0</v>
      </c>
      <c r="L6" s="93">
        <v>410</v>
      </c>
      <c r="M6" s="37" t="str">
        <f>VLOOKUP(L6,[1]characters!$A:$C,3,FALSE)</f>
        <v>ファラデー</v>
      </c>
      <c r="N6" s="63">
        <v>2.2499999999999998E-3</v>
      </c>
      <c r="O6" s="37">
        <f>VLOOKUP(L6,[1]characters!$A:$I,9,FALSE)</f>
        <v>4</v>
      </c>
      <c r="P6" s="37" t="str">
        <f>VLOOKUP(L6,[1]characters!$A:$J,10,FALSE)</f>
        <v>PremiumSSS</v>
      </c>
      <c r="Q6" s="37" t="str">
        <f>VLOOKUP(L6,tables_421010!B:C,2,FALSE)</f>
        <v>PremiumSSS4R3less</v>
      </c>
      <c r="R6" s="62">
        <f t="shared" si="1"/>
        <v>204254.99999999997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411</v>
      </c>
      <c r="M7" s="37" t="str">
        <f>VLOOKUP(L7,[1]characters!$A:$C,3,FALSE)</f>
        <v>電隷の始祖 ファラデー</v>
      </c>
      <c r="N7" s="63">
        <v>2.5000000000000001E-4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VLOOKUP(L7,tables_421010!B:C,2,FALSE)</f>
        <v>PremiumSSS5R3less</v>
      </c>
      <c r="R7" s="62">
        <f t="shared" si="1"/>
        <v>22695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378</v>
      </c>
      <c r="M8" s="37" t="str">
        <f>VLOOKUP(L8,[1]characters!$A:$C,3,FALSE)</f>
        <v>オイラー</v>
      </c>
      <c r="N8" s="63">
        <v>2.2499999999999998E-3</v>
      </c>
      <c r="O8" s="37">
        <f>VLOOKUP(L8,[1]characters!$A:$I,9,FALSE)</f>
        <v>4</v>
      </c>
      <c r="P8" s="37" t="str">
        <f>VLOOKUP(L8,[1]characters!$A:$J,10,FALSE)</f>
        <v>PremiumSSS</v>
      </c>
      <c r="Q8" s="37" t="str">
        <f>VLOOKUP(L8,tables_421010!B:C,2,FALSE)</f>
        <v>PremiumSSS4R3less</v>
      </c>
      <c r="R8" s="62">
        <f t="shared" si="1"/>
        <v>204254.99999999997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>
        <v>379</v>
      </c>
      <c r="M9" s="37" t="str">
        <f>VLOOKUP(L9,[1]characters!$A:$C,3,FALSE)</f>
        <v>幾何の機刃 オイラー</v>
      </c>
      <c r="N9" s="63">
        <v>2.5000000000000001E-4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VLOOKUP(L9,tables_421010!B:C,2,FALSE)</f>
        <v>PremiumSSS5R3less</v>
      </c>
      <c r="R9" s="62">
        <f t="shared" si="1"/>
        <v>22695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249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0.21213483146067419</v>
      </c>
      <c r="C17" s="85">
        <f t="shared" ref="C17:C31" si="2">SUMIF(Q:Q,A17,N:N)</f>
        <v>0</v>
      </c>
      <c r="D17" s="74">
        <f t="shared" ref="D17:D32" si="3">B17-C17</f>
        <v>0.21213483146067419</v>
      </c>
      <c r="E17">
        <f>COUNTIF(tables_421010!C:C,input_421010!A17)-COUNTIF(Q:Q,A17)</f>
        <v>20</v>
      </c>
      <c r="F17" s="43">
        <f>IFERROR(B17/E17,0)</f>
        <v>1.060674157303371E-2</v>
      </c>
      <c r="G17">
        <f t="shared" ref="G17:G31" si="4">A$36*B17</f>
        <v>19257600.000000004</v>
      </c>
      <c r="H17">
        <f>IFERROR(ROUND(G17/E17,5),0)</f>
        <v>962880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2.4835013148457999E-2</v>
      </c>
      <c r="C18" s="85">
        <f t="shared" si="2"/>
        <v>0</v>
      </c>
      <c r="D18" s="74">
        <f t="shared" si="3"/>
        <v>2.4835013148457999E-2</v>
      </c>
      <c r="E18">
        <f>COUNTIF(tables_421010!C:C,input_421010!A18)-COUNTIF(Q:Q,A18)</f>
        <v>20</v>
      </c>
      <c r="F18" s="43">
        <f>IFERROR(B18/E18,0)</f>
        <v>1.2417506574229E-3</v>
      </c>
      <c r="G18">
        <f t="shared" si="4"/>
        <v>2254522.4936170173</v>
      </c>
      <c r="H18">
        <f t="shared" ref="H18:H31" si="7">IFERROR(ROUND(G18/E18,5),0)</f>
        <v>112726.12467999999</v>
      </c>
      <c r="I18">
        <f t="shared" si="5"/>
        <v>0.12467999999353196</v>
      </c>
      <c r="J18">
        <f t="shared" si="6"/>
        <v>8.0205325637782892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0.26730337078651684</v>
      </c>
      <c r="C19" s="85">
        <f t="shared" si="2"/>
        <v>0</v>
      </c>
      <c r="D19" s="74">
        <f t="shared" si="3"/>
        <v>0.26730337078651684</v>
      </c>
      <c r="E19">
        <f>COUNTIF(tables_421010!C:C,input_421010!A19)-COUNTIF(Q:Q,A19)</f>
        <v>52</v>
      </c>
      <c r="F19" s="43">
        <f t="shared" ref="F19:F31" si="8">IFERROR(B19/E19,0)</f>
        <v>5.1404494382022471E-3</v>
      </c>
      <c r="G19">
        <f t="shared" si="4"/>
        <v>24265800</v>
      </c>
      <c r="H19">
        <f t="shared" si="7"/>
        <v>466650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E$6*E20*B$6-F34</f>
        <v>0.23382303370786514</v>
      </c>
      <c r="C20" s="85">
        <f t="shared" si="2"/>
        <v>0</v>
      </c>
      <c r="D20" s="74">
        <f t="shared" si="3"/>
        <v>0.23382303370786514</v>
      </c>
      <c r="E20">
        <f>COUNTIF(tables_421010!C:C,input_421010!A20)-COUNTIF(Q:Q,A20)</f>
        <v>52</v>
      </c>
      <c r="F20" s="43">
        <f t="shared" si="8"/>
        <v>4.49659680207433E-3</v>
      </c>
      <c r="G20">
        <f t="shared" si="4"/>
        <v>21226454.999999996</v>
      </c>
      <c r="H20">
        <f t="shared" si="7"/>
        <v>408201.05768999999</v>
      </c>
      <c r="I20">
        <f t="shared" si="5"/>
        <v>5.7689999986905605E-2</v>
      </c>
      <c r="J20">
        <f t="shared" si="6"/>
        <v>17.334026698335563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B7-B23-B26-B28-B29-F35</f>
        <v>2.1288830138797106E-3</v>
      </c>
      <c r="C21" s="85">
        <f t="shared" si="2"/>
        <v>0</v>
      </c>
      <c r="D21" s="74">
        <f t="shared" si="3"/>
        <v>2.1288830138797106E-3</v>
      </c>
      <c r="E21">
        <f>COUNTIF(tables_421010!C:C,input_421010!A21)-COUNTIF(Q:Q,A21)</f>
        <v>52</v>
      </c>
      <c r="F21" s="43">
        <f t="shared" si="8"/>
        <v>4.0940057959225206E-5</v>
      </c>
      <c r="G21">
        <f t="shared" si="4"/>
        <v>193260.00000000012</v>
      </c>
      <c r="H21">
        <f t="shared" si="7"/>
        <v>3716.5384600000002</v>
      </c>
      <c r="I21">
        <f t="shared" si="5"/>
        <v>0.53846000000021377</v>
      </c>
      <c r="J21">
        <f t="shared" si="6"/>
        <v>1.8571481632797293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0.1269691011235955</v>
      </c>
      <c r="C22" s="85">
        <f t="shared" si="2"/>
        <v>0</v>
      </c>
      <c r="D22" s="74">
        <f t="shared" si="3"/>
        <v>0.1269691011235955</v>
      </c>
      <c r="E22">
        <f>COUNTIF(tables_421010!C:C,input_421010!A22)-COUNTIF(Q:Q,A22)</f>
        <v>13</v>
      </c>
      <c r="F22" s="43">
        <f t="shared" si="8"/>
        <v>9.7668539325842692E-3</v>
      </c>
      <c r="G22">
        <f t="shared" si="4"/>
        <v>11526255</v>
      </c>
      <c r="H22">
        <f t="shared" si="7"/>
        <v>886635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6.6825842696629214E-3</v>
      </c>
      <c r="C23" s="85">
        <f t="shared" si="2"/>
        <v>0</v>
      </c>
      <c r="D23" s="74">
        <f t="shared" si="3"/>
        <v>6.6825842696629214E-3</v>
      </c>
      <c r="E23">
        <f>COUNTIF(tables_421010!C:C,input_421010!A23)-COUNTIF(Q:Q,A23)</f>
        <v>13</v>
      </c>
      <c r="F23" s="43">
        <f t="shared" si="8"/>
        <v>5.1404494382022473E-4</v>
      </c>
      <c r="G23">
        <f t="shared" si="4"/>
        <v>606645</v>
      </c>
      <c r="H23">
        <f t="shared" si="7"/>
        <v>46665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2.0561797752808988E-2</v>
      </c>
      <c r="C24" s="85">
        <f t="shared" si="2"/>
        <v>0</v>
      </c>
      <c r="D24" s="74">
        <f t="shared" si="3"/>
        <v>2.0561797752808988E-2</v>
      </c>
      <c r="E24">
        <f>COUNTIF(tables_421010!C:C,input_421010!A24)-COUNTIF(Q:Q,A24)</f>
        <v>4</v>
      </c>
      <c r="F24" s="43">
        <f t="shared" si="8"/>
        <v>5.1404494382022471E-3</v>
      </c>
      <c r="G24">
        <f t="shared" si="4"/>
        <v>1866600</v>
      </c>
      <c r="H24">
        <f t="shared" si="7"/>
        <v>466650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1.8505617977528092E-2</v>
      </c>
      <c r="C25" s="85">
        <f t="shared" si="2"/>
        <v>0</v>
      </c>
      <c r="D25" s="74">
        <f t="shared" si="3"/>
        <v>1.8505617977528092E-2</v>
      </c>
      <c r="E25">
        <f>COUNTIF(tables_421010!C:C,input_421010!A25)-COUNTIF(Q:Q,A25)</f>
        <v>4</v>
      </c>
      <c r="F25" s="43">
        <f t="shared" si="8"/>
        <v>4.6264044943820229E-3</v>
      </c>
      <c r="G25">
        <f t="shared" si="4"/>
        <v>1679940.0000000002</v>
      </c>
      <c r="H25">
        <f t="shared" si="7"/>
        <v>419985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2.0561797752808989E-3</v>
      </c>
      <c r="C26" s="85">
        <f t="shared" si="2"/>
        <v>0</v>
      </c>
      <c r="D26" s="74">
        <f t="shared" si="3"/>
        <v>2.0561797752808989E-3</v>
      </c>
      <c r="E26">
        <f>COUNTIF(tables_421010!C:C,input_421010!A26)-COUNTIF(Q:Q,A26)</f>
        <v>4</v>
      </c>
      <c r="F26" s="43">
        <f t="shared" si="8"/>
        <v>5.1404494382022473E-4</v>
      </c>
      <c r="G26">
        <f t="shared" si="4"/>
        <v>186660</v>
      </c>
      <c r="H26">
        <f t="shared" si="7"/>
        <v>46665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3.9117647058823528E-2</v>
      </c>
      <c r="C27" s="85">
        <f t="shared" si="2"/>
        <v>0</v>
      </c>
      <c r="D27" s="74">
        <f t="shared" si="3"/>
        <v>3.9117647058823528E-2</v>
      </c>
      <c r="E27">
        <f>COUNTIF(tables_421010!C:C,input_421010!A27)-COUNTIF(Q:Q,A27)</f>
        <v>28</v>
      </c>
      <c r="F27" s="43">
        <f>IFERROR(B27/E27,0)</f>
        <v>1.3970588235294116E-3</v>
      </c>
      <c r="G27">
        <f t="shared" si="4"/>
        <v>3551100</v>
      </c>
      <c r="H27">
        <f t="shared" si="7"/>
        <v>126825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2.0588235294117649E-3</v>
      </c>
      <c r="C28" s="85">
        <f t="shared" si="2"/>
        <v>0</v>
      </c>
      <c r="D28" s="74">
        <f t="shared" si="3"/>
        <v>2.0588235294117649E-3</v>
      </c>
      <c r="E28">
        <f>COUNTIF(tables_421010!C:C,input_421010!A28)-COUNTIF(Q:Q,A28)</f>
        <v>28</v>
      </c>
      <c r="F28" s="43">
        <f t="shared" si="8"/>
        <v>7.3529411764705889E-5</v>
      </c>
      <c r="G28">
        <f t="shared" si="4"/>
        <v>186900</v>
      </c>
      <c r="H28">
        <f t="shared" si="7"/>
        <v>6675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3.3823529411764704E-2</v>
      </c>
      <c r="C29" s="85">
        <f t="shared" si="2"/>
        <v>0</v>
      </c>
      <c r="D29" s="74">
        <f t="shared" si="3"/>
        <v>3.3823529411764704E-2</v>
      </c>
      <c r="E29">
        <f>COUNTIF(tables_421010!C:C,input_421010!A29)-COUNTIF(Q:Q,A29)</f>
        <v>23</v>
      </c>
      <c r="F29" s="43">
        <f t="shared" si="8"/>
        <v>1.4705882352941176E-3</v>
      </c>
      <c r="G29">
        <f>A$36*B29</f>
        <v>3070500</v>
      </c>
      <c r="H29">
        <f>IFERROR(ROUND(G29/E29,5),0)</f>
        <v>133500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6.7499999999999991E-3</v>
      </c>
      <c r="D30" s="74">
        <f t="shared" si="3"/>
        <v>-6.7499999999999991E-3</v>
      </c>
      <c r="E30">
        <f>COUNTIF(tables_421010!C:C,input_421010!A30)-COUNTIF(Q:Q,A30)</f>
        <v>0</v>
      </c>
      <c r="F30" s="43">
        <f t="shared" si="8"/>
        <v>0</v>
      </c>
      <c r="G30">
        <f t="shared" si="4"/>
        <v>0</v>
      </c>
      <c r="H30">
        <f t="shared" si="7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3.2500000000000003E-3</v>
      </c>
      <c r="D31" s="74">
        <f t="shared" si="3"/>
        <v>-3.2500000000000003E-3</v>
      </c>
      <c r="E31">
        <f>COUNTIF(tables_421010!C:C,input_421010!A31)-COUNTIF(Q:Q,A31)</f>
        <v>0</v>
      </c>
      <c r="F31" s="43">
        <f t="shared" si="8"/>
        <v>0</v>
      </c>
      <c r="G31">
        <f t="shared" si="4"/>
        <v>0</v>
      </c>
      <c r="H31">
        <f t="shared" si="7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0.9900004130162704</v>
      </c>
      <c r="C32" s="41">
        <f>SUM(C19:C31)</f>
        <v>9.9999999999999985E-3</v>
      </c>
      <c r="D32" s="42">
        <f t="shared" si="3"/>
        <v>0.98000041301627039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101">
        <v>3.1351867081042303E-2</v>
      </c>
      <c r="F34" s="102">
        <f>N3+N6+N8</f>
        <v>6.7499999999999991E-3</v>
      </c>
    </row>
    <row r="35" spans="1:7" x14ac:dyDescent="0.15">
      <c r="A35" t="s">
        <v>73</v>
      </c>
      <c r="F35" s="102">
        <f>N4+N5+N7+N9</f>
        <v>3.2500000000000003E-3</v>
      </c>
    </row>
    <row r="36" spans="1:7" x14ac:dyDescent="0.15">
      <c r="A36" s="31">
        <f>LCM(F5-I5,F6-I6)*1000*2*2*5</f>
        <v>90780000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SUMIF(tables_421010!C:C,input_421010!A40,tables_421010!O:O)</f>
        <v>10726644.807660002</v>
      </c>
      <c r="C40" s="54">
        <f t="shared" ref="C40:C46" ca="1" si="9">B40/B$47</f>
        <v>0.21273015333351056</v>
      </c>
      <c r="E40">
        <v>3</v>
      </c>
      <c r="F40">
        <f ca="1">SUMIF(tables_421010!J:J,input_421010!E40,tables_421010!O:O)</f>
        <v>30251244.807659991</v>
      </c>
      <c r="G40" s="100">
        <f ca="1">F40/A36</f>
        <v>0.33323688926701905</v>
      </c>
    </row>
    <row r="41" spans="1:7" x14ac:dyDescent="0.15">
      <c r="A41" s="33" t="s">
        <v>104</v>
      </c>
      <c r="B41">
        <f ca="1">SUMIF(tables_421010!C:C,input_421010!A41,tables_421010!O:O)</f>
        <v>8912299.6153600011</v>
      </c>
      <c r="C41" s="54">
        <f t="shared" ca="1" si="9"/>
        <v>0.17674817221279004</v>
      </c>
      <c r="E41">
        <v>4</v>
      </c>
      <c r="F41">
        <f ca="1">SUMIF(tables_421010!J:J,input_421010!E41,tables_421010!O:O)</f>
        <v>25428366.628150001</v>
      </c>
      <c r="G41" s="100">
        <f ca="1">F41/A36</f>
        <v>0.2801097888097599</v>
      </c>
    </row>
    <row r="42" spans="1:7" x14ac:dyDescent="0.15">
      <c r="A42" s="33" t="s">
        <v>106</v>
      </c>
      <c r="B42">
        <f ca="1">SUMIF(tables_421010!C:C,input_421010!A42,tables_421010!O:O)</f>
        <v>8906924.7115100026</v>
      </c>
      <c r="C42" s="54">
        <f t="shared" ca="1" si="9"/>
        <v>0.17664157745360246</v>
      </c>
      <c r="E42">
        <v>5</v>
      </c>
      <c r="F42">
        <f ca="1">SUMIF(tables_421010!J:J,input_421010!E42,tables_421010!O:O)</f>
        <v>33339574.326829989</v>
      </c>
      <c r="G42" s="100">
        <f ca="1">F42/A36</f>
        <v>0.3672568222827714</v>
      </c>
    </row>
    <row r="43" spans="1:7" x14ac:dyDescent="0.15">
      <c r="A43" s="33" t="s">
        <v>109</v>
      </c>
      <c r="B43">
        <f>SUMIF(tables_421010!C:C,input_421010!A43,tables_421010!O:O)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SUMIF(tables_421010!C:C,input_421010!A44,tables_421010!O:O)</f>
        <v>13347958.557670001</v>
      </c>
      <c r="C44" s="54">
        <f t="shared" ca="1" si="9"/>
        <v>0.26471588475035168</v>
      </c>
      <c r="E44" t="s">
        <v>54</v>
      </c>
      <c r="F44" s="55"/>
    </row>
    <row r="45" spans="1:7" x14ac:dyDescent="0.15">
      <c r="A45" s="33" t="s">
        <v>107</v>
      </c>
      <c r="B45">
        <f ca="1">SUMIF(tables_421010!C:C,input_421010!A45,tables_421010!O:O)</f>
        <v>8529888.1730500013</v>
      </c>
      <c r="C45" s="54">
        <f t="shared" ca="1" si="9"/>
        <v>0.16916421224974529</v>
      </c>
      <c r="E45" t="s">
        <v>204</v>
      </c>
      <c r="F45" s="55">
        <f ca="1">SUMIF(tables_421010!I:I,input_421010!E45,tables_421010!P:P)</f>
        <v>0.24165714738123673</v>
      </c>
    </row>
    <row r="46" spans="1:7" x14ac:dyDescent="0.15">
      <c r="A46" s="33" t="s">
        <v>108</v>
      </c>
      <c r="B46">
        <f>SUMIF(tables_421010!C:C,input_421010!A46,tables_421010!O:O)</f>
        <v>0</v>
      </c>
      <c r="C46" s="54">
        <f t="shared" ca="1" si="9"/>
        <v>0</v>
      </c>
      <c r="E46" t="s">
        <v>205</v>
      </c>
      <c r="F46" s="55">
        <f ca="1">SUMIF(tables_421010!I:I,input_421010!E46,tables_421010!P:P)</f>
        <v>4.1915964160233625E-2</v>
      </c>
    </row>
    <row r="47" spans="1:7" x14ac:dyDescent="0.15">
      <c r="A47" s="39" t="s">
        <v>59</v>
      </c>
      <c r="B47">
        <f ca="1">SUM(B40:B46)</f>
        <v>50423715.865250006</v>
      </c>
      <c r="C47" s="55">
        <f ca="1">SUM(C40:C46)</f>
        <v>1</v>
      </c>
      <c r="E47" t="s">
        <v>206</v>
      </c>
      <c r="F47" s="55">
        <f ca="1">SUMIF(tables_421010!I:I,input_421010!E47,tables_421010!P:P)</f>
        <v>0.43209505643662066</v>
      </c>
    </row>
    <row r="48" spans="1:7" x14ac:dyDescent="0.15">
      <c r="E48" t="s">
        <v>207</v>
      </c>
      <c r="F48" s="55">
        <f ca="1">SUMIF(tables_421010!I:I,input_421010!E48,tables_421010!P:P)</f>
        <v>0.26430636175482142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21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Q2" sqref="Q2:Q32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input_421010!A$2</f>
        <v>421010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IFERROR(VLOOKUP(B2,input_421010!L:R,7,FALSE),VLOOKUP(tables_421010!C2,input_421010!A:H,8,FALSE))</f>
        <v>962880</v>
      </c>
      <c r="P2" s="46">
        <f t="shared" ref="P2:P65" ca="1" si="2">O2/SUM(O:O)</f>
        <v>1.0816544677991261E-2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input_421010!A$2</f>
        <v>421010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IFERROR(VLOOKUP(B3,input_421010!L:R,7,FALSE),VLOOKUP(tables_421010!C3,input_421010!A:H,8,FALSE))</f>
        <v>112726.12467999999</v>
      </c>
      <c r="P3" s="46">
        <f t="shared" ca="1" si="2"/>
        <v>1.2663126910705731E-3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input_421010!A$2</f>
        <v>421010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IFERROR(VLOOKUP(B4,input_421010!L:R,7,FALSE),VLOOKUP(tables_421010!C4,input_421010!A:H,8,FALSE))</f>
        <v>962880</v>
      </c>
      <c r="P4" s="46">
        <f t="shared" ca="1" si="2"/>
        <v>1.0816544677991261E-2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input_421010!A$2</f>
        <v>421010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IFERROR(VLOOKUP(B5,input_421010!L:R,7,FALSE),VLOOKUP(tables_421010!C5,input_421010!A:H,8,FALSE))</f>
        <v>112726.12467999999</v>
      </c>
      <c r="P5" s="46">
        <f t="shared" ca="1" si="2"/>
        <v>1.2663126910705731E-3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input_421010!A$2</f>
        <v>421010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IFERROR(VLOOKUP(B6,input_421010!L:R,7,FALSE),VLOOKUP(tables_421010!C6,input_421010!A:H,8,FALSE))</f>
        <v>962880</v>
      </c>
      <c r="P6" s="46">
        <f t="shared" ca="1" si="2"/>
        <v>1.0816544677991261E-2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input_421010!A$2</f>
        <v>421010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IFERROR(VLOOKUP(B7,input_421010!L:R,7,FALSE),VLOOKUP(tables_421010!C7,input_421010!A:H,8,FALSE))</f>
        <v>112726.12467999999</v>
      </c>
      <c r="P7" s="46">
        <f t="shared" ca="1" si="2"/>
        <v>1.2663126910705731E-3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input_421010!A$2</f>
        <v>421010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IFERROR(VLOOKUP(B8,input_421010!L:R,7,FALSE),VLOOKUP(tables_421010!C8,input_421010!A:H,8,FALSE))</f>
        <v>962880</v>
      </c>
      <c r="P8" s="46">
        <f t="shared" ca="1" si="2"/>
        <v>1.0816544677991261E-2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input_421010!A$2</f>
        <v>421010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IFERROR(VLOOKUP(B9,input_421010!L:R,7,FALSE),VLOOKUP(tables_421010!C9,input_421010!A:H,8,FALSE))</f>
        <v>112726.12467999999</v>
      </c>
      <c r="P9" s="46">
        <f t="shared" ca="1" si="2"/>
        <v>1.2663126910705731E-3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input_421010!A$2</f>
        <v>421010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IFERROR(VLOOKUP(B10,input_421010!L:R,7,FALSE),VLOOKUP(tables_421010!C10,input_421010!A:H,8,FALSE))</f>
        <v>962880</v>
      </c>
      <c r="P10" s="46">
        <f t="shared" ca="1" si="2"/>
        <v>1.0816544677991261E-2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input_421010!A$2</f>
        <v>421010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IFERROR(VLOOKUP(B11,input_421010!L:R,7,FALSE),VLOOKUP(tables_421010!C11,input_421010!A:H,8,FALSE))</f>
        <v>112726.12467999999</v>
      </c>
      <c r="P11" s="46">
        <f t="shared" ca="1" si="2"/>
        <v>1.2663126910705731E-3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input_421010!A$2</f>
        <v>421010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IFERROR(VLOOKUP(B12,input_421010!L:R,7,FALSE),VLOOKUP(tables_421010!C12,input_421010!A:H,8,FALSE))</f>
        <v>962880</v>
      </c>
      <c r="P12" s="46">
        <f t="shared" ca="1" si="2"/>
        <v>1.0816544677991261E-2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input_421010!A$2</f>
        <v>421010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IFERROR(VLOOKUP(B13,input_421010!L:R,7,FALSE),VLOOKUP(tables_421010!C13,input_421010!A:H,8,FALSE))</f>
        <v>112726.12467999999</v>
      </c>
      <c r="P13" s="46">
        <f t="shared" ca="1" si="2"/>
        <v>1.2663126910705731E-3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input_421010!A$2</f>
        <v>421010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IFERROR(VLOOKUP(B14,input_421010!L:R,7,FALSE),VLOOKUP(tables_421010!C14,input_421010!A:H,8,FALSE))</f>
        <v>962880</v>
      </c>
      <c r="P14" s="46">
        <f t="shared" ca="1" si="2"/>
        <v>1.0816544677991261E-2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input_421010!A$2</f>
        <v>421010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IFERROR(VLOOKUP(B15,input_421010!L:R,7,FALSE),VLOOKUP(tables_421010!C15,input_421010!A:H,8,FALSE))</f>
        <v>112726.12467999999</v>
      </c>
      <c r="P15" s="46">
        <f t="shared" ca="1" si="2"/>
        <v>1.2663126910705731E-3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input_421010!A$2</f>
        <v>421010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IFERROR(VLOOKUP(B16,input_421010!L:R,7,FALSE),VLOOKUP(tables_421010!C16,input_421010!A:H,8,FALSE))</f>
        <v>962880</v>
      </c>
      <c r="P16" s="46">
        <f t="shared" ca="1" si="2"/>
        <v>1.0816544677991261E-2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input_421010!A$2</f>
        <v>421010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IFERROR(VLOOKUP(B17,input_421010!L:R,7,FALSE),VLOOKUP(tables_421010!C17,input_421010!A:H,8,FALSE))</f>
        <v>112726.12467999999</v>
      </c>
      <c r="P17" s="46">
        <f t="shared" ca="1" si="2"/>
        <v>1.2663126910705731E-3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input_421010!A$2</f>
        <v>421010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IFERROR(VLOOKUP(B18,input_421010!L:R,7,FALSE),VLOOKUP(tables_421010!C18,input_421010!A:H,8,FALSE))</f>
        <v>962880</v>
      </c>
      <c r="P18" s="46">
        <f t="shared" ca="1" si="2"/>
        <v>1.0816544677991261E-2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input_421010!A$2</f>
        <v>421010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IFERROR(VLOOKUP(B19,input_421010!L:R,7,FALSE),VLOOKUP(tables_421010!C19,input_421010!A:H,8,FALSE))</f>
        <v>112726.12467999999</v>
      </c>
      <c r="P19" s="46">
        <f t="shared" ca="1" si="2"/>
        <v>1.2663126910705731E-3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input_421010!A$2</f>
        <v>421010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IFERROR(VLOOKUP(B20,input_421010!L:R,7,FALSE),VLOOKUP(tables_421010!C20,input_421010!A:H,8,FALSE))</f>
        <v>962880</v>
      </c>
      <c r="P20" s="46">
        <f t="shared" ca="1" si="2"/>
        <v>1.0816544677991261E-2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input_421010!A$2</f>
        <v>421010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IFERROR(VLOOKUP(B21,input_421010!L:R,7,FALSE),VLOOKUP(tables_421010!C21,input_421010!A:H,8,FALSE))</f>
        <v>112726.12467999999</v>
      </c>
      <c r="P21" s="46">
        <f t="shared" ca="1" si="2"/>
        <v>1.2663126910705731E-3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input_421010!A$2</f>
        <v>421010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IFERROR(VLOOKUP(B22,input_421010!L:R,7,FALSE),VLOOKUP(tables_421010!C22,input_421010!A:H,8,FALSE))</f>
        <v>962880</v>
      </c>
      <c r="P22" s="46">
        <f t="shared" ca="1" si="2"/>
        <v>1.0816544677991261E-2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input_421010!A$2</f>
        <v>421010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IFERROR(VLOOKUP(B23,input_421010!L:R,7,FALSE),VLOOKUP(tables_421010!C23,input_421010!A:H,8,FALSE))</f>
        <v>112726.12467999999</v>
      </c>
      <c r="P23" s="46">
        <f t="shared" ca="1" si="2"/>
        <v>1.2663126910705731E-3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input_421010!A$2</f>
        <v>421010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IFERROR(VLOOKUP(B24,input_421010!L:R,7,FALSE),VLOOKUP(tables_421010!C24,input_421010!A:H,8,FALSE))</f>
        <v>962880</v>
      </c>
      <c r="P24" s="46">
        <f t="shared" ca="1" si="2"/>
        <v>1.0816544677991261E-2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input_421010!A$2</f>
        <v>421010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IFERROR(VLOOKUP(B25,input_421010!L:R,7,FALSE),VLOOKUP(tables_421010!C25,input_421010!A:H,8,FALSE))</f>
        <v>112726.12467999999</v>
      </c>
      <c r="P25" s="46">
        <f t="shared" ca="1" si="2"/>
        <v>1.2663126910705731E-3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input_421010!A$2</f>
        <v>421010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IFERROR(VLOOKUP(B26,input_421010!L:R,7,FALSE),VLOOKUP(tables_421010!C26,input_421010!A:H,8,FALSE))</f>
        <v>962880</v>
      </c>
      <c r="P26" s="46">
        <f t="shared" ca="1" si="2"/>
        <v>1.0816544677991261E-2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input_421010!A$2</f>
        <v>421010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IFERROR(VLOOKUP(B27,input_421010!L:R,7,FALSE),VLOOKUP(tables_421010!C27,input_421010!A:H,8,FALSE))</f>
        <v>112726.12467999999</v>
      </c>
      <c r="P27" s="46">
        <f t="shared" ca="1" si="2"/>
        <v>1.2663126910705731E-3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input_421010!A$2</f>
        <v>421010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IFERROR(VLOOKUP(B28,input_421010!L:R,7,FALSE),VLOOKUP(tables_421010!C28,input_421010!A:H,8,FALSE))</f>
        <v>962880</v>
      </c>
      <c r="P28" s="46">
        <f t="shared" ca="1" si="2"/>
        <v>1.0816544677991261E-2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input_421010!A$2</f>
        <v>421010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IFERROR(VLOOKUP(B29,input_421010!L:R,7,FALSE),VLOOKUP(tables_421010!C29,input_421010!A:H,8,FALSE))</f>
        <v>112726.12467999999</v>
      </c>
      <c r="P29" s="46">
        <f t="shared" ca="1" si="2"/>
        <v>1.2663126910705731E-3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input_421010!A$2</f>
        <v>421010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IFERROR(VLOOKUP(B30,input_421010!L:R,7,FALSE),VLOOKUP(tables_421010!C30,input_421010!A:H,8,FALSE))</f>
        <v>962880</v>
      </c>
      <c r="P30" s="46">
        <f t="shared" ca="1" si="2"/>
        <v>1.0816544677991261E-2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input_421010!A$2</f>
        <v>421010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IFERROR(VLOOKUP(B31,input_421010!L:R,7,FALSE),VLOOKUP(tables_421010!C31,input_421010!A:H,8,FALSE))</f>
        <v>112726.12467999999</v>
      </c>
      <c r="P31" s="46">
        <f t="shared" ca="1" si="2"/>
        <v>1.2663126910705731E-3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input_421010!A$2</f>
        <v>421010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IFERROR(VLOOKUP(B32,input_421010!L:R,7,FALSE),VLOOKUP(tables_421010!C32,input_421010!A:H,8,FALSE))</f>
        <v>962880</v>
      </c>
      <c r="P32" s="46">
        <f t="shared" ca="1" si="2"/>
        <v>1.0816544677991261E-2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input_421010!A$2</f>
        <v>421010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IFERROR(VLOOKUP(B33,input_421010!L:R,7,FALSE),VLOOKUP(tables_421010!C33,input_421010!A:H,8,FALSE))</f>
        <v>112726.12467999999</v>
      </c>
      <c r="P33" s="46">
        <f t="shared" ca="1" si="2"/>
        <v>1.2663126910705731E-3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input_421010!A$2</f>
        <v>421010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IFERROR(VLOOKUP(B34,input_421010!L:R,7,FALSE),VLOOKUP(tables_421010!C34,input_421010!A:H,8,FALSE))</f>
        <v>962880</v>
      </c>
      <c r="P34" s="46">
        <f t="shared" ca="1" si="2"/>
        <v>1.0816544677991261E-2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input_421010!A$2</f>
        <v>421010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IFERROR(VLOOKUP(B35,input_421010!L:R,7,FALSE),VLOOKUP(tables_421010!C35,input_421010!A:H,8,FALSE))</f>
        <v>112726.12467999999</v>
      </c>
      <c r="P35" s="46">
        <f t="shared" ca="1" si="2"/>
        <v>1.2663126910705731E-3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input_421010!A$2</f>
        <v>421010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IFERROR(VLOOKUP(B36,input_421010!L:R,7,FALSE),VLOOKUP(tables_421010!C36,input_421010!A:H,8,FALSE))</f>
        <v>962880</v>
      </c>
      <c r="P36" s="46">
        <f t="shared" ca="1" si="2"/>
        <v>1.0816544677991261E-2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input_421010!A$2</f>
        <v>421010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IFERROR(VLOOKUP(B37,input_421010!L:R,7,FALSE),VLOOKUP(tables_421010!C37,input_421010!A:H,8,FALSE))</f>
        <v>112726.12467999999</v>
      </c>
      <c r="P37" s="46">
        <f t="shared" ca="1" si="2"/>
        <v>1.2663126910705731E-3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input_421010!A$2</f>
        <v>421010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IFERROR(VLOOKUP(B38,input_421010!L:R,7,FALSE),VLOOKUP(tables_421010!C38,input_421010!A:H,8,FALSE))</f>
        <v>962880</v>
      </c>
      <c r="P38" s="46">
        <f t="shared" ca="1" si="2"/>
        <v>1.0816544677991261E-2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input_421010!A$2</f>
        <v>421010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IFERROR(VLOOKUP(B39,input_421010!L:R,7,FALSE),VLOOKUP(tables_421010!C39,input_421010!A:H,8,FALSE))</f>
        <v>112726.12467999999</v>
      </c>
      <c r="P39" s="46">
        <f t="shared" ca="1" si="2"/>
        <v>1.2663126910705731E-3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input_421010!A$2</f>
        <v>421010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IFERROR(VLOOKUP(B40,input_421010!L:R,7,FALSE),VLOOKUP(tables_421010!C40,input_421010!A:H,8,FALSE))</f>
        <v>962880</v>
      </c>
      <c r="P40" s="46">
        <f t="shared" ca="1" si="2"/>
        <v>1.0816544677991261E-2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input_421010!A$2</f>
        <v>421010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IFERROR(VLOOKUP(B41,input_421010!L:R,7,FALSE),VLOOKUP(tables_421010!C41,input_421010!A:H,8,FALSE))</f>
        <v>112726.12467999999</v>
      </c>
      <c r="P41" s="46">
        <f t="shared" ca="1" si="2"/>
        <v>1.2663126910705731E-3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input_421010!A$2</f>
        <v>421010</v>
      </c>
      <c r="B42" s="5">
        <v>1072</v>
      </c>
      <c r="C42" s="7" t="str">
        <f t="shared" si="0"/>
        <v>PremiumSS5R5only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エンキドゥ</v>
      </c>
      <c r="I42" s="7" t="str">
        <f>VLOOKUP(B42,[1]characters!$A:$J,10,FALSE)</f>
        <v>PremiumSSw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5">
        <f ca="1">IFERROR(VLOOKUP(B42,input_421010!L:R,7,FALSE),VLOOKUP(tables_421010!C308,input_421010!A:H,8,FALSE))</f>
        <v>408201.05768999999</v>
      </c>
      <c r="P42" s="46">
        <f t="shared" ca="1" si="2"/>
        <v>4.5855402315004706E-3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input_421010!A$2</f>
        <v>421010</v>
      </c>
      <c r="B43" s="5">
        <v>1102</v>
      </c>
      <c r="C43" s="7" t="str">
        <f t="shared" si="0"/>
        <v>PremiumSS5R5only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ドガ</v>
      </c>
      <c r="I43" s="7" t="str">
        <f>VLOOKUP(B43,[1]characters!$A:$J,10,FALSE)</f>
        <v>PremiumSSW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balance</v>
      </c>
      <c r="M43" s="7" t="str">
        <f>VLOOKUP(B43,[1]characters!$A:$M,13,FALSE)</f>
        <v>animal</v>
      </c>
      <c r="N43" s="7" t="str">
        <f>VLOOKUP(B43,[1]characters!$A:$G,7,FALSE)</f>
        <v>不明</v>
      </c>
      <c r="O43" s="45">
        <f ca="1">IFERROR(VLOOKUP(B43,input_421010!L:R,7,FALSE),VLOOKUP(tables_421010!C313,input_421010!A:H,8,FALSE))</f>
        <v>466650</v>
      </c>
      <c r="P43" s="46">
        <f t="shared" ca="1" si="2"/>
        <v>5.2421283794290277E-3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input_421010!A$2</f>
        <v>421010</v>
      </c>
      <c r="B44" s="60">
        <v>688</v>
      </c>
      <c r="C44" s="7" t="str">
        <f t="shared" si="0"/>
        <v>PremiumSSS4R3less</v>
      </c>
      <c r="D44" s="7" t="str">
        <f t="shared" si="1"/>
        <v>PremiumSSS</v>
      </c>
      <c r="E44" s="7" t="str">
        <f>IF(COUNTIF('R6追加前'!A:A,B44)=0,IF(OR(I44="PremiumSS",I44="PremiumSSw"),"R5only","R3less"),"")</f>
        <v>R3less</v>
      </c>
      <c r="F44" s="7" t="str">
        <f>IF(COUNTIF('R6開放'!A:A,B44)&gt;0,"R6release","")</f>
        <v/>
      </c>
      <c r="G44" s="7"/>
      <c r="H44" s="7" t="str">
        <f>VLOOKUP(B44,[1]characters!$A:$C,3,FALSE)</f>
        <v>ユークリッド</v>
      </c>
      <c r="I44" s="7" t="str">
        <f>VLOOKUP(B44,[1]characters!$A:$J,10,FALSE)</f>
        <v>PremiumSSS</v>
      </c>
      <c r="J44" s="7">
        <f>VLOOKUP(B44,[1]characters!$A:$I,9,FALSE)</f>
        <v>4</v>
      </c>
      <c r="K44" s="7" t="str">
        <f>VLOOKUP(B44,[1]characters!$A:$H,8,FALSE)</f>
        <v>blue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>IFERROR(VLOOKUP(B44,input_421010!L:R,7,FALSE),VLOOKUP(tables_421010!C315,input_421010!A:H,8,FALSE))</f>
        <v>204254.99999999997</v>
      </c>
      <c r="P44" s="46">
        <f t="shared" ca="1" si="2"/>
        <v>2.294505372635328E-3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input_421010!A$2</f>
        <v>421010</v>
      </c>
      <c r="B45" s="60">
        <v>689</v>
      </c>
      <c r="C45" s="7" t="str">
        <f t="shared" si="0"/>
        <v>PremiumSSS5R3less</v>
      </c>
      <c r="D45" s="7" t="str">
        <f t="shared" si="1"/>
        <v>PremiumSSS</v>
      </c>
      <c r="E45" s="7" t="str">
        <f>IF(COUNTIF('R6追加前'!A:A,B45)=0,IF(OR(I45="PremiumSS",I45="PremiumSSw"),"R5only","R3less"),"")</f>
        <v>R3less</v>
      </c>
      <c r="F45" s="7" t="str">
        <f>IF(COUNTIF('R6開放'!A:A,B45)&gt;0,"R6release","")</f>
        <v/>
      </c>
      <c r="G45" s="7"/>
      <c r="H45" s="7" t="str">
        <f>VLOOKUP(B45,[1]characters!$A:$C,3,FALSE)</f>
        <v>根原論理 ユークリッド</v>
      </c>
      <c r="I45" s="7" t="str">
        <f>VLOOKUP(B45,[1]characters!$A:$J,10,FALSE)</f>
        <v>PremiumSSS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>IFERROR(VLOOKUP(B45,input_421010!L:R,7,FALSE),VLOOKUP(tables_421010!C316,input_421010!A:H,8,FALSE))</f>
        <v>22695</v>
      </c>
      <c r="P45" s="46">
        <f t="shared" ca="1" si="2"/>
        <v>2.5494504140392539E-4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input_421010!A$2</f>
        <v>421010</v>
      </c>
      <c r="B46" s="60">
        <v>1109</v>
      </c>
      <c r="C46" s="7" t="str">
        <f t="shared" si="0"/>
        <v>PremiumSSS5R3less</v>
      </c>
      <c r="D46" s="7" t="str">
        <f t="shared" si="1"/>
        <v>PremiumSSS</v>
      </c>
      <c r="E46" s="7" t="str">
        <f>IF(COUNTIF('R6追加前'!A:A,B46)=0,IF(OR(I46="PremiumSS",I46="PremiumSSw"),"R5only","R3less"),"")</f>
        <v>R3less</v>
      </c>
      <c r="F46" s="7" t="str">
        <f>IF(COUNTIF('R6開放'!A:A,B46)&gt;0,"R6release","")</f>
        <v/>
      </c>
      <c r="G46" s="7"/>
      <c r="H46" s="7" t="str">
        <f>VLOOKUP(B46,[1]characters!$A:$C,3,FALSE)</f>
        <v>セキ</v>
      </c>
      <c r="I46" s="7" t="str">
        <f>VLOOKUP(B46,[1]characters!$A:$J,10,FALSE)</f>
        <v>PremiumSSS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technical</v>
      </c>
      <c r="M46" s="7" t="str">
        <f>VLOOKUP(B46,[1]characters!$A:$M,13,FALSE)</f>
        <v>academia</v>
      </c>
      <c r="N46" s="7" t="str">
        <f>VLOOKUP(B46,[1]characters!$A:$G,7,FALSE)</f>
        <v>不明</v>
      </c>
      <c r="O46" s="45">
        <f>IFERROR(VLOOKUP(B46,input_421010!L:R,7,FALSE),VLOOKUP(tables_421010!C317,input_421010!A:H,8,FALSE))</f>
        <v>226950</v>
      </c>
      <c r="P46" s="46">
        <f t="shared" ca="1" si="2"/>
        <v>2.5494504140392538E-3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input_421010!A$2</f>
        <v>421010</v>
      </c>
      <c r="B47" s="93">
        <v>410</v>
      </c>
      <c r="C47" s="7" t="str">
        <f t="shared" si="0"/>
        <v>PremiumSSS4R3less</v>
      </c>
      <c r="D47" s="7" t="str">
        <f t="shared" si="1"/>
        <v>PremiumSSS</v>
      </c>
      <c r="E47" s="7" t="str">
        <f>IF(COUNTIF('R6追加前'!A:A,B47)=0,IF(OR(I47="PremiumSS",I47="PremiumSSw"),"R5only","R3less"),"")</f>
        <v>R3less</v>
      </c>
      <c r="F47" s="7" t="str">
        <f>IF(COUNTIF('R6開放'!A:A,B47)&gt;0,"R6release","")</f>
        <v/>
      </c>
      <c r="G47" s="7"/>
      <c r="H47" s="7" t="str">
        <f>VLOOKUP(B47,[1]characters!$A:$C,3,FALSE)</f>
        <v>ファラデー</v>
      </c>
      <c r="I47" s="7" t="str">
        <f>VLOOKUP(B47,[1]characters!$A:$J,10,FALSE)</f>
        <v>PremiumSSS</v>
      </c>
      <c r="J47" s="7">
        <f>VLOOKUP(B47,[1]characters!$A:$I,9,FALSE)</f>
        <v>4</v>
      </c>
      <c r="K47" s="7" t="str">
        <f>VLOOKUP(B47,[1]characters!$A:$H,8,FALSE)</f>
        <v>yellow</v>
      </c>
      <c r="L47" s="7" t="str">
        <f>VLOOKUP(B47,[1]characters!$A:$K,11,FALSE)</f>
        <v>balance</v>
      </c>
      <c r="M47" s="7" t="str">
        <f>VLOOKUP(B47,[1]characters!$A:$M,13,FALSE)</f>
        <v>human</v>
      </c>
      <c r="N47" s="7" t="str">
        <f>VLOOKUP(B47,[1]characters!$A:$G,7,FALSE)</f>
        <v>女性</v>
      </c>
      <c r="O47" s="45">
        <f>IFERROR(VLOOKUP(B47,input_421010!L:R,7,FALSE),VLOOKUP(tables_421010!C318,input_421010!A:H,8,FALSE))</f>
        <v>204254.99999999997</v>
      </c>
      <c r="P47" s="46">
        <f t="shared" ca="1" si="2"/>
        <v>2.294505372635328E-3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input_421010!A$2</f>
        <v>421010</v>
      </c>
      <c r="B48" s="60">
        <v>411</v>
      </c>
      <c r="C48" s="7" t="str">
        <f t="shared" si="0"/>
        <v>PremiumSSS5R3less</v>
      </c>
      <c r="D48" s="7" t="str">
        <f t="shared" si="1"/>
        <v>PremiumSSS</v>
      </c>
      <c r="E48" s="7" t="str">
        <f>IF(COUNTIF('R6追加前'!A:A,B48)=0,IF(OR(I48="PremiumSS",I48="PremiumSSw"),"R5only","R3less"),"")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電隷の始祖 ファラデー</v>
      </c>
      <c r="I48" s="7" t="str">
        <f>VLOOKUP(B48,[1]characters!$A:$J,10,FALSE)</f>
        <v>PremiumSSS</v>
      </c>
      <c r="J48" s="7">
        <f>VLOOKUP(B48,[1]characters!$A:$I,9,FALSE)</f>
        <v>5</v>
      </c>
      <c r="K48" s="7" t="str">
        <f>VLOOKUP(B48,[1]characters!$A:$H,8,FALSE)</f>
        <v>yellow</v>
      </c>
      <c r="L48" s="7" t="str">
        <f>VLOOKUP(B48,[1]characters!$A:$K,11,FALSE)</f>
        <v>balance</v>
      </c>
      <c r="M48" s="7" t="str">
        <f>VLOOKUP(B48,[1]characters!$A:$M,13,FALSE)</f>
        <v>human</v>
      </c>
      <c r="N48" s="7" t="str">
        <f>VLOOKUP(B48,[1]characters!$A:$G,7,FALSE)</f>
        <v>女性</v>
      </c>
      <c r="O48" s="45">
        <f>IFERROR(VLOOKUP(B48,input_421010!L:R,7,FALSE),VLOOKUP(tables_421010!C319,input_421010!A:H,8,FALSE))</f>
        <v>22695</v>
      </c>
      <c r="P48" s="46">
        <f t="shared" ca="1" si="2"/>
        <v>2.5494504140392539E-4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input_421010!A$2</f>
        <v>421010</v>
      </c>
      <c r="B49" s="60">
        <v>378</v>
      </c>
      <c r="C49" s="7" t="str">
        <f t="shared" si="0"/>
        <v>PremiumSSS4R3less</v>
      </c>
      <c r="D49" s="7" t="str">
        <f t="shared" si="1"/>
        <v>PremiumSSS</v>
      </c>
      <c r="E49" s="7" t="str">
        <f>IF(COUNTIF('R6追加前'!A:A,B49)=0,IF(OR(I49="PremiumSS",I49="PremiumSSw"),"R5only","R3less"),"")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オイラー</v>
      </c>
      <c r="I49" s="7" t="str">
        <f>VLOOKUP(B49,[1]characters!$A:$J,10,FALSE)</f>
        <v>PremiumSSS</v>
      </c>
      <c r="J49" s="7">
        <f>VLOOKUP(B49,[1]characters!$A:$I,9,FALSE)</f>
        <v>4</v>
      </c>
      <c r="K49" s="7" t="str">
        <f>VLOOKUP(B49,[1]characters!$A:$H,8,FALSE)</f>
        <v>green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女性</v>
      </c>
      <c r="O49" s="45">
        <f>IFERROR(VLOOKUP(B49,input_421010!L:R,7,FALSE),VLOOKUP(tables_421010!C320,input_421010!A:H,8,FALSE))</f>
        <v>204254.99999999997</v>
      </c>
      <c r="P49" s="46">
        <f t="shared" ca="1" si="2"/>
        <v>2.294505372635328E-3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input_421010!A$2</f>
        <v>421010</v>
      </c>
      <c r="B50" s="60">
        <v>379</v>
      </c>
      <c r="C50" s="7" t="str">
        <f t="shared" si="0"/>
        <v>PremiumSSS5R3less</v>
      </c>
      <c r="D50" s="7" t="str">
        <f t="shared" si="1"/>
        <v>PremiumSSS</v>
      </c>
      <c r="E50" s="7" t="str">
        <f>IF(COUNTIF('R6追加前'!A:A,B50)=0,IF(OR(I50="PremiumSS",I50="PremiumSSw"),"R5only","R3less"),"")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幾何の機刃 オイラー</v>
      </c>
      <c r="I50" s="7" t="str">
        <f>VLOOKUP(B50,[1]characters!$A:$J,10,FALSE)</f>
        <v>PremiumSSS</v>
      </c>
      <c r="J50" s="7">
        <f>VLOOKUP(B50,[1]characters!$A:$I,9,FALSE)</f>
        <v>5</v>
      </c>
      <c r="K50" s="7" t="str">
        <f>VLOOKUP(B50,[1]characters!$A:$H,8,FALSE)</f>
        <v>green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>IFERROR(VLOOKUP(B50,input_421010!L:R,7,FALSE),VLOOKUP(tables_421010!C321,input_421010!A:H,8,FALSE))</f>
        <v>22695</v>
      </c>
      <c r="P50" s="46">
        <f t="shared" ca="1" si="2"/>
        <v>2.5494504140392539E-4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input_421010!A$2</f>
        <v>421010</v>
      </c>
      <c r="B51" s="6">
        <v>320</v>
      </c>
      <c r="C51" s="7" t="str">
        <f t="shared" si="0"/>
        <v>PremiumSS4</v>
      </c>
      <c r="D51" s="7" t="str">
        <f t="shared" si="1"/>
        <v>PremiumSS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烈志士 近藤勇</v>
      </c>
      <c r="I51" s="7" t="str">
        <f>VLOOKUP(B51,[1]characters!$A:$J,10,FALSE)</f>
        <v>PremiumSS</v>
      </c>
      <c r="J51" s="7">
        <f>VLOOKUP(B51,[1]characters!$A:$I,9,FALSE)</f>
        <v>4</v>
      </c>
      <c r="K51" s="7" t="str">
        <f>VLOOKUP(B51,[1]characters!$A:$H,8,FALSE)</f>
        <v>red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ca="1">IFERROR(VLOOKUP(B51,input_421010!L:R,7,FALSE),VLOOKUP(tables_421010!C138,input_421010!A:H,8,FALSE))</f>
        <v>419985</v>
      </c>
      <c r="P51" s="46">
        <f t="shared" ca="1" si="2"/>
        <v>4.7179155414861246E-3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input_421010!A$2</f>
        <v>421010</v>
      </c>
      <c r="B52" s="6">
        <v>321</v>
      </c>
      <c r="C52" s="7" t="str">
        <f t="shared" si="0"/>
        <v>PremiumSS5</v>
      </c>
      <c r="D52" s="7" t="str">
        <f t="shared" si="1"/>
        <v>PremiumSS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巌鉄の烈志士 近藤勇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hp</v>
      </c>
      <c r="M52" s="7" t="str">
        <f>VLOOKUP(B52,[1]characters!$A:$M,13,FALSE)</f>
        <v>human</v>
      </c>
      <c r="N52" s="7" t="str">
        <f>VLOOKUP(B52,[1]characters!$A:$G,7,FALSE)</f>
        <v>男性</v>
      </c>
      <c r="O52" s="45">
        <f ca="1">IFERROR(VLOOKUP(B52,input_421010!L:R,7,FALSE),VLOOKUP(tables_421010!C139,input_421010!A:H,8,FALSE))</f>
        <v>46665</v>
      </c>
      <c r="P52" s="46">
        <f t="shared" ca="1" si="2"/>
        <v>5.2421283794290281E-4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input_421010!A$2</f>
        <v>421010</v>
      </c>
      <c r="B53" s="6">
        <v>322</v>
      </c>
      <c r="C53" s="7" t="str">
        <f t="shared" si="0"/>
        <v>PremiumSS4</v>
      </c>
      <c r="D53" s="7" t="str">
        <f t="shared" si="1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愛志士 土方歳三</v>
      </c>
      <c r="I53" s="7" t="str">
        <f>VLOOKUP(B53,[1]characters!$A:$J,10,FALSE)</f>
        <v>PremiumSS</v>
      </c>
      <c r="J53" s="7">
        <f>VLOOKUP(B53,[1]characters!$A:$I,9,FALSE)</f>
        <v>4</v>
      </c>
      <c r="K53" s="7" t="str">
        <f>VLOOKUP(B53,[1]characters!$A:$H,8,FALSE)</f>
        <v>green</v>
      </c>
      <c r="L53" s="7" t="str">
        <f>VLOOKUP(B53,[1]characters!$A:$K,11,FALSE)</f>
        <v>attack</v>
      </c>
      <c r="M53" s="7" t="str">
        <f>VLOOKUP(B53,[1]characters!$A:$M,13,FALSE)</f>
        <v>human</v>
      </c>
      <c r="N53" s="7" t="str">
        <f>VLOOKUP(B53,[1]characters!$A:$G,7,FALSE)</f>
        <v>女性</v>
      </c>
      <c r="O53" s="45">
        <f ca="1">IFERROR(VLOOKUP(B53,input_421010!L:R,7,FALSE),VLOOKUP(tables_421010!C140,input_421010!A:H,8,FALSE))</f>
        <v>466650</v>
      </c>
      <c r="P53" s="46">
        <f t="shared" ca="1" si="2"/>
        <v>5.2421283794290277E-3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input_421010!A$2</f>
        <v>421010</v>
      </c>
      <c r="B54" s="6">
        <v>323</v>
      </c>
      <c r="C54" s="7" t="str">
        <f t="shared" si="0"/>
        <v>PremiumSS5</v>
      </c>
      <c r="D54" s="7" t="str">
        <f t="shared" si="1"/>
        <v>PremiumSS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流麗の愛志士 土方歳三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attack</v>
      </c>
      <c r="M54" s="7" t="str">
        <f>VLOOKUP(B54,[1]characters!$A:$M,13,FALSE)</f>
        <v>human</v>
      </c>
      <c r="N54" s="7" t="str">
        <f>VLOOKUP(B54,[1]characters!$A:$G,7,FALSE)</f>
        <v>女性</v>
      </c>
      <c r="O54" s="45">
        <f ca="1">IFERROR(VLOOKUP(B54,input_421010!L:R,7,FALSE),VLOOKUP(tables_421010!C141,input_421010!A:H,8,FALSE))</f>
        <v>408201.05768999999</v>
      </c>
      <c r="P54" s="46">
        <f t="shared" ca="1" si="2"/>
        <v>4.5855402315004706E-3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input_421010!A$2</f>
        <v>421010</v>
      </c>
      <c r="B55" s="6">
        <v>324</v>
      </c>
      <c r="C55" s="7" t="str">
        <f t="shared" si="0"/>
        <v>PremiumSS4</v>
      </c>
      <c r="D55" s="7" t="str">
        <f t="shared" si="1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凛志士 沖田総司</v>
      </c>
      <c r="I55" s="7" t="str">
        <f>VLOOKUP(B55,[1]characters!$A:$J,10,FALSE)</f>
        <v>PremiumSS</v>
      </c>
      <c r="J55" s="7">
        <f>VLOOKUP(B55,[1]characters!$A:$I,9,FALSE)</f>
        <v>4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女性</v>
      </c>
      <c r="O55" s="45">
        <f ca="1">IFERROR(VLOOKUP(B55,input_421010!L:R,7,FALSE),VLOOKUP(tables_421010!C142,input_421010!A:H,8,FALSE))</f>
        <v>3716.5384600000002</v>
      </c>
      <c r="P55" s="46">
        <f t="shared" ca="1" si="2"/>
        <v>4.1749859068692718E-5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input_421010!A$2</f>
        <v>421010</v>
      </c>
      <c r="B56" s="6">
        <v>325</v>
      </c>
      <c r="C56" s="7" t="str">
        <f t="shared" si="0"/>
        <v>PremiumSS5</v>
      </c>
      <c r="D56" s="7" t="str">
        <f t="shared" si="1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天賦の凛志士 沖田総司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balance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ca="1">IFERROR(VLOOKUP(B56,input_421010!L:R,7,FALSE),VLOOKUP(tables_421010!C143,input_421010!A:H,8,FALSE))</f>
        <v>466650</v>
      </c>
      <c r="P56" s="46">
        <f t="shared" ca="1" si="2"/>
        <v>5.2421283794290277E-3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input_421010!A$2</f>
        <v>421010</v>
      </c>
      <c r="B57" s="6">
        <v>326</v>
      </c>
      <c r="C57" s="7" t="str">
        <f t="shared" si="0"/>
        <v>PremiumSS4</v>
      </c>
      <c r="D57" s="7" t="str">
        <f t="shared" si="1"/>
        <v>PremiumSS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妖志士 斎藤一</v>
      </c>
      <c r="I57" s="7" t="str">
        <f>VLOOKUP(B57,[1]characters!$A:$J,10,FALSE)</f>
        <v>PremiumSS</v>
      </c>
      <c r="J57" s="7">
        <f>VLOOKUP(B57,[1]characters!$A:$I,9,FALSE)</f>
        <v>4</v>
      </c>
      <c r="K57" s="7" t="str">
        <f>VLOOKUP(B57,[1]characters!$A:$H,8,FALSE)</f>
        <v>yellow</v>
      </c>
      <c r="L57" s="7" t="str">
        <f>VLOOKUP(B57,[1]characters!$A:$K,11,FALSE)</f>
        <v>technical</v>
      </c>
      <c r="M57" s="7" t="str">
        <f>VLOOKUP(B57,[1]characters!$A:$M,13,FALSE)</f>
        <v>human</v>
      </c>
      <c r="N57" s="7" t="str">
        <f>VLOOKUP(B57,[1]characters!$A:$G,7,FALSE)</f>
        <v>女性</v>
      </c>
      <c r="O57" s="45">
        <f ca="1">IFERROR(VLOOKUP(B57,input_421010!L:R,7,FALSE),VLOOKUP(tables_421010!C144,input_421010!A:H,8,FALSE))</f>
        <v>408201.05768999999</v>
      </c>
      <c r="P57" s="46">
        <f t="shared" ca="1" si="2"/>
        <v>4.5855402315004706E-3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input_421010!A$2</f>
        <v>421010</v>
      </c>
      <c r="B58" s="6">
        <v>327</v>
      </c>
      <c r="C58" s="7" t="str">
        <f t="shared" si="0"/>
        <v>PremiumSS5</v>
      </c>
      <c r="D58" s="7" t="str">
        <f t="shared" si="1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千殺の妖志士 斎藤一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technical</v>
      </c>
      <c r="M58" s="7" t="str">
        <f>VLOOKUP(B58,[1]characters!$A:$M,13,FALSE)</f>
        <v>human</v>
      </c>
      <c r="N58" s="7" t="str">
        <f>VLOOKUP(B58,[1]characters!$A:$G,7,FALSE)</f>
        <v>女性</v>
      </c>
      <c r="O58" s="45">
        <f ca="1">IFERROR(VLOOKUP(B58,input_421010!L:R,7,FALSE),VLOOKUP(tables_421010!C145,input_421010!A:H,8,FALSE))</f>
        <v>3716.5384600000002</v>
      </c>
      <c r="P58" s="46">
        <f t="shared" ca="1" si="2"/>
        <v>4.1749859068692718E-5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input_421010!A$2</f>
        <v>421010</v>
      </c>
      <c r="B59" s="6">
        <v>383</v>
      </c>
      <c r="C59" s="7" t="str">
        <f t="shared" si="0"/>
        <v>PremiumSS4</v>
      </c>
      <c r="D59" s="7" t="str">
        <f t="shared" si="1"/>
        <v>PremiumSS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酒宴の蟒蛇 ヤマタノオロチ</v>
      </c>
      <c r="I59" s="7" t="str">
        <f>VLOOKUP(B59,[1]characters!$A:$J,10,FALSE)</f>
        <v>PremiumSS</v>
      </c>
      <c r="J59" s="7">
        <f>VLOOKUP(B59,[1]characters!$A:$I,9,FALSE)</f>
        <v>4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dragon</v>
      </c>
      <c r="N59" s="7" t="str">
        <f>VLOOKUP(B59,[1]characters!$A:$G,7,FALSE)</f>
        <v>女性</v>
      </c>
      <c r="O59" s="45">
        <f ca="1">IFERROR(VLOOKUP(B59,input_421010!L:R,7,FALSE),VLOOKUP(tables_421010!C149,input_421010!A:H,8,FALSE))</f>
        <v>466650</v>
      </c>
      <c r="P59" s="46">
        <f t="shared" ca="1" si="2"/>
        <v>5.2421283794290277E-3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input_421010!A$2</f>
        <v>421010</v>
      </c>
      <c r="B60" s="6">
        <v>384</v>
      </c>
      <c r="C60" s="7" t="str">
        <f t="shared" si="0"/>
        <v>PremiumSS5</v>
      </c>
      <c r="D60" s="7" t="str">
        <f t="shared" si="1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破国の呑龍 ヤマタノオロチ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hp</v>
      </c>
      <c r="M60" s="7" t="str">
        <f>VLOOKUP(B60,[1]characters!$A:$M,13,FALSE)</f>
        <v>dragon</v>
      </c>
      <c r="N60" s="7" t="str">
        <f>VLOOKUP(B60,[1]characters!$A:$G,7,FALSE)</f>
        <v>女性</v>
      </c>
      <c r="O60" s="45">
        <f ca="1">IFERROR(VLOOKUP(B60,input_421010!L:R,7,FALSE),VLOOKUP(tables_421010!C150,input_421010!A:H,8,FALSE))</f>
        <v>408201.05768999999</v>
      </c>
      <c r="P60" s="46">
        <f t="shared" ca="1" si="2"/>
        <v>4.5855402315004706E-3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input_421010!A$2</f>
        <v>421010</v>
      </c>
      <c r="B61" s="6">
        <v>385</v>
      </c>
      <c r="C61" s="7" t="str">
        <f t="shared" si="0"/>
        <v>PremiumSS4</v>
      </c>
      <c r="D61" s="7" t="str">
        <f t="shared" si="1"/>
        <v>PremiumSS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波烈の出奔 リヴァイアサン</v>
      </c>
      <c r="I61" s="7" t="str">
        <f>VLOOKUP(B61,[1]characters!$A:$J,10,FALSE)</f>
        <v>PremiumSS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balance</v>
      </c>
      <c r="M61" s="7" t="str">
        <f>VLOOKUP(B61,[1]characters!$A:$M,13,FALSE)</f>
        <v>dragon</v>
      </c>
      <c r="N61" s="7" t="str">
        <f>VLOOKUP(B61,[1]characters!$A:$G,7,FALSE)</f>
        <v>女性</v>
      </c>
      <c r="O61" s="45">
        <f ca="1">IFERROR(VLOOKUP(B61,input_421010!L:R,7,FALSE),VLOOKUP(tables_421010!C151,input_421010!A:H,8,FALSE))</f>
        <v>3716.5384600000002</v>
      </c>
      <c r="P61" s="46">
        <f t="shared" ca="1" si="2"/>
        <v>4.1749859068692718E-5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input_421010!A$2</f>
        <v>421010</v>
      </c>
      <c r="B62" s="6">
        <v>386</v>
      </c>
      <c r="C62" s="7" t="str">
        <f t="shared" si="0"/>
        <v>PremiumSS5</v>
      </c>
      <c r="D62" s="7" t="str">
        <f t="shared" si="1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氾乱の海龍 リヴァイアサン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balance</v>
      </c>
      <c r="M62" s="7" t="str">
        <f>VLOOKUP(B62,[1]characters!$A:$M,13,FALSE)</f>
        <v>dragon</v>
      </c>
      <c r="N62" s="7" t="str">
        <f>VLOOKUP(B62,[1]characters!$A:$G,7,FALSE)</f>
        <v>女性</v>
      </c>
      <c r="O62" s="45">
        <f ca="1">IFERROR(VLOOKUP(B62,input_421010!L:R,7,FALSE),VLOOKUP(tables_421010!C152,input_421010!A:H,8,FALSE))</f>
        <v>466650</v>
      </c>
      <c r="P62" s="46">
        <f t="shared" ca="1" si="2"/>
        <v>5.2421283794290277E-3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input_421010!A$2</f>
        <v>421010</v>
      </c>
      <c r="B63" s="6">
        <v>390</v>
      </c>
      <c r="C63" s="7" t="str">
        <f t="shared" si="0"/>
        <v>PremiumSS4</v>
      </c>
      <c r="D63" s="7" t="str">
        <f t="shared" si="1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華環の旅客 親指姫</v>
      </c>
      <c r="I63" s="7" t="str">
        <f>VLOOKUP(B63,[1]characters!$A:$J,10,FALSE)</f>
        <v>PremiumSS</v>
      </c>
      <c r="J63" s="7">
        <f>VLOOKUP(B63,[1]characters!$A:$I,9,FALSE)</f>
        <v>4</v>
      </c>
      <c r="K63" s="7" t="str">
        <f>VLOOKUP(B63,[1]characters!$A:$H,8,FALSE)</f>
        <v>red</v>
      </c>
      <c r="L63" s="7" t="str">
        <f>VLOOKUP(B63,[1]characters!$A:$K,11,FALSE)</f>
        <v>heal</v>
      </c>
      <c r="M63" s="7" t="str">
        <f>VLOOKUP(B63,[1]characters!$A:$M,13,FALSE)</f>
        <v>human</v>
      </c>
      <c r="N63" s="7" t="str">
        <f>VLOOKUP(B63,[1]characters!$A:$G,7,FALSE)</f>
        <v>女性</v>
      </c>
      <c r="O63" s="45">
        <f ca="1">IFERROR(VLOOKUP(B63,input_421010!L:R,7,FALSE),VLOOKUP(tables_421010!C156,input_421010!A:H,8,FALSE))</f>
        <v>408201.05768999999</v>
      </c>
      <c r="P63" s="46">
        <f t="shared" ca="1" si="2"/>
        <v>4.5855402315004706E-3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input_421010!A$2</f>
        <v>421010</v>
      </c>
      <c r="B64" s="6">
        <v>391</v>
      </c>
      <c r="C64" s="7" t="str">
        <f t="shared" si="0"/>
        <v>PremiumSS5</v>
      </c>
      <c r="D64" s="7" t="str">
        <f t="shared" si="1"/>
        <v>PremiumSS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燕翼の旅人 親指姫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red</v>
      </c>
      <c r="L64" s="7" t="str">
        <f>VLOOKUP(B64,[1]characters!$A:$K,11,FALSE)</f>
        <v>heal</v>
      </c>
      <c r="M64" s="7" t="str">
        <f>VLOOKUP(B64,[1]characters!$A:$M,13,FALSE)</f>
        <v>human</v>
      </c>
      <c r="N64" s="7" t="str">
        <f>VLOOKUP(B64,[1]characters!$A:$G,7,FALSE)</f>
        <v>女性</v>
      </c>
      <c r="O64" s="45">
        <f ca="1">IFERROR(VLOOKUP(B64,input_421010!L:R,7,FALSE),VLOOKUP(tables_421010!C157,input_421010!A:H,8,FALSE))</f>
        <v>3716.5384600000002</v>
      </c>
      <c r="P64" s="46">
        <f t="shared" ca="1" si="2"/>
        <v>4.1749859068692718E-5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input_421010!A$2</f>
        <v>421010</v>
      </c>
      <c r="B65" s="6">
        <v>398</v>
      </c>
      <c r="C65" s="7" t="str">
        <f t="shared" si="0"/>
        <v>PremiumSS4</v>
      </c>
      <c r="D65" s="7" t="str">
        <f t="shared" si="1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ヘンゼル＆グレーテル</v>
      </c>
      <c r="I65" s="7" t="str">
        <f>VLOOKUP(B65,[1]characters!$A:$J,10,FALSE)</f>
        <v>PremiumSS</v>
      </c>
      <c r="J65" s="7">
        <f>VLOOKUP(B65,[1]characters!$A:$I,9,FALSE)</f>
        <v>4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IFERROR(VLOOKUP(B65,input_421010!L:R,7,FALSE),VLOOKUP(tables_421010!C164,input_421010!A:H,8,FALSE))</f>
        <v>466650</v>
      </c>
      <c r="P65" s="46">
        <f t="shared" ca="1" si="2"/>
        <v>5.2421283794290277E-3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input_421010!A$2</f>
        <v>421010</v>
      </c>
      <c r="B66" s="6">
        <v>399</v>
      </c>
      <c r="C66" s="7" t="str">
        <f t="shared" ref="C66:C129" si="3">D66&amp;J66&amp;E66&amp;F66&amp;G66</f>
        <v>PremiumSS5</v>
      </c>
      <c r="D66" s="7" t="str">
        <f t="shared" ref="D66:D129" si="4">IF(OR(I66="PremiumSS",I66="PremiumSSw"),"PremiumSS",IF(I66="PremiumSSS",I66,IF(I66="PremiumW",I66,"Premium")))</f>
        <v>PremiumSS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信愛の兄妹 ヘンゼル＆グレーテル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yellow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IFERROR(VLOOKUP(B66,input_421010!L:R,7,FALSE),VLOOKUP(tables_421010!C165,input_421010!A:H,8,FALSE))</f>
        <v>408201.05768999999</v>
      </c>
      <c r="P66" s="46">
        <f t="shared" ref="P66:P129" ca="1" si="5">O66/SUM(O:O)</f>
        <v>4.5855402315004706E-3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input_421010!A$2</f>
        <v>421010</v>
      </c>
      <c r="B67" s="6">
        <v>403</v>
      </c>
      <c r="C67" s="7" t="str">
        <f t="shared" si="3"/>
        <v>PremiumSS4</v>
      </c>
      <c r="D67" s="7" t="str">
        <f t="shared" si="4"/>
        <v>PremiumSS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静撃の翠眼 八咫烏</v>
      </c>
      <c r="I67" s="7" t="str">
        <f>VLOOKUP(B67,[1]characters!$A:$J,10,FALSE)</f>
        <v>PremiumSS</v>
      </c>
      <c r="J67" s="7">
        <f>VLOOKUP(B67,[1]characters!$A:$I,9,FALSE)</f>
        <v>4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女性</v>
      </c>
      <c r="O67" s="45">
        <f ca="1">IFERROR(VLOOKUP(B67,input_421010!L:R,7,FALSE),VLOOKUP(tables_421010!C169,input_421010!A:H,8,FALSE))</f>
        <v>3716.5384600000002</v>
      </c>
      <c r="P67" s="46">
        <f t="shared" ca="1" si="5"/>
        <v>4.1749859068692718E-5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input_421010!A$2</f>
        <v>421010</v>
      </c>
      <c r="B68" s="6">
        <v>404</v>
      </c>
      <c r="C68" s="7" t="str">
        <f t="shared" si="3"/>
        <v>PremiumSS5</v>
      </c>
      <c r="D68" s="7" t="str">
        <f t="shared" si="4"/>
        <v>PremiumSS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空襲の神眼 八咫烏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animal</v>
      </c>
      <c r="N68" s="7" t="str">
        <f>VLOOKUP(B68,[1]characters!$A:$G,7,FALSE)</f>
        <v>女性</v>
      </c>
      <c r="O68" s="45">
        <f ca="1">IFERROR(VLOOKUP(B68,input_421010!L:R,7,FALSE),VLOOKUP(tables_421010!C170,input_421010!A:H,8,FALSE))</f>
        <v>466650</v>
      </c>
      <c r="P68" s="46">
        <f t="shared" ca="1" si="5"/>
        <v>5.2421283794290277E-3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input_421010!A$2</f>
        <v>421010</v>
      </c>
      <c r="B69" s="6">
        <v>408</v>
      </c>
      <c r="C69" s="7" t="str">
        <f t="shared" si="3"/>
        <v>PremiumSS4</v>
      </c>
      <c r="D69" s="7" t="str">
        <f t="shared" si="4"/>
        <v>PremiumSS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皇魔 アスタロト</v>
      </c>
      <c r="I69" s="7" t="str">
        <f>VLOOKUP(B69,[1]characters!$A:$J,10,FALSE)</f>
        <v>PremiumSS</v>
      </c>
      <c r="J69" s="7">
        <f>VLOOKUP(B69,[1]characters!$A:$I,9,FALSE)</f>
        <v>4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god</v>
      </c>
      <c r="N69" s="7" t="str">
        <f>VLOOKUP(B69,[1]characters!$A:$G,7,FALSE)</f>
        <v>男性</v>
      </c>
      <c r="O69" s="45">
        <f ca="1">IFERROR(VLOOKUP(B69,input_421010!L:R,7,FALSE),VLOOKUP(tables_421010!C174,input_421010!A:H,8,FALSE))</f>
        <v>408201.05768999999</v>
      </c>
      <c r="P69" s="46">
        <f t="shared" ca="1" si="5"/>
        <v>4.5855402315004706E-3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input_421010!A$2</f>
        <v>421010</v>
      </c>
      <c r="B70" s="10">
        <v>409</v>
      </c>
      <c r="C70" s="7" t="str">
        <f t="shared" si="3"/>
        <v>PremiumSS5</v>
      </c>
      <c r="D70" s="7" t="str">
        <f t="shared" si="4"/>
        <v>PremiumSS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天眼の皇貴魔 アスタロト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yellow</v>
      </c>
      <c r="L70" s="7" t="str">
        <f>VLOOKUP(B70,[1]characters!$A:$K,11,FALSE)</f>
        <v>attack</v>
      </c>
      <c r="M70" s="7" t="str">
        <f>VLOOKUP(B70,[1]characters!$A:$M,13,FALSE)</f>
        <v>god</v>
      </c>
      <c r="N70" s="7" t="str">
        <f>VLOOKUP(B70,[1]characters!$A:$G,7,FALSE)</f>
        <v>男性</v>
      </c>
      <c r="O70" s="45">
        <f ca="1">IFERROR(VLOOKUP(B70,input_421010!L:R,7,FALSE),VLOOKUP(tables_421010!C175,input_421010!A:H,8,FALSE))</f>
        <v>3716.5384600000002</v>
      </c>
      <c r="P70" s="46">
        <f t="shared" ca="1" si="5"/>
        <v>4.1749859068692718E-5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input_421010!A$2</f>
        <v>421010</v>
      </c>
      <c r="B71" s="6">
        <v>434</v>
      </c>
      <c r="C71" s="7" t="str">
        <f t="shared" si="3"/>
        <v>PremiumSS4</v>
      </c>
      <c r="D71" s="7" t="str">
        <f t="shared" si="4"/>
        <v>PremiumSS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D.R.T.H.</v>
      </c>
      <c r="I71" s="7" t="str">
        <f>VLOOKUP(B71,[1]characters!$A:$J,10,FALSE)</f>
        <v>PremiumSS</v>
      </c>
      <c r="J71" s="7">
        <f>VLOOKUP(B71,[1]characters!$A:$I,9,FALSE)</f>
        <v>4</v>
      </c>
      <c r="K71" s="7" t="str">
        <f>VLOOKUP(B71,[1]characters!$A:$H,8,FALSE)</f>
        <v>red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IFERROR(VLOOKUP(B71,input_421010!L:R,7,FALSE),VLOOKUP(tables_421010!C176,input_421010!A:H,8,FALSE))</f>
        <v>466650</v>
      </c>
      <c r="P71" s="46">
        <f t="shared" ca="1" si="5"/>
        <v>5.2421283794290277E-3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input_421010!A$2</f>
        <v>421010</v>
      </c>
      <c r="B72" s="10">
        <v>435</v>
      </c>
      <c r="C72" s="7" t="str">
        <f t="shared" si="3"/>
        <v>PremiumSS5</v>
      </c>
      <c r="D72" s="7" t="str">
        <f t="shared" si="4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曝弾の密偵 D.R.T.H.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IFERROR(VLOOKUP(B72,input_421010!L:R,7,FALSE),VLOOKUP(tables_421010!C177,input_421010!A:H,8,FALSE))</f>
        <v>408201.05768999999</v>
      </c>
      <c r="P72" s="46">
        <f t="shared" ca="1" si="5"/>
        <v>4.5855402315004706E-3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input_421010!A$2</f>
        <v>421010</v>
      </c>
      <c r="B73" s="11">
        <v>442</v>
      </c>
      <c r="C73" s="7" t="str">
        <f t="shared" si="3"/>
        <v>PremiumSS4</v>
      </c>
      <c r="D73" s="7" t="str">
        <f t="shared" si="4"/>
        <v>PremiumSS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ブレイブリー・ライオン</v>
      </c>
      <c r="I73" s="7" t="str">
        <f>VLOOKUP(B73,[1]characters!$A:$J,10,FALSE)</f>
        <v>PremiumSS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hp</v>
      </c>
      <c r="M73" s="7" t="str">
        <f>VLOOKUP(B73,[1]characters!$A:$M,13,FALSE)</f>
        <v>animal</v>
      </c>
      <c r="N73" s="7" t="str">
        <f>VLOOKUP(B73,[1]characters!$A:$G,7,FALSE)</f>
        <v>不明</v>
      </c>
      <c r="O73" s="45">
        <f ca="1">IFERROR(VLOOKUP(B73,input_421010!L:R,7,FALSE),VLOOKUP(tables_421010!C184,input_421010!A:H,8,FALSE))</f>
        <v>3716.5384600000002</v>
      </c>
      <c r="P73" s="46">
        <f t="shared" ca="1" si="5"/>
        <v>4.1749859068692718E-5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input_421010!A$2</f>
        <v>421010</v>
      </c>
      <c r="B74" s="6">
        <v>443</v>
      </c>
      <c r="C74" s="7" t="str">
        <f t="shared" si="3"/>
        <v>PremiumSS5</v>
      </c>
      <c r="D74" s="7" t="str">
        <f t="shared" si="4"/>
        <v>PremiumSS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勇機結集 ブレイブリー・ライオン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hp</v>
      </c>
      <c r="M74" s="7" t="str">
        <f>VLOOKUP(B74,[1]characters!$A:$M,13,FALSE)</f>
        <v>animal</v>
      </c>
      <c r="N74" s="7" t="str">
        <f>VLOOKUP(B74,[1]characters!$A:$G,7,FALSE)</f>
        <v>不明</v>
      </c>
      <c r="O74" s="45">
        <f ca="1">IFERROR(VLOOKUP(B74,input_421010!L:R,7,FALSE),VLOOKUP(tables_421010!C185,input_421010!A:H,8,FALSE))</f>
        <v>466650</v>
      </c>
      <c r="P74" s="46">
        <f t="shared" ca="1" si="5"/>
        <v>5.2421283794290277E-3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input_421010!A$2</f>
        <v>421010</v>
      </c>
      <c r="B75" s="8">
        <v>465</v>
      </c>
      <c r="C75" s="7" t="str">
        <f t="shared" si="3"/>
        <v>PremiumSS4</v>
      </c>
      <c r="D75" s="7" t="str">
        <f t="shared" si="4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真撃 ランスロット</v>
      </c>
      <c r="I75" s="7" t="str">
        <f>VLOOKUP(B75,[1]characters!$A:$J,10,FALSE)</f>
        <v>PremiumSS</v>
      </c>
      <c r="J75" s="7">
        <f>VLOOKUP(B75,[1]characters!$A:$I,9,FALSE)</f>
        <v>4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IFERROR(VLOOKUP(B75,input_421010!L:R,7,FALSE),VLOOKUP(tables_421010!C189,input_421010!A:H,8,FALSE))</f>
        <v>408201.05768999999</v>
      </c>
      <c r="P75" s="46">
        <f t="shared" ca="1" si="5"/>
        <v>4.5855402315004706E-3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input_421010!A$2</f>
        <v>421010</v>
      </c>
      <c r="B76" s="6">
        <v>466</v>
      </c>
      <c r="C76" s="7" t="str">
        <f t="shared" si="3"/>
        <v>PremiumSS5</v>
      </c>
      <c r="D76" s="7" t="str">
        <f t="shared" si="4"/>
        <v>PremiumSS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真断の勇覇 ランスロット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green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IFERROR(VLOOKUP(B76,input_421010!L:R,7,FALSE),VLOOKUP(tables_421010!C190,input_421010!A:H,8,FALSE))</f>
        <v>3716.5384600000002</v>
      </c>
      <c r="P76" s="46">
        <f t="shared" ca="1" si="5"/>
        <v>4.1749859068692718E-5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input_421010!A$2</f>
        <v>421010</v>
      </c>
      <c r="B77" s="6">
        <v>467</v>
      </c>
      <c r="C77" s="7" t="str">
        <f t="shared" si="3"/>
        <v>PremiumSS4</v>
      </c>
      <c r="D77" s="7" t="str">
        <f t="shared" si="4"/>
        <v>PremiumSS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報復 モルドレッド</v>
      </c>
      <c r="I77" s="7" t="str">
        <f>VLOOKUP(B77,[1]characters!$A:$J,10,FALSE)</f>
        <v>PremiumSS</v>
      </c>
      <c r="J77" s="7">
        <f>VLOOKUP(B77,[1]characters!$A:$I,9,FALSE)</f>
        <v>4</v>
      </c>
      <c r="K77" s="7" t="str">
        <f>VLOOKUP(B77,[1]characters!$A:$H,8,FALSE)</f>
        <v>blue</v>
      </c>
      <c r="L77" s="7" t="str">
        <f>VLOOKUP(B77,[1]characters!$A:$K,11,FALSE)</f>
        <v>technical</v>
      </c>
      <c r="M77" s="7" t="str">
        <f>VLOOKUP(B77,[1]characters!$A:$M,13,FALSE)</f>
        <v>human</v>
      </c>
      <c r="N77" s="7" t="str">
        <f>VLOOKUP(B77,[1]characters!$A:$G,7,FALSE)</f>
        <v>女性</v>
      </c>
      <c r="O77" s="45">
        <f ca="1">IFERROR(VLOOKUP(B77,input_421010!L:R,7,FALSE),VLOOKUP(tables_421010!C191,input_421010!A:H,8,FALSE))</f>
        <v>466650</v>
      </c>
      <c r="P77" s="46">
        <f t="shared" ca="1" si="5"/>
        <v>5.2421283794290277E-3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input_421010!A$2</f>
        <v>421010</v>
      </c>
      <c r="B78" s="6">
        <v>468</v>
      </c>
      <c r="C78" s="7" t="str">
        <f t="shared" si="3"/>
        <v>PremiumSS5</v>
      </c>
      <c r="D78" s="7" t="str">
        <f t="shared" si="4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憎愛の尖鋒 モルドレッド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technical</v>
      </c>
      <c r="M78" s="7" t="str">
        <f>VLOOKUP(B78,[1]characters!$A:$M,13,FALSE)</f>
        <v>human</v>
      </c>
      <c r="N78" s="7" t="str">
        <f>VLOOKUP(B78,[1]characters!$A:$G,7,FALSE)</f>
        <v>女性</v>
      </c>
      <c r="O78" s="45">
        <f ca="1">IFERROR(VLOOKUP(B78,input_421010!L:R,7,FALSE),VLOOKUP(tables_421010!C192,input_421010!A:H,8,FALSE))</f>
        <v>408201.05768999999</v>
      </c>
      <c r="P78" s="46">
        <f t="shared" ca="1" si="5"/>
        <v>4.5855402315004706E-3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input_421010!A$2</f>
        <v>421010</v>
      </c>
      <c r="B79" s="6">
        <v>474</v>
      </c>
      <c r="C79" s="7" t="str">
        <f t="shared" si="3"/>
        <v>PremiumSS4</v>
      </c>
      <c r="D79" s="7" t="str">
        <f t="shared" si="4"/>
        <v>PremiumSS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キング・ドライグ</v>
      </c>
      <c r="I79" s="7" t="str">
        <f>VLOOKUP(B79,[1]characters!$A:$J,10,FALSE)</f>
        <v>PremiumSS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attack</v>
      </c>
      <c r="M79" s="7" t="str">
        <f>VLOOKUP(B79,[1]characters!$A:$M,13,FALSE)</f>
        <v>dragon</v>
      </c>
      <c r="N79" s="7" t="str">
        <f>VLOOKUP(B79,[1]characters!$A:$G,7,FALSE)</f>
        <v>不明</v>
      </c>
      <c r="O79" s="45">
        <f ca="1">IFERROR(VLOOKUP(B79,input_421010!L:R,7,FALSE),VLOOKUP(tables_421010!C196,input_421010!A:H,8,FALSE))</f>
        <v>3716.5384600000002</v>
      </c>
      <c r="P79" s="46">
        <f t="shared" ca="1" si="5"/>
        <v>4.1749859068692718E-5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input_421010!A$2</f>
        <v>421010</v>
      </c>
      <c r="B80" s="6">
        <v>475</v>
      </c>
      <c r="C80" s="7" t="str">
        <f t="shared" si="3"/>
        <v>PremiumSS5</v>
      </c>
      <c r="D80" s="7" t="str">
        <f t="shared" si="4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緋王 キング・ドライグ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dragon</v>
      </c>
      <c r="N80" s="7" t="str">
        <f>VLOOKUP(B80,[1]characters!$A:$G,7,FALSE)</f>
        <v>不明</v>
      </c>
      <c r="O80" s="45">
        <f ca="1">IFERROR(VLOOKUP(B80,input_421010!L:R,7,FALSE),VLOOKUP(tables_421010!C197,input_421010!A:H,8,FALSE))</f>
        <v>466650</v>
      </c>
      <c r="P80" s="46">
        <f t="shared" ca="1" si="5"/>
        <v>5.2421283794290277E-3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input_421010!A$2</f>
        <v>421010</v>
      </c>
      <c r="B81" s="6">
        <v>479</v>
      </c>
      <c r="C81" s="7" t="str">
        <f t="shared" si="3"/>
        <v>PremiumSS4</v>
      </c>
      <c r="D81" s="7" t="str">
        <f t="shared" si="4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フール</v>
      </c>
      <c r="I81" s="7" t="str">
        <f>VLOOKUP(B81,[1]characters!$A:$J,10,FALSE)</f>
        <v>PremiumSS</v>
      </c>
      <c r="J81" s="7">
        <f>VLOOKUP(B81,[1]characters!$A:$I,9,FALSE)</f>
        <v>4</v>
      </c>
      <c r="K81" s="7" t="str">
        <f>VLOOKUP(B81,[1]characters!$A:$H,8,FALSE)</f>
        <v>blue</v>
      </c>
      <c r="L81" s="7" t="str">
        <f>VLOOKUP(B81,[1]characters!$A:$K,11,FALSE)</f>
        <v>technical</v>
      </c>
      <c r="M81" s="7" t="str">
        <f>VLOOKUP(B81,[1]characters!$A:$M,13,FALSE)</f>
        <v>god</v>
      </c>
      <c r="N81" s="7" t="str">
        <f>VLOOKUP(B81,[1]characters!$A:$G,7,FALSE)</f>
        <v>男性</v>
      </c>
      <c r="O81" s="45">
        <f ca="1">IFERROR(VLOOKUP(B81,input_421010!L:R,7,FALSE),VLOOKUP(tables_421010!C201,input_421010!A:H,8,FALSE))</f>
        <v>408201.05768999999</v>
      </c>
      <c r="P81" s="46">
        <f t="shared" ca="1" si="5"/>
        <v>4.5855402315004706E-3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input_421010!A$2</f>
        <v>421010</v>
      </c>
      <c r="B82" s="6">
        <v>480</v>
      </c>
      <c r="C82" s="7" t="str">
        <f t="shared" si="3"/>
        <v>PremiumSS5</v>
      </c>
      <c r="D82" s="7" t="str">
        <f t="shared" si="4"/>
        <v>PremiumSS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夢幻の愚者フール</v>
      </c>
      <c r="I82" s="7" t="str">
        <f>VLOOKUP(B82,[1]characters!$A:$J,10,FALSE)</f>
        <v>PremiumSS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technical</v>
      </c>
      <c r="M82" s="7" t="str">
        <f>VLOOKUP(B82,[1]characters!$A:$M,13,FALSE)</f>
        <v>god</v>
      </c>
      <c r="N82" s="7" t="str">
        <f>VLOOKUP(B82,[1]characters!$A:$G,7,FALSE)</f>
        <v>男性</v>
      </c>
      <c r="O82" s="45">
        <f ca="1">IFERROR(VLOOKUP(B82,input_421010!L:R,7,FALSE),VLOOKUP(tables_421010!C202,input_421010!A:H,8,FALSE))</f>
        <v>3716.5384600000002</v>
      </c>
      <c r="P82" s="46">
        <f t="shared" ca="1" si="5"/>
        <v>4.1749859068692718E-5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input_421010!A$2</f>
        <v>421010</v>
      </c>
      <c r="B83" s="6">
        <v>492</v>
      </c>
      <c r="C83" s="7" t="str">
        <f t="shared" si="3"/>
        <v>PremiumSS4</v>
      </c>
      <c r="D83" s="7" t="str">
        <f t="shared" si="4"/>
        <v>PremiumSS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ブートレグ・ペロー</v>
      </c>
      <c r="I83" s="7" t="str">
        <f>VLOOKUP(B83,[1]characters!$A:$J,10,FALSE)</f>
        <v>PremiumSS</v>
      </c>
      <c r="J83" s="7">
        <f>VLOOKUP(B83,[1]characters!$A:$I,9,FALSE)</f>
        <v>4</v>
      </c>
      <c r="K83" s="7" t="str">
        <f>VLOOKUP(B83,[1]characters!$A:$H,8,FALSE)</f>
        <v>red</v>
      </c>
      <c r="L83" s="7" t="str">
        <f>VLOOKUP(B83,[1]characters!$A:$K,11,FALSE)</f>
        <v>hp</v>
      </c>
      <c r="M83" s="7" t="str">
        <f>VLOOKUP(B83,[1]characters!$A:$M,13,FALSE)</f>
        <v>animal</v>
      </c>
      <c r="N83" s="7" t="str">
        <f>VLOOKUP(B83,[1]characters!$A:$G,7,FALSE)</f>
        <v>不明</v>
      </c>
      <c r="O83" s="45">
        <f ca="1">IFERROR(VLOOKUP(B83,input_421010!L:R,7,FALSE),VLOOKUP(tables_421010!C206,input_421010!A:H,8,FALSE))</f>
        <v>466650</v>
      </c>
      <c r="P83" s="46">
        <f t="shared" ca="1" si="5"/>
        <v>5.2421283794290277E-3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input_421010!A$2</f>
        <v>421010</v>
      </c>
      <c r="B84" s="6">
        <v>493</v>
      </c>
      <c r="C84" s="7" t="str">
        <f t="shared" si="3"/>
        <v>PremiumSS5</v>
      </c>
      <c r="D84" s="7" t="str">
        <f t="shared" si="4"/>
        <v>PremiumSS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跋扈の機脚 ブートレグ・ペロー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animal</v>
      </c>
      <c r="N84" s="7" t="str">
        <f>VLOOKUP(B84,[1]characters!$A:$G,7,FALSE)</f>
        <v>不明</v>
      </c>
      <c r="O84" s="45">
        <f ca="1">IFERROR(VLOOKUP(B84,input_421010!L:R,7,FALSE),VLOOKUP(tables_421010!C207,input_421010!A:H,8,FALSE))</f>
        <v>408201.05768999999</v>
      </c>
      <c r="P84" s="46">
        <f t="shared" ca="1" si="5"/>
        <v>4.5855402315004706E-3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input_421010!A$2</f>
        <v>421010</v>
      </c>
      <c r="B85" s="6">
        <v>494</v>
      </c>
      <c r="C85" s="7" t="str">
        <f t="shared" si="3"/>
        <v>PremiumSS4</v>
      </c>
      <c r="D85" s="7" t="str">
        <f t="shared" si="4"/>
        <v>PremiumSS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ハーメルン</v>
      </c>
      <c r="I85" s="7" t="str">
        <f>VLOOKUP(B85,[1]characters!$A:$J,10,FALSE)</f>
        <v>PremiumSS</v>
      </c>
      <c r="J85" s="7">
        <f>VLOOKUP(B85,[1]characters!$A:$I,9,FALSE)</f>
        <v>4</v>
      </c>
      <c r="K85" s="7" t="str">
        <f>VLOOKUP(B85,[1]characters!$A:$H,8,FALSE)</f>
        <v>green</v>
      </c>
      <c r="L85" s="7" t="str">
        <f>VLOOKUP(B85,[1]characters!$A:$K,11,FALSE)</f>
        <v>technical</v>
      </c>
      <c r="M85" s="7" t="str">
        <f>VLOOKUP(B85,[1]characters!$A:$M,13,FALSE)</f>
        <v>human</v>
      </c>
      <c r="N85" s="7" t="str">
        <f>VLOOKUP(B85,[1]characters!$A:$G,7,FALSE)</f>
        <v>男性</v>
      </c>
      <c r="O85" s="45">
        <f ca="1">IFERROR(VLOOKUP(B85,input_421010!L:R,7,FALSE),VLOOKUP(tables_421010!C208,input_421010!A:H,8,FALSE))</f>
        <v>3716.5384600000002</v>
      </c>
      <c r="P85" s="46">
        <f t="shared" ca="1" si="5"/>
        <v>4.1749859068692718E-5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input_421010!A$2</f>
        <v>421010</v>
      </c>
      <c r="B86" s="6">
        <v>495</v>
      </c>
      <c r="C86" s="7" t="str">
        <f t="shared" si="3"/>
        <v>PremiumSS5</v>
      </c>
      <c r="D86" s="7" t="str">
        <f t="shared" si="4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鼠災呼ぶ笛音 ハーメルン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green</v>
      </c>
      <c r="L86" s="7" t="str">
        <f>VLOOKUP(B86,[1]characters!$A:$K,11,FALSE)</f>
        <v>technical</v>
      </c>
      <c r="M86" s="7" t="str">
        <f>VLOOKUP(B86,[1]characters!$A:$M,13,FALSE)</f>
        <v>human</v>
      </c>
      <c r="N86" s="7" t="str">
        <f>VLOOKUP(B86,[1]characters!$A:$G,7,FALSE)</f>
        <v>男性</v>
      </c>
      <c r="O86" s="45">
        <f ca="1">IFERROR(VLOOKUP(B86,input_421010!L:R,7,FALSE),VLOOKUP(tables_421010!C209,input_421010!A:H,8,FALSE))</f>
        <v>466650</v>
      </c>
      <c r="P86" s="46">
        <f t="shared" ca="1" si="5"/>
        <v>5.2421283794290277E-3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input_421010!A$2</f>
        <v>421010</v>
      </c>
      <c r="B87" s="6">
        <v>499</v>
      </c>
      <c r="C87" s="7" t="str">
        <f t="shared" si="3"/>
        <v>PremiumSS4</v>
      </c>
      <c r="D87" s="7" t="str">
        <f t="shared" si="4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ラプンツェル</v>
      </c>
      <c r="I87" s="7" t="str">
        <f>VLOOKUP(B87,[1]characters!$A:$J,10,FALSE)</f>
        <v>PremiumSS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human</v>
      </c>
      <c r="N87" s="7" t="str">
        <f>VLOOKUP(B87,[1]characters!$A:$G,7,FALSE)</f>
        <v>女性</v>
      </c>
      <c r="O87" s="45">
        <f ca="1">IFERROR(VLOOKUP(B87,input_421010!L:R,7,FALSE),VLOOKUP(tables_421010!C213,input_421010!A:H,8,FALSE))</f>
        <v>408201.05768999999</v>
      </c>
      <c r="P87" s="46">
        <f t="shared" ca="1" si="5"/>
        <v>4.5855402315004706E-3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input_421010!A$2</f>
        <v>421010</v>
      </c>
      <c r="B88" s="6">
        <v>500</v>
      </c>
      <c r="C88" s="7" t="str">
        <f t="shared" si="3"/>
        <v>PremiumSS5</v>
      </c>
      <c r="D88" s="7" t="str">
        <f t="shared" si="4"/>
        <v>PremiumSS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脈動の禁髪 ラプンツェル</v>
      </c>
      <c r="I88" s="7" t="str">
        <f>VLOOKUP(B88,[1]characters!$A:$J,10,FALSE)</f>
        <v>PremiumSS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ca="1">IFERROR(VLOOKUP(B88,input_421010!L:R,7,FALSE),VLOOKUP(tables_421010!C214,input_421010!A:H,8,FALSE))</f>
        <v>3716.5384600000002</v>
      </c>
      <c r="P88" s="46">
        <f t="shared" ca="1" si="5"/>
        <v>4.1749859068692718E-5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input_421010!A$2</f>
        <v>421010</v>
      </c>
      <c r="B89" s="6">
        <v>586</v>
      </c>
      <c r="C89" s="7" t="str">
        <f t="shared" si="3"/>
        <v>PremiumSS4</v>
      </c>
      <c r="D89" s="7" t="str">
        <f t="shared" si="4"/>
        <v>PremiumSS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ユミル</v>
      </c>
      <c r="I89" s="7" t="str">
        <f>VLOOKUP(B89,[1]characters!$A:$J,10,FALSE)</f>
        <v>PremiumSS</v>
      </c>
      <c r="J89" s="7">
        <f>VLOOKUP(B89,[1]characters!$A:$I,9,FALSE)</f>
        <v>4</v>
      </c>
      <c r="K89" s="7" t="str">
        <f>VLOOKUP(B89,[1]characters!$A:$H,8,FALSE)</f>
        <v>red</v>
      </c>
      <c r="L89" s="7" t="str">
        <f>VLOOKUP(B89,[1]characters!$A:$K,11,FALSE)</f>
        <v>hp</v>
      </c>
      <c r="M89" s="7" t="str">
        <f>VLOOKUP(B89,[1]characters!$A:$M,13,FALSE)</f>
        <v>machine</v>
      </c>
      <c r="N89" s="7" t="str">
        <f>VLOOKUP(B89,[1]characters!$A:$G,7,FALSE)</f>
        <v>不明</v>
      </c>
      <c r="O89" s="45">
        <f ca="1">IFERROR(VLOOKUP(B89,input_421010!L:R,7,FALSE),VLOOKUP(tables_421010!C215,input_421010!A:H,8,FALSE))</f>
        <v>466650</v>
      </c>
      <c r="P89" s="46">
        <f t="shared" ca="1" si="5"/>
        <v>5.2421283794290277E-3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input_421010!A$2</f>
        <v>421010</v>
      </c>
      <c r="B90" s="6">
        <v>587</v>
      </c>
      <c r="C90" s="7" t="str">
        <f t="shared" si="3"/>
        <v>PremiumSS5</v>
      </c>
      <c r="D90" s="7" t="str">
        <f t="shared" si="4"/>
        <v>PremiumSS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原初の煉鋼巨刃 ユミル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hp</v>
      </c>
      <c r="M90" s="7" t="str">
        <f>VLOOKUP(B90,[1]characters!$A:$M,13,FALSE)</f>
        <v>machine</v>
      </c>
      <c r="N90" s="7" t="str">
        <f>VLOOKUP(B90,[1]characters!$A:$G,7,FALSE)</f>
        <v>不明</v>
      </c>
      <c r="O90" s="45">
        <f ca="1">IFERROR(VLOOKUP(B90,input_421010!L:R,7,FALSE),VLOOKUP(tables_421010!C216,input_421010!A:H,8,FALSE))</f>
        <v>408201.05768999999</v>
      </c>
      <c r="P90" s="46">
        <f t="shared" ca="1" si="5"/>
        <v>4.5855402315004706E-3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input_421010!A$2</f>
        <v>421010</v>
      </c>
      <c r="B91" s="6">
        <v>594</v>
      </c>
      <c r="C91" s="7" t="str">
        <f t="shared" si="3"/>
        <v>PremiumSS4</v>
      </c>
      <c r="D91" s="7" t="str">
        <f t="shared" si="4"/>
        <v>PremiumSS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アルフヘイム</v>
      </c>
      <c r="I91" s="7" t="str">
        <f>VLOOKUP(B91,[1]characters!$A:$J,10,FALSE)</f>
        <v>PremiumSS</v>
      </c>
      <c r="J91" s="7">
        <f>VLOOKUP(B91,[1]characters!$A:$I,9,FALSE)</f>
        <v>4</v>
      </c>
      <c r="K91" s="7" t="str">
        <f>VLOOKUP(B91,[1]characters!$A:$H,8,FALSE)</f>
        <v>yellow</v>
      </c>
      <c r="L91" s="7" t="str">
        <f>VLOOKUP(B91,[1]characters!$A:$K,11,FALSE)</f>
        <v>attack</v>
      </c>
      <c r="M91" s="7" t="str">
        <f>VLOOKUP(B91,[1]characters!$A:$M,13,FALSE)</f>
        <v>dragon</v>
      </c>
      <c r="N91" s="7" t="str">
        <f>VLOOKUP(B91,[1]characters!$A:$G,7,FALSE)</f>
        <v>不明</v>
      </c>
      <c r="O91" s="45">
        <f ca="1">IFERROR(VLOOKUP(B91,input_421010!L:R,7,FALSE),VLOOKUP(tables_421010!C223,input_421010!A:H,8,FALSE))</f>
        <v>3716.5384600000002</v>
      </c>
      <c r="P91" s="46">
        <f t="shared" ca="1" si="5"/>
        <v>4.1749859068692718E-5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input_421010!A$2</f>
        <v>421010</v>
      </c>
      <c r="B92" s="6">
        <v>595</v>
      </c>
      <c r="C92" s="7" t="str">
        <f t="shared" si="3"/>
        <v>PremiumSS5</v>
      </c>
      <c r="D92" s="7" t="str">
        <f t="shared" si="4"/>
        <v>PremiumSS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光華なる神域 アルフヘイム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yellow</v>
      </c>
      <c r="L92" s="7" t="str">
        <f>VLOOKUP(B92,[1]characters!$A:$K,11,FALSE)</f>
        <v>attack</v>
      </c>
      <c r="M92" s="7" t="str">
        <f>VLOOKUP(B92,[1]characters!$A:$M,13,FALSE)</f>
        <v>dragon</v>
      </c>
      <c r="N92" s="7" t="str">
        <f>VLOOKUP(B92,[1]characters!$A:$G,7,FALSE)</f>
        <v>不明</v>
      </c>
      <c r="O92" s="45">
        <f ca="1">IFERROR(VLOOKUP(B92,input_421010!L:R,7,FALSE),VLOOKUP(tables_421010!C224,input_421010!A:H,8,FALSE))</f>
        <v>466650</v>
      </c>
      <c r="P92" s="46">
        <f t="shared" ca="1" si="5"/>
        <v>5.2421283794290277E-3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input_421010!A$2</f>
        <v>421010</v>
      </c>
      <c r="B93" s="6">
        <v>602</v>
      </c>
      <c r="C93" s="7" t="str">
        <f t="shared" si="3"/>
        <v>PremiumSS4</v>
      </c>
      <c r="D93" s="7" t="str">
        <f t="shared" si="4"/>
        <v>PremiumSS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フレイヤ</v>
      </c>
      <c r="I93" s="7" t="str">
        <f>VLOOKUP(B93,[1]characters!$A:$J,10,FALSE)</f>
        <v>PremiumSS</v>
      </c>
      <c r="J93" s="7">
        <f>VLOOKUP(B93,[1]characters!$A:$I,9,FALSE)</f>
        <v>4</v>
      </c>
      <c r="K93" s="7" t="str">
        <f>VLOOKUP(B93,[1]characters!$A:$H,8,FALSE)</f>
        <v>blue</v>
      </c>
      <c r="L93" s="7" t="str">
        <f>VLOOKUP(B93,[1]characters!$A:$K,11,FALSE)</f>
        <v>heal</v>
      </c>
      <c r="M93" s="7" t="str">
        <f>VLOOKUP(B93,[1]characters!$A:$M,13,FALSE)</f>
        <v>animal</v>
      </c>
      <c r="N93" s="7" t="str">
        <f>VLOOKUP(B93,[1]characters!$A:$G,7,FALSE)</f>
        <v>女性</v>
      </c>
      <c r="O93" s="45">
        <f ca="1">IFERROR(VLOOKUP(B93,input_421010!L:R,7,FALSE),VLOOKUP(tables_421010!C231,input_421010!A:H,8,FALSE))</f>
        <v>46665</v>
      </c>
      <c r="P93" s="46">
        <f t="shared" ca="1" si="5"/>
        <v>5.2421283794290281E-4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input_421010!A$2</f>
        <v>421010</v>
      </c>
      <c r="B94" s="6">
        <v>603</v>
      </c>
      <c r="C94" s="7" t="str">
        <f t="shared" si="3"/>
        <v>PremiumSS5</v>
      </c>
      <c r="D94" s="7" t="str">
        <f t="shared" si="4"/>
        <v>PremiumSS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掌愛の豊穣女神 フレイヤ</v>
      </c>
      <c r="I94" s="7" t="str">
        <f>VLOOKUP(B94,[1]characters!$A:$J,10,FALSE)</f>
        <v>PremiumSS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heal</v>
      </c>
      <c r="M94" s="7" t="str">
        <f>VLOOKUP(B94,[1]characters!$A:$M,13,FALSE)</f>
        <v>animal</v>
      </c>
      <c r="N94" s="7" t="str">
        <f>VLOOKUP(B94,[1]characters!$A:$G,7,FALSE)</f>
        <v>女性</v>
      </c>
      <c r="O94" s="45">
        <f ca="1">IFERROR(VLOOKUP(B94,input_421010!L:R,7,FALSE),VLOOKUP(tables_421010!C232,input_421010!A:H,8,FALSE))</f>
        <v>886635</v>
      </c>
      <c r="P94" s="46">
        <f t="shared" ca="1" si="5"/>
        <v>9.9600439209151532E-3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input_421010!A$2</f>
        <v>421010</v>
      </c>
      <c r="B95" s="6">
        <v>658</v>
      </c>
      <c r="C95" s="7" t="str">
        <f t="shared" si="3"/>
        <v>PremiumSS4</v>
      </c>
      <c r="D95" s="7" t="str">
        <f t="shared" si="4"/>
        <v>PremiumSS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猫又 クルミ</v>
      </c>
      <c r="I95" s="7" t="str">
        <f>VLOOKUP(B95,[1]characters!$A:$J,10,FALSE)</f>
        <v>PremiumSS</v>
      </c>
      <c r="J95" s="7">
        <f>VLOOKUP(B95,[1]characters!$A:$I,9,FALSE)</f>
        <v>4</v>
      </c>
      <c r="K95" s="7" t="str">
        <f>VLOOKUP(B95,[1]characters!$A:$H,8,FALSE)</f>
        <v>red</v>
      </c>
      <c r="L95" s="7" t="str">
        <f>VLOOKUP(B95,[1]characters!$A:$K,11,FALSE)</f>
        <v>attack</v>
      </c>
      <c r="M95" s="7" t="str">
        <f>VLOOKUP(B95,[1]characters!$A:$M,13,FALSE)</f>
        <v>animal</v>
      </c>
      <c r="N95" s="7" t="str">
        <f>VLOOKUP(B95,[1]characters!$A:$G,7,FALSE)</f>
        <v>女性</v>
      </c>
      <c r="O95" s="45">
        <f ca="1">IFERROR(VLOOKUP(B95,input_421010!L:R,7,FALSE),VLOOKUP(tables_421010!C236,input_421010!A:H,8,FALSE))</f>
        <v>3716.5384600000002</v>
      </c>
      <c r="P95" s="46">
        <f t="shared" ca="1" si="5"/>
        <v>4.1749859068692718E-5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input_421010!A$2</f>
        <v>421010</v>
      </c>
      <c r="B96" s="6">
        <v>659</v>
      </c>
      <c r="C96" s="7" t="str">
        <f t="shared" si="3"/>
        <v>PremiumSS5</v>
      </c>
      <c r="D96" s="7" t="str">
        <f t="shared" si="4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跳梁する化猫 クルミ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attack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ca="1">IFERROR(VLOOKUP(B96,input_421010!L:R,7,FALSE),VLOOKUP(tables_421010!C237,input_421010!A:H,8,FALSE))</f>
        <v>466650</v>
      </c>
      <c r="P96" s="46">
        <f t="shared" ca="1" si="5"/>
        <v>5.2421283794290277E-3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input_421010!A$2</f>
        <v>421010</v>
      </c>
      <c r="B97" s="6">
        <v>660</v>
      </c>
      <c r="C97" s="7" t="str">
        <f t="shared" si="3"/>
        <v>PremiumSS4</v>
      </c>
      <c r="D97" s="7" t="str">
        <f t="shared" si="4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烏天狗 フウガ</v>
      </c>
      <c r="I97" s="7" t="str">
        <f>VLOOKUP(B97,[1]characters!$A:$J,10,FALSE)</f>
        <v>PremiumSS</v>
      </c>
      <c r="J97" s="7">
        <f>VLOOKUP(B97,[1]characters!$A:$I,9,FALSE)</f>
        <v>4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男性</v>
      </c>
      <c r="O97" s="45">
        <f ca="1">IFERROR(VLOOKUP(B97,input_421010!L:R,7,FALSE),VLOOKUP(tables_421010!C238,input_421010!A:H,8,FALSE))</f>
        <v>408201.05768999999</v>
      </c>
      <c r="P97" s="46">
        <f t="shared" ca="1" si="5"/>
        <v>4.5855402315004706E-3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input_421010!A$2</f>
        <v>421010</v>
      </c>
      <c r="B98" s="6">
        <v>661</v>
      </c>
      <c r="C98" s="7" t="str">
        <f t="shared" si="3"/>
        <v>PremiumSS5</v>
      </c>
      <c r="D98" s="7" t="str">
        <f t="shared" si="4"/>
        <v>PremiumSS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疾風の天狗礫 フウガ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green</v>
      </c>
      <c r="L98" s="7" t="str">
        <f>VLOOKUP(B98,[1]characters!$A:$K,11,FALSE)</f>
        <v>balance</v>
      </c>
      <c r="M98" s="7" t="str">
        <f>VLOOKUP(B98,[1]characters!$A:$M,13,FALSE)</f>
        <v>animal</v>
      </c>
      <c r="N98" s="7" t="str">
        <f>VLOOKUP(B98,[1]characters!$A:$G,7,FALSE)</f>
        <v>男性</v>
      </c>
      <c r="O98" s="45">
        <f ca="1">IFERROR(VLOOKUP(B98,input_421010!L:R,7,FALSE),VLOOKUP(tables_421010!C239,input_421010!A:H,8,FALSE))</f>
        <v>3716.5384600000002</v>
      </c>
      <c r="P98" s="46">
        <f t="shared" ca="1" si="5"/>
        <v>4.1749859068692718E-5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input_421010!A$2</f>
        <v>421010</v>
      </c>
      <c r="B99" s="60">
        <v>674</v>
      </c>
      <c r="C99" s="7" t="str">
        <f t="shared" si="3"/>
        <v>PremiumSS4</v>
      </c>
      <c r="D99" s="7" t="str">
        <f t="shared" si="4"/>
        <v>PremiumSS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サラスヴァティ</v>
      </c>
      <c r="I99" s="7" t="str">
        <f>VLOOKUP(B99,[1]characters!$A:$J,10,FALSE)</f>
        <v>PremiumSS</v>
      </c>
      <c r="J99" s="7">
        <f>VLOOKUP(B99,[1]characters!$A:$I,9,FALSE)</f>
        <v>4</v>
      </c>
      <c r="K99" s="7" t="str">
        <f>VLOOKUP(B99,[1]characters!$A:$H,8,FALSE)</f>
        <v>blue</v>
      </c>
      <c r="L99" s="7" t="str">
        <f>VLOOKUP(B99,[1]characters!$A:$K,11,FALSE)</f>
        <v>balance</v>
      </c>
      <c r="M99" s="7" t="str">
        <f>VLOOKUP(B99,[1]characters!$A:$M,13,FALSE)</f>
        <v>god</v>
      </c>
      <c r="N99" s="7" t="str">
        <f>VLOOKUP(B99,[1]characters!$A:$G,7,FALSE)</f>
        <v>女性</v>
      </c>
      <c r="O99" s="45">
        <f ca="1">IFERROR(VLOOKUP(B99,input_421010!L:R,7,FALSE),VLOOKUP(tables_421010!C252,input_421010!A:H,8,FALSE))</f>
        <v>886635</v>
      </c>
      <c r="P99" s="46">
        <f t="shared" ca="1" si="5"/>
        <v>9.9600439209151532E-3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input_421010!A$2</f>
        <v>421010</v>
      </c>
      <c r="B100" s="60">
        <v>675</v>
      </c>
      <c r="C100" s="7" t="str">
        <f t="shared" si="3"/>
        <v>PremiumSS5</v>
      </c>
      <c r="D100" s="7" t="str">
        <f t="shared" si="4"/>
        <v>PremiumSS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芸楽の奔流 サラスヴァティ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女性</v>
      </c>
      <c r="O100" s="45">
        <f ca="1">IFERROR(VLOOKUP(B100,input_421010!L:R,7,FALSE),VLOOKUP(tables_421010!C253,input_421010!A:H,8,FALSE))</f>
        <v>46665</v>
      </c>
      <c r="P100" s="46">
        <f t="shared" ca="1" si="5"/>
        <v>5.2421283794290281E-4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input_421010!A$2</f>
        <v>421010</v>
      </c>
      <c r="B101" s="60">
        <v>676</v>
      </c>
      <c r="C101" s="7" t="str">
        <f t="shared" si="3"/>
        <v>PremiumSS4</v>
      </c>
      <c r="D101" s="7" t="str">
        <f t="shared" si="4"/>
        <v>PremiumSS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ヴィシュヌ</v>
      </c>
      <c r="I101" s="7" t="str">
        <f>VLOOKUP(B101,[1]characters!$A:$J,10,FALSE)</f>
        <v>PremiumSS</v>
      </c>
      <c r="J101" s="7">
        <f>VLOOKUP(B101,[1]characters!$A:$I,9,FALSE)</f>
        <v>4</v>
      </c>
      <c r="K101" s="7" t="str">
        <f>VLOOKUP(B101,[1]characters!$A:$H,8,FALSE)</f>
        <v>yellow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女性</v>
      </c>
      <c r="O101" s="45">
        <f ca="1">IFERROR(VLOOKUP(B101,input_421010!L:R,7,FALSE),VLOOKUP(tables_421010!C254,input_421010!A:H,8,FALSE))</f>
        <v>886635</v>
      </c>
      <c r="P101" s="46">
        <f t="shared" ca="1" si="5"/>
        <v>9.9600439209151532E-3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input_421010!A$2</f>
        <v>421010</v>
      </c>
      <c r="B102" s="60">
        <v>677</v>
      </c>
      <c r="C102" s="7" t="str">
        <f t="shared" si="3"/>
        <v>PremiumSS5</v>
      </c>
      <c r="D102" s="7" t="str">
        <f t="shared" si="4"/>
        <v>PremiumSS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武遊闊歩 ヴィシュヌ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yellow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女性</v>
      </c>
      <c r="O102" s="45">
        <f ca="1">IFERROR(VLOOKUP(B102,input_421010!L:R,7,FALSE),VLOOKUP(tables_421010!C255,input_421010!A:H,8,FALSE))</f>
        <v>46665</v>
      </c>
      <c r="P102" s="46">
        <f t="shared" ca="1" si="5"/>
        <v>5.2421283794290281E-4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input_421010!A$2</f>
        <v>421010</v>
      </c>
      <c r="B103" s="60">
        <v>732</v>
      </c>
      <c r="C103" s="7" t="str">
        <f t="shared" si="3"/>
        <v>PremiumSS5R5only</v>
      </c>
      <c r="D103" s="7" t="str">
        <f t="shared" si="4"/>
        <v>PremiumSS</v>
      </c>
      <c r="E103" s="7" t="str">
        <f>IF(COUNTIF('R6追加前'!A:A,B103)=0,IF(OR(I103="PremiumSS",I103="PremiumSSw"),"R5only","R3less"),"")</f>
        <v>R5only</v>
      </c>
      <c r="F103" s="7" t="str">
        <f>IF(COUNTIF('R6開放'!A:A,B103)&gt;0,"R6release","")</f>
        <v/>
      </c>
      <c r="G103" s="7"/>
      <c r="H103" s="7" t="str">
        <f>VLOOKUP(B103,[1]characters!$A:$C,3,FALSE)</f>
        <v>上杉謙信</v>
      </c>
      <c r="I103" s="7" t="str">
        <f>VLOOKUP(B103,[1]characters!$A:$J,10,FALSE)</f>
        <v>PremiumSS</v>
      </c>
      <c r="J103" s="7">
        <f>VLOOKUP(B103,[1]characters!$A:$I,9,FALSE)</f>
        <v>5</v>
      </c>
      <c r="K103" s="7" t="str">
        <f>VLOOKUP(B103,[1]characters!$A:$H,8,FALSE)</f>
        <v>blue</v>
      </c>
      <c r="L103" s="7" t="str">
        <f>VLOOKUP(B103,[1]characters!$A:$K,11,FALSE)</f>
        <v>attack</v>
      </c>
      <c r="M103" s="7" t="str">
        <f>VLOOKUP(B103,[1]characters!$A:$M,13,FALSE)</f>
        <v>human</v>
      </c>
      <c r="N103" s="7" t="str">
        <f>VLOOKUP(B103,[1]characters!$A:$G,7,FALSE)</f>
        <v>女性</v>
      </c>
      <c r="O103" s="45">
        <f ca="1">IFERROR(VLOOKUP(B103,input_421010!L:R,7,FALSE),VLOOKUP(tables_421010!C260,input_421010!A:H,8,FALSE))</f>
        <v>886635</v>
      </c>
      <c r="P103" s="46">
        <f t="shared" ca="1" si="5"/>
        <v>9.9600439209151532E-3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input_421010!A$2</f>
        <v>421010</v>
      </c>
      <c r="B104" s="60">
        <v>734</v>
      </c>
      <c r="C104" s="7" t="str">
        <f t="shared" si="3"/>
        <v>PremiumSS5R5only</v>
      </c>
      <c r="D104" s="7" t="str">
        <f t="shared" si="4"/>
        <v>PremiumSS</v>
      </c>
      <c r="E104" s="7" t="str">
        <f>IF(COUNTIF('R6追加前'!A:A,B104)=0,IF(OR(I104="PremiumSS",I104="PremiumSSw"),"R5only","R3less"),"")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伊達政宗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yellow</v>
      </c>
      <c r="L104" s="7" t="str">
        <f>VLOOKUP(B104,[1]characters!$A:$K,11,FALSE)</f>
        <v>balance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45">
        <f ca="1">IFERROR(VLOOKUP(B104,input_421010!L:R,7,FALSE),VLOOKUP(tables_421010!C261,input_421010!A:H,8,FALSE))</f>
        <v>46665</v>
      </c>
      <c r="P104" s="46">
        <f t="shared" ca="1" si="5"/>
        <v>5.2421283794290281E-4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input_421010!A$2</f>
        <v>421010</v>
      </c>
      <c r="B105" s="60">
        <v>770</v>
      </c>
      <c r="C105" s="7" t="str">
        <f t="shared" si="3"/>
        <v>PremiumSS4</v>
      </c>
      <c r="D105" s="7" t="str">
        <f t="shared" si="4"/>
        <v>PremiumSS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ハヅル</v>
      </c>
      <c r="I105" s="7" t="str">
        <f>VLOOKUP(B105,[1]characters!$A:$J,10,FALSE)</f>
        <v>PremiumSS</v>
      </c>
      <c r="J105" s="7">
        <f>VLOOKUP(B105,[1]characters!$A:$I,9,FALSE)</f>
        <v>4</v>
      </c>
      <c r="K105" s="7" t="str">
        <f>VLOOKUP(B105,[1]characters!$A:$H,8,FALSE)</f>
        <v>red</v>
      </c>
      <c r="L105" s="7" t="str">
        <f>VLOOKUP(B105,[1]characters!$A:$K,11,FALSE)</f>
        <v>balance</v>
      </c>
      <c r="M105" s="7" t="str">
        <f>VLOOKUP(B105,[1]characters!$A:$M,13,FALSE)</f>
        <v>animal</v>
      </c>
      <c r="N105" s="7" t="str">
        <f>VLOOKUP(B105,[1]characters!$A:$G,7,FALSE)</f>
        <v>女性</v>
      </c>
      <c r="O105" s="45">
        <f ca="1">IFERROR(VLOOKUP(B105,input_421010!L:R,7,FALSE),VLOOKUP(tables_421010!C262,input_421010!A:H,8,FALSE))</f>
        <v>466650</v>
      </c>
      <c r="P105" s="46">
        <f t="shared" ca="1" si="5"/>
        <v>5.2421283794290277E-3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input_421010!A$2</f>
        <v>421010</v>
      </c>
      <c r="B106" s="60">
        <v>771</v>
      </c>
      <c r="C106" s="7" t="str">
        <f t="shared" si="3"/>
        <v>PremiumSS5</v>
      </c>
      <c r="D106" s="7" t="str">
        <f t="shared" si="4"/>
        <v>PremiumSS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天織羽鶴 ハヅル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red</v>
      </c>
      <c r="L106" s="7" t="str">
        <f>VLOOKUP(B106,[1]characters!$A:$K,11,FALSE)</f>
        <v>balance</v>
      </c>
      <c r="M106" s="7" t="str">
        <f>VLOOKUP(B106,[1]characters!$A:$M,13,FALSE)</f>
        <v>animal</v>
      </c>
      <c r="N106" s="7" t="str">
        <f>VLOOKUP(B106,[1]characters!$A:$G,7,FALSE)</f>
        <v>女性</v>
      </c>
      <c r="O106" s="45">
        <f ca="1">IFERROR(VLOOKUP(B106,input_421010!L:R,7,FALSE),VLOOKUP(tables_421010!C263,input_421010!A:H,8,FALSE))</f>
        <v>419985</v>
      </c>
      <c r="P106" s="46">
        <f t="shared" ca="1" si="5"/>
        <v>4.7179155414861246E-3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input_421010!A$2</f>
        <v>421010</v>
      </c>
      <c r="B107" s="60">
        <v>772</v>
      </c>
      <c r="C107" s="7" t="str">
        <f t="shared" si="3"/>
        <v>PremiumSS4</v>
      </c>
      <c r="D107" s="7" t="str">
        <f t="shared" si="4"/>
        <v>PremiumSS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イナバ</v>
      </c>
      <c r="I107" s="7" t="str">
        <f>VLOOKUP(B107,[1]characters!$A:$J,10,FALSE)</f>
        <v>PremiumSS</v>
      </c>
      <c r="J107" s="7">
        <f>VLOOKUP(B107,[1]characters!$A:$I,9,FALSE)</f>
        <v>4</v>
      </c>
      <c r="K107" s="7" t="str">
        <f>VLOOKUP(B107,[1]characters!$A:$H,8,FALSE)</f>
        <v>green</v>
      </c>
      <c r="L107" s="7" t="str">
        <f>VLOOKUP(B107,[1]characters!$A:$K,11,FALSE)</f>
        <v>balance</v>
      </c>
      <c r="M107" s="7" t="str">
        <f>VLOOKUP(B107,[1]characters!$A:$M,13,FALSE)</f>
        <v>animal</v>
      </c>
      <c r="N107" s="7" t="str">
        <f>VLOOKUP(B107,[1]characters!$A:$G,7,FALSE)</f>
        <v>女性</v>
      </c>
      <c r="O107" s="45">
        <f ca="1">IFERROR(VLOOKUP(B107,input_421010!L:R,7,FALSE),VLOOKUP(tables_421010!C264,input_421010!A:H,8,FALSE))</f>
        <v>46665</v>
      </c>
      <c r="P107" s="46">
        <f t="shared" ca="1" si="5"/>
        <v>5.2421283794290281E-4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input_421010!A$2</f>
        <v>421010</v>
      </c>
      <c r="B108" s="60">
        <v>773</v>
      </c>
      <c r="C108" s="7" t="str">
        <f t="shared" si="3"/>
        <v>PremiumSS5</v>
      </c>
      <c r="D108" s="7" t="str">
        <f t="shared" si="4"/>
        <v>PremiumSS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浮跳天兎 イナバ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green</v>
      </c>
      <c r="L108" s="7" t="str">
        <f>VLOOKUP(B108,[1]characters!$A:$K,11,FALSE)</f>
        <v>balance</v>
      </c>
      <c r="M108" s="7" t="str">
        <f>VLOOKUP(B108,[1]characters!$A:$M,13,FALSE)</f>
        <v>animal</v>
      </c>
      <c r="N108" s="7" t="str">
        <f>VLOOKUP(B108,[1]characters!$A:$G,7,FALSE)</f>
        <v>女性</v>
      </c>
      <c r="O108" s="45">
        <f ca="1">IFERROR(VLOOKUP(B108,input_421010!L:R,7,FALSE),VLOOKUP(tables_421010!C265,input_421010!A:H,8,FALSE))</f>
        <v>466650</v>
      </c>
      <c r="P108" s="46">
        <f t="shared" ca="1" si="5"/>
        <v>5.2421283794290277E-3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input_421010!A$2</f>
        <v>421010</v>
      </c>
      <c r="B109" s="81">
        <v>848</v>
      </c>
      <c r="C109" s="7" t="str">
        <f t="shared" si="3"/>
        <v>PremiumSS5R5only</v>
      </c>
      <c r="D109" s="7" t="str">
        <f t="shared" si="4"/>
        <v>PremiumSS</v>
      </c>
      <c r="E109" s="7" t="str">
        <f>IF(COUNTIF('R6追加前'!A:A,B109)=0,IF(OR(I109="PremiumSS",I109="PremiumSSw"),"R5only","R3less"),"")</f>
        <v>R5only</v>
      </c>
      <c r="F109" s="7" t="str">
        <f>IF(COUNTIF('R6開放'!A:A,B109)&gt;0,"R6release","")</f>
        <v/>
      </c>
      <c r="G109" s="7"/>
      <c r="H109" s="7" t="str">
        <f>VLOOKUP(B109,[1]characters!$A:$C,3,FALSE)</f>
        <v>メタトロン</v>
      </c>
      <c r="I109" s="7" t="str">
        <f>VLOOKUP(B109,[1]characters!$A:$J,10,FALSE)</f>
        <v>PremiumSS</v>
      </c>
      <c r="J109" s="7">
        <f>VLOOKUP(B109,[1]characters!$A:$I,9,FALSE)</f>
        <v>5</v>
      </c>
      <c r="K109" s="7" t="str">
        <f>VLOOKUP(B109,[1]characters!$A:$H,8,FALSE)</f>
        <v>red</v>
      </c>
      <c r="L109" s="7" t="str">
        <f>VLOOKUP(B109,[1]characters!$A:$K,11,FALSE)</f>
        <v>balance</v>
      </c>
      <c r="M109" s="7" t="str">
        <f>VLOOKUP(B109,[1]characters!$A:$M,13,FALSE)</f>
        <v>god</v>
      </c>
      <c r="N109" s="7" t="str">
        <f>VLOOKUP(B109,[1]characters!$A:$G,7,FALSE)</f>
        <v>男性</v>
      </c>
      <c r="O109" s="45">
        <f ca="1">IFERROR(VLOOKUP(B109,input_421010!L:R,7,FALSE),VLOOKUP(tables_421010!C272,input_421010!A:H,8,FALSE))</f>
        <v>408201.05768999999</v>
      </c>
      <c r="P109" s="46">
        <f t="shared" ca="1" si="5"/>
        <v>4.5855402315004706E-3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input_421010!A$2</f>
        <v>421010</v>
      </c>
      <c r="B110" s="81">
        <v>850</v>
      </c>
      <c r="C110" s="7" t="str">
        <f t="shared" si="3"/>
        <v>PremiumSS5R5only</v>
      </c>
      <c r="D110" s="7" t="str">
        <f t="shared" si="4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バアル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green</v>
      </c>
      <c r="L110" s="7" t="str">
        <f>VLOOKUP(B110,[1]characters!$A:$K,11,FALSE)</f>
        <v>technical</v>
      </c>
      <c r="M110" s="7" t="str">
        <f>VLOOKUP(B110,[1]characters!$A:$M,13,FALSE)</f>
        <v>god</v>
      </c>
      <c r="N110" s="7" t="str">
        <f>VLOOKUP(B110,[1]characters!$A:$G,7,FALSE)</f>
        <v>男性</v>
      </c>
      <c r="O110" s="45">
        <f ca="1">IFERROR(VLOOKUP(B110,input_421010!L:R,7,FALSE),VLOOKUP(tables_421010!C273,input_421010!A:H,8,FALSE))</f>
        <v>3716.5384600000002</v>
      </c>
      <c r="P110" s="46">
        <f t="shared" ca="1" si="5"/>
        <v>4.1749859068692718E-5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input_421010!A$2</f>
        <v>421010</v>
      </c>
      <c r="B111" s="81">
        <v>866</v>
      </c>
      <c r="C111" s="7" t="str">
        <f t="shared" si="3"/>
        <v>PremiumSS5R5only</v>
      </c>
      <c r="D111" s="7" t="str">
        <f t="shared" si="4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無敗の司令姫 白雪姫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blue</v>
      </c>
      <c r="L111" s="7" t="str">
        <f>VLOOKUP(B111,[1]characters!$A:$K,11,FALSE)</f>
        <v>balance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ca="1">IFERROR(VLOOKUP(B111,input_421010!L:R,7,FALSE),VLOOKUP(tables_421010!C282,input_421010!A:H,8,FALSE))</f>
        <v>3716.5384600000002</v>
      </c>
      <c r="P111" s="46">
        <f t="shared" ca="1" si="5"/>
        <v>4.1749859068692718E-5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input_421010!A$2</f>
        <v>421010</v>
      </c>
      <c r="B112" s="81">
        <v>868</v>
      </c>
      <c r="C112" s="7" t="str">
        <f t="shared" si="3"/>
        <v>PremiumSS5R5only</v>
      </c>
      <c r="D112" s="7" t="str">
        <f t="shared" si="4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アラジンと殲滅機兵LAMP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hp</v>
      </c>
      <c r="M112" s="7" t="str">
        <f>VLOOKUP(B112,[1]characters!$A:$M,13,FALSE)</f>
        <v>human</v>
      </c>
      <c r="N112" s="7" t="str">
        <f>VLOOKUP(B112,[1]characters!$A:$G,7,FALSE)</f>
        <v>男性</v>
      </c>
      <c r="O112" s="45">
        <f ca="1">IFERROR(VLOOKUP(B112,input_421010!L:R,7,FALSE),VLOOKUP(tables_421010!C283,input_421010!A:H,8,FALSE))</f>
        <v>466650</v>
      </c>
      <c r="P112" s="46">
        <f t="shared" ca="1" si="5"/>
        <v>5.2421283794290277E-3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input_421010!A$2</f>
        <v>421010</v>
      </c>
      <c r="B113" s="5">
        <v>742</v>
      </c>
      <c r="C113" s="7" t="str">
        <f t="shared" si="3"/>
        <v>PremiumSS5R5only</v>
      </c>
      <c r="D113" s="7" t="str">
        <f t="shared" si="4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アポロン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red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ca="1">IFERROR(VLOOKUP(B113,input_421010!L:R,7,FALSE),VLOOKUP(tables_421010!C284,input_421010!A:H,8,FALSE))</f>
        <v>408201.05768999999</v>
      </c>
      <c r="P113" s="46">
        <f t="shared" ca="1" si="5"/>
        <v>4.5855402315004706E-3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input_421010!A$2</f>
        <v>421010</v>
      </c>
      <c r="B114" s="5">
        <v>744</v>
      </c>
      <c r="C114" s="7" t="str">
        <f t="shared" si="3"/>
        <v>PremiumSS5R5only</v>
      </c>
      <c r="D114" s="7" t="str">
        <f t="shared" si="4"/>
        <v>PremiumSS</v>
      </c>
      <c r="E114" s="7" t="str">
        <f>IF(COUNTIF('R6追加前'!A:A,B114)=0,IF(OR(I114="PremiumSS",I114="PremiumSSw"),"R5only","R3less"),"")</f>
        <v>R5only</v>
      </c>
      <c r="F114" s="7" t="str">
        <f>IF(COUNTIF('R6開放'!A:A,B114)&gt;0,"R6release","")</f>
        <v/>
      </c>
      <c r="G114" s="7"/>
      <c r="H114" s="7" t="str">
        <f>VLOOKUP(B114,[1]characters!$A:$C,3,FALSE)</f>
        <v>ヘルメス</v>
      </c>
      <c r="I114" s="7" t="str">
        <f>VLOOKUP(B114,[1]characters!$A:$J,10,FALSE)</f>
        <v>PremiumSS</v>
      </c>
      <c r="J114" s="7">
        <f>VLOOKUP(B114,[1]characters!$A:$I,9,FALSE)</f>
        <v>5</v>
      </c>
      <c r="K114" s="7" t="str">
        <f>VLOOKUP(B114,[1]characters!$A:$H,8,FALSE)</f>
        <v>green</v>
      </c>
      <c r="L114" s="7" t="str">
        <f>VLOOKUP(B114,[1]characters!$A:$K,11,FALSE)</f>
        <v>technical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ca="1">IFERROR(VLOOKUP(B114,input_421010!L:R,7,FALSE),VLOOKUP(tables_421010!C285,input_421010!A:H,8,FALSE))</f>
        <v>3716.5384600000002</v>
      </c>
      <c r="P114" s="46">
        <f t="shared" ca="1" si="5"/>
        <v>4.1749859068692718E-5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input_421010!A$2</f>
        <v>421010</v>
      </c>
      <c r="B115" s="5">
        <v>937</v>
      </c>
      <c r="C115" s="7" t="str">
        <f t="shared" si="3"/>
        <v>PremiumSS5R5only</v>
      </c>
      <c r="D115" s="7" t="str">
        <f t="shared" si="4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ナポレオン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balance</v>
      </c>
      <c r="M115" s="7" t="str">
        <f>VLOOKUP(B115,[1]characters!$A:$M,13,FALSE)</f>
        <v>human</v>
      </c>
      <c r="N115" s="7" t="str">
        <f>VLOOKUP(B115,[1]characters!$A:$G,7,FALSE)</f>
        <v>男性</v>
      </c>
      <c r="O115" s="45">
        <f ca="1">IFERROR(VLOOKUP(B115,input_421010!L:R,7,FALSE),VLOOKUP(tables_421010!C290,input_421010!A:H,8,FALSE))</f>
        <v>408201.05768999999</v>
      </c>
      <c r="P115" s="46">
        <f t="shared" ca="1" si="5"/>
        <v>4.5855402315004706E-3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input_421010!A$2</f>
        <v>421010</v>
      </c>
      <c r="B116" s="5">
        <v>941</v>
      </c>
      <c r="C116" s="7" t="str">
        <f t="shared" si="3"/>
        <v>PremiumSS5R5only</v>
      </c>
      <c r="D116" s="7" t="str">
        <f t="shared" si="4"/>
        <v>PremiumSS</v>
      </c>
      <c r="E116" s="7" t="str">
        <f>IF(COUNTIF('R6追加前'!A:A,B116)=0,IF(OR(I116="PremiumSS",I116="PremiumSSw"),"R5only","R3less"),"")</f>
        <v>R5only</v>
      </c>
      <c r="F116" s="7" t="str">
        <f>IF(COUNTIF('R6開放'!A:A,B116)&gt;0,"R6release","")</f>
        <v/>
      </c>
      <c r="G116" s="7"/>
      <c r="H116" s="7" t="str">
        <f>VLOOKUP(B116,[1]characters!$A:$C,3,FALSE)</f>
        <v>アントワネット</v>
      </c>
      <c r="I116" s="7" t="str">
        <f>VLOOKUP(B116,[1]characters!$A:$J,10,FALSE)</f>
        <v>PremiumSS</v>
      </c>
      <c r="J116" s="7">
        <f>VLOOKUP(B116,[1]characters!$A:$I,9,FALSE)</f>
        <v>5</v>
      </c>
      <c r="K116" s="7" t="str">
        <f>VLOOKUP(B116,[1]characters!$A:$H,8,FALSE)</f>
        <v>blue</v>
      </c>
      <c r="L116" s="7" t="str">
        <f>VLOOKUP(B116,[1]characters!$A:$K,11,FALSE)</f>
        <v>technical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ca="1">IFERROR(VLOOKUP(B116,input_421010!L:R,7,FALSE),VLOOKUP(tables_421010!C293,input_421010!A:H,8,FALSE))</f>
        <v>408201.05768999999</v>
      </c>
      <c r="P116" s="46">
        <f t="shared" ca="1" si="5"/>
        <v>4.5855402315004706E-3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input_421010!A$2</f>
        <v>421010</v>
      </c>
      <c r="B117" s="5">
        <v>943</v>
      </c>
      <c r="C117" s="7" t="str">
        <f t="shared" si="3"/>
        <v>PremiumSS5R5only</v>
      </c>
      <c r="D117" s="7" t="str">
        <f t="shared" si="4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サンソン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yellow</v>
      </c>
      <c r="L117" s="7" t="str">
        <f>VLOOKUP(B117,[1]characters!$A:$K,11,FALSE)</f>
        <v>attack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ca="1">IFERROR(VLOOKUP(B117,input_421010!L:R,7,FALSE),VLOOKUP(tables_421010!C294,input_421010!A:H,8,FALSE))</f>
        <v>3716.5384600000002</v>
      </c>
      <c r="P117" s="46">
        <f t="shared" ca="1" si="5"/>
        <v>4.1749859068692718E-5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input_421010!A$2</f>
        <v>421010</v>
      </c>
      <c r="B118" s="5">
        <v>1012</v>
      </c>
      <c r="C118" s="7" t="str">
        <f t="shared" si="3"/>
        <v>PremiumSS5R5only</v>
      </c>
      <c r="D118" s="7" t="str">
        <f t="shared" si="4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ラー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red</v>
      </c>
      <c r="L118" s="7" t="str">
        <f>VLOOKUP(B118,[1]characters!$A:$K,11,FALSE)</f>
        <v>balance</v>
      </c>
      <c r="M118" s="7" t="str">
        <f>VLOOKUP(B118,[1]characters!$A:$M,13,FALSE)</f>
        <v>god</v>
      </c>
      <c r="N118" s="7" t="str">
        <f>VLOOKUP(B118,[1]characters!$A:$G,7,FALSE)</f>
        <v>男性</v>
      </c>
      <c r="O118" s="45">
        <f ca="1">IFERROR(VLOOKUP(B118,input_421010!L:R,7,FALSE),VLOOKUP(tables_421010!C295,input_421010!A:H,8,FALSE))</f>
        <v>466650</v>
      </c>
      <c r="P118" s="46">
        <f t="shared" ca="1" si="5"/>
        <v>5.2421283794290277E-3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input_421010!A$2</f>
        <v>421010</v>
      </c>
      <c r="B119" s="5">
        <v>1014</v>
      </c>
      <c r="C119" s="7" t="str">
        <f t="shared" si="3"/>
        <v>PremiumSS5R5only</v>
      </c>
      <c r="D119" s="7" t="str">
        <f t="shared" si="4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イシス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hp</v>
      </c>
      <c r="M119" s="7" t="str">
        <f>VLOOKUP(B119,[1]characters!$A:$M,13,FALSE)</f>
        <v>god</v>
      </c>
      <c r="N119" s="7" t="str">
        <f>VLOOKUP(B119,[1]characters!$A:$G,7,FALSE)</f>
        <v>男性</v>
      </c>
      <c r="O119" s="45">
        <f ca="1">IFERROR(VLOOKUP(B119,input_421010!L:R,7,FALSE),VLOOKUP(tables_421010!C296,input_421010!A:H,8,FALSE))</f>
        <v>408201.05768999999</v>
      </c>
      <c r="P119" s="46">
        <f t="shared" ca="1" si="5"/>
        <v>4.5855402315004706E-3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input_421010!A$2</f>
        <v>421010</v>
      </c>
      <c r="B120" s="5">
        <v>1018</v>
      </c>
      <c r="C120" s="7" t="str">
        <f t="shared" si="3"/>
        <v>PremiumSS5R5only</v>
      </c>
      <c r="D120" s="7" t="str">
        <f t="shared" si="4"/>
        <v>PremiumSS</v>
      </c>
      <c r="E120" s="7" t="str">
        <f>IF(COUNTIF('R6追加前'!A:A,B120)=0,IF(OR(I120="PremiumSS",I120="PremiumSSw"),"R5only","R3less"),"")</f>
        <v>R5only</v>
      </c>
      <c r="F120" s="7" t="str">
        <f>IF(COUNTIF('R6開放'!A:A,B120)&gt;0,"R6release","")</f>
        <v/>
      </c>
      <c r="G120" s="7"/>
      <c r="H120" s="7" t="str">
        <f>VLOOKUP(B120,[1]characters!$A:$C,3,FALSE)</f>
        <v>バステト</v>
      </c>
      <c r="I120" s="7" t="str">
        <f>VLOOKUP(B120,[1]characters!$A:$J,10,FALSE)</f>
        <v>PremiumSS</v>
      </c>
      <c r="J120" s="7">
        <f>VLOOKUP(B120,[1]characters!$A:$I,9,FALSE)</f>
        <v>5</v>
      </c>
      <c r="K120" s="7" t="str">
        <f>VLOOKUP(B120,[1]characters!$A:$H,8,FALSE)</f>
        <v>yellow</v>
      </c>
      <c r="L120" s="7" t="str">
        <f>VLOOKUP(B120,[1]characters!$A:$K,11,FALSE)</f>
        <v>attack</v>
      </c>
      <c r="M120" s="7" t="str">
        <f>VLOOKUP(B120,[1]characters!$A:$M,13,FALSE)</f>
        <v>god</v>
      </c>
      <c r="N120" s="7" t="str">
        <f>VLOOKUP(B120,[1]characters!$A:$G,7,FALSE)</f>
        <v>男性</v>
      </c>
      <c r="O120" s="45">
        <f ca="1">IFERROR(VLOOKUP(B120,input_421010!L:R,7,FALSE),VLOOKUP(tables_421010!C299,input_421010!A:H,8,FALSE))</f>
        <v>408201.05768999999</v>
      </c>
      <c r="P120" s="46">
        <f t="shared" ca="1" si="5"/>
        <v>4.5855402315004706E-3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input_421010!A$2</f>
        <v>421010</v>
      </c>
      <c r="B121" s="5">
        <v>1028</v>
      </c>
      <c r="C121" s="7" t="str">
        <f t="shared" si="3"/>
        <v>PremiumSS5R5only</v>
      </c>
      <c r="D121" s="7" t="str">
        <f t="shared" si="4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牛若丸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balance</v>
      </c>
      <c r="M121" s="7" t="str">
        <f>VLOOKUP(B121,[1]characters!$A:$M,13,FALSE)</f>
        <v>human</v>
      </c>
      <c r="N121" s="7" t="str">
        <f>VLOOKUP(B121,[1]characters!$A:$G,7,FALSE)</f>
        <v>男性</v>
      </c>
      <c r="O121" s="45">
        <f ca="1">IFERROR(VLOOKUP(B121,input_421010!L:R,7,FALSE),VLOOKUP(tables_421010!C302,input_421010!A:H,8,FALSE))</f>
        <v>408201.05768999999</v>
      </c>
      <c r="P121" s="46">
        <f t="shared" ca="1" si="5"/>
        <v>4.5855402315004706E-3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input_421010!A$2</f>
        <v>421010</v>
      </c>
      <c r="B122" s="5">
        <v>1031</v>
      </c>
      <c r="C122" s="7" t="str">
        <f t="shared" si="3"/>
        <v>PremiumSS5R5only</v>
      </c>
      <c r="D122" s="7" t="str">
        <f t="shared" si="4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紫式部</v>
      </c>
      <c r="I122" s="7" t="str">
        <f>VLOOKUP(B122,[1]characters!$A:$J,10,FALSE)</f>
        <v>PremiumSS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technical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ca="1">IFERROR(VLOOKUP(B122,input_421010!L:R,7,FALSE),VLOOKUP(tables_421010!C303,input_421010!A:H,8,FALSE))</f>
        <v>3716.5384600000002</v>
      </c>
      <c r="P122" s="46">
        <f t="shared" ca="1" si="5"/>
        <v>4.1749859068692718E-5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input_421010!A$2</f>
        <v>421010</v>
      </c>
      <c r="B123" s="5">
        <v>1033</v>
      </c>
      <c r="C123" s="7" t="str">
        <f t="shared" si="3"/>
        <v>PremiumSS5R5only</v>
      </c>
      <c r="D123" s="7" t="str">
        <f t="shared" si="4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清少納言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heal</v>
      </c>
      <c r="M123" s="7" t="str">
        <f>VLOOKUP(B123,[1]characters!$A:$M,13,FALSE)</f>
        <v>human</v>
      </c>
      <c r="N123" s="7" t="str">
        <f>VLOOKUP(B123,[1]characters!$A:$G,7,FALSE)</f>
        <v>男性</v>
      </c>
      <c r="O123" s="45">
        <f ca="1">IFERROR(VLOOKUP(B123,input_421010!L:R,7,FALSE),VLOOKUP(tables_421010!C304,input_421010!A:H,8,FALSE))</f>
        <v>466650</v>
      </c>
      <c r="P123" s="46">
        <f t="shared" ca="1" si="5"/>
        <v>5.2421283794290277E-3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input_421010!A$2</f>
        <v>421010</v>
      </c>
      <c r="B124" s="5">
        <v>1069</v>
      </c>
      <c r="C124" s="7" t="str">
        <f t="shared" si="3"/>
        <v>PremiumSS5R5only</v>
      </c>
      <c r="D124" s="7" t="str">
        <f t="shared" si="4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イシュタル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green</v>
      </c>
      <c r="L124" s="7" t="str">
        <f>VLOOKUP(B124,[1]characters!$A:$K,11,FALSE)</f>
        <v>technical</v>
      </c>
      <c r="M124" s="7" t="str">
        <f>VLOOKUP(B124,[1]characters!$A:$M,13,FALSE)</f>
        <v>god</v>
      </c>
      <c r="N124" s="7" t="str">
        <f>VLOOKUP(B124,[1]characters!$A:$G,7,FALSE)</f>
        <v>男性</v>
      </c>
      <c r="O124" s="45">
        <f ca="1">IFERROR(VLOOKUP(B124,input_421010!L:R,7,FALSE),VLOOKUP(tables_421010!C307,input_421010!A:H,8,FALSE))</f>
        <v>466650</v>
      </c>
      <c r="P124" s="46">
        <f t="shared" ca="1" si="5"/>
        <v>5.2421283794290277E-3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input_421010!A$2</f>
        <v>421010</v>
      </c>
      <c r="B125" s="5">
        <v>1074</v>
      </c>
      <c r="C125" s="7" t="str">
        <f t="shared" si="3"/>
        <v>PremiumSS5R5only</v>
      </c>
      <c r="D125" s="7" t="str">
        <f t="shared" si="4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マルドゥク</v>
      </c>
      <c r="I125" s="7" t="str">
        <f>VLOOKUP(B125,[1]characters!$A:$J,10,FALSE)</f>
        <v>PremiumSS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technical</v>
      </c>
      <c r="M125" s="7" t="str">
        <f>VLOOKUP(B125,[1]characters!$A:$M,13,FALSE)</f>
        <v>god</v>
      </c>
      <c r="N125" s="7" t="str">
        <f>VLOOKUP(B125,[1]characters!$A:$G,7,FALSE)</f>
        <v>男性</v>
      </c>
      <c r="O125" s="45">
        <f ca="1">IFERROR(VLOOKUP(B125,input_421010!L:R,7,FALSE),VLOOKUP(tables_421010!C309,input_421010!A:H,8,FALSE))</f>
        <v>3716.5384600000002</v>
      </c>
      <c r="P125" s="46">
        <f t="shared" ca="1" si="5"/>
        <v>4.1749859068692718E-5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input_421010!A$2</f>
        <v>421010</v>
      </c>
      <c r="B126" s="5">
        <v>1106</v>
      </c>
      <c r="C126" s="7" t="str">
        <f t="shared" si="3"/>
        <v>PremiumSS5R5only</v>
      </c>
      <c r="D126" s="7" t="str">
        <f t="shared" si="4"/>
        <v>PremiumSS</v>
      </c>
      <c r="E126" s="7" t="str">
        <f>IF(COUNTIF('R6追加前'!A:A,B126)=0,IF(OR(I126="PremiumSS",I126="PremiumSSw"),"R5only","R3less"),"")</f>
        <v>R5only</v>
      </c>
      <c r="F126" s="7" t="str">
        <f>IF(COUNTIF('R6開放'!A:A,B126)&gt;0,"R6release","")</f>
        <v/>
      </c>
      <c r="G126" s="7"/>
      <c r="H126" s="7" t="str">
        <f>VLOOKUP(B126,[1]characters!$A:$C,3,FALSE)</f>
        <v>ラファエロ</v>
      </c>
      <c r="I126" s="7" t="str">
        <f>VLOOKUP(B126,[1]characters!$A:$J,10,FALSE)</f>
        <v>PremiumSS</v>
      </c>
      <c r="J126" s="7">
        <f>VLOOKUP(B126,[1]characters!$A:$I,9,FALSE)</f>
        <v>5</v>
      </c>
      <c r="K126" s="7" t="str">
        <f>VLOOKUP(B126,[1]characters!$A:$H,8,FALSE)</f>
        <v>yellow</v>
      </c>
      <c r="L126" s="7" t="str">
        <f>VLOOKUP(B126,[1]characters!$A:$K,11,FALSE)</f>
        <v>attack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ca="1">IFERROR(VLOOKUP(B126,input_421010!L:R,7,FALSE),VLOOKUP(tables_421010!C312,input_421010!A:H,8,FALSE))</f>
        <v>3716.5384600000002</v>
      </c>
      <c r="P126" s="46">
        <f t="shared" ca="1" si="5"/>
        <v>4.1749859068692718E-5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input_421010!A$2</f>
        <v>421010</v>
      </c>
      <c r="B127" s="5">
        <v>1100</v>
      </c>
      <c r="C127" s="7" t="str">
        <f t="shared" si="3"/>
        <v>PremiumSS5R5only</v>
      </c>
      <c r="D127" s="7" t="str">
        <f t="shared" si="4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北斎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ca="1">IFERROR(VLOOKUP(B127,input_421010!L:R,7,FALSE),VLOOKUP(tables_421010!C314,input_421010!A:H,8,FALSE))</f>
        <v>408201.05768999999</v>
      </c>
      <c r="P127" s="46">
        <f t="shared" ca="1" si="5"/>
        <v>4.5855402315004706E-3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input_421010!A$2</f>
        <v>421010</v>
      </c>
      <c r="B128" s="5">
        <v>226</v>
      </c>
      <c r="C128" s="7" t="str">
        <f t="shared" si="3"/>
        <v>Premium3</v>
      </c>
      <c r="D128" s="7" t="str">
        <f t="shared" si="4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アレス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red</v>
      </c>
      <c r="L128" s="7" t="str">
        <f>VLOOKUP(B128,[1]characters!$A:$K,11,FALSE)</f>
        <v>attack</v>
      </c>
      <c r="M128" s="7" t="str">
        <f>VLOOKUP(B128,[1]characters!$A:$M,13,FALSE)</f>
        <v>god</v>
      </c>
      <c r="N128" s="7" t="str">
        <f>VLOOKUP(B128,[1]characters!$A:$G,7,FALSE)</f>
        <v>男性</v>
      </c>
      <c r="O128" s="45">
        <f ca="1">IFERROR(VLOOKUP(B128,input_421010!L:R,7,FALSE),VLOOKUP(tables_421010!C102,input_421010!A:H,8,FALSE))</f>
        <v>6675</v>
      </c>
      <c r="P128" s="46">
        <f t="shared" ca="1" si="5"/>
        <v>7.4983835707036881E-5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input_421010!A$2</f>
        <v>421010</v>
      </c>
      <c r="B129" s="5">
        <v>227</v>
      </c>
      <c r="C129" s="7" t="str">
        <f t="shared" si="3"/>
        <v>Premium4</v>
      </c>
      <c r="D129" s="7" t="str">
        <f t="shared" si="4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滅弾 アレス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red</v>
      </c>
      <c r="L129" s="7" t="str">
        <f>VLOOKUP(B129,[1]characters!$A:$K,11,FALSE)</f>
        <v>attack</v>
      </c>
      <c r="M129" s="7" t="str">
        <f>VLOOKUP(B129,[1]characters!$A:$M,13,FALSE)</f>
        <v>god</v>
      </c>
      <c r="N129" s="7" t="str">
        <f>VLOOKUP(B129,[1]characters!$A:$G,7,FALSE)</f>
        <v>男性</v>
      </c>
      <c r="O129" s="45">
        <f ca="1">IFERROR(VLOOKUP(B129,input_421010!L:R,7,FALSE),VLOOKUP(tables_421010!C103,input_421010!A:H,8,FALSE))</f>
        <v>133500</v>
      </c>
      <c r="P129" s="46">
        <f t="shared" ca="1" si="5"/>
        <v>1.4996767141407376E-3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input_421010!A$2</f>
        <v>421010</v>
      </c>
      <c r="B130" s="5">
        <v>228</v>
      </c>
      <c r="C130" s="7" t="str">
        <f t="shared" ref="C130:C193" si="6">D130&amp;J130&amp;E130&amp;F130&amp;G130</f>
        <v>Premium5</v>
      </c>
      <c r="D130" s="7" t="str">
        <f t="shared" ref="D130:D193" si="7">IF(OR(I130="PremiumSS",I130="PremiumSSw"),"PremiumSS",IF(I130="PremiumSSS",I130,IF(I130="PremiumW",I130,"Premium")))</f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殲滅の掃射砲 アレス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red</v>
      </c>
      <c r="L130" s="7" t="str">
        <f>VLOOKUP(B130,[1]characters!$A:$K,11,FALSE)</f>
        <v>attack</v>
      </c>
      <c r="M130" s="7" t="str">
        <f>VLOOKUP(B130,[1]characters!$A:$M,13,FALSE)</f>
        <v>god</v>
      </c>
      <c r="N130" s="7" t="str">
        <f>VLOOKUP(B130,[1]characters!$A:$G,7,FALSE)</f>
        <v>男性</v>
      </c>
      <c r="O130" s="45">
        <f ca="1">IFERROR(VLOOKUP(B130,input_421010!L:R,7,FALSE),VLOOKUP(tables_421010!C104,input_421010!A:H,8,FALSE))</f>
        <v>133500</v>
      </c>
      <c r="P130" s="46">
        <f t="shared" ref="P130:P193" ca="1" si="8">O130/SUM(O:O)</f>
        <v>1.4996767141407376E-3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input_421010!A$2</f>
        <v>421010</v>
      </c>
      <c r="B131" s="5">
        <v>229</v>
      </c>
      <c r="C131" s="7" t="str">
        <f t="shared" si="6"/>
        <v>Premium3</v>
      </c>
      <c r="D131" s="7" t="str">
        <f t="shared" si="7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ヨルムンガンド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dragon</v>
      </c>
      <c r="N131" s="7" t="str">
        <f>VLOOKUP(B131,[1]characters!$A:$G,7,FALSE)</f>
        <v>女性</v>
      </c>
      <c r="O131" s="45">
        <f ca="1">IFERROR(VLOOKUP(B131,input_421010!L:R,7,FALSE),VLOOKUP(tables_421010!C105,input_421010!A:H,8,FALSE))</f>
        <v>126825</v>
      </c>
      <c r="P131" s="46">
        <f t="shared" ca="1" si="8"/>
        <v>1.4246928784337008E-3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input_421010!A$2</f>
        <v>421010</v>
      </c>
      <c r="B132" s="5">
        <v>230</v>
      </c>
      <c r="C132" s="7" t="str">
        <f t="shared" si="6"/>
        <v>Premium4</v>
      </c>
      <c r="D132" s="7" t="str">
        <f t="shared" si="7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毒銃 ヨルムンガンド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green</v>
      </c>
      <c r="L132" s="7" t="str">
        <f>VLOOKUP(B132,[1]characters!$A:$K,11,FALSE)</f>
        <v>technical</v>
      </c>
      <c r="M132" s="7" t="str">
        <f>VLOOKUP(B132,[1]characters!$A:$M,13,FALSE)</f>
        <v>dragon</v>
      </c>
      <c r="N132" s="7" t="str">
        <f>VLOOKUP(B132,[1]characters!$A:$G,7,FALSE)</f>
        <v>女性</v>
      </c>
      <c r="O132" s="45">
        <f ca="1">IFERROR(VLOOKUP(B132,input_421010!L:R,7,FALSE),VLOOKUP(tables_421010!C106,input_421010!A:H,8,FALSE))</f>
        <v>6675</v>
      </c>
      <c r="P132" s="46">
        <f t="shared" ca="1" si="8"/>
        <v>7.4983835707036881E-5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input_421010!A$2</f>
        <v>421010</v>
      </c>
      <c r="B133" s="5">
        <v>231</v>
      </c>
      <c r="C133" s="7" t="str">
        <f t="shared" si="6"/>
        <v>Premium5</v>
      </c>
      <c r="D133" s="7" t="str">
        <f t="shared" si="7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必中の咬銃 ヨルムンガンド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technical</v>
      </c>
      <c r="M133" s="7" t="str">
        <f>VLOOKUP(B133,[1]characters!$A:$M,13,FALSE)</f>
        <v>dragon</v>
      </c>
      <c r="N133" s="7" t="str">
        <f>VLOOKUP(B133,[1]characters!$A:$G,7,FALSE)</f>
        <v>女性</v>
      </c>
      <c r="O133" s="45">
        <f ca="1">IFERROR(VLOOKUP(B133,input_421010!L:R,7,FALSE),VLOOKUP(tables_421010!C107,input_421010!A:H,8,FALSE))</f>
        <v>126825</v>
      </c>
      <c r="P133" s="46">
        <f t="shared" ca="1" si="8"/>
        <v>1.4246928784337008E-3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input_421010!A$2</f>
        <v>421010</v>
      </c>
      <c r="B134" s="5">
        <v>232</v>
      </c>
      <c r="C134" s="7" t="str">
        <f t="shared" si="6"/>
        <v>Premium3</v>
      </c>
      <c r="D134" s="7" t="str">
        <f t="shared" si="7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パーシヴァル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blue</v>
      </c>
      <c r="L134" s="7" t="str">
        <f>VLOOKUP(B134,[1]characters!$A:$K,11,FALSE)</f>
        <v>technical</v>
      </c>
      <c r="M134" s="7" t="str">
        <f>VLOOKUP(B134,[1]characters!$A:$M,13,FALSE)</f>
        <v>human</v>
      </c>
      <c r="N134" s="7" t="str">
        <f>VLOOKUP(B134,[1]characters!$A:$G,7,FALSE)</f>
        <v>女性</v>
      </c>
      <c r="O134" s="45">
        <f ca="1">IFERROR(VLOOKUP(B134,input_421010!L:R,7,FALSE),VLOOKUP(tables_421010!C108,input_421010!A:H,8,FALSE))</f>
        <v>6675</v>
      </c>
      <c r="P134" s="46">
        <f t="shared" ca="1" si="8"/>
        <v>7.4983835707036881E-5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input_421010!A$2</f>
        <v>421010</v>
      </c>
      <c r="B135" s="5">
        <v>233</v>
      </c>
      <c r="C135" s="7" t="str">
        <f t="shared" si="6"/>
        <v>Premium4</v>
      </c>
      <c r="D135" s="7" t="str">
        <f t="shared" si="7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遂行 パーシヴァル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blue</v>
      </c>
      <c r="L135" s="7" t="str">
        <f>VLOOKUP(B135,[1]characters!$A:$K,11,FALSE)</f>
        <v>technical</v>
      </c>
      <c r="M135" s="7" t="str">
        <f>VLOOKUP(B135,[1]characters!$A:$M,13,FALSE)</f>
        <v>human</v>
      </c>
      <c r="N135" s="7" t="str">
        <f>VLOOKUP(B135,[1]characters!$A:$G,7,FALSE)</f>
        <v>女性</v>
      </c>
      <c r="O135" s="45">
        <f ca="1">IFERROR(VLOOKUP(B135,input_421010!L:R,7,FALSE),VLOOKUP(tables_421010!C109,input_421010!A:H,8,FALSE))</f>
        <v>133500</v>
      </c>
      <c r="P135" s="46">
        <f t="shared" ca="1" si="8"/>
        <v>1.4996767141407376E-3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input_421010!A$2</f>
        <v>421010</v>
      </c>
      <c r="B136" s="5">
        <v>234</v>
      </c>
      <c r="C136" s="7" t="str">
        <f t="shared" si="6"/>
        <v>Premium5</v>
      </c>
      <c r="D136" s="7" t="str">
        <f t="shared" si="7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精密なる照準 パーシヴァル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blue</v>
      </c>
      <c r="L136" s="7" t="str">
        <f>VLOOKUP(B136,[1]characters!$A:$K,11,FALSE)</f>
        <v>technical</v>
      </c>
      <c r="M136" s="7" t="str">
        <f>VLOOKUP(B136,[1]characters!$A:$M,13,FALSE)</f>
        <v>human</v>
      </c>
      <c r="N136" s="7" t="str">
        <f>VLOOKUP(B136,[1]characters!$A:$G,7,FALSE)</f>
        <v>女性</v>
      </c>
      <c r="O136" s="45">
        <f ca="1">IFERROR(VLOOKUP(B136,input_421010!L:R,7,FALSE),VLOOKUP(tables_421010!C110,input_421010!A:H,8,FALSE))</f>
        <v>133500</v>
      </c>
      <c r="P136" s="46">
        <f t="shared" ca="1" si="8"/>
        <v>1.4996767141407376E-3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input_421010!A$2</f>
        <v>421010</v>
      </c>
      <c r="B137" s="5">
        <v>235</v>
      </c>
      <c r="C137" s="7" t="str">
        <f t="shared" si="6"/>
        <v>Premium3R6release</v>
      </c>
      <c r="D137" s="7" t="str">
        <f t="shared" si="7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>R6release</v>
      </c>
      <c r="G137" s="7"/>
      <c r="H137" s="7" t="str">
        <f>VLOOKUP(B137,[1]characters!$A:$C,3,FALSE)</f>
        <v>イザナミ</v>
      </c>
      <c r="I137" s="7" t="str">
        <f>VLOOKUP(B137,[1]characters!$A:$J,10,FALSE)</f>
        <v>PremiumS</v>
      </c>
      <c r="J137" s="7">
        <f>VLOOKUP(B137,[1]characters!$A:$I,9,FALSE)</f>
        <v>3</v>
      </c>
      <c r="K137" s="7" t="str">
        <f>VLOOKUP(B137,[1]characters!$A:$H,8,FALSE)</f>
        <v>yellow</v>
      </c>
      <c r="L137" s="7" t="str">
        <f>VLOOKUP(B137,[1]characters!$A:$K,11,FALSE)</f>
        <v>attack</v>
      </c>
      <c r="M137" s="7" t="str">
        <f>VLOOKUP(B137,[1]characters!$A:$M,13,FALSE)</f>
        <v>god</v>
      </c>
      <c r="N137" s="7" t="str">
        <f>VLOOKUP(B137,[1]characters!$A:$G,7,FALSE)</f>
        <v>女性</v>
      </c>
      <c r="O137" s="45">
        <f ca="1">IFERROR(VLOOKUP(B137,input_421010!L:R,7,FALSE),VLOOKUP(tables_421010!C111,input_421010!A:H,8,FALSE))</f>
        <v>133500</v>
      </c>
      <c r="P137" s="46">
        <f t="shared" ca="1" si="8"/>
        <v>1.4996767141407376E-3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input_421010!A$2</f>
        <v>421010</v>
      </c>
      <c r="B138" s="5">
        <v>236</v>
      </c>
      <c r="C138" s="7" t="str">
        <f t="shared" si="6"/>
        <v>Premium4R6release</v>
      </c>
      <c r="D138" s="7" t="str">
        <f t="shared" si="7"/>
        <v>Premium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>R6release</v>
      </c>
      <c r="G138" s="7"/>
      <c r="H138" s="7" t="str">
        <f>VLOOKUP(B138,[1]characters!$A:$C,3,FALSE)</f>
        <v>神産 イザナミ</v>
      </c>
      <c r="I138" s="7" t="str">
        <f>VLOOKUP(B138,[1]characters!$A:$J,10,FALSE)</f>
        <v>PremiumS</v>
      </c>
      <c r="J138" s="7">
        <f>VLOOKUP(B138,[1]characters!$A:$I,9,FALSE)</f>
        <v>4</v>
      </c>
      <c r="K138" s="7" t="str">
        <f>VLOOKUP(B138,[1]characters!$A:$H,8,FALSE)</f>
        <v>yellow</v>
      </c>
      <c r="L138" s="7" t="str">
        <f>VLOOKUP(B138,[1]characters!$A:$K,11,FALSE)</f>
        <v>attack</v>
      </c>
      <c r="M138" s="7" t="str">
        <f>VLOOKUP(B138,[1]characters!$A:$M,13,FALSE)</f>
        <v>god</v>
      </c>
      <c r="N138" s="7" t="str">
        <f>VLOOKUP(B138,[1]characters!$A:$G,7,FALSE)</f>
        <v>女性</v>
      </c>
      <c r="O138" s="45">
        <f ca="1">IFERROR(VLOOKUP(B138,input_421010!L:R,7,FALSE),VLOOKUP(tables_421010!C112,input_421010!A:H,8,FALSE))</f>
        <v>133500</v>
      </c>
      <c r="P138" s="46">
        <f t="shared" ca="1" si="8"/>
        <v>1.4996767141407376E-3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input_421010!A$2</f>
        <v>421010</v>
      </c>
      <c r="B139" s="5">
        <v>237</v>
      </c>
      <c r="C139" s="7" t="str">
        <f t="shared" si="6"/>
        <v>Premium5R6release</v>
      </c>
      <c r="D139" s="7" t="str">
        <f t="shared" si="7"/>
        <v>Premium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>R6release</v>
      </c>
      <c r="G139" s="7"/>
      <c r="H139" s="7" t="str">
        <f>VLOOKUP(B139,[1]characters!$A:$C,3,FALSE)</f>
        <v>森羅万象の神母 イザナミ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yellow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 t="str">
        <f>VLOOKUP(B139,[1]characters!$A:$G,7,FALSE)</f>
        <v>女性</v>
      </c>
      <c r="O139" s="45">
        <f ca="1">IFERROR(VLOOKUP(B139,input_421010!L:R,7,FALSE),VLOOKUP(tables_421010!C113,input_421010!A:H,8,FALSE))</f>
        <v>133500</v>
      </c>
      <c r="P139" s="46">
        <f t="shared" ca="1" si="8"/>
        <v>1.4996767141407376E-3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input_421010!A$2</f>
        <v>421010</v>
      </c>
      <c r="B140" s="5">
        <v>238</v>
      </c>
      <c r="C140" s="7" t="str">
        <f t="shared" si="6"/>
        <v>Premium3</v>
      </c>
      <c r="D140" s="7" t="str">
        <f t="shared" si="7"/>
        <v>Premium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ウリエル</v>
      </c>
      <c r="I140" s="7" t="str">
        <f>VLOOKUP(B140,[1]characters!$A:$J,10,FALSE)</f>
        <v>PremiumS</v>
      </c>
      <c r="J140" s="7">
        <f>VLOOKUP(B140,[1]characters!$A:$I,9,FALSE)</f>
        <v>3</v>
      </c>
      <c r="K140" s="7" t="str">
        <f>VLOOKUP(B140,[1]characters!$A:$H,8,FALSE)</f>
        <v>red</v>
      </c>
      <c r="L140" s="7" t="str">
        <f>VLOOKUP(B140,[1]characters!$A:$K,11,FALSE)</f>
        <v>hp</v>
      </c>
      <c r="M140" s="7" t="str">
        <f>VLOOKUP(B140,[1]characters!$A:$M,13,FALSE)</f>
        <v>machine</v>
      </c>
      <c r="N140" s="7" t="str">
        <f>VLOOKUP(B140,[1]characters!$A:$G,7,FALSE)</f>
        <v>女性</v>
      </c>
      <c r="O140" s="45">
        <f ca="1">IFERROR(VLOOKUP(B140,input_421010!L:R,7,FALSE),VLOOKUP(tables_421010!C114,input_421010!A:H,8,FALSE))</f>
        <v>133500</v>
      </c>
      <c r="P140" s="46">
        <f t="shared" ca="1" si="8"/>
        <v>1.4996767141407376E-3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input_421010!A$2</f>
        <v>421010</v>
      </c>
      <c r="B141" s="5">
        <v>239</v>
      </c>
      <c r="C141" s="7" t="str">
        <f t="shared" si="6"/>
        <v>Premium4</v>
      </c>
      <c r="D141" s="7" t="str">
        <f t="shared" si="7"/>
        <v>Premium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豪炎の天使 ウリエル</v>
      </c>
      <c r="I141" s="7" t="str">
        <f>VLOOKUP(B141,[1]characters!$A:$J,10,FALSE)</f>
        <v>PremiumS</v>
      </c>
      <c r="J141" s="7">
        <f>VLOOKUP(B141,[1]characters!$A:$I,9,FALSE)</f>
        <v>4</v>
      </c>
      <c r="K141" s="7" t="str">
        <f>VLOOKUP(B141,[1]characters!$A:$H,8,FALSE)</f>
        <v>red</v>
      </c>
      <c r="L141" s="7" t="str">
        <f>VLOOKUP(B141,[1]characters!$A:$K,11,FALSE)</f>
        <v>hp</v>
      </c>
      <c r="M141" s="7" t="str">
        <f>VLOOKUP(B141,[1]characters!$A:$M,13,FALSE)</f>
        <v>machine</v>
      </c>
      <c r="N141" s="7" t="str">
        <f>VLOOKUP(B141,[1]characters!$A:$G,7,FALSE)</f>
        <v>女性</v>
      </c>
      <c r="O141" s="45">
        <f ca="1">IFERROR(VLOOKUP(B141,input_421010!L:R,7,FALSE),VLOOKUP(tables_421010!C115,input_421010!A:H,8,FALSE))</f>
        <v>133500</v>
      </c>
      <c r="P141" s="46">
        <f t="shared" ca="1" si="8"/>
        <v>1.4996767141407376E-3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input_421010!A$2</f>
        <v>421010</v>
      </c>
      <c r="B142" s="5">
        <v>240</v>
      </c>
      <c r="C142" s="7" t="str">
        <f t="shared" si="6"/>
        <v>Premium5</v>
      </c>
      <c r="D142" s="7" t="str">
        <f t="shared" si="7"/>
        <v>Premium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轟炎の天使 ウリエル・スレイヤー</v>
      </c>
      <c r="I142" s="7" t="str">
        <f>VLOOKUP(B142,[1]characters!$A:$J,10,FALSE)</f>
        <v>PremiumS</v>
      </c>
      <c r="J142" s="7">
        <f>VLOOKUP(B142,[1]characters!$A:$I,9,FALSE)</f>
        <v>5</v>
      </c>
      <c r="K142" s="7" t="str">
        <f>VLOOKUP(B142,[1]characters!$A:$H,8,FALSE)</f>
        <v>red</v>
      </c>
      <c r="L142" s="7" t="str">
        <f>VLOOKUP(B142,[1]characters!$A:$K,11,FALSE)</f>
        <v>hp</v>
      </c>
      <c r="M142" s="7" t="str">
        <f>VLOOKUP(B142,[1]characters!$A:$M,13,FALSE)</f>
        <v>machine</v>
      </c>
      <c r="N142" s="7" t="str">
        <f>VLOOKUP(B142,[1]characters!$A:$G,7,FALSE)</f>
        <v>女性</v>
      </c>
      <c r="O142" s="45">
        <f ca="1">IFERROR(VLOOKUP(B142,input_421010!L:R,7,FALSE),VLOOKUP(tables_421010!C116,input_421010!A:H,8,FALSE))</f>
        <v>133500</v>
      </c>
      <c r="P142" s="46">
        <f t="shared" ca="1" si="8"/>
        <v>1.4996767141407376E-3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input_421010!A$2</f>
        <v>421010</v>
      </c>
      <c r="B143" s="5">
        <v>241</v>
      </c>
      <c r="C143" s="7" t="str">
        <f t="shared" si="6"/>
        <v>Premium3</v>
      </c>
      <c r="D143" s="7" t="str">
        <f t="shared" si="7"/>
        <v>Premium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ガブリエル</v>
      </c>
      <c r="I143" s="7" t="str">
        <f>VLOOKUP(B143,[1]characters!$A:$J,10,FALSE)</f>
        <v>PremiumS</v>
      </c>
      <c r="J143" s="7">
        <f>VLOOKUP(B143,[1]characters!$A:$I,9,FALSE)</f>
        <v>3</v>
      </c>
      <c r="K143" s="7" t="str">
        <f>VLOOKUP(B143,[1]characters!$A:$H,8,FALSE)</f>
        <v>green</v>
      </c>
      <c r="L143" s="7" t="str">
        <f>VLOOKUP(B143,[1]characters!$A:$K,11,FALSE)</f>
        <v>balance</v>
      </c>
      <c r="M143" s="7" t="str">
        <f>VLOOKUP(B143,[1]characters!$A:$M,13,FALSE)</f>
        <v>machine</v>
      </c>
      <c r="N143" s="7" t="str">
        <f>VLOOKUP(B143,[1]characters!$A:$G,7,FALSE)</f>
        <v>女性</v>
      </c>
      <c r="O143" s="45">
        <f ca="1">IFERROR(VLOOKUP(B143,input_421010!L:R,7,FALSE),VLOOKUP(tables_421010!C117,input_421010!A:H,8,FALSE))</f>
        <v>133500</v>
      </c>
      <c r="P143" s="46">
        <f t="shared" ca="1" si="8"/>
        <v>1.4996767141407376E-3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input_421010!A$2</f>
        <v>421010</v>
      </c>
      <c r="B144" s="5">
        <v>242</v>
      </c>
      <c r="C144" s="7" t="str">
        <f t="shared" si="6"/>
        <v>Premium4</v>
      </c>
      <c r="D144" s="7" t="str">
        <f t="shared" si="7"/>
        <v>Premium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百花の天使 ガブリエル</v>
      </c>
      <c r="I144" s="7" t="str">
        <f>VLOOKUP(B144,[1]characters!$A:$J,10,FALSE)</f>
        <v>PremiumS</v>
      </c>
      <c r="J144" s="7">
        <f>VLOOKUP(B144,[1]characters!$A:$I,9,FALSE)</f>
        <v>4</v>
      </c>
      <c r="K144" s="7" t="str">
        <f>VLOOKUP(B144,[1]characters!$A:$H,8,FALSE)</f>
        <v>green</v>
      </c>
      <c r="L144" s="7" t="str">
        <f>VLOOKUP(B144,[1]characters!$A:$K,11,FALSE)</f>
        <v>balance</v>
      </c>
      <c r="M144" s="7" t="str">
        <f>VLOOKUP(B144,[1]characters!$A:$M,13,FALSE)</f>
        <v>machine</v>
      </c>
      <c r="N144" s="7" t="str">
        <f>VLOOKUP(B144,[1]characters!$A:$G,7,FALSE)</f>
        <v>女性</v>
      </c>
      <c r="O144" s="45">
        <f ca="1">IFERROR(VLOOKUP(B144,input_421010!L:R,7,FALSE),VLOOKUP(tables_421010!C118,input_421010!A:H,8,FALSE))</f>
        <v>133500</v>
      </c>
      <c r="P144" s="46">
        <f t="shared" ca="1" si="8"/>
        <v>1.4996767141407376E-3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input_421010!A$2</f>
        <v>421010</v>
      </c>
      <c r="B145" s="5">
        <v>243</v>
      </c>
      <c r="C145" s="7" t="str">
        <f t="shared" si="6"/>
        <v>Premium5</v>
      </c>
      <c r="D145" s="7" t="str">
        <f t="shared" si="7"/>
        <v>Premium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万花の天使 ガブリエル・ブルーム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green</v>
      </c>
      <c r="L145" s="7" t="str">
        <f>VLOOKUP(B145,[1]characters!$A:$K,11,FALSE)</f>
        <v>balance</v>
      </c>
      <c r="M145" s="7" t="str">
        <f>VLOOKUP(B145,[1]characters!$A:$M,13,FALSE)</f>
        <v>machine</v>
      </c>
      <c r="N145" s="7" t="str">
        <f>VLOOKUP(B145,[1]characters!$A:$G,7,FALSE)</f>
        <v>女性</v>
      </c>
      <c r="O145" s="45">
        <f ca="1">IFERROR(VLOOKUP(B145,input_421010!L:R,7,FALSE),VLOOKUP(tables_421010!C119,input_421010!A:H,8,FALSE))</f>
        <v>133500</v>
      </c>
      <c r="P145" s="46">
        <f t="shared" ca="1" si="8"/>
        <v>1.4996767141407376E-3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input_421010!A$2</f>
        <v>421010</v>
      </c>
      <c r="B146" s="5">
        <v>244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ラファエル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blue</v>
      </c>
      <c r="L146" s="7" t="str">
        <f>VLOOKUP(B146,[1]characters!$A:$K,11,FALSE)</f>
        <v>balance</v>
      </c>
      <c r="M146" s="7" t="str">
        <f>VLOOKUP(B146,[1]characters!$A:$M,13,FALSE)</f>
        <v>machine</v>
      </c>
      <c r="N146" s="7" t="str">
        <f>VLOOKUP(B146,[1]characters!$A:$G,7,FALSE)</f>
        <v>女性</v>
      </c>
      <c r="O146" s="45">
        <f ca="1">IFERROR(VLOOKUP(B146,input_421010!L:R,7,FALSE),VLOOKUP(tables_421010!C120,input_421010!A:H,8,FALSE))</f>
        <v>133500</v>
      </c>
      <c r="P146" s="46">
        <f t="shared" ca="1" si="8"/>
        <v>1.4996767141407376E-3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input_421010!A$2</f>
        <v>421010</v>
      </c>
      <c r="B147" s="5">
        <v>245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鎮癒の天使 ラファエル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blue</v>
      </c>
      <c r="L147" s="7" t="str">
        <f>VLOOKUP(B147,[1]characters!$A:$K,11,FALSE)</f>
        <v>balance</v>
      </c>
      <c r="M147" s="7" t="str">
        <f>VLOOKUP(B147,[1]characters!$A:$M,13,FALSE)</f>
        <v>machine</v>
      </c>
      <c r="N147" s="7" t="str">
        <f>VLOOKUP(B147,[1]characters!$A:$G,7,FALSE)</f>
        <v>女性</v>
      </c>
      <c r="O147" s="45">
        <f ca="1">IFERROR(VLOOKUP(B147,input_421010!L:R,7,FALSE),VLOOKUP(tables_421010!C121,input_421010!A:H,8,FALSE))</f>
        <v>133500</v>
      </c>
      <c r="P147" s="46">
        <f t="shared" ca="1" si="8"/>
        <v>1.4996767141407376E-3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input_421010!A$2</f>
        <v>421010</v>
      </c>
      <c r="B148" s="5">
        <v>246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真癒の天使 ラファエル・メディカ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blue</v>
      </c>
      <c r="L148" s="7" t="str">
        <f>VLOOKUP(B148,[1]characters!$A:$K,11,FALSE)</f>
        <v>balance</v>
      </c>
      <c r="M148" s="7" t="str">
        <f>VLOOKUP(B148,[1]characters!$A:$M,13,FALSE)</f>
        <v>machine</v>
      </c>
      <c r="N148" s="7" t="str">
        <f>VLOOKUP(B148,[1]characters!$A:$G,7,FALSE)</f>
        <v>女性</v>
      </c>
      <c r="O148" s="45">
        <f ca="1">IFERROR(VLOOKUP(B148,input_421010!L:R,7,FALSE),VLOOKUP(tables_421010!C122,input_421010!A:H,8,FALSE))</f>
        <v>133500</v>
      </c>
      <c r="P148" s="46">
        <f t="shared" ca="1" si="8"/>
        <v>1.4996767141407376E-3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input_421010!A$2</f>
        <v>421010</v>
      </c>
      <c r="B149" s="5">
        <v>247</v>
      </c>
      <c r="C149" s="7" t="str">
        <f t="shared" si="6"/>
        <v>Premium3</v>
      </c>
      <c r="D149" s="7" t="str">
        <f t="shared" si="7"/>
        <v>Premium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ミカエル</v>
      </c>
      <c r="I149" s="7" t="str">
        <f>VLOOKUP(B149,[1]characters!$A:$J,10,FALSE)</f>
        <v>PremiumS</v>
      </c>
      <c r="J149" s="7">
        <f>VLOOKUP(B149,[1]characters!$A:$I,9,FALSE)</f>
        <v>3</v>
      </c>
      <c r="K149" s="7" t="str">
        <f>VLOOKUP(B149,[1]characters!$A:$H,8,FALSE)</f>
        <v>yellow</v>
      </c>
      <c r="L149" s="7" t="str">
        <f>VLOOKUP(B149,[1]characters!$A:$K,11,FALSE)</f>
        <v>attack</v>
      </c>
      <c r="M149" s="7" t="str">
        <f>VLOOKUP(B149,[1]characters!$A:$M,13,FALSE)</f>
        <v>machine</v>
      </c>
      <c r="N149" s="7" t="str">
        <f>VLOOKUP(B149,[1]characters!$A:$G,7,FALSE)</f>
        <v>女性</v>
      </c>
      <c r="O149" s="45">
        <f ca="1">IFERROR(VLOOKUP(B149,input_421010!L:R,7,FALSE),VLOOKUP(tables_421010!C123,input_421010!A:H,8,FALSE))</f>
        <v>133500</v>
      </c>
      <c r="P149" s="46">
        <f t="shared" ca="1" si="8"/>
        <v>1.4996767141407376E-3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input_421010!A$2</f>
        <v>421010</v>
      </c>
      <c r="B150" s="5">
        <v>248</v>
      </c>
      <c r="C150" s="7" t="str">
        <f t="shared" si="6"/>
        <v>Premium4</v>
      </c>
      <c r="D150" s="7" t="str">
        <f t="shared" si="7"/>
        <v>Premium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彩電の天使 ミカエル</v>
      </c>
      <c r="I150" s="7" t="str">
        <f>VLOOKUP(B150,[1]characters!$A:$J,10,FALSE)</f>
        <v>PremiumS</v>
      </c>
      <c r="J150" s="7">
        <f>VLOOKUP(B150,[1]characters!$A:$I,9,FALSE)</f>
        <v>4</v>
      </c>
      <c r="K150" s="7" t="str">
        <f>VLOOKUP(B150,[1]characters!$A:$H,8,FALSE)</f>
        <v>yellow</v>
      </c>
      <c r="L150" s="7" t="str">
        <f>VLOOKUP(B150,[1]characters!$A:$K,11,FALSE)</f>
        <v>attack</v>
      </c>
      <c r="M150" s="7" t="str">
        <f>VLOOKUP(B150,[1]characters!$A:$M,13,FALSE)</f>
        <v>machine</v>
      </c>
      <c r="N150" s="7" t="str">
        <f>VLOOKUP(B150,[1]characters!$A:$G,7,FALSE)</f>
        <v>女性</v>
      </c>
      <c r="O150" s="45">
        <f ca="1">IFERROR(VLOOKUP(B150,input_421010!L:R,7,FALSE),VLOOKUP(tables_421010!C124,input_421010!A:H,8,FALSE))</f>
        <v>133500</v>
      </c>
      <c r="P150" s="46">
        <f t="shared" ca="1" si="8"/>
        <v>1.4996767141407376E-3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input_421010!A$2</f>
        <v>421010</v>
      </c>
      <c r="B151" s="6">
        <v>249</v>
      </c>
      <c r="C151" s="7" t="str">
        <f t="shared" si="6"/>
        <v>Premium5</v>
      </c>
      <c r="D151" s="7" t="str">
        <f t="shared" si="7"/>
        <v>Premium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雷電の天使 ミカエル・ゲイナー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attack</v>
      </c>
      <c r="M151" s="7" t="str">
        <f>VLOOKUP(B151,[1]characters!$A:$M,13,FALSE)</f>
        <v>machine</v>
      </c>
      <c r="N151" s="7" t="str">
        <f>VLOOKUP(B151,[1]characters!$A:$G,7,FALSE)</f>
        <v>女性</v>
      </c>
      <c r="O151" s="45">
        <f ca="1">IFERROR(VLOOKUP(B151,input_421010!L:R,7,FALSE),VLOOKUP(tables_421010!C125,input_421010!A:H,8,FALSE))</f>
        <v>133500</v>
      </c>
      <c r="P151" s="46">
        <f t="shared" ca="1" si="8"/>
        <v>1.4996767141407376E-3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input_421010!A$2</f>
        <v>421010</v>
      </c>
      <c r="B152" s="6">
        <v>250</v>
      </c>
      <c r="C152" s="7" t="str">
        <f t="shared" si="6"/>
        <v>Premium3</v>
      </c>
      <c r="D152" s="7" t="str">
        <f t="shared" si="7"/>
        <v>Premium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マンモン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red</v>
      </c>
      <c r="L152" s="7" t="str">
        <f>VLOOKUP(B152,[1]characters!$A:$K,11,FALSE)</f>
        <v>balance</v>
      </c>
      <c r="M152" s="7" t="str">
        <f>VLOOKUP(B152,[1]characters!$A:$M,13,FALSE)</f>
        <v>god</v>
      </c>
      <c r="N152" s="7" t="str">
        <f>VLOOKUP(B152,[1]characters!$A:$G,7,FALSE)</f>
        <v>女性</v>
      </c>
      <c r="O152" s="45">
        <f ca="1">IFERROR(VLOOKUP(B152,input_421010!L:R,7,FALSE),VLOOKUP(tables_421010!C126,input_421010!A:H,8,FALSE))</f>
        <v>133500</v>
      </c>
      <c r="P152" s="46">
        <f t="shared" ca="1" si="8"/>
        <v>1.4996767141407376E-3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input_421010!A$2</f>
        <v>421010</v>
      </c>
      <c r="B153" s="6">
        <v>251</v>
      </c>
      <c r="C153" s="7" t="str">
        <f t="shared" si="6"/>
        <v>Premium4</v>
      </c>
      <c r="D153" s="7" t="str">
        <f t="shared" si="7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強欲 マンモン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red</v>
      </c>
      <c r="L153" s="7" t="str">
        <f>VLOOKUP(B153,[1]characters!$A:$K,11,FALSE)</f>
        <v>balance</v>
      </c>
      <c r="M153" s="7" t="str">
        <f>VLOOKUP(B153,[1]characters!$A:$M,13,FALSE)</f>
        <v>god</v>
      </c>
      <c r="N153" s="7" t="str">
        <f>VLOOKUP(B153,[1]characters!$A:$G,7,FALSE)</f>
        <v>女性</v>
      </c>
      <c r="O153" s="45">
        <f ca="1">IFERROR(VLOOKUP(B153,input_421010!L:R,7,FALSE),VLOOKUP(tables_421010!C127,input_421010!A:H,8,FALSE))</f>
        <v>133500</v>
      </c>
      <c r="P153" s="46">
        <f t="shared" ca="1" si="8"/>
        <v>1.4996767141407376E-3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input_421010!A$2</f>
        <v>421010</v>
      </c>
      <c r="B154" s="6">
        <v>252</v>
      </c>
      <c r="C154" s="7" t="str">
        <f t="shared" si="6"/>
        <v>Premium5</v>
      </c>
      <c r="D154" s="7" t="str">
        <f t="shared" si="7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強欲の沸騰 マンモン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red</v>
      </c>
      <c r="L154" s="7" t="str">
        <f>VLOOKUP(B154,[1]characters!$A:$K,11,FALSE)</f>
        <v>balance</v>
      </c>
      <c r="M154" s="7" t="str">
        <f>VLOOKUP(B154,[1]characters!$A:$M,13,FALSE)</f>
        <v>god</v>
      </c>
      <c r="N154" s="7" t="str">
        <f>VLOOKUP(B154,[1]characters!$A:$G,7,FALSE)</f>
        <v>女性</v>
      </c>
      <c r="O154" s="45">
        <f ca="1">IFERROR(VLOOKUP(B154,input_421010!L:R,7,FALSE),VLOOKUP(tables_421010!C128,input_421010!A:H,8,FALSE))</f>
        <v>466650</v>
      </c>
      <c r="P154" s="46">
        <f t="shared" ca="1" si="8"/>
        <v>5.2421283794290277E-3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input_421010!A$2</f>
        <v>421010</v>
      </c>
      <c r="B155" s="6">
        <v>253</v>
      </c>
      <c r="C155" s="7" t="str">
        <f t="shared" si="6"/>
        <v>Premium3</v>
      </c>
      <c r="D155" s="7" t="str">
        <f t="shared" si="7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ベルフェゴール</v>
      </c>
      <c r="I155" s="7" t="str">
        <f>VLOOKUP(B155,[1]characters!$A:$J,10,FALSE)</f>
        <v>PremiumS</v>
      </c>
      <c r="J155" s="7">
        <f>VLOOKUP(B155,[1]characters!$A:$I,9,FALSE)</f>
        <v>3</v>
      </c>
      <c r="K155" s="7" t="str">
        <f>VLOOKUP(B155,[1]characters!$A:$H,8,FALSE)</f>
        <v>green</v>
      </c>
      <c r="L155" s="7" t="str">
        <f>VLOOKUP(B155,[1]characters!$A:$K,11,FALSE)</f>
        <v>technical</v>
      </c>
      <c r="M155" s="7" t="str">
        <f>VLOOKUP(B155,[1]characters!$A:$M,13,FALSE)</f>
        <v>god</v>
      </c>
      <c r="N155" s="7" t="str">
        <f>VLOOKUP(B155,[1]characters!$A:$G,7,FALSE)</f>
        <v>女性</v>
      </c>
      <c r="O155" s="45">
        <f ca="1">IFERROR(VLOOKUP(B155,input_421010!L:R,7,FALSE),VLOOKUP(tables_421010!C129,input_421010!A:H,8,FALSE))</f>
        <v>408201.05768999999</v>
      </c>
      <c r="P155" s="46">
        <f t="shared" ca="1" si="8"/>
        <v>4.5855402315004706E-3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input_421010!A$2</f>
        <v>421010</v>
      </c>
      <c r="B156" s="6">
        <v>254</v>
      </c>
      <c r="C156" s="7" t="str">
        <f t="shared" si="6"/>
        <v>Premium4</v>
      </c>
      <c r="D156" s="7" t="str">
        <f t="shared" si="7"/>
        <v>Premium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怠惰 ベルフェゴール</v>
      </c>
      <c r="I156" s="7" t="str">
        <f>VLOOKUP(B156,[1]characters!$A:$J,10,FALSE)</f>
        <v>PremiumS</v>
      </c>
      <c r="J156" s="7">
        <f>VLOOKUP(B156,[1]characters!$A:$I,9,FALSE)</f>
        <v>4</v>
      </c>
      <c r="K156" s="7" t="str">
        <f>VLOOKUP(B156,[1]characters!$A:$H,8,FALSE)</f>
        <v>green</v>
      </c>
      <c r="L156" s="7" t="str">
        <f>VLOOKUP(B156,[1]characters!$A:$K,11,FALSE)</f>
        <v>technical</v>
      </c>
      <c r="M156" s="7" t="str">
        <f>VLOOKUP(B156,[1]characters!$A:$M,13,FALSE)</f>
        <v>god</v>
      </c>
      <c r="N156" s="7" t="str">
        <f>VLOOKUP(B156,[1]characters!$A:$G,7,FALSE)</f>
        <v>女性</v>
      </c>
      <c r="O156" s="45">
        <f ca="1">IFERROR(VLOOKUP(B156,input_421010!L:R,7,FALSE),VLOOKUP(tables_421010!C130,input_421010!A:H,8,FALSE))</f>
        <v>3716.5384600000002</v>
      </c>
      <c r="P156" s="46">
        <f t="shared" ca="1" si="8"/>
        <v>4.1749859068692718E-5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input_421010!A$2</f>
        <v>421010</v>
      </c>
      <c r="B157" s="6">
        <v>255</v>
      </c>
      <c r="C157" s="7" t="str">
        <f t="shared" si="6"/>
        <v>Premium5</v>
      </c>
      <c r="D157" s="7" t="str">
        <f t="shared" si="7"/>
        <v>Premium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怠惰の頂点 ベルフェゴール</v>
      </c>
      <c r="I157" s="7" t="str">
        <f>VLOOKUP(B157,[1]characters!$A:$J,10,FALSE)</f>
        <v>PremiumS</v>
      </c>
      <c r="J157" s="7">
        <f>VLOOKUP(B157,[1]characters!$A:$I,9,FALSE)</f>
        <v>5</v>
      </c>
      <c r="K157" s="7" t="str">
        <f>VLOOKUP(B157,[1]characters!$A:$H,8,FALSE)</f>
        <v>green</v>
      </c>
      <c r="L157" s="7" t="str">
        <f>VLOOKUP(B157,[1]characters!$A:$K,11,FALSE)</f>
        <v>technical</v>
      </c>
      <c r="M157" s="7" t="str">
        <f>VLOOKUP(B157,[1]characters!$A:$M,13,FALSE)</f>
        <v>god</v>
      </c>
      <c r="N157" s="7" t="str">
        <f>VLOOKUP(B157,[1]characters!$A:$G,7,FALSE)</f>
        <v>女性</v>
      </c>
      <c r="O157" s="45">
        <f ca="1">IFERROR(VLOOKUP(B157,input_421010!L:R,7,FALSE),VLOOKUP(tables_421010!C131,input_421010!A:H,8,FALSE))</f>
        <v>466650</v>
      </c>
      <c r="P157" s="46">
        <f t="shared" ca="1" si="8"/>
        <v>5.2421283794290277E-3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input_421010!A$2</f>
        <v>421010</v>
      </c>
      <c r="B158" s="6">
        <v>256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アスモデウス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blue</v>
      </c>
      <c r="L158" s="7" t="str">
        <f>VLOOKUP(B158,[1]characters!$A:$K,11,FALSE)</f>
        <v>attack</v>
      </c>
      <c r="M158" s="7" t="str">
        <f>VLOOKUP(B158,[1]characters!$A:$M,13,FALSE)</f>
        <v>god</v>
      </c>
      <c r="N158" s="7" t="str">
        <f>VLOOKUP(B158,[1]characters!$A:$G,7,FALSE)</f>
        <v>女性</v>
      </c>
      <c r="O158" s="45">
        <f ca="1">IFERROR(VLOOKUP(B158,input_421010!L:R,7,FALSE),VLOOKUP(tables_421010!C132,input_421010!A:H,8,FALSE))</f>
        <v>408201.05768999999</v>
      </c>
      <c r="P158" s="46">
        <f t="shared" ca="1" si="8"/>
        <v>4.5855402315004706E-3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input_421010!A$2</f>
        <v>421010</v>
      </c>
      <c r="B159" s="6">
        <v>257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色欲 アスモデウス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blue</v>
      </c>
      <c r="L159" s="7" t="str">
        <f>VLOOKUP(B159,[1]characters!$A:$K,11,FALSE)</f>
        <v>attack</v>
      </c>
      <c r="M159" s="7" t="str">
        <f>VLOOKUP(B159,[1]characters!$A:$M,13,FALSE)</f>
        <v>god</v>
      </c>
      <c r="N159" s="7" t="str">
        <f>VLOOKUP(B159,[1]characters!$A:$G,7,FALSE)</f>
        <v>女性</v>
      </c>
      <c r="O159" s="45">
        <f ca="1">IFERROR(VLOOKUP(B159,input_421010!L:R,7,FALSE),VLOOKUP(tables_421010!C133,input_421010!A:H,8,FALSE))</f>
        <v>3716.5384600000002</v>
      </c>
      <c r="P159" s="46">
        <f t="shared" ca="1" si="8"/>
        <v>4.1749859068692718E-5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input_421010!A$2</f>
        <v>421010</v>
      </c>
      <c r="B160" s="6">
        <v>258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色欲の源流 アスモデウス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blue</v>
      </c>
      <c r="L160" s="7" t="str">
        <f>VLOOKUP(B160,[1]characters!$A:$K,11,FALSE)</f>
        <v>attack</v>
      </c>
      <c r="M160" s="7" t="str">
        <f>VLOOKUP(B160,[1]characters!$A:$M,13,FALSE)</f>
        <v>god</v>
      </c>
      <c r="N160" s="7" t="str">
        <f>VLOOKUP(B160,[1]characters!$A:$G,7,FALSE)</f>
        <v>女性</v>
      </c>
      <c r="O160" s="45">
        <f ca="1">IFERROR(VLOOKUP(B160,input_421010!L:R,7,FALSE),VLOOKUP(tables_421010!C134,input_421010!A:H,8,FALSE))</f>
        <v>466650</v>
      </c>
      <c r="P160" s="46">
        <f t="shared" ca="1" si="8"/>
        <v>5.2421283794290277E-3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input_421010!A$2</f>
        <v>421010</v>
      </c>
      <c r="B161" s="6">
        <v>259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ウロボロス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yellow</v>
      </c>
      <c r="L161" s="7" t="str">
        <f>VLOOKUP(B161,[1]characters!$A:$K,11,FALSE)</f>
        <v>balance</v>
      </c>
      <c r="M161" s="7" t="str">
        <f>VLOOKUP(B161,[1]characters!$A:$M,13,FALSE)</f>
        <v>dragon</v>
      </c>
      <c r="N161" s="7" t="str">
        <f>VLOOKUP(B161,[1]characters!$A:$G,7,FALSE)</f>
        <v>女性</v>
      </c>
      <c r="O161" s="45">
        <f ca="1">IFERROR(VLOOKUP(B161,input_421010!L:R,7,FALSE),VLOOKUP(tables_421010!C135,input_421010!A:H,8,FALSE))</f>
        <v>408201.05768999999</v>
      </c>
      <c r="P161" s="46">
        <f t="shared" ca="1" si="8"/>
        <v>4.5855402315004706E-3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input_421010!A$2</f>
        <v>421010</v>
      </c>
      <c r="B162" s="8">
        <v>260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輪廻 ウロボロス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yellow</v>
      </c>
      <c r="L162" s="7" t="str">
        <f>VLOOKUP(B162,[1]characters!$A:$K,11,FALSE)</f>
        <v>balance</v>
      </c>
      <c r="M162" s="7" t="str">
        <f>VLOOKUP(B162,[1]characters!$A:$M,13,FALSE)</f>
        <v>dragon</v>
      </c>
      <c r="N162" s="7" t="str">
        <f>VLOOKUP(B162,[1]characters!$A:$G,7,FALSE)</f>
        <v>女性</v>
      </c>
      <c r="O162" s="45">
        <f ca="1">IFERROR(VLOOKUP(B162,input_421010!L:R,7,FALSE),VLOOKUP(tables_421010!C136,input_421010!A:H,8,FALSE))</f>
        <v>3716.5384600000002</v>
      </c>
      <c r="P162" s="46">
        <f t="shared" ca="1" si="8"/>
        <v>4.1749859068692718E-5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input_421010!A$2</f>
        <v>421010</v>
      </c>
      <c r="B163" s="8">
        <v>261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輪廻の蛇龍 ウロボロス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dragon</v>
      </c>
      <c r="N163" s="7" t="str">
        <f>VLOOKUP(B163,[1]characters!$A:$G,7,FALSE)</f>
        <v>女性</v>
      </c>
      <c r="O163" s="45">
        <f ca="1">IFERROR(VLOOKUP(B163,input_421010!L:R,7,FALSE),VLOOKUP(tables_421010!C137,input_421010!A:H,8,FALSE))</f>
        <v>466650</v>
      </c>
      <c r="P163" s="46">
        <f t="shared" ca="1" si="8"/>
        <v>5.2421283794290277E-3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input_421010!A$2</f>
        <v>421010</v>
      </c>
      <c r="B164" s="6">
        <v>380</v>
      </c>
      <c r="C164" s="7" t="str">
        <f t="shared" si="6"/>
        <v>Premium3</v>
      </c>
      <c r="D164" s="7" t="str">
        <f t="shared" si="7"/>
        <v>Premium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バハムート</v>
      </c>
      <c r="I164" s="7" t="str">
        <f>VLOOKUP(B164,[1]characters!$A:$J,10,FALSE)</f>
        <v>PremiumS</v>
      </c>
      <c r="J164" s="7">
        <f>VLOOKUP(B164,[1]characters!$A:$I,9,FALSE)</f>
        <v>3</v>
      </c>
      <c r="K164" s="7" t="str">
        <f>VLOOKUP(B164,[1]characters!$A:$H,8,FALSE)</f>
        <v>red</v>
      </c>
      <c r="L164" s="7" t="str">
        <f>VLOOKUP(B164,[1]characters!$A:$K,11,FALSE)</f>
        <v>technical</v>
      </c>
      <c r="M164" s="7" t="str">
        <f>VLOOKUP(B164,[1]characters!$A:$M,13,FALSE)</f>
        <v>dragon</v>
      </c>
      <c r="N164" s="7" t="str">
        <f>VLOOKUP(B164,[1]characters!$A:$G,7,FALSE)</f>
        <v>女性</v>
      </c>
      <c r="O164" s="45">
        <f ca="1">IFERROR(VLOOKUP(B164,input_421010!L:R,7,FALSE),VLOOKUP(tables_421010!C146,input_421010!A:H,8,FALSE))</f>
        <v>466650</v>
      </c>
      <c r="P164" s="46">
        <f t="shared" ca="1" si="8"/>
        <v>5.2421283794290277E-3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input_421010!A$2</f>
        <v>421010</v>
      </c>
      <c r="B165" s="6">
        <v>381</v>
      </c>
      <c r="C165" s="7" t="str">
        <f t="shared" si="6"/>
        <v>Premium4</v>
      </c>
      <c r="D165" s="7" t="str">
        <f t="shared" si="7"/>
        <v>Premium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肉食の恋火 バハムート</v>
      </c>
      <c r="I165" s="7" t="str">
        <f>VLOOKUP(B165,[1]characters!$A:$J,10,FALSE)</f>
        <v>PremiumS</v>
      </c>
      <c r="J165" s="7">
        <f>VLOOKUP(B165,[1]characters!$A:$I,9,FALSE)</f>
        <v>4</v>
      </c>
      <c r="K165" s="7" t="str">
        <f>VLOOKUP(B165,[1]characters!$A:$H,8,FALSE)</f>
        <v>red</v>
      </c>
      <c r="L165" s="7" t="str">
        <f>VLOOKUP(B165,[1]characters!$A:$K,11,FALSE)</f>
        <v>technical</v>
      </c>
      <c r="M165" s="7" t="str">
        <f>VLOOKUP(B165,[1]characters!$A:$M,13,FALSE)</f>
        <v>dragon</v>
      </c>
      <c r="N165" s="7" t="str">
        <f>VLOOKUP(B165,[1]characters!$A:$G,7,FALSE)</f>
        <v>女性</v>
      </c>
      <c r="O165" s="45">
        <f ca="1">IFERROR(VLOOKUP(B165,input_421010!L:R,7,FALSE),VLOOKUP(tables_421010!C147,input_421010!A:H,8,FALSE))</f>
        <v>408201.05768999999</v>
      </c>
      <c r="P165" s="46">
        <f t="shared" ca="1" si="8"/>
        <v>4.5855402315004706E-3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input_421010!A$2</f>
        <v>421010</v>
      </c>
      <c r="B166" s="6">
        <v>382</v>
      </c>
      <c r="C166" s="7" t="str">
        <f t="shared" si="6"/>
        <v>Premium5</v>
      </c>
      <c r="D166" s="7" t="str">
        <f t="shared" si="7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激情の愛炎 バハムート</v>
      </c>
      <c r="I166" s="7" t="str">
        <f>VLOOKUP(B166,[1]characters!$A:$J,10,FALSE)</f>
        <v>PremiumS</v>
      </c>
      <c r="J166" s="7">
        <f>VLOOKUP(B166,[1]characters!$A:$I,9,FALSE)</f>
        <v>5</v>
      </c>
      <c r="K166" s="7" t="str">
        <f>VLOOKUP(B166,[1]characters!$A:$H,8,FALSE)</f>
        <v>red</v>
      </c>
      <c r="L166" s="7" t="str">
        <f>VLOOKUP(B166,[1]characters!$A:$K,11,FALSE)</f>
        <v>technical</v>
      </c>
      <c r="M166" s="7" t="str">
        <f>VLOOKUP(B166,[1]characters!$A:$M,13,FALSE)</f>
        <v>dragon</v>
      </c>
      <c r="N166" s="7" t="str">
        <f>VLOOKUP(B166,[1]characters!$A:$G,7,FALSE)</f>
        <v>女性</v>
      </c>
      <c r="O166" s="45">
        <f ca="1">IFERROR(VLOOKUP(B166,input_421010!L:R,7,FALSE),VLOOKUP(tables_421010!C148,input_421010!A:H,8,FALSE))</f>
        <v>3716.5384600000002</v>
      </c>
      <c r="P166" s="46">
        <f t="shared" ca="1" si="8"/>
        <v>4.1749859068692718E-5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input_421010!A$2</f>
        <v>421010</v>
      </c>
      <c r="B167" s="6">
        <v>387</v>
      </c>
      <c r="C167" s="7" t="str">
        <f t="shared" si="6"/>
        <v>Premium3</v>
      </c>
      <c r="D167" s="7" t="str">
        <f t="shared" si="7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スフィンクス</v>
      </c>
      <c r="I167" s="7" t="str">
        <f>VLOOKUP(B167,[1]characters!$A:$J,10,FALSE)</f>
        <v>PremiumS</v>
      </c>
      <c r="J167" s="7">
        <f>VLOOKUP(B167,[1]characters!$A:$I,9,FALSE)</f>
        <v>3</v>
      </c>
      <c r="K167" s="7" t="str">
        <f>VLOOKUP(B167,[1]characters!$A:$H,8,FALSE)</f>
        <v>yellow</v>
      </c>
      <c r="L167" s="7" t="str">
        <f>VLOOKUP(B167,[1]characters!$A:$K,11,FALSE)</f>
        <v>heal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IFERROR(VLOOKUP(B167,input_421010!L:R,7,FALSE),VLOOKUP(tables_421010!C153,input_421010!A:H,8,FALSE))</f>
        <v>408201.05768999999</v>
      </c>
      <c r="P167" s="46">
        <f t="shared" ca="1" si="8"/>
        <v>4.5855402315004706E-3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input_421010!A$2</f>
        <v>421010</v>
      </c>
      <c r="B168" s="6">
        <v>388</v>
      </c>
      <c r="C168" s="7" t="str">
        <f t="shared" si="6"/>
        <v>Premium4</v>
      </c>
      <c r="D168" s="7" t="str">
        <f t="shared" si="7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神円の恋姫 スフィンクス</v>
      </c>
      <c r="I168" s="7" t="str">
        <f>VLOOKUP(B168,[1]characters!$A:$J,10,FALSE)</f>
        <v>PremiumS</v>
      </c>
      <c r="J168" s="7">
        <f>VLOOKUP(B168,[1]characters!$A:$I,9,FALSE)</f>
        <v>4</v>
      </c>
      <c r="K168" s="7" t="str">
        <f>VLOOKUP(B168,[1]characters!$A:$H,8,FALSE)</f>
        <v>yellow</v>
      </c>
      <c r="L168" s="7" t="str">
        <f>VLOOKUP(B168,[1]characters!$A:$K,11,FALSE)</f>
        <v>heal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IFERROR(VLOOKUP(B168,input_421010!L:R,7,FALSE),VLOOKUP(tables_421010!C154,input_421010!A:H,8,FALSE))</f>
        <v>3716.5384600000002</v>
      </c>
      <c r="P168" s="46">
        <f t="shared" ca="1" si="8"/>
        <v>4.1749859068692718E-5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input_421010!A$2</f>
        <v>421010</v>
      </c>
      <c r="B169" s="6">
        <v>389</v>
      </c>
      <c r="C169" s="7" t="str">
        <f t="shared" si="6"/>
        <v>Premium5</v>
      </c>
      <c r="D169" s="7" t="str">
        <f t="shared" si="7"/>
        <v>Premium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操神の愛姫 スフィンクス</v>
      </c>
      <c r="I169" s="7" t="str">
        <f>VLOOKUP(B169,[1]characters!$A:$J,10,FALSE)</f>
        <v>PremiumS</v>
      </c>
      <c r="J169" s="7">
        <f>VLOOKUP(B169,[1]characters!$A:$I,9,FALSE)</f>
        <v>5</v>
      </c>
      <c r="K169" s="7" t="str">
        <f>VLOOKUP(B169,[1]characters!$A:$H,8,FALSE)</f>
        <v>yellow</v>
      </c>
      <c r="L169" s="7" t="str">
        <f>VLOOKUP(B169,[1]characters!$A:$K,11,FALSE)</f>
        <v>heal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IFERROR(VLOOKUP(B169,input_421010!L:R,7,FALSE),VLOOKUP(tables_421010!C155,input_421010!A:H,8,FALSE))</f>
        <v>466650</v>
      </c>
      <c r="P169" s="46">
        <f t="shared" ca="1" si="8"/>
        <v>5.2421283794290277E-3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input_421010!A$2</f>
        <v>421010</v>
      </c>
      <c r="B170" s="6">
        <v>392</v>
      </c>
      <c r="C170" s="7" t="str">
        <f t="shared" si="6"/>
        <v>Premium3</v>
      </c>
      <c r="D170" s="7" t="str">
        <f t="shared" si="7"/>
        <v>Premium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ピーターパン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green</v>
      </c>
      <c r="L170" s="7" t="str">
        <f>VLOOKUP(B170,[1]characters!$A:$K,11,FALSE)</f>
        <v>attack</v>
      </c>
      <c r="M170" s="7" t="str">
        <f>VLOOKUP(B170,[1]characters!$A:$M,13,FALSE)</f>
        <v>human</v>
      </c>
      <c r="N170" s="7" t="str">
        <f>VLOOKUP(B170,[1]characters!$A:$G,7,FALSE)</f>
        <v>男性</v>
      </c>
      <c r="O170" s="45">
        <f ca="1">IFERROR(VLOOKUP(B170,input_421010!L:R,7,FALSE),VLOOKUP(tables_421010!C158,input_421010!A:H,8,FALSE))</f>
        <v>466650</v>
      </c>
      <c r="P170" s="46">
        <f t="shared" ca="1" si="8"/>
        <v>5.2421283794290277E-3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input_421010!A$2</f>
        <v>421010</v>
      </c>
      <c r="B171" s="6">
        <v>393</v>
      </c>
      <c r="C171" s="7" t="str">
        <f t="shared" si="6"/>
        <v>Premium4</v>
      </c>
      <c r="D171" s="7" t="str">
        <f t="shared" si="7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影縫い ピーターパン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green</v>
      </c>
      <c r="L171" s="7" t="str">
        <f>VLOOKUP(B171,[1]characters!$A:$K,11,FALSE)</f>
        <v>attack</v>
      </c>
      <c r="M171" s="7" t="str">
        <f>VLOOKUP(B171,[1]characters!$A:$M,13,FALSE)</f>
        <v>human</v>
      </c>
      <c r="N171" s="7" t="str">
        <f>VLOOKUP(B171,[1]characters!$A:$G,7,FALSE)</f>
        <v>男性</v>
      </c>
      <c r="O171" s="45">
        <f ca="1">IFERROR(VLOOKUP(B171,input_421010!L:R,7,FALSE),VLOOKUP(tables_421010!C159,input_421010!A:H,8,FALSE))</f>
        <v>408201.05768999999</v>
      </c>
      <c r="P171" s="46">
        <f t="shared" ca="1" si="8"/>
        <v>4.5855402315004706E-3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input_421010!A$2</f>
        <v>421010</v>
      </c>
      <c r="B172" s="6">
        <v>394</v>
      </c>
      <c r="C172" s="7" t="str">
        <f t="shared" si="6"/>
        <v>Premium5</v>
      </c>
      <c r="D172" s="7" t="str">
        <f t="shared" si="7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影求の悪童 ピーターパン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green</v>
      </c>
      <c r="L172" s="7" t="str">
        <f>VLOOKUP(B172,[1]characters!$A:$K,11,FALSE)</f>
        <v>attack</v>
      </c>
      <c r="M172" s="7" t="str">
        <f>VLOOKUP(B172,[1]characters!$A:$M,13,FALSE)</f>
        <v>human</v>
      </c>
      <c r="N172" s="7" t="str">
        <f>VLOOKUP(B172,[1]characters!$A:$G,7,FALSE)</f>
        <v>男性</v>
      </c>
      <c r="O172" s="45">
        <f ca="1">IFERROR(VLOOKUP(B172,input_421010!L:R,7,FALSE),VLOOKUP(tables_421010!C160,input_421010!A:H,8,FALSE))</f>
        <v>3716.5384600000002</v>
      </c>
      <c r="P172" s="46">
        <f t="shared" ca="1" si="8"/>
        <v>4.1749859068692718E-5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input_421010!A$2</f>
        <v>421010</v>
      </c>
      <c r="B173" s="6">
        <v>395</v>
      </c>
      <c r="C173" s="7" t="str">
        <f t="shared" si="6"/>
        <v>Premium3</v>
      </c>
      <c r="D173" s="7" t="str">
        <f t="shared" si="7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乙姫</v>
      </c>
      <c r="I173" s="7" t="str">
        <f>VLOOKUP(B173,[1]characters!$A:$J,10,FALSE)</f>
        <v>PremiumS</v>
      </c>
      <c r="J173" s="7">
        <f>VLOOKUP(B173,[1]characters!$A:$I,9,FALSE)</f>
        <v>3</v>
      </c>
      <c r="K173" s="7" t="str">
        <f>VLOOKUP(B173,[1]characters!$A:$H,8,FALSE)</f>
        <v>blue</v>
      </c>
      <c r="L173" s="7" t="str">
        <f>VLOOKUP(B173,[1]characters!$A:$K,11,FALSE)</f>
        <v>hp</v>
      </c>
      <c r="M173" s="7" t="str">
        <f>VLOOKUP(B173,[1]characters!$A:$M,13,FALSE)</f>
        <v>human</v>
      </c>
      <c r="N173" s="7" t="str">
        <f>VLOOKUP(B173,[1]characters!$A:$G,7,FALSE)</f>
        <v>女性</v>
      </c>
      <c r="O173" s="45">
        <f ca="1">IFERROR(VLOOKUP(B173,input_421010!L:R,7,FALSE),VLOOKUP(tables_421010!C161,input_421010!A:H,8,FALSE))</f>
        <v>466650</v>
      </c>
      <c r="P173" s="46">
        <f t="shared" ca="1" si="8"/>
        <v>5.2421283794290277E-3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input_421010!A$2</f>
        <v>421010</v>
      </c>
      <c r="B174" s="6">
        <v>396</v>
      </c>
      <c r="C174" s="7" t="str">
        <f t="shared" si="6"/>
        <v>Premium4</v>
      </c>
      <c r="D174" s="7" t="str">
        <f t="shared" si="7"/>
        <v>Premium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竜宮の水雷 乙姫</v>
      </c>
      <c r="I174" s="7" t="str">
        <f>VLOOKUP(B174,[1]characters!$A:$J,10,FALSE)</f>
        <v>PremiumS</v>
      </c>
      <c r="J174" s="7">
        <f>VLOOKUP(B174,[1]characters!$A:$I,9,FALSE)</f>
        <v>4</v>
      </c>
      <c r="K174" s="7" t="str">
        <f>VLOOKUP(B174,[1]characters!$A:$H,8,FALSE)</f>
        <v>blue</v>
      </c>
      <c r="L174" s="7" t="str">
        <f>VLOOKUP(B174,[1]characters!$A:$K,11,FALSE)</f>
        <v>hp</v>
      </c>
      <c r="M174" s="7" t="str">
        <f>VLOOKUP(B174,[1]characters!$A:$M,13,FALSE)</f>
        <v>human</v>
      </c>
      <c r="N174" s="7" t="str">
        <f>VLOOKUP(B174,[1]characters!$A:$G,7,FALSE)</f>
        <v>女性</v>
      </c>
      <c r="O174" s="45">
        <f ca="1">IFERROR(VLOOKUP(B174,input_421010!L:R,7,FALSE),VLOOKUP(tables_421010!C162,input_421010!A:H,8,FALSE))</f>
        <v>408201.05768999999</v>
      </c>
      <c r="P174" s="46">
        <f t="shared" ca="1" si="8"/>
        <v>4.5855402315004706E-3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input_421010!A$2</f>
        <v>421010</v>
      </c>
      <c r="B175" s="6">
        <v>397</v>
      </c>
      <c r="C175" s="7" t="str">
        <f t="shared" si="6"/>
        <v>Premium5</v>
      </c>
      <c r="D175" s="7" t="str">
        <f t="shared" si="7"/>
        <v>Premium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禁断の追箱 乙姫</v>
      </c>
      <c r="I175" s="7" t="str">
        <f>VLOOKUP(B175,[1]characters!$A:$J,10,FALSE)</f>
        <v>PremiumS</v>
      </c>
      <c r="J175" s="7">
        <f>VLOOKUP(B175,[1]characters!$A:$I,9,FALSE)</f>
        <v>5</v>
      </c>
      <c r="K175" s="7" t="str">
        <f>VLOOKUP(B175,[1]characters!$A:$H,8,FALSE)</f>
        <v>blue</v>
      </c>
      <c r="L175" s="7" t="str">
        <f>VLOOKUP(B175,[1]characters!$A:$K,11,FALSE)</f>
        <v>hp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IFERROR(VLOOKUP(B175,input_421010!L:R,7,FALSE),VLOOKUP(tables_421010!C163,input_421010!A:H,8,FALSE))</f>
        <v>3716.5384600000002</v>
      </c>
      <c r="P175" s="46">
        <f t="shared" ca="1" si="8"/>
        <v>4.1749859068692718E-5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input_421010!A$2</f>
        <v>421010</v>
      </c>
      <c r="B176" s="6">
        <v>400</v>
      </c>
      <c r="C176" s="7" t="str">
        <f t="shared" si="6"/>
        <v>Premium3</v>
      </c>
      <c r="D176" s="7" t="str">
        <f t="shared" si="7"/>
        <v>Premium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フェンリル</v>
      </c>
      <c r="I176" s="7" t="str">
        <f>VLOOKUP(B176,[1]characters!$A:$J,10,FALSE)</f>
        <v>PremiumS</v>
      </c>
      <c r="J176" s="7">
        <f>VLOOKUP(B176,[1]characters!$A:$I,9,FALSE)</f>
        <v>3</v>
      </c>
      <c r="K176" s="7" t="str">
        <f>VLOOKUP(B176,[1]characters!$A:$H,8,FALSE)</f>
        <v>red</v>
      </c>
      <c r="L176" s="7" t="str">
        <f>VLOOKUP(B176,[1]characters!$A:$K,11,FALSE)</f>
        <v>attack</v>
      </c>
      <c r="M176" s="7" t="str">
        <f>VLOOKUP(B176,[1]characters!$A:$M,13,FALSE)</f>
        <v>animal</v>
      </c>
      <c r="N176" s="7" t="str">
        <f>VLOOKUP(B176,[1]characters!$A:$G,7,FALSE)</f>
        <v>女性</v>
      </c>
      <c r="O176" s="45">
        <f ca="1">IFERROR(VLOOKUP(B176,input_421010!L:R,7,FALSE),VLOOKUP(tables_421010!C166,input_421010!A:H,8,FALSE))</f>
        <v>3716.5384600000002</v>
      </c>
      <c r="P176" s="46">
        <f t="shared" ca="1" si="8"/>
        <v>4.1749859068692718E-5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input_421010!A$2</f>
        <v>421010</v>
      </c>
      <c r="B177" s="6">
        <v>401</v>
      </c>
      <c r="C177" s="7" t="str">
        <f t="shared" si="6"/>
        <v>Premium4</v>
      </c>
      <c r="D177" s="7" t="str">
        <f t="shared" si="7"/>
        <v>Premium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紅銀の孤狼 フェンリル</v>
      </c>
      <c r="I177" s="7" t="str">
        <f>VLOOKUP(B177,[1]characters!$A:$J,10,FALSE)</f>
        <v>PremiumS</v>
      </c>
      <c r="J177" s="7">
        <f>VLOOKUP(B177,[1]characters!$A:$I,9,FALSE)</f>
        <v>4</v>
      </c>
      <c r="K177" s="7" t="str">
        <f>VLOOKUP(B177,[1]characters!$A:$H,8,FALSE)</f>
        <v>red</v>
      </c>
      <c r="L177" s="7" t="str">
        <f>VLOOKUP(B177,[1]characters!$A:$K,11,FALSE)</f>
        <v>attack</v>
      </c>
      <c r="M177" s="7" t="str">
        <f>VLOOKUP(B177,[1]characters!$A:$M,13,FALSE)</f>
        <v>animal</v>
      </c>
      <c r="N177" s="7" t="str">
        <f>VLOOKUP(B177,[1]characters!$A:$G,7,FALSE)</f>
        <v>女性</v>
      </c>
      <c r="O177" s="45">
        <f ca="1">IFERROR(VLOOKUP(B177,input_421010!L:R,7,FALSE),VLOOKUP(tables_421010!C167,input_421010!A:H,8,FALSE))</f>
        <v>466650</v>
      </c>
      <c r="P177" s="46">
        <f t="shared" ca="1" si="8"/>
        <v>5.2421283794290277E-3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input_421010!A$2</f>
        <v>421010</v>
      </c>
      <c r="B178" s="6">
        <v>402</v>
      </c>
      <c r="C178" s="7" t="str">
        <f t="shared" si="6"/>
        <v>Premium5</v>
      </c>
      <c r="D178" s="7" t="str">
        <f t="shared" si="7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天災の神狼 フェンリル</v>
      </c>
      <c r="I178" s="7" t="str">
        <f>VLOOKUP(B178,[1]characters!$A:$J,10,FALSE)</f>
        <v>PremiumS</v>
      </c>
      <c r="J178" s="7">
        <f>VLOOKUP(B178,[1]characters!$A:$I,9,FALSE)</f>
        <v>5</v>
      </c>
      <c r="K178" s="7" t="str">
        <f>VLOOKUP(B178,[1]characters!$A:$H,8,FALSE)</f>
        <v>red</v>
      </c>
      <c r="L178" s="7" t="str">
        <f>VLOOKUP(B178,[1]characters!$A:$K,11,FALSE)</f>
        <v>attack</v>
      </c>
      <c r="M178" s="7" t="str">
        <f>VLOOKUP(B178,[1]characters!$A:$M,13,FALSE)</f>
        <v>animal</v>
      </c>
      <c r="N178" s="7" t="str">
        <f>VLOOKUP(B178,[1]characters!$A:$G,7,FALSE)</f>
        <v>女性</v>
      </c>
      <c r="O178" s="45">
        <f ca="1">IFERROR(VLOOKUP(B178,input_421010!L:R,7,FALSE),VLOOKUP(tables_421010!C168,input_421010!A:H,8,FALSE))</f>
        <v>408201.05768999999</v>
      </c>
      <c r="P178" s="46">
        <f t="shared" ca="1" si="8"/>
        <v>4.5855402315004706E-3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input_421010!A$2</f>
        <v>421010</v>
      </c>
      <c r="B179" s="6">
        <v>405</v>
      </c>
      <c r="C179" s="7" t="str">
        <f t="shared" si="6"/>
        <v>Premium3</v>
      </c>
      <c r="D179" s="7" t="str">
        <f t="shared" si="7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エキドナ</v>
      </c>
      <c r="I179" s="7" t="str">
        <f>VLOOKUP(B179,[1]characters!$A:$J,10,FALSE)</f>
        <v>PremiumS</v>
      </c>
      <c r="J179" s="7">
        <f>VLOOKUP(B179,[1]characters!$A:$I,9,FALSE)</f>
        <v>3</v>
      </c>
      <c r="K179" s="7" t="str">
        <f>VLOOKUP(B179,[1]characters!$A:$H,8,FALSE)</f>
        <v>blue</v>
      </c>
      <c r="L179" s="7" t="str">
        <f>VLOOKUP(B179,[1]characters!$A:$K,11,FALSE)</f>
        <v>technical</v>
      </c>
      <c r="M179" s="7" t="str">
        <f>VLOOKUP(B179,[1]characters!$A:$M,13,FALSE)</f>
        <v>animal</v>
      </c>
      <c r="N179" s="7" t="str">
        <f>VLOOKUP(B179,[1]characters!$A:$G,7,FALSE)</f>
        <v>女性</v>
      </c>
      <c r="O179" s="45">
        <f ca="1">IFERROR(VLOOKUP(B179,input_421010!L:R,7,FALSE),VLOOKUP(tables_421010!C171,input_421010!A:H,8,FALSE))</f>
        <v>408201.05768999999</v>
      </c>
      <c r="P179" s="46">
        <f t="shared" ca="1" si="8"/>
        <v>4.5855402315004706E-3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input_421010!A$2</f>
        <v>421010</v>
      </c>
      <c r="B180" s="6">
        <v>406</v>
      </c>
      <c r="C180" s="7" t="str">
        <f t="shared" si="6"/>
        <v>Premium4</v>
      </c>
      <c r="D180" s="7" t="str">
        <f t="shared" si="7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美笑の蒼蛇 エキドナ</v>
      </c>
      <c r="I180" s="7" t="str">
        <f>VLOOKUP(B180,[1]characters!$A:$J,10,FALSE)</f>
        <v>PremiumS</v>
      </c>
      <c r="J180" s="7">
        <f>VLOOKUP(B180,[1]characters!$A:$I,9,FALSE)</f>
        <v>4</v>
      </c>
      <c r="K180" s="7" t="str">
        <f>VLOOKUP(B180,[1]characters!$A:$H,8,FALSE)</f>
        <v>blue</v>
      </c>
      <c r="L180" s="7" t="str">
        <f>VLOOKUP(B180,[1]characters!$A:$K,11,FALSE)</f>
        <v>technical</v>
      </c>
      <c r="M180" s="7" t="str">
        <f>VLOOKUP(B180,[1]characters!$A:$M,13,FALSE)</f>
        <v>animal</v>
      </c>
      <c r="N180" s="7" t="str">
        <f>VLOOKUP(B180,[1]characters!$A:$G,7,FALSE)</f>
        <v>女性</v>
      </c>
      <c r="O180" s="45">
        <f ca="1">IFERROR(VLOOKUP(B180,input_421010!L:R,7,FALSE),VLOOKUP(tables_421010!C172,input_421010!A:H,8,FALSE))</f>
        <v>3716.5384600000002</v>
      </c>
      <c r="P180" s="46">
        <f t="shared" ca="1" si="8"/>
        <v>4.1749859068692718E-5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input_421010!A$2</f>
        <v>421010</v>
      </c>
      <c r="B181" s="6">
        <v>407</v>
      </c>
      <c r="C181" s="7" t="str">
        <f t="shared" si="6"/>
        <v>Premium5</v>
      </c>
      <c r="D181" s="7" t="str">
        <f t="shared" si="7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蠱惑の飛刀 エキドナ</v>
      </c>
      <c r="I181" s="7" t="str">
        <f>VLOOKUP(B181,[1]characters!$A:$J,10,FALSE)</f>
        <v>PremiumS</v>
      </c>
      <c r="J181" s="7">
        <f>VLOOKUP(B181,[1]characters!$A:$I,9,FALSE)</f>
        <v>5</v>
      </c>
      <c r="K181" s="7" t="str">
        <f>VLOOKUP(B181,[1]characters!$A:$H,8,FALSE)</f>
        <v>blue</v>
      </c>
      <c r="L181" s="7" t="str">
        <f>VLOOKUP(B181,[1]characters!$A:$K,11,FALSE)</f>
        <v>technical</v>
      </c>
      <c r="M181" s="7" t="str">
        <f>VLOOKUP(B181,[1]characters!$A:$M,13,FALSE)</f>
        <v>animal</v>
      </c>
      <c r="N181" s="7" t="str">
        <f>VLOOKUP(B181,[1]characters!$A:$G,7,FALSE)</f>
        <v>女性</v>
      </c>
      <c r="O181" s="45">
        <f ca="1">IFERROR(VLOOKUP(B181,input_421010!L:R,7,FALSE),VLOOKUP(tables_421010!C173,input_421010!A:H,8,FALSE))</f>
        <v>466650</v>
      </c>
      <c r="P181" s="46">
        <f t="shared" ca="1" si="8"/>
        <v>5.2421283794290277E-3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input_421010!A$2</f>
        <v>421010</v>
      </c>
      <c r="B182" s="6">
        <v>436</v>
      </c>
      <c r="C182" s="7" t="str">
        <f t="shared" si="6"/>
        <v>Premium3</v>
      </c>
      <c r="D182" s="7" t="str">
        <f t="shared" si="7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カカシ</v>
      </c>
      <c r="I182" s="7" t="str">
        <f>VLOOKUP(B182,[1]characters!$A:$J,10,FALSE)</f>
        <v>PremiumS</v>
      </c>
      <c r="J182" s="7">
        <f>VLOOKUP(B182,[1]characters!$A:$I,9,FALSE)</f>
        <v>3</v>
      </c>
      <c r="K182" s="7" t="str">
        <f>VLOOKUP(B182,[1]characters!$A:$H,8,FALSE)</f>
        <v>green</v>
      </c>
      <c r="L182" s="7" t="str">
        <f>VLOOKUP(B182,[1]characters!$A:$K,11,FALSE)</f>
        <v>technical</v>
      </c>
      <c r="M182" s="7" t="str">
        <f>VLOOKUP(B182,[1]characters!$A:$M,13,FALSE)</f>
        <v>human</v>
      </c>
      <c r="N182" s="7" t="str">
        <f>VLOOKUP(B182,[1]characters!$A:$G,7,FALSE)</f>
        <v>男性</v>
      </c>
      <c r="O182" s="45">
        <f ca="1">IFERROR(VLOOKUP(B182,input_421010!L:R,7,FALSE),VLOOKUP(tables_421010!C178,input_421010!A:H,8,FALSE))</f>
        <v>3716.5384600000002</v>
      </c>
      <c r="P182" s="46">
        <f t="shared" ca="1" si="8"/>
        <v>4.1749859068692718E-5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input_421010!A$2</f>
        <v>421010</v>
      </c>
      <c r="B183" s="6">
        <v>437</v>
      </c>
      <c r="C183" s="7" t="str">
        <f t="shared" si="6"/>
        <v>Premium4</v>
      </c>
      <c r="D183" s="7" t="str">
        <f t="shared" si="7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忘却者 カカシ</v>
      </c>
      <c r="I183" s="7" t="str">
        <f>VLOOKUP(B183,[1]characters!$A:$J,10,FALSE)</f>
        <v>PremiumS</v>
      </c>
      <c r="J183" s="7">
        <f>VLOOKUP(B183,[1]characters!$A:$I,9,FALSE)</f>
        <v>4</v>
      </c>
      <c r="K183" s="7" t="str">
        <f>VLOOKUP(B183,[1]characters!$A:$H,8,FALSE)</f>
        <v>green</v>
      </c>
      <c r="L183" s="7" t="str">
        <f>VLOOKUP(B183,[1]characters!$A:$K,11,FALSE)</f>
        <v>technical</v>
      </c>
      <c r="M183" s="7" t="str">
        <f>VLOOKUP(B183,[1]characters!$A:$M,13,FALSE)</f>
        <v>human</v>
      </c>
      <c r="N183" s="7" t="str">
        <f>VLOOKUP(B183,[1]characters!$A:$G,7,FALSE)</f>
        <v>男性</v>
      </c>
      <c r="O183" s="45">
        <f ca="1">IFERROR(VLOOKUP(B183,input_421010!L:R,7,FALSE),VLOOKUP(tables_421010!C179,input_421010!A:H,8,FALSE))</f>
        <v>466650</v>
      </c>
      <c r="P183" s="46">
        <f t="shared" ca="1" si="8"/>
        <v>5.2421283794290277E-3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input_421010!A$2</f>
        <v>421010</v>
      </c>
      <c r="B184" s="6">
        <v>438</v>
      </c>
      <c r="C184" s="7" t="str">
        <f t="shared" si="6"/>
        <v>Premium5</v>
      </c>
      <c r="D184" s="7" t="str">
        <f t="shared" si="7"/>
        <v>Premium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記憶の奪還 カカシ</v>
      </c>
      <c r="I184" s="7" t="str">
        <f>VLOOKUP(B184,[1]characters!$A:$J,10,FALSE)</f>
        <v>PremiumS</v>
      </c>
      <c r="J184" s="7">
        <f>VLOOKUP(B184,[1]characters!$A:$I,9,FALSE)</f>
        <v>5</v>
      </c>
      <c r="K184" s="7" t="str">
        <f>VLOOKUP(B184,[1]characters!$A:$H,8,FALSE)</f>
        <v>green</v>
      </c>
      <c r="L184" s="7" t="str">
        <f>VLOOKUP(B184,[1]characters!$A:$K,11,FALSE)</f>
        <v>technical</v>
      </c>
      <c r="M184" s="7" t="str">
        <f>VLOOKUP(B184,[1]characters!$A:$M,13,FALSE)</f>
        <v>human</v>
      </c>
      <c r="N184" s="7" t="str">
        <f>VLOOKUP(B184,[1]characters!$A:$G,7,FALSE)</f>
        <v>男性</v>
      </c>
      <c r="O184" s="45">
        <f ca="1">IFERROR(VLOOKUP(B184,input_421010!L:R,7,FALSE),VLOOKUP(tables_421010!C180,input_421010!A:H,8,FALSE))</f>
        <v>408201.05768999999</v>
      </c>
      <c r="P184" s="46">
        <f t="shared" ca="1" si="8"/>
        <v>4.5855402315004706E-3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input_421010!A$2</f>
        <v>421010</v>
      </c>
      <c r="B185" s="6">
        <v>439</v>
      </c>
      <c r="C185" s="7" t="str">
        <f t="shared" si="6"/>
        <v>Premium3</v>
      </c>
      <c r="D185" s="7" t="str">
        <f t="shared" si="7"/>
        <v>Premium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ブリキロガー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blue</v>
      </c>
      <c r="L185" s="7" t="str">
        <f>VLOOKUP(B185,[1]characters!$A:$K,11,FALSE)</f>
        <v>attack</v>
      </c>
      <c r="M185" s="7" t="str">
        <f>VLOOKUP(B185,[1]characters!$A:$M,13,FALSE)</f>
        <v>machine</v>
      </c>
      <c r="N185" s="7" t="str">
        <f>VLOOKUP(B185,[1]characters!$A:$G,7,FALSE)</f>
        <v>不明</v>
      </c>
      <c r="O185" s="45">
        <f ca="1">IFERROR(VLOOKUP(B185,input_421010!L:R,7,FALSE),VLOOKUP(tables_421010!C181,input_421010!A:H,8,FALSE))</f>
        <v>3716.5384600000002</v>
      </c>
      <c r="P185" s="46">
        <f t="shared" ca="1" si="8"/>
        <v>4.1749859068692718E-5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input_421010!A$2</f>
        <v>421010</v>
      </c>
      <c r="B186" s="6">
        <v>440</v>
      </c>
      <c r="C186" s="7" t="str">
        <f t="shared" si="6"/>
        <v>Premium4</v>
      </c>
      <c r="D186" s="7" t="str">
        <f t="shared" si="7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改良型 ブリキロガー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blue</v>
      </c>
      <c r="L186" s="7" t="str">
        <f>VLOOKUP(B186,[1]characters!$A:$K,11,FALSE)</f>
        <v>attack</v>
      </c>
      <c r="M186" s="7" t="str">
        <f>VLOOKUP(B186,[1]characters!$A:$M,13,FALSE)</f>
        <v>machine</v>
      </c>
      <c r="N186" s="7" t="str">
        <f>VLOOKUP(B186,[1]characters!$A:$G,7,FALSE)</f>
        <v>不明</v>
      </c>
      <c r="O186" s="45">
        <f ca="1">IFERROR(VLOOKUP(B186,input_421010!L:R,7,FALSE),VLOOKUP(tables_421010!C182,input_421010!A:H,8,FALSE))</f>
        <v>466650</v>
      </c>
      <c r="P186" s="46">
        <f t="shared" ca="1" si="8"/>
        <v>5.2421283794290277E-3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input_421010!A$2</f>
        <v>421010</v>
      </c>
      <c r="B187" s="6">
        <v>441</v>
      </c>
      <c r="C187" s="7" t="str">
        <f t="shared" si="6"/>
        <v>Premium5</v>
      </c>
      <c r="D187" s="7" t="str">
        <f t="shared" si="7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求心の錻装 ブリキロガー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blue</v>
      </c>
      <c r="L187" s="7" t="str">
        <f>VLOOKUP(B187,[1]characters!$A:$K,11,FALSE)</f>
        <v>attack</v>
      </c>
      <c r="M187" s="7" t="str">
        <f>VLOOKUP(B187,[1]characters!$A:$M,13,FALSE)</f>
        <v>machine</v>
      </c>
      <c r="N187" s="7" t="str">
        <f>VLOOKUP(B187,[1]characters!$A:$G,7,FALSE)</f>
        <v>不明</v>
      </c>
      <c r="O187" s="45">
        <f ca="1">IFERROR(VLOOKUP(B187,input_421010!L:R,7,FALSE),VLOOKUP(tables_421010!C183,input_421010!A:H,8,FALSE))</f>
        <v>408201.05768999999</v>
      </c>
      <c r="P187" s="46">
        <f t="shared" ca="1" si="8"/>
        <v>4.5855402315004706E-3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input_421010!A$2</f>
        <v>421010</v>
      </c>
      <c r="B188" s="8">
        <v>462</v>
      </c>
      <c r="C188" s="7" t="str">
        <f t="shared" si="6"/>
        <v>Premium3</v>
      </c>
      <c r="D188" s="7" t="str">
        <f t="shared" si="7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ガウェイン</v>
      </c>
      <c r="I188" s="7" t="str">
        <f>VLOOKUP(B188,[1]characters!$A:$J,10,FALSE)</f>
        <v>PremiumS</v>
      </c>
      <c r="J188" s="7">
        <f>VLOOKUP(B188,[1]characters!$A:$I,9,FALSE)</f>
        <v>3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IFERROR(VLOOKUP(B188,input_421010!L:R,7,FALSE),VLOOKUP(tables_421010!C186,input_421010!A:H,8,FALSE))</f>
        <v>408201.05768999999</v>
      </c>
      <c r="P188" s="46">
        <f t="shared" ca="1" si="8"/>
        <v>4.5855402315004706E-3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input_421010!A$2</f>
        <v>421010</v>
      </c>
      <c r="B189" s="8">
        <v>463</v>
      </c>
      <c r="C189" s="7" t="str">
        <f t="shared" si="6"/>
        <v>Premium4</v>
      </c>
      <c r="D189" s="7" t="str">
        <f t="shared" si="7"/>
        <v>Premium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燻銀 ガウェイン</v>
      </c>
      <c r="I189" s="7" t="str">
        <f>VLOOKUP(B189,[1]characters!$A:$J,10,FALSE)</f>
        <v>PremiumS</v>
      </c>
      <c r="J189" s="7">
        <f>VLOOKUP(B189,[1]characters!$A:$I,9,FALSE)</f>
        <v>4</v>
      </c>
      <c r="K189" s="7" t="str">
        <f>VLOOKUP(B189,[1]characters!$A:$H,8,FALSE)</f>
        <v>red</v>
      </c>
      <c r="L189" s="7" t="str">
        <f>VLOOKUP(B189,[1]characters!$A:$K,11,FALSE)</f>
        <v>hp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IFERROR(VLOOKUP(B189,input_421010!L:R,7,FALSE),VLOOKUP(tables_421010!C187,input_421010!A:H,8,FALSE))</f>
        <v>3716.5384600000002</v>
      </c>
      <c r="P189" s="46">
        <f t="shared" ca="1" si="8"/>
        <v>4.1749859068692718E-5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input_421010!A$2</f>
        <v>421010</v>
      </c>
      <c r="B190" s="8">
        <v>464</v>
      </c>
      <c r="C190" s="7" t="str">
        <f t="shared" si="6"/>
        <v>Premium5</v>
      </c>
      <c r="D190" s="7" t="str">
        <f t="shared" si="7"/>
        <v>Premium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円熟の弾導 ガウェイン</v>
      </c>
      <c r="I190" s="7" t="str">
        <f>VLOOKUP(B190,[1]characters!$A:$J,10,FALSE)</f>
        <v>PremiumS</v>
      </c>
      <c r="J190" s="7">
        <f>VLOOKUP(B190,[1]characters!$A:$I,9,FALSE)</f>
        <v>5</v>
      </c>
      <c r="K190" s="7" t="str">
        <f>VLOOKUP(B190,[1]characters!$A:$H,8,FALSE)</f>
        <v>red</v>
      </c>
      <c r="L190" s="7" t="str">
        <f>VLOOKUP(B190,[1]characters!$A:$K,11,FALSE)</f>
        <v>hp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IFERROR(VLOOKUP(B190,input_421010!L:R,7,FALSE),VLOOKUP(tables_421010!C188,input_421010!A:H,8,FALSE))</f>
        <v>466650</v>
      </c>
      <c r="P190" s="46">
        <f t="shared" ca="1" si="8"/>
        <v>5.2421283794290277E-3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input_421010!A$2</f>
        <v>421010</v>
      </c>
      <c r="B191" s="6">
        <v>469</v>
      </c>
      <c r="C191" s="7" t="str">
        <f t="shared" si="6"/>
        <v>Premium3</v>
      </c>
      <c r="D191" s="7" t="str">
        <f t="shared" si="7"/>
        <v>Premium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トリスタン</v>
      </c>
      <c r="I191" s="7" t="str">
        <f>VLOOKUP(B191,[1]characters!$A:$J,10,FALSE)</f>
        <v>PremiumS</v>
      </c>
      <c r="J191" s="7">
        <f>VLOOKUP(B191,[1]characters!$A:$I,9,FALSE)</f>
        <v>3</v>
      </c>
      <c r="K191" s="7" t="str">
        <f>VLOOKUP(B191,[1]characters!$A:$H,8,FALSE)</f>
        <v>yellow</v>
      </c>
      <c r="L191" s="7" t="str">
        <f>VLOOKUP(B191,[1]characters!$A:$K,11,FALSE)</f>
        <v>attack</v>
      </c>
      <c r="M191" s="7" t="str">
        <f>VLOOKUP(B191,[1]characters!$A:$M,13,FALSE)</f>
        <v>human</v>
      </c>
      <c r="N191" s="7" t="str">
        <f>VLOOKUP(B191,[1]characters!$A:$G,7,FALSE)</f>
        <v>男性</v>
      </c>
      <c r="O191" s="45">
        <f ca="1">IFERROR(VLOOKUP(B191,input_421010!L:R,7,FALSE),VLOOKUP(tables_421010!C193,input_421010!A:H,8,FALSE))</f>
        <v>3716.5384600000002</v>
      </c>
      <c r="P191" s="46">
        <f t="shared" ca="1" si="8"/>
        <v>4.1749859068692718E-5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input_421010!A$2</f>
        <v>421010</v>
      </c>
      <c r="B192" s="6">
        <v>470</v>
      </c>
      <c r="C192" s="7" t="str">
        <f t="shared" si="6"/>
        <v>Premium4</v>
      </c>
      <c r="D192" s="7" t="str">
        <f t="shared" si="7"/>
        <v>Premium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純心 トリスタン</v>
      </c>
      <c r="I192" s="7" t="str">
        <f>VLOOKUP(B192,[1]characters!$A:$J,10,FALSE)</f>
        <v>PremiumS</v>
      </c>
      <c r="J192" s="7">
        <f>VLOOKUP(B192,[1]characters!$A:$I,9,FALSE)</f>
        <v>4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IFERROR(VLOOKUP(B192,input_421010!L:R,7,FALSE),VLOOKUP(tables_421010!C194,input_421010!A:H,8,FALSE))</f>
        <v>466650</v>
      </c>
      <c r="P192" s="46">
        <f t="shared" ca="1" si="8"/>
        <v>5.2421283794290277E-3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input_421010!A$2</f>
        <v>421010</v>
      </c>
      <c r="B193" s="6">
        <v>471</v>
      </c>
      <c r="C193" s="7" t="str">
        <f t="shared" si="6"/>
        <v>Premium5</v>
      </c>
      <c r="D193" s="7" t="str">
        <f t="shared" si="7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不可避の爆激 トリスタン</v>
      </c>
      <c r="I193" s="7" t="str">
        <f>VLOOKUP(B193,[1]characters!$A:$J,10,FALSE)</f>
        <v>PremiumS</v>
      </c>
      <c r="J193" s="7">
        <f>VLOOKUP(B193,[1]characters!$A:$I,9,FALSE)</f>
        <v>5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IFERROR(VLOOKUP(B193,input_421010!L:R,7,FALSE),VLOOKUP(tables_421010!C195,input_421010!A:H,8,FALSE))</f>
        <v>408201.05768999999</v>
      </c>
      <c r="P193" s="46">
        <f t="shared" ca="1" si="8"/>
        <v>4.5855402315004706E-3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input_421010!A$2</f>
        <v>421010</v>
      </c>
      <c r="B194" s="6">
        <v>476</v>
      </c>
      <c r="C194" s="7" t="str">
        <f t="shared" ref="C194:C257" si="9">D194&amp;J194&amp;E194&amp;F194&amp;G194</f>
        <v>Premium3</v>
      </c>
      <c r="D194" s="7" t="str">
        <f t="shared" ref="D194:D257" si="10">IF(OR(I194="PremiumSS",I194="PremiumSSw"),"PremiumSS",IF(I194="PremiumSSS",I194,IF(I194="PremiumW",I194,"Premium")))</f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ファータ</v>
      </c>
      <c r="I194" s="7" t="str">
        <f>VLOOKUP(B194,[1]characters!$A:$J,10,FALSE)</f>
        <v>PremiumS</v>
      </c>
      <c r="J194" s="7">
        <f>VLOOKUP(B194,[1]characters!$A:$I,9,FALSE)</f>
        <v>3</v>
      </c>
      <c r="K194" s="7" t="str">
        <f>VLOOKUP(B194,[1]characters!$A:$H,8,FALSE)</f>
        <v>green</v>
      </c>
      <c r="L194" s="7" t="str">
        <f>VLOOKUP(B194,[1]characters!$A:$K,11,FALSE)</f>
        <v>heal</v>
      </c>
      <c r="M194" s="7" t="str">
        <f>VLOOKUP(B194,[1]characters!$A:$M,13,FALSE)</f>
        <v>unknown</v>
      </c>
      <c r="N194" s="7" t="str">
        <f>VLOOKUP(B194,[1]characters!$A:$G,7,FALSE)</f>
        <v>女性</v>
      </c>
      <c r="O194" s="45">
        <f ca="1">IFERROR(VLOOKUP(B194,input_421010!L:R,7,FALSE),VLOOKUP(tables_421010!C198,input_421010!A:H,8,FALSE))</f>
        <v>408201.05768999999</v>
      </c>
      <c r="P194" s="46">
        <f t="shared" ref="P194:P257" ca="1" si="11">O194/SUM(O:O)</f>
        <v>4.5855402315004706E-3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input_421010!A$2</f>
        <v>421010</v>
      </c>
      <c r="B195" s="6">
        <v>477</v>
      </c>
      <c r="C195" s="7" t="str">
        <f t="shared" si="9"/>
        <v>Premium4</v>
      </c>
      <c r="D195" s="7" t="str">
        <f t="shared" si="10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愛羽妖精 ファータ</v>
      </c>
      <c r="I195" s="7" t="str">
        <f>VLOOKUP(B195,[1]characters!$A:$J,10,FALSE)</f>
        <v>PremiumS</v>
      </c>
      <c r="J195" s="7">
        <f>VLOOKUP(B195,[1]characters!$A:$I,9,FALSE)</f>
        <v>4</v>
      </c>
      <c r="K195" s="7" t="str">
        <f>VLOOKUP(B195,[1]characters!$A:$H,8,FALSE)</f>
        <v>green</v>
      </c>
      <c r="L195" s="7" t="str">
        <f>VLOOKUP(B195,[1]characters!$A:$K,11,FALSE)</f>
        <v>heal</v>
      </c>
      <c r="M195" s="7" t="str">
        <f>VLOOKUP(B195,[1]characters!$A:$M,13,FALSE)</f>
        <v>unknown</v>
      </c>
      <c r="N195" s="7" t="str">
        <f>VLOOKUP(B195,[1]characters!$A:$G,7,FALSE)</f>
        <v>女性</v>
      </c>
      <c r="O195" s="45">
        <f ca="1">IFERROR(VLOOKUP(B195,input_421010!L:R,7,FALSE),VLOOKUP(tables_421010!C199,input_421010!A:H,8,FALSE))</f>
        <v>3716.5384600000002</v>
      </c>
      <c r="P195" s="46">
        <f t="shared" ca="1" si="11"/>
        <v>4.1749859068692718E-5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input_421010!A$2</f>
        <v>421010</v>
      </c>
      <c r="B196" s="6">
        <v>478</v>
      </c>
      <c r="C196" s="7" t="str">
        <f t="shared" si="9"/>
        <v>Premium5</v>
      </c>
      <c r="D196" s="7" t="str">
        <f t="shared" si="10"/>
        <v>Premium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時計仕掛けの愛羽妖精 ファータ</v>
      </c>
      <c r="I196" s="7" t="str">
        <f>VLOOKUP(B196,[1]characters!$A:$J,10,FALSE)</f>
        <v>PremiumS</v>
      </c>
      <c r="J196" s="7">
        <f>VLOOKUP(B196,[1]characters!$A:$I,9,FALSE)</f>
        <v>5</v>
      </c>
      <c r="K196" s="7" t="str">
        <f>VLOOKUP(B196,[1]characters!$A:$H,8,FALSE)</f>
        <v>green</v>
      </c>
      <c r="L196" s="7" t="str">
        <f>VLOOKUP(B196,[1]characters!$A:$K,11,FALSE)</f>
        <v>heal</v>
      </c>
      <c r="M196" s="7" t="str">
        <f>VLOOKUP(B196,[1]characters!$A:$M,13,FALSE)</f>
        <v>unknown</v>
      </c>
      <c r="N196" s="7" t="str">
        <f>VLOOKUP(B196,[1]characters!$A:$G,7,FALSE)</f>
        <v>女性</v>
      </c>
      <c r="O196" s="45">
        <f ca="1">IFERROR(VLOOKUP(B196,input_421010!L:R,7,FALSE),VLOOKUP(tables_421010!C200,input_421010!A:H,8,FALSE))</f>
        <v>466650</v>
      </c>
      <c r="P196" s="46">
        <f t="shared" ca="1" si="11"/>
        <v>5.2421283794290277E-3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input_421010!A$2</f>
        <v>421010</v>
      </c>
      <c r="B197" s="6">
        <v>481</v>
      </c>
      <c r="C197" s="7" t="str">
        <f t="shared" si="9"/>
        <v>Premium3</v>
      </c>
      <c r="D197" s="7" t="str">
        <f t="shared" si="10"/>
        <v>Premium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沢庵宗彭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yellow</v>
      </c>
      <c r="L197" s="7" t="str">
        <f>VLOOKUP(B197,[1]characters!$A:$K,11,FALSE)</f>
        <v>hp</v>
      </c>
      <c r="M197" s="7" t="str">
        <f>VLOOKUP(B197,[1]characters!$A:$M,13,FALSE)</f>
        <v>human</v>
      </c>
      <c r="N197" s="7" t="str">
        <f>VLOOKUP(B197,[1]characters!$A:$G,7,FALSE)</f>
        <v>男性</v>
      </c>
      <c r="O197" s="45">
        <f ca="1">IFERROR(VLOOKUP(B197,input_421010!L:R,7,FALSE),VLOOKUP(tables_421010!C203,input_421010!A:H,8,FALSE))</f>
        <v>466650</v>
      </c>
      <c r="P197" s="46">
        <f t="shared" ca="1" si="11"/>
        <v>5.2421283794290277E-3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input_421010!A$2</f>
        <v>421010</v>
      </c>
      <c r="B198" s="6">
        <v>482</v>
      </c>
      <c r="C198" s="7" t="str">
        <f t="shared" si="9"/>
        <v>Premium4</v>
      </c>
      <c r="D198" s="7" t="str">
        <f t="shared" si="10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魁僧 沢庵宗彭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yellow</v>
      </c>
      <c r="L198" s="7" t="str">
        <f>VLOOKUP(B198,[1]characters!$A:$K,11,FALSE)</f>
        <v>hp</v>
      </c>
      <c r="M198" s="7" t="str">
        <f>VLOOKUP(B198,[1]characters!$A:$M,13,FALSE)</f>
        <v>human</v>
      </c>
      <c r="N198" s="7" t="str">
        <f>VLOOKUP(B198,[1]characters!$A:$G,7,FALSE)</f>
        <v>男性</v>
      </c>
      <c r="O198" s="45">
        <f ca="1">IFERROR(VLOOKUP(B198,input_421010!L:R,7,FALSE),VLOOKUP(tables_421010!C204,input_421010!A:H,8,FALSE))</f>
        <v>408201.05768999999</v>
      </c>
      <c r="P198" s="46">
        <f t="shared" ca="1" si="11"/>
        <v>4.5855402315004706E-3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input_421010!A$2</f>
        <v>421010</v>
      </c>
      <c r="B199" s="6">
        <v>483</v>
      </c>
      <c r="C199" s="7" t="str">
        <f t="shared" si="9"/>
        <v>Premium5</v>
      </c>
      <c r="D199" s="7" t="str">
        <f t="shared" si="10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 xml:space="preserve">命経死遂 沢庵宗彭 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yellow</v>
      </c>
      <c r="L199" s="7" t="str">
        <f>VLOOKUP(B199,[1]characters!$A:$K,11,FALSE)</f>
        <v>hp</v>
      </c>
      <c r="M199" s="7" t="str">
        <f>VLOOKUP(B199,[1]characters!$A:$M,13,FALSE)</f>
        <v>human</v>
      </c>
      <c r="N199" s="7" t="str">
        <f>VLOOKUP(B199,[1]characters!$A:$G,7,FALSE)</f>
        <v>男性</v>
      </c>
      <c r="O199" s="45">
        <f ca="1">IFERROR(VLOOKUP(B199,input_421010!L:R,7,FALSE),VLOOKUP(tables_421010!C205,input_421010!A:H,8,FALSE))</f>
        <v>3716.5384600000002</v>
      </c>
      <c r="P199" s="46">
        <f t="shared" ca="1" si="11"/>
        <v>4.1749859068692718E-5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input_421010!A$2</f>
        <v>421010</v>
      </c>
      <c r="B200" s="6">
        <v>496</v>
      </c>
      <c r="C200" s="7" t="str">
        <f t="shared" si="9"/>
        <v>Premium3</v>
      </c>
      <c r="D200" s="7" t="str">
        <f t="shared" si="10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エスタブ</v>
      </c>
      <c r="I200" s="7" t="str">
        <f>VLOOKUP(B200,[1]characters!$A:$J,10,FALSE)</f>
        <v>PremiumS</v>
      </c>
      <c r="J200" s="7">
        <f>VLOOKUP(B200,[1]characters!$A:$I,9,FALSE)</f>
        <v>3</v>
      </c>
      <c r="K200" s="7" t="str">
        <f>VLOOKUP(B200,[1]characters!$A:$H,8,FALSE)</f>
        <v>blue</v>
      </c>
      <c r="L200" s="7" t="str">
        <f>VLOOKUP(B200,[1]characters!$A:$K,11,FALSE)</f>
        <v>attack</v>
      </c>
      <c r="M200" s="7" t="str">
        <f>VLOOKUP(B200,[1]characters!$A:$M,13,FALSE)</f>
        <v>human</v>
      </c>
      <c r="N200" s="7" t="str">
        <f>VLOOKUP(B200,[1]characters!$A:$G,7,FALSE)</f>
        <v>男性</v>
      </c>
      <c r="O200" s="45">
        <f ca="1">IFERROR(VLOOKUP(B200,input_421010!L:R,7,FALSE),VLOOKUP(tables_421010!C210,input_421010!A:H,8,FALSE))</f>
        <v>408201.05768999999</v>
      </c>
      <c r="P200" s="46">
        <f t="shared" ca="1" si="11"/>
        <v>4.5855402315004706E-3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input_421010!A$2</f>
        <v>421010</v>
      </c>
      <c r="B201" s="6">
        <v>497</v>
      </c>
      <c r="C201" s="7" t="str">
        <f t="shared" si="9"/>
        <v>Premium4</v>
      </c>
      <c r="D201" s="7" t="str">
        <f t="shared" si="10"/>
        <v>Premium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偏愛の野獣 エスタブ</v>
      </c>
      <c r="I201" s="7" t="str">
        <f>VLOOKUP(B201,[1]characters!$A:$J,10,FALSE)</f>
        <v>PremiumS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attack</v>
      </c>
      <c r="M201" s="7" t="str">
        <f>VLOOKUP(B201,[1]characters!$A:$M,13,FALSE)</f>
        <v>human</v>
      </c>
      <c r="N201" s="7" t="str">
        <f>VLOOKUP(B201,[1]characters!$A:$G,7,FALSE)</f>
        <v>男性</v>
      </c>
      <c r="O201" s="45">
        <f ca="1">IFERROR(VLOOKUP(B201,input_421010!L:R,7,FALSE),VLOOKUP(tables_421010!C211,input_421010!A:H,8,FALSE))</f>
        <v>3716.5384600000002</v>
      </c>
      <c r="P201" s="46">
        <f t="shared" ca="1" si="11"/>
        <v>4.1749859068692718E-5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input_421010!A$2</f>
        <v>421010</v>
      </c>
      <c r="B202" s="6">
        <v>498</v>
      </c>
      <c r="C202" s="7" t="str">
        <f t="shared" si="9"/>
        <v>Premium5</v>
      </c>
      <c r="D202" s="7" t="str">
        <f t="shared" si="10"/>
        <v>Premium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自愛の高魔 エスタブ</v>
      </c>
      <c r="I202" s="7" t="str">
        <f>VLOOKUP(B202,[1]characters!$A:$J,10,FALSE)</f>
        <v>PremiumS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attack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IFERROR(VLOOKUP(B202,input_421010!L:R,7,FALSE),VLOOKUP(tables_421010!C212,input_421010!A:H,8,FALSE))</f>
        <v>466650</v>
      </c>
      <c r="P202" s="46">
        <f t="shared" ca="1" si="11"/>
        <v>5.2421283794290277E-3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input_421010!A$2</f>
        <v>421010</v>
      </c>
      <c r="B203" s="6">
        <v>588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ニーベルゲン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green</v>
      </c>
      <c r="L203" s="7" t="str">
        <f>VLOOKUP(B203,[1]characters!$A:$K,11,FALSE)</f>
        <v>balance</v>
      </c>
      <c r="M203" s="7" t="str">
        <f>VLOOKUP(B203,[1]characters!$A:$M,13,FALSE)</f>
        <v>unknown</v>
      </c>
      <c r="N203" s="7" t="str">
        <f>VLOOKUP(B203,[1]characters!$A:$G,7,FALSE)</f>
        <v>女性</v>
      </c>
      <c r="O203" s="45">
        <f ca="1">IFERROR(VLOOKUP(B203,input_421010!L:R,7,FALSE),VLOOKUP(tables_421010!C217,input_421010!A:H,8,FALSE))</f>
        <v>3716.5384600000002</v>
      </c>
      <c r="P203" s="46">
        <f t="shared" ca="1" si="11"/>
        <v>4.1749859068692718E-5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input_421010!A$2</f>
        <v>421010</v>
      </c>
      <c r="B204" s="6">
        <v>589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不幸の円環 ニーベルゲン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green</v>
      </c>
      <c r="L204" s="7" t="str">
        <f>VLOOKUP(B204,[1]characters!$A:$K,11,FALSE)</f>
        <v>balance</v>
      </c>
      <c r="M204" s="7" t="str">
        <f>VLOOKUP(B204,[1]characters!$A:$M,13,FALSE)</f>
        <v>unknown</v>
      </c>
      <c r="N204" s="7" t="str">
        <f>VLOOKUP(B204,[1]characters!$A:$G,7,FALSE)</f>
        <v>女性</v>
      </c>
      <c r="O204" s="45">
        <f ca="1">IFERROR(VLOOKUP(B204,input_421010!L:R,7,FALSE),VLOOKUP(tables_421010!C218,input_421010!A:H,8,FALSE))</f>
        <v>466650</v>
      </c>
      <c r="P204" s="46">
        <f t="shared" ca="1" si="11"/>
        <v>5.2421283794290277E-3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input_421010!A$2</f>
        <v>421010</v>
      </c>
      <c r="B205" s="6">
        <v>590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>永遠を廻る呪い ニーベルゲン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green</v>
      </c>
      <c r="L205" s="7" t="str">
        <f>VLOOKUP(B205,[1]characters!$A:$K,11,FALSE)</f>
        <v>balance</v>
      </c>
      <c r="M205" s="7" t="str">
        <f>VLOOKUP(B205,[1]characters!$A:$M,13,FALSE)</f>
        <v>unknown</v>
      </c>
      <c r="N205" s="7" t="str">
        <f>VLOOKUP(B205,[1]characters!$A:$G,7,FALSE)</f>
        <v>女性</v>
      </c>
      <c r="O205" s="45">
        <f ca="1">IFERROR(VLOOKUP(B205,input_421010!L:R,7,FALSE),VLOOKUP(tables_421010!C219,input_421010!A:H,8,FALSE))</f>
        <v>408201.05768999999</v>
      </c>
      <c r="P205" s="46">
        <f t="shared" ca="1" si="11"/>
        <v>4.5855402315004706E-3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input_421010!A$2</f>
        <v>421010</v>
      </c>
      <c r="B206" s="6">
        <v>591</v>
      </c>
      <c r="C206" s="7" t="str">
        <f t="shared" si="9"/>
        <v>Premium3</v>
      </c>
      <c r="D206" s="7" t="str">
        <f t="shared" si="10"/>
        <v>Premium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ファフニール</v>
      </c>
      <c r="I206" s="7" t="str">
        <f>VLOOKUP(B206,[1]characters!$A:$J,10,FALSE)</f>
        <v>PremiumS</v>
      </c>
      <c r="J206" s="7">
        <f>VLOOKUP(B206,[1]characters!$A:$I,9,FALSE)</f>
        <v>3</v>
      </c>
      <c r="K206" s="7" t="str">
        <f>VLOOKUP(B206,[1]characters!$A:$H,8,FALSE)</f>
        <v>blue</v>
      </c>
      <c r="L206" s="7" t="str">
        <f>VLOOKUP(B206,[1]characters!$A:$K,11,FALSE)</f>
        <v>technical</v>
      </c>
      <c r="M206" s="7" t="str">
        <f>VLOOKUP(B206,[1]characters!$A:$M,13,FALSE)</f>
        <v>dragon</v>
      </c>
      <c r="N206" s="7" t="str">
        <f>VLOOKUP(B206,[1]characters!$A:$G,7,FALSE)</f>
        <v>不明</v>
      </c>
      <c r="O206" s="45">
        <f ca="1">IFERROR(VLOOKUP(B206,input_421010!L:R,7,FALSE),VLOOKUP(tables_421010!C220,input_421010!A:H,8,FALSE))</f>
        <v>3716.5384600000002</v>
      </c>
      <c r="P206" s="46">
        <f t="shared" ca="1" si="11"/>
        <v>4.1749859068692718E-5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input_421010!A$2</f>
        <v>421010</v>
      </c>
      <c r="B207" s="6">
        <v>592</v>
      </c>
      <c r="C207" s="7" t="str">
        <f t="shared" si="9"/>
        <v>Premium4</v>
      </c>
      <c r="D207" s="7" t="str">
        <f t="shared" si="10"/>
        <v>Premium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財宝への執着 ファフニール</v>
      </c>
      <c r="I207" s="7" t="str">
        <f>VLOOKUP(B207,[1]characters!$A:$J,10,FALSE)</f>
        <v>PremiumS</v>
      </c>
      <c r="J207" s="7">
        <f>VLOOKUP(B207,[1]characters!$A:$I,9,FALSE)</f>
        <v>4</v>
      </c>
      <c r="K207" s="7" t="str">
        <f>VLOOKUP(B207,[1]characters!$A:$H,8,FALSE)</f>
        <v>blue</v>
      </c>
      <c r="L207" s="7" t="str">
        <f>VLOOKUP(B207,[1]characters!$A:$K,11,FALSE)</f>
        <v>technical</v>
      </c>
      <c r="M207" s="7" t="str">
        <f>VLOOKUP(B207,[1]characters!$A:$M,13,FALSE)</f>
        <v>dragon</v>
      </c>
      <c r="N207" s="7" t="str">
        <f>VLOOKUP(B207,[1]characters!$A:$G,7,FALSE)</f>
        <v>不明</v>
      </c>
      <c r="O207" s="45">
        <f ca="1">IFERROR(VLOOKUP(B207,input_421010!L:R,7,FALSE),VLOOKUP(tables_421010!C221,input_421010!A:H,8,FALSE))</f>
        <v>466650</v>
      </c>
      <c r="P207" s="46">
        <f t="shared" ca="1" si="11"/>
        <v>5.2421283794290277E-3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input_421010!A$2</f>
        <v>421010</v>
      </c>
      <c r="B208" s="6">
        <v>593</v>
      </c>
      <c r="C208" s="7" t="str">
        <f t="shared" si="9"/>
        <v>Premium5</v>
      </c>
      <c r="D208" s="7" t="str">
        <f t="shared" si="10"/>
        <v>Premium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妄執する邪毒龍 ファフニール</v>
      </c>
      <c r="I208" s="7" t="str">
        <f>VLOOKUP(B208,[1]characters!$A:$J,10,FALSE)</f>
        <v>PremiumS</v>
      </c>
      <c r="J208" s="7">
        <f>VLOOKUP(B208,[1]characters!$A:$I,9,FALSE)</f>
        <v>5</v>
      </c>
      <c r="K208" s="7" t="str">
        <f>VLOOKUP(B208,[1]characters!$A:$H,8,FALSE)</f>
        <v>blue</v>
      </c>
      <c r="L208" s="7" t="str">
        <f>VLOOKUP(B208,[1]characters!$A:$K,11,FALSE)</f>
        <v>technical</v>
      </c>
      <c r="M208" s="7" t="str">
        <f>VLOOKUP(B208,[1]characters!$A:$M,13,FALSE)</f>
        <v>dragon</v>
      </c>
      <c r="N208" s="7" t="str">
        <f>VLOOKUP(B208,[1]characters!$A:$G,7,FALSE)</f>
        <v>不明</v>
      </c>
      <c r="O208" s="45">
        <f ca="1">IFERROR(VLOOKUP(B208,input_421010!L:R,7,FALSE),VLOOKUP(tables_421010!C222,input_421010!A:H,8,FALSE))</f>
        <v>408201.05768999999</v>
      </c>
      <c r="P208" s="46">
        <f t="shared" ca="1" si="11"/>
        <v>4.5855402315004706E-3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input_421010!A$2</f>
        <v>421010</v>
      </c>
      <c r="B209" s="6">
        <v>596</v>
      </c>
      <c r="C209" s="7" t="str">
        <f t="shared" si="9"/>
        <v>Premium3</v>
      </c>
      <c r="D209" s="7" t="str">
        <f t="shared" si="10"/>
        <v>Premium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ムスペルヘイム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red</v>
      </c>
      <c r="L209" s="7" t="str">
        <f>VLOOKUP(B209,[1]characters!$A:$K,11,FALSE)</f>
        <v>balance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IFERROR(VLOOKUP(B209,input_421010!L:R,7,FALSE),VLOOKUP(tables_421010!C225,input_421010!A:H,8,FALSE))</f>
        <v>408201.05768999999</v>
      </c>
      <c r="P209" s="46">
        <f t="shared" ca="1" si="11"/>
        <v>4.5855402315004706E-3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input_421010!A$2</f>
        <v>421010</v>
      </c>
      <c r="B210" s="6">
        <v>597</v>
      </c>
      <c r="C210" s="7" t="str">
        <f t="shared" si="9"/>
        <v>Premium4</v>
      </c>
      <c r="D210" s="7" t="str">
        <f t="shared" si="10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灼熱の魂 ムスペルヘイム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red</v>
      </c>
      <c r="L210" s="7" t="str">
        <f>VLOOKUP(B210,[1]characters!$A:$K,11,FALSE)</f>
        <v>balance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IFERROR(VLOOKUP(B210,input_421010!L:R,7,FALSE),VLOOKUP(tables_421010!C226,input_421010!A:H,8,FALSE))</f>
        <v>3716.5384600000002</v>
      </c>
      <c r="P210" s="46">
        <f t="shared" ca="1" si="11"/>
        <v>4.1749859068692718E-5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input_421010!A$2</f>
        <v>421010</v>
      </c>
      <c r="B211" s="6">
        <v>598</v>
      </c>
      <c r="C211" s="7" t="str">
        <f t="shared" si="9"/>
        <v>Premium5</v>
      </c>
      <c r="D211" s="7" t="str">
        <f t="shared" si="10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焼燃の情熱 ムスペルヘイム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red</v>
      </c>
      <c r="L211" s="7" t="str">
        <f>VLOOKUP(B211,[1]characters!$A:$K,11,FALSE)</f>
        <v>balance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IFERROR(VLOOKUP(B211,input_421010!L:R,7,FALSE),VLOOKUP(tables_421010!C227,input_421010!A:H,8,FALSE))</f>
        <v>466650</v>
      </c>
      <c r="P211" s="46">
        <f t="shared" ca="1" si="11"/>
        <v>5.2421283794290277E-3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input_421010!A$2</f>
        <v>421010</v>
      </c>
      <c r="B212" s="6">
        <v>599</v>
      </c>
      <c r="C212" s="7" t="str">
        <f t="shared" si="9"/>
        <v>Premium3</v>
      </c>
      <c r="D212" s="7" t="str">
        <f t="shared" si="10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ニーズヘッグ</v>
      </c>
      <c r="I212" s="7" t="str">
        <f>VLOOKUP(B212,[1]characters!$A:$J,10,FALSE)</f>
        <v>PremiumS</v>
      </c>
      <c r="J212" s="7">
        <f>VLOOKUP(B212,[1]characters!$A:$I,9,FALSE)</f>
        <v>3</v>
      </c>
      <c r="K212" s="7" t="str">
        <f>VLOOKUP(B212,[1]characters!$A:$H,8,FALSE)</f>
        <v>green</v>
      </c>
      <c r="L212" s="7" t="str">
        <f>VLOOKUP(B212,[1]characters!$A:$K,11,FALSE)</f>
        <v>attack</v>
      </c>
      <c r="M212" s="7" t="str">
        <f>VLOOKUP(B212,[1]characters!$A:$M,13,FALSE)</f>
        <v>dragon</v>
      </c>
      <c r="N212" s="7" t="str">
        <f>VLOOKUP(B212,[1]characters!$A:$G,7,FALSE)</f>
        <v>不明</v>
      </c>
      <c r="O212" s="45">
        <f ca="1">IFERROR(VLOOKUP(B212,input_421010!L:R,7,FALSE),VLOOKUP(tables_421010!C228,input_421010!A:H,8,FALSE))</f>
        <v>408201.05768999999</v>
      </c>
      <c r="P212" s="46">
        <f t="shared" ca="1" si="11"/>
        <v>4.5855402315004706E-3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input_421010!A$2</f>
        <v>421010</v>
      </c>
      <c r="B213" s="6">
        <v>600</v>
      </c>
      <c r="C213" s="7" t="str">
        <f t="shared" si="9"/>
        <v>Premium4</v>
      </c>
      <c r="D213" s="7" t="str">
        <f t="shared" si="10"/>
        <v>Premium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界下に潜む蛇 ニーズヘッグ</v>
      </c>
      <c r="I213" s="7" t="str">
        <f>VLOOKUP(B213,[1]characters!$A:$J,10,FALSE)</f>
        <v>PremiumS</v>
      </c>
      <c r="J213" s="7">
        <f>VLOOKUP(B213,[1]characters!$A:$I,9,FALSE)</f>
        <v>4</v>
      </c>
      <c r="K213" s="7" t="str">
        <f>VLOOKUP(B213,[1]characters!$A:$H,8,FALSE)</f>
        <v>green</v>
      </c>
      <c r="L213" s="7" t="str">
        <f>VLOOKUP(B213,[1]characters!$A:$K,11,FALSE)</f>
        <v>attack</v>
      </c>
      <c r="M213" s="7" t="str">
        <f>VLOOKUP(B213,[1]characters!$A:$M,13,FALSE)</f>
        <v>dragon</v>
      </c>
      <c r="N213" s="7" t="str">
        <f>VLOOKUP(B213,[1]characters!$A:$G,7,FALSE)</f>
        <v>不明</v>
      </c>
      <c r="O213" s="45">
        <f ca="1">IFERROR(VLOOKUP(B213,input_421010!L:R,7,FALSE),VLOOKUP(tables_421010!C229,input_421010!A:H,8,FALSE))</f>
        <v>3716.5384600000002</v>
      </c>
      <c r="P213" s="46">
        <f t="shared" ca="1" si="11"/>
        <v>4.1749859068692718E-5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input_421010!A$2</f>
        <v>421010</v>
      </c>
      <c r="B214" s="6">
        <v>601</v>
      </c>
      <c r="C214" s="7" t="str">
        <f t="shared" si="9"/>
        <v>Premium5</v>
      </c>
      <c r="D214" s="7" t="str">
        <f t="shared" si="10"/>
        <v>Premium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界根蝕む悪食 ニーズヘッグ</v>
      </c>
      <c r="I214" s="7" t="str">
        <f>VLOOKUP(B214,[1]characters!$A:$J,10,FALSE)</f>
        <v>PremiumS</v>
      </c>
      <c r="J214" s="7">
        <f>VLOOKUP(B214,[1]characters!$A:$I,9,FALSE)</f>
        <v>5</v>
      </c>
      <c r="K214" s="7" t="str">
        <f>VLOOKUP(B214,[1]characters!$A:$H,8,FALSE)</f>
        <v>green</v>
      </c>
      <c r="L214" s="7" t="str">
        <f>VLOOKUP(B214,[1]characters!$A:$K,11,FALSE)</f>
        <v>attack</v>
      </c>
      <c r="M214" s="7" t="str">
        <f>VLOOKUP(B214,[1]characters!$A:$M,13,FALSE)</f>
        <v>dragon</v>
      </c>
      <c r="N214" s="7" t="str">
        <f>VLOOKUP(B214,[1]characters!$A:$G,7,FALSE)</f>
        <v>不明</v>
      </c>
      <c r="O214" s="45">
        <f ca="1">IFERROR(VLOOKUP(B214,input_421010!L:R,7,FALSE),VLOOKUP(tables_421010!C230,input_421010!A:H,8,FALSE))</f>
        <v>886635</v>
      </c>
      <c r="P214" s="46">
        <f t="shared" ca="1" si="11"/>
        <v>9.9600439209151532E-3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input_421010!A$2</f>
        <v>421010</v>
      </c>
      <c r="B215" s="6">
        <v>604</v>
      </c>
      <c r="C215" s="7" t="str">
        <f t="shared" si="9"/>
        <v>Premium3</v>
      </c>
      <c r="D215" s="7" t="str">
        <f t="shared" si="10"/>
        <v>Premium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バルドル</v>
      </c>
      <c r="I215" s="7" t="str">
        <f>VLOOKUP(B215,[1]characters!$A:$J,10,FALSE)</f>
        <v>PremiumS</v>
      </c>
      <c r="J215" s="7">
        <f>VLOOKUP(B215,[1]characters!$A:$I,9,FALSE)</f>
        <v>3</v>
      </c>
      <c r="K215" s="7" t="str">
        <f>VLOOKUP(B215,[1]characters!$A:$H,8,FALSE)</f>
        <v>yellow</v>
      </c>
      <c r="L215" s="7" t="str">
        <f>VLOOKUP(B215,[1]characters!$A:$K,11,FALSE)</f>
        <v>heal</v>
      </c>
      <c r="M215" s="7" t="str">
        <f>VLOOKUP(B215,[1]characters!$A:$M,13,FALSE)</f>
        <v>god</v>
      </c>
      <c r="N215" s="7" t="str">
        <f>VLOOKUP(B215,[1]characters!$A:$G,7,FALSE)</f>
        <v>男性</v>
      </c>
      <c r="O215" s="45">
        <f ca="1">IFERROR(VLOOKUP(B215,input_421010!L:R,7,FALSE),VLOOKUP(tables_421010!C233,input_421010!A:H,8,FALSE))</f>
        <v>46665</v>
      </c>
      <c r="P215" s="46">
        <f t="shared" ca="1" si="11"/>
        <v>5.2421283794290281E-4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input_421010!A$2</f>
        <v>421010</v>
      </c>
      <c r="B216" s="6">
        <v>605</v>
      </c>
      <c r="C216" s="7" t="str">
        <f t="shared" si="9"/>
        <v>Premium4</v>
      </c>
      <c r="D216" s="7" t="str">
        <f t="shared" si="10"/>
        <v>Premium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祝福される光耀 バルドル</v>
      </c>
      <c r="I216" s="7" t="str">
        <f>VLOOKUP(B216,[1]characters!$A:$J,10,FALSE)</f>
        <v>PremiumS</v>
      </c>
      <c r="J216" s="7">
        <f>VLOOKUP(B216,[1]characters!$A:$I,9,FALSE)</f>
        <v>4</v>
      </c>
      <c r="K216" s="7" t="str">
        <f>VLOOKUP(B216,[1]characters!$A:$H,8,FALSE)</f>
        <v>yellow</v>
      </c>
      <c r="L216" s="7" t="str">
        <f>VLOOKUP(B216,[1]characters!$A:$K,11,FALSE)</f>
        <v>heal</v>
      </c>
      <c r="M216" s="7" t="str">
        <f>VLOOKUP(B216,[1]characters!$A:$M,13,FALSE)</f>
        <v>god</v>
      </c>
      <c r="N216" s="7" t="str">
        <f>VLOOKUP(B216,[1]characters!$A:$G,7,FALSE)</f>
        <v>男性</v>
      </c>
      <c r="O216" s="45">
        <f ca="1">IFERROR(VLOOKUP(B216,input_421010!L:R,7,FALSE),VLOOKUP(tables_421010!C234,input_421010!A:H,8,FALSE))</f>
        <v>466650</v>
      </c>
      <c r="P216" s="46">
        <f t="shared" ca="1" si="11"/>
        <v>5.2421283794290277E-3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input_421010!A$2</f>
        <v>421010</v>
      </c>
      <c r="B217" s="6">
        <v>606</v>
      </c>
      <c r="C217" s="7" t="str">
        <f t="shared" si="9"/>
        <v>Premium5</v>
      </c>
      <c r="D217" s="7" t="str">
        <f t="shared" si="10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冀望の光芒 バルドル</v>
      </c>
      <c r="I217" s="7" t="str">
        <f>VLOOKUP(B217,[1]characters!$A:$J,10,FALSE)</f>
        <v>PremiumS</v>
      </c>
      <c r="J217" s="7">
        <f>VLOOKUP(B217,[1]characters!$A:$I,9,FALSE)</f>
        <v>5</v>
      </c>
      <c r="K217" s="7" t="str">
        <f>VLOOKUP(B217,[1]characters!$A:$H,8,FALSE)</f>
        <v>yellow</v>
      </c>
      <c r="L217" s="7" t="str">
        <f>VLOOKUP(B217,[1]characters!$A:$K,11,FALSE)</f>
        <v>heal</v>
      </c>
      <c r="M217" s="7" t="str">
        <f>VLOOKUP(B217,[1]characters!$A:$M,13,FALSE)</f>
        <v>god</v>
      </c>
      <c r="N217" s="7" t="str">
        <f>VLOOKUP(B217,[1]characters!$A:$G,7,FALSE)</f>
        <v>男性</v>
      </c>
      <c r="O217" s="45">
        <f ca="1">IFERROR(VLOOKUP(B217,input_421010!L:R,7,FALSE),VLOOKUP(tables_421010!C235,input_421010!A:H,8,FALSE))</f>
        <v>408201.05768999999</v>
      </c>
      <c r="P217" s="46">
        <f t="shared" ca="1" si="11"/>
        <v>4.5855402315004706E-3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input_421010!A$2</f>
        <v>421010</v>
      </c>
      <c r="B218" s="6">
        <v>662</v>
      </c>
      <c r="C218" s="7" t="str">
        <f t="shared" si="9"/>
        <v>Premium3</v>
      </c>
      <c r="D218" s="7" t="str">
        <f t="shared" si="10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ダイダラ</v>
      </c>
      <c r="I218" s="7" t="str">
        <f>VLOOKUP(B218,[1]characters!$A:$J,10,FALSE)</f>
        <v>PremiumS</v>
      </c>
      <c r="J218" s="7">
        <f>VLOOKUP(B218,[1]characters!$A:$I,9,FALSE)</f>
        <v>3</v>
      </c>
      <c r="K218" s="7" t="str">
        <f>VLOOKUP(B218,[1]characters!$A:$H,8,FALSE)</f>
        <v>blue</v>
      </c>
      <c r="L218" s="7" t="str">
        <f>VLOOKUP(B218,[1]characters!$A:$K,11,FALSE)</f>
        <v>hp</v>
      </c>
      <c r="M218" s="7" t="str">
        <f>VLOOKUP(B218,[1]characters!$A:$M,13,FALSE)</f>
        <v>unknown</v>
      </c>
      <c r="N218" s="7" t="str">
        <f>VLOOKUP(B218,[1]characters!$A:$G,7,FALSE)</f>
        <v>不明</v>
      </c>
      <c r="O218" s="45">
        <f ca="1">IFERROR(VLOOKUP(B218,input_421010!L:R,7,FALSE),VLOOKUP(tables_421010!C240,input_421010!A:H,8,FALSE))</f>
        <v>886635</v>
      </c>
      <c r="P218" s="46">
        <f t="shared" ca="1" si="11"/>
        <v>9.9600439209151532E-3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input_421010!A$2</f>
        <v>421010</v>
      </c>
      <c r="B219" s="6">
        <v>663</v>
      </c>
      <c r="C219" s="7" t="str">
        <f t="shared" si="9"/>
        <v>Premium4</v>
      </c>
      <c r="D219" s="7" t="str">
        <f t="shared" si="10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都揺らす地響き ダイダラ</v>
      </c>
      <c r="I219" s="7" t="str">
        <f>VLOOKUP(B219,[1]characters!$A:$J,10,FALSE)</f>
        <v>PremiumS</v>
      </c>
      <c r="J219" s="7">
        <f>VLOOKUP(B219,[1]characters!$A:$I,9,FALSE)</f>
        <v>4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unknown</v>
      </c>
      <c r="N219" s="7" t="str">
        <f>VLOOKUP(B219,[1]characters!$A:$G,7,FALSE)</f>
        <v>不明</v>
      </c>
      <c r="O219" s="45">
        <f ca="1">IFERROR(VLOOKUP(B219,input_421010!L:R,7,FALSE),VLOOKUP(tables_421010!C241,input_421010!A:H,8,FALSE))</f>
        <v>46665</v>
      </c>
      <c r="P219" s="46">
        <f t="shared" ca="1" si="11"/>
        <v>5.2421283794290281E-4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input_421010!A$2</f>
        <v>421010</v>
      </c>
      <c r="B220" s="6">
        <v>664</v>
      </c>
      <c r="C220" s="7" t="str">
        <f t="shared" si="9"/>
        <v>Premium5</v>
      </c>
      <c r="D220" s="7" t="str">
        <f t="shared" si="10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山掴み国造り ダイダラ</v>
      </c>
      <c r="I220" s="7" t="str">
        <f>VLOOKUP(B220,[1]characters!$A:$J,10,FALSE)</f>
        <v>PremiumS</v>
      </c>
      <c r="J220" s="7">
        <f>VLOOKUP(B220,[1]characters!$A:$I,9,FALSE)</f>
        <v>5</v>
      </c>
      <c r="K220" s="7" t="str">
        <f>VLOOKUP(B220,[1]characters!$A:$H,8,FALSE)</f>
        <v>blue</v>
      </c>
      <c r="L220" s="7" t="str">
        <f>VLOOKUP(B220,[1]characters!$A:$K,11,FALSE)</f>
        <v>hp</v>
      </c>
      <c r="M220" s="7" t="str">
        <f>VLOOKUP(B220,[1]characters!$A:$M,13,FALSE)</f>
        <v>unknown</v>
      </c>
      <c r="N220" s="7" t="str">
        <f>VLOOKUP(B220,[1]characters!$A:$G,7,FALSE)</f>
        <v>不明</v>
      </c>
      <c r="O220" s="45">
        <f ca="1">IFERROR(VLOOKUP(B220,input_421010!L:R,7,FALSE),VLOOKUP(tables_421010!C242,input_421010!A:H,8,FALSE))</f>
        <v>886635</v>
      </c>
      <c r="P220" s="46">
        <f t="shared" ca="1" si="11"/>
        <v>9.9600439209151532E-3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input_421010!A$2</f>
        <v>421010</v>
      </c>
      <c r="B221" s="6">
        <v>665</v>
      </c>
      <c r="C221" s="7" t="str">
        <f t="shared" si="9"/>
        <v>Premium3</v>
      </c>
      <c r="D221" s="7" t="str">
        <f t="shared" si="10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座敷童子 テマリ</v>
      </c>
      <c r="I221" s="7" t="str">
        <f>VLOOKUP(B221,[1]characters!$A:$J,10,FALSE)</f>
        <v>PremiumS</v>
      </c>
      <c r="J221" s="7">
        <f>VLOOKUP(B221,[1]characters!$A:$I,9,FALSE)</f>
        <v>3</v>
      </c>
      <c r="K221" s="7" t="str">
        <f>VLOOKUP(B221,[1]characters!$A:$H,8,FALSE)</f>
        <v>yellow</v>
      </c>
      <c r="L221" s="7" t="str">
        <f>VLOOKUP(B221,[1]characters!$A:$K,11,FALSE)</f>
        <v>balance</v>
      </c>
      <c r="M221" s="7" t="str">
        <f>VLOOKUP(B221,[1]characters!$A:$M,13,FALSE)</f>
        <v>unknown</v>
      </c>
      <c r="N221" s="7" t="str">
        <f>VLOOKUP(B221,[1]characters!$A:$G,7,FALSE)</f>
        <v>女性</v>
      </c>
      <c r="O221" s="45">
        <f ca="1">IFERROR(VLOOKUP(B221,input_421010!L:R,7,FALSE),VLOOKUP(tables_421010!C243,input_421010!A:H,8,FALSE))</f>
        <v>46665</v>
      </c>
      <c r="P221" s="46">
        <f t="shared" ca="1" si="11"/>
        <v>5.2421283794290281E-4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input_421010!A$2</f>
        <v>421010</v>
      </c>
      <c r="B222" s="6">
        <v>666</v>
      </c>
      <c r="C222" s="7" t="str">
        <f t="shared" si="9"/>
        <v>Premium4</v>
      </c>
      <c r="D222" s="7" t="str">
        <f t="shared" si="10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拡散する幸福 テマリ</v>
      </c>
      <c r="I222" s="7" t="str">
        <f>VLOOKUP(B222,[1]characters!$A:$J,10,FALSE)</f>
        <v>PremiumS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balance</v>
      </c>
      <c r="M222" s="7" t="str">
        <f>VLOOKUP(B222,[1]characters!$A:$M,13,FALSE)</f>
        <v>unknown</v>
      </c>
      <c r="N222" s="7" t="str">
        <f>VLOOKUP(B222,[1]characters!$A:$G,7,FALSE)</f>
        <v>女性</v>
      </c>
      <c r="O222" s="45">
        <f ca="1">IFERROR(VLOOKUP(B222,input_421010!L:R,7,FALSE),VLOOKUP(tables_421010!C244,input_421010!A:H,8,FALSE))</f>
        <v>886635</v>
      </c>
      <c r="P222" s="46">
        <f t="shared" ca="1" si="11"/>
        <v>9.9600439209151532E-3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input_421010!A$2</f>
        <v>421010</v>
      </c>
      <c r="B223" s="6">
        <v>667</v>
      </c>
      <c r="C223" s="7" t="str">
        <f t="shared" si="9"/>
        <v>Premium5</v>
      </c>
      <c r="D223" s="7" t="str">
        <f t="shared" si="10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最幸運の妖童 テマリ</v>
      </c>
      <c r="I223" s="7" t="str">
        <f>VLOOKUP(B223,[1]characters!$A:$J,10,FALSE)</f>
        <v>PremiumS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IFERROR(VLOOKUP(B223,input_421010!L:R,7,FALSE),VLOOKUP(tables_421010!C245,input_421010!A:H,8,FALSE))</f>
        <v>46665</v>
      </c>
      <c r="P223" s="46">
        <f t="shared" ca="1" si="11"/>
        <v>5.2421283794290281E-4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input_421010!A$2</f>
        <v>421010</v>
      </c>
      <c r="B224" s="60">
        <v>668</v>
      </c>
      <c r="C224" s="7" t="str">
        <f t="shared" si="9"/>
        <v>Premium3</v>
      </c>
      <c r="D224" s="7" t="str">
        <f t="shared" si="10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アグニ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hp</v>
      </c>
      <c r="M224" s="7" t="str">
        <f>VLOOKUP(B224,[1]characters!$A:$M,13,FALSE)</f>
        <v>god</v>
      </c>
      <c r="N224" s="7" t="str">
        <f>VLOOKUP(B224,[1]characters!$A:$G,7,FALSE)</f>
        <v>男性</v>
      </c>
      <c r="O224" s="45">
        <f ca="1">IFERROR(VLOOKUP(B224,input_421010!L:R,7,FALSE),VLOOKUP(tables_421010!C246,input_421010!A:H,8,FALSE))</f>
        <v>886635</v>
      </c>
      <c r="P224" s="46">
        <f t="shared" ca="1" si="11"/>
        <v>9.9600439209151532E-3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input_421010!A$2</f>
        <v>421010</v>
      </c>
      <c r="B225" s="60">
        <v>669</v>
      </c>
      <c r="C225" s="7" t="str">
        <f t="shared" si="9"/>
        <v>Premium4</v>
      </c>
      <c r="D225" s="7" t="str">
        <f t="shared" si="10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天地の仲界 アグニ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hp</v>
      </c>
      <c r="M225" s="7" t="str">
        <f>VLOOKUP(B225,[1]characters!$A:$M,13,FALSE)</f>
        <v>god</v>
      </c>
      <c r="N225" s="7" t="str">
        <f>VLOOKUP(B225,[1]characters!$A:$G,7,FALSE)</f>
        <v>男性</v>
      </c>
      <c r="O225" s="45">
        <f ca="1">IFERROR(VLOOKUP(B225,input_421010!L:R,7,FALSE),VLOOKUP(tables_421010!C247,input_421010!A:H,8,FALSE))</f>
        <v>46665</v>
      </c>
      <c r="P225" s="46">
        <f t="shared" ca="1" si="11"/>
        <v>5.2421283794290281E-4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input_421010!A$2</f>
        <v>421010</v>
      </c>
      <c r="B226" s="60">
        <v>670</v>
      </c>
      <c r="C226" s="7" t="str">
        <f t="shared" si="9"/>
        <v>Premium5</v>
      </c>
      <c r="D226" s="7" t="str">
        <f t="shared" si="10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陽天の噴煙 アグニ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hp</v>
      </c>
      <c r="M226" s="7" t="str">
        <f>VLOOKUP(B226,[1]characters!$A:$M,13,FALSE)</f>
        <v>god</v>
      </c>
      <c r="N226" s="7" t="str">
        <f>VLOOKUP(B226,[1]characters!$A:$G,7,FALSE)</f>
        <v>男性</v>
      </c>
      <c r="O226" s="45">
        <f ca="1">IFERROR(VLOOKUP(B226,input_421010!L:R,7,FALSE),VLOOKUP(tables_421010!C248,input_421010!A:H,8,FALSE))</f>
        <v>886635</v>
      </c>
      <c r="P226" s="46">
        <f t="shared" ca="1" si="11"/>
        <v>9.9600439209151532E-3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input_421010!A$2</f>
        <v>421010</v>
      </c>
      <c r="B227" s="60">
        <v>671</v>
      </c>
      <c r="C227" s="7" t="str">
        <f t="shared" si="9"/>
        <v>Premium3</v>
      </c>
      <c r="D227" s="7" t="str">
        <f t="shared" si="10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ハヌマーン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animal</v>
      </c>
      <c r="N227" s="7" t="str">
        <f>VLOOKUP(B227,[1]characters!$A:$G,7,FALSE)</f>
        <v>男性</v>
      </c>
      <c r="O227" s="45">
        <f ca="1">IFERROR(VLOOKUP(B227,input_421010!L:R,7,FALSE),VLOOKUP(tables_421010!C249,input_421010!A:H,8,FALSE))</f>
        <v>46665</v>
      </c>
      <c r="P227" s="46">
        <f t="shared" ca="1" si="11"/>
        <v>5.2421283794290281E-4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input_421010!A$2</f>
        <v>421010</v>
      </c>
      <c r="B228" s="60">
        <v>672</v>
      </c>
      <c r="C228" s="7" t="str">
        <f t="shared" si="9"/>
        <v>Premium4</v>
      </c>
      <c r="D228" s="7" t="str">
        <f t="shared" si="10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西遊韋駄天 ハヌマーン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animal</v>
      </c>
      <c r="N228" s="7" t="str">
        <f>VLOOKUP(B228,[1]characters!$A:$G,7,FALSE)</f>
        <v>男性</v>
      </c>
      <c r="O228" s="45">
        <f ca="1">IFERROR(VLOOKUP(B228,input_421010!L:R,7,FALSE),VLOOKUP(tables_421010!C250,input_421010!A:H,8,FALSE))</f>
        <v>886635</v>
      </c>
      <c r="P228" s="46">
        <f t="shared" ca="1" si="11"/>
        <v>9.9600439209151532E-3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input_421010!A$2</f>
        <v>421010</v>
      </c>
      <c r="B229" s="60">
        <v>673</v>
      </c>
      <c r="C229" s="7" t="str">
        <f t="shared" si="9"/>
        <v>Premium5</v>
      </c>
      <c r="D229" s="7" t="str">
        <f t="shared" si="10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変幻自在の猿王 ハヌマーン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animal</v>
      </c>
      <c r="N229" s="7" t="str">
        <f>VLOOKUP(B229,[1]characters!$A:$G,7,FALSE)</f>
        <v>男性</v>
      </c>
      <c r="O229" s="45">
        <f ca="1">IFERROR(VLOOKUP(B229,input_421010!L:R,7,FALSE),VLOOKUP(tables_421010!C251,input_421010!A:H,8,FALSE))</f>
        <v>46665</v>
      </c>
      <c r="P229" s="46">
        <f t="shared" ca="1" si="11"/>
        <v>5.2421283794290281E-4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input_421010!A$2</f>
        <v>421010</v>
      </c>
      <c r="B230" s="60">
        <v>728</v>
      </c>
      <c r="C230" s="7" t="str">
        <f t="shared" si="9"/>
        <v>Premium4R3less</v>
      </c>
      <c r="D230" s="7" t="str">
        <f t="shared" si="10"/>
        <v>Premium</v>
      </c>
      <c r="E230" s="7" t="str">
        <f>IF(COUNTIF('R6追加前'!A:A,B230)=0,IF(OR(I230="PremiumSS",I230="PremiumSSw"),"R5only","R3less"),"")</f>
        <v>R3less</v>
      </c>
      <c r="F230" s="7" t="str">
        <f>IF(COUNTIF('R6開放'!A:A,B230)&gt;0,"R6release","")</f>
        <v/>
      </c>
      <c r="G230" s="7"/>
      <c r="H230" s="7" t="str">
        <f>VLOOKUP(B230,[1]characters!$A:$C,3,FALSE)</f>
        <v>井伊直虎</v>
      </c>
      <c r="I230" s="7" t="str">
        <f>VLOOKUP(B230,[1]characters!$A:$J,10,FALSE)</f>
        <v>PremiumS</v>
      </c>
      <c r="J230" s="7">
        <f>VLOOKUP(B230,[1]characters!$A:$I,9,FALSE)</f>
        <v>4</v>
      </c>
      <c r="K230" s="7" t="str">
        <f>VLOOKUP(B230,[1]characters!$A:$H,8,FALSE)</f>
        <v>red</v>
      </c>
      <c r="L230" s="7" t="str">
        <f>VLOOKUP(B230,[1]characters!$A:$K,11,FALSE)</f>
        <v>balance</v>
      </c>
      <c r="M230" s="7" t="str">
        <f>VLOOKUP(B230,[1]characters!$A:$M,13,FALSE)</f>
        <v>human</v>
      </c>
      <c r="N230" s="7" t="str">
        <f>VLOOKUP(B230,[1]characters!$A:$G,7,FALSE)</f>
        <v>女性</v>
      </c>
      <c r="O230" s="45">
        <f ca="1">IFERROR(VLOOKUP(B230,input_421010!L:R,7,FALSE),VLOOKUP(tables_421010!C256,input_421010!A:H,8,FALSE))</f>
        <v>886635</v>
      </c>
      <c r="P230" s="46">
        <f t="shared" ca="1" si="11"/>
        <v>9.9600439209151532E-3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input_421010!A$2</f>
        <v>421010</v>
      </c>
      <c r="B231" s="60">
        <v>729</v>
      </c>
      <c r="C231" s="7" t="str">
        <f t="shared" si="9"/>
        <v>Premium5R3less</v>
      </c>
      <c r="D231" s="7" t="str">
        <f t="shared" si="10"/>
        <v>Premium</v>
      </c>
      <c r="E231" s="7" t="str">
        <f>IF(COUNTIF('R6追加前'!A:A,B231)=0,IF(OR(I231="PremiumSS",I231="PremiumSSw"),"R5only","R3less"),"")</f>
        <v>R3less</v>
      </c>
      <c r="F231" s="7" t="str">
        <f>IF(COUNTIF('R6開放'!A:A,B231)&gt;0,"R6release","")</f>
        <v/>
      </c>
      <c r="G231" s="7"/>
      <c r="H231" s="7" t="str">
        <f>VLOOKUP(B231,[1]characters!$A:$C,3,FALSE)</f>
        <v>暗厄の双刀 井伊直虎</v>
      </c>
      <c r="I231" s="7" t="str">
        <f>VLOOKUP(B231,[1]characters!$A:$J,10,FALSE)</f>
        <v>PremiumS</v>
      </c>
      <c r="J231" s="7">
        <f>VLOOKUP(B231,[1]characters!$A:$I,9,FALSE)</f>
        <v>5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女性</v>
      </c>
      <c r="O231" s="45">
        <f ca="1">IFERROR(VLOOKUP(B231,input_421010!L:R,7,FALSE),VLOOKUP(tables_421010!C257,input_421010!A:H,8,FALSE))</f>
        <v>46665</v>
      </c>
      <c r="P231" s="46">
        <f t="shared" ca="1" si="11"/>
        <v>5.2421283794290281E-4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input_421010!A$2</f>
        <v>421010</v>
      </c>
      <c r="B232" s="60">
        <v>730</v>
      </c>
      <c r="C232" s="7" t="str">
        <f t="shared" si="9"/>
        <v>Premium4R3less</v>
      </c>
      <c r="D232" s="7" t="str">
        <f t="shared" si="10"/>
        <v>Premium</v>
      </c>
      <c r="E232" s="7" t="str">
        <f>IF(COUNTIF('R6追加前'!A:A,B232)=0,IF(OR(I232="PremiumSS",I232="PremiumSSw"),"R5only","R3less"),"")</f>
        <v>R3less</v>
      </c>
      <c r="F232" s="7" t="str">
        <f>IF(COUNTIF('R6開放'!A:A,B232)&gt;0,"R6release","")</f>
        <v/>
      </c>
      <c r="G232" s="7"/>
      <c r="H232" s="7" t="str">
        <f>VLOOKUP(B232,[1]characters!$A:$C,3,FALSE)</f>
        <v>ガラシャ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green</v>
      </c>
      <c r="L232" s="7" t="str">
        <f>VLOOKUP(B232,[1]characters!$A:$K,11,FALSE)</f>
        <v>heal</v>
      </c>
      <c r="M232" s="7" t="str">
        <f>VLOOKUP(B232,[1]characters!$A:$M,13,FALSE)</f>
        <v>human</v>
      </c>
      <c r="N232" s="7" t="str">
        <f>VLOOKUP(B232,[1]characters!$A:$G,7,FALSE)</f>
        <v>女性</v>
      </c>
      <c r="O232" s="45">
        <f ca="1">IFERROR(VLOOKUP(B232,input_421010!L:R,7,FALSE),VLOOKUP(tables_421010!C258,input_421010!A:H,8,FALSE))</f>
        <v>886635</v>
      </c>
      <c r="P232" s="46">
        <f t="shared" ca="1" si="11"/>
        <v>9.9600439209151532E-3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input_421010!A$2</f>
        <v>421010</v>
      </c>
      <c r="B233" s="60">
        <v>731</v>
      </c>
      <c r="C233" s="7" t="str">
        <f t="shared" si="9"/>
        <v>Premium5R3less</v>
      </c>
      <c r="D233" s="7" t="str">
        <f t="shared" si="10"/>
        <v>Premium</v>
      </c>
      <c r="E233" s="7" t="str">
        <f>IF(COUNTIF('R6追加前'!A:A,B233)=0,IF(OR(I233="PremiumSS",I233="PremiumSSw"),"R5only","R3less"),"")</f>
        <v>R3less</v>
      </c>
      <c r="F233" s="7" t="str">
        <f>IF(COUNTIF('R6開放'!A:A,B233)&gt;0,"R6release","")</f>
        <v/>
      </c>
      <c r="G233" s="7"/>
      <c r="H233" s="7" t="str">
        <f>VLOOKUP(B233,[1]characters!$A:$C,3,FALSE)</f>
        <v>敬虔なる追銃 ガラシャ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green</v>
      </c>
      <c r="L233" s="7" t="str">
        <f>VLOOKUP(B233,[1]characters!$A:$K,11,FALSE)</f>
        <v>heal</v>
      </c>
      <c r="M233" s="7" t="str">
        <f>VLOOKUP(B233,[1]characters!$A:$M,13,FALSE)</f>
        <v>human</v>
      </c>
      <c r="N233" s="7" t="str">
        <f>VLOOKUP(B233,[1]characters!$A:$G,7,FALSE)</f>
        <v>女性</v>
      </c>
      <c r="O233" s="45">
        <f ca="1">IFERROR(VLOOKUP(B233,input_421010!L:R,7,FALSE),VLOOKUP(tables_421010!C259,input_421010!A:H,8,FALSE))</f>
        <v>46665</v>
      </c>
      <c r="P233" s="46">
        <f t="shared" ca="1" si="11"/>
        <v>5.2421283794290281E-4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input_421010!A$2</f>
        <v>421010</v>
      </c>
      <c r="B234" s="60">
        <v>774</v>
      </c>
      <c r="C234" s="7" t="str">
        <f t="shared" si="9"/>
        <v>Premium3</v>
      </c>
      <c r="D234" s="7" t="str">
        <f t="shared" si="10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ミズチ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blue</v>
      </c>
      <c r="L234" s="7" t="str">
        <f>VLOOKUP(B234,[1]characters!$A:$K,11,FALSE)</f>
        <v>heal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IFERROR(VLOOKUP(B234,input_421010!L:R,7,FALSE),VLOOKUP(tables_421010!C266,input_421010!A:H,8,FALSE))</f>
        <v>419985</v>
      </c>
      <c r="P234" s="46">
        <f t="shared" ca="1" si="11"/>
        <v>4.7179155414861246E-3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input_421010!A$2</f>
        <v>421010</v>
      </c>
      <c r="B235" s="60">
        <v>775</v>
      </c>
      <c r="C235" s="7" t="str">
        <f t="shared" si="9"/>
        <v>Premium4</v>
      </c>
      <c r="D235" s="7" t="str">
        <f t="shared" si="10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水底霊竜 ミズチ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blue</v>
      </c>
      <c r="L235" s="7" t="str">
        <f>VLOOKUP(B235,[1]characters!$A:$K,11,FALSE)</f>
        <v>heal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IFERROR(VLOOKUP(B235,input_421010!L:R,7,FALSE),VLOOKUP(tables_421010!C267,input_421010!A:H,8,FALSE))</f>
        <v>46665</v>
      </c>
      <c r="P235" s="46">
        <f t="shared" ca="1" si="11"/>
        <v>5.2421283794290281E-4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input_421010!A$2</f>
        <v>421010</v>
      </c>
      <c r="B236" s="60">
        <v>776</v>
      </c>
      <c r="C236" s="7" t="str">
        <f t="shared" si="9"/>
        <v>Premium5</v>
      </c>
      <c r="D236" s="7" t="str">
        <f t="shared" si="10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水竜底主 ミズチ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blue</v>
      </c>
      <c r="L236" s="7" t="str">
        <f>VLOOKUP(B236,[1]characters!$A:$K,11,FALSE)</f>
        <v>heal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IFERROR(VLOOKUP(B236,input_421010!L:R,7,FALSE),VLOOKUP(tables_421010!C268,input_421010!A:H,8,FALSE))</f>
        <v>466650</v>
      </c>
      <c r="P236" s="46">
        <f t="shared" ca="1" si="11"/>
        <v>5.2421283794290277E-3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input_421010!A$2</f>
        <v>421010</v>
      </c>
      <c r="B237" s="60">
        <v>777</v>
      </c>
      <c r="C237" s="7" t="str">
        <f t="shared" si="9"/>
        <v>Premium3</v>
      </c>
      <c r="D237" s="7" t="str">
        <f t="shared" si="10"/>
        <v>Premium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ガメック</v>
      </c>
      <c r="I237" s="7" t="str">
        <f>VLOOKUP(B237,[1]characters!$A:$J,10,FALSE)</f>
        <v>PremiumS</v>
      </c>
      <c r="J237" s="7">
        <f>VLOOKUP(B237,[1]characters!$A:$I,9,FALSE)</f>
        <v>3</v>
      </c>
      <c r="K237" s="7" t="str">
        <f>VLOOKUP(B237,[1]characters!$A:$H,8,FALSE)</f>
        <v>yellow</v>
      </c>
      <c r="L237" s="7" t="str">
        <f>VLOOKUP(B237,[1]characters!$A:$K,11,FALSE)</f>
        <v>hp</v>
      </c>
      <c r="M237" s="7" t="str">
        <f>VLOOKUP(B237,[1]characters!$A:$M,13,FALSE)</f>
        <v>animal</v>
      </c>
      <c r="N237" s="7" t="str">
        <f>VLOOKUP(B237,[1]characters!$A:$G,7,FALSE)</f>
        <v>不明</v>
      </c>
      <c r="O237" s="45">
        <f ca="1">IFERROR(VLOOKUP(B237,input_421010!L:R,7,FALSE),VLOOKUP(tables_421010!C269,input_421010!A:H,8,FALSE))</f>
        <v>419985</v>
      </c>
      <c r="P237" s="46">
        <f t="shared" ca="1" si="11"/>
        <v>4.7179155414861246E-3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input_421010!A$2</f>
        <v>421010</v>
      </c>
      <c r="B238" s="60">
        <v>778</v>
      </c>
      <c r="C238" s="7" t="str">
        <f t="shared" si="9"/>
        <v>Premium4</v>
      </c>
      <c r="D238" s="7" t="str">
        <f t="shared" si="10"/>
        <v>Premium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一亀懸明 ガメック</v>
      </c>
      <c r="I238" s="7" t="str">
        <f>VLOOKUP(B238,[1]characters!$A:$J,10,FALSE)</f>
        <v>PremiumS</v>
      </c>
      <c r="J238" s="7">
        <f>VLOOKUP(B238,[1]characters!$A:$I,9,FALSE)</f>
        <v>4</v>
      </c>
      <c r="K238" s="7" t="str">
        <f>VLOOKUP(B238,[1]characters!$A:$H,8,FALSE)</f>
        <v>yellow</v>
      </c>
      <c r="L238" s="7" t="str">
        <f>VLOOKUP(B238,[1]characters!$A:$K,11,FALSE)</f>
        <v>hp</v>
      </c>
      <c r="M238" s="7" t="str">
        <f>VLOOKUP(B238,[1]characters!$A:$M,13,FALSE)</f>
        <v>animal</v>
      </c>
      <c r="N238" s="7" t="str">
        <f>VLOOKUP(B238,[1]characters!$A:$G,7,FALSE)</f>
        <v>不明</v>
      </c>
      <c r="O238" s="45">
        <f ca="1">IFERROR(VLOOKUP(B238,input_421010!L:R,7,FALSE),VLOOKUP(tables_421010!C270,input_421010!A:H,8,FALSE))</f>
        <v>46665</v>
      </c>
      <c r="P238" s="46">
        <f t="shared" ca="1" si="11"/>
        <v>5.2421283794290281E-4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input_421010!A$2</f>
        <v>421010</v>
      </c>
      <c r="B239" s="60">
        <v>779</v>
      </c>
      <c r="C239" s="7" t="str">
        <f t="shared" si="9"/>
        <v>Premium5</v>
      </c>
      <c r="D239" s="7" t="str">
        <f t="shared" si="10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頑堅咬亀 ガメック</v>
      </c>
      <c r="I239" s="7" t="str">
        <f>VLOOKUP(B239,[1]characters!$A:$J,10,FALSE)</f>
        <v>PremiumS</v>
      </c>
      <c r="J239" s="7">
        <f>VLOOKUP(B239,[1]characters!$A:$I,9,FALSE)</f>
        <v>5</v>
      </c>
      <c r="K239" s="7" t="str">
        <f>VLOOKUP(B239,[1]characters!$A:$H,8,FALSE)</f>
        <v>yellow</v>
      </c>
      <c r="L239" s="7" t="str">
        <f>VLOOKUP(B239,[1]characters!$A:$K,11,FALSE)</f>
        <v>hp</v>
      </c>
      <c r="M239" s="7" t="str">
        <f>VLOOKUP(B239,[1]characters!$A:$M,13,FALSE)</f>
        <v>animal</v>
      </c>
      <c r="N239" s="7" t="str">
        <f>VLOOKUP(B239,[1]characters!$A:$G,7,FALSE)</f>
        <v>不明</v>
      </c>
      <c r="O239" s="45">
        <f ca="1">IFERROR(VLOOKUP(B239,input_421010!L:R,7,FALSE),VLOOKUP(tables_421010!C271,input_421010!A:H,8,FALSE))</f>
        <v>466650</v>
      </c>
      <c r="P239" s="46">
        <f t="shared" ca="1" si="11"/>
        <v>5.2421283794290277E-3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input_421010!A$2</f>
        <v>421010</v>
      </c>
      <c r="B240" s="81">
        <v>852</v>
      </c>
      <c r="C240" s="7" t="str">
        <f t="shared" si="9"/>
        <v>Premium4R3less</v>
      </c>
      <c r="D240" s="7" t="str">
        <f t="shared" si="10"/>
        <v>Premium</v>
      </c>
      <c r="E240" s="7" t="str">
        <f>IF(COUNTIF('R6追加前'!A:A,B240)=0,IF(OR(I240="PremiumSS",I240="PremiumSSw"),"R5only","R3less"),"")</f>
        <v>R3less</v>
      </c>
      <c r="F240" s="7" t="str">
        <f>IF(COUNTIF('R6開放'!A:A,B240)&gt;0,"R6release","")</f>
        <v/>
      </c>
      <c r="G240" s="7"/>
      <c r="H240" s="7" t="str">
        <f>VLOOKUP(B240,[1]characters!$A:$C,3,FALSE)</f>
        <v>サキエル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IFERROR(VLOOKUP(B240,input_421010!L:R,7,FALSE),VLOOKUP(tables_421010!C274,input_421010!A:H,8,FALSE))</f>
        <v>466650</v>
      </c>
      <c r="P240" s="46">
        <f t="shared" ca="1" si="11"/>
        <v>5.2421283794290277E-3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input_421010!A$2</f>
        <v>421010</v>
      </c>
      <c r="B241" s="81">
        <v>853</v>
      </c>
      <c r="C241" s="7" t="str">
        <f t="shared" si="9"/>
        <v>Premium5R3less</v>
      </c>
      <c r="D241" s="7" t="str">
        <f t="shared" si="10"/>
        <v>Premium</v>
      </c>
      <c r="E241" s="7" t="str">
        <f>IF(COUNTIF('R6追加前'!A:A,B241)=0,IF(OR(I241="PremiumSS",I241="PremiumSSw"),"R5only","R3less"),"")</f>
        <v>R3less</v>
      </c>
      <c r="F241" s="7" t="str">
        <f>IF(COUNTIF('R6開放'!A:A,B241)&gt;0,"R6release","")</f>
        <v/>
      </c>
      <c r="G241" s="7"/>
      <c r="H241" s="7" t="str">
        <f>VLOOKUP(B241,[1]characters!$A:$C,3,FALSE)</f>
        <v>裂爪の天使 サキエル・ティア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IFERROR(VLOOKUP(B241,input_421010!L:R,7,FALSE),VLOOKUP(tables_421010!C275,input_421010!A:H,8,FALSE))</f>
        <v>408201.05768999999</v>
      </c>
      <c r="P241" s="46">
        <f t="shared" ca="1" si="11"/>
        <v>4.5855402315004706E-3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input_421010!A$2</f>
        <v>421010</v>
      </c>
      <c r="B242" s="81">
        <v>854</v>
      </c>
      <c r="C242" s="7" t="str">
        <f t="shared" si="9"/>
        <v>Premium4R3less</v>
      </c>
      <c r="D242" s="7" t="str">
        <f t="shared" si="10"/>
        <v>Premium</v>
      </c>
      <c r="E242" s="7" t="str">
        <f>IF(COUNTIF('R6追加前'!A:A,B242)=0,IF(OR(I242="PremiumSS",I242="PremiumSSw"),"R5only","R3less"),"")</f>
        <v>R3less</v>
      </c>
      <c r="F242" s="7" t="str">
        <f>IF(COUNTIF('R6開放'!A:A,B242)&gt;0,"R6release","")</f>
        <v/>
      </c>
      <c r="G242" s="7"/>
      <c r="H242" s="7" t="str">
        <f>VLOOKUP(B242,[1]characters!$A:$C,3,FALSE)</f>
        <v>フラウロス</v>
      </c>
      <c r="I242" s="7" t="str">
        <f>VLOOKUP(B242,[1]characters!$A:$J,10,FALSE)</f>
        <v>PremiumS</v>
      </c>
      <c r="J242" s="7">
        <f>VLOOKUP(B242,[1]characters!$A:$I,9,FALSE)</f>
        <v>4</v>
      </c>
      <c r="K242" s="7" t="str">
        <f>VLOOKUP(B242,[1]characters!$A:$H,8,FALSE)</f>
        <v>yellow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男性</v>
      </c>
      <c r="O242" s="45">
        <f ca="1">IFERROR(VLOOKUP(B242,input_421010!L:R,7,FALSE),VLOOKUP(tables_421010!C276,input_421010!A:H,8,FALSE))</f>
        <v>3716.5384600000002</v>
      </c>
      <c r="P242" s="46">
        <f t="shared" ca="1" si="11"/>
        <v>4.1749859068692718E-5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input_421010!A$2</f>
        <v>421010</v>
      </c>
      <c r="B243" s="81">
        <v>855</v>
      </c>
      <c r="C243" s="7" t="str">
        <f t="shared" si="9"/>
        <v>Premium5R3less</v>
      </c>
      <c r="D243" s="7" t="str">
        <f t="shared" si="10"/>
        <v>Premium</v>
      </c>
      <c r="E243" s="7" t="str">
        <f>IF(COUNTIF('R6追加前'!A:A,B243)=0,IF(OR(I243="PremiumSS",I243="PremiumSSw"),"R5only","R3less"),"")</f>
        <v>R3less</v>
      </c>
      <c r="F243" s="7" t="str">
        <f>IF(COUNTIF('R6開放'!A:A,B243)&gt;0,"R6release","")</f>
        <v/>
      </c>
      <c r="G243" s="7"/>
      <c r="H243" s="7" t="str">
        <f>VLOOKUP(B243,[1]characters!$A:$C,3,FALSE)</f>
        <v>豹魔の侠客 フラウロス</v>
      </c>
      <c r="I243" s="7" t="str">
        <f>VLOOKUP(B243,[1]characters!$A:$J,10,FALSE)</f>
        <v>PremiumS</v>
      </c>
      <c r="J243" s="7">
        <f>VLOOKUP(B243,[1]characters!$A:$I,9,FALSE)</f>
        <v>5</v>
      </c>
      <c r="K243" s="7" t="str">
        <f>VLOOKUP(B243,[1]characters!$A:$H,8,FALSE)</f>
        <v>yellow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男性</v>
      </c>
      <c r="O243" s="45">
        <f ca="1">IFERROR(VLOOKUP(B243,input_421010!L:R,7,FALSE),VLOOKUP(tables_421010!C277,input_421010!A:H,8,FALSE))</f>
        <v>466650</v>
      </c>
      <c r="P243" s="46">
        <f t="shared" ca="1" si="11"/>
        <v>5.2421283794290277E-3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input_421010!A$2</f>
        <v>421010</v>
      </c>
      <c r="B244" s="81">
        <v>862</v>
      </c>
      <c r="C244" s="7" t="str">
        <f t="shared" si="9"/>
        <v>Premium4R3less</v>
      </c>
      <c r="D244" s="7" t="str">
        <f t="shared" si="10"/>
        <v>Premium</v>
      </c>
      <c r="E244" s="7" t="str">
        <f>IF(COUNTIF('R6追加前'!A:A,B244)=0,IF(OR(I244="PremiumSS",I244="PremiumSSw"),"R5only","R3less"),"")</f>
        <v>R3less</v>
      </c>
      <c r="F244" s="7" t="str">
        <f>IF(COUNTIF('R6開放'!A:A,B244)&gt;0,"R6release","")</f>
        <v/>
      </c>
      <c r="G244" s="7"/>
      <c r="H244" s="7" t="str">
        <f>VLOOKUP(B244,[1]characters!$A:$C,3,FALSE)</f>
        <v>ブレーメン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red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IFERROR(VLOOKUP(B244,input_421010!L:R,7,FALSE),VLOOKUP(tables_421010!C278,input_421010!A:H,8,FALSE))</f>
        <v>408201.05768999999</v>
      </c>
      <c r="P244" s="46">
        <f t="shared" ca="1" si="11"/>
        <v>4.5855402315004706E-3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input_421010!A$2</f>
        <v>421010</v>
      </c>
      <c r="B245" s="81">
        <v>863</v>
      </c>
      <c r="C245" s="7" t="str">
        <f t="shared" si="9"/>
        <v>Premium5R3less</v>
      </c>
      <c r="D245" s="7" t="str">
        <f t="shared" si="10"/>
        <v>Premium</v>
      </c>
      <c r="E245" s="7" t="str">
        <f>IF(COUNTIF('R6追加前'!A:A,B245)=0,IF(OR(I245="PremiumSS",I245="PremiumSSw"),"R5only","R3less"),"")</f>
        <v>R3less</v>
      </c>
      <c r="F245" s="7" t="str">
        <f>IF(COUNTIF('R6開放'!A:A,B245)&gt;0,"R6release","")</f>
        <v/>
      </c>
      <c r="G245" s="7"/>
      <c r="H245" s="7" t="str">
        <f>VLOOKUP(B245,[1]characters!$A:$C,3,FALSE)</f>
        <v>歓揮の楽団長 ブレーメン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red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IFERROR(VLOOKUP(B245,input_421010!L:R,7,FALSE),VLOOKUP(tables_421010!C279,input_421010!A:H,8,FALSE))</f>
        <v>3716.5384600000002</v>
      </c>
      <c r="P245" s="46">
        <f t="shared" ca="1" si="11"/>
        <v>4.1749859068692718E-5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input_421010!A$2</f>
        <v>421010</v>
      </c>
      <c r="B246" s="81">
        <v>864</v>
      </c>
      <c r="C246" s="7" t="str">
        <f t="shared" si="9"/>
        <v>Premium4R3less</v>
      </c>
      <c r="D246" s="7" t="str">
        <f t="shared" si="10"/>
        <v>Premium</v>
      </c>
      <c r="E246" s="7" t="str">
        <f>IF(COUNTIF('R6追加前'!A:A,B246)=0,IF(OR(I246="PremiumSS",I246="PremiumSSw"),"R5only","R3less"),"")</f>
        <v>R3less</v>
      </c>
      <c r="F246" s="7" t="str">
        <f>IF(COUNTIF('R6開放'!A:A,B246)&gt;0,"R6release","")</f>
        <v/>
      </c>
      <c r="G246" s="7"/>
      <c r="H246" s="7" t="str">
        <f>VLOOKUP(B246,[1]characters!$A:$C,3,FALSE)</f>
        <v>ピノキオ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green</v>
      </c>
      <c r="L246" s="7" t="str">
        <f>VLOOKUP(B246,[1]characters!$A:$K,11,FALSE)</f>
        <v>attack</v>
      </c>
      <c r="M246" s="7" t="str">
        <f>VLOOKUP(B246,[1]characters!$A:$M,13,FALSE)</f>
        <v>machine</v>
      </c>
      <c r="N246" s="7" t="str">
        <f>VLOOKUP(B246,[1]characters!$A:$G,7,FALSE)</f>
        <v>男性</v>
      </c>
      <c r="O246" s="45">
        <f ca="1">IFERROR(VLOOKUP(B246,input_421010!L:R,7,FALSE),VLOOKUP(tables_421010!C280,input_421010!A:H,8,FALSE))</f>
        <v>466650</v>
      </c>
      <c r="P246" s="46">
        <f t="shared" ca="1" si="11"/>
        <v>5.2421283794290277E-3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input_421010!A$2</f>
        <v>421010</v>
      </c>
      <c r="B247" s="81">
        <v>865</v>
      </c>
      <c r="C247" s="7" t="str">
        <f t="shared" si="9"/>
        <v>Premium5R3less</v>
      </c>
      <c r="D247" s="7" t="str">
        <f t="shared" si="10"/>
        <v>Premium</v>
      </c>
      <c r="E247" s="7" t="str">
        <f>IF(COUNTIF('R6追加前'!A:A,B247)=0,IF(OR(I247="PremiumSS",I247="PremiumSSw"),"R5only","R3less"),"")</f>
        <v>R3less</v>
      </c>
      <c r="F247" s="7" t="str">
        <f>IF(COUNTIF('R6開放'!A:A,B247)&gt;0,"R6release","")</f>
        <v/>
      </c>
      <c r="G247" s="7"/>
      <c r="H247" s="7" t="str">
        <f>VLOOKUP(B247,[1]characters!$A:$C,3,FALSE)</f>
        <v>無情の感線 ピノキオ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green</v>
      </c>
      <c r="L247" s="7" t="str">
        <f>VLOOKUP(B247,[1]characters!$A:$K,11,FALSE)</f>
        <v>attack</v>
      </c>
      <c r="M247" s="7" t="str">
        <f>VLOOKUP(B247,[1]characters!$A:$M,13,FALSE)</f>
        <v>machine</v>
      </c>
      <c r="N247" s="7" t="str">
        <f>VLOOKUP(B247,[1]characters!$A:$G,7,FALSE)</f>
        <v>男性</v>
      </c>
      <c r="O247" s="45">
        <f ca="1">IFERROR(VLOOKUP(B247,input_421010!L:R,7,FALSE),VLOOKUP(tables_421010!C281,input_421010!A:H,8,FALSE))</f>
        <v>408201.05768999999</v>
      </c>
      <c r="P247" s="46">
        <f t="shared" ca="1" si="11"/>
        <v>4.5855402315004706E-3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input_421010!A$2</f>
        <v>421010</v>
      </c>
      <c r="B248" s="5">
        <v>746</v>
      </c>
      <c r="C248" s="7" t="str">
        <f t="shared" si="9"/>
        <v>Premium4R3less</v>
      </c>
      <c r="D248" s="7" t="str">
        <f t="shared" si="10"/>
        <v>Premium</v>
      </c>
      <c r="E248" s="7" t="str">
        <f>IF(COUNTIF('R6追加前'!A:A,B248)=0,IF(OR(I248="PremiumSS",I248="PremiumSSw"),"R5only","R3less"),"")</f>
        <v>R3less</v>
      </c>
      <c r="F248" s="7" t="str">
        <f>IF(COUNTIF('R6開放'!A:A,B248)&gt;0,"R6release","")</f>
        <v/>
      </c>
      <c r="G248" s="7"/>
      <c r="H248" s="7" t="str">
        <f>VLOOKUP(B248,[1]characters!$A:$C,3,FALSE)</f>
        <v>ノルン</v>
      </c>
      <c r="I248" s="7" t="str">
        <f>VLOOKUP(B248,[1]characters!$A:$J,10,FALSE)</f>
        <v>PremiumS</v>
      </c>
      <c r="J248" s="7">
        <f>VLOOKUP(B248,[1]characters!$A:$I,9,FALSE)</f>
        <v>4</v>
      </c>
      <c r="K248" s="7" t="str">
        <f>VLOOKUP(B248,[1]characters!$A:$H,8,FALSE)</f>
        <v>blue</v>
      </c>
      <c r="L248" s="7" t="str">
        <f>VLOOKUP(B248,[1]characters!$A:$K,11,FALSE)</f>
        <v>balance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IFERROR(VLOOKUP(B248,input_421010!L:R,7,FALSE),VLOOKUP(tables_421010!C286,input_421010!A:H,8,FALSE))</f>
        <v>466650</v>
      </c>
      <c r="P248" s="46">
        <f t="shared" ca="1" si="11"/>
        <v>5.2421283794290277E-3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input_421010!A$2</f>
        <v>421010</v>
      </c>
      <c r="B249" s="5">
        <v>747</v>
      </c>
      <c r="C249" s="7" t="str">
        <f t="shared" si="9"/>
        <v>Premium5R3less</v>
      </c>
      <c r="D249" s="7" t="str">
        <f t="shared" si="10"/>
        <v>Premium</v>
      </c>
      <c r="E249" s="7" t="str">
        <f>IF(COUNTIF('R6追加前'!A:A,B249)=0,IF(OR(I249="PremiumSS",I249="PremiumSSw"),"R5only","R3less"),"")</f>
        <v>R3less</v>
      </c>
      <c r="F249" s="7" t="str">
        <f>IF(COUNTIF('R6開放'!A:A,B249)&gt;0,"R6release","")</f>
        <v/>
      </c>
      <c r="G249" s="7"/>
      <c r="H249" s="7" t="str">
        <f>VLOOKUP(B249,[1]characters!$A:$C,3,FALSE)</f>
        <v>潔碧の巡励神 ノルン</v>
      </c>
      <c r="I249" s="7" t="str">
        <f>VLOOKUP(B249,[1]characters!$A:$J,10,FALSE)</f>
        <v>PremiumS</v>
      </c>
      <c r="J249" s="7">
        <f>VLOOKUP(B249,[1]characters!$A:$I,9,FALSE)</f>
        <v>5</v>
      </c>
      <c r="K249" s="7" t="str">
        <f>VLOOKUP(B249,[1]characters!$A:$H,8,FALSE)</f>
        <v>blue</v>
      </c>
      <c r="L249" s="7" t="str">
        <f>VLOOKUP(B249,[1]characters!$A:$K,11,FALSE)</f>
        <v>balance</v>
      </c>
      <c r="M249" s="7" t="str">
        <f>VLOOKUP(B249,[1]characters!$A:$M,13,FALSE)</f>
        <v>god</v>
      </c>
      <c r="N249" s="7" t="str">
        <f>VLOOKUP(B249,[1]characters!$A:$G,7,FALSE)</f>
        <v>男性</v>
      </c>
      <c r="O249" s="45">
        <f ca="1">IFERROR(VLOOKUP(B249,input_421010!L:R,7,FALSE),VLOOKUP(tables_421010!C287,input_421010!A:H,8,FALSE))</f>
        <v>408201.05768999999</v>
      </c>
      <c r="P249" s="46">
        <f t="shared" ca="1" si="11"/>
        <v>4.5855402315004706E-3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input_421010!A$2</f>
        <v>421010</v>
      </c>
      <c r="B250" s="5">
        <v>748</v>
      </c>
      <c r="C250" s="7" t="str">
        <f t="shared" si="9"/>
        <v>Premium4R3less</v>
      </c>
      <c r="D250" s="7" t="str">
        <f t="shared" si="10"/>
        <v>Premium</v>
      </c>
      <c r="E250" s="7" t="str">
        <f>IF(COUNTIF('R6追加前'!A:A,B250)=0,IF(OR(I250="PremiumSS",I250="PremiumSSw"),"R5only","R3less"),"")</f>
        <v>R3less</v>
      </c>
      <c r="F250" s="7" t="str">
        <f>IF(COUNTIF('R6開放'!A:A,B250)&gt;0,"R6release","")</f>
        <v/>
      </c>
      <c r="G250" s="7"/>
      <c r="H250" s="7" t="str">
        <f>VLOOKUP(B250,[1]characters!$A:$C,3,FALSE)</f>
        <v>パーン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heal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IFERROR(VLOOKUP(B250,input_421010!L:R,7,FALSE),VLOOKUP(tables_421010!C288,input_421010!A:H,8,FALSE))</f>
        <v>3716.5384600000002</v>
      </c>
      <c r="P250" s="46">
        <f t="shared" ca="1" si="11"/>
        <v>4.1749859068692718E-5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input_421010!A$2</f>
        <v>421010</v>
      </c>
      <c r="B251" s="5">
        <v>749</v>
      </c>
      <c r="C251" s="7" t="str">
        <f t="shared" si="9"/>
        <v>Premium5R3less</v>
      </c>
      <c r="D251" s="7" t="str">
        <f t="shared" si="10"/>
        <v>Premium</v>
      </c>
      <c r="E251" s="7" t="str">
        <f>IF(COUNTIF('R6追加前'!A:A,B251)=0,IF(OR(I251="PremiumSS",I251="PremiumSSw"),"R5only","R3less"),"")</f>
        <v>R3less</v>
      </c>
      <c r="F251" s="7" t="str">
        <f>IF(COUNTIF('R6開放'!A:A,B251)&gt;0,"R6release","")</f>
        <v/>
      </c>
      <c r="G251" s="7"/>
      <c r="H251" s="7" t="str">
        <f>VLOOKUP(B251,[1]characters!$A:$C,3,FALSE)</f>
        <v>光喜の牧童 パーン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heal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IFERROR(VLOOKUP(B251,input_421010!L:R,7,FALSE),VLOOKUP(tables_421010!C289,input_421010!A:H,8,FALSE))</f>
        <v>466650</v>
      </c>
      <c r="P251" s="46">
        <f t="shared" ca="1" si="11"/>
        <v>5.2421283794290277E-3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input_421010!A$2</f>
        <v>421010</v>
      </c>
      <c r="B252" s="5">
        <v>939</v>
      </c>
      <c r="C252" s="7" t="str">
        <f t="shared" si="9"/>
        <v>Premium4R3less</v>
      </c>
      <c r="D252" s="7" t="str">
        <f t="shared" si="10"/>
        <v>Premium</v>
      </c>
      <c r="E252" s="7" t="str">
        <f>IF(COUNTIF('R6追加前'!A:A,B252)=0,IF(OR(I252="PremiumSS",I252="PremiumSSw"),"R5only","R3less"),"")</f>
        <v>R3less</v>
      </c>
      <c r="F252" s="7" t="str">
        <f>IF(COUNTIF('R6開放'!A:A,B252)&gt;0,"R6release","")</f>
        <v/>
      </c>
      <c r="G252" s="7"/>
      <c r="H252" s="7" t="str">
        <f>VLOOKUP(B252,[1]characters!$A:$C,3,FALSE)</f>
        <v>バスティーユ</v>
      </c>
      <c r="I252" s="7" t="str">
        <f>VLOOKUP(B252,[1]characters!$A:$J,10,FALSE)</f>
        <v>PremiumS</v>
      </c>
      <c r="J252" s="7">
        <f>VLOOKUP(B252,[1]characters!$A:$I,9,FALSE)</f>
        <v>4</v>
      </c>
      <c r="K252" s="7" t="str">
        <f>VLOOKUP(B252,[1]characters!$A:$H,8,FALSE)</f>
        <v>green</v>
      </c>
      <c r="L252" s="7" t="str">
        <f>VLOOKUP(B252,[1]characters!$A:$K,11,FALSE)</f>
        <v>hp</v>
      </c>
      <c r="M252" s="7" t="str">
        <f>VLOOKUP(B252,[1]characters!$A:$M,13,FALSE)</f>
        <v>unknown</v>
      </c>
      <c r="N252" s="7" t="str">
        <f>VLOOKUP(B252,[1]characters!$A:$G,7,FALSE)</f>
        <v>男性</v>
      </c>
      <c r="O252" s="45">
        <f ca="1">IFERROR(VLOOKUP(B252,input_421010!L:R,7,FALSE),VLOOKUP(tables_421010!C291,input_421010!A:H,8,FALSE))</f>
        <v>3716.5384600000002</v>
      </c>
      <c r="P252" s="46">
        <f t="shared" ca="1" si="11"/>
        <v>4.1749859068692718E-5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input_421010!A$2</f>
        <v>421010</v>
      </c>
      <c r="B253" s="5">
        <v>940</v>
      </c>
      <c r="C253" s="7" t="str">
        <f t="shared" si="9"/>
        <v>Premium5R3less</v>
      </c>
      <c r="D253" s="7" t="str">
        <f t="shared" si="10"/>
        <v>Premium</v>
      </c>
      <c r="E253" s="7" t="str">
        <f>IF(COUNTIF('R6追加前'!A:A,B253)=0,IF(OR(I253="PremiumSS",I253="PremiumSSw"),"R5only","R3less"),"")</f>
        <v>R3less</v>
      </c>
      <c r="F253" s="7" t="str">
        <f>IF(COUNTIF('R6開放'!A:A,B253)&gt;0,"R6release","")</f>
        <v/>
      </c>
      <c r="G253" s="7"/>
      <c r="H253" s="7" t="str">
        <f>VLOOKUP(B253,[1]characters!$A:$C,3,FALSE)</f>
        <v>不壊の大要塞 バスティーユ</v>
      </c>
      <c r="I253" s="7" t="str">
        <f>VLOOKUP(B253,[1]characters!$A:$J,10,FALSE)</f>
        <v>PremiumS</v>
      </c>
      <c r="J253" s="7">
        <f>VLOOKUP(B253,[1]characters!$A:$I,9,FALSE)</f>
        <v>5</v>
      </c>
      <c r="K253" s="7" t="str">
        <f>VLOOKUP(B253,[1]characters!$A:$H,8,FALSE)</f>
        <v>green</v>
      </c>
      <c r="L253" s="7" t="str">
        <f>VLOOKUP(B253,[1]characters!$A:$K,11,FALSE)</f>
        <v>hp</v>
      </c>
      <c r="M253" s="7" t="str">
        <f>VLOOKUP(B253,[1]characters!$A:$M,13,FALSE)</f>
        <v>unknown</v>
      </c>
      <c r="N253" s="7" t="str">
        <f>VLOOKUP(B253,[1]characters!$A:$G,7,FALSE)</f>
        <v>男性</v>
      </c>
      <c r="O253" s="45">
        <f ca="1">IFERROR(VLOOKUP(B253,input_421010!L:R,7,FALSE),VLOOKUP(tables_421010!C292,input_421010!A:H,8,FALSE))</f>
        <v>466650</v>
      </c>
      <c r="P253" s="46">
        <f t="shared" ca="1" si="11"/>
        <v>5.2421283794290277E-3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input_421010!A$2</f>
        <v>421010</v>
      </c>
      <c r="B254" s="5">
        <v>1016</v>
      </c>
      <c r="C254" s="7" t="str">
        <f t="shared" si="9"/>
        <v>Premium4R3less</v>
      </c>
      <c r="D254" s="7" t="str">
        <f t="shared" si="10"/>
        <v>Premium</v>
      </c>
      <c r="E254" s="7" t="str">
        <f>IF(COUNTIF('R6追加前'!A:A,B254)=0,IF(OR(I254="PremiumSS",I254="PremiumSSw"),"R5only","R3less"),"")</f>
        <v>R3less</v>
      </c>
      <c r="F254" s="7" t="str">
        <f>IF(COUNTIF('R6開放'!A:A,B254)&gt;0,"R6release","")</f>
        <v/>
      </c>
      <c r="G254" s="7"/>
      <c r="H254" s="7" t="str">
        <f>VLOOKUP(B254,[1]characters!$A:$C,3,FALSE)</f>
        <v>ハトホル</v>
      </c>
      <c r="I254" s="7" t="str">
        <f>VLOOKUP(B254,[1]characters!$A:$J,10,FALSE)</f>
        <v>PremiumS</v>
      </c>
      <c r="J254" s="7">
        <f>VLOOKUP(B254,[1]characters!$A:$I,9,FALSE)</f>
        <v>4</v>
      </c>
      <c r="K254" s="7" t="str">
        <f>VLOOKUP(B254,[1]characters!$A:$H,8,FALSE)</f>
        <v>blue</v>
      </c>
      <c r="L254" s="7" t="str">
        <f>VLOOKUP(B254,[1]characters!$A:$K,11,FALSE)</f>
        <v>heal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IFERROR(VLOOKUP(B254,input_421010!L:R,7,FALSE),VLOOKUP(tables_421010!C297,input_421010!A:H,8,FALSE))</f>
        <v>3716.5384600000002</v>
      </c>
      <c r="P254" s="46">
        <f t="shared" ca="1" si="11"/>
        <v>4.1749859068692718E-5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input_421010!A$2</f>
        <v>421010</v>
      </c>
      <c r="B255" s="5">
        <v>1017</v>
      </c>
      <c r="C255" s="7" t="str">
        <f t="shared" si="9"/>
        <v>Premium5R3less</v>
      </c>
      <c r="D255" s="7" t="str">
        <f t="shared" si="10"/>
        <v>Premium</v>
      </c>
      <c r="E255" s="7" t="str">
        <f>IF(COUNTIF('R6追加前'!A:A,B255)=0,IF(OR(I255="PremiumSS",I255="PremiumSSw"),"R5only","R3less"),"")</f>
        <v>R3less</v>
      </c>
      <c r="F255" s="7" t="str">
        <f>IF(COUNTIF('R6開放'!A:A,B255)&gt;0,"R6release","")</f>
        <v/>
      </c>
      <c r="G255" s="7"/>
      <c r="H255" s="7" t="str">
        <f>VLOOKUP(B255,[1]characters!$A:$C,3,FALSE)</f>
        <v>命瞳の慈母神 ハトホル</v>
      </c>
      <c r="I255" s="7" t="str">
        <f>VLOOKUP(B255,[1]characters!$A:$J,10,FALSE)</f>
        <v>PremiumS</v>
      </c>
      <c r="J255" s="7">
        <f>VLOOKUP(B255,[1]characters!$A:$I,9,FALSE)</f>
        <v>5</v>
      </c>
      <c r="K255" s="7" t="str">
        <f>VLOOKUP(B255,[1]characters!$A:$H,8,FALSE)</f>
        <v>blue</v>
      </c>
      <c r="L255" s="7" t="str">
        <f>VLOOKUP(B255,[1]characters!$A:$K,11,FALSE)</f>
        <v>heal</v>
      </c>
      <c r="M255" s="7" t="str">
        <f>VLOOKUP(B255,[1]characters!$A:$M,13,FALSE)</f>
        <v>god</v>
      </c>
      <c r="N255" s="7" t="str">
        <f>VLOOKUP(B255,[1]characters!$A:$G,7,FALSE)</f>
        <v>男性</v>
      </c>
      <c r="O255" s="45">
        <f ca="1">IFERROR(VLOOKUP(B255,input_421010!L:R,7,FALSE),VLOOKUP(tables_421010!C298,input_421010!A:H,8,FALSE))</f>
        <v>466650</v>
      </c>
      <c r="P255" s="46">
        <f t="shared" ca="1" si="11"/>
        <v>5.2421283794290277E-3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input_421010!A$2</f>
        <v>421010</v>
      </c>
      <c r="B256" s="5">
        <v>1026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蝉丸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attack</v>
      </c>
      <c r="M256" s="7" t="str">
        <f>VLOOKUP(B256,[1]characters!$A:$M,13,FALSE)</f>
        <v>human</v>
      </c>
      <c r="N256" s="7" t="str">
        <f>VLOOKUP(B256,[1]characters!$A:$G,7,FALSE)</f>
        <v>男性</v>
      </c>
      <c r="O256" s="45">
        <f ca="1">IFERROR(VLOOKUP(B256,input_421010!L:R,7,FALSE),VLOOKUP(tables_421010!C300,input_421010!A:H,8,FALSE))</f>
        <v>3716.5384600000002</v>
      </c>
      <c r="P256" s="46">
        <f t="shared" ca="1" si="11"/>
        <v>4.1749859068692718E-5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input_421010!A$2</f>
        <v>421010</v>
      </c>
      <c r="B257" s="5">
        <v>1027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弾丸多重奏 蝉丸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attack</v>
      </c>
      <c r="M257" s="7" t="str">
        <f>VLOOKUP(B257,[1]characters!$A:$M,13,FALSE)</f>
        <v>human</v>
      </c>
      <c r="N257" s="7" t="str">
        <f>VLOOKUP(B257,[1]characters!$A:$G,7,FALSE)</f>
        <v>男性</v>
      </c>
      <c r="O257" s="45">
        <f ca="1">IFERROR(VLOOKUP(B257,input_421010!L:R,7,FALSE),VLOOKUP(tables_421010!C301,input_421010!A:H,8,FALSE))</f>
        <v>466650</v>
      </c>
      <c r="P257" s="46">
        <f t="shared" ca="1" si="11"/>
        <v>5.2421283794290277E-3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input_421010!A$2</f>
        <v>421010</v>
      </c>
      <c r="B258" s="5">
        <v>1067</v>
      </c>
      <c r="C258" s="7" t="str">
        <f t="shared" ref="C258:C321" si="12">D258&amp;J258&amp;E258&amp;F258&amp;G258</f>
        <v>Premium4R3less</v>
      </c>
      <c r="D258" s="7" t="str">
        <f t="shared" ref="D258:D321" si="13">IF(OR(I258="PremiumSS",I258="PremiumSSw"),"PremiumSS",IF(I258="PremiumSSS",I258,IF(I258="PremiumW",I258,"Premium")))</f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ウシュムガル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red</v>
      </c>
      <c r="L258" s="7" t="str">
        <f>VLOOKUP(B258,[1]characters!$A:$K,11,FALSE)</f>
        <v>balance</v>
      </c>
      <c r="M258" s="7" t="str">
        <f>VLOOKUP(B258,[1]characters!$A:$M,13,FALSE)</f>
        <v>dragon</v>
      </c>
      <c r="N258" s="7" t="str">
        <f>VLOOKUP(B258,[1]characters!$A:$G,7,FALSE)</f>
        <v>男性</v>
      </c>
      <c r="O258" s="45">
        <f ca="1">IFERROR(VLOOKUP(B258,input_421010!L:R,7,FALSE),VLOOKUP(tables_421010!C305,input_421010!A:H,8,FALSE))</f>
        <v>408201.05768999999</v>
      </c>
      <c r="P258" s="46">
        <f t="shared" ref="P258:P321" ca="1" si="14">O258/SUM(O:O)</f>
        <v>4.5855402315004706E-3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input_421010!A$2</f>
        <v>421010</v>
      </c>
      <c r="B259" s="5">
        <v>1068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想母の羽龍 ウシュムガル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red</v>
      </c>
      <c r="L259" s="7" t="str">
        <f>VLOOKUP(B259,[1]characters!$A:$K,11,FALSE)</f>
        <v>balance</v>
      </c>
      <c r="M259" s="7" t="str">
        <f>VLOOKUP(B259,[1]characters!$A:$M,13,FALSE)</f>
        <v>dragon</v>
      </c>
      <c r="N259" s="7" t="str">
        <f>VLOOKUP(B259,[1]characters!$A:$G,7,FALSE)</f>
        <v>男性</v>
      </c>
      <c r="O259" s="45">
        <f ca="1">IFERROR(VLOOKUP(B259,input_421010!L:R,7,FALSE),VLOOKUP(tables_421010!C306,input_421010!A:H,8,FALSE))</f>
        <v>3716.5384600000002</v>
      </c>
      <c r="P259" s="46">
        <f t="shared" ca="1" si="14"/>
        <v>4.1749859068692718E-5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input_421010!A$2</f>
        <v>421010</v>
      </c>
      <c r="B260" s="5">
        <v>1104</v>
      </c>
      <c r="C260" s="7" t="str">
        <f t="shared" si="12"/>
        <v>Premium4R3less</v>
      </c>
      <c r="D260" s="7" t="str">
        <f t="shared" si="13"/>
        <v>Premium</v>
      </c>
      <c r="E260" s="7" t="str">
        <f>IF(COUNTIF('R6追加前'!A:A,B260)=0,IF(OR(I260="PremiumSS",I260="PremiumSSw"),"R5only","R3less"),"")</f>
        <v>R3less</v>
      </c>
      <c r="F260" s="7" t="str">
        <f>IF(COUNTIF('R6開放'!A:A,B260)&gt;0,"R6release","")</f>
        <v/>
      </c>
      <c r="G260" s="7"/>
      <c r="H260" s="7" t="str">
        <f>VLOOKUP(B260,[1]characters!$A:$C,3,FALSE)</f>
        <v>クリムト</v>
      </c>
      <c r="I260" s="7" t="str">
        <f>VLOOKUP(B260,[1]characters!$A:$J,10,FALSE)</f>
        <v>PremiumS</v>
      </c>
      <c r="J260" s="7">
        <f>VLOOKUP(B260,[1]characters!$A:$I,9,FALSE)</f>
        <v>4</v>
      </c>
      <c r="K260" s="7" t="str">
        <f>VLOOKUP(B260,[1]characters!$A:$H,8,FALSE)</f>
        <v>blue</v>
      </c>
      <c r="L260" s="7" t="str">
        <f>VLOOKUP(B260,[1]characters!$A:$K,11,FALSE)</f>
        <v>technical</v>
      </c>
      <c r="M260" s="7" t="str">
        <f>VLOOKUP(B260,[1]characters!$A:$M,13,FALSE)</f>
        <v>human</v>
      </c>
      <c r="N260" s="7" t="str">
        <f>VLOOKUP(B260,[1]characters!$A:$G,7,FALSE)</f>
        <v>不明</v>
      </c>
      <c r="O260" s="45">
        <f ca="1">IFERROR(VLOOKUP(B260,input_421010!L:R,7,FALSE),VLOOKUP(tables_421010!C310,input_421010!A:H,8,FALSE))</f>
        <v>466650</v>
      </c>
      <c r="P260" s="46">
        <f t="shared" ca="1" si="14"/>
        <v>5.2421283794290277E-3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input_421010!A$2</f>
        <v>421010</v>
      </c>
      <c r="B261" s="5">
        <v>1105</v>
      </c>
      <c r="C261" s="7" t="str">
        <f t="shared" si="12"/>
        <v>Premium5R3less</v>
      </c>
      <c r="D261" s="7" t="str">
        <f t="shared" si="13"/>
        <v>Premium</v>
      </c>
      <c r="E261" s="7" t="str">
        <f>IF(COUNTIF('R6追加前'!A:A,B261)=0,IF(OR(I261="PremiumSS",I261="PremiumSSw"),"R5only","R3less"),"")</f>
        <v>R3less</v>
      </c>
      <c r="F261" s="7" t="str">
        <f>IF(COUNTIF('R6開放'!A:A,B261)&gt;0,"R6release","")</f>
        <v/>
      </c>
      <c r="G261" s="7"/>
      <c r="H261" s="7" t="str">
        <f>VLOOKUP(B261,[1]characters!$A:$C,3,FALSE)</f>
        <v>甘美なる背徳 クリムト</v>
      </c>
      <c r="I261" s="7" t="str">
        <f>VLOOKUP(B261,[1]characters!$A:$J,10,FALSE)</f>
        <v>PremiumS</v>
      </c>
      <c r="J261" s="7">
        <f>VLOOKUP(B261,[1]characters!$A:$I,9,FALSE)</f>
        <v>5</v>
      </c>
      <c r="K261" s="7" t="str">
        <f>VLOOKUP(B261,[1]characters!$A:$H,8,FALSE)</f>
        <v>blue</v>
      </c>
      <c r="L261" s="7" t="str">
        <f>VLOOKUP(B261,[1]characters!$A:$K,11,FALSE)</f>
        <v>technical</v>
      </c>
      <c r="M261" s="7" t="str">
        <f>VLOOKUP(B261,[1]characters!$A:$M,13,FALSE)</f>
        <v>human</v>
      </c>
      <c r="N261" s="7" t="str">
        <f>VLOOKUP(B261,[1]characters!$A:$G,7,FALSE)</f>
        <v>不明</v>
      </c>
      <c r="O261" s="45">
        <f ca="1">IFERROR(VLOOKUP(B261,input_421010!L:R,7,FALSE),VLOOKUP(tables_421010!C311,input_421010!A:H,8,FALSE))</f>
        <v>408201.05768999999</v>
      </c>
      <c r="P261" s="46">
        <f t="shared" ca="1" si="14"/>
        <v>4.5855402315004706E-3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input_421010!A$2</f>
        <v>421010</v>
      </c>
      <c r="B262" s="6">
        <v>166</v>
      </c>
      <c r="C262" s="7" t="str">
        <f t="shared" si="12"/>
        <v>Premium3R6release</v>
      </c>
      <c r="D262" s="7" t="str">
        <f t="shared" si="13"/>
        <v>Premium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>R6release</v>
      </c>
      <c r="G262" s="7"/>
      <c r="H262" s="7" t="str">
        <f>VLOOKUP(B262,[1]characters!$A:$C,3,FALSE)</f>
        <v>ベリアル</v>
      </c>
      <c r="I262" s="7" t="str">
        <f>VLOOKUP(B262,[1]characters!$A:$J,10,FALSE)</f>
        <v>PremiumN</v>
      </c>
      <c r="J262" s="7">
        <f>VLOOKUP(B262,[1]characters!$A:$I,9,FALSE)</f>
        <v>3</v>
      </c>
      <c r="K262" s="7" t="str">
        <f>VLOOKUP(B262,[1]characters!$A:$H,8,FALSE)</f>
        <v>red</v>
      </c>
      <c r="L262" s="7" t="str">
        <f>VLOOKUP(B262,[1]characters!$A:$K,11,FALSE)</f>
        <v>attack</v>
      </c>
      <c r="M262" s="7" t="str">
        <f>VLOOKUP(B262,[1]characters!$A:$M,13,FALSE)</f>
        <v>god</v>
      </c>
      <c r="N262" s="7" t="str">
        <f>VLOOKUP(B262,[1]characters!$A:$G,7,FALSE)</f>
        <v>男性</v>
      </c>
      <c r="O262" s="45">
        <f ca="1">IFERROR(VLOOKUP(B262,input_421010!L:R,7,FALSE),VLOOKUP(tables_421010!C42,input_421010!A:H,8,FALSE))</f>
        <v>133500</v>
      </c>
      <c r="P262" s="46">
        <f t="shared" ca="1" si="14"/>
        <v>1.4996767141407376E-3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input_421010!A$2</f>
        <v>421010</v>
      </c>
      <c r="B263" s="6">
        <v>167</v>
      </c>
      <c r="C263" s="7" t="str">
        <f t="shared" si="12"/>
        <v>Premium4R6release</v>
      </c>
      <c r="D263" s="7" t="str">
        <f t="shared" si="13"/>
        <v>Premium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>R6release</v>
      </c>
      <c r="G263" s="7"/>
      <c r="H263" s="7" t="str">
        <f>VLOOKUP(B263,[1]characters!$A:$C,3,FALSE)</f>
        <v>逆徒 ベリアル</v>
      </c>
      <c r="I263" s="7" t="str">
        <f>VLOOKUP(B263,[1]characters!$A:$J,10,FALSE)</f>
        <v>PremiumN</v>
      </c>
      <c r="J263" s="7">
        <f>VLOOKUP(B263,[1]characters!$A:$I,9,FALSE)</f>
        <v>4</v>
      </c>
      <c r="K263" s="7" t="str">
        <f>VLOOKUP(B263,[1]characters!$A:$H,8,FALSE)</f>
        <v>red</v>
      </c>
      <c r="L263" s="7" t="str">
        <f>VLOOKUP(B263,[1]characters!$A:$K,11,FALSE)</f>
        <v>attack</v>
      </c>
      <c r="M263" s="7" t="str">
        <f>VLOOKUP(B263,[1]characters!$A:$M,13,FALSE)</f>
        <v>god</v>
      </c>
      <c r="N263" s="7" t="str">
        <f>VLOOKUP(B263,[1]characters!$A:$G,7,FALSE)</f>
        <v>男性</v>
      </c>
      <c r="O263" s="45">
        <f ca="1">IFERROR(VLOOKUP(B263,input_421010!L:R,7,FALSE),VLOOKUP(tables_421010!C43,input_421010!A:H,8,FALSE))</f>
        <v>133500</v>
      </c>
      <c r="P263" s="46">
        <f t="shared" ca="1" si="14"/>
        <v>1.4996767141407376E-3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input_421010!A$2</f>
        <v>421010</v>
      </c>
      <c r="B264" s="6">
        <v>168</v>
      </c>
      <c r="C264" s="7" t="str">
        <f t="shared" si="12"/>
        <v>Premium5R6release</v>
      </c>
      <c r="D264" s="7" t="str">
        <f t="shared" si="13"/>
        <v>Premium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>R6release</v>
      </c>
      <c r="G264" s="7"/>
      <c r="H264" s="7" t="str">
        <f>VLOOKUP(B264,[1]characters!$A:$C,3,FALSE)</f>
        <v>猛進の大逆者 ベリアル</v>
      </c>
      <c r="I264" s="7" t="str">
        <f>VLOOKUP(B264,[1]characters!$A:$J,10,FALSE)</f>
        <v>PremiumN</v>
      </c>
      <c r="J264" s="7">
        <f>VLOOKUP(B264,[1]characters!$A:$I,9,FALSE)</f>
        <v>5</v>
      </c>
      <c r="K264" s="7" t="str">
        <f>VLOOKUP(B264,[1]characters!$A:$H,8,FALSE)</f>
        <v>red</v>
      </c>
      <c r="L264" s="7" t="str">
        <f>VLOOKUP(B264,[1]characters!$A:$K,11,FALSE)</f>
        <v>attack</v>
      </c>
      <c r="M264" s="7" t="str">
        <f>VLOOKUP(B264,[1]characters!$A:$M,13,FALSE)</f>
        <v>god</v>
      </c>
      <c r="N264" s="7" t="str">
        <f>VLOOKUP(B264,[1]characters!$A:$G,7,FALSE)</f>
        <v>男性</v>
      </c>
      <c r="O264" s="45">
        <f ca="1">IFERROR(VLOOKUP(B264,input_421010!L:R,7,FALSE),VLOOKUP(tables_421010!C44,input_421010!A:H,8,FALSE))</f>
        <v>0</v>
      </c>
      <c r="P264" s="46">
        <f t="shared" ca="1" si="14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input_421010!A$2</f>
        <v>421010</v>
      </c>
      <c r="B265" s="6">
        <v>169</v>
      </c>
      <c r="C265" s="7" t="str">
        <f t="shared" si="12"/>
        <v>Premium3R6release</v>
      </c>
      <c r="D265" s="7" t="str">
        <f t="shared" si="13"/>
        <v>Premium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>R6release</v>
      </c>
      <c r="G265" s="7"/>
      <c r="H265" s="7" t="str">
        <f>VLOOKUP(B265,[1]characters!$A:$C,3,FALSE)</f>
        <v>オセ</v>
      </c>
      <c r="I265" s="7" t="str">
        <f>VLOOKUP(B265,[1]characters!$A:$J,10,FALSE)</f>
        <v>PremiumN</v>
      </c>
      <c r="J265" s="7">
        <f>VLOOKUP(B265,[1]characters!$A:$I,9,FALSE)</f>
        <v>3</v>
      </c>
      <c r="K265" s="7" t="str">
        <f>VLOOKUP(B265,[1]characters!$A:$H,8,FALSE)</f>
        <v>green</v>
      </c>
      <c r="L265" s="7" t="str">
        <f>VLOOKUP(B265,[1]characters!$A:$K,11,FALSE)</f>
        <v>attack</v>
      </c>
      <c r="M265" s="7" t="str">
        <f>VLOOKUP(B265,[1]characters!$A:$M,13,FALSE)</f>
        <v>god</v>
      </c>
      <c r="N265" s="7" t="str">
        <f>VLOOKUP(B265,[1]characters!$A:$G,7,FALSE)</f>
        <v>女性</v>
      </c>
      <c r="O265" s="45">
        <f ca="1">IFERROR(VLOOKUP(B265,input_421010!L:R,7,FALSE),VLOOKUP(tables_421010!C45,input_421010!A:H,8,FALSE))</f>
        <v>0</v>
      </c>
      <c r="P265" s="46">
        <f t="shared" ca="1" si="14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input_421010!A$2</f>
        <v>421010</v>
      </c>
      <c r="B266" s="6">
        <v>170</v>
      </c>
      <c r="C266" s="7" t="str">
        <f t="shared" si="12"/>
        <v>Premium4R6release</v>
      </c>
      <c r="D266" s="7" t="str">
        <f t="shared" si="13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>R6release</v>
      </c>
      <c r="G266" s="7"/>
      <c r="H266" s="7" t="str">
        <f>VLOOKUP(B266,[1]characters!$A:$C,3,FALSE)</f>
        <v>識徒 オセ</v>
      </c>
      <c r="I266" s="7" t="str">
        <f>VLOOKUP(B266,[1]characters!$A:$J,10,FALSE)</f>
        <v>PremiumN</v>
      </c>
      <c r="J266" s="7">
        <f>VLOOKUP(B266,[1]characters!$A:$I,9,FALSE)</f>
        <v>4</v>
      </c>
      <c r="K266" s="7" t="str">
        <f>VLOOKUP(B266,[1]characters!$A:$H,8,FALSE)</f>
        <v>green</v>
      </c>
      <c r="L266" s="7" t="str">
        <f>VLOOKUP(B266,[1]characters!$A:$K,11,FALSE)</f>
        <v>attack</v>
      </c>
      <c r="M266" s="7" t="str">
        <f>VLOOKUP(B266,[1]characters!$A:$M,13,FALSE)</f>
        <v>god</v>
      </c>
      <c r="N266" s="7" t="str">
        <f>VLOOKUP(B266,[1]characters!$A:$G,7,FALSE)</f>
        <v>女性</v>
      </c>
      <c r="O266" s="45">
        <f ca="1">IFERROR(VLOOKUP(B266,input_421010!L:R,7,FALSE),VLOOKUP(tables_421010!C46,input_421010!A:H,8,FALSE))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input_421010!A$2</f>
        <v>421010</v>
      </c>
      <c r="B267" s="6">
        <v>171</v>
      </c>
      <c r="C267" s="7" t="str">
        <f t="shared" si="12"/>
        <v>Premium5R6release</v>
      </c>
      <c r="D267" s="7" t="str">
        <f t="shared" si="13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>R6release</v>
      </c>
      <c r="G267" s="7"/>
      <c r="H267" s="7" t="str">
        <f>VLOOKUP(B267,[1]characters!$A:$C,3,FALSE)</f>
        <v>精解の預知者 オセ</v>
      </c>
      <c r="I267" s="7" t="str">
        <f>VLOOKUP(B267,[1]characters!$A:$J,10,FALSE)</f>
        <v>PremiumN</v>
      </c>
      <c r="J267" s="7">
        <f>VLOOKUP(B267,[1]characters!$A:$I,9,FALSE)</f>
        <v>5</v>
      </c>
      <c r="K267" s="7" t="str">
        <f>VLOOKUP(B267,[1]characters!$A:$H,8,FALSE)</f>
        <v>green</v>
      </c>
      <c r="L267" s="7" t="str">
        <f>VLOOKUP(B267,[1]characters!$A:$K,11,FALSE)</f>
        <v>attack</v>
      </c>
      <c r="M267" s="7" t="str">
        <f>VLOOKUP(B267,[1]characters!$A:$M,13,FALSE)</f>
        <v>god</v>
      </c>
      <c r="N267" s="7" t="str">
        <f>VLOOKUP(B267,[1]characters!$A:$G,7,FALSE)</f>
        <v>女性</v>
      </c>
      <c r="O267" s="45">
        <f ca="1">IFERROR(VLOOKUP(B267,input_421010!L:R,7,FALSE),VLOOKUP(tables_421010!C47,input_421010!A:H,8,FALSE))</f>
        <v>0</v>
      </c>
      <c r="P267" s="46">
        <f t="shared" ca="1" si="14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input_421010!A$2</f>
        <v>421010</v>
      </c>
      <c r="B268" s="6">
        <v>172</v>
      </c>
      <c r="C268" s="7" t="str">
        <f t="shared" si="12"/>
        <v>Premium3R6release</v>
      </c>
      <c r="D268" s="7" t="str">
        <f t="shared" si="13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>R6release</v>
      </c>
      <c r="G268" s="7"/>
      <c r="H268" s="7" t="str">
        <f>VLOOKUP(B268,[1]characters!$A:$C,3,FALSE)</f>
        <v>フォルネウス</v>
      </c>
      <c r="I268" s="7" t="str">
        <f>VLOOKUP(B268,[1]characters!$A:$J,10,FALSE)</f>
        <v>PremiumN</v>
      </c>
      <c r="J268" s="7">
        <f>VLOOKUP(B268,[1]characters!$A:$I,9,FALSE)</f>
        <v>3</v>
      </c>
      <c r="K268" s="7" t="str">
        <f>VLOOKUP(B268,[1]characters!$A:$H,8,FALSE)</f>
        <v>blue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女性</v>
      </c>
      <c r="O268" s="45">
        <f ca="1">IFERROR(VLOOKUP(B268,input_421010!L:R,7,FALSE),VLOOKUP(tables_421010!C48,input_421010!A:H,8,FALSE))</f>
        <v>0</v>
      </c>
      <c r="P268" s="46">
        <f t="shared" ca="1" si="14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input_421010!A$2</f>
        <v>421010</v>
      </c>
      <c r="B269" s="6">
        <v>173</v>
      </c>
      <c r="C269" s="7" t="str">
        <f t="shared" si="12"/>
        <v>Premium4R6release</v>
      </c>
      <c r="D269" s="7" t="str">
        <f t="shared" si="13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>R6release</v>
      </c>
      <c r="G269" s="7"/>
      <c r="H269" s="7" t="str">
        <f>VLOOKUP(B269,[1]characters!$A:$C,3,FALSE)</f>
        <v>公爵 フォルネウス</v>
      </c>
      <c r="I269" s="7" t="str">
        <f>VLOOKUP(B269,[1]characters!$A:$J,10,FALSE)</f>
        <v>PremiumN</v>
      </c>
      <c r="J269" s="7">
        <f>VLOOKUP(B269,[1]characters!$A:$I,9,FALSE)</f>
        <v>4</v>
      </c>
      <c r="K269" s="7" t="str">
        <f>VLOOKUP(B269,[1]characters!$A:$H,8,FALSE)</f>
        <v>blue</v>
      </c>
      <c r="L269" s="7" t="str">
        <f>VLOOKUP(B269,[1]characters!$A:$K,11,FALSE)</f>
        <v>attack</v>
      </c>
      <c r="M269" s="7" t="str">
        <f>VLOOKUP(B269,[1]characters!$A:$M,13,FALSE)</f>
        <v>god</v>
      </c>
      <c r="N269" s="7" t="str">
        <f>VLOOKUP(B269,[1]characters!$A:$G,7,FALSE)</f>
        <v>女性</v>
      </c>
      <c r="O269" s="45">
        <f ca="1">IFERROR(VLOOKUP(B269,input_421010!L:R,7,FALSE),VLOOKUP(tables_421010!C49,input_421010!A:H,8,FALSE))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input_421010!A$2</f>
        <v>421010</v>
      </c>
      <c r="B270" s="6">
        <v>174</v>
      </c>
      <c r="C270" s="7" t="str">
        <f t="shared" si="12"/>
        <v>Premium5R6release</v>
      </c>
      <c r="D270" s="7" t="str">
        <f t="shared" si="13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>R6release</v>
      </c>
      <c r="G270" s="7"/>
      <c r="H270" s="7" t="str">
        <f>VLOOKUP(B270,[1]characters!$A:$C,3,FALSE)</f>
        <v>偽愛の大公爵 フォルネウス</v>
      </c>
      <c r="I270" s="7" t="str">
        <f>VLOOKUP(B270,[1]characters!$A:$J,10,FALSE)</f>
        <v>PremiumN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god</v>
      </c>
      <c r="N270" s="7" t="str">
        <f>VLOOKUP(B270,[1]characters!$A:$G,7,FALSE)</f>
        <v>女性</v>
      </c>
      <c r="O270" s="45">
        <f ca="1">IFERROR(VLOOKUP(B270,input_421010!L:R,7,FALSE),VLOOKUP(tables_421010!C50,input_421010!A:H,8,FALSE))</f>
        <v>0</v>
      </c>
      <c r="P270" s="46">
        <f t="shared" ca="1" si="14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input_421010!A$2</f>
        <v>421010</v>
      </c>
      <c r="B271" s="6">
        <v>175</v>
      </c>
      <c r="C271" s="7" t="str">
        <f t="shared" si="12"/>
        <v>Premium3</v>
      </c>
      <c r="D271" s="7" t="str">
        <f t="shared" si="13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バフォメット</v>
      </c>
      <c r="I271" s="7" t="str">
        <f>VLOOKUP(B271,[1]characters!$A:$J,10,FALSE)</f>
        <v>PremiumN</v>
      </c>
      <c r="J271" s="7">
        <f>VLOOKUP(B271,[1]characters!$A:$I,9,FALSE)</f>
        <v>3</v>
      </c>
      <c r="K271" s="7" t="str">
        <f>VLOOKUP(B271,[1]characters!$A:$H,8,FALSE)</f>
        <v>yellow</v>
      </c>
      <c r="L271" s="7" t="str">
        <f>VLOOKUP(B271,[1]characters!$A:$K,11,FALSE)</f>
        <v>attack</v>
      </c>
      <c r="M271" s="7" t="str">
        <f>VLOOKUP(B271,[1]characters!$A:$M,13,FALSE)</f>
        <v>god</v>
      </c>
      <c r="N271" s="7" t="str">
        <f>VLOOKUP(B271,[1]characters!$A:$G,7,FALSE)</f>
        <v>女性</v>
      </c>
      <c r="O271" s="45">
        <f ca="1">IFERROR(VLOOKUP(B271,input_421010!L:R,7,FALSE),VLOOKUP(tables_421010!C51,input_421010!A:H,8,FALSE))</f>
        <v>126825</v>
      </c>
      <c r="P271" s="46">
        <f t="shared" ca="1" si="14"/>
        <v>1.4246928784337008E-3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input_421010!A$2</f>
        <v>421010</v>
      </c>
      <c r="B272" s="6">
        <v>176</v>
      </c>
      <c r="C272" s="7" t="str">
        <f t="shared" si="12"/>
        <v>Premium4</v>
      </c>
      <c r="D272" s="7" t="str">
        <f t="shared" si="13"/>
        <v>Premium</v>
      </c>
      <c r="E272" s="7" t="str">
        <f>IF(COUNTIF('R6追加前'!A:A,B272)=0,IF(OR(I272="PremiumSS",I272="PremiumSSw"),"R5only","R3less"),"")</f>
        <v/>
      </c>
      <c r="F272" s="7" t="str">
        <f>IF(COUNTIF('R6開放'!A:A,B272)&gt;0,"R6release","")</f>
        <v/>
      </c>
      <c r="G272" s="7"/>
      <c r="H272" s="7" t="str">
        <f>VLOOKUP(B272,[1]characters!$A:$C,3,FALSE)</f>
        <v>異教徒 バフォメット</v>
      </c>
      <c r="I272" s="7" t="str">
        <f>VLOOKUP(B272,[1]characters!$A:$J,10,FALSE)</f>
        <v>PremiumN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attack</v>
      </c>
      <c r="M272" s="7" t="str">
        <f>VLOOKUP(B272,[1]characters!$A:$M,13,FALSE)</f>
        <v>god</v>
      </c>
      <c r="N272" s="7" t="str">
        <f>VLOOKUP(B272,[1]characters!$A:$G,7,FALSE)</f>
        <v>女性</v>
      </c>
      <c r="O272" s="45">
        <f ca="1">IFERROR(VLOOKUP(B272,input_421010!L:R,7,FALSE),VLOOKUP(tables_421010!C52,input_421010!A:H,8,FALSE))</f>
        <v>6675</v>
      </c>
      <c r="P272" s="46">
        <f t="shared" ca="1" si="14"/>
        <v>7.4983835707036881E-5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input_421010!A$2</f>
        <v>421010</v>
      </c>
      <c r="B273" s="6">
        <v>177</v>
      </c>
      <c r="C273" s="7" t="str">
        <f t="shared" si="12"/>
        <v>Premium5</v>
      </c>
      <c r="D273" s="7" t="str">
        <f t="shared" si="13"/>
        <v>Premium</v>
      </c>
      <c r="E273" s="7" t="str">
        <f>IF(COUNTIF('R6追加前'!A:A,B273)=0,IF(OR(I273="PremiumSS",I273="PremiumSSw"),"R5only","R3less"),"")</f>
        <v/>
      </c>
      <c r="F273" s="7" t="str">
        <f>IF(COUNTIF('R6開放'!A:A,B273)&gt;0,"R6release","")</f>
        <v/>
      </c>
      <c r="G273" s="7"/>
      <c r="H273" s="7" t="str">
        <f>VLOOKUP(B273,[1]characters!$A:$C,3,FALSE)</f>
        <v>黒魔の異端師 バフォメット</v>
      </c>
      <c r="I273" s="7" t="str">
        <f>VLOOKUP(B273,[1]characters!$A:$J,10,FALSE)</f>
        <v>PremiumN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attack</v>
      </c>
      <c r="M273" s="7" t="str">
        <f>VLOOKUP(B273,[1]characters!$A:$M,13,FALSE)</f>
        <v>god</v>
      </c>
      <c r="N273" s="7" t="str">
        <f>VLOOKUP(B273,[1]characters!$A:$G,7,FALSE)</f>
        <v>女性</v>
      </c>
      <c r="O273" s="45">
        <f ca="1">IFERROR(VLOOKUP(B273,input_421010!L:R,7,FALSE),VLOOKUP(tables_421010!C53,input_421010!A:H,8,FALSE))</f>
        <v>126825</v>
      </c>
      <c r="P273" s="46">
        <f t="shared" ca="1" si="14"/>
        <v>1.4246928784337008E-3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input_421010!A$2</f>
        <v>421010</v>
      </c>
      <c r="B274" s="6">
        <v>178</v>
      </c>
      <c r="C274" s="7" t="str">
        <f t="shared" si="12"/>
        <v>Premium3</v>
      </c>
      <c r="D274" s="7" t="str">
        <f t="shared" si="13"/>
        <v>Premium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ケルベロス</v>
      </c>
      <c r="I274" s="7" t="str">
        <f>VLOOKUP(B274,[1]characters!$A:$J,10,FALSE)</f>
        <v>PremiumN</v>
      </c>
      <c r="J274" s="7">
        <f>VLOOKUP(B274,[1]characters!$A:$I,9,FALSE)</f>
        <v>3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IFERROR(VLOOKUP(B274,input_421010!L:R,7,FALSE),VLOOKUP(tables_421010!C54,input_421010!A:H,8,FALSE))</f>
        <v>6675</v>
      </c>
      <c r="P274" s="46">
        <f t="shared" ca="1" si="14"/>
        <v>7.4983835707036881E-5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input_421010!A$2</f>
        <v>421010</v>
      </c>
      <c r="B275" s="6">
        <v>179</v>
      </c>
      <c r="C275" s="7" t="str">
        <f t="shared" si="12"/>
        <v>Premium4</v>
      </c>
      <c r="D275" s="7" t="str">
        <f t="shared" si="13"/>
        <v>Premium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番犬 ケルベロス</v>
      </c>
      <c r="I275" s="7" t="str">
        <f>VLOOKUP(B275,[1]characters!$A:$J,10,FALSE)</f>
        <v>PremiumN</v>
      </c>
      <c r="J275" s="7">
        <f>VLOOKUP(B275,[1]characters!$A:$I,9,FALSE)</f>
        <v>4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IFERROR(VLOOKUP(B275,input_421010!L:R,7,FALSE),VLOOKUP(tables_421010!C55,input_421010!A:H,8,FALSE))</f>
        <v>126825</v>
      </c>
      <c r="P275" s="46">
        <f t="shared" ca="1" si="14"/>
        <v>1.4246928784337008E-3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input_421010!A$2</f>
        <v>421010</v>
      </c>
      <c r="B276" s="6">
        <v>180</v>
      </c>
      <c r="C276" s="7" t="str">
        <f t="shared" si="12"/>
        <v>Premium5</v>
      </c>
      <c r="D276" s="7" t="str">
        <f t="shared" si="13"/>
        <v>Premium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地獄の大門番 ケルベロス</v>
      </c>
      <c r="I276" s="7" t="str">
        <f>VLOOKUP(B276,[1]characters!$A:$J,10,FALSE)</f>
        <v>PremiumN</v>
      </c>
      <c r="J276" s="7">
        <f>VLOOKUP(B276,[1]characters!$A:$I,9,FALSE)</f>
        <v>5</v>
      </c>
      <c r="K276" s="7" t="str">
        <f>VLOOKUP(B276,[1]characters!$A:$H,8,FALSE)</f>
        <v>red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IFERROR(VLOOKUP(B276,input_421010!L:R,7,FALSE),VLOOKUP(tables_421010!C56,input_421010!A:H,8,FALSE))</f>
        <v>6675</v>
      </c>
      <c r="P276" s="46">
        <f t="shared" ca="1" si="14"/>
        <v>7.4983835707036881E-5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input_421010!A$2</f>
        <v>421010</v>
      </c>
      <c r="B277" s="6">
        <v>181</v>
      </c>
      <c r="C277" s="7" t="str">
        <f t="shared" si="12"/>
        <v>Premium3</v>
      </c>
      <c r="D277" s="7" t="str">
        <f t="shared" si="13"/>
        <v>Premium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ベヒモス</v>
      </c>
      <c r="I277" s="7" t="str">
        <f>VLOOKUP(B277,[1]characters!$A:$J,10,FALSE)</f>
        <v>PremiumN</v>
      </c>
      <c r="J277" s="7">
        <f>VLOOKUP(B277,[1]characters!$A:$I,9,FALSE)</f>
        <v>3</v>
      </c>
      <c r="K277" s="7" t="str">
        <f>VLOOKUP(B277,[1]characters!$A:$H,8,FALSE)</f>
        <v>green</v>
      </c>
      <c r="L277" s="7" t="str">
        <f>VLOOKUP(B277,[1]characters!$A:$K,11,FALSE)</f>
        <v>hp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IFERROR(VLOOKUP(B277,input_421010!L:R,7,FALSE),VLOOKUP(tables_421010!C57,input_421010!A:H,8,FALSE))</f>
        <v>126825</v>
      </c>
      <c r="P277" s="46">
        <f t="shared" ca="1" si="14"/>
        <v>1.4246928784337008E-3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input_421010!A$2</f>
        <v>421010</v>
      </c>
      <c r="B278" s="6">
        <v>182</v>
      </c>
      <c r="C278" s="7" t="str">
        <f t="shared" si="12"/>
        <v>Premium4</v>
      </c>
      <c r="D278" s="7" t="str">
        <f t="shared" si="13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放蕩者 ベヒモス</v>
      </c>
      <c r="I278" s="7" t="str">
        <f>VLOOKUP(B278,[1]characters!$A:$J,10,FALSE)</f>
        <v>PremiumN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hp</v>
      </c>
      <c r="M278" s="7" t="str">
        <f>VLOOKUP(B278,[1]characters!$A:$M,13,FALSE)</f>
        <v>animal</v>
      </c>
      <c r="N278" s="7" t="str">
        <f>VLOOKUP(B278,[1]characters!$A:$G,7,FALSE)</f>
        <v>女性</v>
      </c>
      <c r="O278" s="45">
        <f ca="1">IFERROR(VLOOKUP(B278,input_421010!L:R,7,FALSE),VLOOKUP(tables_421010!C58,input_421010!A:H,8,FALSE))</f>
        <v>6675</v>
      </c>
      <c r="P278" s="46">
        <f t="shared" ca="1" si="14"/>
        <v>7.4983835707036881E-5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input_421010!A$2</f>
        <v>421010</v>
      </c>
      <c r="B279" s="6">
        <v>183</v>
      </c>
      <c r="C279" s="7" t="str">
        <f t="shared" si="12"/>
        <v>Premium5</v>
      </c>
      <c r="D279" s="7" t="str">
        <f t="shared" si="13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鈍重な彷徨者 ベヒモス</v>
      </c>
      <c r="I279" s="7" t="str">
        <f>VLOOKUP(B279,[1]characters!$A:$J,10,FALSE)</f>
        <v>PremiumN</v>
      </c>
      <c r="J279" s="7">
        <f>VLOOKUP(B279,[1]characters!$A:$I,9,FALSE)</f>
        <v>5</v>
      </c>
      <c r="K279" s="7" t="str">
        <f>VLOOKUP(B279,[1]characters!$A:$H,8,FALSE)</f>
        <v>green</v>
      </c>
      <c r="L279" s="7" t="str">
        <f>VLOOKUP(B279,[1]characters!$A:$K,11,FALSE)</f>
        <v>hp</v>
      </c>
      <c r="M279" s="7" t="str">
        <f>VLOOKUP(B279,[1]characters!$A:$M,13,FALSE)</f>
        <v>animal</v>
      </c>
      <c r="N279" s="7" t="str">
        <f>VLOOKUP(B279,[1]characters!$A:$G,7,FALSE)</f>
        <v>女性</v>
      </c>
      <c r="O279" s="45">
        <f ca="1">IFERROR(VLOOKUP(B279,input_421010!L:R,7,FALSE),VLOOKUP(tables_421010!C59,input_421010!A:H,8,FALSE))</f>
        <v>126825</v>
      </c>
      <c r="P279" s="46">
        <f t="shared" ca="1" si="14"/>
        <v>1.4246928784337008E-3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input_421010!A$2</f>
        <v>421010</v>
      </c>
      <c r="B280" s="6">
        <v>184</v>
      </c>
      <c r="C280" s="7" t="str">
        <f t="shared" si="12"/>
        <v>Premium3</v>
      </c>
      <c r="D280" s="7" t="str">
        <f t="shared" si="13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クラーケン</v>
      </c>
      <c r="I280" s="7" t="str">
        <f>VLOOKUP(B280,[1]characters!$A:$J,10,FALSE)</f>
        <v>PremiumN</v>
      </c>
      <c r="J280" s="7">
        <f>VLOOKUP(B280,[1]characters!$A:$I,9,FALSE)</f>
        <v>3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animal</v>
      </c>
      <c r="N280" s="7" t="str">
        <f>VLOOKUP(B280,[1]characters!$A:$G,7,FALSE)</f>
        <v>女性</v>
      </c>
      <c r="O280" s="45">
        <f ca="1">IFERROR(VLOOKUP(B280,input_421010!L:R,7,FALSE),VLOOKUP(tables_421010!C60,input_421010!A:H,8,FALSE))</f>
        <v>6675</v>
      </c>
      <c r="P280" s="46">
        <f t="shared" ca="1" si="14"/>
        <v>7.4983835707036881E-5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input_421010!A$2</f>
        <v>421010</v>
      </c>
      <c r="B281" s="6">
        <v>185</v>
      </c>
      <c r="C281" s="7" t="str">
        <f t="shared" si="12"/>
        <v>Premium4</v>
      </c>
      <c r="D281" s="7" t="str">
        <f t="shared" si="13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海姫 クラーケン</v>
      </c>
      <c r="I281" s="7" t="str">
        <f>VLOOKUP(B281,[1]characters!$A:$J,10,FALSE)</f>
        <v>PremiumN</v>
      </c>
      <c r="J281" s="7">
        <f>VLOOKUP(B281,[1]characters!$A:$I,9,FALSE)</f>
        <v>4</v>
      </c>
      <c r="K281" s="7" t="str">
        <f>VLOOKUP(B281,[1]characters!$A:$H,8,FALSE)</f>
        <v>blue</v>
      </c>
      <c r="L281" s="7" t="str">
        <f>VLOOKUP(B281,[1]characters!$A:$K,11,FALSE)</f>
        <v>heal</v>
      </c>
      <c r="M281" s="7" t="str">
        <f>VLOOKUP(B281,[1]characters!$A:$M,13,FALSE)</f>
        <v>animal</v>
      </c>
      <c r="N281" s="7" t="str">
        <f>VLOOKUP(B281,[1]characters!$A:$G,7,FALSE)</f>
        <v>女性</v>
      </c>
      <c r="O281" s="45">
        <f ca="1">IFERROR(VLOOKUP(B281,input_421010!L:R,7,FALSE),VLOOKUP(tables_421010!C61,input_421010!A:H,8,FALSE))</f>
        <v>126825</v>
      </c>
      <c r="P281" s="46">
        <f t="shared" ca="1" si="14"/>
        <v>1.4246928784337008E-3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input_421010!A$2</f>
        <v>421010</v>
      </c>
      <c r="B282" s="8">
        <v>186</v>
      </c>
      <c r="C282" s="7" t="str">
        <f t="shared" si="12"/>
        <v>Premium5</v>
      </c>
      <c r="D282" s="7" t="str">
        <f t="shared" si="13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誇り高き多触姫・クラーケン</v>
      </c>
      <c r="I282" s="7" t="str">
        <f>VLOOKUP(B282,[1]characters!$A:$J,10,FALSE)</f>
        <v>PremiumN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heal</v>
      </c>
      <c r="M282" s="7" t="str">
        <f>VLOOKUP(B282,[1]characters!$A:$M,13,FALSE)</f>
        <v>animal</v>
      </c>
      <c r="N282" s="7" t="str">
        <f>VLOOKUP(B282,[1]characters!$A:$G,7,FALSE)</f>
        <v>女性</v>
      </c>
      <c r="O282" s="45">
        <f ca="1">IFERROR(VLOOKUP(B282,input_421010!L:R,7,FALSE),VLOOKUP(tables_421010!C62,input_421010!A:H,8,FALSE))</f>
        <v>6675</v>
      </c>
      <c r="P282" s="46">
        <f t="shared" ca="1" si="14"/>
        <v>7.4983835707036881E-5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input_421010!A$2</f>
        <v>421010</v>
      </c>
      <c r="B283" s="8">
        <v>187</v>
      </c>
      <c r="C283" s="7" t="str">
        <f t="shared" si="12"/>
        <v>Premium3</v>
      </c>
      <c r="D283" s="7" t="str">
        <f t="shared" si="13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ホルス</v>
      </c>
      <c r="I283" s="7" t="str">
        <f>VLOOKUP(B283,[1]characters!$A:$J,10,FALSE)</f>
        <v>PremiumN</v>
      </c>
      <c r="J283" s="7">
        <f>VLOOKUP(B283,[1]characters!$A:$I,9,FALSE)</f>
        <v>3</v>
      </c>
      <c r="K283" s="7" t="str">
        <f>VLOOKUP(B283,[1]characters!$A:$H,8,FALSE)</f>
        <v>yellow</v>
      </c>
      <c r="L283" s="7" t="str">
        <f>VLOOKUP(B283,[1]characters!$A:$K,11,FALSE)</f>
        <v>attack</v>
      </c>
      <c r="M283" s="7" t="str">
        <f>VLOOKUP(B283,[1]characters!$A:$M,13,FALSE)</f>
        <v>animal</v>
      </c>
      <c r="N283" s="7" t="str">
        <f>VLOOKUP(B283,[1]characters!$A:$G,7,FALSE)</f>
        <v>女性</v>
      </c>
      <c r="O283" s="45">
        <f ca="1">IFERROR(VLOOKUP(B283,input_421010!L:R,7,FALSE),VLOOKUP(tables_421010!C63,input_421010!A:H,8,FALSE))</f>
        <v>126825</v>
      </c>
      <c r="P283" s="46">
        <f t="shared" ca="1" si="14"/>
        <v>1.4246928784337008E-3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input_421010!A$2</f>
        <v>421010</v>
      </c>
      <c r="B284" s="8">
        <v>188</v>
      </c>
      <c r="C284" s="7" t="str">
        <f t="shared" si="12"/>
        <v>Premium4</v>
      </c>
      <c r="D284" s="7" t="str">
        <f t="shared" si="13"/>
        <v>Premium</v>
      </c>
      <c r="E284" s="7" t="str">
        <f>IF(COUNTIF('R6追加前'!A:A,B284)=0,IF(OR(I284="PremiumSS",I284="PremiumSSw"),"R5only","R3less"),"")</f>
        <v/>
      </c>
      <c r="F284" s="7" t="str">
        <f>IF(COUNTIF('R6開放'!A:A,B284)&gt;0,"R6release","")</f>
        <v/>
      </c>
      <c r="G284" s="7"/>
      <c r="H284" s="7" t="str">
        <f>VLOOKUP(B284,[1]characters!$A:$C,3,FALSE)</f>
        <v>猛禽 ホルス</v>
      </c>
      <c r="I284" s="7" t="str">
        <f>VLOOKUP(B284,[1]characters!$A:$J,10,FALSE)</f>
        <v>PremiumN</v>
      </c>
      <c r="J284" s="7">
        <f>VLOOKUP(B284,[1]characters!$A:$I,9,FALSE)</f>
        <v>4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animal</v>
      </c>
      <c r="N284" s="7" t="str">
        <f>VLOOKUP(B284,[1]characters!$A:$G,7,FALSE)</f>
        <v>女性</v>
      </c>
      <c r="O284" s="45">
        <f ca="1">IFERROR(VLOOKUP(B284,input_421010!L:R,7,FALSE),VLOOKUP(tables_421010!C64,input_421010!A:H,8,FALSE))</f>
        <v>6675</v>
      </c>
      <c r="P284" s="46">
        <f t="shared" ca="1" si="14"/>
        <v>7.4983835707036881E-5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input_421010!A$2</f>
        <v>421010</v>
      </c>
      <c r="B285" s="8">
        <v>189</v>
      </c>
      <c r="C285" s="7" t="str">
        <f t="shared" si="12"/>
        <v>Premium5</v>
      </c>
      <c r="D285" s="7" t="str">
        <f t="shared" si="13"/>
        <v>Premium</v>
      </c>
      <c r="E285" s="7" t="str">
        <f>IF(COUNTIF('R6追加前'!A:A,B285)=0,IF(OR(I285="PremiumSS",I285="PremiumSSw"),"R5only","R3less"),"")</f>
        <v/>
      </c>
      <c r="F285" s="7" t="str">
        <f>IF(COUNTIF('R6開放'!A:A,B285)&gt;0,"R6release","")</f>
        <v/>
      </c>
      <c r="G285" s="7"/>
      <c r="H285" s="7" t="str">
        <f>VLOOKUP(B285,[1]characters!$A:$C,3,FALSE)</f>
        <v>迅雷の王禽 ホルス</v>
      </c>
      <c r="I285" s="7" t="str">
        <f>VLOOKUP(B285,[1]characters!$A:$J,10,FALSE)</f>
        <v>PremiumN</v>
      </c>
      <c r="J285" s="7">
        <f>VLOOKUP(B285,[1]characters!$A:$I,9,FALSE)</f>
        <v>5</v>
      </c>
      <c r="K285" s="7" t="str">
        <f>VLOOKUP(B285,[1]characters!$A:$H,8,FALSE)</f>
        <v>yellow</v>
      </c>
      <c r="L285" s="7" t="str">
        <f>VLOOKUP(B285,[1]characters!$A:$K,11,FALSE)</f>
        <v>attack</v>
      </c>
      <c r="M285" s="7" t="str">
        <f>VLOOKUP(B285,[1]characters!$A:$M,13,FALSE)</f>
        <v>animal</v>
      </c>
      <c r="N285" s="7" t="str">
        <f>VLOOKUP(B285,[1]characters!$A:$G,7,FALSE)</f>
        <v>女性</v>
      </c>
      <c r="O285" s="45">
        <f ca="1">IFERROR(VLOOKUP(B285,input_421010!L:R,7,FALSE),VLOOKUP(tables_421010!C65,input_421010!A:H,8,FALSE))</f>
        <v>126825</v>
      </c>
      <c r="P285" s="46">
        <f t="shared" ca="1" si="14"/>
        <v>1.4246928784337008E-3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input_421010!A$2</f>
        <v>421010</v>
      </c>
      <c r="B286" s="6">
        <v>190</v>
      </c>
      <c r="C286" s="7" t="str">
        <f t="shared" si="12"/>
        <v>Premium3</v>
      </c>
      <c r="D286" s="7" t="str">
        <f t="shared" si="13"/>
        <v>Premium</v>
      </c>
      <c r="E286" s="7" t="str">
        <f>IF(COUNTIF('R6追加前'!A:A,B286)=0,IF(OR(I286="PremiumSS",I286="PremiumSSw"),"R5only","R3less"),"")</f>
        <v/>
      </c>
      <c r="F286" s="7" t="str">
        <f>IF(COUNTIF('R6開放'!A:A,B286)&gt;0,"R6release","")</f>
        <v/>
      </c>
      <c r="G286" s="7"/>
      <c r="H286" s="7" t="str">
        <f>VLOOKUP(B286,[1]characters!$A:$C,3,FALSE)</f>
        <v>卑弥呼</v>
      </c>
      <c r="I286" s="7" t="str">
        <f>VLOOKUP(B286,[1]characters!$A:$J,10,FALSE)</f>
        <v>PremiumN</v>
      </c>
      <c r="J286" s="7">
        <f>VLOOKUP(B286,[1]characters!$A:$I,9,FALSE)</f>
        <v>3</v>
      </c>
      <c r="K286" s="7" t="str">
        <f>VLOOKUP(B286,[1]characters!$A:$H,8,FALSE)</f>
        <v>red</v>
      </c>
      <c r="L286" s="7" t="str">
        <f>VLOOKUP(B286,[1]characters!$A:$K,11,FALSE)</f>
        <v>balance</v>
      </c>
      <c r="M286" s="7" t="str">
        <f>VLOOKUP(B286,[1]characters!$A:$M,13,FALSE)</f>
        <v>human</v>
      </c>
      <c r="N286" s="7" t="str">
        <f>VLOOKUP(B286,[1]characters!$A:$G,7,FALSE)</f>
        <v>女性</v>
      </c>
      <c r="O286" s="45">
        <f ca="1">IFERROR(VLOOKUP(B286,input_421010!L:R,7,FALSE),VLOOKUP(tables_421010!C66,input_421010!A:H,8,FALSE))</f>
        <v>6675</v>
      </c>
      <c r="P286" s="46">
        <f t="shared" ca="1" si="14"/>
        <v>7.4983835707036881E-5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input_421010!A$2</f>
        <v>421010</v>
      </c>
      <c r="B287" s="6">
        <v>191</v>
      </c>
      <c r="C287" s="7" t="str">
        <f t="shared" si="12"/>
        <v>Premium4</v>
      </c>
      <c r="D287" s="7" t="str">
        <f t="shared" si="13"/>
        <v>Premium</v>
      </c>
      <c r="E287" s="7" t="str">
        <f>IF(COUNTIF('R6追加前'!A:A,B287)=0,IF(OR(I287="PremiumSS",I287="PremiumSSw"),"R5only","R3less"),"")</f>
        <v/>
      </c>
      <c r="F287" s="7" t="str">
        <f>IF(COUNTIF('R6開放'!A:A,B287)&gt;0,"R6release","")</f>
        <v/>
      </c>
      <c r="G287" s="7"/>
      <c r="H287" s="7" t="str">
        <f>VLOOKUP(B287,[1]characters!$A:$C,3,FALSE)</f>
        <v>始祖 卑弥呼</v>
      </c>
      <c r="I287" s="7" t="str">
        <f>VLOOKUP(B287,[1]characters!$A:$J,10,FALSE)</f>
        <v>PremiumN</v>
      </c>
      <c r="J287" s="7">
        <f>VLOOKUP(B287,[1]characters!$A:$I,9,FALSE)</f>
        <v>4</v>
      </c>
      <c r="K287" s="7" t="str">
        <f>VLOOKUP(B287,[1]characters!$A:$H,8,FALSE)</f>
        <v>red</v>
      </c>
      <c r="L287" s="7" t="str">
        <f>VLOOKUP(B287,[1]characters!$A:$K,11,FALSE)</f>
        <v>balance</v>
      </c>
      <c r="M287" s="7" t="str">
        <f>VLOOKUP(B287,[1]characters!$A:$M,13,FALSE)</f>
        <v>human</v>
      </c>
      <c r="N287" s="7" t="str">
        <f>VLOOKUP(B287,[1]characters!$A:$G,7,FALSE)</f>
        <v>女性</v>
      </c>
      <c r="O287" s="45">
        <f ca="1">IFERROR(VLOOKUP(B287,input_421010!L:R,7,FALSE),VLOOKUP(tables_421010!C67,input_421010!A:H,8,FALSE))</f>
        <v>126825</v>
      </c>
      <c r="P287" s="46">
        <f t="shared" ca="1" si="14"/>
        <v>1.4246928784337008E-3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input_421010!A$2</f>
        <v>421010</v>
      </c>
      <c r="B288" s="6">
        <v>192</v>
      </c>
      <c r="C288" s="7" t="str">
        <f t="shared" si="12"/>
        <v>Premium5</v>
      </c>
      <c r="D288" s="7" t="str">
        <f t="shared" si="13"/>
        <v>Premium</v>
      </c>
      <c r="E288" s="7" t="str">
        <f>IF(COUNTIF('R6追加前'!A:A,B288)=0,IF(OR(I288="PremiumSS",I288="PremiumSSw"),"R5only","R3less"),"")</f>
        <v/>
      </c>
      <c r="F288" s="7" t="str">
        <f>IF(COUNTIF('R6開放'!A:A,B288)&gt;0,"R6release","")</f>
        <v/>
      </c>
      <c r="G288" s="7"/>
      <c r="H288" s="7" t="str">
        <f>VLOOKUP(B288,[1]characters!$A:$C,3,FALSE)</f>
        <v>荘厳なる始祖帝 卑弥呼</v>
      </c>
      <c r="I288" s="7" t="str">
        <f>VLOOKUP(B288,[1]characters!$A:$J,10,FALSE)</f>
        <v>PremiumN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human</v>
      </c>
      <c r="N288" s="7" t="str">
        <f>VLOOKUP(B288,[1]characters!$A:$G,7,FALSE)</f>
        <v>女性</v>
      </c>
      <c r="O288" s="45">
        <f ca="1">IFERROR(VLOOKUP(B288,input_421010!L:R,7,FALSE),VLOOKUP(tables_421010!C68,input_421010!A:H,8,FALSE))</f>
        <v>6675</v>
      </c>
      <c r="P288" s="46">
        <f t="shared" ca="1" si="14"/>
        <v>7.4983835707036881E-5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input_421010!A$2</f>
        <v>421010</v>
      </c>
      <c r="B289" s="6">
        <v>193</v>
      </c>
      <c r="C289" s="7" t="str">
        <f t="shared" si="12"/>
        <v>Premium3</v>
      </c>
      <c r="D289" s="7" t="str">
        <f t="shared" si="13"/>
        <v>Premium</v>
      </c>
      <c r="E289" s="7" t="str">
        <f>IF(COUNTIF('R6追加前'!A:A,B289)=0,IF(OR(I289="PremiumSS",I289="PremiumSSw"),"R5only","R3less"),"")</f>
        <v/>
      </c>
      <c r="F289" s="7" t="str">
        <f>IF(COUNTIF('R6開放'!A:A,B289)&gt;0,"R6release","")</f>
        <v/>
      </c>
      <c r="G289" s="7"/>
      <c r="H289" s="7" t="str">
        <f>VLOOKUP(B289,[1]characters!$A:$C,3,FALSE)</f>
        <v>ロビンフッド</v>
      </c>
      <c r="I289" s="7" t="str">
        <f>VLOOKUP(B289,[1]characters!$A:$J,10,FALSE)</f>
        <v>PremiumN</v>
      </c>
      <c r="J289" s="7">
        <f>VLOOKUP(B289,[1]characters!$A:$I,9,FALSE)</f>
        <v>3</v>
      </c>
      <c r="K289" s="7" t="str">
        <f>VLOOKUP(B289,[1]characters!$A:$H,8,FALSE)</f>
        <v>green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女性</v>
      </c>
      <c r="O289" s="45">
        <f ca="1">IFERROR(VLOOKUP(B289,input_421010!L:R,7,FALSE),VLOOKUP(tables_421010!C69,input_421010!A:H,8,FALSE))</f>
        <v>126825</v>
      </c>
      <c r="P289" s="46">
        <f t="shared" ca="1" si="14"/>
        <v>1.4246928784337008E-3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input_421010!A$2</f>
        <v>421010</v>
      </c>
      <c r="B290" s="6">
        <v>194</v>
      </c>
      <c r="C290" s="7" t="str">
        <f t="shared" si="12"/>
        <v>Premium4</v>
      </c>
      <c r="D290" s="7" t="str">
        <f t="shared" si="13"/>
        <v>Premium</v>
      </c>
      <c r="E290" s="7" t="str">
        <f>IF(COUNTIF('R6追加前'!A:A,B290)=0,IF(OR(I290="PremiumSS",I290="PremiumSSw"),"R5only","R3less"),"")</f>
        <v/>
      </c>
      <c r="F290" s="7" t="str">
        <f>IF(COUNTIF('R6開放'!A:A,B290)&gt;0,"R6release","")</f>
        <v/>
      </c>
      <c r="G290" s="7"/>
      <c r="H290" s="7" t="str">
        <f>VLOOKUP(B290,[1]characters!$A:$C,3,FALSE)</f>
        <v>スナイパー ロビンフッド</v>
      </c>
      <c r="I290" s="7" t="str">
        <f>VLOOKUP(B290,[1]characters!$A:$J,10,FALSE)</f>
        <v>PremiumN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女性</v>
      </c>
      <c r="O290" s="45">
        <f ca="1">IFERROR(VLOOKUP(B290,input_421010!L:R,7,FALSE),VLOOKUP(tables_421010!C70,input_421010!A:H,8,FALSE))</f>
        <v>6675</v>
      </c>
      <c r="P290" s="46">
        <f t="shared" ca="1" si="14"/>
        <v>7.4983835707036881E-5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input_421010!A$2</f>
        <v>421010</v>
      </c>
      <c r="B291" s="6">
        <v>195</v>
      </c>
      <c r="C291" s="7" t="str">
        <f t="shared" si="12"/>
        <v>Premium5</v>
      </c>
      <c r="D291" s="7" t="str">
        <f t="shared" si="13"/>
        <v>Premium</v>
      </c>
      <c r="E291" s="7" t="str">
        <f>IF(COUNTIF('R6追加前'!A:A,B291)=0,IF(OR(I291="PremiumSS",I291="PremiumSSw"),"R5only","R3less"),"")</f>
        <v/>
      </c>
      <c r="F291" s="7" t="str">
        <f>IF(COUNTIF('R6開放'!A:A,B291)&gt;0,"R6release","")</f>
        <v/>
      </c>
      <c r="G291" s="7"/>
      <c r="H291" s="7" t="str">
        <f>VLOOKUP(B291,[1]characters!$A:$C,3,FALSE)</f>
        <v>グランドハンター ロビンフッド</v>
      </c>
      <c r="I291" s="7" t="str">
        <f>VLOOKUP(B291,[1]characters!$A:$J,10,FALSE)</f>
        <v>PremiumN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balance</v>
      </c>
      <c r="M291" s="7" t="str">
        <f>VLOOKUP(B291,[1]characters!$A:$M,13,FALSE)</f>
        <v>human</v>
      </c>
      <c r="N291" s="7" t="str">
        <f>VLOOKUP(B291,[1]characters!$A:$G,7,FALSE)</f>
        <v>女性</v>
      </c>
      <c r="O291" s="45">
        <f ca="1">IFERROR(VLOOKUP(B291,input_421010!L:R,7,FALSE),VLOOKUP(tables_421010!C71,input_421010!A:H,8,FALSE))</f>
        <v>126825</v>
      </c>
      <c r="P291" s="46">
        <f t="shared" ca="1" si="14"/>
        <v>1.4246928784337008E-3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input_421010!A$2</f>
        <v>421010</v>
      </c>
      <c r="B292" s="6">
        <v>196</v>
      </c>
      <c r="C292" s="7" t="str">
        <f t="shared" si="12"/>
        <v>Premium3</v>
      </c>
      <c r="D292" s="7" t="str">
        <f t="shared" si="13"/>
        <v>Premium</v>
      </c>
      <c r="E292" s="7" t="str">
        <f>IF(COUNTIF('R6追加前'!A:A,B292)=0,IF(OR(I292="PremiumSS",I292="PremiumSSw"),"R5only","R3less"),"")</f>
        <v/>
      </c>
      <c r="F292" s="7" t="str">
        <f>IF(COUNTIF('R6開放'!A:A,B292)&gt;0,"R6release","")</f>
        <v/>
      </c>
      <c r="G292" s="7"/>
      <c r="H292" s="7" t="str">
        <f>VLOOKUP(B292,[1]characters!$A:$C,3,FALSE)</f>
        <v>アキレス</v>
      </c>
      <c r="I292" s="7" t="str">
        <f>VLOOKUP(B292,[1]characters!$A:$J,10,FALSE)</f>
        <v>PremiumN</v>
      </c>
      <c r="J292" s="7">
        <f>VLOOKUP(B292,[1]characters!$A:$I,9,FALSE)</f>
        <v>3</v>
      </c>
      <c r="K292" s="7" t="str">
        <f>VLOOKUP(B292,[1]characters!$A:$H,8,FALSE)</f>
        <v>yellow</v>
      </c>
      <c r="L292" s="7" t="str">
        <f>VLOOKUP(B292,[1]characters!$A:$K,11,FALSE)</f>
        <v>balance</v>
      </c>
      <c r="M292" s="7" t="str">
        <f>VLOOKUP(B292,[1]characters!$A:$M,13,FALSE)</f>
        <v>human</v>
      </c>
      <c r="N292" s="7" t="str">
        <f>VLOOKUP(B292,[1]characters!$A:$G,7,FALSE)</f>
        <v>女性</v>
      </c>
      <c r="O292" s="45">
        <f ca="1">IFERROR(VLOOKUP(B292,input_421010!L:R,7,FALSE),VLOOKUP(tables_421010!C72,input_421010!A:H,8,FALSE))</f>
        <v>6675</v>
      </c>
      <c r="P292" s="46">
        <f t="shared" ca="1" si="14"/>
        <v>7.4983835707036881E-5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input_421010!A$2</f>
        <v>421010</v>
      </c>
      <c r="B293" s="6">
        <v>197</v>
      </c>
      <c r="C293" s="7" t="str">
        <f t="shared" si="12"/>
        <v>Premium4</v>
      </c>
      <c r="D293" s="7" t="str">
        <f t="shared" si="13"/>
        <v>Premium</v>
      </c>
      <c r="E293" s="7" t="str">
        <f>IF(COUNTIF('R6追加前'!A:A,B293)=0,IF(OR(I293="PremiumSS",I293="PremiumSSw"),"R5only","R3less"),"")</f>
        <v/>
      </c>
      <c r="F293" s="7" t="str">
        <f>IF(COUNTIF('R6開放'!A:A,B293)&gt;0,"R6release","")</f>
        <v/>
      </c>
      <c r="G293" s="7"/>
      <c r="H293" s="7" t="str">
        <f>VLOOKUP(B293,[1]characters!$A:$C,3,FALSE)</f>
        <v>鉄腕 アキレス</v>
      </c>
      <c r="I293" s="7" t="str">
        <f>VLOOKUP(B293,[1]characters!$A:$J,10,FALSE)</f>
        <v>PremiumN</v>
      </c>
      <c r="J293" s="7">
        <f>VLOOKUP(B293,[1]characters!$A:$I,9,FALSE)</f>
        <v>4</v>
      </c>
      <c r="K293" s="7" t="str">
        <f>VLOOKUP(B293,[1]characters!$A:$H,8,FALSE)</f>
        <v>yellow</v>
      </c>
      <c r="L293" s="7" t="str">
        <f>VLOOKUP(B293,[1]characters!$A:$K,11,FALSE)</f>
        <v>balance</v>
      </c>
      <c r="M293" s="7" t="str">
        <f>VLOOKUP(B293,[1]characters!$A:$M,13,FALSE)</f>
        <v>human</v>
      </c>
      <c r="N293" s="7" t="str">
        <f>VLOOKUP(B293,[1]characters!$A:$G,7,FALSE)</f>
        <v>女性</v>
      </c>
      <c r="O293" s="45">
        <f ca="1">IFERROR(VLOOKUP(B293,input_421010!L:R,7,FALSE),VLOOKUP(tables_421010!C73,input_421010!A:H,8,FALSE))</f>
        <v>126825</v>
      </c>
      <c r="P293" s="46">
        <f t="shared" ca="1" si="14"/>
        <v>1.4246928784337008E-3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input_421010!A$2</f>
        <v>421010</v>
      </c>
      <c r="B294" s="6">
        <v>198</v>
      </c>
      <c r="C294" s="7" t="str">
        <f t="shared" si="12"/>
        <v>Premium5</v>
      </c>
      <c r="D294" s="7" t="str">
        <f t="shared" si="13"/>
        <v>Premium</v>
      </c>
      <c r="E294" s="7" t="str">
        <f>IF(COUNTIF('R6追加前'!A:A,B294)=0,IF(OR(I294="PremiumSS",I294="PremiumSSw"),"R5only","R3less"),"")</f>
        <v/>
      </c>
      <c r="F294" s="7" t="str">
        <f>IF(COUNTIF('R6開放'!A:A,B294)&gt;0,"R6release","")</f>
        <v/>
      </c>
      <c r="G294" s="7"/>
      <c r="H294" s="7" t="str">
        <f>VLOOKUP(B294,[1]characters!$A:$C,3,FALSE)</f>
        <v>砕骨の剛腕 アキレス</v>
      </c>
      <c r="I294" s="7" t="str">
        <f>VLOOKUP(B294,[1]characters!$A:$J,10,FALSE)</f>
        <v>PremiumN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女性</v>
      </c>
      <c r="O294" s="45">
        <f ca="1">IFERROR(VLOOKUP(B294,input_421010!L:R,7,FALSE),VLOOKUP(tables_421010!C74,input_421010!A:H,8,FALSE))</f>
        <v>6675</v>
      </c>
      <c r="P294" s="46">
        <f t="shared" ca="1" si="14"/>
        <v>7.4983835707036881E-5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input_421010!A$2</f>
        <v>421010</v>
      </c>
      <c r="B295" s="6">
        <v>199</v>
      </c>
      <c r="C295" s="7" t="str">
        <f t="shared" si="12"/>
        <v>Premium3</v>
      </c>
      <c r="D295" s="7" t="str">
        <f t="shared" si="13"/>
        <v>Premium</v>
      </c>
      <c r="E295" s="7" t="str">
        <f>IF(COUNTIF('R6追加前'!A:A,B295)=0,IF(OR(I295="PremiumSS",I295="PremiumSSw"),"R5only","R3less"),"")</f>
        <v/>
      </c>
      <c r="F295" s="7" t="str">
        <f>IF(COUNTIF('R6開放'!A:A,B295)&gt;0,"R6release","")</f>
        <v/>
      </c>
      <c r="G295" s="7"/>
      <c r="H295" s="7" t="str">
        <f>VLOOKUP(B295,[1]characters!$A:$C,3,FALSE)</f>
        <v>ジークフリート</v>
      </c>
      <c r="I295" s="7" t="str">
        <f>VLOOKUP(B295,[1]characters!$A:$J,10,FALSE)</f>
        <v>PremiumN</v>
      </c>
      <c r="J295" s="7">
        <f>VLOOKUP(B295,[1]characters!$A:$I,9,FALSE)</f>
        <v>3</v>
      </c>
      <c r="K295" s="7" t="str">
        <f>VLOOKUP(B295,[1]characters!$A:$H,8,FALSE)</f>
        <v>blue</v>
      </c>
      <c r="L295" s="7" t="str">
        <f>VLOOKUP(B295,[1]characters!$A:$K,11,FALSE)</f>
        <v>balance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IFERROR(VLOOKUP(B295,input_421010!L:R,7,FALSE),VLOOKUP(tables_421010!C75,input_421010!A:H,8,FALSE))</f>
        <v>126825</v>
      </c>
      <c r="P295" s="46">
        <f t="shared" ca="1" si="14"/>
        <v>1.4246928784337008E-3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input_421010!A$2</f>
        <v>421010</v>
      </c>
      <c r="B296" s="6">
        <v>200</v>
      </c>
      <c r="C296" s="7" t="str">
        <f t="shared" si="12"/>
        <v>Premium4</v>
      </c>
      <c r="D296" s="7" t="str">
        <f t="shared" si="13"/>
        <v>Premium</v>
      </c>
      <c r="E296" s="7" t="str">
        <f>IF(COUNTIF('R6追加前'!A:A,B296)=0,IF(OR(I296="PremiumSS",I296="PremiumSSw"),"R5only","R3less"),"")</f>
        <v/>
      </c>
      <c r="F296" s="7" t="str">
        <f>IF(COUNTIF('R6開放'!A:A,B296)&gt;0,"R6release","")</f>
        <v/>
      </c>
      <c r="G296" s="7"/>
      <c r="H296" s="7" t="str">
        <f>VLOOKUP(B296,[1]characters!$A:$C,3,FALSE)</f>
        <v>大剣士 ジークフリート</v>
      </c>
      <c r="I296" s="7" t="str">
        <f>VLOOKUP(B296,[1]characters!$A:$J,10,FALSE)</f>
        <v>PremiumN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IFERROR(VLOOKUP(B296,input_421010!L:R,7,FALSE),VLOOKUP(tables_421010!C76,input_421010!A:H,8,FALSE))</f>
        <v>6675</v>
      </c>
      <c r="P296" s="46">
        <f t="shared" ca="1" si="14"/>
        <v>7.4983835707036881E-5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input_421010!A$2</f>
        <v>421010</v>
      </c>
      <c r="B297" s="5">
        <v>201</v>
      </c>
      <c r="C297" s="7" t="str">
        <f t="shared" si="12"/>
        <v>Premium5</v>
      </c>
      <c r="D297" s="7" t="str">
        <f t="shared" si="13"/>
        <v>Premium</v>
      </c>
      <c r="E297" s="7" t="str">
        <f>IF(COUNTIF('R6追加前'!A:A,B297)=0,IF(OR(I297="PremiumSS",I297="PremiumSSw"),"R5only","R3less"),"")</f>
        <v/>
      </c>
      <c r="F297" s="7" t="str">
        <f>IF(COUNTIF('R6開放'!A:A,B297)&gt;0,"R6release","")</f>
        <v/>
      </c>
      <c r="G297" s="7"/>
      <c r="H297" s="7" t="str">
        <f>VLOOKUP(B297,[1]characters!$A:$C,3,FALSE)</f>
        <v>斬空の大破剣 ジークフリート</v>
      </c>
      <c r="I297" s="7" t="str">
        <f>VLOOKUP(B297,[1]characters!$A:$J,10,FALSE)</f>
        <v>PremiumN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5">
        <f ca="1">IFERROR(VLOOKUP(B297,input_421010!L:R,7,FALSE),VLOOKUP(tables_421010!C77,input_421010!A:H,8,FALSE))</f>
        <v>126825</v>
      </c>
      <c r="P297" s="46">
        <f t="shared" ca="1" si="14"/>
        <v>1.4246928784337008E-3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input_421010!A$2</f>
        <v>421010</v>
      </c>
      <c r="B298" s="5">
        <v>202</v>
      </c>
      <c r="C298" s="7" t="str">
        <f t="shared" si="12"/>
        <v>Premium3</v>
      </c>
      <c r="D298" s="7" t="str">
        <f t="shared" si="13"/>
        <v>Premium</v>
      </c>
      <c r="E298" s="7" t="str">
        <f>IF(COUNTIF('R6追加前'!A:A,B298)=0,IF(OR(I298="PremiumSS",I298="PremiumSSw"),"R5only","R3less"),"")</f>
        <v/>
      </c>
      <c r="F298" s="7" t="str">
        <f>IF(COUNTIF('R6開放'!A:A,B298)&gt;0,"R6release","")</f>
        <v/>
      </c>
      <c r="G298" s="7"/>
      <c r="H298" s="7" t="str">
        <f>VLOOKUP(B298,[1]characters!$A:$C,3,FALSE)</f>
        <v>プロメテウス</v>
      </c>
      <c r="I298" s="7" t="str">
        <f>VLOOKUP(B298,[1]characters!$A:$J,10,FALSE)</f>
        <v>PremiumN</v>
      </c>
      <c r="J298" s="7">
        <f>VLOOKUP(B298,[1]characters!$A:$I,9,FALSE)</f>
        <v>3</v>
      </c>
      <c r="K298" s="7" t="str">
        <f>VLOOKUP(B298,[1]characters!$A:$H,8,FALSE)</f>
        <v>red</v>
      </c>
      <c r="L298" s="7" t="str">
        <f>VLOOKUP(B298,[1]characters!$A:$K,11,FALSE)</f>
        <v>hp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IFERROR(VLOOKUP(B298,input_421010!L:R,7,FALSE),VLOOKUP(tables_421010!C78,input_421010!A:H,8,FALSE))</f>
        <v>6675</v>
      </c>
      <c r="P298" s="46">
        <f t="shared" ca="1" si="14"/>
        <v>7.4983835707036881E-5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input_421010!A$2</f>
        <v>421010</v>
      </c>
      <c r="B299" s="5">
        <v>203</v>
      </c>
      <c r="C299" s="7" t="str">
        <f t="shared" si="12"/>
        <v>Premium4</v>
      </c>
      <c r="D299" s="7" t="str">
        <f t="shared" si="13"/>
        <v>Premium</v>
      </c>
      <c r="E299" s="7" t="str">
        <f>IF(COUNTIF('R6追加前'!A:A,B299)=0,IF(OR(I299="PremiumSS",I299="PremiumSSw"),"R5only","R3less"),"")</f>
        <v/>
      </c>
      <c r="F299" s="7" t="str">
        <f>IF(COUNTIF('R6開放'!A:A,B299)&gt;0,"R6release","")</f>
        <v/>
      </c>
      <c r="G299" s="7"/>
      <c r="H299" s="7" t="str">
        <f>VLOOKUP(B299,[1]characters!$A:$C,3,FALSE)</f>
        <v>焔神 プロメテウス</v>
      </c>
      <c r="I299" s="7" t="str">
        <f>VLOOKUP(B299,[1]characters!$A:$J,10,FALSE)</f>
        <v>PremiumN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hp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IFERROR(VLOOKUP(B299,input_421010!L:R,7,FALSE),VLOOKUP(tables_421010!C79,input_421010!A:H,8,FALSE))</f>
        <v>126825</v>
      </c>
      <c r="P299" s="46">
        <f t="shared" ca="1" si="14"/>
        <v>1.4246928784337008E-3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input_421010!A$2</f>
        <v>421010</v>
      </c>
      <c r="B300" s="5">
        <v>204</v>
      </c>
      <c r="C300" s="7" t="str">
        <f t="shared" si="12"/>
        <v>Premium5</v>
      </c>
      <c r="D300" s="7" t="str">
        <f t="shared" si="13"/>
        <v>Premium</v>
      </c>
      <c r="E300" s="7" t="str">
        <f>IF(COUNTIF('R6追加前'!A:A,B300)=0,IF(OR(I300="PremiumSS",I300="PremiumSSw"),"R5only","R3less"),"")</f>
        <v/>
      </c>
      <c r="F300" s="7" t="str">
        <f>IF(COUNTIF('R6開放'!A:A,B300)&gt;0,"R6release","")</f>
        <v/>
      </c>
      <c r="G300" s="7"/>
      <c r="H300" s="7" t="str">
        <f>VLOOKUP(B300,[1]characters!$A:$C,3,FALSE)</f>
        <v>慟哭の巨焔 プロメテウス</v>
      </c>
      <c r="I300" s="7" t="str">
        <f>VLOOKUP(B300,[1]characters!$A:$J,10,FALSE)</f>
        <v>PremiumN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hp</v>
      </c>
      <c r="M300" s="7" t="str">
        <f>VLOOKUP(B300,[1]characters!$A:$M,13,FALSE)</f>
        <v>god</v>
      </c>
      <c r="N300" s="7" t="str">
        <f>VLOOKUP(B300,[1]characters!$A:$G,7,FALSE)</f>
        <v>男性</v>
      </c>
      <c r="O300" s="45">
        <f ca="1">IFERROR(VLOOKUP(B300,input_421010!L:R,7,FALSE),VLOOKUP(tables_421010!C80,input_421010!A:H,8,FALSE))</f>
        <v>6675</v>
      </c>
      <c r="P300" s="46">
        <f t="shared" ca="1" si="14"/>
        <v>7.4983835707036881E-5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input_421010!A$2</f>
        <v>421010</v>
      </c>
      <c r="B301" s="5">
        <v>205</v>
      </c>
      <c r="C301" s="7" t="str">
        <f t="shared" si="12"/>
        <v>Premium3</v>
      </c>
      <c r="D301" s="7" t="str">
        <f t="shared" si="13"/>
        <v>Premium</v>
      </c>
      <c r="E301" s="7" t="str">
        <f>IF(COUNTIF('R6追加前'!A:A,B301)=0,IF(OR(I301="PremiumSS",I301="PremiumSSw"),"R5only","R3less"),"")</f>
        <v/>
      </c>
      <c r="F301" s="7" t="str">
        <f>IF(COUNTIF('R6開放'!A:A,B301)&gt;0,"R6release","")</f>
        <v/>
      </c>
      <c r="G301" s="7"/>
      <c r="H301" s="7" t="str">
        <f>VLOOKUP(B301,[1]characters!$A:$C,3,FALSE)</f>
        <v>アフロディーテ</v>
      </c>
      <c r="I301" s="7" t="str">
        <f>VLOOKUP(B301,[1]characters!$A:$J,10,FALSE)</f>
        <v>PremiumN</v>
      </c>
      <c r="J301" s="7">
        <f>VLOOKUP(B301,[1]characters!$A:$I,9,FALSE)</f>
        <v>3</v>
      </c>
      <c r="K301" s="7" t="str">
        <f>VLOOKUP(B301,[1]characters!$A:$H,8,FALSE)</f>
        <v>green</v>
      </c>
      <c r="L301" s="7" t="str">
        <f>VLOOKUP(B301,[1]characters!$A:$K,11,FALSE)</f>
        <v>hp</v>
      </c>
      <c r="M301" s="7" t="str">
        <f>VLOOKUP(B301,[1]characters!$A:$M,13,FALSE)</f>
        <v>god</v>
      </c>
      <c r="N301" s="7" t="str">
        <f>VLOOKUP(B301,[1]characters!$A:$G,7,FALSE)</f>
        <v>女性</v>
      </c>
      <c r="O301" s="45">
        <f ca="1">IFERROR(VLOOKUP(B301,input_421010!L:R,7,FALSE),VLOOKUP(tables_421010!C81,input_421010!A:H,8,FALSE))</f>
        <v>126825</v>
      </c>
      <c r="P301" s="46">
        <f t="shared" ca="1" si="14"/>
        <v>1.4246928784337008E-3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input_421010!A$2</f>
        <v>421010</v>
      </c>
      <c r="B302" s="5">
        <v>206</v>
      </c>
      <c r="C302" s="7" t="str">
        <f t="shared" si="12"/>
        <v>Premium4</v>
      </c>
      <c r="D302" s="7" t="str">
        <f t="shared" si="13"/>
        <v>Premium</v>
      </c>
      <c r="E302" s="7" t="str">
        <f>IF(COUNTIF('R6追加前'!A:A,B302)=0,IF(OR(I302="PremiumSS",I302="PremiumSSw"),"R5only","R3less"),"")</f>
        <v/>
      </c>
      <c r="F302" s="7" t="str">
        <f>IF(COUNTIF('R6開放'!A:A,B302)&gt;0,"R6release","")</f>
        <v/>
      </c>
      <c r="G302" s="7"/>
      <c r="H302" s="7" t="str">
        <f>VLOOKUP(B302,[1]characters!$A:$C,3,FALSE)</f>
        <v>美神 アフロディーテ</v>
      </c>
      <c r="I302" s="7" t="str">
        <f>VLOOKUP(B302,[1]characters!$A:$J,10,FALSE)</f>
        <v>PremiumN</v>
      </c>
      <c r="J302" s="7">
        <f>VLOOKUP(B302,[1]characters!$A:$I,9,FALSE)</f>
        <v>4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女性</v>
      </c>
      <c r="O302" s="45">
        <f ca="1">IFERROR(VLOOKUP(B302,input_421010!L:R,7,FALSE),VLOOKUP(tables_421010!C82,input_421010!A:H,8,FALSE))</f>
        <v>6675</v>
      </c>
      <c r="P302" s="46">
        <f t="shared" ca="1" si="14"/>
        <v>7.4983835707036881E-5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input_421010!A$2</f>
        <v>421010</v>
      </c>
      <c r="B303" s="5">
        <v>207</v>
      </c>
      <c r="C303" s="7" t="str">
        <f t="shared" si="12"/>
        <v>Premium5</v>
      </c>
      <c r="D303" s="7" t="str">
        <f t="shared" si="13"/>
        <v>Premium</v>
      </c>
      <c r="E303" s="7" t="str">
        <f>IF(COUNTIF('R6追加前'!A:A,B303)=0,IF(OR(I303="PremiumSS",I303="PremiumSSw"),"R5only","R3less"),"")</f>
        <v/>
      </c>
      <c r="F303" s="7" t="str">
        <f>IF(COUNTIF('R6開放'!A:A,B303)&gt;0,"R6release","")</f>
        <v/>
      </c>
      <c r="G303" s="7"/>
      <c r="H303" s="7" t="str">
        <f>VLOOKUP(B303,[1]characters!$A:$C,3,FALSE)</f>
        <v>豊穣の麗神・アフロディーテ</v>
      </c>
      <c r="I303" s="7" t="str">
        <f>VLOOKUP(B303,[1]characters!$A:$J,10,FALSE)</f>
        <v>PremiumN</v>
      </c>
      <c r="J303" s="7">
        <f>VLOOKUP(B303,[1]characters!$A:$I,9,FALSE)</f>
        <v>5</v>
      </c>
      <c r="K303" s="7" t="str">
        <f>VLOOKUP(B303,[1]characters!$A:$H,8,FALSE)</f>
        <v>green</v>
      </c>
      <c r="L303" s="7" t="str">
        <f>VLOOKUP(B303,[1]characters!$A:$K,11,FALSE)</f>
        <v>hp</v>
      </c>
      <c r="M303" s="7" t="str">
        <f>VLOOKUP(B303,[1]characters!$A:$M,13,FALSE)</f>
        <v>god</v>
      </c>
      <c r="N303" s="7" t="str">
        <f>VLOOKUP(B303,[1]characters!$A:$G,7,FALSE)</f>
        <v>女性</v>
      </c>
      <c r="O303" s="45">
        <f ca="1">IFERROR(VLOOKUP(B303,input_421010!L:R,7,FALSE),VLOOKUP(tables_421010!C83,input_421010!A:H,8,FALSE))</f>
        <v>126825</v>
      </c>
      <c r="P303" s="46">
        <f t="shared" ca="1" si="14"/>
        <v>1.4246928784337008E-3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input_421010!A$2</f>
        <v>421010</v>
      </c>
      <c r="B304" s="5">
        <v>208</v>
      </c>
      <c r="C304" s="7" t="str">
        <f t="shared" si="12"/>
        <v>Premium3</v>
      </c>
      <c r="D304" s="7" t="str">
        <f t="shared" si="13"/>
        <v>Premium</v>
      </c>
      <c r="E304" s="7" t="str">
        <f>IF(COUNTIF('R6追加前'!A:A,B304)=0,IF(OR(I304="PremiumSS",I304="PremiumSSw"),"R5only","R3less"),"")</f>
        <v/>
      </c>
      <c r="F304" s="7" t="str">
        <f>IF(COUNTIF('R6開放'!A:A,B304)&gt;0,"R6release","")</f>
        <v/>
      </c>
      <c r="G304" s="7"/>
      <c r="H304" s="7" t="str">
        <f>VLOOKUP(B304,[1]characters!$A:$C,3,FALSE)</f>
        <v>テティス</v>
      </c>
      <c r="I304" s="7" t="str">
        <f>VLOOKUP(B304,[1]characters!$A:$J,10,FALSE)</f>
        <v>PremiumN</v>
      </c>
      <c r="J304" s="7">
        <f>VLOOKUP(B304,[1]characters!$A:$I,9,FALSE)</f>
        <v>3</v>
      </c>
      <c r="K304" s="7" t="str">
        <f>VLOOKUP(B304,[1]characters!$A:$H,8,FALSE)</f>
        <v>blue</v>
      </c>
      <c r="L304" s="7" t="str">
        <f>VLOOKUP(B304,[1]characters!$A:$K,11,FALSE)</f>
        <v>hp</v>
      </c>
      <c r="M304" s="7" t="str">
        <f>VLOOKUP(B304,[1]characters!$A:$M,13,FALSE)</f>
        <v>god</v>
      </c>
      <c r="N304" s="7" t="str">
        <f>VLOOKUP(B304,[1]characters!$A:$G,7,FALSE)</f>
        <v>女性</v>
      </c>
      <c r="O304" s="45">
        <f ca="1">IFERROR(VLOOKUP(B304,input_421010!L:R,7,FALSE),VLOOKUP(tables_421010!C84,input_421010!A:H,8,FALSE))</f>
        <v>6675</v>
      </c>
      <c r="P304" s="46">
        <f t="shared" ca="1" si="14"/>
        <v>7.4983835707036881E-5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input_421010!A$2</f>
        <v>421010</v>
      </c>
      <c r="B305" s="5">
        <v>209</v>
      </c>
      <c r="C305" s="7" t="str">
        <f t="shared" si="12"/>
        <v>Premium4</v>
      </c>
      <c r="D305" s="7" t="str">
        <f t="shared" si="13"/>
        <v>Premium</v>
      </c>
      <c r="E305" s="7" t="str">
        <f>IF(COUNTIF('R6追加前'!A:A,B305)=0,IF(OR(I305="PremiumSS",I305="PremiumSSw"),"R5only","R3less"),"")</f>
        <v/>
      </c>
      <c r="F305" s="7" t="str">
        <f>IF(COUNTIF('R6開放'!A:A,B305)&gt;0,"R6release","")</f>
        <v/>
      </c>
      <c r="G305" s="7"/>
      <c r="H305" s="7" t="str">
        <f>VLOOKUP(B305,[1]characters!$A:$C,3,FALSE)</f>
        <v>孤神 テティス</v>
      </c>
      <c r="I305" s="7" t="str">
        <f>VLOOKUP(B305,[1]characters!$A:$J,10,FALSE)</f>
        <v>PremiumN</v>
      </c>
      <c r="J305" s="7">
        <f>VLOOKUP(B305,[1]characters!$A:$I,9,FALSE)</f>
        <v>4</v>
      </c>
      <c r="K305" s="7" t="str">
        <f>VLOOKUP(B305,[1]characters!$A:$H,8,FALSE)</f>
        <v>blue</v>
      </c>
      <c r="L305" s="7" t="str">
        <f>VLOOKUP(B305,[1]characters!$A:$K,11,FALSE)</f>
        <v>hp</v>
      </c>
      <c r="M305" s="7" t="str">
        <f>VLOOKUP(B305,[1]characters!$A:$M,13,FALSE)</f>
        <v>god</v>
      </c>
      <c r="N305" s="7" t="str">
        <f>VLOOKUP(B305,[1]characters!$A:$G,7,FALSE)</f>
        <v>女性</v>
      </c>
      <c r="O305" s="45">
        <f ca="1">IFERROR(VLOOKUP(B305,input_421010!L:R,7,FALSE),VLOOKUP(tables_421010!C85,input_421010!A:H,8,FALSE))</f>
        <v>126825</v>
      </c>
      <c r="P305" s="46">
        <f t="shared" ca="1" si="14"/>
        <v>1.4246928784337008E-3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input_421010!A$2</f>
        <v>421010</v>
      </c>
      <c r="B306" s="5">
        <v>210</v>
      </c>
      <c r="C306" s="7" t="str">
        <f t="shared" si="12"/>
        <v>Premium5</v>
      </c>
      <c r="D306" s="7" t="str">
        <f t="shared" si="13"/>
        <v>Premium</v>
      </c>
      <c r="E306" s="7" t="str">
        <f>IF(COUNTIF('R6追加前'!A:A,B306)=0,IF(OR(I306="PremiumSS",I306="PremiumSSw"),"R5only","R3less"),"")</f>
        <v/>
      </c>
      <c r="F306" s="7" t="str">
        <f>IF(COUNTIF('R6開放'!A:A,B306)&gt;0,"R6release","")</f>
        <v/>
      </c>
      <c r="G306" s="7"/>
      <c r="H306" s="7" t="str">
        <f>VLOOKUP(B306,[1]characters!$A:$C,3,FALSE)</f>
        <v>海底の孤高神 テティス</v>
      </c>
      <c r="I306" s="7" t="str">
        <f>VLOOKUP(B306,[1]characters!$A:$J,10,FALSE)</f>
        <v>PremiumN</v>
      </c>
      <c r="J306" s="7">
        <f>VLOOKUP(B306,[1]characters!$A:$I,9,FALSE)</f>
        <v>5</v>
      </c>
      <c r="K306" s="7" t="str">
        <f>VLOOKUP(B306,[1]characters!$A:$H,8,FALSE)</f>
        <v>blue</v>
      </c>
      <c r="L306" s="7" t="str">
        <f>VLOOKUP(B306,[1]characters!$A:$K,11,FALSE)</f>
        <v>hp</v>
      </c>
      <c r="M306" s="7" t="str">
        <f>VLOOKUP(B306,[1]characters!$A:$M,13,FALSE)</f>
        <v>god</v>
      </c>
      <c r="N306" s="7" t="str">
        <f>VLOOKUP(B306,[1]characters!$A:$G,7,FALSE)</f>
        <v>女性</v>
      </c>
      <c r="O306" s="45">
        <f ca="1">IFERROR(VLOOKUP(B306,input_421010!L:R,7,FALSE),VLOOKUP(tables_421010!C86,input_421010!A:H,8,FALSE))</f>
        <v>6675</v>
      </c>
      <c r="P306" s="46">
        <f t="shared" ca="1" si="14"/>
        <v>7.4983835707036881E-5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input_421010!A$2</f>
        <v>421010</v>
      </c>
      <c r="B307" s="5">
        <v>211</v>
      </c>
      <c r="C307" s="7" t="str">
        <f t="shared" si="12"/>
        <v>Premium3</v>
      </c>
      <c r="D307" s="7" t="str">
        <f t="shared" si="13"/>
        <v>Premium</v>
      </c>
      <c r="E307" s="7" t="str">
        <f>IF(COUNTIF('R6追加前'!A:A,B307)=0,IF(OR(I307="PremiumSS",I307="PremiumSSw"),"R5only","R3less"),"")</f>
        <v/>
      </c>
      <c r="F307" s="7" t="str">
        <f>IF(COUNTIF('R6開放'!A:A,B307)&gt;0,"R6release","")</f>
        <v/>
      </c>
      <c r="G307" s="7"/>
      <c r="H307" s="7" t="str">
        <f>VLOOKUP(B307,[1]characters!$A:$C,3,FALSE)</f>
        <v>アストライアー</v>
      </c>
      <c r="I307" s="7" t="str">
        <f>VLOOKUP(B307,[1]characters!$A:$J,10,FALSE)</f>
        <v>PremiumN</v>
      </c>
      <c r="J307" s="7">
        <f>VLOOKUP(B307,[1]characters!$A:$I,9,FALSE)</f>
        <v>3</v>
      </c>
      <c r="K307" s="7" t="str">
        <f>VLOOKUP(B307,[1]characters!$A:$H,8,FALSE)</f>
        <v>yellow</v>
      </c>
      <c r="L307" s="7" t="str">
        <f>VLOOKUP(B307,[1]characters!$A:$K,11,FALSE)</f>
        <v>balance</v>
      </c>
      <c r="M307" s="7" t="str">
        <f>VLOOKUP(B307,[1]characters!$A:$M,13,FALSE)</f>
        <v>god</v>
      </c>
      <c r="N307" s="7" t="str">
        <f>VLOOKUP(B307,[1]characters!$A:$G,7,FALSE)</f>
        <v>女性</v>
      </c>
      <c r="O307" s="45">
        <f ca="1">IFERROR(VLOOKUP(B307,input_421010!L:R,7,FALSE),VLOOKUP(tables_421010!C87,input_421010!A:H,8,FALSE))</f>
        <v>126825</v>
      </c>
      <c r="P307" s="46">
        <f t="shared" ca="1" si="14"/>
        <v>1.4246928784337008E-3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input_421010!A$2</f>
        <v>421010</v>
      </c>
      <c r="B308" s="5">
        <v>212</v>
      </c>
      <c r="C308" s="7" t="str">
        <f t="shared" si="12"/>
        <v>Premium4</v>
      </c>
      <c r="D308" s="7" t="str">
        <f t="shared" si="13"/>
        <v>Premium</v>
      </c>
      <c r="E308" s="7" t="str">
        <f>IF(COUNTIF('R6追加前'!A:A,B308)=0,IF(OR(I308="PremiumSS",I308="PremiumSSw"),"R5only","R3less"),"")</f>
        <v/>
      </c>
      <c r="F308" s="7" t="str">
        <f>IF(COUNTIF('R6開放'!A:A,B308)&gt;0,"R6release","")</f>
        <v/>
      </c>
      <c r="G308" s="7"/>
      <c r="H308" s="7" t="str">
        <f>VLOOKUP(B308,[1]characters!$A:$C,3,FALSE)</f>
        <v>星神 アストライアー</v>
      </c>
      <c r="I308" s="7" t="str">
        <f>VLOOKUP(B308,[1]characters!$A:$J,10,FALSE)</f>
        <v>PremiumN</v>
      </c>
      <c r="J308" s="7">
        <f>VLOOKUP(B308,[1]characters!$A:$I,9,FALSE)</f>
        <v>4</v>
      </c>
      <c r="K308" s="7" t="str">
        <f>VLOOKUP(B308,[1]characters!$A:$H,8,FALSE)</f>
        <v>yellow</v>
      </c>
      <c r="L308" s="7" t="str">
        <f>VLOOKUP(B308,[1]characters!$A:$K,11,FALSE)</f>
        <v>balance</v>
      </c>
      <c r="M308" s="7" t="str">
        <f>VLOOKUP(B308,[1]characters!$A:$M,13,FALSE)</f>
        <v>god</v>
      </c>
      <c r="N308" s="7" t="str">
        <f>VLOOKUP(B308,[1]characters!$A:$G,7,FALSE)</f>
        <v>女性</v>
      </c>
      <c r="O308" s="45">
        <f ca="1">IFERROR(VLOOKUP(B308,input_421010!L:R,7,FALSE),VLOOKUP(tables_421010!C88,input_421010!A:H,8,FALSE))</f>
        <v>6675</v>
      </c>
      <c r="P308" s="46">
        <f t="shared" ca="1" si="14"/>
        <v>7.4983835707036881E-5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input_421010!A$2</f>
        <v>421010</v>
      </c>
      <c r="B309" s="5">
        <v>213</v>
      </c>
      <c r="C309" s="7" t="str">
        <f t="shared" si="12"/>
        <v>Premium5</v>
      </c>
      <c r="D309" s="7" t="str">
        <f t="shared" si="13"/>
        <v>Premium</v>
      </c>
      <c r="E309" s="7" t="str">
        <f>IF(COUNTIF('R6追加前'!A:A,B309)=0,IF(OR(I309="PremiumSS",I309="PremiumSSw"),"R5only","R3less"),"")</f>
        <v/>
      </c>
      <c r="F309" s="7" t="str">
        <f>IF(COUNTIF('R6開放'!A:A,B309)&gt;0,"R6release","")</f>
        <v/>
      </c>
      <c r="G309" s="7"/>
      <c r="H309" s="7" t="str">
        <f>VLOOKUP(B309,[1]characters!$A:$C,3,FALSE)</f>
        <v>満天の星降神 アストライアー</v>
      </c>
      <c r="I309" s="7" t="str">
        <f>VLOOKUP(B309,[1]characters!$A:$J,10,FALSE)</f>
        <v>PremiumN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balance</v>
      </c>
      <c r="M309" s="7" t="str">
        <f>VLOOKUP(B309,[1]characters!$A:$M,13,FALSE)</f>
        <v>god</v>
      </c>
      <c r="N309" s="7" t="str">
        <f>VLOOKUP(B309,[1]characters!$A:$G,7,FALSE)</f>
        <v>女性</v>
      </c>
      <c r="O309" s="45">
        <f ca="1">IFERROR(VLOOKUP(B309,input_421010!L:R,7,FALSE),VLOOKUP(tables_421010!C89,input_421010!A:H,8,FALSE))</f>
        <v>126825</v>
      </c>
      <c r="P309" s="46">
        <f t="shared" ca="1" si="14"/>
        <v>1.4246928784337008E-3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input_421010!A$2</f>
        <v>421010</v>
      </c>
      <c r="B310" s="5">
        <v>214</v>
      </c>
      <c r="C310" s="7" t="str">
        <f t="shared" si="12"/>
        <v>Premium3</v>
      </c>
      <c r="D310" s="7" t="str">
        <f t="shared" si="13"/>
        <v>Premium</v>
      </c>
      <c r="E310" s="7" t="str">
        <f>IF(COUNTIF('R6追加前'!A:A,B310)=0,IF(OR(I310="PremiumSS",I310="PremiumSSw"),"R5only","R3less"),"")</f>
        <v/>
      </c>
      <c r="F310" s="7" t="str">
        <f>IF(COUNTIF('R6開放'!A:A,B310)&gt;0,"R6release","")</f>
        <v/>
      </c>
      <c r="G310" s="7"/>
      <c r="H310" s="7" t="str">
        <f>VLOOKUP(B310,[1]characters!$A:$C,3,FALSE)</f>
        <v>アズラエル</v>
      </c>
      <c r="I310" s="7" t="str">
        <f>VLOOKUP(B310,[1]characters!$A:$J,10,FALSE)</f>
        <v>PremiumN</v>
      </c>
      <c r="J310" s="7">
        <f>VLOOKUP(B310,[1]characters!$A:$I,9,FALSE)</f>
        <v>3</v>
      </c>
      <c r="K310" s="7" t="str">
        <f>VLOOKUP(B310,[1]characters!$A:$H,8,FALSE)</f>
        <v>red</v>
      </c>
      <c r="L310" s="7" t="str">
        <f>VLOOKUP(B310,[1]characters!$A:$K,11,FALSE)</f>
        <v>balance</v>
      </c>
      <c r="M310" s="7" t="str">
        <f>VLOOKUP(B310,[1]characters!$A:$M,13,FALSE)</f>
        <v>god</v>
      </c>
      <c r="N310" s="7" t="str">
        <f>VLOOKUP(B310,[1]characters!$A:$G,7,FALSE)</f>
        <v>女性</v>
      </c>
      <c r="O310" s="45">
        <f ca="1">IFERROR(VLOOKUP(B310,input_421010!L:R,7,FALSE),VLOOKUP(tables_421010!C90,input_421010!A:H,8,FALSE))</f>
        <v>6675</v>
      </c>
      <c r="P310" s="46">
        <f t="shared" ca="1" si="14"/>
        <v>7.4983835707036881E-5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input_421010!A$2</f>
        <v>421010</v>
      </c>
      <c r="B311" s="5">
        <v>215</v>
      </c>
      <c r="C311" s="7" t="str">
        <f t="shared" si="12"/>
        <v>Premium4</v>
      </c>
      <c r="D311" s="7" t="str">
        <f t="shared" si="13"/>
        <v>Premium</v>
      </c>
      <c r="E311" s="7" t="str">
        <f>IF(COUNTIF('R6追加前'!A:A,B311)=0,IF(OR(I311="PremiumSS",I311="PremiumSSw"),"R5only","R3less"),"")</f>
        <v/>
      </c>
      <c r="F311" s="7" t="str">
        <f>IF(COUNTIF('R6開放'!A:A,B311)&gt;0,"R6release","")</f>
        <v/>
      </c>
      <c r="G311" s="7"/>
      <c r="H311" s="7" t="str">
        <f>VLOOKUP(B311,[1]characters!$A:$C,3,FALSE)</f>
        <v>死導者 アズラエル</v>
      </c>
      <c r="I311" s="7" t="str">
        <f>VLOOKUP(B311,[1]characters!$A:$J,10,FALSE)</f>
        <v>PremiumN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god</v>
      </c>
      <c r="N311" s="7" t="str">
        <f>VLOOKUP(B311,[1]characters!$A:$G,7,FALSE)</f>
        <v>女性</v>
      </c>
      <c r="O311" s="45">
        <f ca="1">IFERROR(VLOOKUP(B311,input_421010!L:R,7,FALSE),VLOOKUP(tables_421010!C91,input_421010!A:H,8,FALSE))</f>
        <v>126825</v>
      </c>
      <c r="P311" s="46">
        <f t="shared" ca="1" si="14"/>
        <v>1.4246928784337008E-3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input_421010!A$2</f>
        <v>421010</v>
      </c>
      <c r="B312" s="5">
        <v>216</v>
      </c>
      <c r="C312" s="7" t="str">
        <f t="shared" si="12"/>
        <v>Premium5</v>
      </c>
      <c r="D312" s="7" t="str">
        <f t="shared" si="13"/>
        <v>Premium</v>
      </c>
      <c r="E312" s="7" t="str">
        <f>IF(COUNTIF('R6追加前'!A:A,B312)=0,IF(OR(I312="PremiumSS",I312="PremiumSSw"),"R5only","R3less"),"")</f>
        <v/>
      </c>
      <c r="F312" s="7" t="str">
        <f>IF(COUNTIF('R6開放'!A:A,B312)&gt;0,"R6release","")</f>
        <v/>
      </c>
      <c r="G312" s="7"/>
      <c r="H312" s="7" t="str">
        <f>VLOOKUP(B312,[1]characters!$A:$C,3,FALSE)</f>
        <v>百読の死導司書 アズラエル</v>
      </c>
      <c r="I312" s="7" t="str">
        <f>VLOOKUP(B312,[1]characters!$A:$J,10,FALSE)</f>
        <v>PremiumN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god</v>
      </c>
      <c r="N312" s="7" t="str">
        <f>VLOOKUP(B312,[1]characters!$A:$G,7,FALSE)</f>
        <v>女性</v>
      </c>
      <c r="O312" s="45">
        <f ca="1">IFERROR(VLOOKUP(B312,input_421010!L:R,7,FALSE),VLOOKUP(tables_421010!C92,input_421010!A:H,8,FALSE))</f>
        <v>6675</v>
      </c>
      <c r="P312" s="46">
        <f t="shared" ca="1" si="14"/>
        <v>7.4983835707036881E-5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input_421010!A$2</f>
        <v>421010</v>
      </c>
      <c r="B313" s="5">
        <v>217</v>
      </c>
      <c r="C313" s="7" t="str">
        <f t="shared" si="12"/>
        <v>Premium3</v>
      </c>
      <c r="D313" s="7" t="str">
        <f t="shared" si="13"/>
        <v>Premium</v>
      </c>
      <c r="E313" s="7" t="str">
        <f>IF(COUNTIF('R6追加前'!A:A,B313)=0,IF(OR(I313="PremiumSS",I313="PremiumSSw"),"R5only","R3less"),"")</f>
        <v/>
      </c>
      <c r="F313" s="7" t="str">
        <f>IF(COUNTIF('R6開放'!A:A,B313)&gt;0,"R6release","")</f>
        <v/>
      </c>
      <c r="G313" s="7"/>
      <c r="H313" s="7" t="str">
        <f>VLOOKUP(B313,[1]characters!$A:$C,3,FALSE)</f>
        <v>ケツァクアトル</v>
      </c>
      <c r="I313" s="7" t="str">
        <f>VLOOKUP(B313,[1]characters!$A:$J,10,FALSE)</f>
        <v>PremiumN</v>
      </c>
      <c r="J313" s="7">
        <f>VLOOKUP(B313,[1]characters!$A:$I,9,FALSE)</f>
        <v>3</v>
      </c>
      <c r="K313" s="7" t="str">
        <f>VLOOKUP(B313,[1]characters!$A:$H,8,FALSE)</f>
        <v>green</v>
      </c>
      <c r="L313" s="7" t="str">
        <f>VLOOKUP(B313,[1]characters!$A:$K,11,FALSE)</f>
        <v>hp</v>
      </c>
      <c r="M313" s="7" t="str">
        <f>VLOOKUP(B313,[1]characters!$A:$M,13,FALSE)</f>
        <v>dragon</v>
      </c>
      <c r="N313" s="7" t="str">
        <f>VLOOKUP(B313,[1]characters!$A:$G,7,FALSE)</f>
        <v>女性</v>
      </c>
      <c r="O313" s="45">
        <f ca="1">IFERROR(VLOOKUP(B313,input_421010!L:R,7,FALSE),VLOOKUP(tables_421010!C93,input_421010!A:H,8,FALSE))</f>
        <v>126825</v>
      </c>
      <c r="P313" s="46">
        <f t="shared" ca="1" si="14"/>
        <v>1.4246928784337008E-3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input_421010!A$2</f>
        <v>421010</v>
      </c>
      <c r="B314" s="5">
        <v>218</v>
      </c>
      <c r="C314" s="7" t="str">
        <f t="shared" si="12"/>
        <v>Premium4</v>
      </c>
      <c r="D314" s="7" t="str">
        <f t="shared" si="13"/>
        <v>Premium</v>
      </c>
      <c r="E314" s="7" t="str">
        <f>IF(COUNTIF('R6追加前'!A:A,B314)=0,IF(OR(I314="PremiumSS",I314="PremiumSSw"),"R5only","R3less"),"")</f>
        <v/>
      </c>
      <c r="F314" s="7" t="str">
        <f>IF(COUNTIF('R6開放'!A:A,B314)&gt;0,"R6release","")</f>
        <v/>
      </c>
      <c r="G314" s="7"/>
      <c r="H314" s="7" t="str">
        <f>VLOOKUP(B314,[1]characters!$A:$C,3,FALSE)</f>
        <v>聖蛇 ケツァクアトル</v>
      </c>
      <c r="I314" s="7" t="str">
        <f>VLOOKUP(B314,[1]characters!$A:$J,10,FALSE)</f>
        <v>PremiumN</v>
      </c>
      <c r="J314" s="7">
        <f>VLOOKUP(B314,[1]characters!$A:$I,9,FALSE)</f>
        <v>4</v>
      </c>
      <c r="K314" s="7" t="str">
        <f>VLOOKUP(B314,[1]characters!$A:$H,8,FALSE)</f>
        <v>green</v>
      </c>
      <c r="L314" s="7" t="str">
        <f>VLOOKUP(B314,[1]characters!$A:$K,11,FALSE)</f>
        <v>hp</v>
      </c>
      <c r="M314" s="7" t="str">
        <f>VLOOKUP(B314,[1]characters!$A:$M,13,FALSE)</f>
        <v>dragon</v>
      </c>
      <c r="N314" s="7" t="str">
        <f>VLOOKUP(B314,[1]characters!$A:$G,7,FALSE)</f>
        <v>女性</v>
      </c>
      <c r="O314" s="45">
        <f ca="1">IFERROR(VLOOKUP(B314,input_421010!L:R,7,FALSE),VLOOKUP(tables_421010!C94,input_421010!A:H,8,FALSE))</f>
        <v>6675</v>
      </c>
      <c r="P314" s="46">
        <f t="shared" ca="1" si="14"/>
        <v>7.4983835707036881E-5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input_421010!A$2</f>
        <v>421010</v>
      </c>
      <c r="B315" s="5">
        <v>219</v>
      </c>
      <c r="C315" s="7" t="str">
        <f t="shared" si="12"/>
        <v>Premium5</v>
      </c>
      <c r="D315" s="7" t="str">
        <f t="shared" si="13"/>
        <v>Premium</v>
      </c>
      <c r="E315" s="7" t="str">
        <f>IF(COUNTIF('R6追加前'!A:A,B315)=0,IF(OR(I315="PremiumSS",I315="PremiumSSw"),"R5only","R3less"),"")</f>
        <v/>
      </c>
      <c r="F315" s="7" t="str">
        <f>IF(COUNTIF('R6開放'!A:A,B315)&gt;0,"R6release","")</f>
        <v/>
      </c>
      <c r="G315" s="7"/>
      <c r="H315" s="7" t="str">
        <f>VLOOKUP(B315,[1]characters!$A:$C,3,FALSE)</f>
        <v>覇翼の聖蛇竜 ケツァクアトル</v>
      </c>
      <c r="I315" s="7" t="str">
        <f>VLOOKUP(B315,[1]characters!$A:$J,10,FALSE)</f>
        <v>PremiumN</v>
      </c>
      <c r="J315" s="7">
        <f>VLOOKUP(B315,[1]characters!$A:$I,9,FALSE)</f>
        <v>5</v>
      </c>
      <c r="K315" s="7" t="str">
        <f>VLOOKUP(B315,[1]characters!$A:$H,8,FALSE)</f>
        <v>green</v>
      </c>
      <c r="L315" s="7" t="str">
        <f>VLOOKUP(B315,[1]characters!$A:$K,11,FALSE)</f>
        <v>hp</v>
      </c>
      <c r="M315" s="7" t="str">
        <f>VLOOKUP(B315,[1]characters!$A:$M,13,FALSE)</f>
        <v>dragon</v>
      </c>
      <c r="N315" s="7" t="str">
        <f>VLOOKUP(B315,[1]characters!$A:$G,7,FALSE)</f>
        <v>女性</v>
      </c>
      <c r="O315" s="45">
        <f ca="1">IFERROR(VLOOKUP(B315,input_421010!L:R,7,FALSE),VLOOKUP(tables_421010!C95,input_421010!A:H,8,FALSE))</f>
        <v>126825</v>
      </c>
      <c r="P315" s="46">
        <f t="shared" ca="1" si="14"/>
        <v>1.4246928784337008E-3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input_421010!A$2</f>
        <v>421010</v>
      </c>
      <c r="B316" s="5">
        <v>220</v>
      </c>
      <c r="C316" s="7" t="str">
        <f t="shared" si="12"/>
        <v>Premium3</v>
      </c>
      <c r="D316" s="7" t="str">
        <f t="shared" si="13"/>
        <v>Premium</v>
      </c>
      <c r="E316" s="7" t="str">
        <f>IF(COUNTIF('R6追加前'!A:A,B316)=0,IF(OR(I316="PremiumSS",I316="PremiumSSw"),"R5only","R3less"),"")</f>
        <v/>
      </c>
      <c r="F316" s="7" t="str">
        <f>IF(COUNTIF('R6開放'!A:A,B316)&gt;0,"R6release","")</f>
        <v/>
      </c>
      <c r="G316" s="7"/>
      <c r="H316" s="7" t="str">
        <f>VLOOKUP(B316,[1]characters!$A:$C,3,FALSE)</f>
        <v>ルキフグス</v>
      </c>
      <c r="I316" s="7" t="str">
        <f>VLOOKUP(B316,[1]characters!$A:$J,10,FALSE)</f>
        <v>PremiumN</v>
      </c>
      <c r="J316" s="7">
        <f>VLOOKUP(B316,[1]characters!$A:$I,9,FALSE)</f>
        <v>3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god</v>
      </c>
      <c r="N316" s="7" t="str">
        <f>VLOOKUP(B316,[1]characters!$A:$G,7,FALSE)</f>
        <v>女性</v>
      </c>
      <c r="O316" s="45">
        <f ca="1">IFERROR(VLOOKUP(B316,input_421010!L:R,7,FALSE),VLOOKUP(tables_421010!C96,input_421010!A:H,8,FALSE))</f>
        <v>6675</v>
      </c>
      <c r="P316" s="46">
        <f t="shared" ca="1" si="14"/>
        <v>7.4983835707036881E-5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input_421010!A$2</f>
        <v>421010</v>
      </c>
      <c r="B317" s="5">
        <v>221</v>
      </c>
      <c r="C317" s="7" t="str">
        <f t="shared" si="12"/>
        <v>Premium4</v>
      </c>
      <c r="D317" s="7" t="str">
        <f t="shared" si="13"/>
        <v>Premium</v>
      </c>
      <c r="E317" s="7" t="str">
        <f>IF(COUNTIF('R6追加前'!A:A,B317)=0,IF(OR(I317="PremiumSS",I317="PremiumSSw"),"R5only","R3less"),"")</f>
        <v/>
      </c>
      <c r="F317" s="7" t="str">
        <f>IF(COUNTIF('R6開放'!A:A,B317)&gt;0,"R6release","")</f>
        <v/>
      </c>
      <c r="G317" s="7"/>
      <c r="H317" s="7" t="str">
        <f>VLOOKUP(B317,[1]characters!$A:$C,3,FALSE)</f>
        <v>宰相 ルキフグス</v>
      </c>
      <c r="I317" s="7" t="str">
        <f>VLOOKUP(B317,[1]characters!$A:$J,10,FALSE)</f>
        <v>PremiumN</v>
      </c>
      <c r="J317" s="7">
        <f>VLOOKUP(B317,[1]characters!$A:$I,9,FALSE)</f>
        <v>4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god</v>
      </c>
      <c r="N317" s="7" t="str">
        <f>VLOOKUP(B317,[1]characters!$A:$G,7,FALSE)</f>
        <v>女性</v>
      </c>
      <c r="O317" s="45">
        <f ca="1">IFERROR(VLOOKUP(B317,input_421010!L:R,7,FALSE),VLOOKUP(tables_421010!C97,input_421010!A:H,8,FALSE))</f>
        <v>126825</v>
      </c>
      <c r="P317" s="46">
        <f t="shared" ca="1" si="14"/>
        <v>1.4246928784337008E-3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input_421010!A$2</f>
        <v>421010</v>
      </c>
      <c r="B318" s="5">
        <v>222</v>
      </c>
      <c r="C318" s="7" t="str">
        <f t="shared" si="12"/>
        <v>Premium5</v>
      </c>
      <c r="D318" s="7" t="str">
        <f t="shared" si="13"/>
        <v>Premium</v>
      </c>
      <c r="E318" s="7" t="str">
        <f>IF(COUNTIF('R6追加前'!A:A,B318)=0,IF(OR(I318="PremiumSS",I318="PremiumSSw"),"R5only","R3less"),"")</f>
        <v/>
      </c>
      <c r="F318" s="7" t="str">
        <f>IF(COUNTIF('R6開放'!A:A,B318)&gt;0,"R6release","")</f>
        <v/>
      </c>
      <c r="G318" s="7"/>
      <c r="H318" s="7" t="str">
        <f>VLOOKUP(B318,[1]characters!$A:$C,3,FALSE)</f>
        <v>避光の鉄鎖宰相 ルキフグス</v>
      </c>
      <c r="I318" s="7" t="str">
        <f>VLOOKUP(B318,[1]characters!$A:$J,10,FALSE)</f>
        <v>PremiumN</v>
      </c>
      <c r="J318" s="7">
        <f>VLOOKUP(B318,[1]characters!$A:$I,9,FALSE)</f>
        <v>5</v>
      </c>
      <c r="K318" s="7" t="str">
        <f>VLOOKUP(B318,[1]characters!$A:$H,8,FALSE)</f>
        <v>blue</v>
      </c>
      <c r="L318" s="7" t="str">
        <f>VLOOKUP(B318,[1]characters!$A:$K,11,FALSE)</f>
        <v>balance</v>
      </c>
      <c r="M318" s="7" t="str">
        <f>VLOOKUP(B318,[1]characters!$A:$M,13,FALSE)</f>
        <v>god</v>
      </c>
      <c r="N318" s="7" t="str">
        <f>VLOOKUP(B318,[1]characters!$A:$G,7,FALSE)</f>
        <v>女性</v>
      </c>
      <c r="O318" s="45">
        <f ca="1">IFERROR(VLOOKUP(B318,input_421010!L:R,7,FALSE),VLOOKUP(tables_421010!C98,input_421010!A:H,8,FALSE))</f>
        <v>6675</v>
      </c>
      <c r="P318" s="46">
        <f t="shared" ca="1" si="14"/>
        <v>7.4983835707036881E-5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input_421010!A$2</f>
        <v>421010</v>
      </c>
      <c r="B319" s="5">
        <v>223</v>
      </c>
      <c r="C319" s="7" t="str">
        <f t="shared" si="12"/>
        <v>Premium3</v>
      </c>
      <c r="D319" s="7" t="str">
        <f t="shared" si="13"/>
        <v>Premium</v>
      </c>
      <c r="E319" s="7" t="str">
        <f>IF(COUNTIF('R6追加前'!A:A,B319)=0,IF(OR(I319="PremiumSS",I319="PremiumSSw"),"R5only","R3less"),"")</f>
        <v/>
      </c>
      <c r="F319" s="7" t="str">
        <f>IF(COUNTIF('R6開放'!A:A,B319)&gt;0,"R6release","")</f>
        <v/>
      </c>
      <c r="G319" s="7"/>
      <c r="H319" s="7" t="str">
        <f>VLOOKUP(B319,[1]characters!$A:$C,3,FALSE)</f>
        <v>ヘラクレス</v>
      </c>
      <c r="I319" s="7" t="str">
        <f>VLOOKUP(B319,[1]characters!$A:$J,10,FALSE)</f>
        <v>PremiumN</v>
      </c>
      <c r="J319" s="7">
        <f>VLOOKUP(B319,[1]characters!$A:$I,9,FALSE)</f>
        <v>3</v>
      </c>
      <c r="K319" s="7" t="str">
        <f>VLOOKUP(B319,[1]characters!$A:$H,8,FALSE)</f>
        <v>yellow</v>
      </c>
      <c r="L319" s="7" t="str">
        <f>VLOOKUP(B319,[1]characters!$A:$K,11,FALSE)</f>
        <v>balance</v>
      </c>
      <c r="M319" s="7" t="str">
        <f>VLOOKUP(B319,[1]characters!$A:$M,13,FALSE)</f>
        <v>human</v>
      </c>
      <c r="N319" s="7" t="str">
        <f>VLOOKUP(B319,[1]characters!$A:$G,7,FALSE)</f>
        <v>男性</v>
      </c>
      <c r="O319" s="45">
        <f ca="1">IFERROR(VLOOKUP(B319,input_421010!L:R,7,FALSE),VLOOKUP(tables_421010!C99,input_421010!A:H,8,FALSE))</f>
        <v>126825</v>
      </c>
      <c r="P319" s="46">
        <f t="shared" ca="1" si="14"/>
        <v>1.4246928784337008E-3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input_421010!A$2</f>
        <v>421010</v>
      </c>
      <c r="B320" s="5">
        <v>224</v>
      </c>
      <c r="C320" s="7" t="str">
        <f t="shared" si="12"/>
        <v>Premium4</v>
      </c>
      <c r="D320" s="7" t="str">
        <f t="shared" si="13"/>
        <v>Premium</v>
      </c>
      <c r="E320" s="7" t="str">
        <f>IF(COUNTIF('R6追加前'!A:A,B320)=0,IF(OR(I320="PremiumSS",I320="PremiumSSw"),"R5only","R3less"),"")</f>
        <v/>
      </c>
      <c r="F320" s="7" t="str">
        <f>IF(COUNTIF('R6開放'!A:A,B320)&gt;0,"R6release","")</f>
        <v/>
      </c>
      <c r="G320" s="7"/>
      <c r="H320" s="7" t="str">
        <f>VLOOKUP(B320,[1]characters!$A:$C,3,FALSE)</f>
        <v>巨腕 ヘラクレス</v>
      </c>
      <c r="I320" s="7" t="str">
        <f>VLOOKUP(B320,[1]characters!$A:$J,10,FALSE)</f>
        <v>PremiumN</v>
      </c>
      <c r="J320" s="7">
        <f>VLOOKUP(B320,[1]characters!$A:$I,9,FALSE)</f>
        <v>4</v>
      </c>
      <c r="K320" s="7" t="str">
        <f>VLOOKUP(B320,[1]characters!$A:$H,8,FALSE)</f>
        <v>yellow</v>
      </c>
      <c r="L320" s="7" t="str">
        <f>VLOOKUP(B320,[1]characters!$A:$K,11,FALSE)</f>
        <v>balance</v>
      </c>
      <c r="M320" s="7" t="str">
        <f>VLOOKUP(B320,[1]characters!$A:$M,13,FALSE)</f>
        <v>human</v>
      </c>
      <c r="N320" s="7" t="str">
        <f>VLOOKUP(B320,[1]characters!$A:$G,7,FALSE)</f>
        <v>男性</v>
      </c>
      <c r="O320" s="45">
        <f ca="1">IFERROR(VLOOKUP(B320,input_421010!L:R,7,FALSE),VLOOKUP(tables_421010!C100,input_421010!A:H,8,FALSE))</f>
        <v>6675</v>
      </c>
      <c r="P320" s="46">
        <f t="shared" ca="1" si="14"/>
        <v>7.4983835707036881E-5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input_421010!A$2</f>
        <v>421010</v>
      </c>
      <c r="B321" s="5">
        <v>225</v>
      </c>
      <c r="C321" s="7" t="str">
        <f t="shared" si="12"/>
        <v>Premium5</v>
      </c>
      <c r="D321" s="7" t="str">
        <f t="shared" si="13"/>
        <v>Premium</v>
      </c>
      <c r="E321" s="7" t="str">
        <f>IF(COUNTIF('R6追加前'!A:A,B321)=0,IF(OR(I321="PremiumSS",I321="PremiumSSw"),"R5only","R3less"),"")</f>
        <v/>
      </c>
      <c r="F321" s="7" t="str">
        <f>IF(COUNTIF('R6開放'!A:A,B321)&gt;0,"R6release","")</f>
        <v/>
      </c>
      <c r="G321" s="7"/>
      <c r="H321" s="7" t="str">
        <f>VLOOKUP(B321,[1]characters!$A:$C,3,FALSE)</f>
        <v>咆哮の巨獅腕 ヘラクレス</v>
      </c>
      <c r="I321" s="7" t="str">
        <f>VLOOKUP(B321,[1]characters!$A:$J,10,FALSE)</f>
        <v>PremiumN</v>
      </c>
      <c r="J321" s="7">
        <f>VLOOKUP(B321,[1]characters!$A:$I,9,FALSE)</f>
        <v>5</v>
      </c>
      <c r="K321" s="7" t="str">
        <f>VLOOKUP(B321,[1]characters!$A:$H,8,FALSE)</f>
        <v>yellow</v>
      </c>
      <c r="L321" s="7" t="str">
        <f>VLOOKUP(B321,[1]characters!$A:$K,11,FALSE)</f>
        <v>balance</v>
      </c>
      <c r="M321" s="7" t="str">
        <f>VLOOKUP(B321,[1]characters!$A:$M,13,FALSE)</f>
        <v>human</v>
      </c>
      <c r="N321" s="7" t="str">
        <f>VLOOKUP(B321,[1]characters!$A:$G,7,FALSE)</f>
        <v>男性</v>
      </c>
      <c r="O321" s="45">
        <f ca="1">IFERROR(VLOOKUP(B321,input_421010!L:R,7,FALSE),VLOOKUP(tables_421010!C101,input_421010!A:H,8,FALSE))</f>
        <v>126825</v>
      </c>
      <c r="P321" s="46">
        <f t="shared" ca="1" si="14"/>
        <v>1.4246928784337008E-3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</sheetData>
  <autoFilter ref="A1:V294">
    <sortState ref="A2:V321">
      <sortCondition descending="1" ref="I1:I321"/>
    </sortState>
  </autoFilter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I6" sqref="I6"/>
    </sheetView>
  </sheetViews>
  <sheetFormatPr baseColWidth="12" defaultRowHeight="14" x14ac:dyDescent="0.15"/>
  <cols>
    <col min="1" max="2" width="24.19921875" bestFit="1" customWidth="1"/>
    <col min="5" max="5" width="22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421100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688</v>
      </c>
      <c r="M3" s="37" t="str">
        <f>VLOOKUP(L3,[1]characters!$A:$C,3,FALSE)</f>
        <v>ユークリッド</v>
      </c>
      <c r="N3" s="63">
        <v>2.2499999999999998E-3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VLOOKUP(L3,tables_421100!B:C,2,FALSE)</f>
        <v>PremiumSSS4R3less</v>
      </c>
      <c r="R3" s="62">
        <f t="shared" ref="R3:R20" si="1">N3*A$36</f>
        <v>204254.99999999997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689</v>
      </c>
      <c r="M4" s="37" t="str">
        <f>VLOOKUP(L4,[1]characters!$A:$C,3,FALSE)</f>
        <v>根原論理 ユークリッド</v>
      </c>
      <c r="N4" s="63">
        <v>2.5000000000000001E-4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VLOOKUP(L4,tables_421100!B:C,2,FALSE)</f>
        <v>PremiumSSS5R3less</v>
      </c>
      <c r="R4" s="62">
        <f t="shared" si="1"/>
        <v>22695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1.4705882352941176E-3</v>
      </c>
      <c r="F5">
        <f>(COUNTIF(tables_421100!C:C,input_421100!A28)+COUNTIF(tables_421100!C:C,input_421100!A29))</f>
        <v>51</v>
      </c>
      <c r="H5" s="84">
        <v>0</v>
      </c>
      <c r="I5" s="31">
        <v>0</v>
      </c>
      <c r="L5" s="60">
        <v>1109</v>
      </c>
      <c r="M5" s="37" t="str">
        <f>VLOOKUP(L5,[1]characters!$A:$C,3,FALSE)</f>
        <v>セキ</v>
      </c>
      <c r="N5" s="63">
        <v>2.5000000000000001E-3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VLOOKUP(L5,tables_421100!B:C,2,FALSE)</f>
        <v>PremiumSSS5R3less</v>
      </c>
      <c r="R5" s="62">
        <f t="shared" si="1"/>
        <v>226950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1.0280898876404494E-2</v>
      </c>
      <c r="F6">
        <f>(COUNTIF(tables_421100!C:C,input_421100!A25)+COUNTIF(tables_421100!C:C,input_421100!A18)+COUNTIF(tables_421100!C:C,input_421100!A20)+COUNTIF(tables_421100!C:C,input_421100!A22))</f>
        <v>89</v>
      </c>
      <c r="H6" s="89">
        <v>0</v>
      </c>
      <c r="I6" s="31">
        <v>0</v>
      </c>
      <c r="L6" s="93">
        <v>410</v>
      </c>
      <c r="M6" s="37" t="str">
        <f>VLOOKUP(L6,[1]characters!$A:$C,3,FALSE)</f>
        <v>ファラデー</v>
      </c>
      <c r="N6" s="63">
        <v>2.2499999999999998E-3</v>
      </c>
      <c r="O6" s="37">
        <f>VLOOKUP(L6,[1]characters!$A:$I,9,FALSE)</f>
        <v>4</v>
      </c>
      <c r="P6" s="37" t="str">
        <f>VLOOKUP(L6,[1]characters!$A:$J,10,FALSE)</f>
        <v>PremiumSSS</v>
      </c>
      <c r="Q6" s="37" t="str">
        <f>VLOOKUP(L6,tables_421100!B:C,2,FALSE)</f>
        <v>PremiumSSS4R3less</v>
      </c>
      <c r="R6" s="62">
        <f t="shared" si="1"/>
        <v>204254.99999999997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411</v>
      </c>
      <c r="M7" s="37" t="str">
        <f>VLOOKUP(L7,[1]characters!$A:$C,3,FALSE)</f>
        <v>電隷の始祖 ファラデー</v>
      </c>
      <c r="N7" s="63">
        <v>2.5000000000000001E-4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VLOOKUP(L7,tables_421100!B:C,2,FALSE)</f>
        <v>PremiumSSS5R3less</v>
      </c>
      <c r="R7" s="62">
        <f t="shared" si="1"/>
        <v>22695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378</v>
      </c>
      <c r="M8" s="37" t="str">
        <f>VLOOKUP(L8,[1]characters!$A:$C,3,FALSE)</f>
        <v>オイラー</v>
      </c>
      <c r="N8" s="63">
        <v>2.2499999999999998E-3</v>
      </c>
      <c r="O8" s="37">
        <f>VLOOKUP(L8,[1]characters!$A:$I,9,FALSE)</f>
        <v>4</v>
      </c>
      <c r="P8" s="37" t="str">
        <f>VLOOKUP(L8,[1]characters!$A:$J,10,FALSE)</f>
        <v>PremiumSSS</v>
      </c>
      <c r="Q8" s="37" t="str">
        <f>VLOOKUP(L8,tables_421100!B:C,2,FALSE)</f>
        <v>PremiumSSS4R3less</v>
      </c>
      <c r="R8" s="62">
        <f t="shared" si="1"/>
        <v>204254.99999999997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>
        <v>379</v>
      </c>
      <c r="M9" s="37" t="str">
        <f>VLOOKUP(L9,[1]characters!$A:$C,3,FALSE)</f>
        <v>幾何の機刃 オイラー</v>
      </c>
      <c r="N9" s="63">
        <v>2.5000000000000001E-4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VLOOKUP(L9,tables_421100!B:C,2,FALSE)</f>
        <v>PremiumSSS5R3less</v>
      </c>
      <c r="R9" s="62">
        <f t="shared" si="1"/>
        <v>22695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VLOOKUP(L10,tables_421100!B:C,2,FALSE)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VLOOKUP(L11,tables_421100!B:C,2,FALSE)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VLOOKUP(L12,tables_421100!B:C,2,FALSE)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VLOOKUP(L13,tables_421100!B:C,2,FALSE)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VLOOKUP(L14,tables_421100!B:C,2,FALSE)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VLOOKUP(L15,tables_421100!B:C,2,FALSE)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VLOOKUP(L16,tables_421100!B:C,2,FALSE)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COUNTIF(tables_421100!C:C,input_421100!A17)-COUNTIF(Q:Q,A17)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VLOOKUP(L17,tables_421100!B:C,2,FALSE)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0.23696984460913217</v>
      </c>
      <c r="C18" s="85">
        <f t="shared" si="2"/>
        <v>0</v>
      </c>
      <c r="D18" s="74">
        <f t="shared" si="3"/>
        <v>0.23696984460913217</v>
      </c>
      <c r="E18">
        <f>COUNTIF(tables_421100!C:C,input_421100!A18)-COUNTIF(Q:Q,A18)</f>
        <v>20</v>
      </c>
      <c r="F18" s="43">
        <f>IFERROR(B18/E18,0)</f>
        <v>1.1848492230456609E-2</v>
      </c>
      <c r="G18">
        <f t="shared" si="4"/>
        <v>21512122.493617021</v>
      </c>
      <c r="H18">
        <f t="shared" si="5"/>
        <v>1075606.1246799999</v>
      </c>
      <c r="I18">
        <f t="shared" si="6"/>
        <v>0.12467999989166856</v>
      </c>
      <c r="J18">
        <f t="shared" si="7"/>
        <v>8.0205325703310546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VLOOKUP(L18,tables_421100!B:C,2,FALSE)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COUNTIF(tables_421100!C:C,input_421100!A19)-COUNTIF(Q:Q,A19)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VLOOKUP(L19,tables_421100!B:C,2,FALSE)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E$6*E20*B$6-F34</f>
        <v>0.50112640449438195</v>
      </c>
      <c r="C20" s="85">
        <f t="shared" si="2"/>
        <v>0</v>
      </c>
      <c r="D20" s="74">
        <f t="shared" si="3"/>
        <v>0.50112640449438195</v>
      </c>
      <c r="E20">
        <f>COUNTIF(tables_421100!C:C,input_421100!A20)-COUNTIF(Q:Q,A20)</f>
        <v>52</v>
      </c>
      <c r="F20" s="43">
        <f t="shared" si="8"/>
        <v>9.6370462402765762E-3</v>
      </c>
      <c r="G20">
        <f t="shared" si="4"/>
        <v>45492254.999999993</v>
      </c>
      <c r="H20">
        <f t="shared" si="5"/>
        <v>874851.05769000005</v>
      </c>
      <c r="I20">
        <f t="shared" si="6"/>
        <v>5.7690000045113266E-2</v>
      </c>
      <c r="J20">
        <f t="shared" si="7"/>
        <v>17.334026680845994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VLOOKUP(L20,tables_421100!B:C,2,FALSE)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B7-B23-B26-B28-B29-F35</f>
        <v>2.1288830138797106E-3</v>
      </c>
      <c r="C21" s="85">
        <f t="shared" si="2"/>
        <v>0</v>
      </c>
      <c r="D21" s="74">
        <f t="shared" si="3"/>
        <v>2.1288830138797106E-3</v>
      </c>
      <c r="E21">
        <f>COUNTIF(tables_421100!C:C,input_421100!A21)-COUNTIF(Q:Q,A21)</f>
        <v>52</v>
      </c>
      <c r="F21" s="43">
        <f t="shared" si="8"/>
        <v>4.0940057959225206E-5</v>
      </c>
      <c r="G21">
        <f t="shared" si="4"/>
        <v>193260.00000000012</v>
      </c>
      <c r="H21">
        <f t="shared" si="5"/>
        <v>3716.5384600000002</v>
      </c>
      <c r="I21">
        <f t="shared" si="6"/>
        <v>0.53846000000021377</v>
      </c>
      <c r="J21">
        <f t="shared" si="7"/>
        <v>1.8571481632797293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0.1269691011235955</v>
      </c>
      <c r="C22" s="85">
        <f t="shared" si="2"/>
        <v>0</v>
      </c>
      <c r="D22" s="74">
        <f t="shared" si="3"/>
        <v>0.1269691011235955</v>
      </c>
      <c r="E22">
        <f>COUNTIF(tables_421100!C:C,input_421100!A22)-COUNTIF(Q:Q,A22)</f>
        <v>13</v>
      </c>
      <c r="F22" s="43">
        <f t="shared" si="8"/>
        <v>9.7668539325842692E-3</v>
      </c>
      <c r="G22">
        <f t="shared" si="4"/>
        <v>11526255</v>
      </c>
      <c r="H22">
        <f t="shared" si="5"/>
        <v>886635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6.6825842696629214E-3</v>
      </c>
      <c r="C23" s="85">
        <f t="shared" si="2"/>
        <v>0</v>
      </c>
      <c r="D23" s="74">
        <f t="shared" si="3"/>
        <v>6.6825842696629214E-3</v>
      </c>
      <c r="E23">
        <f>COUNTIF(tables_421100!C:C,input_421100!A23)-COUNTIF(Q:Q,A23)</f>
        <v>13</v>
      </c>
      <c r="F23" s="43">
        <f t="shared" si="8"/>
        <v>5.1404494382022473E-4</v>
      </c>
      <c r="G23">
        <f t="shared" si="4"/>
        <v>606645</v>
      </c>
      <c r="H23">
        <f t="shared" si="5"/>
        <v>46665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COUNTIF(tables_421100!C:C,input_421100!A24)-COUNTIF(Q:Q,A24)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3.9067415730337077E-2</v>
      </c>
      <c r="C25" s="85">
        <f t="shared" si="2"/>
        <v>0</v>
      </c>
      <c r="D25" s="74">
        <f t="shared" si="3"/>
        <v>3.9067415730337077E-2</v>
      </c>
      <c r="E25">
        <f>COUNTIF(tables_421100!C:C,input_421100!A25)-COUNTIF(Q:Q,A25)</f>
        <v>4</v>
      </c>
      <c r="F25" s="43">
        <f t="shared" si="8"/>
        <v>9.7668539325842692E-3</v>
      </c>
      <c r="G25">
        <f t="shared" si="4"/>
        <v>3546540</v>
      </c>
      <c r="H25">
        <f t="shared" si="5"/>
        <v>886635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2.0561797752808989E-3</v>
      </c>
      <c r="C26" s="85">
        <f t="shared" si="2"/>
        <v>0</v>
      </c>
      <c r="D26" s="74">
        <f t="shared" si="3"/>
        <v>2.0561797752808989E-3</v>
      </c>
      <c r="E26">
        <f>COUNTIF(tables_421100!C:C,input_421100!A26)-COUNTIF(Q:Q,A26)</f>
        <v>4</v>
      </c>
      <c r="F26" s="43">
        <f t="shared" si="8"/>
        <v>5.1404494382022473E-4</v>
      </c>
      <c r="G26">
        <f t="shared" si="4"/>
        <v>186660</v>
      </c>
      <c r="H26">
        <f t="shared" si="5"/>
        <v>46665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3.9117647058823528E-2</v>
      </c>
      <c r="C27" s="85">
        <f t="shared" si="2"/>
        <v>0</v>
      </c>
      <c r="D27" s="74">
        <f t="shared" si="3"/>
        <v>3.9117647058823528E-2</v>
      </c>
      <c r="E27">
        <f>COUNTIF(tables_421100!C:C,input_421100!A27)-COUNTIF(Q:Q,A27)</f>
        <v>28</v>
      </c>
      <c r="F27" s="43">
        <f>IFERROR(B27/E27,0)</f>
        <v>1.3970588235294116E-3</v>
      </c>
      <c r="G27">
        <f t="shared" si="4"/>
        <v>3551100</v>
      </c>
      <c r="H27">
        <f t="shared" si="5"/>
        <v>126825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2.0588235294117649E-3</v>
      </c>
      <c r="C28" s="85">
        <f t="shared" si="2"/>
        <v>0</v>
      </c>
      <c r="D28" s="74">
        <f t="shared" si="3"/>
        <v>2.0588235294117649E-3</v>
      </c>
      <c r="E28">
        <f>COUNTIF(tables_421100!C:C,input_421100!A28)-COUNTIF(Q:Q,A28)</f>
        <v>28</v>
      </c>
      <c r="F28" s="43">
        <f t="shared" si="8"/>
        <v>7.3529411764705889E-5</v>
      </c>
      <c r="G28">
        <f t="shared" si="4"/>
        <v>186900</v>
      </c>
      <c r="H28">
        <f t="shared" si="5"/>
        <v>6675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3.3823529411764704E-2</v>
      </c>
      <c r="C29" s="85">
        <f t="shared" si="2"/>
        <v>0</v>
      </c>
      <c r="D29" s="74">
        <f t="shared" si="3"/>
        <v>3.3823529411764704E-2</v>
      </c>
      <c r="E29">
        <f>COUNTIF(tables_421100!C:C,input_421100!A29)-COUNTIF(Q:Q,A29)</f>
        <v>23</v>
      </c>
      <c r="F29" s="43">
        <f t="shared" si="8"/>
        <v>1.4705882352941176E-3</v>
      </c>
      <c r="G29">
        <f t="shared" si="4"/>
        <v>3070500</v>
      </c>
      <c r="H29">
        <f t="shared" si="5"/>
        <v>133500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6.7499999999999991E-3</v>
      </c>
      <c r="D30" s="74">
        <f t="shared" si="3"/>
        <v>-6.7499999999999991E-3</v>
      </c>
      <c r="E30">
        <f>COUNTIF(tables_421100!C:C,input_421100!A30)-COUNTIF(Q:Q,A30)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3.2500000000000003E-3</v>
      </c>
      <c r="D31" s="74">
        <f t="shared" si="3"/>
        <v>-3.2500000000000003E-3</v>
      </c>
      <c r="E31">
        <f>COUNTIF(tables_421100!C:C,input_421100!A31)-COUNTIF(Q:Q,A31)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0.99000041301627029</v>
      </c>
      <c r="C32" s="41">
        <f>SUM(C19:C31)</f>
        <v>9.9999999999999985E-3</v>
      </c>
      <c r="D32" s="42">
        <f t="shared" si="3"/>
        <v>0.98000041301627028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101">
        <v>3.1351867081042303E-2</v>
      </c>
      <c r="F34" s="102">
        <f>N3+N6+N8</f>
        <v>6.7499999999999991E-3</v>
      </c>
    </row>
    <row r="35" spans="1:7" x14ac:dyDescent="0.15">
      <c r="A35" t="s">
        <v>73</v>
      </c>
      <c r="F35" s="102">
        <f>N4+N5+N7+N9</f>
        <v>3.2500000000000003E-3</v>
      </c>
    </row>
    <row r="36" spans="1:7" x14ac:dyDescent="0.15">
      <c r="A36" s="31">
        <f>LCM(F5-I5,F6-I6)*1000*2*2*5</f>
        <v>90780000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SUMIF(tables_421100!C:C,input_421100!A40,tables_421100!O:O)</f>
        <v>0</v>
      </c>
      <c r="C40" s="54">
        <f t="shared" ref="C40:C46" ca="1" si="9">B40/B$47</f>
        <v>0</v>
      </c>
      <c r="E40">
        <v>3</v>
      </c>
      <c r="F40">
        <f ca="1">SUMIF(tables_421100!J:J,input_421100!E40,tables_421100!O:O)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SUMIF(tables_421100!C:C,input_421100!A41,tables_421100!O:O)</f>
        <v>45492254.999879993</v>
      </c>
      <c r="C41" s="54">
        <f t="shared" ca="1" si="9"/>
        <v>0.92045770115832692</v>
      </c>
      <c r="E41">
        <v>4</v>
      </c>
      <c r="F41">
        <f ca="1">SUMIF(tables_421100!J:J,input_421100!E41,tables_421100!O:O)</f>
        <v>86241037.493480012</v>
      </c>
      <c r="G41">
        <f ca="1">F41/A36</f>
        <v>0.95000041301476112</v>
      </c>
    </row>
    <row r="42" spans="1:7" x14ac:dyDescent="0.15">
      <c r="A42" s="33" t="s">
        <v>106</v>
      </c>
      <c r="B42">
        <f ca="1">SUMIF(tables_421100!C:C,input_421100!A42,tables_421100!O:O)</f>
        <v>3551100</v>
      </c>
      <c r="C42" s="54">
        <f t="shared" ca="1" si="9"/>
        <v>7.1850413715300709E-2</v>
      </c>
      <c r="E42">
        <v>5</v>
      </c>
      <c r="F42">
        <f ca="1">SUMIF(tables_421100!J:J,input_421100!E42,tables_421100!O:O)</f>
        <v>4538999.9999200003</v>
      </c>
      <c r="G42">
        <f ca="1">F42/A36</f>
        <v>4.9999999999118749E-2</v>
      </c>
    </row>
    <row r="43" spans="1:7" x14ac:dyDescent="0.15">
      <c r="A43" s="33" t="s">
        <v>109</v>
      </c>
      <c r="B43">
        <f>SUMIF(tables_421100!C:C,input_421100!A43,tables_421100!O:O)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SUMIF(tables_421100!C:C,input_421100!A44,tables_421100!O:O)</f>
        <v>193259.99992000015</v>
      </c>
      <c r="C44" s="54">
        <f t="shared" ca="1" si="9"/>
        <v>3.9102844045143734E-3</v>
      </c>
      <c r="E44" t="s">
        <v>54</v>
      </c>
      <c r="F44" s="55"/>
    </row>
    <row r="45" spans="1:7" x14ac:dyDescent="0.15">
      <c r="A45" s="33" t="s">
        <v>107</v>
      </c>
      <c r="B45">
        <f ca="1">SUMIF(tables_421100!C:C,input_421100!A45,tables_421100!O:O)</f>
        <v>186900</v>
      </c>
      <c r="C45" s="54">
        <f t="shared" ca="1" si="9"/>
        <v>3.7816007218579319E-3</v>
      </c>
      <c r="E45" t="s">
        <v>204</v>
      </c>
      <c r="F45" s="55">
        <f ca="1">SUMIF(tables_421100!I:I,input_421100!E45,tables_421100!P:P)</f>
        <v>0.23696974673715007</v>
      </c>
    </row>
    <row r="46" spans="1:7" x14ac:dyDescent="0.15">
      <c r="A46" s="33" t="s">
        <v>108</v>
      </c>
      <c r="B46">
        <f>SUMIF(tables_421100!C:C,input_421100!A46,tables_421100!O:O)</f>
        <v>0</v>
      </c>
      <c r="C46" s="54">
        <f t="shared" ca="1" si="9"/>
        <v>0</v>
      </c>
      <c r="E46" t="s">
        <v>205</v>
      </c>
      <c r="F46" s="55">
        <f ca="1">SUMIF(tables_421100!I:I,input_421100!E46,tables_421100!P:P)</f>
        <v>0.19536838300864784</v>
      </c>
    </row>
    <row r="47" spans="1:7" x14ac:dyDescent="0.15">
      <c r="A47" s="39" t="s">
        <v>59</v>
      </c>
      <c r="B47">
        <f ca="1">SUM(B40:B46)</f>
        <v>49423514.999799997</v>
      </c>
      <c r="C47" s="55">
        <f ca="1">SUM(C40:C46)</f>
        <v>1</v>
      </c>
      <c r="E47" t="s">
        <v>206</v>
      </c>
      <c r="F47" s="55">
        <f ca="1">SUMIF(tables_421100!I:I,input_421100!E47,tables_421100!P:P)</f>
        <v>0.48266190536036718</v>
      </c>
    </row>
    <row r="48" spans="1:7" x14ac:dyDescent="0.15">
      <c r="E48" t="s">
        <v>207</v>
      </c>
      <c r="F48" s="55">
        <f ca="1">SUMIF(tables_421100!I:I,input_421100!E48,tables_421100!P:P)</f>
        <v>7.2058793768129736E-2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21"/>
  <sheetViews>
    <sheetView showGridLines="0" zoomScale="75" zoomScaleNormal="75" zoomScalePageLayoutView="75" workbookViewId="0">
      <pane ySplit="1" topLeftCell="A292" activePane="bottomLeft" state="frozen"/>
      <selection activeCell="D34" sqref="D34"/>
      <selection pane="bottomLeft" activeCell="C316" sqref="C31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input_421100!A$2</f>
        <v>421100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IFERROR(VLOOKUP(B2,input_421100!L:R,7,FALSE),VLOOKUP(tables_421100!C2,input_421100!A:H,8,FALSE))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input_421100!A$2</f>
        <v>421100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IFERROR(VLOOKUP(B3,input_421100!L:R,7,FALSE),VLOOKUP(tables_421100!C3,input_421100!A:H,8,FALSE))</f>
        <v>1075606.1246799999</v>
      </c>
      <c r="P3" s="46">
        <f t="shared" ca="1" si="1"/>
        <v>1.18484873368575E-2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input_421100!A$2</f>
        <v>421100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IFERROR(VLOOKUP(B4,input_421100!L:R,7,FALSE),VLOOKUP(tables_421100!C4,input_421100!A:H,8,FALSE))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input_421100!A$2</f>
        <v>421100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IFERROR(VLOOKUP(B5,input_421100!L:R,7,FALSE),VLOOKUP(tables_421100!C5,input_421100!A:H,8,FALSE))</f>
        <v>1075606.1246799999</v>
      </c>
      <c r="P5" s="46">
        <f t="shared" ca="1" si="1"/>
        <v>1.18484873368575E-2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input_421100!A$2</f>
        <v>421100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IFERROR(VLOOKUP(B6,input_421100!L:R,7,FALSE),VLOOKUP(tables_421100!C6,input_421100!A:H,8,FALSE))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input_421100!A$2</f>
        <v>421100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IFERROR(VLOOKUP(B7,input_421100!L:R,7,FALSE),VLOOKUP(tables_421100!C7,input_421100!A:H,8,FALSE))</f>
        <v>1075606.1246799999</v>
      </c>
      <c r="P7" s="46">
        <f t="shared" ca="1" si="1"/>
        <v>1.18484873368575E-2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input_421100!A$2</f>
        <v>421100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IFERROR(VLOOKUP(B8,input_421100!L:R,7,FALSE),VLOOKUP(tables_421100!C8,input_421100!A:H,8,FALSE))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input_421100!A$2</f>
        <v>421100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IFERROR(VLOOKUP(B9,input_421100!L:R,7,FALSE),VLOOKUP(tables_421100!C9,input_421100!A:H,8,FALSE))</f>
        <v>1075606.1246799999</v>
      </c>
      <c r="P9" s="46">
        <f t="shared" ca="1" si="1"/>
        <v>1.18484873368575E-2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input_421100!A$2</f>
        <v>421100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IFERROR(VLOOKUP(B10,input_421100!L:R,7,FALSE),VLOOKUP(tables_421100!C10,input_421100!A:H,8,FALSE))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input_421100!A$2</f>
        <v>421100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IFERROR(VLOOKUP(B11,input_421100!L:R,7,FALSE),VLOOKUP(tables_421100!C11,input_421100!A:H,8,FALSE))</f>
        <v>1075606.1246799999</v>
      </c>
      <c r="P11" s="46">
        <f t="shared" ca="1" si="1"/>
        <v>1.18484873368575E-2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input_421100!A$2</f>
        <v>421100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IFERROR(VLOOKUP(B12,input_421100!L:R,7,FALSE),VLOOKUP(tables_421100!C12,input_421100!A:H,8,FALSE))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input_421100!A$2</f>
        <v>421100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IFERROR(VLOOKUP(B13,input_421100!L:R,7,FALSE),VLOOKUP(tables_421100!C13,input_421100!A:H,8,FALSE))</f>
        <v>1075606.1246799999</v>
      </c>
      <c r="P13" s="46">
        <f t="shared" ca="1" si="1"/>
        <v>1.18484873368575E-2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input_421100!A$2</f>
        <v>421100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IFERROR(VLOOKUP(B14,input_421100!L:R,7,FALSE),VLOOKUP(tables_421100!C14,input_421100!A:H,8,FALSE))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input_421100!A$2</f>
        <v>421100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IFERROR(VLOOKUP(B15,input_421100!L:R,7,FALSE),VLOOKUP(tables_421100!C15,input_421100!A:H,8,FALSE))</f>
        <v>1075606.1246799999</v>
      </c>
      <c r="P15" s="46">
        <f t="shared" ca="1" si="1"/>
        <v>1.18484873368575E-2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input_421100!A$2</f>
        <v>421100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IFERROR(VLOOKUP(B16,input_421100!L:R,7,FALSE),VLOOKUP(tables_421100!C16,input_421100!A:H,8,FALSE))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input_421100!A$2</f>
        <v>421100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IFERROR(VLOOKUP(B17,input_421100!L:R,7,FALSE),VLOOKUP(tables_421100!C17,input_421100!A:H,8,FALSE))</f>
        <v>1075606.1246799999</v>
      </c>
      <c r="P17" s="46">
        <f t="shared" ca="1" si="1"/>
        <v>1.18484873368575E-2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input_421100!A$2</f>
        <v>421100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IFERROR(VLOOKUP(B18,input_421100!L:R,7,FALSE),VLOOKUP(tables_421100!C18,input_421100!A:H,8,FALSE))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input_421100!A$2</f>
        <v>421100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IFERROR(VLOOKUP(B19,input_421100!L:R,7,FALSE),VLOOKUP(tables_421100!C19,input_421100!A:H,8,FALSE))</f>
        <v>1075606.1246799999</v>
      </c>
      <c r="P19" s="46">
        <f t="shared" ca="1" si="1"/>
        <v>1.18484873368575E-2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input_421100!A$2</f>
        <v>421100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IFERROR(VLOOKUP(B20,input_421100!L:R,7,FALSE),VLOOKUP(tables_421100!C20,input_421100!A:H,8,FALSE))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input_421100!A$2</f>
        <v>421100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IFERROR(VLOOKUP(B21,input_421100!L:R,7,FALSE),VLOOKUP(tables_421100!C21,input_421100!A:H,8,FALSE))</f>
        <v>1075606.1246799999</v>
      </c>
      <c r="P21" s="46">
        <f t="shared" ca="1" si="1"/>
        <v>1.18484873368575E-2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input_421100!A$2</f>
        <v>421100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IFERROR(VLOOKUP(B22,input_421100!L:R,7,FALSE),VLOOKUP(tables_421100!C22,input_421100!A:H,8,FALSE))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input_421100!A$2</f>
        <v>421100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IFERROR(VLOOKUP(B23,input_421100!L:R,7,FALSE),VLOOKUP(tables_421100!C23,input_421100!A:H,8,FALSE))</f>
        <v>1075606.1246799999</v>
      </c>
      <c r="P23" s="46">
        <f t="shared" ca="1" si="1"/>
        <v>1.18484873368575E-2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input_421100!A$2</f>
        <v>421100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IFERROR(VLOOKUP(B24,input_421100!L:R,7,FALSE),VLOOKUP(tables_421100!C24,input_421100!A:H,8,FALSE))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input_421100!A$2</f>
        <v>421100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IFERROR(VLOOKUP(B25,input_421100!L:R,7,FALSE),VLOOKUP(tables_421100!C25,input_421100!A:H,8,FALSE))</f>
        <v>1075606.1246799999</v>
      </c>
      <c r="P25" s="46">
        <f t="shared" ca="1" si="1"/>
        <v>1.18484873368575E-2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input_421100!A$2</f>
        <v>421100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IFERROR(VLOOKUP(B26,input_421100!L:R,7,FALSE),VLOOKUP(tables_421100!C26,input_421100!A:H,8,FALSE))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input_421100!A$2</f>
        <v>421100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IFERROR(VLOOKUP(B27,input_421100!L:R,7,FALSE),VLOOKUP(tables_421100!C27,input_421100!A:H,8,FALSE))</f>
        <v>1075606.1246799999</v>
      </c>
      <c r="P27" s="46">
        <f t="shared" ca="1" si="1"/>
        <v>1.18484873368575E-2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input_421100!A$2</f>
        <v>421100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IFERROR(VLOOKUP(B28,input_421100!L:R,7,FALSE),VLOOKUP(tables_421100!C28,input_421100!A:H,8,FALSE))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input_421100!A$2</f>
        <v>421100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IFERROR(VLOOKUP(B29,input_421100!L:R,7,FALSE),VLOOKUP(tables_421100!C29,input_421100!A:H,8,FALSE))</f>
        <v>1075606.1246799999</v>
      </c>
      <c r="P29" s="46">
        <f t="shared" ca="1" si="1"/>
        <v>1.18484873368575E-2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input_421100!A$2</f>
        <v>421100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IFERROR(VLOOKUP(B30,input_421100!L:R,7,FALSE),VLOOKUP(tables_421100!C30,input_421100!A:H,8,FALSE))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input_421100!A$2</f>
        <v>421100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IFERROR(VLOOKUP(B31,input_421100!L:R,7,FALSE),VLOOKUP(tables_421100!C31,input_421100!A:H,8,FALSE))</f>
        <v>1075606.1246799999</v>
      </c>
      <c r="P31" s="46">
        <f t="shared" ca="1" si="1"/>
        <v>1.18484873368575E-2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input_421100!A$2</f>
        <v>421100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IFERROR(VLOOKUP(B32,input_421100!L:R,7,FALSE),VLOOKUP(tables_421100!C32,input_421100!A:H,8,FALSE))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input_421100!A$2</f>
        <v>421100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IFERROR(VLOOKUP(B33,input_421100!L:R,7,FALSE),VLOOKUP(tables_421100!C33,input_421100!A:H,8,FALSE))</f>
        <v>1075606.1246799999</v>
      </c>
      <c r="P33" s="46">
        <f t="shared" ca="1" si="1"/>
        <v>1.18484873368575E-2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input_421100!A$2</f>
        <v>421100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IFERROR(VLOOKUP(B34,input_421100!L:R,7,FALSE),VLOOKUP(tables_421100!C34,input_421100!A:H,8,FALSE))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input_421100!A$2</f>
        <v>421100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IFERROR(VLOOKUP(B35,input_421100!L:R,7,FALSE),VLOOKUP(tables_421100!C35,input_421100!A:H,8,FALSE))</f>
        <v>1075606.1246799999</v>
      </c>
      <c r="P35" s="46">
        <f t="shared" ca="1" si="1"/>
        <v>1.18484873368575E-2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input_421100!A$2</f>
        <v>421100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IFERROR(VLOOKUP(B36,input_421100!L:R,7,FALSE),VLOOKUP(tables_421100!C36,input_421100!A:H,8,FALSE))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input_421100!A$2</f>
        <v>421100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IFERROR(VLOOKUP(B37,input_421100!L:R,7,FALSE),VLOOKUP(tables_421100!C37,input_421100!A:H,8,FALSE))</f>
        <v>1075606.1246799999</v>
      </c>
      <c r="P37" s="46">
        <f t="shared" ca="1" si="1"/>
        <v>1.18484873368575E-2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input_421100!A$2</f>
        <v>421100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IFERROR(VLOOKUP(B38,input_421100!L:R,7,FALSE),VLOOKUP(tables_421100!C38,input_421100!A:H,8,FALSE))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input_421100!A$2</f>
        <v>421100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IFERROR(VLOOKUP(B39,input_421100!L:R,7,FALSE),VLOOKUP(tables_421100!C39,input_421100!A:H,8,FALSE))</f>
        <v>1075606.1246799999</v>
      </c>
      <c r="P39" s="46">
        <f t="shared" ca="1" si="1"/>
        <v>1.18484873368575E-2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input_421100!A$2</f>
        <v>421100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IFERROR(VLOOKUP(B40,input_421100!L:R,7,FALSE),VLOOKUP(tables_421100!C40,input_421100!A:H,8,FALSE))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input_421100!A$2</f>
        <v>421100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IFERROR(VLOOKUP(B41,input_421100!L:R,7,FALSE),VLOOKUP(tables_421100!C41,input_421100!A:H,8,FALSE))</f>
        <v>1075606.1246799999</v>
      </c>
      <c r="P41" s="46">
        <f t="shared" ca="1" si="1"/>
        <v>1.18484873368575E-2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input_421100!A$2</f>
        <v>421100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IFERROR(VLOOKUP(B42,input_421100!L:R,7,FALSE),VLOOKUP(tables_421100!C42,input_421100!A:H,8,FALSE))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input_421100!A$2</f>
        <v>421100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IFERROR(VLOOKUP(B43,input_421100!L:R,7,FALSE),VLOOKUP(tables_421100!C43,input_421100!A:H,8,FALSE))</f>
        <v>886635</v>
      </c>
      <c r="P43" s="46">
        <f t="shared" ca="1" si="1"/>
        <v>9.7668498987396914E-3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input_421100!A$2</f>
        <v>421100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IFERROR(VLOOKUP(B44,input_421100!L:R,7,FALSE),VLOOKUP(tables_421100!C44,input_421100!A:H,8,FALSE))</f>
        <v>46665</v>
      </c>
      <c r="P44" s="46">
        <f t="shared" ca="1" si="1"/>
        <v>5.1404473151261531E-4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input_421100!A$2</f>
        <v>421100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IFERROR(VLOOKUP(B45,input_421100!L:R,7,FALSE),VLOOKUP(tables_421100!C45,input_421100!A:H,8,FALSE))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input_421100!A$2</f>
        <v>421100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IFERROR(VLOOKUP(B46,input_421100!L:R,7,FALSE),VLOOKUP(tables_421100!C46,input_421100!A:H,8,FALSE))</f>
        <v>886635</v>
      </c>
      <c r="P46" s="46">
        <f t="shared" ca="1" si="1"/>
        <v>9.7668498987396914E-3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input_421100!A$2</f>
        <v>421100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IFERROR(VLOOKUP(B47,input_421100!L:R,7,FALSE),VLOOKUP(tables_421100!C47,input_421100!A:H,8,FALSE))</f>
        <v>46665</v>
      </c>
      <c r="P47" s="46">
        <f t="shared" ca="1" si="1"/>
        <v>5.1404473151261531E-4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input_421100!A$2</f>
        <v>421100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IFERROR(VLOOKUP(B48,input_421100!L:R,7,FALSE),VLOOKUP(tables_421100!C48,input_421100!A:H,8,FALSE))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input_421100!A$2</f>
        <v>421100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IFERROR(VLOOKUP(B49,input_421100!L:R,7,FALSE),VLOOKUP(tables_421100!C49,input_421100!A:H,8,FALSE))</f>
        <v>886635</v>
      </c>
      <c r="P49" s="46">
        <f t="shared" ca="1" si="1"/>
        <v>9.7668498987396914E-3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input_421100!A$2</f>
        <v>421100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IFERROR(VLOOKUP(B50,input_421100!L:R,7,FALSE),VLOOKUP(tables_421100!C50,input_421100!A:H,8,FALSE))</f>
        <v>46665</v>
      </c>
      <c r="P50" s="46">
        <f t="shared" ca="1" si="1"/>
        <v>5.1404473151261531E-4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input_421100!A$2</f>
        <v>421100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IFERROR(VLOOKUP(B51,input_421100!L:R,7,FALSE),VLOOKUP(tables_421100!C51,input_421100!A:H,8,FALSE))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input_421100!A$2</f>
        <v>421100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IFERROR(VLOOKUP(B52,input_421100!L:R,7,FALSE),VLOOKUP(tables_421100!C52,input_421100!A:H,8,FALSE))</f>
        <v>874851.05769000005</v>
      </c>
      <c r="P52" s="46">
        <f t="shared" ca="1" si="1"/>
        <v>9.6370422600189354E-3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input_421100!A$2</f>
        <v>421100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IFERROR(VLOOKUP(B53,input_421100!L:R,7,FALSE),VLOOKUP(tables_421100!C53,input_421100!A:H,8,FALSE))</f>
        <v>3716.5384600000002</v>
      </c>
      <c r="P53" s="46">
        <f t="shared" ca="1" si="1"/>
        <v>4.0940041033472821E-5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input_421100!A$2</f>
        <v>421100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IFERROR(VLOOKUP(B54,input_421100!L:R,7,FALSE),VLOOKUP(tables_421100!C54,input_421100!A:H,8,FALSE))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input_421100!A$2</f>
        <v>421100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IFERROR(VLOOKUP(B55,input_421100!L:R,7,FALSE),VLOOKUP(tables_421100!C55,input_421100!A:H,8,FALSE))</f>
        <v>874851.05769000005</v>
      </c>
      <c r="P55" s="46">
        <f t="shared" ca="1" si="1"/>
        <v>9.6370422600189354E-3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input_421100!A$2</f>
        <v>421100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IFERROR(VLOOKUP(B56,input_421100!L:R,7,FALSE),VLOOKUP(tables_421100!C56,input_421100!A:H,8,FALSE))</f>
        <v>3716.5384600000002</v>
      </c>
      <c r="P56" s="46">
        <f t="shared" ca="1" si="1"/>
        <v>4.0940041033472821E-5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input_421100!A$2</f>
        <v>421100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IFERROR(VLOOKUP(B57,input_421100!L:R,7,FALSE),VLOOKUP(tables_421100!C57,input_421100!A:H,8,FALSE))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input_421100!A$2</f>
        <v>421100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IFERROR(VLOOKUP(B58,input_421100!L:R,7,FALSE),VLOOKUP(tables_421100!C58,input_421100!A:H,8,FALSE))</f>
        <v>874851.05769000005</v>
      </c>
      <c r="P58" s="46">
        <f t="shared" ca="1" si="1"/>
        <v>9.6370422600189354E-3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input_421100!A$2</f>
        <v>421100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IFERROR(VLOOKUP(B59,input_421100!L:R,7,FALSE),VLOOKUP(tables_421100!C59,input_421100!A:H,8,FALSE))</f>
        <v>3716.5384600000002</v>
      </c>
      <c r="P59" s="46">
        <f t="shared" ca="1" si="1"/>
        <v>4.0940041033472821E-5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input_421100!A$2</f>
        <v>421100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IFERROR(VLOOKUP(B60,input_421100!L:R,7,FALSE),VLOOKUP(tables_421100!C60,input_421100!A:H,8,FALSE))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input_421100!A$2</f>
        <v>421100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IFERROR(VLOOKUP(B61,input_421100!L:R,7,FALSE),VLOOKUP(tables_421100!C61,input_421100!A:H,8,FALSE))</f>
        <v>874851.05769000005</v>
      </c>
      <c r="P61" s="46">
        <f t="shared" ca="1" si="1"/>
        <v>9.6370422600189354E-3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input_421100!A$2</f>
        <v>421100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IFERROR(VLOOKUP(B62,input_421100!L:R,7,FALSE),VLOOKUP(tables_421100!C62,input_421100!A:H,8,FALSE))</f>
        <v>3716.5384600000002</v>
      </c>
      <c r="P62" s="46">
        <f t="shared" ca="1" si="1"/>
        <v>4.0940041033472821E-5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input_421100!A$2</f>
        <v>421100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IFERROR(VLOOKUP(B63,input_421100!L:R,7,FALSE),VLOOKUP(tables_421100!C63,input_421100!A:H,8,FALSE))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input_421100!A$2</f>
        <v>421100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IFERROR(VLOOKUP(B64,input_421100!L:R,7,FALSE),VLOOKUP(tables_421100!C64,input_421100!A:H,8,FALSE))</f>
        <v>874851.05769000005</v>
      </c>
      <c r="P64" s="46">
        <f t="shared" ca="1" si="1"/>
        <v>9.6370422600189354E-3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input_421100!A$2</f>
        <v>421100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IFERROR(VLOOKUP(B65,input_421100!L:R,7,FALSE),VLOOKUP(tables_421100!C65,input_421100!A:H,8,FALSE))</f>
        <v>3716.5384600000002</v>
      </c>
      <c r="P65" s="46">
        <f t="shared" ca="1" si="1"/>
        <v>4.0940041033472821E-5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input_421100!A$2</f>
        <v>421100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IFERROR(VLOOKUP(B66,input_421100!L:R,7,FALSE),VLOOKUP(tables_421100!C66,input_421100!A:H,8,FALSE))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input_421100!A$2</f>
        <v>421100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IFERROR(VLOOKUP(B67,input_421100!L:R,7,FALSE),VLOOKUP(tables_421100!C67,input_421100!A:H,8,FALSE))</f>
        <v>874851.05769000005</v>
      </c>
      <c r="P67" s="46">
        <f t="shared" ca="1" si="4"/>
        <v>9.6370422600189354E-3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input_421100!A$2</f>
        <v>421100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IFERROR(VLOOKUP(B68,input_421100!L:R,7,FALSE),VLOOKUP(tables_421100!C68,input_421100!A:H,8,FALSE))</f>
        <v>3716.5384600000002</v>
      </c>
      <c r="P68" s="46">
        <f t="shared" ca="1" si="4"/>
        <v>4.0940041033472821E-5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input_421100!A$2</f>
        <v>421100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IFERROR(VLOOKUP(B69,input_421100!L:R,7,FALSE),VLOOKUP(tables_421100!C69,input_421100!A:H,8,FALSE))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input_421100!A$2</f>
        <v>421100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IFERROR(VLOOKUP(B70,input_421100!L:R,7,FALSE),VLOOKUP(tables_421100!C70,input_421100!A:H,8,FALSE))</f>
        <v>874851.05769000005</v>
      </c>
      <c r="P70" s="46">
        <f t="shared" ca="1" si="4"/>
        <v>9.6370422600189354E-3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input_421100!A$2</f>
        <v>421100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IFERROR(VLOOKUP(B71,input_421100!L:R,7,FALSE),VLOOKUP(tables_421100!C71,input_421100!A:H,8,FALSE))</f>
        <v>3716.5384600000002</v>
      </c>
      <c r="P71" s="46">
        <f t="shared" ca="1" si="4"/>
        <v>4.0940041033472821E-5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input_421100!A$2</f>
        <v>421100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IFERROR(VLOOKUP(B72,input_421100!L:R,7,FALSE),VLOOKUP(tables_421100!C72,input_421100!A:H,8,FALSE))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input_421100!A$2</f>
        <v>421100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IFERROR(VLOOKUP(B73,input_421100!L:R,7,FALSE),VLOOKUP(tables_421100!C73,input_421100!A:H,8,FALSE))</f>
        <v>874851.05769000005</v>
      </c>
      <c r="P73" s="46">
        <f t="shared" ca="1" si="4"/>
        <v>9.6370422600189354E-3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input_421100!A$2</f>
        <v>421100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IFERROR(VLOOKUP(B74,input_421100!L:R,7,FALSE),VLOOKUP(tables_421100!C74,input_421100!A:H,8,FALSE))</f>
        <v>3716.5384600000002</v>
      </c>
      <c r="P74" s="46">
        <f t="shared" ca="1" si="4"/>
        <v>4.0940041033472821E-5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input_421100!A$2</f>
        <v>421100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IFERROR(VLOOKUP(B75,input_421100!L:R,7,FALSE),VLOOKUP(tables_421100!C75,input_421100!A:H,8,FALSE))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input_421100!A$2</f>
        <v>421100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IFERROR(VLOOKUP(B76,input_421100!L:R,7,FALSE),VLOOKUP(tables_421100!C76,input_421100!A:H,8,FALSE))</f>
        <v>874851.05769000005</v>
      </c>
      <c r="P76" s="46">
        <f t="shared" ca="1" si="4"/>
        <v>9.6370422600189354E-3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input_421100!A$2</f>
        <v>421100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IFERROR(VLOOKUP(B77,input_421100!L:R,7,FALSE),VLOOKUP(tables_421100!C77,input_421100!A:H,8,FALSE))</f>
        <v>3716.5384600000002</v>
      </c>
      <c r="P77" s="46">
        <f t="shared" ca="1" si="4"/>
        <v>4.0940041033472821E-5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input_421100!A$2</f>
        <v>421100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IFERROR(VLOOKUP(B78,input_421100!L:R,7,FALSE),VLOOKUP(tables_421100!C78,input_421100!A:H,8,FALSE))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input_421100!A$2</f>
        <v>421100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IFERROR(VLOOKUP(B79,input_421100!L:R,7,FALSE),VLOOKUP(tables_421100!C79,input_421100!A:H,8,FALSE))</f>
        <v>874851.05769000005</v>
      </c>
      <c r="P79" s="46">
        <f t="shared" ca="1" si="4"/>
        <v>9.6370422600189354E-3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input_421100!A$2</f>
        <v>421100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IFERROR(VLOOKUP(B80,input_421100!L:R,7,FALSE),VLOOKUP(tables_421100!C80,input_421100!A:H,8,FALSE))</f>
        <v>3716.5384600000002</v>
      </c>
      <c r="P80" s="46">
        <f t="shared" ca="1" si="4"/>
        <v>4.0940041033472821E-5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input_421100!A$2</f>
        <v>421100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IFERROR(VLOOKUP(B81,input_421100!L:R,7,FALSE),VLOOKUP(tables_421100!C81,input_421100!A:H,8,FALSE))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input_421100!A$2</f>
        <v>421100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IFERROR(VLOOKUP(B82,input_421100!L:R,7,FALSE),VLOOKUP(tables_421100!C82,input_421100!A:H,8,FALSE))</f>
        <v>874851.05769000005</v>
      </c>
      <c r="P82" s="46">
        <f t="shared" ca="1" si="4"/>
        <v>9.6370422600189354E-3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input_421100!A$2</f>
        <v>421100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IFERROR(VLOOKUP(B83,input_421100!L:R,7,FALSE),VLOOKUP(tables_421100!C83,input_421100!A:H,8,FALSE))</f>
        <v>3716.5384600000002</v>
      </c>
      <c r="P83" s="46">
        <f t="shared" ca="1" si="4"/>
        <v>4.0940041033472821E-5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input_421100!A$2</f>
        <v>421100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IFERROR(VLOOKUP(B84,input_421100!L:R,7,FALSE),VLOOKUP(tables_421100!C84,input_421100!A:H,8,FALSE))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input_421100!A$2</f>
        <v>421100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IFERROR(VLOOKUP(B85,input_421100!L:R,7,FALSE),VLOOKUP(tables_421100!C85,input_421100!A:H,8,FALSE))</f>
        <v>874851.05769000005</v>
      </c>
      <c r="P85" s="46">
        <f t="shared" ca="1" si="4"/>
        <v>9.6370422600189354E-3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input_421100!A$2</f>
        <v>421100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IFERROR(VLOOKUP(B86,input_421100!L:R,7,FALSE),VLOOKUP(tables_421100!C86,input_421100!A:H,8,FALSE))</f>
        <v>3716.5384600000002</v>
      </c>
      <c r="P86" s="46">
        <f t="shared" ca="1" si="4"/>
        <v>4.0940041033472821E-5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input_421100!A$2</f>
        <v>421100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IFERROR(VLOOKUP(B87,input_421100!L:R,7,FALSE),VLOOKUP(tables_421100!C87,input_421100!A:H,8,FALSE))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input_421100!A$2</f>
        <v>421100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IFERROR(VLOOKUP(B88,input_421100!L:R,7,FALSE),VLOOKUP(tables_421100!C88,input_421100!A:H,8,FALSE))</f>
        <v>874851.05769000005</v>
      </c>
      <c r="P88" s="46">
        <f t="shared" ca="1" si="4"/>
        <v>9.6370422600189354E-3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input_421100!A$2</f>
        <v>421100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IFERROR(VLOOKUP(B89,input_421100!L:R,7,FALSE),VLOOKUP(tables_421100!C89,input_421100!A:H,8,FALSE))</f>
        <v>3716.5384600000002</v>
      </c>
      <c r="P89" s="46">
        <f t="shared" ca="1" si="4"/>
        <v>4.0940041033472821E-5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input_421100!A$2</f>
        <v>421100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IFERROR(VLOOKUP(B90,input_421100!L:R,7,FALSE),VLOOKUP(tables_421100!C90,input_421100!A:H,8,FALSE))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input_421100!A$2</f>
        <v>421100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IFERROR(VLOOKUP(B91,input_421100!L:R,7,FALSE),VLOOKUP(tables_421100!C91,input_421100!A:H,8,FALSE))</f>
        <v>874851.05769000005</v>
      </c>
      <c r="P91" s="46">
        <f t="shared" ca="1" si="4"/>
        <v>9.6370422600189354E-3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input_421100!A$2</f>
        <v>421100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IFERROR(VLOOKUP(B92,input_421100!L:R,7,FALSE),VLOOKUP(tables_421100!C92,input_421100!A:H,8,FALSE))</f>
        <v>3716.5384600000002</v>
      </c>
      <c r="P92" s="46">
        <f t="shared" ca="1" si="4"/>
        <v>4.0940041033472821E-5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input_421100!A$2</f>
        <v>421100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IFERROR(VLOOKUP(B93,input_421100!L:R,7,FALSE),VLOOKUP(tables_421100!C93,input_421100!A:H,8,FALSE))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input_421100!A$2</f>
        <v>421100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IFERROR(VLOOKUP(B94,input_421100!L:R,7,FALSE),VLOOKUP(tables_421100!C94,input_421100!A:H,8,FALSE))</f>
        <v>874851.05769000005</v>
      </c>
      <c r="P94" s="46">
        <f t="shared" ca="1" si="4"/>
        <v>9.6370422600189354E-3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input_421100!A$2</f>
        <v>421100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IFERROR(VLOOKUP(B95,input_421100!L:R,7,FALSE),VLOOKUP(tables_421100!C95,input_421100!A:H,8,FALSE))</f>
        <v>3716.5384600000002</v>
      </c>
      <c r="P95" s="46">
        <f t="shared" ca="1" si="4"/>
        <v>4.0940041033472821E-5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input_421100!A$2</f>
        <v>421100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IFERROR(VLOOKUP(B96,input_421100!L:R,7,FALSE),VLOOKUP(tables_421100!C96,input_421100!A:H,8,FALSE))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input_421100!A$2</f>
        <v>421100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IFERROR(VLOOKUP(B97,input_421100!L:R,7,FALSE),VLOOKUP(tables_421100!C97,input_421100!A:H,8,FALSE))</f>
        <v>874851.05769000005</v>
      </c>
      <c r="P97" s="46">
        <f t="shared" ca="1" si="4"/>
        <v>9.6370422600189354E-3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input_421100!A$2</f>
        <v>421100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IFERROR(VLOOKUP(B98,input_421100!L:R,7,FALSE),VLOOKUP(tables_421100!C98,input_421100!A:H,8,FALSE))</f>
        <v>3716.5384600000002</v>
      </c>
      <c r="P98" s="46">
        <f t="shared" ca="1" si="4"/>
        <v>4.0940041033472821E-5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input_421100!A$2</f>
        <v>421100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IFERROR(VLOOKUP(B99,input_421100!L:R,7,FALSE),VLOOKUP(tables_421100!C99,input_421100!A:H,8,FALSE))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input_421100!A$2</f>
        <v>421100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IFERROR(VLOOKUP(B100,input_421100!L:R,7,FALSE),VLOOKUP(tables_421100!C100,input_421100!A:H,8,FALSE))</f>
        <v>874851.05769000005</v>
      </c>
      <c r="P100" s="46">
        <f t="shared" ca="1" si="4"/>
        <v>9.6370422600189354E-3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input_421100!A$2</f>
        <v>421100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IFERROR(VLOOKUP(B101,input_421100!L:R,7,FALSE),VLOOKUP(tables_421100!C101,input_421100!A:H,8,FALSE))</f>
        <v>3716.5384600000002</v>
      </c>
      <c r="P101" s="46">
        <f t="shared" ca="1" si="4"/>
        <v>4.0940041033472821E-5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input_421100!A$2</f>
        <v>421100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IFERROR(VLOOKUP(B102,input_421100!L:R,7,FALSE),VLOOKUP(tables_421100!C102,input_421100!A:H,8,FALSE))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input_421100!A$2</f>
        <v>421100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IFERROR(VLOOKUP(B103,input_421100!L:R,7,FALSE),VLOOKUP(tables_421100!C103,input_421100!A:H,8,FALSE))</f>
        <v>874851.05769000005</v>
      </c>
      <c r="P103" s="46">
        <f t="shared" ca="1" si="4"/>
        <v>9.6370422600189354E-3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input_421100!A$2</f>
        <v>421100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IFERROR(VLOOKUP(B104,input_421100!L:R,7,FALSE),VLOOKUP(tables_421100!C104,input_421100!A:H,8,FALSE))</f>
        <v>3716.5384600000002</v>
      </c>
      <c r="P104" s="46">
        <f t="shared" ca="1" si="4"/>
        <v>4.0940041033472821E-5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input_421100!A$2</f>
        <v>421100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IFERROR(VLOOKUP(B105,input_421100!L:R,7,FALSE),VLOOKUP(tables_421100!C105,input_421100!A:H,8,FALSE))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input_421100!A$2</f>
        <v>421100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IFERROR(VLOOKUP(B106,input_421100!L:R,7,FALSE),VLOOKUP(tables_421100!C106,input_421100!A:H,8,FALSE))</f>
        <v>874851.05769000005</v>
      </c>
      <c r="P106" s="46">
        <f t="shared" ca="1" si="4"/>
        <v>9.6370422600189354E-3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input_421100!A$2</f>
        <v>421100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IFERROR(VLOOKUP(B107,input_421100!L:R,7,FALSE),VLOOKUP(tables_421100!C107,input_421100!A:H,8,FALSE))</f>
        <v>3716.5384600000002</v>
      </c>
      <c r="P107" s="46">
        <f t="shared" ca="1" si="4"/>
        <v>4.0940041033472821E-5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input_421100!A$2</f>
        <v>421100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IFERROR(VLOOKUP(B108,input_421100!L:R,7,FALSE),VLOOKUP(tables_421100!C108,input_421100!A:H,8,FALSE))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input_421100!A$2</f>
        <v>421100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IFERROR(VLOOKUP(B109,input_421100!L:R,7,FALSE),VLOOKUP(tables_421100!C109,input_421100!A:H,8,FALSE))</f>
        <v>874851.05769000005</v>
      </c>
      <c r="P109" s="46">
        <f t="shared" ca="1" si="4"/>
        <v>9.6370422600189354E-3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input_421100!A$2</f>
        <v>421100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IFERROR(VLOOKUP(B110,input_421100!L:R,7,FALSE),VLOOKUP(tables_421100!C110,input_421100!A:H,8,FALSE))</f>
        <v>3716.5384600000002</v>
      </c>
      <c r="P110" s="46">
        <f t="shared" ca="1" si="4"/>
        <v>4.0940041033472821E-5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input_421100!A$2</f>
        <v>421100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IFERROR(VLOOKUP(B111,input_421100!L:R,7,FALSE),VLOOKUP(tables_421100!C111,input_421100!A:H,8,FALSE))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input_421100!A$2</f>
        <v>421100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IFERROR(VLOOKUP(B112,input_421100!L:R,7,FALSE),VLOOKUP(tables_421100!C112,input_421100!A:H,8,FALSE))</f>
        <v>886635</v>
      </c>
      <c r="P112" s="46">
        <f t="shared" ca="1" si="4"/>
        <v>9.7668498987396914E-3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input_421100!A$2</f>
        <v>421100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IFERROR(VLOOKUP(B113,input_421100!L:R,7,FALSE),VLOOKUP(tables_421100!C113,input_421100!A:H,8,FALSE))</f>
        <v>46665</v>
      </c>
      <c r="P113" s="46">
        <f t="shared" ca="1" si="4"/>
        <v>5.1404473151261531E-4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input_421100!A$2</f>
        <v>421100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IFERROR(VLOOKUP(B114,input_421100!L:R,7,FALSE),VLOOKUP(tables_421100!C114,input_421100!A:H,8,FALSE))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input_421100!A$2</f>
        <v>421100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IFERROR(VLOOKUP(B115,input_421100!L:R,7,FALSE),VLOOKUP(tables_421100!C115,input_421100!A:H,8,FALSE))</f>
        <v>874851.05769000005</v>
      </c>
      <c r="P115" s="46">
        <f t="shared" ca="1" si="4"/>
        <v>9.6370422600189354E-3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input_421100!A$2</f>
        <v>421100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IFERROR(VLOOKUP(B116,input_421100!L:R,7,FALSE),VLOOKUP(tables_421100!C116,input_421100!A:H,8,FALSE))</f>
        <v>3716.5384600000002</v>
      </c>
      <c r="P116" s="46">
        <f t="shared" ca="1" si="4"/>
        <v>4.0940041033472821E-5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input_421100!A$2</f>
        <v>421100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IFERROR(VLOOKUP(B117,input_421100!L:R,7,FALSE),VLOOKUP(tables_421100!C117,input_421100!A:H,8,FALSE))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input_421100!A$2</f>
        <v>421100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IFERROR(VLOOKUP(B118,input_421100!L:R,7,FALSE),VLOOKUP(tables_421100!C118,input_421100!A:H,8,FALSE))</f>
        <v>874851.05769000005</v>
      </c>
      <c r="P118" s="46">
        <f t="shared" ca="1" si="4"/>
        <v>9.6370422600189354E-3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input_421100!A$2</f>
        <v>421100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IFERROR(VLOOKUP(B119,input_421100!L:R,7,FALSE),VLOOKUP(tables_421100!C119,input_421100!A:H,8,FALSE))</f>
        <v>3716.5384600000002</v>
      </c>
      <c r="P119" s="46">
        <f t="shared" ca="1" si="4"/>
        <v>4.0940041033472821E-5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input_421100!A$2</f>
        <v>421100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IFERROR(VLOOKUP(B120,input_421100!L:R,7,FALSE),VLOOKUP(tables_421100!C120,input_421100!A:H,8,FALSE))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input_421100!A$2</f>
        <v>421100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IFERROR(VLOOKUP(B121,input_421100!L:R,7,FALSE),VLOOKUP(tables_421100!C121,input_421100!A:H,8,FALSE))</f>
        <v>874851.05769000005</v>
      </c>
      <c r="P121" s="46">
        <f t="shared" ca="1" si="4"/>
        <v>9.6370422600189354E-3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input_421100!A$2</f>
        <v>421100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IFERROR(VLOOKUP(B122,input_421100!L:R,7,FALSE),VLOOKUP(tables_421100!C122,input_421100!A:H,8,FALSE))</f>
        <v>3716.5384600000002</v>
      </c>
      <c r="P122" s="46">
        <f t="shared" ca="1" si="4"/>
        <v>4.0940041033472821E-5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input_421100!A$2</f>
        <v>421100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IFERROR(VLOOKUP(B123,input_421100!L:R,7,FALSE),VLOOKUP(tables_421100!C123,input_421100!A:H,8,FALSE))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input_421100!A$2</f>
        <v>421100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IFERROR(VLOOKUP(B124,input_421100!L:R,7,FALSE),VLOOKUP(tables_421100!C124,input_421100!A:H,8,FALSE))</f>
        <v>874851.05769000005</v>
      </c>
      <c r="P124" s="46">
        <f t="shared" ca="1" si="4"/>
        <v>9.6370422600189354E-3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input_421100!A$2</f>
        <v>421100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IFERROR(VLOOKUP(B125,input_421100!L:R,7,FALSE),VLOOKUP(tables_421100!C125,input_421100!A:H,8,FALSE))</f>
        <v>3716.5384600000002</v>
      </c>
      <c r="P125" s="46">
        <f t="shared" ca="1" si="4"/>
        <v>4.0940041033472821E-5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input_421100!A$2</f>
        <v>421100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IFERROR(VLOOKUP(B126,input_421100!L:R,7,FALSE),VLOOKUP(tables_421100!C126,input_421100!A:H,8,FALSE))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input_421100!A$2</f>
        <v>421100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IFERROR(VLOOKUP(B127,input_421100!L:R,7,FALSE),VLOOKUP(tables_421100!C127,input_421100!A:H,8,FALSE))</f>
        <v>874851.05769000005</v>
      </c>
      <c r="P127" s="46">
        <f t="shared" ca="1" si="4"/>
        <v>9.6370422600189354E-3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input_421100!A$2</f>
        <v>421100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IFERROR(VLOOKUP(B128,input_421100!L:R,7,FALSE),VLOOKUP(tables_421100!C128,input_421100!A:H,8,FALSE))</f>
        <v>3716.5384600000002</v>
      </c>
      <c r="P128" s="46">
        <f t="shared" ca="1" si="4"/>
        <v>4.0940041033472821E-5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input_421100!A$2</f>
        <v>421100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IFERROR(VLOOKUP(B129,input_421100!L:R,7,FALSE),VLOOKUP(tables_421100!C129,input_421100!A:H,8,FALSE))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input_421100!A$2</f>
        <v>421100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IFERROR(VLOOKUP(B130,input_421100!L:R,7,FALSE),VLOOKUP(tables_421100!C130,input_421100!A:H,8,FALSE))</f>
        <v>874851.05769000005</v>
      </c>
      <c r="P130" s="46">
        <f t="shared" ref="P130:P193" ca="1" si="7">O130/SUM(O:O)</f>
        <v>9.6370422600189354E-3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input_421100!A$2</f>
        <v>421100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IFERROR(VLOOKUP(B131,input_421100!L:R,7,FALSE),VLOOKUP(tables_421100!C131,input_421100!A:H,8,FALSE))</f>
        <v>3716.5384600000002</v>
      </c>
      <c r="P131" s="46">
        <f t="shared" ca="1" si="7"/>
        <v>4.0940041033472821E-5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input_421100!A$2</f>
        <v>421100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IFERROR(VLOOKUP(B132,input_421100!L:R,7,FALSE),VLOOKUP(tables_421100!C132,input_421100!A:H,8,FALSE))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input_421100!A$2</f>
        <v>421100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IFERROR(VLOOKUP(B133,input_421100!L:R,7,FALSE),VLOOKUP(tables_421100!C133,input_421100!A:H,8,FALSE))</f>
        <v>874851.05769000005</v>
      </c>
      <c r="P133" s="46">
        <f t="shared" ca="1" si="7"/>
        <v>9.6370422600189354E-3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input_421100!A$2</f>
        <v>421100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IFERROR(VLOOKUP(B134,input_421100!L:R,7,FALSE),VLOOKUP(tables_421100!C134,input_421100!A:H,8,FALSE))</f>
        <v>3716.5384600000002</v>
      </c>
      <c r="P134" s="46">
        <f t="shared" ca="1" si="7"/>
        <v>4.0940041033472821E-5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input_421100!A$2</f>
        <v>421100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IFERROR(VLOOKUP(B135,input_421100!L:R,7,FALSE),VLOOKUP(tables_421100!C135,input_421100!A:H,8,FALSE))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input_421100!A$2</f>
        <v>421100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IFERROR(VLOOKUP(B136,input_421100!L:R,7,FALSE),VLOOKUP(tables_421100!C136,input_421100!A:H,8,FALSE))</f>
        <v>874851.05769000005</v>
      </c>
      <c r="P136" s="46">
        <f t="shared" ca="1" si="7"/>
        <v>9.6370422600189354E-3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input_421100!A$2</f>
        <v>421100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IFERROR(VLOOKUP(B137,input_421100!L:R,7,FALSE),VLOOKUP(tables_421100!C137,input_421100!A:H,8,FALSE))</f>
        <v>3716.5384600000002</v>
      </c>
      <c r="P137" s="46">
        <f t="shared" ca="1" si="7"/>
        <v>4.0940041033472821E-5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input_421100!A$2</f>
        <v>421100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IFERROR(VLOOKUP(B138,input_421100!L:R,7,FALSE),VLOOKUP(tables_421100!C138,input_421100!A:H,8,FALSE))</f>
        <v>126825</v>
      </c>
      <c r="P138" s="46">
        <f t="shared" ca="1" si="7"/>
        <v>1.3970582465249639E-3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input_421100!A$2</f>
        <v>421100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IFERROR(VLOOKUP(B139,input_421100!L:R,7,FALSE),VLOOKUP(tables_421100!C139,input_421100!A:H,8,FALSE))</f>
        <v>6675</v>
      </c>
      <c r="P139" s="46">
        <f t="shared" ca="1" si="7"/>
        <v>7.3529381396050735E-5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input_421100!A$2</f>
        <v>421100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IFERROR(VLOOKUP(B140,input_421100!L:R,7,FALSE),VLOOKUP(tables_421100!C140,input_421100!A:H,8,FALSE))</f>
        <v>126825</v>
      </c>
      <c r="P140" s="46">
        <f t="shared" ca="1" si="7"/>
        <v>1.3970582465249639E-3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input_421100!A$2</f>
        <v>421100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IFERROR(VLOOKUP(B141,input_421100!L:R,7,FALSE),VLOOKUP(tables_421100!C141,input_421100!A:H,8,FALSE))</f>
        <v>6675</v>
      </c>
      <c r="P141" s="46">
        <f t="shared" ca="1" si="7"/>
        <v>7.3529381396050735E-5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input_421100!A$2</f>
        <v>421100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IFERROR(VLOOKUP(B142,input_421100!L:R,7,FALSE),VLOOKUP(tables_421100!C142,input_421100!A:H,8,FALSE))</f>
        <v>126825</v>
      </c>
      <c r="P142" s="46">
        <f t="shared" ca="1" si="7"/>
        <v>1.3970582465249639E-3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input_421100!A$2</f>
        <v>421100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IFERROR(VLOOKUP(B143,input_421100!L:R,7,FALSE),VLOOKUP(tables_421100!C143,input_421100!A:H,8,FALSE))</f>
        <v>6675</v>
      </c>
      <c r="P143" s="46">
        <f t="shared" ca="1" si="7"/>
        <v>7.3529381396050735E-5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input_421100!A$2</f>
        <v>421100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IFERROR(VLOOKUP(B144,input_421100!L:R,7,FALSE),VLOOKUP(tables_421100!C144,input_421100!A:H,8,FALSE))</f>
        <v>126825</v>
      </c>
      <c r="P144" s="46">
        <f t="shared" ca="1" si="7"/>
        <v>1.3970582465249639E-3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input_421100!A$2</f>
        <v>421100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IFERROR(VLOOKUP(B145,input_421100!L:R,7,FALSE),VLOOKUP(tables_421100!C145,input_421100!A:H,8,FALSE))</f>
        <v>6675</v>
      </c>
      <c r="P145" s="46">
        <f t="shared" ca="1" si="7"/>
        <v>7.3529381396050735E-5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input_421100!A$2</f>
        <v>421100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IFERROR(VLOOKUP(B146,input_421100!L:R,7,FALSE),VLOOKUP(tables_421100!C146,input_421100!A:H,8,FALSE))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input_421100!A$2</f>
        <v>421100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IFERROR(VLOOKUP(B147,input_421100!L:R,7,FALSE),VLOOKUP(tables_421100!C147,input_421100!A:H,8,FALSE))</f>
        <v>874851.05769000005</v>
      </c>
      <c r="P147" s="46">
        <f t="shared" ca="1" si="7"/>
        <v>9.6370422600189354E-3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input_421100!A$2</f>
        <v>421100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IFERROR(VLOOKUP(B148,input_421100!L:R,7,FALSE),VLOOKUP(tables_421100!C148,input_421100!A:H,8,FALSE))</f>
        <v>3716.5384600000002</v>
      </c>
      <c r="P148" s="46">
        <f t="shared" ca="1" si="7"/>
        <v>4.0940041033472821E-5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input_421100!A$2</f>
        <v>421100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IFERROR(VLOOKUP(B149,input_421100!L:R,7,FALSE),VLOOKUP(tables_421100!C149,input_421100!A:H,8,FALSE))</f>
        <v>126825</v>
      </c>
      <c r="P149" s="46">
        <f t="shared" ca="1" si="7"/>
        <v>1.3970582465249639E-3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input_421100!A$2</f>
        <v>421100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IFERROR(VLOOKUP(B150,input_421100!L:R,7,FALSE),VLOOKUP(tables_421100!C150,input_421100!A:H,8,FALSE))</f>
        <v>6675</v>
      </c>
      <c r="P150" s="46">
        <f t="shared" ca="1" si="7"/>
        <v>7.3529381396050735E-5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input_421100!A$2</f>
        <v>421100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IFERROR(VLOOKUP(B151,input_421100!L:R,7,FALSE),VLOOKUP(tables_421100!C151,input_421100!A:H,8,FALSE))</f>
        <v>126825</v>
      </c>
      <c r="P151" s="46">
        <f t="shared" ca="1" si="7"/>
        <v>1.3970582465249639E-3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input_421100!A$2</f>
        <v>421100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IFERROR(VLOOKUP(B152,input_421100!L:R,7,FALSE),VLOOKUP(tables_421100!C152,input_421100!A:H,8,FALSE))</f>
        <v>6675</v>
      </c>
      <c r="P152" s="46">
        <f t="shared" ca="1" si="7"/>
        <v>7.3529381396050735E-5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input_421100!A$2</f>
        <v>421100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IFERROR(VLOOKUP(B153,input_421100!L:R,7,FALSE),VLOOKUP(tables_421100!C153,input_421100!A:H,8,FALSE))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input_421100!A$2</f>
        <v>421100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IFERROR(VLOOKUP(B154,input_421100!L:R,7,FALSE),VLOOKUP(tables_421100!C154,input_421100!A:H,8,FALSE))</f>
        <v>874851.05769000005</v>
      </c>
      <c r="P154" s="46">
        <f t="shared" ca="1" si="7"/>
        <v>9.6370422600189354E-3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input_421100!A$2</f>
        <v>421100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IFERROR(VLOOKUP(B155,input_421100!L:R,7,FALSE),VLOOKUP(tables_421100!C155,input_421100!A:H,8,FALSE))</f>
        <v>3716.5384600000002</v>
      </c>
      <c r="P155" s="46">
        <f t="shared" ca="1" si="7"/>
        <v>4.0940041033472821E-5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input_421100!A$2</f>
        <v>421100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IFERROR(VLOOKUP(B156,input_421100!L:R,7,FALSE),VLOOKUP(tables_421100!C156,input_421100!A:H,8,FALSE))</f>
        <v>126825</v>
      </c>
      <c r="P156" s="46">
        <f t="shared" ca="1" si="7"/>
        <v>1.3970582465249639E-3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input_421100!A$2</f>
        <v>421100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IFERROR(VLOOKUP(B157,input_421100!L:R,7,FALSE),VLOOKUP(tables_421100!C157,input_421100!A:H,8,FALSE))</f>
        <v>6675</v>
      </c>
      <c r="P157" s="46">
        <f t="shared" ca="1" si="7"/>
        <v>7.3529381396050735E-5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input_421100!A$2</f>
        <v>421100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IFERROR(VLOOKUP(B158,input_421100!L:R,7,FALSE),VLOOKUP(tables_421100!C158,input_421100!A:H,8,FALSE))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input_421100!A$2</f>
        <v>421100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IFERROR(VLOOKUP(B159,input_421100!L:R,7,FALSE),VLOOKUP(tables_421100!C159,input_421100!A:H,8,FALSE))</f>
        <v>874851.05769000005</v>
      </c>
      <c r="P159" s="46">
        <f t="shared" ca="1" si="7"/>
        <v>9.6370422600189354E-3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input_421100!A$2</f>
        <v>421100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IFERROR(VLOOKUP(B160,input_421100!L:R,7,FALSE),VLOOKUP(tables_421100!C160,input_421100!A:H,8,FALSE))</f>
        <v>3716.5384600000002</v>
      </c>
      <c r="P160" s="46">
        <f t="shared" ca="1" si="7"/>
        <v>4.0940041033472821E-5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input_421100!A$2</f>
        <v>421100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IFERROR(VLOOKUP(B161,input_421100!L:R,7,FALSE),VLOOKUP(tables_421100!C161,input_421100!A:H,8,FALSE))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input_421100!A$2</f>
        <v>421100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IFERROR(VLOOKUP(B162,input_421100!L:R,7,FALSE),VLOOKUP(tables_421100!C162,input_421100!A:H,8,FALSE))</f>
        <v>874851.05769000005</v>
      </c>
      <c r="P162" s="46">
        <f t="shared" ca="1" si="7"/>
        <v>9.6370422600189354E-3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input_421100!A$2</f>
        <v>421100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IFERROR(VLOOKUP(B163,input_421100!L:R,7,FALSE),VLOOKUP(tables_421100!C163,input_421100!A:H,8,FALSE))</f>
        <v>3716.5384600000002</v>
      </c>
      <c r="P163" s="46">
        <f t="shared" ca="1" si="7"/>
        <v>4.0940041033472821E-5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input_421100!A$2</f>
        <v>421100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IFERROR(VLOOKUP(B164,input_421100!L:R,7,FALSE),VLOOKUP(tables_421100!C164,input_421100!A:H,8,FALSE))</f>
        <v>126825</v>
      </c>
      <c r="P164" s="46">
        <f t="shared" ca="1" si="7"/>
        <v>1.3970582465249639E-3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input_421100!A$2</f>
        <v>421100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IFERROR(VLOOKUP(B165,input_421100!L:R,7,FALSE),VLOOKUP(tables_421100!C165,input_421100!A:H,8,FALSE))</f>
        <v>6675</v>
      </c>
      <c r="P165" s="46">
        <f t="shared" ca="1" si="7"/>
        <v>7.3529381396050735E-5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input_421100!A$2</f>
        <v>421100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IFERROR(VLOOKUP(B166,input_421100!L:R,7,FALSE),VLOOKUP(tables_421100!C166,input_421100!A:H,8,FALSE))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input_421100!A$2</f>
        <v>421100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IFERROR(VLOOKUP(B167,input_421100!L:R,7,FALSE),VLOOKUP(tables_421100!C167,input_421100!A:H,8,FALSE))</f>
        <v>874851.05769000005</v>
      </c>
      <c r="P167" s="46">
        <f t="shared" ca="1" si="7"/>
        <v>9.6370422600189354E-3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input_421100!A$2</f>
        <v>421100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IFERROR(VLOOKUP(B168,input_421100!L:R,7,FALSE),VLOOKUP(tables_421100!C168,input_421100!A:H,8,FALSE))</f>
        <v>3716.5384600000002</v>
      </c>
      <c r="P168" s="46">
        <f t="shared" ca="1" si="7"/>
        <v>4.0940041033472821E-5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input_421100!A$2</f>
        <v>421100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IFERROR(VLOOKUP(B169,input_421100!L:R,7,FALSE),VLOOKUP(tables_421100!C169,input_421100!A:H,8,FALSE))</f>
        <v>126825</v>
      </c>
      <c r="P169" s="46">
        <f t="shared" ca="1" si="7"/>
        <v>1.3970582465249639E-3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input_421100!A$2</f>
        <v>421100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IFERROR(VLOOKUP(B170,input_421100!L:R,7,FALSE),VLOOKUP(tables_421100!C170,input_421100!A:H,8,FALSE))</f>
        <v>6675</v>
      </c>
      <c r="P170" s="46">
        <f t="shared" ca="1" si="7"/>
        <v>7.3529381396050735E-5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input_421100!A$2</f>
        <v>421100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IFERROR(VLOOKUP(B171,input_421100!L:R,7,FALSE),VLOOKUP(tables_421100!C171,input_421100!A:H,8,FALSE))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input_421100!A$2</f>
        <v>421100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IFERROR(VLOOKUP(B172,input_421100!L:R,7,FALSE),VLOOKUP(tables_421100!C172,input_421100!A:H,8,FALSE))</f>
        <v>874851.05769000005</v>
      </c>
      <c r="P172" s="46">
        <f t="shared" ca="1" si="7"/>
        <v>9.6370422600189354E-3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input_421100!A$2</f>
        <v>421100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IFERROR(VLOOKUP(B173,input_421100!L:R,7,FALSE),VLOOKUP(tables_421100!C173,input_421100!A:H,8,FALSE))</f>
        <v>3716.5384600000002</v>
      </c>
      <c r="P173" s="46">
        <f t="shared" ca="1" si="7"/>
        <v>4.0940041033472821E-5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input_421100!A$2</f>
        <v>421100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IFERROR(VLOOKUP(B174,input_421100!L:R,7,FALSE),VLOOKUP(tables_421100!C174,input_421100!A:H,8,FALSE))</f>
        <v>126825</v>
      </c>
      <c r="P174" s="46">
        <f t="shared" ca="1" si="7"/>
        <v>1.3970582465249639E-3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input_421100!A$2</f>
        <v>421100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IFERROR(VLOOKUP(B175,input_421100!L:R,7,FALSE),VLOOKUP(tables_421100!C175,input_421100!A:H,8,FALSE))</f>
        <v>6675</v>
      </c>
      <c r="P175" s="46">
        <f t="shared" ca="1" si="7"/>
        <v>7.3529381396050735E-5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input_421100!A$2</f>
        <v>421100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IFERROR(VLOOKUP(B176,input_421100!L:R,7,FALSE),VLOOKUP(tables_421100!C176,input_421100!A:H,8,FALSE))</f>
        <v>126825</v>
      </c>
      <c r="P176" s="46">
        <f t="shared" ca="1" si="7"/>
        <v>1.3970582465249639E-3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input_421100!A$2</f>
        <v>421100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IFERROR(VLOOKUP(B177,input_421100!L:R,7,FALSE),VLOOKUP(tables_421100!C177,input_421100!A:H,8,FALSE))</f>
        <v>6675</v>
      </c>
      <c r="P177" s="46">
        <f t="shared" ca="1" si="7"/>
        <v>7.3529381396050735E-5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input_421100!A$2</f>
        <v>421100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IFERROR(VLOOKUP(B178,input_421100!L:R,7,FALSE),VLOOKUP(tables_421100!C178,input_421100!A:H,8,FALSE))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input_421100!A$2</f>
        <v>421100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IFERROR(VLOOKUP(B179,input_421100!L:R,7,FALSE),VLOOKUP(tables_421100!C179,input_421100!A:H,8,FALSE))</f>
        <v>874851.05769000005</v>
      </c>
      <c r="P179" s="46">
        <f t="shared" ca="1" si="7"/>
        <v>9.6370422600189354E-3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input_421100!A$2</f>
        <v>421100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IFERROR(VLOOKUP(B180,input_421100!L:R,7,FALSE),VLOOKUP(tables_421100!C180,input_421100!A:H,8,FALSE))</f>
        <v>3716.5384600000002</v>
      </c>
      <c r="P180" s="46">
        <f t="shared" ca="1" si="7"/>
        <v>4.0940041033472821E-5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input_421100!A$2</f>
        <v>421100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IFERROR(VLOOKUP(B181,input_421100!L:R,7,FALSE),VLOOKUP(tables_421100!C181,input_421100!A:H,8,FALSE))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input_421100!A$2</f>
        <v>421100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IFERROR(VLOOKUP(B182,input_421100!L:R,7,FALSE),VLOOKUP(tables_421100!C182,input_421100!A:H,8,FALSE))</f>
        <v>874851.05769000005</v>
      </c>
      <c r="P182" s="46">
        <f t="shared" ca="1" si="7"/>
        <v>9.6370422600189354E-3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input_421100!A$2</f>
        <v>421100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IFERROR(VLOOKUP(B183,input_421100!L:R,7,FALSE),VLOOKUP(tables_421100!C183,input_421100!A:H,8,FALSE))</f>
        <v>3716.5384600000002</v>
      </c>
      <c r="P183" s="46">
        <f t="shared" ca="1" si="7"/>
        <v>4.0940041033472821E-5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input_421100!A$2</f>
        <v>421100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IFERROR(VLOOKUP(B184,input_421100!L:R,7,FALSE),VLOOKUP(tables_421100!C184,input_421100!A:H,8,FALSE))</f>
        <v>126825</v>
      </c>
      <c r="P184" s="46">
        <f t="shared" ca="1" si="7"/>
        <v>1.3970582465249639E-3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input_421100!A$2</f>
        <v>421100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IFERROR(VLOOKUP(B185,input_421100!L:R,7,FALSE),VLOOKUP(tables_421100!C185,input_421100!A:H,8,FALSE))</f>
        <v>6675</v>
      </c>
      <c r="P185" s="46">
        <f t="shared" ca="1" si="7"/>
        <v>7.3529381396050735E-5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input_421100!A$2</f>
        <v>421100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IFERROR(VLOOKUP(B186,input_421100!L:R,7,FALSE),VLOOKUP(tables_421100!C186,input_421100!A:H,8,FALSE))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input_421100!A$2</f>
        <v>421100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IFERROR(VLOOKUP(B187,input_421100!L:R,7,FALSE),VLOOKUP(tables_421100!C187,input_421100!A:H,8,FALSE))</f>
        <v>874851.05769000005</v>
      </c>
      <c r="P187" s="46">
        <f t="shared" ca="1" si="7"/>
        <v>9.6370422600189354E-3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input_421100!A$2</f>
        <v>421100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IFERROR(VLOOKUP(B188,input_421100!L:R,7,FALSE),VLOOKUP(tables_421100!C188,input_421100!A:H,8,FALSE))</f>
        <v>3716.5384600000002</v>
      </c>
      <c r="P188" s="46">
        <f t="shared" ca="1" si="7"/>
        <v>4.0940041033472821E-5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input_421100!A$2</f>
        <v>421100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IFERROR(VLOOKUP(B189,input_421100!L:R,7,FALSE),VLOOKUP(tables_421100!C189,input_421100!A:H,8,FALSE))</f>
        <v>126825</v>
      </c>
      <c r="P189" s="46">
        <f t="shared" ca="1" si="7"/>
        <v>1.3970582465249639E-3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input_421100!A$2</f>
        <v>421100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IFERROR(VLOOKUP(B190,input_421100!L:R,7,FALSE),VLOOKUP(tables_421100!C190,input_421100!A:H,8,FALSE))</f>
        <v>6675</v>
      </c>
      <c r="P190" s="46">
        <f t="shared" ca="1" si="7"/>
        <v>7.3529381396050735E-5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input_421100!A$2</f>
        <v>421100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IFERROR(VLOOKUP(B191,input_421100!L:R,7,FALSE),VLOOKUP(tables_421100!C191,input_421100!A:H,8,FALSE))</f>
        <v>126825</v>
      </c>
      <c r="P191" s="46">
        <f t="shared" ca="1" si="7"/>
        <v>1.3970582465249639E-3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input_421100!A$2</f>
        <v>421100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IFERROR(VLOOKUP(B192,input_421100!L:R,7,FALSE),VLOOKUP(tables_421100!C192,input_421100!A:H,8,FALSE))</f>
        <v>6675</v>
      </c>
      <c r="P192" s="46">
        <f t="shared" ca="1" si="7"/>
        <v>7.3529381396050735E-5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input_421100!A$2</f>
        <v>421100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IFERROR(VLOOKUP(B193,input_421100!L:R,7,FALSE),VLOOKUP(tables_421100!C193,input_421100!A:H,8,FALSE))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input_421100!A$2</f>
        <v>421100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IFERROR(VLOOKUP(B194,input_421100!L:R,7,FALSE),VLOOKUP(tables_421100!C194,input_421100!A:H,8,FALSE))</f>
        <v>874851.05769000005</v>
      </c>
      <c r="P194" s="46">
        <f t="shared" ref="P194:P257" ca="1" si="10">O194/SUM(O:O)</f>
        <v>9.6370422600189354E-3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input_421100!A$2</f>
        <v>421100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IFERROR(VLOOKUP(B195,input_421100!L:R,7,FALSE),VLOOKUP(tables_421100!C195,input_421100!A:H,8,FALSE))</f>
        <v>3716.5384600000002</v>
      </c>
      <c r="P195" s="46">
        <f t="shared" ca="1" si="10"/>
        <v>4.0940041033472821E-5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input_421100!A$2</f>
        <v>421100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IFERROR(VLOOKUP(B196,input_421100!L:R,7,FALSE),VLOOKUP(tables_421100!C196,input_421100!A:H,8,FALSE))</f>
        <v>126825</v>
      </c>
      <c r="P196" s="46">
        <f t="shared" ca="1" si="10"/>
        <v>1.3970582465249639E-3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input_421100!A$2</f>
        <v>421100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IFERROR(VLOOKUP(B197,input_421100!L:R,7,FALSE),VLOOKUP(tables_421100!C197,input_421100!A:H,8,FALSE))</f>
        <v>6675</v>
      </c>
      <c r="P197" s="46">
        <f t="shared" ca="1" si="10"/>
        <v>7.3529381396050735E-5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input_421100!A$2</f>
        <v>421100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IFERROR(VLOOKUP(B198,input_421100!L:R,7,FALSE),VLOOKUP(tables_421100!C198,input_421100!A:H,8,FALSE))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input_421100!A$2</f>
        <v>421100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IFERROR(VLOOKUP(B199,input_421100!L:R,7,FALSE),VLOOKUP(tables_421100!C199,input_421100!A:H,8,FALSE))</f>
        <v>874851.05769000005</v>
      </c>
      <c r="P199" s="46">
        <f t="shared" ca="1" si="10"/>
        <v>9.6370422600189354E-3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input_421100!A$2</f>
        <v>421100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IFERROR(VLOOKUP(B200,input_421100!L:R,7,FALSE),VLOOKUP(tables_421100!C200,input_421100!A:H,8,FALSE))</f>
        <v>3716.5384600000002</v>
      </c>
      <c r="P200" s="46">
        <f t="shared" ca="1" si="10"/>
        <v>4.0940041033472821E-5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input_421100!A$2</f>
        <v>421100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IFERROR(VLOOKUP(B201,input_421100!L:R,7,FALSE),VLOOKUP(tables_421100!C201,input_421100!A:H,8,FALSE))</f>
        <v>126825</v>
      </c>
      <c r="P201" s="46">
        <f t="shared" ca="1" si="10"/>
        <v>1.3970582465249639E-3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input_421100!A$2</f>
        <v>421100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IFERROR(VLOOKUP(B202,input_421100!L:R,7,FALSE),VLOOKUP(tables_421100!C202,input_421100!A:H,8,FALSE))</f>
        <v>6675</v>
      </c>
      <c r="P202" s="46">
        <f t="shared" ca="1" si="10"/>
        <v>7.3529381396050735E-5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input_421100!A$2</f>
        <v>421100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IFERROR(VLOOKUP(B203,input_421100!L:R,7,FALSE),VLOOKUP(tables_421100!C203,input_421100!A:H,8,FALSE))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input_421100!A$2</f>
        <v>421100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IFERROR(VLOOKUP(B204,input_421100!L:R,7,FALSE),VLOOKUP(tables_421100!C204,input_421100!A:H,8,FALSE))</f>
        <v>874851.05769000005</v>
      </c>
      <c r="P204" s="46">
        <f t="shared" ca="1" si="10"/>
        <v>9.6370422600189354E-3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input_421100!A$2</f>
        <v>421100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IFERROR(VLOOKUP(B205,input_421100!L:R,7,FALSE),VLOOKUP(tables_421100!C205,input_421100!A:H,8,FALSE))</f>
        <v>3716.5384600000002</v>
      </c>
      <c r="P205" s="46">
        <f t="shared" ca="1" si="10"/>
        <v>4.0940041033472821E-5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input_421100!A$2</f>
        <v>421100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IFERROR(VLOOKUP(B206,input_421100!L:R,7,FALSE),VLOOKUP(tables_421100!C206,input_421100!A:H,8,FALSE))</f>
        <v>126825</v>
      </c>
      <c r="P206" s="46">
        <f t="shared" ca="1" si="10"/>
        <v>1.3970582465249639E-3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input_421100!A$2</f>
        <v>421100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IFERROR(VLOOKUP(B207,input_421100!L:R,7,FALSE),VLOOKUP(tables_421100!C207,input_421100!A:H,8,FALSE))</f>
        <v>6675</v>
      </c>
      <c r="P207" s="46">
        <f t="shared" ca="1" si="10"/>
        <v>7.3529381396050735E-5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input_421100!A$2</f>
        <v>421100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IFERROR(VLOOKUP(B208,input_421100!L:R,7,FALSE),VLOOKUP(tables_421100!C208,input_421100!A:H,8,FALSE))</f>
        <v>126825</v>
      </c>
      <c r="P208" s="46">
        <f t="shared" ca="1" si="10"/>
        <v>1.3970582465249639E-3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input_421100!A$2</f>
        <v>421100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IFERROR(VLOOKUP(B209,input_421100!L:R,7,FALSE),VLOOKUP(tables_421100!C209,input_421100!A:H,8,FALSE))</f>
        <v>6675</v>
      </c>
      <c r="P209" s="46">
        <f t="shared" ca="1" si="10"/>
        <v>7.3529381396050735E-5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input_421100!A$2</f>
        <v>421100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IFERROR(VLOOKUP(B210,input_421100!L:R,7,FALSE),VLOOKUP(tables_421100!C210,input_421100!A:H,8,FALSE))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input_421100!A$2</f>
        <v>421100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IFERROR(VLOOKUP(B211,input_421100!L:R,7,FALSE),VLOOKUP(tables_421100!C211,input_421100!A:H,8,FALSE))</f>
        <v>874851.05769000005</v>
      </c>
      <c r="P211" s="46">
        <f t="shared" ca="1" si="10"/>
        <v>9.6370422600189354E-3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input_421100!A$2</f>
        <v>421100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IFERROR(VLOOKUP(B212,input_421100!L:R,7,FALSE),VLOOKUP(tables_421100!C212,input_421100!A:H,8,FALSE))</f>
        <v>3716.5384600000002</v>
      </c>
      <c r="P212" s="46">
        <f t="shared" ca="1" si="10"/>
        <v>4.0940041033472821E-5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input_421100!A$2</f>
        <v>421100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IFERROR(VLOOKUP(B213,input_421100!L:R,7,FALSE),VLOOKUP(tables_421100!C213,input_421100!A:H,8,FALSE))</f>
        <v>126825</v>
      </c>
      <c r="P213" s="46">
        <f t="shared" ca="1" si="10"/>
        <v>1.3970582465249639E-3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input_421100!A$2</f>
        <v>421100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IFERROR(VLOOKUP(B214,input_421100!L:R,7,FALSE),VLOOKUP(tables_421100!C214,input_421100!A:H,8,FALSE))</f>
        <v>6675</v>
      </c>
      <c r="P214" s="46">
        <f t="shared" ca="1" si="10"/>
        <v>7.3529381396050735E-5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input_421100!A$2</f>
        <v>421100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IFERROR(VLOOKUP(B215,input_421100!L:R,7,FALSE),VLOOKUP(tables_421100!C215,input_421100!A:H,8,FALSE))</f>
        <v>126825</v>
      </c>
      <c r="P215" s="46">
        <f t="shared" ca="1" si="10"/>
        <v>1.3970582465249639E-3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input_421100!A$2</f>
        <v>421100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IFERROR(VLOOKUP(B216,input_421100!L:R,7,FALSE),VLOOKUP(tables_421100!C216,input_421100!A:H,8,FALSE))</f>
        <v>6675</v>
      </c>
      <c r="P216" s="46">
        <f t="shared" ca="1" si="10"/>
        <v>7.3529381396050735E-5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input_421100!A$2</f>
        <v>421100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IFERROR(VLOOKUP(B217,input_421100!L:R,7,FALSE),VLOOKUP(tables_421100!C217,input_421100!A:H,8,FALSE))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input_421100!A$2</f>
        <v>421100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IFERROR(VLOOKUP(B218,input_421100!L:R,7,FALSE),VLOOKUP(tables_421100!C218,input_421100!A:H,8,FALSE))</f>
        <v>874851.05769000005</v>
      </c>
      <c r="P218" s="46">
        <f t="shared" ca="1" si="10"/>
        <v>9.6370422600189354E-3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input_421100!A$2</f>
        <v>421100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IFERROR(VLOOKUP(B219,input_421100!L:R,7,FALSE),VLOOKUP(tables_421100!C219,input_421100!A:H,8,FALSE))</f>
        <v>3716.5384600000002</v>
      </c>
      <c r="P219" s="46">
        <f t="shared" ca="1" si="10"/>
        <v>4.0940041033472821E-5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input_421100!A$2</f>
        <v>421100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IFERROR(VLOOKUP(B220,input_421100!L:R,7,FALSE),VLOOKUP(tables_421100!C220,input_421100!A:H,8,FALSE))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input_421100!A$2</f>
        <v>421100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IFERROR(VLOOKUP(B221,input_421100!L:R,7,FALSE),VLOOKUP(tables_421100!C221,input_421100!A:H,8,FALSE))</f>
        <v>874851.05769000005</v>
      </c>
      <c r="P221" s="46">
        <f t="shared" ca="1" si="10"/>
        <v>9.6370422600189354E-3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input_421100!A$2</f>
        <v>421100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IFERROR(VLOOKUP(B222,input_421100!L:R,7,FALSE),VLOOKUP(tables_421100!C222,input_421100!A:H,8,FALSE))</f>
        <v>3716.5384600000002</v>
      </c>
      <c r="P222" s="46">
        <f t="shared" ca="1" si="10"/>
        <v>4.0940041033472821E-5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input_421100!A$2</f>
        <v>421100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IFERROR(VLOOKUP(B223,input_421100!L:R,7,FALSE),VLOOKUP(tables_421100!C223,input_421100!A:H,8,FALSE))</f>
        <v>126825</v>
      </c>
      <c r="P223" s="46">
        <f t="shared" ca="1" si="10"/>
        <v>1.3970582465249639E-3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input_421100!A$2</f>
        <v>421100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IFERROR(VLOOKUP(B224,input_421100!L:R,7,FALSE),VLOOKUP(tables_421100!C224,input_421100!A:H,8,FALSE))</f>
        <v>6675</v>
      </c>
      <c r="P224" s="46">
        <f t="shared" ca="1" si="10"/>
        <v>7.3529381396050735E-5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input_421100!A$2</f>
        <v>421100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IFERROR(VLOOKUP(B225,input_421100!L:R,7,FALSE),VLOOKUP(tables_421100!C225,input_421100!A:H,8,FALSE))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input_421100!A$2</f>
        <v>421100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IFERROR(VLOOKUP(B226,input_421100!L:R,7,FALSE),VLOOKUP(tables_421100!C226,input_421100!A:H,8,FALSE))</f>
        <v>874851.05769000005</v>
      </c>
      <c r="P226" s="46">
        <f t="shared" ca="1" si="10"/>
        <v>9.6370422600189354E-3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input_421100!A$2</f>
        <v>421100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IFERROR(VLOOKUP(B227,input_421100!L:R,7,FALSE),VLOOKUP(tables_421100!C227,input_421100!A:H,8,FALSE))</f>
        <v>3716.5384600000002</v>
      </c>
      <c r="P227" s="46">
        <f t="shared" ca="1" si="10"/>
        <v>4.0940041033472821E-5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input_421100!A$2</f>
        <v>421100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IFERROR(VLOOKUP(B228,input_421100!L:R,7,FALSE),VLOOKUP(tables_421100!C228,input_421100!A:H,8,FALSE))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input_421100!A$2</f>
        <v>421100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IFERROR(VLOOKUP(B229,input_421100!L:R,7,FALSE),VLOOKUP(tables_421100!C229,input_421100!A:H,8,FALSE))</f>
        <v>874851.05769000005</v>
      </c>
      <c r="P229" s="46">
        <f t="shared" ca="1" si="10"/>
        <v>9.6370422600189354E-3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input_421100!A$2</f>
        <v>421100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IFERROR(VLOOKUP(B230,input_421100!L:R,7,FALSE),VLOOKUP(tables_421100!C230,input_421100!A:H,8,FALSE))</f>
        <v>3716.5384600000002</v>
      </c>
      <c r="P230" s="46">
        <f t="shared" ca="1" si="10"/>
        <v>4.0940041033472821E-5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input_421100!A$2</f>
        <v>421100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IFERROR(VLOOKUP(B231,input_421100!L:R,7,FALSE),VLOOKUP(tables_421100!C231,input_421100!A:H,8,FALSE))</f>
        <v>126825</v>
      </c>
      <c r="P231" s="46">
        <f t="shared" ca="1" si="10"/>
        <v>1.3970582465249639E-3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input_421100!A$2</f>
        <v>421100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IFERROR(VLOOKUP(B232,input_421100!L:R,7,FALSE),VLOOKUP(tables_421100!C232,input_421100!A:H,8,FALSE))</f>
        <v>6675</v>
      </c>
      <c r="P232" s="46">
        <f t="shared" ca="1" si="10"/>
        <v>7.3529381396050735E-5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input_421100!A$2</f>
        <v>421100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IFERROR(VLOOKUP(B233,input_421100!L:R,7,FALSE),VLOOKUP(tables_421100!C233,input_421100!A:H,8,FALSE))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input_421100!A$2</f>
        <v>421100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IFERROR(VLOOKUP(B234,input_421100!L:R,7,FALSE),VLOOKUP(tables_421100!C234,input_421100!A:H,8,FALSE))</f>
        <v>874851.05769000005</v>
      </c>
      <c r="P234" s="46">
        <f t="shared" ca="1" si="10"/>
        <v>9.6370422600189354E-3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input_421100!A$2</f>
        <v>421100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IFERROR(VLOOKUP(B235,input_421100!L:R,7,FALSE),VLOOKUP(tables_421100!C235,input_421100!A:H,8,FALSE))</f>
        <v>3716.5384600000002</v>
      </c>
      <c r="P235" s="46">
        <f t="shared" ca="1" si="10"/>
        <v>4.0940041033472821E-5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input_421100!A$2</f>
        <v>421100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IFERROR(VLOOKUP(B236,input_421100!L:R,7,FALSE),VLOOKUP(tables_421100!C236,input_421100!A:H,8,FALSE))</f>
        <v>126825</v>
      </c>
      <c r="P236" s="46">
        <f t="shared" ca="1" si="10"/>
        <v>1.3970582465249639E-3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input_421100!A$2</f>
        <v>421100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IFERROR(VLOOKUP(B237,input_421100!L:R,7,FALSE),VLOOKUP(tables_421100!C237,input_421100!A:H,8,FALSE))</f>
        <v>6675</v>
      </c>
      <c r="P237" s="46">
        <f t="shared" ca="1" si="10"/>
        <v>7.3529381396050735E-5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input_421100!A$2</f>
        <v>421100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IFERROR(VLOOKUP(B238,input_421100!L:R,7,FALSE),VLOOKUP(tables_421100!C238,input_421100!A:H,8,FALSE))</f>
        <v>126825</v>
      </c>
      <c r="P238" s="46">
        <f t="shared" ca="1" si="10"/>
        <v>1.3970582465249639E-3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input_421100!A$2</f>
        <v>421100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IFERROR(VLOOKUP(B239,input_421100!L:R,7,FALSE),VLOOKUP(tables_421100!C239,input_421100!A:H,8,FALSE))</f>
        <v>6675</v>
      </c>
      <c r="P239" s="46">
        <f t="shared" ca="1" si="10"/>
        <v>7.3529381396050735E-5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input_421100!A$2</f>
        <v>421100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IFERROR(VLOOKUP(B240,input_421100!L:R,7,FALSE),VLOOKUP(tables_421100!C240,input_421100!A:H,8,FALSE))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input_421100!A$2</f>
        <v>421100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IFERROR(VLOOKUP(B241,input_421100!L:R,7,FALSE),VLOOKUP(tables_421100!C241,input_421100!A:H,8,FALSE))</f>
        <v>874851.05769000005</v>
      </c>
      <c r="P241" s="46">
        <f t="shared" ca="1" si="10"/>
        <v>9.6370422600189354E-3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input_421100!A$2</f>
        <v>421100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IFERROR(VLOOKUP(B242,input_421100!L:R,7,FALSE),VLOOKUP(tables_421100!C242,input_421100!A:H,8,FALSE))</f>
        <v>3716.5384600000002</v>
      </c>
      <c r="P242" s="46">
        <f t="shared" ca="1" si="10"/>
        <v>4.0940041033472821E-5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input_421100!A$2</f>
        <v>421100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IFERROR(VLOOKUP(B243,input_421100!L:R,7,FALSE),VLOOKUP(tables_421100!C243,input_421100!A:H,8,FALSE))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input_421100!A$2</f>
        <v>421100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IFERROR(VLOOKUP(B244,input_421100!L:R,7,FALSE),VLOOKUP(tables_421100!C244,input_421100!A:H,8,FALSE))</f>
        <v>874851.05769000005</v>
      </c>
      <c r="P244" s="46">
        <f t="shared" ca="1" si="10"/>
        <v>9.6370422600189354E-3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input_421100!A$2</f>
        <v>421100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IFERROR(VLOOKUP(B245,input_421100!L:R,7,FALSE),VLOOKUP(tables_421100!C245,input_421100!A:H,8,FALSE))</f>
        <v>3716.5384600000002</v>
      </c>
      <c r="P245" s="46">
        <f t="shared" ca="1" si="10"/>
        <v>4.0940041033472821E-5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input_421100!A$2</f>
        <v>421100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IFERROR(VLOOKUP(B246,input_421100!L:R,7,FALSE),VLOOKUP(tables_421100!C246,input_421100!A:H,8,FALSE))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input_421100!A$2</f>
        <v>421100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IFERROR(VLOOKUP(B247,input_421100!L:R,7,FALSE),VLOOKUP(tables_421100!C247,input_421100!A:H,8,FALSE))</f>
        <v>874851.05769000005</v>
      </c>
      <c r="P247" s="46">
        <f t="shared" ca="1" si="10"/>
        <v>9.6370422600189354E-3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input_421100!A$2</f>
        <v>421100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IFERROR(VLOOKUP(B248,input_421100!L:R,7,FALSE),VLOOKUP(tables_421100!C248,input_421100!A:H,8,FALSE))</f>
        <v>3716.5384600000002</v>
      </c>
      <c r="P248" s="46">
        <f t="shared" ca="1" si="10"/>
        <v>4.0940041033472821E-5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input_421100!A$2</f>
        <v>421100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IFERROR(VLOOKUP(B249,input_421100!L:R,7,FALSE),VLOOKUP(tables_421100!C249,input_421100!A:H,8,FALSE))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input_421100!A$2</f>
        <v>421100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IFERROR(VLOOKUP(B250,input_421100!L:R,7,FALSE),VLOOKUP(tables_421100!C250,input_421100!A:H,8,FALSE))</f>
        <v>874851.05769000005</v>
      </c>
      <c r="P250" s="46">
        <f t="shared" ca="1" si="10"/>
        <v>9.6370422600189354E-3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input_421100!A$2</f>
        <v>421100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IFERROR(VLOOKUP(B251,input_421100!L:R,7,FALSE),VLOOKUP(tables_421100!C251,input_421100!A:H,8,FALSE))</f>
        <v>3716.5384600000002</v>
      </c>
      <c r="P251" s="46">
        <f t="shared" ca="1" si="10"/>
        <v>4.0940041033472821E-5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input_421100!A$2</f>
        <v>421100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IFERROR(VLOOKUP(B252,input_421100!L:R,7,FALSE),VLOOKUP(tables_421100!C252,input_421100!A:H,8,FALSE))</f>
        <v>126825</v>
      </c>
      <c r="P252" s="46">
        <f t="shared" ca="1" si="10"/>
        <v>1.3970582465249639E-3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input_421100!A$2</f>
        <v>421100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IFERROR(VLOOKUP(B253,input_421100!L:R,7,FALSE),VLOOKUP(tables_421100!C253,input_421100!A:H,8,FALSE))</f>
        <v>6675</v>
      </c>
      <c r="P253" s="46">
        <f t="shared" ca="1" si="10"/>
        <v>7.3529381396050735E-5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input_421100!A$2</f>
        <v>421100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IFERROR(VLOOKUP(B254,input_421100!L:R,7,FALSE),VLOOKUP(tables_421100!C254,input_421100!A:H,8,FALSE))</f>
        <v>126825</v>
      </c>
      <c r="P254" s="46">
        <f t="shared" ca="1" si="10"/>
        <v>1.3970582465249639E-3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input_421100!A$2</f>
        <v>421100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IFERROR(VLOOKUP(B255,input_421100!L:R,7,FALSE),VLOOKUP(tables_421100!C255,input_421100!A:H,8,FALSE))</f>
        <v>6675</v>
      </c>
      <c r="P255" s="46">
        <f t="shared" ca="1" si="10"/>
        <v>7.3529381396050735E-5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input_421100!A$2</f>
        <v>421100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IFERROR(VLOOKUP(B256,input_421100!L:R,7,FALSE),VLOOKUP(tables_421100!C256,input_421100!A:H,8,FALSE))</f>
        <v>886635</v>
      </c>
      <c r="P256" s="46">
        <f t="shared" ca="1" si="10"/>
        <v>9.7668498987396914E-3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input_421100!A$2</f>
        <v>421100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IFERROR(VLOOKUP(B257,input_421100!L:R,7,FALSE),VLOOKUP(tables_421100!C257,input_421100!A:H,8,FALSE))</f>
        <v>46665</v>
      </c>
      <c r="P257" s="46">
        <f t="shared" ca="1" si="10"/>
        <v>5.1404473151261531E-4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input_421100!A$2</f>
        <v>421100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IFERROR(VLOOKUP(B258,input_421100!L:R,7,FALSE),VLOOKUP(tables_421100!C258,input_421100!A:H,8,FALSE))</f>
        <v>886635</v>
      </c>
      <c r="P258" s="46">
        <f t="shared" ref="P258:P294" ca="1" si="13">O258/SUM(O:O)</f>
        <v>9.7668498987396914E-3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input_421100!A$2</f>
        <v>421100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IFERROR(VLOOKUP(B259,input_421100!L:R,7,FALSE),VLOOKUP(tables_421100!C259,input_421100!A:H,8,FALSE))</f>
        <v>46665</v>
      </c>
      <c r="P259" s="46">
        <f t="shared" ca="1" si="13"/>
        <v>5.1404473151261531E-4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input_421100!A$2</f>
        <v>421100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IFERROR(VLOOKUP(B260,input_421100!L:R,7,FALSE),VLOOKUP(tables_421100!C260,input_421100!A:H,8,FALSE))</f>
        <v>133500</v>
      </c>
      <c r="P260" s="46">
        <f t="shared" ca="1" si="13"/>
        <v>1.4705876279210146E-3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input_421100!A$2</f>
        <v>421100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IFERROR(VLOOKUP(B261,input_421100!L:R,7,FALSE),VLOOKUP(tables_421100!C261,input_421100!A:H,8,FALSE))</f>
        <v>133500</v>
      </c>
      <c r="P261" s="46">
        <f t="shared" ca="1" si="13"/>
        <v>1.4705876279210146E-3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input_421100!A$2</f>
        <v>421100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IFERROR(VLOOKUP(B262,input_421100!L:R,7,FALSE),VLOOKUP(tables_421100!C262,input_421100!A:H,8,FALSE))</f>
        <v>126825</v>
      </c>
      <c r="P262" s="46">
        <f t="shared" ca="1" si="13"/>
        <v>1.3970582465249639E-3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input_421100!A$2</f>
        <v>421100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IFERROR(VLOOKUP(B263,input_421100!L:R,7,FALSE),VLOOKUP(tables_421100!C263,input_421100!A:H,8,FALSE))</f>
        <v>6675</v>
      </c>
      <c r="P263" s="46">
        <f t="shared" ca="1" si="13"/>
        <v>7.3529381396050735E-5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input_421100!A$2</f>
        <v>421100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IFERROR(VLOOKUP(B264,input_421100!L:R,7,FALSE),VLOOKUP(tables_421100!C264,input_421100!A:H,8,FALSE))</f>
        <v>126825</v>
      </c>
      <c r="P264" s="46">
        <f t="shared" ca="1" si="13"/>
        <v>1.3970582465249639E-3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input_421100!A$2</f>
        <v>421100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IFERROR(VLOOKUP(B265,input_421100!L:R,7,FALSE),VLOOKUP(tables_421100!C265,input_421100!A:H,8,FALSE))</f>
        <v>6675</v>
      </c>
      <c r="P265" s="46">
        <f t="shared" ca="1" si="13"/>
        <v>7.3529381396050735E-5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input_421100!A$2</f>
        <v>421100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IFERROR(VLOOKUP(B266,input_421100!L:R,7,FALSE),VLOOKUP(tables_421100!C266,input_421100!A:H,8,FALSE))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input_421100!A$2</f>
        <v>421100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IFERROR(VLOOKUP(B267,input_421100!L:R,7,FALSE),VLOOKUP(tables_421100!C267,input_421100!A:H,8,FALSE))</f>
        <v>874851.05769000005</v>
      </c>
      <c r="P267" s="46">
        <f t="shared" ca="1" si="13"/>
        <v>9.6370422600189354E-3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input_421100!A$2</f>
        <v>421100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IFERROR(VLOOKUP(B268,input_421100!L:R,7,FALSE),VLOOKUP(tables_421100!C268,input_421100!A:H,8,FALSE))</f>
        <v>3716.5384600000002</v>
      </c>
      <c r="P268" s="46">
        <f t="shared" ca="1" si="13"/>
        <v>4.0940041033472821E-5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input_421100!A$2</f>
        <v>421100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IFERROR(VLOOKUP(B269,input_421100!L:R,7,FALSE),VLOOKUP(tables_421100!C269,input_421100!A:H,8,FALSE))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input_421100!A$2</f>
        <v>421100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IFERROR(VLOOKUP(B270,input_421100!L:R,7,FALSE),VLOOKUP(tables_421100!C270,input_421100!A:H,8,FALSE))</f>
        <v>874851.05769000005</v>
      </c>
      <c r="P270" s="46">
        <f t="shared" ca="1" si="13"/>
        <v>9.6370422600189354E-3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input_421100!A$2</f>
        <v>421100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IFERROR(VLOOKUP(B271,input_421100!L:R,7,FALSE),VLOOKUP(tables_421100!C271,input_421100!A:H,8,FALSE))</f>
        <v>3716.5384600000002</v>
      </c>
      <c r="P271" s="46">
        <f t="shared" ca="1" si="13"/>
        <v>4.0940041033472821E-5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input_421100!A$2</f>
        <v>421100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IFERROR(VLOOKUP(B272,input_421100!L:R,7,FALSE),VLOOKUP(tables_421100!C272,input_421100!A:H,8,FALSE))</f>
        <v>133500</v>
      </c>
      <c r="P272" s="46">
        <f t="shared" ca="1" si="13"/>
        <v>1.4705876279210146E-3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input_421100!A$2</f>
        <v>421100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IFERROR(VLOOKUP(B273,input_421100!L:R,7,FALSE),VLOOKUP(tables_421100!C273,input_421100!A:H,8,FALSE))</f>
        <v>133500</v>
      </c>
      <c r="P273" s="46">
        <f t="shared" ca="1" si="13"/>
        <v>1.4705876279210146E-3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input_421100!A$2</f>
        <v>421100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IFERROR(VLOOKUP(B274,input_421100!L:R,7,FALSE),VLOOKUP(tables_421100!C274,input_421100!A:H,8,FALSE))</f>
        <v>886635</v>
      </c>
      <c r="P274" s="46">
        <f t="shared" ca="1" si="13"/>
        <v>9.7668498987396914E-3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input_421100!A$2</f>
        <v>421100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IFERROR(VLOOKUP(B275,input_421100!L:R,7,FALSE),VLOOKUP(tables_421100!C275,input_421100!A:H,8,FALSE))</f>
        <v>46665</v>
      </c>
      <c r="P275" s="46">
        <f t="shared" ca="1" si="13"/>
        <v>5.1404473151261531E-4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input_421100!A$2</f>
        <v>421100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IFERROR(VLOOKUP(B276,input_421100!L:R,7,FALSE),VLOOKUP(tables_421100!C276,input_421100!A:H,8,FALSE))</f>
        <v>886635</v>
      </c>
      <c r="P276" s="46">
        <f t="shared" ca="1" si="13"/>
        <v>9.7668498987396914E-3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input_421100!A$2</f>
        <v>421100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IFERROR(VLOOKUP(B277,input_421100!L:R,7,FALSE),VLOOKUP(tables_421100!C277,input_421100!A:H,8,FALSE))</f>
        <v>46665</v>
      </c>
      <c r="P277" s="46">
        <f t="shared" ca="1" si="13"/>
        <v>5.1404473151261531E-4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input_421100!A$2</f>
        <v>421100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IFERROR(VLOOKUP(B278,input_421100!L:R,7,FALSE),VLOOKUP(tables_421100!C278,input_421100!A:H,8,FALSE))</f>
        <v>886635</v>
      </c>
      <c r="P278" s="46">
        <f t="shared" ca="1" si="13"/>
        <v>9.7668498987396914E-3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input_421100!A$2</f>
        <v>421100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IFERROR(VLOOKUP(B279,input_421100!L:R,7,FALSE),VLOOKUP(tables_421100!C279,input_421100!A:H,8,FALSE))</f>
        <v>46665</v>
      </c>
      <c r="P279" s="46">
        <f t="shared" ca="1" si="13"/>
        <v>5.1404473151261531E-4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input_421100!A$2</f>
        <v>421100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IFERROR(VLOOKUP(B280,input_421100!L:R,7,FALSE),VLOOKUP(tables_421100!C280,input_421100!A:H,8,FALSE))</f>
        <v>886635</v>
      </c>
      <c r="P280" s="46">
        <f t="shared" ca="1" si="13"/>
        <v>9.7668498987396914E-3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input_421100!A$2</f>
        <v>421100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IFERROR(VLOOKUP(B281,input_421100!L:R,7,FALSE),VLOOKUP(tables_421100!C281,input_421100!A:H,8,FALSE))</f>
        <v>46665</v>
      </c>
      <c r="P281" s="46">
        <f t="shared" ca="1" si="13"/>
        <v>5.1404473151261531E-4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input_421100!A$2</f>
        <v>421100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IFERROR(VLOOKUP(B282,input_421100!L:R,7,FALSE),VLOOKUP(tables_421100!C282,input_421100!A:H,8,FALSE))</f>
        <v>133500</v>
      </c>
      <c r="P282" s="46">
        <f t="shared" ca="1" si="13"/>
        <v>1.4705876279210146E-3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input_421100!A$2</f>
        <v>421100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IFERROR(VLOOKUP(B283,input_421100!L:R,7,FALSE),VLOOKUP(tables_421100!C283,input_421100!A:H,8,FALSE))</f>
        <v>133500</v>
      </c>
      <c r="P283" s="46">
        <f t="shared" ca="1" si="13"/>
        <v>1.4705876279210146E-3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input_421100!A$2</f>
        <v>421100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IFERROR(VLOOKUP(B284,input_421100!L:R,7,FALSE),VLOOKUP(tables_421100!C284,input_421100!A:H,8,FALSE))</f>
        <v>133500</v>
      </c>
      <c r="P284" s="46">
        <f t="shared" ca="1" si="13"/>
        <v>1.4705876279210146E-3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input_421100!A$2</f>
        <v>421100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IFERROR(VLOOKUP(B285,input_421100!L:R,7,FALSE),VLOOKUP(tables_421100!C285,input_421100!A:H,8,FALSE))</f>
        <v>133500</v>
      </c>
      <c r="P285" s="46">
        <f t="shared" ca="1" si="13"/>
        <v>1.4705876279210146E-3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input_421100!A$2</f>
        <v>421100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IFERROR(VLOOKUP(B286,input_421100!L:R,7,FALSE),VLOOKUP(tables_421100!C286,input_421100!A:H,8,FALSE))</f>
        <v>886635</v>
      </c>
      <c r="P286" s="46">
        <f t="shared" ca="1" si="13"/>
        <v>9.7668498987396914E-3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input_421100!A$2</f>
        <v>421100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IFERROR(VLOOKUP(B287,input_421100!L:R,7,FALSE),VLOOKUP(tables_421100!C287,input_421100!A:H,8,FALSE))</f>
        <v>46665</v>
      </c>
      <c r="P287" s="46">
        <f t="shared" ca="1" si="13"/>
        <v>5.1404473151261531E-4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input_421100!A$2</f>
        <v>421100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IFERROR(VLOOKUP(B288,input_421100!L:R,7,FALSE),VLOOKUP(tables_421100!C288,input_421100!A:H,8,FALSE))</f>
        <v>886635</v>
      </c>
      <c r="P288" s="46">
        <f t="shared" ca="1" si="13"/>
        <v>9.7668498987396914E-3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input_421100!A$2</f>
        <v>421100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IFERROR(VLOOKUP(B289,input_421100!L:R,7,FALSE),VLOOKUP(tables_421100!C289,input_421100!A:H,8,FALSE))</f>
        <v>46665</v>
      </c>
      <c r="P289" s="46">
        <f t="shared" ca="1" si="13"/>
        <v>5.1404473151261531E-4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input_421100!A$2</f>
        <v>421100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IFERROR(VLOOKUP(B290,input_421100!L:R,7,FALSE),VLOOKUP(tables_421100!C290,input_421100!A:H,8,FALSE))</f>
        <v>133500</v>
      </c>
      <c r="P290" s="46">
        <f t="shared" ca="1" si="13"/>
        <v>1.4705876279210146E-3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input_421100!A$2</f>
        <v>421100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IFERROR(VLOOKUP(B291,input_421100!L:R,7,FALSE),VLOOKUP(tables_421100!C291,input_421100!A:H,8,FALSE))</f>
        <v>886635</v>
      </c>
      <c r="P291" s="46">
        <f t="shared" ca="1" si="13"/>
        <v>9.7668498987396914E-3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input_421100!A$2</f>
        <v>421100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IFERROR(VLOOKUP(B292,input_421100!L:R,7,FALSE),VLOOKUP(tables_421100!C292,input_421100!A:H,8,FALSE))</f>
        <v>46665</v>
      </c>
      <c r="P292" s="46">
        <f t="shared" ca="1" si="13"/>
        <v>5.1404473151261531E-4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input_421100!A$2</f>
        <v>421100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IFERROR(VLOOKUP(B293,input_421100!L:R,7,FALSE),VLOOKUP(tables_421100!C293,input_421100!A:H,8,FALSE))</f>
        <v>133500</v>
      </c>
      <c r="P293" s="46">
        <f t="shared" ca="1" si="13"/>
        <v>1.4705876279210146E-3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input_421100!A$2</f>
        <v>421100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IFERROR(VLOOKUP(B294,input_421100!L:R,7,FALSE),VLOOKUP(tables_421100!C294,input_421100!A:H,8,FALSE))</f>
        <v>133500</v>
      </c>
      <c r="P294" s="46">
        <f t="shared" ca="1" si="13"/>
        <v>1.4705876279210146E-3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input_421100!A$2</f>
        <v>421100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IFERROR(VLOOKUP(B295,input_421100!L:R,7,FALSE),VLOOKUP(tables_421100!C295,input_421100!A:H,8,FALSE))</f>
        <v>133500</v>
      </c>
      <c r="P295" s="46">
        <f t="shared" ref="P295:P299" ca="1" si="20">O295/SUM(O:O)</f>
        <v>1.4705876279210146E-3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input_421100!A$2</f>
        <v>421100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IFERROR(VLOOKUP(B296,input_421100!L:R,7,FALSE),VLOOKUP(tables_421100!C296,input_421100!A:H,8,FALSE))</f>
        <v>133500</v>
      </c>
      <c r="P296" s="46">
        <f t="shared" ca="1" si="20"/>
        <v>1.4705876279210146E-3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input_421100!A$2</f>
        <v>421100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IFERROR(VLOOKUP(B297,input_421100!L:R,7,FALSE),VLOOKUP(tables_421100!C297,input_421100!A:H,8,FALSE))</f>
        <v>886635</v>
      </c>
      <c r="P297" s="46">
        <f t="shared" ca="1" si="20"/>
        <v>9.7668498987396914E-3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input_421100!A$2</f>
        <v>421100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IFERROR(VLOOKUP(B298,input_421100!L:R,7,FALSE),VLOOKUP(tables_421100!C298,input_421100!A:H,8,FALSE))</f>
        <v>46665</v>
      </c>
      <c r="P298" s="46">
        <f t="shared" ca="1" si="20"/>
        <v>5.1404473151261531E-4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input_421100!A$2</f>
        <v>421100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IFERROR(VLOOKUP(B299,input_421100!L:R,7,FALSE),VLOOKUP(tables_421100!C299,input_421100!A:H,8,FALSE))</f>
        <v>133500</v>
      </c>
      <c r="P299" s="46">
        <f t="shared" ca="1" si="20"/>
        <v>1.4705876279210146E-3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input_421100!A$2</f>
        <v>421100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IFERROR(VLOOKUP(B300,input_421100!L:R,7,FALSE),VLOOKUP(tables_421100!C300,input_421100!A:H,8,FALSE))</f>
        <v>886635</v>
      </c>
      <c r="P300" s="46">
        <f t="shared" ref="P300:P304" ca="1" si="22">O300/SUM(O:O)</f>
        <v>9.7668498987396914E-3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input_421100!A$2</f>
        <v>421100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IFERROR(VLOOKUP(B301,input_421100!L:R,7,FALSE),VLOOKUP(tables_421100!C301,input_421100!A:H,8,FALSE))</f>
        <v>46665</v>
      </c>
      <c r="P301" s="46">
        <f t="shared" ca="1" si="22"/>
        <v>5.1404473151261531E-4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input_421100!A$2</f>
        <v>421100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IFERROR(VLOOKUP(B302,input_421100!L:R,7,FALSE),VLOOKUP(tables_421100!C302,input_421100!A:H,8,FALSE))</f>
        <v>133500</v>
      </c>
      <c r="P302" s="46">
        <f t="shared" ca="1" si="22"/>
        <v>1.4705876279210146E-3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input_421100!A$2</f>
        <v>421100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IFERROR(VLOOKUP(B303,input_421100!L:R,7,FALSE),VLOOKUP(tables_421100!C303,input_421100!A:H,8,FALSE))</f>
        <v>133500</v>
      </c>
      <c r="P303" s="46">
        <f t="shared" ca="1" si="22"/>
        <v>1.4705876279210146E-3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input_421100!A$2</f>
        <v>421100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IFERROR(VLOOKUP(B304,input_421100!L:R,7,FALSE),VLOOKUP(tables_421100!C304,input_421100!A:H,8,FALSE))</f>
        <v>133500</v>
      </c>
      <c r="P304" s="46">
        <f t="shared" ca="1" si="22"/>
        <v>1.4705876279210146E-3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input_421100!A$2</f>
        <v>421100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IFERROR(VLOOKUP(B305,input_421100!L:R,7,FALSE),VLOOKUP(tables_421100!C305,input_421100!A:H,8,FALSE))</f>
        <v>886635</v>
      </c>
      <c r="P305" s="46">
        <f t="shared" ref="P305:P308" ca="1" si="24">O305/SUM(O:O)</f>
        <v>9.7668498987396914E-3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input_421100!A$2</f>
        <v>421100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IFERROR(VLOOKUP(B306,input_421100!L:R,7,FALSE),VLOOKUP(tables_421100!C306,input_421100!A:H,8,FALSE))</f>
        <v>46665</v>
      </c>
      <c r="P306" s="46">
        <f t="shared" ca="1" si="24"/>
        <v>5.1404473151261531E-4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input_421100!A$2</f>
        <v>421100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IFERROR(VLOOKUP(B307,input_421100!L:R,7,FALSE),VLOOKUP(tables_421100!C307,input_421100!A:H,8,FALSE))</f>
        <v>133500</v>
      </c>
      <c r="P307" s="46">
        <f t="shared" ca="1" si="24"/>
        <v>1.4705876279210146E-3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input_421100!A$2</f>
        <v>421100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IFERROR(VLOOKUP(B308,input_421100!L:R,7,FALSE),VLOOKUP(tables_421100!C308,input_421100!A:H,8,FALSE))</f>
        <v>133500</v>
      </c>
      <c r="P308" s="46">
        <f t="shared" ca="1" si="24"/>
        <v>1.4705876279210146E-3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input_421100!A$2</f>
        <v>421100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IFERROR(VLOOKUP(B309,input_421100!L:R,7,FALSE),VLOOKUP(tables_421100!C309,input_421100!A:H,8,FALSE))</f>
        <v>133500</v>
      </c>
      <c r="P309" s="46">
        <f t="shared" ref="P309" ca="1" si="26">O309/SUM(O:O)</f>
        <v>1.4705876279210146E-3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input_421100!A$2</f>
        <v>421100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IFERROR(VLOOKUP(B310,input_421100!L:R,7,FALSE),VLOOKUP(tables_421100!C310,input_421100!A:H,8,FALSE))</f>
        <v>886635</v>
      </c>
      <c r="P310" s="46">
        <f t="shared" ref="P310:P314" ca="1" si="29">O310/SUM(O:O)</f>
        <v>9.7668498987396914E-3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input_421100!A$2</f>
        <v>421100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IFERROR(VLOOKUP(B311,input_421100!L:R,7,FALSE),VLOOKUP(tables_421100!C311,input_421100!A:H,8,FALSE))</f>
        <v>46665</v>
      </c>
      <c r="P311" s="46">
        <f t="shared" ca="1" si="29"/>
        <v>5.1404473151261531E-4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input_421100!A$2</f>
        <v>421100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IFERROR(VLOOKUP(B312,input_421100!L:R,7,FALSE),VLOOKUP(tables_421100!C312,input_421100!A:H,8,FALSE))</f>
        <v>133500</v>
      </c>
      <c r="P312" s="46">
        <f t="shared" ca="1" si="29"/>
        <v>1.4705876279210146E-3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input_421100!A$2</f>
        <v>421100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IFERROR(VLOOKUP(B313,input_421100!L:R,7,FALSE),VLOOKUP(tables_421100!C313,input_421100!A:H,8,FALSE))</f>
        <v>133500</v>
      </c>
      <c r="P313" s="46">
        <f t="shared" ca="1" si="29"/>
        <v>1.4705876279210146E-3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input_421100!A$2</f>
        <v>421100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IFERROR(VLOOKUP(B314,input_421100!L:R,7,FALSE),VLOOKUP(tables_421100!C314,input_421100!A:H,8,FALSE))</f>
        <v>133500</v>
      </c>
      <c r="P314" s="46">
        <f t="shared" ca="1" si="29"/>
        <v>1.4705876279210146E-3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input_421100!A$2</f>
        <v>421100</v>
      </c>
      <c r="B315" s="60">
        <v>688</v>
      </c>
      <c r="C315" s="7" t="str">
        <f t="shared" ref="C315:C321" si="30">D315&amp;J315&amp;E315&amp;F315&amp;G315</f>
        <v>PremiumSSS4R3less</v>
      </c>
      <c r="D315" s="7" t="str">
        <f t="shared" ref="D315:D321" si="31">IF(OR(I315="PremiumSS",I315="PremiumSSw"),"PremiumSS",IF(I315="PremiumSSS",I315,IF(I315="PremiumW",I315,"Premium")))</f>
        <v>PremiumSSS</v>
      </c>
      <c r="E315" s="7" t="str">
        <f>IF(COUNTIF('R6追加前'!A:A,B315)=0,IF(OR(I315="PremiumSS",I315="PremiumSSw"),"R5only","R3less"),"")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ユークリッド</v>
      </c>
      <c r="I315" s="7" t="str">
        <f>VLOOKUP(B315,[1]characters!$A:$J,10,FALSE)</f>
        <v>PremiumSSS</v>
      </c>
      <c r="J315" s="7">
        <f>VLOOKUP(B315,[1]characters!$A:$I,9,FALSE)</f>
        <v>4</v>
      </c>
      <c r="K315" s="7" t="str">
        <f>VLOOKUP(B315,[1]characters!$A:$H,8,FALSE)</f>
        <v>blue</v>
      </c>
      <c r="L315" s="7" t="str">
        <f>VLOOKUP(B315,[1]characters!$A:$K,11,FALSE)</f>
        <v>balance</v>
      </c>
      <c r="M315" s="7" t="str">
        <f>VLOOKUP(B315,[1]characters!$A:$M,13,FALSE)</f>
        <v>human</v>
      </c>
      <c r="N315" s="7" t="str">
        <f>VLOOKUP(B315,[1]characters!$A:$G,7,FALSE)</f>
        <v>女性</v>
      </c>
      <c r="O315" s="45">
        <f>IFERROR(VLOOKUP(B315,input_421100!L:R,7,FALSE),VLOOKUP(tables_421100!C315,input_421100!A:H,8,FALSE))</f>
        <v>204254.99999999997</v>
      </c>
      <c r="P315" s="46">
        <f t="shared" ref="P315:P321" ca="1" si="32">O315/SUM(O:O)</f>
        <v>2.2499990707191522E-3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input_421100!A$2</f>
        <v>421100</v>
      </c>
      <c r="B316" s="60">
        <v>689</v>
      </c>
      <c r="C316" s="7" t="str">
        <f t="shared" si="30"/>
        <v>PremiumSSS5R3less</v>
      </c>
      <c r="D316" s="7" t="str">
        <f t="shared" si="31"/>
        <v>PremiumSSS</v>
      </c>
      <c r="E316" s="7" t="str">
        <f>IF(COUNTIF('R6追加前'!A:A,B316)=0,IF(OR(I316="PremiumSS",I316="PremiumSSw"),"R5only","R3less"),"")</f>
        <v>R3less</v>
      </c>
      <c r="F316" s="7" t="str">
        <f>IF(COUNTIF('R6開放'!A:A,B316)&gt;0,"R6release","")</f>
        <v/>
      </c>
      <c r="G316" s="7"/>
      <c r="H316" s="7" t="str">
        <f>VLOOKUP(B316,[1]characters!$A:$C,3,FALSE)</f>
        <v>根原論理 ユークリッド</v>
      </c>
      <c r="I316" s="7" t="str">
        <f>VLOOKUP(B316,[1]characters!$A:$J,10,FALSE)</f>
        <v>PremiumSSS</v>
      </c>
      <c r="J316" s="7">
        <f>VLOOKUP(B316,[1]characters!$A:$I,9,FALSE)</f>
        <v>5</v>
      </c>
      <c r="K316" s="7" t="str">
        <f>VLOOKUP(B316,[1]characters!$A:$H,8,FALSE)</f>
        <v>blue</v>
      </c>
      <c r="L316" s="7" t="str">
        <f>VLOOKUP(B316,[1]characters!$A:$K,11,FALSE)</f>
        <v>balance</v>
      </c>
      <c r="M316" s="7" t="str">
        <f>VLOOKUP(B316,[1]characters!$A:$M,13,FALSE)</f>
        <v>human</v>
      </c>
      <c r="N316" s="7" t="str">
        <f>VLOOKUP(B316,[1]characters!$A:$G,7,FALSE)</f>
        <v>女性</v>
      </c>
      <c r="O316" s="45">
        <f>IFERROR(VLOOKUP(B316,input_421100!L:R,7,FALSE),VLOOKUP(tables_421100!C316,input_421100!A:H,8,FALSE))</f>
        <v>22695</v>
      </c>
      <c r="P316" s="46">
        <f t="shared" ca="1" si="32"/>
        <v>2.499998967465725E-4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input_421100!A$2</f>
        <v>421100</v>
      </c>
      <c r="B317" s="60">
        <v>1109</v>
      </c>
      <c r="C317" s="7" t="str">
        <f t="shared" si="30"/>
        <v>PremiumSSS5R3less</v>
      </c>
      <c r="D317" s="7" t="str">
        <f t="shared" si="31"/>
        <v>PremiumSSS</v>
      </c>
      <c r="E317" s="7" t="str">
        <f>IF(COUNTIF('R6追加前'!A:A,B317)=0,IF(OR(I317="PremiumSS",I317="PremiumSSw"),"R5only","R3less"),"")</f>
        <v>R3less</v>
      </c>
      <c r="F317" s="7" t="str">
        <f>IF(COUNTIF('R6開放'!A:A,B317)&gt;0,"R6release","")</f>
        <v/>
      </c>
      <c r="G317" s="7"/>
      <c r="H317" s="7" t="str">
        <f>VLOOKUP(B317,[1]characters!$A:$C,3,FALSE)</f>
        <v>セキ</v>
      </c>
      <c r="I317" s="7" t="str">
        <f>VLOOKUP(B317,[1]characters!$A:$J,10,FALSE)</f>
        <v>PremiumSSS</v>
      </c>
      <c r="J317" s="7">
        <f>VLOOKUP(B317,[1]characters!$A:$I,9,FALSE)</f>
        <v>5</v>
      </c>
      <c r="K317" s="7" t="str">
        <f>VLOOKUP(B317,[1]characters!$A:$H,8,FALSE)</f>
        <v>red</v>
      </c>
      <c r="L317" s="7" t="str">
        <f>VLOOKUP(B317,[1]characters!$A:$K,11,FALSE)</f>
        <v>technical</v>
      </c>
      <c r="M317" s="7" t="str">
        <f>VLOOKUP(B317,[1]characters!$A:$M,13,FALSE)</f>
        <v>academia</v>
      </c>
      <c r="N317" s="7" t="str">
        <f>VLOOKUP(B317,[1]characters!$A:$G,7,FALSE)</f>
        <v>不明</v>
      </c>
      <c r="O317" s="45">
        <f>IFERROR(VLOOKUP(B317,input_421100!L:R,7,FALSE),VLOOKUP(tables_421100!C317,input_421100!A:H,8,FALSE))</f>
        <v>226950</v>
      </c>
      <c r="P317" s="46">
        <f t="shared" ca="1" si="32"/>
        <v>2.499998967465725E-3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input_421100!A$2</f>
        <v>421100</v>
      </c>
      <c r="B318" s="93">
        <v>410</v>
      </c>
      <c r="C318" s="7" t="str">
        <f t="shared" si="30"/>
        <v>PremiumSSS4R3less</v>
      </c>
      <c r="D318" s="7" t="str">
        <f t="shared" si="31"/>
        <v>PremiumSSS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ファラデー</v>
      </c>
      <c r="I318" s="7" t="str">
        <f>VLOOKUP(B318,[1]characters!$A:$J,10,FALSE)</f>
        <v>PremiumSSS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balance</v>
      </c>
      <c r="M318" s="7" t="str">
        <f>VLOOKUP(B318,[1]characters!$A:$M,13,FALSE)</f>
        <v>human</v>
      </c>
      <c r="N318" s="7" t="str">
        <f>VLOOKUP(B318,[1]characters!$A:$G,7,FALSE)</f>
        <v>女性</v>
      </c>
      <c r="O318" s="45">
        <f>IFERROR(VLOOKUP(B318,input_421100!L:R,7,FALSE),VLOOKUP(tables_421100!C318,input_421100!A:H,8,FALSE))</f>
        <v>204254.99999999997</v>
      </c>
      <c r="P318" s="46">
        <f t="shared" ca="1" si="32"/>
        <v>2.2499990707191522E-3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input_421100!A$2</f>
        <v>421100</v>
      </c>
      <c r="B319" s="60">
        <v>411</v>
      </c>
      <c r="C319" s="7" t="str">
        <f t="shared" si="30"/>
        <v>PremiumSSS5R3less</v>
      </c>
      <c r="D319" s="7" t="str">
        <f t="shared" si="31"/>
        <v>PremiumSSS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電隷の始祖 ファラデー</v>
      </c>
      <c r="I319" s="7" t="str">
        <f>VLOOKUP(B319,[1]characters!$A:$J,10,FALSE)</f>
        <v>PremiumSSS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balance</v>
      </c>
      <c r="M319" s="7" t="str">
        <f>VLOOKUP(B319,[1]characters!$A:$M,13,FALSE)</f>
        <v>human</v>
      </c>
      <c r="N319" s="7" t="str">
        <f>VLOOKUP(B319,[1]characters!$A:$G,7,FALSE)</f>
        <v>女性</v>
      </c>
      <c r="O319" s="45">
        <f>IFERROR(VLOOKUP(B319,input_421100!L:R,7,FALSE),VLOOKUP(tables_421100!C319,input_421100!A:H,8,FALSE))</f>
        <v>22695</v>
      </c>
      <c r="P319" s="46">
        <f t="shared" ca="1" si="32"/>
        <v>2.499998967465725E-4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input_421100!A$2</f>
        <v>421100</v>
      </c>
      <c r="B320" s="60">
        <v>378</v>
      </c>
      <c r="C320" s="7" t="str">
        <f t="shared" si="30"/>
        <v>PremiumSSS4R3less</v>
      </c>
      <c r="D320" s="7" t="str">
        <f t="shared" si="31"/>
        <v>PremiumSSS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オイラー</v>
      </c>
      <c r="I320" s="7" t="str">
        <f>VLOOKUP(B320,[1]characters!$A:$J,10,FALSE)</f>
        <v>PremiumSSS</v>
      </c>
      <c r="J320" s="7">
        <f>VLOOKUP(B320,[1]characters!$A:$I,9,FALSE)</f>
        <v>4</v>
      </c>
      <c r="K320" s="7" t="str">
        <f>VLOOKUP(B320,[1]characters!$A:$H,8,FALSE)</f>
        <v>green</v>
      </c>
      <c r="L320" s="7" t="str">
        <f>VLOOKUP(B320,[1]characters!$A:$K,11,FALSE)</f>
        <v>balance</v>
      </c>
      <c r="M320" s="7" t="str">
        <f>VLOOKUP(B320,[1]characters!$A:$M,13,FALSE)</f>
        <v>human</v>
      </c>
      <c r="N320" s="7" t="str">
        <f>VLOOKUP(B320,[1]characters!$A:$G,7,FALSE)</f>
        <v>女性</v>
      </c>
      <c r="O320" s="45">
        <f>IFERROR(VLOOKUP(B320,input_421100!L:R,7,FALSE),VLOOKUP(tables_421100!C320,input_421100!A:H,8,FALSE))</f>
        <v>204254.99999999997</v>
      </c>
      <c r="P320" s="46">
        <f t="shared" ca="1" si="32"/>
        <v>2.2499990707191522E-3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input_421100!A$2</f>
        <v>421100</v>
      </c>
      <c r="B321" s="60">
        <v>379</v>
      </c>
      <c r="C321" s="7" t="str">
        <f t="shared" si="30"/>
        <v>PremiumSSS5R3less</v>
      </c>
      <c r="D321" s="7" t="str">
        <f t="shared" si="31"/>
        <v>PremiumSSS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幾何の機刃 オイラー</v>
      </c>
      <c r="I321" s="7" t="str">
        <f>VLOOKUP(B321,[1]characters!$A:$J,10,FALSE)</f>
        <v>PremiumSSS</v>
      </c>
      <c r="J321" s="7">
        <f>VLOOKUP(B321,[1]characters!$A:$I,9,FALSE)</f>
        <v>5</v>
      </c>
      <c r="K321" s="7" t="str">
        <f>VLOOKUP(B321,[1]characters!$A:$H,8,FALSE)</f>
        <v>green</v>
      </c>
      <c r="L321" s="7" t="str">
        <f>VLOOKUP(B321,[1]characters!$A:$K,11,FALSE)</f>
        <v>balance</v>
      </c>
      <c r="M321" s="7" t="str">
        <f>VLOOKUP(B321,[1]characters!$A:$M,13,FALSE)</f>
        <v>human</v>
      </c>
      <c r="N321" s="7" t="str">
        <f>VLOOKUP(B321,[1]characters!$A:$G,7,FALSE)</f>
        <v>女性</v>
      </c>
      <c r="O321" s="45">
        <f>IFERROR(VLOOKUP(B321,input_421100!L:R,7,FALSE),VLOOKUP(tables_421100!C321,input_421100!A:H,8,FALSE))</f>
        <v>22695</v>
      </c>
      <c r="P321" s="46">
        <f t="shared" ca="1" si="32"/>
        <v>2.499998967465725E-4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321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W8" sqref="W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input_421100!A$2</f>
        <v>421100</v>
      </c>
      <c r="B2" s="5">
        <v>1072</v>
      </c>
      <c r="C2" s="7" t="str">
        <f t="shared" ref="C2:C33" si="0">D2&amp;J2&amp;E2&amp;F2&amp;G2</f>
        <v>PremiumSS5R5only</v>
      </c>
      <c r="D2" s="7" t="str">
        <f t="shared" ref="D2:D33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エンキドゥ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230</v>
      </c>
      <c r="P2" s="103">
        <f t="shared" ref="P2:P33" si="2">O2/SUM(O:O)</f>
        <v>1.4705882352941176E-3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57"/>
      <c r="X2" s="105"/>
      <c r="Y2" s="105"/>
    </row>
    <row r="3" spans="1:25" ht="21" customHeight="1" x14ac:dyDescent="0.15">
      <c r="A3" s="2" t="str">
        <f ca="1">input_421100!A$2</f>
        <v>421100</v>
      </c>
      <c r="B3" s="5">
        <v>1102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ドガ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不明</v>
      </c>
      <c r="O3" s="45">
        <v>230</v>
      </c>
      <c r="P3" s="103">
        <f t="shared" si="2"/>
        <v>1.4705882352941176E-3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06"/>
      <c r="X3" s="105"/>
      <c r="Y3" s="105"/>
    </row>
    <row r="4" spans="1:25" ht="21" customHeight="1" x14ac:dyDescent="0.15">
      <c r="A4" s="2" t="str">
        <f ca="1">input_421100!A$2</f>
        <v>421100</v>
      </c>
      <c r="B4" s="60">
        <v>379</v>
      </c>
      <c r="C4" s="7" t="str">
        <f t="shared" si="0"/>
        <v>PremiumSSS5R3less</v>
      </c>
      <c r="D4" s="7" t="str">
        <f t="shared" si="1"/>
        <v>PremiumSSS</v>
      </c>
      <c r="E4" s="7" t="str">
        <f>IF(COUNTIF('R6追加前'!A:A,B4)=0,IF(OR(I4="PremiumSS",I4="PremiumSSw"),"R5only","R3less"),"")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幾何の機刃 オイラー</v>
      </c>
      <c r="I4" s="7" t="str">
        <f>VLOOKUP(B4,[1]characters!$A:$J,10,FALSE)</f>
        <v>PremiumSSS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104">
        <v>391</v>
      </c>
      <c r="P4" s="103">
        <f t="shared" si="2"/>
        <v>2.5000000000000001E-3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57"/>
      <c r="X4" s="105"/>
      <c r="Y4" s="105"/>
    </row>
    <row r="5" spans="1:25" ht="21" customHeight="1" x14ac:dyDescent="0.15">
      <c r="A5" s="2" t="str">
        <f ca="1">input_421100!A$2</f>
        <v>421100</v>
      </c>
      <c r="B5" s="60">
        <v>411</v>
      </c>
      <c r="C5" s="7" t="str">
        <f t="shared" si="0"/>
        <v>PremiumSSS5R3less</v>
      </c>
      <c r="D5" s="7" t="str">
        <f t="shared" si="1"/>
        <v>PremiumSSS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電隷の始祖 ファラデー</v>
      </c>
      <c r="I5" s="7" t="str">
        <f>VLOOKUP(B5,[1]characters!$A:$J,10,FALSE)</f>
        <v>PremiumSSS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104">
        <v>391</v>
      </c>
      <c r="P5" s="103">
        <f t="shared" si="2"/>
        <v>2.5000000000000001E-3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W5" s="105"/>
      <c r="X5" s="105"/>
      <c r="Y5" s="105"/>
    </row>
    <row r="6" spans="1:25" ht="21" customHeight="1" x14ac:dyDescent="0.15">
      <c r="A6" s="2" t="str">
        <f ca="1">input_421100!A$2</f>
        <v>421100</v>
      </c>
      <c r="B6" s="60">
        <v>689</v>
      </c>
      <c r="C6" s="7" t="str">
        <f t="shared" si="0"/>
        <v>PremiumSSS5R3less</v>
      </c>
      <c r="D6" s="7" t="str">
        <f t="shared" si="1"/>
        <v>PremiumSSS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根原論理 ユークリッド</v>
      </c>
      <c r="I6" s="7" t="str">
        <f>VLOOKUP(B6,[1]characters!$A:$J,10,FALSE)</f>
        <v>PremiumSSS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104">
        <v>391</v>
      </c>
      <c r="P6" s="103">
        <f t="shared" si="2"/>
        <v>2.5000000000000001E-3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input_421100!A$2</f>
        <v>421100</v>
      </c>
      <c r="B7" s="60">
        <v>1109</v>
      </c>
      <c r="C7" s="7" t="str">
        <f t="shared" si="0"/>
        <v>PremiumSSS5R3less</v>
      </c>
      <c r="D7" s="7" t="str">
        <f t="shared" si="1"/>
        <v>PremiumSSS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セキ</v>
      </c>
      <c r="I7" s="7" t="str">
        <f>VLOOKUP(B7,[1]characters!$A:$J,10,FALSE)</f>
        <v>PremiumSSS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technical</v>
      </c>
      <c r="M7" s="7" t="str">
        <f>VLOOKUP(B7,[1]characters!$A:$M,13,FALSE)</f>
        <v>academia</v>
      </c>
      <c r="N7" s="7" t="str">
        <f>VLOOKUP(B7,[1]characters!$A:$G,7,FALSE)</f>
        <v>不明</v>
      </c>
      <c r="O7" s="104">
        <v>391</v>
      </c>
      <c r="P7" s="103">
        <f t="shared" si="2"/>
        <v>2.5000000000000001E-3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input_421100!A$2</f>
        <v>421100</v>
      </c>
      <c r="B8" s="6">
        <v>321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巌鉄の烈志士 近藤勇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v>230</v>
      </c>
      <c r="P8" s="103">
        <f t="shared" si="2"/>
        <v>1.4705882352941176E-3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input_421100!A$2</f>
        <v>421100</v>
      </c>
      <c r="B9" s="6">
        <v>323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流麗の愛志士 土方歳三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230</v>
      </c>
      <c r="P9" s="103">
        <f t="shared" si="2"/>
        <v>1.4705882352941176E-3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input_421100!A$2</f>
        <v>421100</v>
      </c>
      <c r="B10" s="6">
        <v>325</v>
      </c>
      <c r="C10" s="7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230</v>
      </c>
      <c r="P10" s="103">
        <f t="shared" si="2"/>
        <v>1.4705882352941176E-3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input_421100!A$2</f>
        <v>421100</v>
      </c>
      <c r="B11" s="6">
        <v>327</v>
      </c>
      <c r="C11" s="7" t="str">
        <f t="shared" si="0"/>
        <v>PremiumSS5</v>
      </c>
      <c r="D11" s="7" t="str">
        <f t="shared" si="1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千殺の妖志士 斎藤一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v>230</v>
      </c>
      <c r="P11" s="103">
        <f t="shared" si="2"/>
        <v>1.4705882352941176E-3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input_421100!A$2</f>
        <v>421100</v>
      </c>
      <c r="B12" s="6">
        <v>384</v>
      </c>
      <c r="C12" s="7" t="str">
        <f t="shared" si="0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破国の呑龍 ヤマタノオロチ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hp</v>
      </c>
      <c r="M12" s="7" t="str">
        <f>VLOOKUP(B12,[1]characters!$A:$M,13,FALSE)</f>
        <v>dragon</v>
      </c>
      <c r="N12" s="7" t="str">
        <f>VLOOKUP(B12,[1]characters!$A:$G,7,FALSE)</f>
        <v>女性</v>
      </c>
      <c r="O12" s="45">
        <v>230</v>
      </c>
      <c r="P12" s="103">
        <f t="shared" si="2"/>
        <v>1.4705882352941176E-3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input_421100!A$2</f>
        <v>421100</v>
      </c>
      <c r="B13" s="6">
        <v>386</v>
      </c>
      <c r="C13" s="7" t="str">
        <f t="shared" si="0"/>
        <v>PremiumSS5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氾乱の海龍 リヴァイアサン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dragon</v>
      </c>
      <c r="N13" s="7" t="str">
        <f>VLOOKUP(B13,[1]characters!$A:$G,7,FALSE)</f>
        <v>女性</v>
      </c>
      <c r="O13" s="45">
        <v>230</v>
      </c>
      <c r="P13" s="103">
        <f t="shared" si="2"/>
        <v>1.4705882352941176E-3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input_421100!A$2</f>
        <v>421100</v>
      </c>
      <c r="B14" s="6">
        <v>391</v>
      </c>
      <c r="C14" s="7" t="str">
        <f t="shared" si="0"/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燕翼の旅人 親指姫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heal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v>230</v>
      </c>
      <c r="P14" s="103">
        <f t="shared" si="2"/>
        <v>1.4705882352941176E-3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input_421100!A$2</f>
        <v>421100</v>
      </c>
      <c r="B15" s="6">
        <v>399</v>
      </c>
      <c r="C15" s="7" t="str">
        <f t="shared" si="0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信愛の兄妹 ヘンゼル＆グレーテル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230</v>
      </c>
      <c r="P15" s="103">
        <f t="shared" si="2"/>
        <v>1.4705882352941176E-3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input_421100!A$2</f>
        <v>421100</v>
      </c>
      <c r="B16" s="10">
        <v>404</v>
      </c>
      <c r="C16" s="7" t="str">
        <f t="shared" si="0"/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空襲の神眼 八咫烏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v>230</v>
      </c>
      <c r="P16" s="103">
        <f t="shared" si="2"/>
        <v>1.4705882352941176E-3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input_421100!A$2</f>
        <v>421100</v>
      </c>
      <c r="B17" s="11">
        <v>409</v>
      </c>
      <c r="C17" s="7" t="str">
        <f t="shared" si="0"/>
        <v>PremiumSS5</v>
      </c>
      <c r="D17" s="7" t="str">
        <f t="shared" si="1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天眼の皇貴魔 アスタロト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attack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230</v>
      </c>
      <c r="P17" s="103">
        <f t="shared" si="2"/>
        <v>1.4705882352941176E-3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input_421100!A$2</f>
        <v>421100</v>
      </c>
      <c r="B18" s="6">
        <v>435</v>
      </c>
      <c r="C18" s="7" t="str">
        <f t="shared" si="0"/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曝弾の密偵 D.R.T.H.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v>230</v>
      </c>
      <c r="P18" s="103">
        <f t="shared" si="2"/>
        <v>1.4705882352941176E-3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input_421100!A$2</f>
        <v>421100</v>
      </c>
      <c r="B19" s="6">
        <v>443</v>
      </c>
      <c r="C19" s="7" t="str">
        <f t="shared" si="0"/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勇機結集 ブレイブリー・ライオン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hp</v>
      </c>
      <c r="M19" s="7" t="str">
        <f>VLOOKUP(B19,[1]characters!$A:$M,13,FALSE)</f>
        <v>animal</v>
      </c>
      <c r="N19" s="7" t="str">
        <f>VLOOKUP(B19,[1]characters!$A:$G,7,FALSE)</f>
        <v>不明</v>
      </c>
      <c r="O19" s="45">
        <v>230</v>
      </c>
      <c r="P19" s="103">
        <f t="shared" si="2"/>
        <v>1.4705882352941176E-3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input_421100!A$2</f>
        <v>421100</v>
      </c>
      <c r="B20" s="10">
        <v>466</v>
      </c>
      <c r="C20" s="7" t="str">
        <f t="shared" si="0"/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真断の勇覇 ランスロット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45">
        <v>230</v>
      </c>
      <c r="P20" s="103">
        <f t="shared" si="2"/>
        <v>1.4705882352941176E-3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input_421100!A$2</f>
        <v>421100</v>
      </c>
      <c r="B21" s="6">
        <v>468</v>
      </c>
      <c r="C21" s="7" t="str">
        <f t="shared" si="0"/>
        <v>PremiumSS5</v>
      </c>
      <c r="D21" s="7" t="str">
        <f t="shared" si="1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230</v>
      </c>
      <c r="P21" s="103">
        <f t="shared" si="2"/>
        <v>1.4705882352941176E-3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input_421100!A$2</f>
        <v>421100</v>
      </c>
      <c r="B22" s="6">
        <v>475</v>
      </c>
      <c r="C22" s="7" t="str">
        <f t="shared" si="0"/>
        <v>PremiumSS5</v>
      </c>
      <c r="D22" s="7" t="str">
        <f t="shared" si="1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緋王 キング・ドライグ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230</v>
      </c>
      <c r="P22" s="103">
        <f t="shared" si="2"/>
        <v>1.4705882352941176E-3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input_421100!A$2</f>
        <v>421100</v>
      </c>
      <c r="B23" s="6">
        <v>480</v>
      </c>
      <c r="C23" s="7" t="str">
        <f t="shared" si="0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夢幻の愚者フール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45">
        <v>230</v>
      </c>
      <c r="P23" s="103">
        <f t="shared" si="2"/>
        <v>1.4705882352941176E-3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input_421100!A$2</f>
        <v>421100</v>
      </c>
      <c r="B24" s="6">
        <v>493</v>
      </c>
      <c r="C24" s="7" t="str">
        <f t="shared" si="0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跋扈の機脚 ブートレグ・ペロー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45">
        <v>230</v>
      </c>
      <c r="P24" s="103">
        <f t="shared" si="2"/>
        <v>1.4705882352941176E-3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input_421100!A$2</f>
        <v>421100</v>
      </c>
      <c r="B25" s="6">
        <v>495</v>
      </c>
      <c r="C25" s="7" t="str">
        <f t="shared" si="0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鼠災呼ぶ笛音 ハーメルン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男性</v>
      </c>
      <c r="O25" s="45">
        <v>230</v>
      </c>
      <c r="P25" s="103">
        <f t="shared" si="2"/>
        <v>1.4705882352941176E-3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input_421100!A$2</f>
        <v>421100</v>
      </c>
      <c r="B26" s="6">
        <v>500</v>
      </c>
      <c r="C26" s="7" t="str">
        <f t="shared" si="0"/>
        <v>PremiumSS5</v>
      </c>
      <c r="D26" s="7" t="str">
        <f t="shared" si="1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脈動の禁髪 ラプンツェル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v>230</v>
      </c>
      <c r="P26" s="103">
        <f t="shared" si="2"/>
        <v>1.4705882352941176E-3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input_421100!A$2</f>
        <v>421100</v>
      </c>
      <c r="B27" s="6">
        <v>587</v>
      </c>
      <c r="C27" s="7" t="str">
        <f t="shared" si="0"/>
        <v>PremiumSS5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原初の煉鋼巨刃 ユミル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hp</v>
      </c>
      <c r="M27" s="7" t="str">
        <f>VLOOKUP(B27,[1]characters!$A:$M,13,FALSE)</f>
        <v>machine</v>
      </c>
      <c r="N27" s="7" t="str">
        <f>VLOOKUP(B27,[1]characters!$A:$G,7,FALSE)</f>
        <v>不明</v>
      </c>
      <c r="O27" s="45">
        <v>230</v>
      </c>
      <c r="P27" s="103">
        <f t="shared" si="2"/>
        <v>1.4705882352941176E-3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input_421100!A$2</f>
        <v>421100</v>
      </c>
      <c r="B28" s="6">
        <v>595</v>
      </c>
      <c r="C28" s="7" t="str">
        <f t="shared" si="0"/>
        <v>PremiumSS5</v>
      </c>
      <c r="D28" s="7" t="str">
        <f t="shared" si="1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光華なる神域 アルフヘイム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dragon</v>
      </c>
      <c r="N28" s="7" t="str">
        <f>VLOOKUP(B28,[1]characters!$A:$G,7,FALSE)</f>
        <v>不明</v>
      </c>
      <c r="O28" s="45">
        <v>230</v>
      </c>
      <c r="P28" s="103">
        <f t="shared" si="2"/>
        <v>1.4705882352941176E-3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input_421100!A$2</f>
        <v>421100</v>
      </c>
      <c r="B29" s="6">
        <v>603</v>
      </c>
      <c r="C29" s="7" t="str">
        <f t="shared" si="0"/>
        <v>PremiumSS5</v>
      </c>
      <c r="D29" s="7" t="str">
        <f t="shared" si="1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掌愛の豊穣女神 フレイヤ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animal</v>
      </c>
      <c r="N29" s="7" t="str">
        <f>VLOOKUP(B29,[1]characters!$A:$G,7,FALSE)</f>
        <v>女性</v>
      </c>
      <c r="O29" s="45">
        <v>230</v>
      </c>
      <c r="P29" s="103">
        <f t="shared" si="2"/>
        <v>1.4705882352941176E-3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input_421100!A$2</f>
        <v>421100</v>
      </c>
      <c r="B30" s="6">
        <v>659</v>
      </c>
      <c r="C30" s="7" t="str">
        <f t="shared" si="0"/>
        <v>PremiumSS5</v>
      </c>
      <c r="D30" s="7" t="str">
        <f t="shared" si="1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跳梁する化猫 クルミ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animal</v>
      </c>
      <c r="N30" s="7" t="str">
        <f>VLOOKUP(B30,[1]characters!$A:$G,7,FALSE)</f>
        <v>女性</v>
      </c>
      <c r="O30" s="45">
        <v>230</v>
      </c>
      <c r="P30" s="103">
        <f t="shared" si="2"/>
        <v>1.4705882352941176E-3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input_421100!A$2</f>
        <v>421100</v>
      </c>
      <c r="B31" s="6">
        <v>661</v>
      </c>
      <c r="C31" s="7" t="str">
        <f t="shared" si="0"/>
        <v>PremiumSS5</v>
      </c>
      <c r="D31" s="7" t="str">
        <f t="shared" si="1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疾風の天狗礫 フウガ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balance</v>
      </c>
      <c r="M31" s="7" t="str">
        <f>VLOOKUP(B31,[1]characters!$A:$M,13,FALSE)</f>
        <v>animal</v>
      </c>
      <c r="N31" s="7" t="str">
        <f>VLOOKUP(B31,[1]characters!$A:$G,7,FALSE)</f>
        <v>男性</v>
      </c>
      <c r="O31" s="45">
        <v>230</v>
      </c>
      <c r="P31" s="103">
        <f t="shared" si="2"/>
        <v>1.4705882352941176E-3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input_421100!A$2</f>
        <v>421100</v>
      </c>
      <c r="B32" s="60">
        <v>675</v>
      </c>
      <c r="C32" s="7" t="str">
        <f t="shared" si="0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芸楽の奔流 サラスヴァティ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balance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v>230</v>
      </c>
      <c r="P32" s="103">
        <f t="shared" si="2"/>
        <v>1.4705882352941176E-3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input_421100!A$2</f>
        <v>421100</v>
      </c>
      <c r="B33" s="60">
        <v>677</v>
      </c>
      <c r="C33" s="7" t="str">
        <f t="shared" si="0"/>
        <v>PremiumSS5</v>
      </c>
      <c r="D33" s="7" t="str">
        <f t="shared" si="1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武遊闊歩 ヴィシュヌ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女性</v>
      </c>
      <c r="O33" s="45">
        <v>230</v>
      </c>
      <c r="P33" s="103">
        <f t="shared" si="2"/>
        <v>1.4705882352941176E-3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input_421100!A$2</f>
        <v>421100</v>
      </c>
      <c r="B34" s="60">
        <v>732</v>
      </c>
      <c r="C34" s="7" t="str">
        <f t="shared" ref="C34:C65" si="3">D34&amp;J34&amp;E34&amp;F34&amp;G34</f>
        <v>PremiumSS5R5only</v>
      </c>
      <c r="D34" s="7" t="str">
        <f t="shared" ref="D34:D65" si="4">IF(OR(I34="PremiumSS",I34="PremiumSSw"),"PremiumSS",IF(I34="PremiumSSS",I34,IF(I34="PremiumW",I34,"Premium")))</f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上杉謙信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attack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v>230</v>
      </c>
      <c r="P34" s="103">
        <f t="shared" ref="P34:P65" si="5">O34/SUM(O:O)</f>
        <v>1.4705882352941176E-3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input_421100!A$2</f>
        <v>421100</v>
      </c>
      <c r="B35" s="60">
        <v>734</v>
      </c>
      <c r="C35" s="7" t="str">
        <f t="shared" si="3"/>
        <v>PremiumSS5R5only</v>
      </c>
      <c r="D35" s="7" t="str">
        <f t="shared" si="4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伊達政宗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男性</v>
      </c>
      <c r="O35" s="45">
        <v>230</v>
      </c>
      <c r="P35" s="103">
        <f t="shared" si="5"/>
        <v>1.4705882352941176E-3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input_421100!A$2</f>
        <v>421100</v>
      </c>
      <c r="B36" s="91">
        <v>742</v>
      </c>
      <c r="C36" s="7" t="str">
        <f t="shared" si="3"/>
        <v>PremiumSS5R5only</v>
      </c>
      <c r="D36" s="7" t="str">
        <f t="shared" si="4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アポロン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god</v>
      </c>
      <c r="N36" s="7" t="str">
        <f>VLOOKUP(B36,[1]characters!$A:$G,7,FALSE)</f>
        <v>男性</v>
      </c>
      <c r="O36" s="45">
        <v>230</v>
      </c>
      <c r="P36" s="103">
        <f t="shared" si="5"/>
        <v>1.4705882352941176E-3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input_421100!A$2</f>
        <v>421100</v>
      </c>
      <c r="B37" s="91">
        <v>744</v>
      </c>
      <c r="C37" s="7" t="str">
        <f t="shared" si="3"/>
        <v>PremiumSS5R5only</v>
      </c>
      <c r="D37" s="7" t="str">
        <f t="shared" si="4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ヘルメス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technical</v>
      </c>
      <c r="M37" s="7" t="str">
        <f>VLOOKUP(B37,[1]characters!$A:$M,13,FALSE)</f>
        <v>god</v>
      </c>
      <c r="N37" s="7" t="str">
        <f>VLOOKUP(B37,[1]characters!$A:$G,7,FALSE)</f>
        <v>男性</v>
      </c>
      <c r="O37" s="45">
        <v>230</v>
      </c>
      <c r="P37" s="103">
        <f t="shared" si="5"/>
        <v>1.4705882352941176E-3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input_421100!A$2</f>
        <v>421100</v>
      </c>
      <c r="B38" s="60">
        <v>771</v>
      </c>
      <c r="C38" s="7" t="str">
        <f t="shared" si="3"/>
        <v>PremiumSS5</v>
      </c>
      <c r="D38" s="7" t="str">
        <f t="shared" si="4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天織羽鶴 ハヅル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animal</v>
      </c>
      <c r="N38" s="7" t="str">
        <f>VLOOKUP(B38,[1]characters!$A:$G,7,FALSE)</f>
        <v>女性</v>
      </c>
      <c r="O38" s="45">
        <v>230</v>
      </c>
      <c r="P38" s="103">
        <f t="shared" si="5"/>
        <v>1.4705882352941176E-3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input_421100!A$2</f>
        <v>421100</v>
      </c>
      <c r="B39" s="60">
        <v>773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浮跳天兎 イナバ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balance</v>
      </c>
      <c r="M39" s="7" t="str">
        <f>VLOOKUP(B39,[1]characters!$A:$M,13,FALSE)</f>
        <v>animal</v>
      </c>
      <c r="N39" s="7" t="str">
        <f>VLOOKUP(B39,[1]characters!$A:$G,7,FALSE)</f>
        <v>女性</v>
      </c>
      <c r="O39" s="45">
        <v>230</v>
      </c>
      <c r="P39" s="103">
        <f t="shared" si="5"/>
        <v>1.4705882352941176E-3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input_421100!A$2</f>
        <v>421100</v>
      </c>
      <c r="B40" s="81">
        <v>848</v>
      </c>
      <c r="C40" s="7" t="str">
        <f t="shared" si="3"/>
        <v>PremiumSS5R5only</v>
      </c>
      <c r="D40" s="7" t="str">
        <f t="shared" si="4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メタトロン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red</v>
      </c>
      <c r="L40" s="7" t="str">
        <f>VLOOKUP(B40,[1]characters!$A:$K,11,FALSE)</f>
        <v>balance</v>
      </c>
      <c r="M40" s="7" t="str">
        <f>VLOOKUP(B40,[1]characters!$A:$M,13,FALSE)</f>
        <v>god</v>
      </c>
      <c r="N40" s="7" t="str">
        <f>VLOOKUP(B40,[1]characters!$A:$G,7,FALSE)</f>
        <v>男性</v>
      </c>
      <c r="O40" s="45">
        <v>230</v>
      </c>
      <c r="P40" s="103">
        <f t="shared" si="5"/>
        <v>1.4705882352941176E-3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input_421100!A$2</f>
        <v>421100</v>
      </c>
      <c r="B41" s="81">
        <v>850</v>
      </c>
      <c r="C41" s="7" t="str">
        <f t="shared" si="3"/>
        <v>PremiumSS5R5only</v>
      </c>
      <c r="D41" s="7" t="str">
        <f t="shared" si="4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バアル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v>230</v>
      </c>
      <c r="P41" s="103">
        <f t="shared" si="5"/>
        <v>1.4705882352941176E-3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input_421100!A$2</f>
        <v>421100</v>
      </c>
      <c r="B42" s="81">
        <v>866</v>
      </c>
      <c r="C42" s="7" t="str">
        <f t="shared" si="3"/>
        <v>PremiumSS5R5only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無敗の司令姫 白雪姫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balance</v>
      </c>
      <c r="M42" s="7" t="str">
        <f>VLOOKUP(B42,[1]characters!$A:$M,13,FALSE)</f>
        <v>human</v>
      </c>
      <c r="N42" s="7" t="str">
        <f>VLOOKUP(B42,[1]characters!$A:$G,7,FALSE)</f>
        <v>男性</v>
      </c>
      <c r="O42" s="45">
        <v>230</v>
      </c>
      <c r="P42" s="103">
        <f t="shared" si="5"/>
        <v>1.4705882352941176E-3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input_421100!A$2</f>
        <v>421100</v>
      </c>
      <c r="B43" s="81">
        <v>868</v>
      </c>
      <c r="C43" s="7" t="str">
        <f t="shared" si="3"/>
        <v>PremiumSS5R5only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アラジンと殲滅機兵LAMP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hp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v>230</v>
      </c>
      <c r="P43" s="103">
        <f t="shared" si="5"/>
        <v>1.4705882352941176E-3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input_421100!A$2</f>
        <v>421100</v>
      </c>
      <c r="B44" s="5">
        <v>937</v>
      </c>
      <c r="C44" s="7" t="str">
        <f t="shared" si="3"/>
        <v>PremiumSS5R5only</v>
      </c>
      <c r="D44" s="7" t="str">
        <f t="shared" si="4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ナポレオン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230</v>
      </c>
      <c r="P44" s="103">
        <f t="shared" si="5"/>
        <v>1.4705882352941176E-3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input_421100!A$2</f>
        <v>421100</v>
      </c>
      <c r="B45" s="5">
        <v>941</v>
      </c>
      <c r="C45" s="7" t="str">
        <f t="shared" si="3"/>
        <v>PremiumSS5R5only</v>
      </c>
      <c r="D45" s="7" t="str">
        <f t="shared" si="4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アントワネット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v>230</v>
      </c>
      <c r="P45" s="103">
        <f t="shared" si="5"/>
        <v>1.4705882352941176E-3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input_421100!A$2</f>
        <v>421100</v>
      </c>
      <c r="B46" s="5">
        <v>943</v>
      </c>
      <c r="C46" s="7" t="str">
        <f t="shared" si="3"/>
        <v>PremiumSS5R5only</v>
      </c>
      <c r="D46" s="7" t="str">
        <f t="shared" si="4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サンソン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v>230</v>
      </c>
      <c r="P46" s="103">
        <f t="shared" si="5"/>
        <v>1.4705882352941176E-3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input_421100!A$2</f>
        <v>421100</v>
      </c>
      <c r="B47" s="5">
        <v>1012</v>
      </c>
      <c r="C47" s="7" t="str">
        <f t="shared" si="3"/>
        <v>PremiumSS5R5only</v>
      </c>
      <c r="D47" s="7" t="str">
        <f t="shared" si="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ラー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red</v>
      </c>
      <c r="L47" s="7" t="str">
        <f>VLOOKUP(B47,[1]characters!$A:$K,11,FALSE)</f>
        <v>balance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v>230</v>
      </c>
      <c r="P47" s="103">
        <f t="shared" si="5"/>
        <v>1.4705882352941176E-3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input_421100!A$2</f>
        <v>421100</v>
      </c>
      <c r="B48" s="5">
        <v>1014</v>
      </c>
      <c r="C48" s="7" t="str">
        <f t="shared" si="3"/>
        <v>PremiumSS5R5only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イシス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green</v>
      </c>
      <c r="L48" s="7" t="str">
        <f>VLOOKUP(B48,[1]characters!$A:$K,11,FALSE)</f>
        <v>hp</v>
      </c>
      <c r="M48" s="7" t="str">
        <f>VLOOKUP(B48,[1]characters!$A:$M,13,FALSE)</f>
        <v>god</v>
      </c>
      <c r="N48" s="7" t="str">
        <f>VLOOKUP(B48,[1]characters!$A:$G,7,FALSE)</f>
        <v>男性</v>
      </c>
      <c r="O48" s="45">
        <v>230</v>
      </c>
      <c r="P48" s="103">
        <f t="shared" si="5"/>
        <v>1.4705882352941176E-3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input_421100!A$2</f>
        <v>421100</v>
      </c>
      <c r="B49" s="5">
        <v>1018</v>
      </c>
      <c r="C49" s="7" t="str">
        <f t="shared" si="3"/>
        <v>PremiumSS5R5only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バステト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230</v>
      </c>
      <c r="P49" s="103">
        <f t="shared" si="5"/>
        <v>1.4705882352941176E-3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input_421100!A$2</f>
        <v>421100</v>
      </c>
      <c r="B50" s="5">
        <v>1028</v>
      </c>
      <c r="C50" s="7" t="str">
        <f t="shared" si="3"/>
        <v>PremiumSS5R5only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牛若丸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green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45">
        <v>230</v>
      </c>
      <c r="P50" s="103">
        <f t="shared" si="5"/>
        <v>1.4705882352941176E-3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input_421100!A$2</f>
        <v>421100</v>
      </c>
      <c r="B51" s="5">
        <v>1031</v>
      </c>
      <c r="C51" s="7" t="str">
        <f t="shared" si="3"/>
        <v>PremiumSS5R5only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紫式部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blue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v>230</v>
      </c>
      <c r="P51" s="103">
        <f t="shared" si="5"/>
        <v>1.4705882352941176E-3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input_421100!A$2</f>
        <v>421100</v>
      </c>
      <c r="B52" s="5">
        <v>1033</v>
      </c>
      <c r="C52" s="7" t="str">
        <f t="shared" si="3"/>
        <v>PremiumSS5R5only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清少納言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heal</v>
      </c>
      <c r="M52" s="7" t="str">
        <f>VLOOKUP(B52,[1]characters!$A:$M,13,FALSE)</f>
        <v>human</v>
      </c>
      <c r="N52" s="7" t="str">
        <f>VLOOKUP(B52,[1]characters!$A:$G,7,FALSE)</f>
        <v>男性</v>
      </c>
      <c r="O52" s="45">
        <v>230</v>
      </c>
      <c r="P52" s="103">
        <f t="shared" si="5"/>
        <v>1.4705882352941176E-3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input_421100!A$2</f>
        <v>421100</v>
      </c>
      <c r="B53" s="5">
        <v>1069</v>
      </c>
      <c r="C53" s="7" t="str">
        <f t="shared" si="3"/>
        <v>PremiumSS5R5only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イシュタル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v>230</v>
      </c>
      <c r="P53" s="103">
        <f t="shared" si="5"/>
        <v>1.4705882352941176E-3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input_421100!A$2</f>
        <v>421100</v>
      </c>
      <c r="B54" s="5">
        <v>1074</v>
      </c>
      <c r="C54" s="7" t="str">
        <f t="shared" si="3"/>
        <v>PremiumSS5R5only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マルドゥク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yellow</v>
      </c>
      <c r="L54" s="7" t="str">
        <f>VLOOKUP(B54,[1]characters!$A:$K,11,FALSE)</f>
        <v>technical</v>
      </c>
      <c r="M54" s="7" t="str">
        <f>VLOOKUP(B54,[1]characters!$A:$M,13,FALSE)</f>
        <v>god</v>
      </c>
      <c r="N54" s="7" t="str">
        <f>VLOOKUP(B54,[1]characters!$A:$G,7,FALSE)</f>
        <v>男性</v>
      </c>
      <c r="O54" s="45">
        <v>230</v>
      </c>
      <c r="P54" s="103">
        <f t="shared" si="5"/>
        <v>1.4705882352941176E-3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input_421100!A$2</f>
        <v>421100</v>
      </c>
      <c r="B55" s="5">
        <v>1100</v>
      </c>
      <c r="C55" s="7" t="str">
        <f t="shared" si="3"/>
        <v>PremiumSS5R5only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北斎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attack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v>230</v>
      </c>
      <c r="P55" s="103">
        <f t="shared" si="5"/>
        <v>1.4705882352941176E-3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input_421100!A$2</f>
        <v>421100</v>
      </c>
      <c r="B56" s="5">
        <v>1106</v>
      </c>
      <c r="C56" s="7" t="str">
        <f t="shared" si="3"/>
        <v>PremiumSS5R5only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ラファエロ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不明</v>
      </c>
      <c r="O56" s="45">
        <v>230</v>
      </c>
      <c r="P56" s="103">
        <f t="shared" si="5"/>
        <v>1.4705882352941176E-3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input_421100!A$2</f>
        <v>421100</v>
      </c>
      <c r="B57" s="5">
        <v>228</v>
      </c>
      <c r="C57" s="7" t="str">
        <f t="shared" si="3"/>
        <v>Premium5</v>
      </c>
      <c r="D57" s="7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殲滅の掃射砲 アレス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attack</v>
      </c>
      <c r="M57" s="7" t="str">
        <f>VLOOKUP(B57,[1]characters!$A:$M,13,FALSE)</f>
        <v>god</v>
      </c>
      <c r="N57" s="7" t="str">
        <f>VLOOKUP(B57,[1]characters!$A:$G,7,FALSE)</f>
        <v>男性</v>
      </c>
      <c r="O57" s="45">
        <v>2074</v>
      </c>
      <c r="P57" s="103">
        <f t="shared" si="5"/>
        <v>1.3260869565217392E-2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input_421100!A$2</f>
        <v>421100</v>
      </c>
      <c r="B58" s="5">
        <v>231</v>
      </c>
      <c r="C58" s="7" t="str">
        <f t="shared" si="3"/>
        <v>Premium5</v>
      </c>
      <c r="D58" s="7" t="str">
        <f t="shared" si="4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必中の咬銃 ヨルムンガンド</v>
      </c>
      <c r="I58" s="7" t="str">
        <f>VLOOKUP(B58,[1]characters!$A:$J,10,FALSE)</f>
        <v>PremiumS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technical</v>
      </c>
      <c r="M58" s="7" t="str">
        <f>VLOOKUP(B58,[1]characters!$A:$M,13,FALSE)</f>
        <v>dragon</v>
      </c>
      <c r="N58" s="7" t="str">
        <f>VLOOKUP(B58,[1]characters!$A:$G,7,FALSE)</f>
        <v>女性</v>
      </c>
      <c r="O58" s="45">
        <v>2074</v>
      </c>
      <c r="P58" s="103">
        <f t="shared" si="5"/>
        <v>1.3260869565217392E-2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input_421100!A$2</f>
        <v>421100</v>
      </c>
      <c r="B59" s="5">
        <v>234</v>
      </c>
      <c r="C59" s="7" t="str">
        <f t="shared" si="3"/>
        <v>Premium5</v>
      </c>
      <c r="D59" s="7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精密なる照準 パーシヴァル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blue</v>
      </c>
      <c r="L59" s="7" t="str">
        <f>VLOOKUP(B59,[1]characters!$A:$K,11,FALSE)</f>
        <v>technical</v>
      </c>
      <c r="M59" s="7" t="str">
        <f>VLOOKUP(B59,[1]characters!$A:$M,13,FALSE)</f>
        <v>human</v>
      </c>
      <c r="N59" s="7" t="str">
        <f>VLOOKUP(B59,[1]characters!$A:$G,7,FALSE)</f>
        <v>女性</v>
      </c>
      <c r="O59" s="45">
        <v>2074</v>
      </c>
      <c r="P59" s="103">
        <f t="shared" si="5"/>
        <v>1.3260869565217392E-2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input_421100!A$2</f>
        <v>421100</v>
      </c>
      <c r="B60" s="5">
        <v>237</v>
      </c>
      <c r="C60" s="7" t="str">
        <f t="shared" si="3"/>
        <v>Premium5R6release</v>
      </c>
      <c r="D60" s="7" t="str">
        <f t="shared" si="4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>R6release</v>
      </c>
      <c r="G60" s="7"/>
      <c r="H60" s="7" t="str">
        <f>VLOOKUP(B60,[1]characters!$A:$C,3,FALSE)</f>
        <v>森羅万象の神母 イザナミ</v>
      </c>
      <c r="I60" s="7" t="str">
        <f>VLOOKUP(B60,[1]characters!$A:$J,10,FALSE)</f>
        <v>PremiumS</v>
      </c>
      <c r="J60" s="7">
        <f>VLOOKUP(B60,[1]characters!$A:$I,9,FALSE)</f>
        <v>5</v>
      </c>
      <c r="K60" s="7" t="str">
        <f>VLOOKUP(B60,[1]characters!$A:$H,8,FALSE)</f>
        <v>yellow</v>
      </c>
      <c r="L60" s="7" t="str">
        <f>VLOOKUP(B60,[1]characters!$A:$K,11,FALSE)</f>
        <v>attack</v>
      </c>
      <c r="M60" s="7" t="str">
        <f>VLOOKUP(B60,[1]characters!$A:$M,13,FALSE)</f>
        <v>god</v>
      </c>
      <c r="N60" s="7" t="str">
        <f>VLOOKUP(B60,[1]characters!$A:$G,7,FALSE)</f>
        <v>女性</v>
      </c>
      <c r="O60" s="45">
        <v>2074</v>
      </c>
      <c r="P60" s="103">
        <f t="shared" si="5"/>
        <v>1.3260869565217392E-2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input_421100!A$2</f>
        <v>421100</v>
      </c>
      <c r="B61" s="5">
        <v>240</v>
      </c>
      <c r="C61" s="7" t="str">
        <f t="shared" si="3"/>
        <v>Premium5</v>
      </c>
      <c r="D61" s="7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轟炎の天使 ウリエル・スレイヤー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machine</v>
      </c>
      <c r="N61" s="7" t="str">
        <f>VLOOKUP(B61,[1]characters!$A:$G,7,FALSE)</f>
        <v>女性</v>
      </c>
      <c r="O61" s="45">
        <v>2074</v>
      </c>
      <c r="P61" s="103">
        <f t="shared" si="5"/>
        <v>1.3260869565217392E-2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input_421100!A$2</f>
        <v>421100</v>
      </c>
      <c r="B62" s="5">
        <v>243</v>
      </c>
      <c r="C62" s="7" t="str">
        <f t="shared" si="3"/>
        <v>Premium5</v>
      </c>
      <c r="D62" s="7" t="str">
        <f t="shared" si="4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万花の天使 ガブリエル・ブルーム</v>
      </c>
      <c r="I62" s="7" t="str">
        <f>VLOOKUP(B62,[1]characters!$A:$J,10,FALSE)</f>
        <v>PremiumS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balance</v>
      </c>
      <c r="M62" s="7" t="str">
        <f>VLOOKUP(B62,[1]characters!$A:$M,13,FALSE)</f>
        <v>machine</v>
      </c>
      <c r="N62" s="7" t="str">
        <f>VLOOKUP(B62,[1]characters!$A:$G,7,FALSE)</f>
        <v>女性</v>
      </c>
      <c r="O62" s="45">
        <v>2074</v>
      </c>
      <c r="P62" s="103">
        <f t="shared" si="5"/>
        <v>1.3260869565217392E-2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input_421100!A$2</f>
        <v>421100</v>
      </c>
      <c r="B63" s="5">
        <v>246</v>
      </c>
      <c r="C63" s="7" t="str">
        <f t="shared" si="3"/>
        <v>Premium5</v>
      </c>
      <c r="D63" s="7" t="str">
        <f t="shared" si="4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真癒の天使 ラファエル・メディカ</v>
      </c>
      <c r="I63" s="7" t="str">
        <f>VLOOKUP(B63,[1]characters!$A:$J,10,FALSE)</f>
        <v>PremiumS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balance</v>
      </c>
      <c r="M63" s="7" t="str">
        <f>VLOOKUP(B63,[1]characters!$A:$M,13,FALSE)</f>
        <v>machine</v>
      </c>
      <c r="N63" s="7" t="str">
        <f>VLOOKUP(B63,[1]characters!$A:$G,7,FALSE)</f>
        <v>女性</v>
      </c>
      <c r="O63" s="45">
        <v>2074</v>
      </c>
      <c r="P63" s="103">
        <f t="shared" si="5"/>
        <v>1.3260869565217392E-2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input_421100!A$2</f>
        <v>421100</v>
      </c>
      <c r="B64" s="6">
        <v>249</v>
      </c>
      <c r="C64" s="7" t="str">
        <f t="shared" si="3"/>
        <v>Premium5</v>
      </c>
      <c r="D64" s="7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雷電の天使 ミカエル・ゲイナー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machine</v>
      </c>
      <c r="N64" s="7" t="str">
        <f>VLOOKUP(B64,[1]characters!$A:$G,7,FALSE)</f>
        <v>女性</v>
      </c>
      <c r="O64" s="45">
        <v>2074</v>
      </c>
      <c r="P64" s="103">
        <f t="shared" si="5"/>
        <v>1.3260869565217392E-2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input_421100!A$2</f>
        <v>421100</v>
      </c>
      <c r="B65" s="6">
        <v>252</v>
      </c>
      <c r="C65" s="7" t="str">
        <f t="shared" si="3"/>
        <v>Premium5</v>
      </c>
      <c r="D65" s="7" t="str">
        <f t="shared" si="4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強欲の沸騰 マンモン</v>
      </c>
      <c r="I65" s="7" t="str">
        <f>VLOOKUP(B65,[1]characters!$A:$J,10,FALSE)</f>
        <v>PremiumS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god</v>
      </c>
      <c r="N65" s="7" t="str">
        <f>VLOOKUP(B65,[1]characters!$A:$G,7,FALSE)</f>
        <v>女性</v>
      </c>
      <c r="O65" s="45">
        <v>2074</v>
      </c>
      <c r="P65" s="103">
        <f t="shared" si="5"/>
        <v>1.3260869565217392E-2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input_421100!A$2</f>
        <v>421100</v>
      </c>
      <c r="B66" s="6">
        <v>255</v>
      </c>
      <c r="C66" s="7" t="str">
        <f t="shared" ref="C66:C97" si="6">D66&amp;J66&amp;E66&amp;F66&amp;G66</f>
        <v>Premium5</v>
      </c>
      <c r="D66" s="7" t="str">
        <f t="shared" ref="D66:D97" si="7">IF(OR(I66="PremiumSS",I66="PremiumSSw"),"PremiumSS",IF(I66="PremiumSSS",I66,IF(I66="PremiumW",I66,"Premium")))</f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怠惰の頂点 ベルフェゴール</v>
      </c>
      <c r="I66" s="7" t="str">
        <f>VLOOKUP(B66,[1]characters!$A:$J,10,FALSE)</f>
        <v>PremiumS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technical</v>
      </c>
      <c r="M66" s="7" t="str">
        <f>VLOOKUP(B66,[1]characters!$A:$M,13,FALSE)</f>
        <v>god</v>
      </c>
      <c r="N66" s="7" t="str">
        <f>VLOOKUP(B66,[1]characters!$A:$G,7,FALSE)</f>
        <v>女性</v>
      </c>
      <c r="O66" s="45">
        <v>2074</v>
      </c>
      <c r="P66" s="103">
        <f t="shared" ref="P66:P97" si="8">O66/SUM(O:O)</f>
        <v>1.3260869565217392E-2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input_421100!A$2</f>
        <v>421100</v>
      </c>
      <c r="B67" s="6">
        <v>258</v>
      </c>
      <c r="C67" s="7" t="str">
        <f t="shared" si="6"/>
        <v>Premium5</v>
      </c>
      <c r="D67" s="7" t="str">
        <f t="shared" si="7"/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色欲の源流 アスモデウス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blue</v>
      </c>
      <c r="L67" s="7" t="str">
        <f>VLOOKUP(B67,[1]characters!$A:$K,11,FALSE)</f>
        <v>attack</v>
      </c>
      <c r="M67" s="7" t="str">
        <f>VLOOKUP(B67,[1]characters!$A:$M,13,FALSE)</f>
        <v>god</v>
      </c>
      <c r="N67" s="7" t="str">
        <f>VLOOKUP(B67,[1]characters!$A:$G,7,FALSE)</f>
        <v>女性</v>
      </c>
      <c r="O67" s="45">
        <v>2074</v>
      </c>
      <c r="P67" s="103">
        <f t="shared" si="8"/>
        <v>1.3260869565217392E-2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input_421100!A$2</f>
        <v>421100</v>
      </c>
      <c r="B68" s="8">
        <v>261</v>
      </c>
      <c r="C68" s="7" t="str">
        <f t="shared" si="6"/>
        <v>Premium5</v>
      </c>
      <c r="D68" s="7" t="str">
        <f t="shared" si="7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輪廻の蛇龍 ウロボロス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balance</v>
      </c>
      <c r="M68" s="7" t="str">
        <f>VLOOKUP(B68,[1]characters!$A:$M,13,FALSE)</f>
        <v>dragon</v>
      </c>
      <c r="N68" s="7" t="str">
        <f>VLOOKUP(B68,[1]characters!$A:$G,7,FALSE)</f>
        <v>女性</v>
      </c>
      <c r="O68" s="45">
        <v>2074</v>
      </c>
      <c r="P68" s="103">
        <f t="shared" si="8"/>
        <v>1.3260869565217392E-2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input_421100!A$2</f>
        <v>421100</v>
      </c>
      <c r="B69" s="6">
        <v>382</v>
      </c>
      <c r="C69" s="7" t="str">
        <f t="shared" si="6"/>
        <v>Premium5</v>
      </c>
      <c r="D69" s="7" t="str">
        <f t="shared" si="7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激情の愛炎 バハムート</v>
      </c>
      <c r="I69" s="7" t="str">
        <f>VLOOKUP(B69,[1]characters!$A:$J,10,FALSE)</f>
        <v>PremiumS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dragon</v>
      </c>
      <c r="N69" s="7" t="str">
        <f>VLOOKUP(B69,[1]characters!$A:$G,7,FALSE)</f>
        <v>女性</v>
      </c>
      <c r="O69" s="45">
        <v>2074</v>
      </c>
      <c r="P69" s="103">
        <f t="shared" si="8"/>
        <v>1.3260869565217392E-2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input_421100!A$2</f>
        <v>421100</v>
      </c>
      <c r="B70" s="10">
        <v>389</v>
      </c>
      <c r="C70" s="7" t="str">
        <f t="shared" si="6"/>
        <v>Premium5</v>
      </c>
      <c r="D70" s="7" t="str">
        <f t="shared" si="7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操神の愛姫 スフィンクス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yellow</v>
      </c>
      <c r="L70" s="7" t="str">
        <f>VLOOKUP(B70,[1]characters!$A:$K,11,FALSE)</f>
        <v>heal</v>
      </c>
      <c r="M70" s="7" t="str">
        <f>VLOOKUP(B70,[1]characters!$A:$M,13,FALSE)</f>
        <v>animal</v>
      </c>
      <c r="N70" s="7" t="str">
        <f>VLOOKUP(B70,[1]characters!$A:$G,7,FALSE)</f>
        <v>女性</v>
      </c>
      <c r="O70" s="45">
        <v>2074</v>
      </c>
      <c r="P70" s="103">
        <f t="shared" si="8"/>
        <v>1.3260869565217392E-2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input_421100!A$2</f>
        <v>421100</v>
      </c>
      <c r="B71" s="6">
        <v>394</v>
      </c>
      <c r="C71" s="7" t="str">
        <f t="shared" si="6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影求の悪童 ピーターパン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human</v>
      </c>
      <c r="N71" s="7" t="str">
        <f>VLOOKUP(B71,[1]characters!$A:$G,7,FALSE)</f>
        <v>男性</v>
      </c>
      <c r="O71" s="45">
        <v>2074</v>
      </c>
      <c r="P71" s="103">
        <f t="shared" si="8"/>
        <v>1.3260869565217392E-2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input_421100!A$2</f>
        <v>421100</v>
      </c>
      <c r="B72" s="10">
        <v>397</v>
      </c>
      <c r="C72" s="7" t="str">
        <f t="shared" si="6"/>
        <v>Premium5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禁断の追箱 乙姫</v>
      </c>
      <c r="I72" s="7" t="str">
        <f>VLOOKUP(B72,[1]characters!$A:$J,10,FALSE)</f>
        <v>PremiumS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hp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v>2074</v>
      </c>
      <c r="P72" s="103">
        <f t="shared" si="8"/>
        <v>1.3260869565217392E-2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input_421100!A$2</f>
        <v>421100</v>
      </c>
      <c r="B73" s="11">
        <v>402</v>
      </c>
      <c r="C73" s="7" t="str">
        <f t="shared" si="6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天災の神狼 フェンリル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red</v>
      </c>
      <c r="L73" s="7" t="str">
        <f>VLOOKUP(B73,[1]characters!$A:$K,11,FALSE)</f>
        <v>attack</v>
      </c>
      <c r="M73" s="7" t="str">
        <f>VLOOKUP(B73,[1]characters!$A:$M,13,FALSE)</f>
        <v>animal</v>
      </c>
      <c r="N73" s="7" t="str">
        <f>VLOOKUP(B73,[1]characters!$A:$G,7,FALSE)</f>
        <v>女性</v>
      </c>
      <c r="O73" s="45">
        <v>2074</v>
      </c>
      <c r="P73" s="103">
        <f t="shared" si="8"/>
        <v>1.3260869565217392E-2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input_421100!A$2</f>
        <v>421100</v>
      </c>
      <c r="B74" s="6">
        <v>407</v>
      </c>
      <c r="C74" s="7" t="str">
        <f t="shared" si="6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蠱惑の飛刀 エキドナ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animal</v>
      </c>
      <c r="N74" s="7" t="str">
        <f>VLOOKUP(B74,[1]characters!$A:$G,7,FALSE)</f>
        <v>女性</v>
      </c>
      <c r="O74" s="45">
        <v>2074</v>
      </c>
      <c r="P74" s="103">
        <f t="shared" si="8"/>
        <v>1.3260869565217392E-2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input_421100!A$2</f>
        <v>421100</v>
      </c>
      <c r="B75" s="6">
        <v>438</v>
      </c>
      <c r="C75" s="7" t="str">
        <f t="shared" si="6"/>
        <v>Premium5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記憶の奪還 カカシ</v>
      </c>
      <c r="I75" s="7" t="str">
        <f>VLOOKUP(B75,[1]characters!$A:$J,10,FALSE)</f>
        <v>PremiumS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technical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v>2074</v>
      </c>
      <c r="P75" s="103">
        <f t="shared" si="8"/>
        <v>1.3260869565217392E-2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input_421100!A$2</f>
        <v>421100</v>
      </c>
      <c r="B76" s="6">
        <v>441</v>
      </c>
      <c r="C76" s="7" t="str">
        <f t="shared" si="6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求心の錻装 ブリキロガー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attack</v>
      </c>
      <c r="M76" s="7" t="str">
        <f>VLOOKUP(B76,[1]characters!$A:$M,13,FALSE)</f>
        <v>machine</v>
      </c>
      <c r="N76" s="7" t="str">
        <f>VLOOKUP(B76,[1]characters!$A:$G,7,FALSE)</f>
        <v>不明</v>
      </c>
      <c r="O76" s="45">
        <v>2074</v>
      </c>
      <c r="P76" s="103">
        <f t="shared" si="8"/>
        <v>1.3260869565217392E-2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input_421100!A$2</f>
        <v>421100</v>
      </c>
      <c r="B77" s="8">
        <v>464</v>
      </c>
      <c r="C77" s="7" t="str">
        <f t="shared" si="6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円熟の弾導 ガウェイン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v>2074</v>
      </c>
      <c r="P77" s="103">
        <f t="shared" si="8"/>
        <v>1.3260869565217392E-2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input_421100!A$2</f>
        <v>421100</v>
      </c>
      <c r="B78" s="6">
        <v>471</v>
      </c>
      <c r="C78" s="7" t="str">
        <f t="shared" si="6"/>
        <v>Premium5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不可避の爆激 トリスタン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yellow</v>
      </c>
      <c r="L78" s="7" t="str">
        <f>VLOOKUP(B78,[1]characters!$A:$K,11,FALSE)</f>
        <v>attack</v>
      </c>
      <c r="M78" s="7" t="str">
        <f>VLOOKUP(B78,[1]characters!$A:$M,13,FALSE)</f>
        <v>human</v>
      </c>
      <c r="N78" s="7" t="str">
        <f>VLOOKUP(B78,[1]characters!$A:$G,7,FALSE)</f>
        <v>男性</v>
      </c>
      <c r="O78" s="45">
        <v>2074</v>
      </c>
      <c r="P78" s="103">
        <f t="shared" si="8"/>
        <v>1.3260869565217392E-2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input_421100!A$2</f>
        <v>421100</v>
      </c>
      <c r="B79" s="6">
        <v>478</v>
      </c>
      <c r="C79" s="7" t="str">
        <f t="shared" si="6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時計仕掛けの愛羽妖精 ファータ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heal</v>
      </c>
      <c r="M79" s="7" t="str">
        <f>VLOOKUP(B79,[1]characters!$A:$M,13,FALSE)</f>
        <v>unknown</v>
      </c>
      <c r="N79" s="7" t="str">
        <f>VLOOKUP(B79,[1]characters!$A:$G,7,FALSE)</f>
        <v>女性</v>
      </c>
      <c r="O79" s="45">
        <v>2074</v>
      </c>
      <c r="P79" s="103">
        <f t="shared" si="8"/>
        <v>1.3260869565217392E-2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input_421100!A$2</f>
        <v>421100</v>
      </c>
      <c r="B80" s="6">
        <v>483</v>
      </c>
      <c r="C80" s="7" t="str">
        <f t="shared" si="6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 xml:space="preserve">命経死遂 沢庵宗彭 </v>
      </c>
      <c r="I80" s="7" t="str">
        <f>VLOOKUP(B80,[1]characters!$A:$J,10,FALSE)</f>
        <v>PremiumS</v>
      </c>
      <c r="J80" s="7">
        <f>VLOOKUP(B80,[1]characters!$A:$I,9,FALSE)</f>
        <v>5</v>
      </c>
      <c r="K80" s="7" t="str">
        <f>VLOOKUP(B80,[1]characters!$A:$H,8,FALSE)</f>
        <v>yellow</v>
      </c>
      <c r="L80" s="7" t="str">
        <f>VLOOKUP(B80,[1]characters!$A:$K,11,FALSE)</f>
        <v>hp</v>
      </c>
      <c r="M80" s="7" t="str">
        <f>VLOOKUP(B80,[1]characters!$A:$M,13,FALSE)</f>
        <v>human</v>
      </c>
      <c r="N80" s="7" t="str">
        <f>VLOOKUP(B80,[1]characters!$A:$G,7,FALSE)</f>
        <v>男性</v>
      </c>
      <c r="O80" s="45">
        <v>2074</v>
      </c>
      <c r="P80" s="103">
        <f t="shared" si="8"/>
        <v>1.3260869565217392E-2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input_421100!A$2</f>
        <v>421100</v>
      </c>
      <c r="B81" s="6">
        <v>498</v>
      </c>
      <c r="C81" s="7" t="str">
        <f t="shared" si="6"/>
        <v>Premium5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自愛の高魔 エスタブ</v>
      </c>
      <c r="I81" s="7" t="str">
        <f>VLOOKUP(B81,[1]characters!$A:$J,10,FALSE)</f>
        <v>PremiumS</v>
      </c>
      <c r="J81" s="7">
        <f>VLOOKUP(B81,[1]characters!$A:$I,9,FALSE)</f>
        <v>5</v>
      </c>
      <c r="K81" s="7" t="str">
        <f>VLOOKUP(B81,[1]characters!$A:$H,8,FALSE)</f>
        <v>blue</v>
      </c>
      <c r="L81" s="7" t="str">
        <f>VLOOKUP(B81,[1]characters!$A:$K,11,FALSE)</f>
        <v>attack</v>
      </c>
      <c r="M81" s="7" t="str">
        <f>VLOOKUP(B81,[1]characters!$A:$M,13,FALSE)</f>
        <v>human</v>
      </c>
      <c r="N81" s="7" t="str">
        <f>VLOOKUP(B81,[1]characters!$A:$G,7,FALSE)</f>
        <v>男性</v>
      </c>
      <c r="O81" s="45">
        <v>2074</v>
      </c>
      <c r="P81" s="103">
        <f t="shared" si="8"/>
        <v>1.3260869565217392E-2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input_421100!A$2</f>
        <v>421100</v>
      </c>
      <c r="B82" s="6">
        <v>590</v>
      </c>
      <c r="C82" s="7" t="str">
        <f t="shared" si="6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永遠を廻る呪い ニーベルゲン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balance</v>
      </c>
      <c r="M82" s="7" t="str">
        <f>VLOOKUP(B82,[1]characters!$A:$M,13,FALSE)</f>
        <v>unknown</v>
      </c>
      <c r="N82" s="7" t="str">
        <f>VLOOKUP(B82,[1]characters!$A:$G,7,FALSE)</f>
        <v>女性</v>
      </c>
      <c r="O82" s="45">
        <v>2074</v>
      </c>
      <c r="P82" s="103">
        <f t="shared" si="8"/>
        <v>1.3260869565217392E-2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input_421100!A$2</f>
        <v>421100</v>
      </c>
      <c r="B83" s="6">
        <v>593</v>
      </c>
      <c r="C83" s="7" t="str">
        <f t="shared" si="6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妄執する邪毒龍 ファフニール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blue</v>
      </c>
      <c r="L83" s="7" t="str">
        <f>VLOOKUP(B83,[1]characters!$A:$K,11,FALSE)</f>
        <v>technical</v>
      </c>
      <c r="M83" s="7" t="str">
        <f>VLOOKUP(B83,[1]characters!$A:$M,13,FALSE)</f>
        <v>dragon</v>
      </c>
      <c r="N83" s="7" t="str">
        <f>VLOOKUP(B83,[1]characters!$A:$G,7,FALSE)</f>
        <v>不明</v>
      </c>
      <c r="O83" s="45">
        <v>2074</v>
      </c>
      <c r="P83" s="103">
        <f t="shared" si="8"/>
        <v>1.3260869565217392E-2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input_421100!A$2</f>
        <v>421100</v>
      </c>
      <c r="B84" s="6">
        <v>598</v>
      </c>
      <c r="C84" s="7" t="str">
        <f t="shared" si="6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焼燃の情熱 ムスペルヘイム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balance</v>
      </c>
      <c r="M84" s="7" t="str">
        <f>VLOOKUP(B84,[1]characters!$A:$M,13,FALSE)</f>
        <v>human</v>
      </c>
      <c r="N84" s="7" t="str">
        <f>VLOOKUP(B84,[1]characters!$A:$G,7,FALSE)</f>
        <v>男性</v>
      </c>
      <c r="O84" s="45">
        <v>2074</v>
      </c>
      <c r="P84" s="103">
        <f t="shared" si="8"/>
        <v>1.3260869565217392E-2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input_421100!A$2</f>
        <v>421100</v>
      </c>
      <c r="B85" s="6">
        <v>601</v>
      </c>
      <c r="C85" s="7" t="str">
        <f t="shared" si="6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界根蝕む悪食 ニーズヘッグ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dragon</v>
      </c>
      <c r="N85" s="7" t="str">
        <f>VLOOKUP(B85,[1]characters!$A:$G,7,FALSE)</f>
        <v>不明</v>
      </c>
      <c r="O85" s="45">
        <v>2074</v>
      </c>
      <c r="P85" s="103">
        <f t="shared" si="8"/>
        <v>1.3260869565217392E-2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input_421100!A$2</f>
        <v>421100</v>
      </c>
      <c r="B86" s="6">
        <v>606</v>
      </c>
      <c r="C86" s="7" t="str">
        <f t="shared" si="6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冀望の光芒 バルドル</v>
      </c>
      <c r="I86" s="7" t="str">
        <f>VLOOKUP(B86,[1]characters!$A:$J,10,FALSE)</f>
        <v>PremiumS</v>
      </c>
      <c r="J86" s="7">
        <f>VLOOKUP(B86,[1]characters!$A:$I,9,FALSE)</f>
        <v>5</v>
      </c>
      <c r="K86" s="7" t="str">
        <f>VLOOKUP(B86,[1]characters!$A:$H,8,FALSE)</f>
        <v>yellow</v>
      </c>
      <c r="L86" s="7" t="str">
        <f>VLOOKUP(B86,[1]characters!$A:$K,11,FALSE)</f>
        <v>heal</v>
      </c>
      <c r="M86" s="7" t="str">
        <f>VLOOKUP(B86,[1]characters!$A:$M,13,FALSE)</f>
        <v>god</v>
      </c>
      <c r="N86" s="7" t="str">
        <f>VLOOKUP(B86,[1]characters!$A:$G,7,FALSE)</f>
        <v>男性</v>
      </c>
      <c r="O86" s="45">
        <v>2074</v>
      </c>
      <c r="P86" s="103">
        <f t="shared" si="8"/>
        <v>1.3260869565217392E-2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input_421100!A$2</f>
        <v>421100</v>
      </c>
      <c r="B87" s="6">
        <v>664</v>
      </c>
      <c r="C87" s="7" t="str">
        <f t="shared" si="6"/>
        <v>Premium5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山掴み国造り ダイダラ</v>
      </c>
      <c r="I87" s="7" t="str">
        <f>VLOOKUP(B87,[1]characters!$A:$J,10,FALSE)</f>
        <v>PremiumS</v>
      </c>
      <c r="J87" s="7">
        <f>VLOOKUP(B87,[1]characters!$A:$I,9,FALSE)</f>
        <v>5</v>
      </c>
      <c r="K87" s="7" t="str">
        <f>VLOOKUP(B87,[1]characters!$A:$H,8,FALSE)</f>
        <v>blue</v>
      </c>
      <c r="L87" s="7" t="str">
        <f>VLOOKUP(B87,[1]characters!$A:$K,11,FALSE)</f>
        <v>hp</v>
      </c>
      <c r="M87" s="7" t="str">
        <f>VLOOKUP(B87,[1]characters!$A:$M,13,FALSE)</f>
        <v>unknown</v>
      </c>
      <c r="N87" s="7" t="str">
        <f>VLOOKUP(B87,[1]characters!$A:$G,7,FALSE)</f>
        <v>不明</v>
      </c>
      <c r="O87" s="45">
        <v>2074</v>
      </c>
      <c r="P87" s="103">
        <f t="shared" si="8"/>
        <v>1.3260869565217392E-2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input_421100!A$2</f>
        <v>421100</v>
      </c>
      <c r="B88" s="6">
        <v>667</v>
      </c>
      <c r="C88" s="7" t="str">
        <f t="shared" si="6"/>
        <v>Premium5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最幸運の妖童 テマリ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unknown</v>
      </c>
      <c r="N88" s="7" t="str">
        <f>VLOOKUP(B88,[1]characters!$A:$G,7,FALSE)</f>
        <v>女性</v>
      </c>
      <c r="O88" s="45">
        <v>2074</v>
      </c>
      <c r="P88" s="103">
        <f t="shared" si="8"/>
        <v>1.3260869565217392E-2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input_421100!A$2</f>
        <v>421100</v>
      </c>
      <c r="B89" s="60">
        <v>670</v>
      </c>
      <c r="C89" s="7" t="str">
        <f t="shared" si="6"/>
        <v>Premium5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陽天の噴煙 アグニ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red</v>
      </c>
      <c r="L89" s="7" t="str">
        <f>VLOOKUP(B89,[1]characters!$A:$K,11,FALSE)</f>
        <v>hp</v>
      </c>
      <c r="M89" s="7" t="str">
        <f>VLOOKUP(B89,[1]characters!$A:$M,13,FALSE)</f>
        <v>god</v>
      </c>
      <c r="N89" s="7" t="str">
        <f>VLOOKUP(B89,[1]characters!$A:$G,7,FALSE)</f>
        <v>男性</v>
      </c>
      <c r="O89" s="45">
        <v>2074</v>
      </c>
      <c r="P89" s="103">
        <f t="shared" si="8"/>
        <v>1.3260869565217392E-2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input_421100!A$2</f>
        <v>421100</v>
      </c>
      <c r="B90" s="60">
        <v>673</v>
      </c>
      <c r="C90" s="7" t="str">
        <f t="shared" si="6"/>
        <v>Premium5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変幻自在の猿王 ハヌマーン</v>
      </c>
      <c r="I90" s="7" t="str">
        <f>VLOOKUP(B90,[1]characters!$A:$J,10,FALSE)</f>
        <v>PremiumS</v>
      </c>
      <c r="J90" s="7">
        <f>VLOOKUP(B90,[1]characters!$A:$I,9,FALSE)</f>
        <v>5</v>
      </c>
      <c r="K90" s="7" t="str">
        <f>VLOOKUP(B90,[1]characters!$A:$H,8,FALSE)</f>
        <v>green</v>
      </c>
      <c r="L90" s="7" t="str">
        <f>VLOOKUP(B90,[1]characters!$A:$K,11,FALSE)</f>
        <v>attack</v>
      </c>
      <c r="M90" s="7" t="str">
        <f>VLOOKUP(B90,[1]characters!$A:$M,13,FALSE)</f>
        <v>animal</v>
      </c>
      <c r="N90" s="7" t="str">
        <f>VLOOKUP(B90,[1]characters!$A:$G,7,FALSE)</f>
        <v>男性</v>
      </c>
      <c r="O90" s="45">
        <v>2074</v>
      </c>
      <c r="P90" s="103">
        <f t="shared" si="8"/>
        <v>1.3260869565217392E-2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input_421100!A$2</f>
        <v>421100</v>
      </c>
      <c r="B91" s="60">
        <v>729</v>
      </c>
      <c r="C91" s="7" t="str">
        <f t="shared" si="6"/>
        <v>Premium5R3less</v>
      </c>
      <c r="D91" s="7" t="str">
        <f t="shared" si="7"/>
        <v>Premium</v>
      </c>
      <c r="E91" s="7" t="str">
        <f>IF(COUNTIF('R6追加前'!A:A,B91)=0,IF(OR(I91="PremiumSS",I91="PremiumSSw"),"R5only","R3less"),"")</f>
        <v>R3less</v>
      </c>
      <c r="F91" s="7" t="str">
        <f>IF(COUNTIF('R6開放'!A:A,B91)&gt;0,"R6release","")</f>
        <v/>
      </c>
      <c r="G91" s="7"/>
      <c r="H91" s="7" t="str">
        <f>VLOOKUP(B91,[1]characters!$A:$C,3,FALSE)</f>
        <v>暗厄の双刀 井伊直虎</v>
      </c>
      <c r="I91" s="7" t="str">
        <f>VLOOKUP(B91,[1]characters!$A:$J,10,FALSE)</f>
        <v>PremiumS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女性</v>
      </c>
      <c r="O91" s="45">
        <v>2074</v>
      </c>
      <c r="P91" s="103">
        <f t="shared" si="8"/>
        <v>1.3260869565217392E-2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input_421100!A$2</f>
        <v>421100</v>
      </c>
      <c r="B92" s="60">
        <v>731</v>
      </c>
      <c r="C92" s="7" t="str">
        <f t="shared" si="6"/>
        <v>Premium5R3less</v>
      </c>
      <c r="D92" s="7" t="str">
        <f t="shared" si="7"/>
        <v>Premium</v>
      </c>
      <c r="E92" s="7" t="str">
        <f>IF(COUNTIF('R6追加前'!A:A,B92)=0,IF(OR(I92="PremiumSS",I92="PremiumSSw"),"R5only","R3less"),"")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敬虔なる追銃 ガラシャ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green</v>
      </c>
      <c r="L92" s="7" t="str">
        <f>VLOOKUP(B92,[1]characters!$A:$K,11,FALSE)</f>
        <v>heal</v>
      </c>
      <c r="M92" s="7" t="str">
        <f>VLOOKUP(B92,[1]characters!$A:$M,13,FALSE)</f>
        <v>human</v>
      </c>
      <c r="N92" s="7" t="str">
        <f>VLOOKUP(B92,[1]characters!$A:$G,7,FALSE)</f>
        <v>女性</v>
      </c>
      <c r="O92" s="45">
        <v>2074</v>
      </c>
      <c r="P92" s="103">
        <f t="shared" si="8"/>
        <v>1.3260869565217392E-2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input_421100!A$2</f>
        <v>421100</v>
      </c>
      <c r="B93" s="91">
        <v>747</v>
      </c>
      <c r="C93" s="7" t="str">
        <f t="shared" si="6"/>
        <v>Premium5R3less</v>
      </c>
      <c r="D93" s="7" t="str">
        <f t="shared" si="7"/>
        <v>Premium</v>
      </c>
      <c r="E93" s="7" t="str">
        <f>IF(COUNTIF('R6追加前'!A:A,B93)=0,IF(OR(I93="PremiumSS",I93="PremiumSSw"),"R5only","R3less"),"")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潔碧の巡励神 ノルン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blue</v>
      </c>
      <c r="L93" s="7" t="str">
        <f>VLOOKUP(B93,[1]characters!$A:$K,11,FALSE)</f>
        <v>balance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v>2074</v>
      </c>
      <c r="P93" s="103">
        <f t="shared" si="8"/>
        <v>1.3260869565217392E-2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input_421100!A$2</f>
        <v>421100</v>
      </c>
      <c r="B94" s="91">
        <v>749</v>
      </c>
      <c r="C94" s="7" t="str">
        <f t="shared" si="6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光喜の牧童 パーン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yellow</v>
      </c>
      <c r="L94" s="7" t="str">
        <f>VLOOKUP(B94,[1]characters!$A:$K,11,FALSE)</f>
        <v>heal</v>
      </c>
      <c r="M94" s="7" t="str">
        <f>VLOOKUP(B94,[1]characters!$A:$M,13,FALSE)</f>
        <v>animal</v>
      </c>
      <c r="N94" s="7" t="str">
        <f>VLOOKUP(B94,[1]characters!$A:$G,7,FALSE)</f>
        <v>男性</v>
      </c>
      <c r="O94" s="45">
        <v>2074</v>
      </c>
      <c r="P94" s="103">
        <f t="shared" si="8"/>
        <v>1.3260869565217392E-2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input_421100!A$2</f>
        <v>421100</v>
      </c>
      <c r="B95" s="60">
        <v>776</v>
      </c>
      <c r="C95" s="7" t="str">
        <f t="shared" si="6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水竜底主 ミズチ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blue</v>
      </c>
      <c r="L95" s="7" t="str">
        <f>VLOOKUP(B95,[1]characters!$A:$K,11,FALSE)</f>
        <v>heal</v>
      </c>
      <c r="M95" s="7" t="str">
        <f>VLOOKUP(B95,[1]characters!$A:$M,13,FALSE)</f>
        <v>dragon</v>
      </c>
      <c r="N95" s="7" t="str">
        <f>VLOOKUP(B95,[1]characters!$A:$G,7,FALSE)</f>
        <v>不明</v>
      </c>
      <c r="O95" s="45">
        <v>2074</v>
      </c>
      <c r="P95" s="103">
        <f t="shared" si="8"/>
        <v>1.3260869565217392E-2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input_421100!A$2</f>
        <v>421100</v>
      </c>
      <c r="B96" s="60">
        <v>779</v>
      </c>
      <c r="C96" s="7" t="str">
        <f t="shared" si="6"/>
        <v>Premium5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頑堅咬亀 ガメック</v>
      </c>
      <c r="I96" s="7" t="str">
        <f>VLOOKUP(B96,[1]characters!$A:$J,10,FALSE)</f>
        <v>PremiumS</v>
      </c>
      <c r="J96" s="7">
        <f>VLOOKUP(B96,[1]characters!$A:$I,9,FALSE)</f>
        <v>5</v>
      </c>
      <c r="K96" s="7" t="str">
        <f>VLOOKUP(B96,[1]characters!$A:$H,8,FALSE)</f>
        <v>yellow</v>
      </c>
      <c r="L96" s="7" t="str">
        <f>VLOOKUP(B96,[1]characters!$A:$K,11,FALSE)</f>
        <v>hp</v>
      </c>
      <c r="M96" s="7" t="str">
        <f>VLOOKUP(B96,[1]characters!$A:$M,13,FALSE)</f>
        <v>animal</v>
      </c>
      <c r="N96" s="7" t="str">
        <f>VLOOKUP(B96,[1]characters!$A:$G,7,FALSE)</f>
        <v>不明</v>
      </c>
      <c r="O96" s="45">
        <v>2074</v>
      </c>
      <c r="P96" s="103">
        <f t="shared" si="8"/>
        <v>1.3260869565217392E-2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input_421100!A$2</f>
        <v>421100</v>
      </c>
      <c r="B97" s="81">
        <v>853</v>
      </c>
      <c r="C97" s="7" t="str">
        <f t="shared" si="6"/>
        <v>Premium5R3less</v>
      </c>
      <c r="D97" s="7" t="str">
        <f t="shared" si="7"/>
        <v>Premium</v>
      </c>
      <c r="E97" s="7" t="str">
        <f>IF(COUNTIF('R6追加前'!A:A,B97)=0,IF(OR(I97="PremiumSS",I97="PremiumSSw"),"R5only","R3less"),"")</f>
        <v>R3less</v>
      </c>
      <c r="F97" s="7" t="str">
        <f>IF(COUNTIF('R6開放'!A:A,B97)&gt;0,"R6release","")</f>
        <v/>
      </c>
      <c r="G97" s="7"/>
      <c r="H97" s="7" t="str">
        <f>VLOOKUP(B97,[1]characters!$A:$C,3,FALSE)</f>
        <v>裂爪の天使 サキエル・ティア</v>
      </c>
      <c r="I97" s="7" t="str">
        <f>VLOOKUP(B97,[1]characters!$A:$J,10,FALSE)</f>
        <v>PremiumS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hp</v>
      </c>
      <c r="M97" s="7" t="str">
        <f>VLOOKUP(B97,[1]characters!$A:$M,13,FALSE)</f>
        <v>god</v>
      </c>
      <c r="N97" s="7" t="str">
        <f>VLOOKUP(B97,[1]characters!$A:$G,7,FALSE)</f>
        <v>男性</v>
      </c>
      <c r="O97" s="45">
        <v>2074</v>
      </c>
      <c r="P97" s="103">
        <f t="shared" si="8"/>
        <v>1.3260869565217392E-2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input_421100!A$2</f>
        <v>421100</v>
      </c>
      <c r="B98" s="81">
        <v>855</v>
      </c>
      <c r="C98" s="7" t="str">
        <f t="shared" ref="C98:C129" si="9">D98&amp;J98&amp;E98&amp;F98&amp;G98</f>
        <v>Premium5R3less</v>
      </c>
      <c r="D98" s="7" t="str">
        <f t="shared" ref="D98:D125" si="10">IF(OR(I98="PremiumSS",I98="PremiumSSw"),"PremiumSS",IF(I98="PremiumSSS",I98,IF(I98="PremiumW",I98,"Premium")))</f>
        <v>Premium</v>
      </c>
      <c r="E98" s="7" t="str">
        <f>IF(COUNTIF('R6追加前'!A:A,B98)=0,IF(OR(I98="PremiumSS",I98="PremiumSSw"),"R5only","R3less"),"")</f>
        <v>R3less</v>
      </c>
      <c r="F98" s="7" t="str">
        <f>IF(COUNTIF('R6開放'!A:A,B98)&gt;0,"R6release","")</f>
        <v/>
      </c>
      <c r="G98" s="7"/>
      <c r="H98" s="7" t="str">
        <f>VLOOKUP(B98,[1]characters!$A:$C,3,FALSE)</f>
        <v>豹魔の侠客 フラウロス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yellow</v>
      </c>
      <c r="L98" s="7" t="str">
        <f>VLOOKUP(B98,[1]characters!$A:$K,11,FALSE)</f>
        <v>attack</v>
      </c>
      <c r="M98" s="7" t="str">
        <f>VLOOKUP(B98,[1]characters!$A:$M,13,FALSE)</f>
        <v>animal</v>
      </c>
      <c r="N98" s="7" t="str">
        <f>VLOOKUP(B98,[1]characters!$A:$G,7,FALSE)</f>
        <v>男性</v>
      </c>
      <c r="O98" s="45">
        <v>2074</v>
      </c>
      <c r="P98" s="103">
        <f t="shared" ref="P98:P129" si="11">O98/SUM(O:O)</f>
        <v>1.3260869565217392E-2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input_421100!A$2</f>
        <v>421100</v>
      </c>
      <c r="B99" s="81">
        <v>863</v>
      </c>
      <c r="C99" s="7" t="str">
        <f t="shared" si="9"/>
        <v>Premium5R3less</v>
      </c>
      <c r="D99" s="7" t="str">
        <f t="shared" si="10"/>
        <v>Premium</v>
      </c>
      <c r="E99" s="7" t="str">
        <f>IF(COUNTIF('R6追加前'!A:A,B99)=0,IF(OR(I99="PremiumSS",I99="PremiumSSw"),"R5only","R3less"),"")</f>
        <v>R3less</v>
      </c>
      <c r="F99" s="7" t="str">
        <f>IF(COUNTIF('R6開放'!A:A,B99)&gt;0,"R6release","")</f>
        <v/>
      </c>
      <c r="G99" s="7"/>
      <c r="H99" s="7" t="str">
        <f>VLOOKUP(B99,[1]characters!$A:$C,3,FALSE)</f>
        <v>歓揮の楽団長 ブレーメン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red</v>
      </c>
      <c r="L99" s="7" t="str">
        <f>VLOOKUP(B99,[1]characters!$A:$K,11,FALSE)</f>
        <v>balance</v>
      </c>
      <c r="M99" s="7" t="str">
        <f>VLOOKUP(B99,[1]characters!$A:$M,13,FALSE)</f>
        <v>animal</v>
      </c>
      <c r="N99" s="7" t="str">
        <f>VLOOKUP(B99,[1]characters!$A:$G,7,FALSE)</f>
        <v>男性</v>
      </c>
      <c r="O99" s="45">
        <v>2074</v>
      </c>
      <c r="P99" s="103">
        <f t="shared" si="11"/>
        <v>1.3260869565217392E-2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input_421100!A$2</f>
        <v>421100</v>
      </c>
      <c r="B100" s="81">
        <v>865</v>
      </c>
      <c r="C100" s="7" t="str">
        <f t="shared" si="9"/>
        <v>Premium5R3less</v>
      </c>
      <c r="D100" s="7" t="str">
        <f t="shared" si="10"/>
        <v>Premium</v>
      </c>
      <c r="E100" s="7" t="str">
        <f>IF(COUNTIF('R6追加前'!A:A,B100)=0,IF(OR(I100="PremiumSS",I100="PremiumSSw"),"R5only","R3less"),"")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無情の感線 ピノキオ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green</v>
      </c>
      <c r="L100" s="7" t="str">
        <f>VLOOKUP(B100,[1]characters!$A:$K,11,FALSE)</f>
        <v>attack</v>
      </c>
      <c r="M100" s="7" t="str">
        <f>VLOOKUP(B100,[1]characters!$A:$M,13,FALSE)</f>
        <v>machine</v>
      </c>
      <c r="N100" s="7" t="str">
        <f>VLOOKUP(B100,[1]characters!$A:$G,7,FALSE)</f>
        <v>男性</v>
      </c>
      <c r="O100" s="45">
        <v>2074</v>
      </c>
      <c r="P100" s="103">
        <f t="shared" si="11"/>
        <v>1.3260869565217392E-2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input_421100!A$2</f>
        <v>421100</v>
      </c>
      <c r="B101" s="5">
        <v>940</v>
      </c>
      <c r="C101" s="7" t="str">
        <f t="shared" si="9"/>
        <v>Premium5R3less</v>
      </c>
      <c r="D101" s="7" t="str">
        <f t="shared" si="10"/>
        <v>Premium</v>
      </c>
      <c r="E101" s="7" t="str">
        <f>IF(COUNTIF('R6追加前'!A:A,B101)=0,IF(OR(I101="PremiumSS",I101="PremiumSSw"),"R5only","R3less"),"")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不壊の大要塞 バスティーユ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hp</v>
      </c>
      <c r="M101" s="7" t="str">
        <f>VLOOKUP(B101,[1]characters!$A:$M,13,FALSE)</f>
        <v>unknown</v>
      </c>
      <c r="N101" s="7" t="str">
        <f>VLOOKUP(B101,[1]characters!$A:$G,7,FALSE)</f>
        <v>男性</v>
      </c>
      <c r="O101" s="45">
        <v>2074</v>
      </c>
      <c r="P101" s="103">
        <f t="shared" si="11"/>
        <v>1.3260869565217392E-2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input_421100!A$2</f>
        <v>421100</v>
      </c>
      <c r="B102" s="5">
        <v>1017</v>
      </c>
      <c r="C102" s="7" t="str">
        <f t="shared" si="9"/>
        <v>Premium5R3less</v>
      </c>
      <c r="D102" s="7" t="str">
        <f t="shared" si="10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命瞳の慈母神 ハトホル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heal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v>2074</v>
      </c>
      <c r="P102" s="103">
        <f t="shared" si="11"/>
        <v>1.3260869565217392E-2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input_421100!A$2</f>
        <v>421100</v>
      </c>
      <c r="B103" s="5">
        <v>1027</v>
      </c>
      <c r="C103" s="7" t="str">
        <f t="shared" si="9"/>
        <v>Premium5R3less</v>
      </c>
      <c r="D103" s="7" t="str">
        <f t="shared" si="10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弾丸多重奏 蝉丸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human</v>
      </c>
      <c r="N103" s="7" t="str">
        <f>VLOOKUP(B103,[1]characters!$A:$G,7,FALSE)</f>
        <v>男性</v>
      </c>
      <c r="O103" s="45">
        <v>2074</v>
      </c>
      <c r="P103" s="103">
        <f t="shared" si="11"/>
        <v>1.3260869565217392E-2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input_421100!A$2</f>
        <v>421100</v>
      </c>
      <c r="B104" s="5">
        <v>1068</v>
      </c>
      <c r="C104" s="7" t="str">
        <f t="shared" si="9"/>
        <v>Premium5R3less</v>
      </c>
      <c r="D104" s="7" t="str">
        <f t="shared" si="10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想母の羽龍 ウシュムガル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dragon</v>
      </c>
      <c r="N104" s="7" t="str">
        <f>VLOOKUP(B104,[1]characters!$A:$G,7,FALSE)</f>
        <v>男性</v>
      </c>
      <c r="O104" s="45">
        <v>2074</v>
      </c>
      <c r="P104" s="103">
        <f t="shared" si="11"/>
        <v>1.3260869565217392E-2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input_421100!A$2</f>
        <v>421100</v>
      </c>
      <c r="B105" s="5">
        <v>1105</v>
      </c>
      <c r="C105" s="7" t="str">
        <f t="shared" si="9"/>
        <v>Premium5R3less</v>
      </c>
      <c r="D105" s="7" t="str">
        <f t="shared" si="10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甘美なる背徳 クリムト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blue</v>
      </c>
      <c r="L105" s="7" t="str">
        <f>VLOOKUP(B105,[1]characters!$A:$K,11,FALSE)</f>
        <v>technical</v>
      </c>
      <c r="M105" s="7" t="str">
        <f>VLOOKUP(B105,[1]characters!$A:$M,13,FALSE)</f>
        <v>human</v>
      </c>
      <c r="N105" s="7" t="str">
        <f>VLOOKUP(B105,[1]characters!$A:$G,7,FALSE)</f>
        <v>不明</v>
      </c>
      <c r="O105" s="45">
        <v>2074</v>
      </c>
      <c r="P105" s="103">
        <f t="shared" si="11"/>
        <v>1.3260869565217392E-2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input_421100!A$2</f>
        <v>421100</v>
      </c>
      <c r="B106" s="6">
        <v>168</v>
      </c>
      <c r="C106" s="7" t="str">
        <f t="shared" si="9"/>
        <v>Premium5R6release</v>
      </c>
      <c r="D106" s="7" t="str">
        <f t="shared" si="10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>R6release</v>
      </c>
      <c r="G106" s="7"/>
      <c r="H106" s="7" t="str">
        <f>VLOOKUP(B106,[1]characters!$A:$C,3,FALSE)</f>
        <v>猛進の大逆者 ベリアル</v>
      </c>
      <c r="I106" s="7" t="str">
        <f>VLOOKUP(B106,[1]characters!$A:$J,10,FALSE)</f>
        <v>PremiumN</v>
      </c>
      <c r="J106" s="7">
        <f>VLOOKUP(B106,[1]characters!$A:$I,9,FALSE)</f>
        <v>5</v>
      </c>
      <c r="K106" s="7" t="str">
        <f>VLOOKUP(B106,[1]characters!$A:$H,8,FALSE)</f>
        <v>red</v>
      </c>
      <c r="L106" s="7" t="str">
        <f>VLOOKUP(B106,[1]characters!$A:$K,11,FALSE)</f>
        <v>attack</v>
      </c>
      <c r="M106" s="7" t="str">
        <f>VLOOKUP(B106,[1]characters!$A:$M,13,FALSE)</f>
        <v>god</v>
      </c>
      <c r="N106" s="7" t="str">
        <f>VLOOKUP(B106,[1]characters!$A:$G,7,FALSE)</f>
        <v>男性</v>
      </c>
      <c r="O106" s="45">
        <v>2074</v>
      </c>
      <c r="P106" s="103">
        <f t="shared" si="11"/>
        <v>1.3260869565217392E-2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input_421100!A$2</f>
        <v>421100</v>
      </c>
      <c r="B107" s="6">
        <v>171</v>
      </c>
      <c r="C107" s="7" t="str">
        <f t="shared" si="9"/>
        <v>Premium5R6release</v>
      </c>
      <c r="D107" s="7" t="str">
        <f t="shared" si="10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>R6release</v>
      </c>
      <c r="G107" s="7"/>
      <c r="H107" s="7" t="str">
        <f>VLOOKUP(B107,[1]characters!$A:$C,3,FALSE)</f>
        <v>精解の預知者 オセ</v>
      </c>
      <c r="I107" s="7" t="str">
        <f>VLOOKUP(B107,[1]characters!$A:$J,10,FALSE)</f>
        <v>PremiumN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attack</v>
      </c>
      <c r="M107" s="7" t="str">
        <f>VLOOKUP(B107,[1]characters!$A:$M,13,FALSE)</f>
        <v>god</v>
      </c>
      <c r="N107" s="7" t="str">
        <f>VLOOKUP(B107,[1]characters!$A:$G,7,FALSE)</f>
        <v>女性</v>
      </c>
      <c r="O107" s="45">
        <v>2074</v>
      </c>
      <c r="P107" s="103">
        <f t="shared" si="11"/>
        <v>1.3260869565217392E-2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input_421100!A$2</f>
        <v>421100</v>
      </c>
      <c r="B108" s="6">
        <v>174</v>
      </c>
      <c r="C108" s="7" t="str">
        <f t="shared" si="9"/>
        <v>Premium5R6release</v>
      </c>
      <c r="D108" s="7" t="str">
        <f t="shared" si="10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>R6release</v>
      </c>
      <c r="G108" s="7"/>
      <c r="H108" s="7" t="str">
        <f>VLOOKUP(B108,[1]characters!$A:$C,3,FALSE)</f>
        <v>偽愛の大公爵 フォルネウス</v>
      </c>
      <c r="I108" s="7" t="str">
        <f>VLOOKUP(B108,[1]characters!$A:$J,10,FALSE)</f>
        <v>PremiumN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attack</v>
      </c>
      <c r="M108" s="7" t="str">
        <f>VLOOKUP(B108,[1]characters!$A:$M,13,FALSE)</f>
        <v>god</v>
      </c>
      <c r="N108" s="7" t="str">
        <f>VLOOKUP(B108,[1]characters!$A:$G,7,FALSE)</f>
        <v>女性</v>
      </c>
      <c r="O108" s="45">
        <v>2074</v>
      </c>
      <c r="P108" s="103">
        <f t="shared" si="11"/>
        <v>1.3260869565217392E-2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input_421100!A$2</f>
        <v>421100</v>
      </c>
      <c r="B109" s="6">
        <v>177</v>
      </c>
      <c r="C109" s="7" t="str">
        <f t="shared" si="9"/>
        <v>Premium5</v>
      </c>
      <c r="D109" s="7" t="str">
        <f t="shared" si="10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黒魔の異端師 バフォメット</v>
      </c>
      <c r="I109" s="7" t="str">
        <f>VLOOKUP(B109,[1]characters!$A:$J,10,FALSE)</f>
        <v>PremiumN</v>
      </c>
      <c r="J109" s="7">
        <f>VLOOKUP(B109,[1]characters!$A:$I,9,FALSE)</f>
        <v>5</v>
      </c>
      <c r="K109" s="7" t="str">
        <f>VLOOKUP(B109,[1]characters!$A:$H,8,FALSE)</f>
        <v>yellow</v>
      </c>
      <c r="L109" s="7" t="str">
        <f>VLOOKUP(B109,[1]characters!$A:$K,11,FALSE)</f>
        <v>attack</v>
      </c>
      <c r="M109" s="7" t="str">
        <f>VLOOKUP(B109,[1]characters!$A:$M,13,FALSE)</f>
        <v>god</v>
      </c>
      <c r="N109" s="7" t="str">
        <f>VLOOKUP(B109,[1]characters!$A:$G,7,FALSE)</f>
        <v>女性</v>
      </c>
      <c r="O109" s="45">
        <v>2074</v>
      </c>
      <c r="P109" s="103">
        <f t="shared" si="11"/>
        <v>1.3260869565217392E-2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input_421100!A$2</f>
        <v>421100</v>
      </c>
      <c r="B110" s="6">
        <v>180</v>
      </c>
      <c r="C110" s="7" t="str">
        <f t="shared" si="9"/>
        <v>Premium5</v>
      </c>
      <c r="D110" s="7" t="str">
        <f t="shared" si="10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地獄の大門番 ケルベロス</v>
      </c>
      <c r="I110" s="7" t="str">
        <f>VLOOKUP(B110,[1]characters!$A:$J,10,FALSE)</f>
        <v>PremiumN</v>
      </c>
      <c r="J110" s="7">
        <f>VLOOKUP(B110,[1]characters!$A:$I,9,FALSE)</f>
        <v>5</v>
      </c>
      <c r="K110" s="7" t="str">
        <f>VLOOKUP(B110,[1]characters!$A:$H,8,FALSE)</f>
        <v>red</v>
      </c>
      <c r="L110" s="7" t="str">
        <f>VLOOKUP(B110,[1]characters!$A:$K,11,FALSE)</f>
        <v>balance</v>
      </c>
      <c r="M110" s="7" t="str">
        <f>VLOOKUP(B110,[1]characters!$A:$M,13,FALSE)</f>
        <v>animal</v>
      </c>
      <c r="N110" s="7" t="str">
        <f>VLOOKUP(B110,[1]characters!$A:$G,7,FALSE)</f>
        <v>女性</v>
      </c>
      <c r="O110" s="45">
        <v>2074</v>
      </c>
      <c r="P110" s="103">
        <f t="shared" si="11"/>
        <v>1.3260869565217392E-2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input_421100!A$2</f>
        <v>421100</v>
      </c>
      <c r="B111" s="6">
        <v>183</v>
      </c>
      <c r="C111" s="7" t="str">
        <f t="shared" si="9"/>
        <v>Premium5</v>
      </c>
      <c r="D111" s="7" t="str">
        <f t="shared" si="10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/>
      </c>
      <c r="G111" s="7"/>
      <c r="H111" s="7" t="str">
        <f>VLOOKUP(B111,[1]characters!$A:$C,3,FALSE)</f>
        <v>鈍重な彷徨者 ベヒモス</v>
      </c>
      <c r="I111" s="7" t="str">
        <f>VLOOKUP(B111,[1]characters!$A:$J,10,FALSE)</f>
        <v>PremiumN</v>
      </c>
      <c r="J111" s="7">
        <f>VLOOKUP(B111,[1]characters!$A:$I,9,FALSE)</f>
        <v>5</v>
      </c>
      <c r="K111" s="7" t="str">
        <f>VLOOKUP(B111,[1]characters!$A:$H,8,FALSE)</f>
        <v>green</v>
      </c>
      <c r="L111" s="7" t="str">
        <f>VLOOKUP(B111,[1]characters!$A:$K,11,FALSE)</f>
        <v>hp</v>
      </c>
      <c r="M111" s="7" t="str">
        <f>VLOOKUP(B111,[1]characters!$A:$M,13,FALSE)</f>
        <v>animal</v>
      </c>
      <c r="N111" s="7" t="str">
        <f>VLOOKUP(B111,[1]characters!$A:$G,7,FALSE)</f>
        <v>女性</v>
      </c>
      <c r="O111" s="45">
        <v>2074</v>
      </c>
      <c r="P111" s="103">
        <f t="shared" si="11"/>
        <v>1.3260869565217392E-2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input_421100!A$2</f>
        <v>421100</v>
      </c>
      <c r="B112" s="8">
        <v>186</v>
      </c>
      <c r="C112" s="7" t="str">
        <f t="shared" si="9"/>
        <v>Premium5</v>
      </c>
      <c r="D112" s="7" t="str">
        <f t="shared" si="10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/>
      </c>
      <c r="G112" s="7"/>
      <c r="H112" s="7" t="str">
        <f>VLOOKUP(B112,[1]characters!$A:$C,3,FALSE)</f>
        <v>誇り高き多触姫・クラーケン</v>
      </c>
      <c r="I112" s="7" t="str">
        <f>VLOOKUP(B112,[1]characters!$A:$J,10,FALSE)</f>
        <v>PremiumN</v>
      </c>
      <c r="J112" s="7">
        <f>VLOOKUP(B112,[1]characters!$A:$I,9,FALSE)</f>
        <v>5</v>
      </c>
      <c r="K112" s="7" t="str">
        <f>VLOOKUP(B112,[1]characters!$A:$H,8,FALSE)</f>
        <v>blue</v>
      </c>
      <c r="L112" s="7" t="str">
        <f>VLOOKUP(B112,[1]characters!$A:$K,11,FALSE)</f>
        <v>heal</v>
      </c>
      <c r="M112" s="7" t="str">
        <f>VLOOKUP(B112,[1]characters!$A:$M,13,FALSE)</f>
        <v>animal</v>
      </c>
      <c r="N112" s="7" t="str">
        <f>VLOOKUP(B112,[1]characters!$A:$G,7,FALSE)</f>
        <v>女性</v>
      </c>
      <c r="O112" s="45">
        <v>2074</v>
      </c>
      <c r="P112" s="103">
        <f t="shared" si="11"/>
        <v>1.3260869565217392E-2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input_421100!A$2</f>
        <v>421100</v>
      </c>
      <c r="B113" s="8">
        <v>189</v>
      </c>
      <c r="C113" s="7" t="str">
        <f t="shared" si="9"/>
        <v>Premium5</v>
      </c>
      <c r="D113" s="7" t="str">
        <f t="shared" si="10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迅雷の王禽 ホルス</v>
      </c>
      <c r="I113" s="7" t="str">
        <f>VLOOKUP(B113,[1]characters!$A:$J,10,FALSE)</f>
        <v>PremiumN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animal</v>
      </c>
      <c r="N113" s="7" t="str">
        <f>VLOOKUP(B113,[1]characters!$A:$G,7,FALSE)</f>
        <v>女性</v>
      </c>
      <c r="O113" s="45">
        <v>2074</v>
      </c>
      <c r="P113" s="103">
        <f t="shared" si="11"/>
        <v>1.3260869565217392E-2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input_421100!A$2</f>
        <v>421100</v>
      </c>
      <c r="B114" s="6">
        <v>192</v>
      </c>
      <c r="C114" s="7" t="str">
        <f t="shared" si="9"/>
        <v>Premium5</v>
      </c>
      <c r="D114" s="7" t="str">
        <f t="shared" si="10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荘厳なる始祖帝 卑弥呼</v>
      </c>
      <c r="I114" s="7" t="str">
        <f>VLOOKUP(B114,[1]characters!$A:$J,10,FALSE)</f>
        <v>PremiumN</v>
      </c>
      <c r="J114" s="7">
        <f>VLOOKUP(B114,[1]characters!$A:$I,9,FALSE)</f>
        <v>5</v>
      </c>
      <c r="K114" s="7" t="str">
        <f>VLOOKUP(B114,[1]characters!$A:$H,8,FALSE)</f>
        <v>red</v>
      </c>
      <c r="L114" s="7" t="str">
        <f>VLOOKUP(B114,[1]characters!$A:$K,11,FALSE)</f>
        <v>balance</v>
      </c>
      <c r="M114" s="7" t="str">
        <f>VLOOKUP(B114,[1]characters!$A:$M,13,FALSE)</f>
        <v>human</v>
      </c>
      <c r="N114" s="7" t="str">
        <f>VLOOKUP(B114,[1]characters!$A:$G,7,FALSE)</f>
        <v>女性</v>
      </c>
      <c r="O114" s="45">
        <v>2074</v>
      </c>
      <c r="P114" s="103">
        <f t="shared" si="11"/>
        <v>1.3260869565217392E-2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input_421100!A$2</f>
        <v>421100</v>
      </c>
      <c r="B115" s="6">
        <v>195</v>
      </c>
      <c r="C115" s="7" t="str">
        <f t="shared" si="9"/>
        <v>Premium5</v>
      </c>
      <c r="D115" s="7" t="str">
        <f t="shared" si="10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グランドハンター ロビンフッド</v>
      </c>
      <c r="I115" s="7" t="str">
        <f>VLOOKUP(B115,[1]characters!$A:$J,10,FALSE)</f>
        <v>PremiumN</v>
      </c>
      <c r="J115" s="7">
        <f>VLOOKUP(B115,[1]characters!$A:$I,9,FALSE)</f>
        <v>5</v>
      </c>
      <c r="K115" s="7" t="str">
        <f>VLOOKUP(B115,[1]characters!$A:$H,8,FALSE)</f>
        <v>green</v>
      </c>
      <c r="L115" s="7" t="str">
        <f>VLOOKUP(B115,[1]characters!$A:$K,11,FALSE)</f>
        <v>balance</v>
      </c>
      <c r="M115" s="7" t="str">
        <f>VLOOKUP(B115,[1]characters!$A:$M,13,FALSE)</f>
        <v>human</v>
      </c>
      <c r="N115" s="7" t="str">
        <f>VLOOKUP(B115,[1]characters!$A:$G,7,FALSE)</f>
        <v>女性</v>
      </c>
      <c r="O115" s="45">
        <v>2074</v>
      </c>
      <c r="P115" s="103">
        <f t="shared" si="11"/>
        <v>1.3260869565217392E-2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input_421100!A$2</f>
        <v>421100</v>
      </c>
      <c r="B116" s="6">
        <v>198</v>
      </c>
      <c r="C116" s="7" t="str">
        <f t="shared" si="9"/>
        <v>Premium5</v>
      </c>
      <c r="D116" s="7" t="str">
        <f t="shared" si="10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砕骨の剛腕 アキレス</v>
      </c>
      <c r="I116" s="7" t="str">
        <f>VLOOKUP(B116,[1]characters!$A:$J,10,FALSE)</f>
        <v>PremiumN</v>
      </c>
      <c r="J116" s="7">
        <f>VLOOKUP(B116,[1]characters!$A:$I,9,FALSE)</f>
        <v>5</v>
      </c>
      <c r="K116" s="7" t="str">
        <f>VLOOKUP(B116,[1]characters!$A:$H,8,FALSE)</f>
        <v>yellow</v>
      </c>
      <c r="L116" s="7" t="str">
        <f>VLOOKUP(B116,[1]characters!$A:$K,11,FALSE)</f>
        <v>balance</v>
      </c>
      <c r="M116" s="7" t="str">
        <f>VLOOKUP(B116,[1]characters!$A:$M,13,FALSE)</f>
        <v>human</v>
      </c>
      <c r="N116" s="7" t="str">
        <f>VLOOKUP(B116,[1]characters!$A:$G,7,FALSE)</f>
        <v>女性</v>
      </c>
      <c r="O116" s="45">
        <v>2074</v>
      </c>
      <c r="P116" s="103">
        <f t="shared" si="11"/>
        <v>1.3260869565217392E-2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input_421100!A$2</f>
        <v>421100</v>
      </c>
      <c r="B117" s="5">
        <v>201</v>
      </c>
      <c r="C117" s="7" t="str">
        <f t="shared" si="9"/>
        <v>Premium5</v>
      </c>
      <c r="D117" s="7" t="str">
        <f t="shared" si="10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斬空の大破剣 ジークフリート</v>
      </c>
      <c r="I117" s="7" t="str">
        <f>VLOOKUP(B117,[1]characters!$A:$J,10,FALSE)</f>
        <v>PremiumN</v>
      </c>
      <c r="J117" s="7">
        <f>VLOOKUP(B117,[1]characters!$A:$I,9,FALSE)</f>
        <v>5</v>
      </c>
      <c r="K117" s="7" t="str">
        <f>VLOOKUP(B117,[1]characters!$A:$H,8,FALSE)</f>
        <v>blue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v>2074</v>
      </c>
      <c r="P117" s="103">
        <f t="shared" si="11"/>
        <v>1.3260869565217392E-2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input_421100!A$2</f>
        <v>421100</v>
      </c>
      <c r="B118" s="5">
        <v>204</v>
      </c>
      <c r="C118" s="7" t="str">
        <f t="shared" si="9"/>
        <v>Premium5</v>
      </c>
      <c r="D118" s="7" t="str">
        <f t="shared" si="10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慟哭の巨焔 プロメテウス</v>
      </c>
      <c r="I118" s="7" t="str">
        <f>VLOOKUP(B118,[1]characters!$A:$J,10,FALSE)</f>
        <v>PremiumN</v>
      </c>
      <c r="J118" s="7">
        <f>VLOOKUP(B118,[1]characters!$A:$I,9,FALSE)</f>
        <v>5</v>
      </c>
      <c r="K118" s="7" t="str">
        <f>VLOOKUP(B118,[1]characters!$A:$H,8,FALSE)</f>
        <v>red</v>
      </c>
      <c r="L118" s="7" t="str">
        <f>VLOOKUP(B118,[1]characters!$A:$K,11,FALSE)</f>
        <v>hp</v>
      </c>
      <c r="M118" s="7" t="str">
        <f>VLOOKUP(B118,[1]characters!$A:$M,13,FALSE)</f>
        <v>god</v>
      </c>
      <c r="N118" s="7" t="str">
        <f>VLOOKUP(B118,[1]characters!$A:$G,7,FALSE)</f>
        <v>男性</v>
      </c>
      <c r="O118" s="45">
        <v>2074</v>
      </c>
      <c r="P118" s="103">
        <f t="shared" si="11"/>
        <v>1.3260869565217392E-2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input_421100!A$2</f>
        <v>421100</v>
      </c>
      <c r="B119" s="5">
        <v>207</v>
      </c>
      <c r="C119" s="7" t="str">
        <f t="shared" si="9"/>
        <v>Premium5</v>
      </c>
      <c r="D119" s="7" t="str">
        <f t="shared" si="10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豊穣の麗神・アフロディーテ</v>
      </c>
      <c r="I119" s="7" t="str">
        <f>VLOOKUP(B119,[1]characters!$A:$J,10,FALSE)</f>
        <v>PremiumN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hp</v>
      </c>
      <c r="M119" s="7" t="str">
        <f>VLOOKUP(B119,[1]characters!$A:$M,13,FALSE)</f>
        <v>god</v>
      </c>
      <c r="N119" s="7" t="str">
        <f>VLOOKUP(B119,[1]characters!$A:$G,7,FALSE)</f>
        <v>女性</v>
      </c>
      <c r="O119" s="45">
        <v>2074</v>
      </c>
      <c r="P119" s="103">
        <f t="shared" si="11"/>
        <v>1.3260869565217392E-2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input_421100!A$2</f>
        <v>421100</v>
      </c>
      <c r="B120" s="5">
        <v>210</v>
      </c>
      <c r="C120" s="7" t="str">
        <f t="shared" si="9"/>
        <v>Premium5</v>
      </c>
      <c r="D120" s="7" t="str">
        <f t="shared" si="10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海底の孤高神 テティス</v>
      </c>
      <c r="I120" s="7" t="str">
        <f>VLOOKUP(B120,[1]characters!$A:$J,10,FALSE)</f>
        <v>PremiumN</v>
      </c>
      <c r="J120" s="7">
        <f>VLOOKUP(B120,[1]characters!$A:$I,9,FALSE)</f>
        <v>5</v>
      </c>
      <c r="K120" s="7" t="str">
        <f>VLOOKUP(B120,[1]characters!$A:$H,8,FALSE)</f>
        <v>blue</v>
      </c>
      <c r="L120" s="7" t="str">
        <f>VLOOKUP(B120,[1]characters!$A:$K,11,FALSE)</f>
        <v>hp</v>
      </c>
      <c r="M120" s="7" t="str">
        <f>VLOOKUP(B120,[1]characters!$A:$M,13,FALSE)</f>
        <v>god</v>
      </c>
      <c r="N120" s="7" t="str">
        <f>VLOOKUP(B120,[1]characters!$A:$G,7,FALSE)</f>
        <v>女性</v>
      </c>
      <c r="O120" s="45">
        <v>2074</v>
      </c>
      <c r="P120" s="103">
        <f t="shared" si="11"/>
        <v>1.3260869565217392E-2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input_421100!A$2</f>
        <v>421100</v>
      </c>
      <c r="B121" s="5">
        <v>213</v>
      </c>
      <c r="C121" s="7" t="str">
        <f t="shared" si="9"/>
        <v>Premium5</v>
      </c>
      <c r="D121" s="7" t="str">
        <f t="shared" si="10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満天の星降神 アストライアー</v>
      </c>
      <c r="I121" s="7" t="str">
        <f>VLOOKUP(B121,[1]characters!$A:$J,10,FALSE)</f>
        <v>PremiumN</v>
      </c>
      <c r="J121" s="7">
        <f>VLOOKUP(B121,[1]characters!$A:$I,9,FALSE)</f>
        <v>5</v>
      </c>
      <c r="K121" s="7" t="str">
        <f>VLOOKUP(B121,[1]characters!$A:$H,8,FALSE)</f>
        <v>yellow</v>
      </c>
      <c r="L121" s="7" t="str">
        <f>VLOOKUP(B121,[1]characters!$A:$K,11,FALSE)</f>
        <v>balance</v>
      </c>
      <c r="M121" s="7" t="str">
        <f>VLOOKUP(B121,[1]characters!$A:$M,13,FALSE)</f>
        <v>god</v>
      </c>
      <c r="N121" s="7" t="str">
        <f>VLOOKUP(B121,[1]characters!$A:$G,7,FALSE)</f>
        <v>女性</v>
      </c>
      <c r="O121" s="45">
        <v>2074</v>
      </c>
      <c r="P121" s="103">
        <f t="shared" si="11"/>
        <v>1.3260869565217392E-2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input_421100!A$2</f>
        <v>421100</v>
      </c>
      <c r="B122" s="5">
        <v>216</v>
      </c>
      <c r="C122" s="7" t="str">
        <f t="shared" si="9"/>
        <v>Premium5</v>
      </c>
      <c r="D122" s="7" t="str">
        <f t="shared" si="10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百読の死導司書 アズラエル</v>
      </c>
      <c r="I122" s="7" t="str">
        <f>VLOOKUP(B122,[1]characters!$A:$J,10,FALSE)</f>
        <v>PremiumN</v>
      </c>
      <c r="J122" s="7">
        <f>VLOOKUP(B122,[1]characters!$A:$I,9,FALSE)</f>
        <v>5</v>
      </c>
      <c r="K122" s="7" t="str">
        <f>VLOOKUP(B122,[1]characters!$A:$H,8,FALSE)</f>
        <v>red</v>
      </c>
      <c r="L122" s="7" t="str">
        <f>VLOOKUP(B122,[1]characters!$A:$K,11,FALSE)</f>
        <v>balance</v>
      </c>
      <c r="M122" s="7" t="str">
        <f>VLOOKUP(B122,[1]characters!$A:$M,13,FALSE)</f>
        <v>god</v>
      </c>
      <c r="N122" s="7" t="str">
        <f>VLOOKUP(B122,[1]characters!$A:$G,7,FALSE)</f>
        <v>女性</v>
      </c>
      <c r="O122" s="45">
        <v>2074</v>
      </c>
      <c r="P122" s="103">
        <f t="shared" si="11"/>
        <v>1.3260869565217392E-2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input_421100!A$2</f>
        <v>421100</v>
      </c>
      <c r="B123" s="5">
        <v>219</v>
      </c>
      <c r="C123" s="7" t="str">
        <f t="shared" si="9"/>
        <v>Premium5</v>
      </c>
      <c r="D123" s="7" t="str">
        <f t="shared" si="10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覇翼の聖蛇竜 ケツァクアトル</v>
      </c>
      <c r="I123" s="7" t="str">
        <f>VLOOKUP(B123,[1]characters!$A:$J,10,FALSE)</f>
        <v>PremiumN</v>
      </c>
      <c r="J123" s="7">
        <f>VLOOKUP(B123,[1]characters!$A:$I,9,FALSE)</f>
        <v>5</v>
      </c>
      <c r="K123" s="7" t="str">
        <f>VLOOKUP(B123,[1]characters!$A:$H,8,FALSE)</f>
        <v>green</v>
      </c>
      <c r="L123" s="7" t="str">
        <f>VLOOKUP(B123,[1]characters!$A:$K,11,FALSE)</f>
        <v>hp</v>
      </c>
      <c r="M123" s="7" t="str">
        <f>VLOOKUP(B123,[1]characters!$A:$M,13,FALSE)</f>
        <v>dragon</v>
      </c>
      <c r="N123" s="7" t="str">
        <f>VLOOKUP(B123,[1]characters!$A:$G,7,FALSE)</f>
        <v>女性</v>
      </c>
      <c r="O123" s="45">
        <v>2074</v>
      </c>
      <c r="P123" s="103">
        <f t="shared" si="11"/>
        <v>1.3260869565217392E-2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input_421100!A$2</f>
        <v>421100</v>
      </c>
      <c r="B124" s="5">
        <v>222</v>
      </c>
      <c r="C124" s="7" t="str">
        <f t="shared" si="9"/>
        <v>Premium5</v>
      </c>
      <c r="D124" s="7" t="str">
        <f t="shared" si="10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避光の鉄鎖宰相 ルキフグス</v>
      </c>
      <c r="I124" s="7" t="str">
        <f>VLOOKUP(B124,[1]characters!$A:$J,10,FALSE)</f>
        <v>PremiumN</v>
      </c>
      <c r="J124" s="7">
        <f>VLOOKUP(B124,[1]characters!$A:$I,9,FALSE)</f>
        <v>5</v>
      </c>
      <c r="K124" s="7" t="str">
        <f>VLOOKUP(B124,[1]characters!$A:$H,8,FALSE)</f>
        <v>blue</v>
      </c>
      <c r="L124" s="7" t="str">
        <f>VLOOKUP(B124,[1]characters!$A:$K,11,FALSE)</f>
        <v>balance</v>
      </c>
      <c r="M124" s="7" t="str">
        <f>VLOOKUP(B124,[1]characters!$A:$M,13,FALSE)</f>
        <v>god</v>
      </c>
      <c r="N124" s="7" t="str">
        <f>VLOOKUP(B124,[1]characters!$A:$G,7,FALSE)</f>
        <v>女性</v>
      </c>
      <c r="O124" s="45">
        <v>2074</v>
      </c>
      <c r="P124" s="103">
        <f t="shared" si="11"/>
        <v>1.3260869565217392E-2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input_421100!A$2</f>
        <v>421100</v>
      </c>
      <c r="B125" s="5">
        <v>225</v>
      </c>
      <c r="C125" s="7" t="str">
        <f t="shared" si="9"/>
        <v>Premium5</v>
      </c>
      <c r="D125" s="7" t="str">
        <f t="shared" si="10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咆哮の巨獅腕 ヘラクレス</v>
      </c>
      <c r="I125" s="7" t="str">
        <f>VLOOKUP(B125,[1]characters!$A:$J,10,FALSE)</f>
        <v>PremiumN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balance</v>
      </c>
      <c r="M125" s="7" t="str">
        <f>VLOOKUP(B125,[1]characters!$A:$M,13,FALSE)</f>
        <v>human</v>
      </c>
      <c r="N125" s="7" t="str">
        <f>VLOOKUP(B125,[1]characters!$A:$G,7,FALSE)</f>
        <v>男性</v>
      </c>
      <c r="O125" s="45">
        <v>2074</v>
      </c>
      <c r="P125" s="103">
        <f t="shared" si="11"/>
        <v>1.3260869565217392E-2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45"/>
      <c r="P126" s="46"/>
      <c r="Q126" s="30"/>
      <c r="R126" s="30"/>
      <c r="S126" s="30"/>
      <c r="T126" s="30"/>
      <c r="U126" s="30"/>
      <c r="V126" s="30"/>
    </row>
    <row r="127" spans="1:22" ht="21" customHeight="1" x14ac:dyDescent="0.15">
      <c r="A127" s="2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45"/>
      <c r="P127" s="46"/>
      <c r="Q127" s="30"/>
      <c r="R127" s="30"/>
      <c r="S127" s="30"/>
      <c r="T127" s="30"/>
      <c r="U127" s="30"/>
      <c r="V127" s="30"/>
    </row>
    <row r="128" spans="1:22" ht="21" customHeight="1" x14ac:dyDescent="0.15">
      <c r="A128" s="2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45"/>
      <c r="P128" s="46"/>
      <c r="Q128" s="30"/>
      <c r="R128" s="30"/>
      <c r="S128" s="30"/>
      <c r="T128" s="30"/>
      <c r="U128" s="30"/>
      <c r="V128" s="30"/>
    </row>
    <row r="129" spans="1:22" ht="21" customHeight="1" x14ac:dyDescent="0.15">
      <c r="A129" s="2"/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45"/>
      <c r="P129" s="46"/>
      <c r="Q129" s="30"/>
      <c r="R129" s="30"/>
      <c r="S129" s="30"/>
      <c r="T129" s="30"/>
      <c r="U129" s="30"/>
      <c r="V129" s="30"/>
    </row>
    <row r="130" spans="1:22" ht="21" customHeight="1" x14ac:dyDescent="0.15">
      <c r="A130" s="2"/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45"/>
      <c r="P130" s="46"/>
      <c r="Q130" s="30"/>
      <c r="R130" s="30"/>
      <c r="S130" s="30"/>
      <c r="T130" s="30"/>
      <c r="U130" s="30"/>
      <c r="V130" s="30"/>
    </row>
    <row r="131" spans="1:22" ht="21" customHeight="1" x14ac:dyDescent="0.15">
      <c r="A131" s="2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45"/>
      <c r="P131" s="46"/>
      <c r="Q131" s="30"/>
      <c r="R131" s="30"/>
      <c r="S131" s="30"/>
      <c r="T131" s="30"/>
      <c r="U131" s="30"/>
      <c r="V131" s="30"/>
    </row>
    <row r="132" spans="1:22" ht="21" customHeight="1" x14ac:dyDescent="0.15">
      <c r="A132" s="2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45"/>
      <c r="P132" s="46"/>
      <c r="Q132" s="30"/>
      <c r="R132" s="30"/>
      <c r="S132" s="30"/>
      <c r="T132" s="30"/>
      <c r="U132" s="30"/>
      <c r="V132" s="30"/>
    </row>
    <row r="133" spans="1:22" ht="21" customHeight="1" x14ac:dyDescent="0.15">
      <c r="A133" s="2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45"/>
      <c r="P133" s="46"/>
      <c r="Q133" s="30"/>
      <c r="R133" s="30"/>
      <c r="S133" s="30"/>
      <c r="T133" s="30"/>
      <c r="U133" s="30"/>
      <c r="V133" s="30"/>
    </row>
    <row r="134" spans="1:22" ht="21" customHeight="1" x14ac:dyDescent="0.15">
      <c r="A134" s="2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45"/>
      <c r="P134" s="46"/>
      <c r="Q134" s="30"/>
      <c r="R134" s="30"/>
      <c r="S134" s="30"/>
      <c r="T134" s="30"/>
      <c r="U134" s="30"/>
      <c r="V134" s="30"/>
    </row>
    <row r="135" spans="1:22" ht="21" customHeight="1" x14ac:dyDescent="0.15">
      <c r="A135" s="2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45"/>
      <c r="P135" s="46"/>
      <c r="Q135" s="30"/>
      <c r="R135" s="30"/>
      <c r="S135" s="30"/>
      <c r="T135" s="30"/>
      <c r="U135" s="30"/>
      <c r="V135" s="30"/>
    </row>
    <row r="136" spans="1:22" ht="21" customHeight="1" x14ac:dyDescent="0.15">
      <c r="A136" s="2"/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45"/>
      <c r="P136" s="46"/>
      <c r="Q136" s="30"/>
      <c r="R136" s="30"/>
      <c r="S136" s="30"/>
      <c r="T136" s="30"/>
      <c r="U136" s="30"/>
      <c r="V136" s="30"/>
    </row>
    <row r="137" spans="1:22" ht="21" customHeight="1" x14ac:dyDescent="0.15">
      <c r="A137" s="2"/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45"/>
      <c r="P137" s="46"/>
      <c r="Q137" s="30"/>
      <c r="R137" s="30"/>
      <c r="S137" s="30"/>
      <c r="T137" s="30"/>
      <c r="U137" s="30"/>
      <c r="V137" s="30"/>
    </row>
    <row r="138" spans="1:22" ht="21" customHeight="1" x14ac:dyDescent="0.15">
      <c r="A138" s="2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45"/>
      <c r="P138" s="46"/>
      <c r="Q138" s="30"/>
      <c r="R138" s="30"/>
      <c r="S138" s="30"/>
      <c r="T138" s="30"/>
      <c r="U138" s="30"/>
      <c r="V138" s="30"/>
    </row>
    <row r="139" spans="1:22" ht="21" customHeight="1" x14ac:dyDescent="0.15">
      <c r="A139" s="2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45"/>
      <c r="P139" s="46"/>
      <c r="Q139" s="30"/>
      <c r="R139" s="30"/>
      <c r="S139" s="30"/>
      <c r="T139" s="30"/>
      <c r="U139" s="30"/>
      <c r="V139" s="30"/>
    </row>
    <row r="140" spans="1:22" ht="21" customHeight="1" x14ac:dyDescent="0.15">
      <c r="A140" s="2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45"/>
      <c r="P140" s="46"/>
      <c r="Q140" s="30"/>
      <c r="R140" s="30"/>
      <c r="S140" s="30"/>
      <c r="T140" s="30"/>
      <c r="U140" s="30"/>
      <c r="V140" s="30"/>
    </row>
    <row r="141" spans="1:22" ht="21" customHeight="1" x14ac:dyDescent="0.15">
      <c r="A141" s="2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45"/>
      <c r="P141" s="46"/>
      <c r="Q141" s="30"/>
      <c r="R141" s="30"/>
      <c r="S141" s="30"/>
      <c r="T141" s="30"/>
      <c r="U141" s="30"/>
      <c r="V141" s="30"/>
    </row>
    <row r="142" spans="1:22" ht="21" customHeight="1" x14ac:dyDescent="0.15">
      <c r="A142" s="2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45"/>
      <c r="P142" s="46"/>
      <c r="Q142" s="30"/>
      <c r="R142" s="30"/>
      <c r="S142" s="30"/>
      <c r="T142" s="30"/>
      <c r="U142" s="30"/>
      <c r="V142" s="30"/>
    </row>
    <row r="143" spans="1:22" s="12" customFormat="1" ht="21" customHeight="1" thickBot="1" x14ac:dyDescent="0.2">
      <c r="A143" s="2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45"/>
      <c r="P143" s="46"/>
      <c r="Q143" s="30"/>
      <c r="R143" s="30"/>
      <c r="S143" s="30"/>
      <c r="T143" s="30"/>
      <c r="U143" s="30"/>
      <c r="V143" s="30"/>
    </row>
    <row r="144" spans="1:22" ht="21" customHeight="1" x14ac:dyDescent="0.15">
      <c r="A144" s="2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45"/>
      <c r="P144" s="46"/>
      <c r="Q144" s="30"/>
      <c r="R144" s="30"/>
      <c r="S144" s="30"/>
      <c r="T144" s="30"/>
      <c r="U144" s="30"/>
      <c r="V144" s="30"/>
    </row>
    <row r="145" spans="1:22" ht="21" customHeight="1" x14ac:dyDescent="0.15">
      <c r="A145" s="2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45"/>
      <c r="P145" s="46"/>
      <c r="Q145" s="30"/>
      <c r="R145" s="30"/>
      <c r="S145" s="30"/>
      <c r="T145" s="30"/>
      <c r="U145" s="30"/>
      <c r="V145" s="30"/>
    </row>
    <row r="146" spans="1:22" ht="21" customHeight="1" x14ac:dyDescent="0.15">
      <c r="A146" s="2"/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45"/>
      <c r="P146" s="46"/>
      <c r="Q146" s="30"/>
      <c r="R146" s="30"/>
      <c r="S146" s="30"/>
      <c r="T146" s="30"/>
      <c r="U146" s="30"/>
      <c r="V146" s="30"/>
    </row>
    <row r="147" spans="1:22" ht="21" customHeight="1" x14ac:dyDescent="0.15">
      <c r="A147" s="2"/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45"/>
      <c r="P147" s="46"/>
      <c r="Q147" s="30"/>
      <c r="R147" s="30"/>
      <c r="S147" s="30"/>
      <c r="T147" s="30"/>
      <c r="U147" s="30"/>
      <c r="V147" s="30"/>
    </row>
    <row r="148" spans="1:22" ht="21" customHeight="1" x14ac:dyDescent="0.15">
      <c r="A148" s="2"/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45"/>
      <c r="P148" s="46"/>
      <c r="Q148" s="30"/>
      <c r="R148" s="30"/>
      <c r="S148" s="30"/>
      <c r="T148" s="30"/>
      <c r="U148" s="30"/>
      <c r="V148" s="30"/>
    </row>
    <row r="149" spans="1:22" ht="21" customHeight="1" x14ac:dyDescent="0.15">
      <c r="A149" s="2"/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45"/>
      <c r="P149" s="46"/>
      <c r="Q149" s="30"/>
      <c r="R149" s="30"/>
      <c r="S149" s="30"/>
      <c r="T149" s="30"/>
      <c r="U149" s="30"/>
      <c r="V149" s="30"/>
    </row>
    <row r="150" spans="1:22" ht="21" customHeight="1" x14ac:dyDescent="0.15">
      <c r="A150" s="2"/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45"/>
      <c r="P150" s="46"/>
      <c r="Q150" s="30"/>
      <c r="R150" s="30"/>
      <c r="S150" s="30"/>
      <c r="T150" s="30"/>
      <c r="U150" s="30"/>
      <c r="V150" s="30"/>
    </row>
    <row r="151" spans="1:22" ht="21" customHeight="1" x14ac:dyDescent="0.15">
      <c r="A151" s="2"/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45"/>
      <c r="P151" s="46"/>
      <c r="Q151" s="30"/>
      <c r="R151" s="30"/>
      <c r="S151" s="30"/>
      <c r="T151" s="30"/>
      <c r="U151" s="30"/>
      <c r="V151" s="30"/>
    </row>
    <row r="152" spans="1:22" ht="21" customHeight="1" x14ac:dyDescent="0.15">
      <c r="A152" s="2"/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45"/>
      <c r="P152" s="46"/>
      <c r="Q152" s="30"/>
      <c r="R152" s="30"/>
      <c r="S152" s="30"/>
      <c r="T152" s="30"/>
      <c r="U152" s="30"/>
      <c r="V152" s="30"/>
    </row>
    <row r="153" spans="1:22" ht="21" customHeight="1" x14ac:dyDescent="0.15">
      <c r="A153" s="2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45"/>
      <c r="P153" s="46"/>
      <c r="Q153" s="30"/>
      <c r="R153" s="30"/>
      <c r="S153" s="30"/>
      <c r="T153" s="30"/>
      <c r="U153" s="30"/>
      <c r="V153" s="30"/>
    </row>
    <row r="154" spans="1:22" ht="21" customHeight="1" x14ac:dyDescent="0.15">
      <c r="A154" s="2"/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45"/>
      <c r="P154" s="46"/>
      <c r="Q154" s="30"/>
      <c r="R154" s="30"/>
      <c r="S154" s="30"/>
      <c r="T154" s="30"/>
      <c r="U154" s="30"/>
      <c r="V154" s="30"/>
    </row>
    <row r="155" spans="1:22" ht="21" customHeight="1" x14ac:dyDescent="0.15">
      <c r="A155" s="2"/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45"/>
      <c r="P155" s="46"/>
      <c r="Q155" s="30"/>
      <c r="R155" s="30"/>
      <c r="S155" s="30"/>
      <c r="T155" s="30"/>
      <c r="U155" s="30"/>
      <c r="V155" s="30"/>
    </row>
    <row r="156" spans="1:22" ht="21" customHeight="1" x14ac:dyDescent="0.15">
      <c r="A156" s="2"/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45"/>
      <c r="P156" s="46"/>
      <c r="Q156" s="30"/>
      <c r="R156" s="30"/>
      <c r="S156" s="30"/>
      <c r="T156" s="30"/>
      <c r="U156" s="30"/>
      <c r="V156" s="30"/>
    </row>
    <row r="157" spans="1:22" ht="21" customHeight="1" x14ac:dyDescent="0.15">
      <c r="A157" s="2"/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45"/>
      <c r="P157" s="46"/>
      <c r="Q157" s="30"/>
      <c r="R157" s="30"/>
      <c r="S157" s="30"/>
      <c r="T157" s="30"/>
      <c r="U157" s="30"/>
      <c r="V157" s="30"/>
    </row>
    <row r="158" spans="1:22" ht="21" customHeight="1" x14ac:dyDescent="0.15">
      <c r="A158" s="2"/>
      <c r="B158" s="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45"/>
      <c r="P158" s="46"/>
      <c r="Q158" s="30"/>
      <c r="R158" s="30"/>
      <c r="S158" s="30"/>
      <c r="T158" s="30"/>
      <c r="U158" s="30"/>
      <c r="V158" s="30"/>
    </row>
    <row r="159" spans="1:22" ht="21" customHeight="1" x14ac:dyDescent="0.15">
      <c r="A159" s="2"/>
      <c r="B159" s="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45"/>
      <c r="P159" s="46"/>
      <c r="Q159" s="30"/>
      <c r="R159" s="30"/>
      <c r="S159" s="30"/>
      <c r="T159" s="30"/>
      <c r="U159" s="30"/>
      <c r="V159" s="30"/>
    </row>
    <row r="160" spans="1:22" ht="21" customHeight="1" x14ac:dyDescent="0.15">
      <c r="A160" s="2"/>
      <c r="B160" s="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45"/>
      <c r="P160" s="46"/>
      <c r="Q160" s="30"/>
      <c r="R160" s="30"/>
      <c r="S160" s="30"/>
      <c r="T160" s="30"/>
      <c r="U160" s="30"/>
      <c r="V160" s="30"/>
    </row>
    <row r="161" spans="1:22" ht="21" customHeight="1" x14ac:dyDescent="0.15">
      <c r="A161" s="2"/>
      <c r="B161" s="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45"/>
      <c r="P161" s="46"/>
      <c r="Q161" s="30"/>
      <c r="R161" s="30"/>
      <c r="S161" s="30"/>
      <c r="T161" s="30"/>
      <c r="U161" s="30"/>
      <c r="V161" s="30"/>
    </row>
    <row r="162" spans="1:22" ht="21" customHeight="1" x14ac:dyDescent="0.15">
      <c r="A162" s="2"/>
      <c r="B162" s="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45"/>
      <c r="P162" s="46"/>
      <c r="Q162" s="30"/>
      <c r="R162" s="30"/>
      <c r="S162" s="30"/>
      <c r="T162" s="30"/>
      <c r="U162" s="30"/>
      <c r="V162" s="30"/>
    </row>
    <row r="163" spans="1:22" ht="21" customHeight="1" x14ac:dyDescent="0.15">
      <c r="A163" s="2"/>
      <c r="B163" s="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45"/>
      <c r="P163" s="46"/>
      <c r="Q163" s="30"/>
      <c r="R163" s="30"/>
      <c r="S163" s="30"/>
      <c r="T163" s="30"/>
      <c r="U163" s="30"/>
      <c r="V163" s="30"/>
    </row>
    <row r="164" spans="1:22" ht="21" customHeight="1" x14ac:dyDescent="0.15">
      <c r="A164" s="2"/>
      <c r="B164" s="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45"/>
      <c r="P164" s="46"/>
      <c r="Q164" s="30"/>
      <c r="R164" s="30"/>
      <c r="S164" s="30"/>
      <c r="T164" s="30"/>
      <c r="U164" s="30"/>
      <c r="V164" s="30"/>
    </row>
    <row r="165" spans="1:22" ht="21" customHeight="1" x14ac:dyDescent="0.15">
      <c r="A165" s="2"/>
      <c r="B165" s="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45"/>
      <c r="P165" s="46"/>
      <c r="Q165" s="30"/>
      <c r="R165" s="30"/>
      <c r="S165" s="30"/>
      <c r="T165" s="30"/>
      <c r="U165" s="30"/>
      <c r="V165" s="30"/>
    </row>
    <row r="166" spans="1:22" ht="21" customHeight="1" x14ac:dyDescent="0.15">
      <c r="A166" s="2"/>
      <c r="B166" s="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45"/>
      <c r="P166" s="46"/>
      <c r="Q166" s="30"/>
      <c r="R166" s="30"/>
      <c r="S166" s="30"/>
      <c r="T166" s="30"/>
      <c r="U166" s="30"/>
      <c r="V166" s="30"/>
    </row>
    <row r="167" spans="1:22" ht="21" customHeight="1" x14ac:dyDescent="0.15">
      <c r="A167" s="2"/>
      <c r="B167" s="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45"/>
      <c r="P167" s="46"/>
      <c r="Q167" s="30"/>
      <c r="R167" s="30"/>
      <c r="S167" s="30"/>
      <c r="T167" s="30"/>
      <c r="U167" s="30"/>
      <c r="V167" s="30"/>
    </row>
    <row r="168" spans="1:22" ht="21" customHeight="1" x14ac:dyDescent="0.15">
      <c r="A168" s="2"/>
      <c r="B168" s="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45"/>
      <c r="P168" s="46"/>
      <c r="Q168" s="30"/>
      <c r="R168" s="30"/>
      <c r="S168" s="30"/>
      <c r="T168" s="30"/>
      <c r="U168" s="30"/>
      <c r="V168" s="30"/>
    </row>
    <row r="169" spans="1:22" ht="21" customHeight="1" x14ac:dyDescent="0.15">
      <c r="A169" s="2"/>
      <c r="B169" s="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45"/>
      <c r="P169" s="46"/>
      <c r="Q169" s="30"/>
      <c r="R169" s="30"/>
      <c r="S169" s="30"/>
      <c r="T169" s="30"/>
      <c r="U169" s="30"/>
      <c r="V169" s="30"/>
    </row>
    <row r="170" spans="1:22" ht="21" customHeight="1" x14ac:dyDescent="0.15">
      <c r="A170" s="2"/>
      <c r="B170" s="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45"/>
      <c r="P170" s="46"/>
      <c r="Q170" s="30"/>
      <c r="R170" s="30"/>
      <c r="S170" s="30"/>
      <c r="T170" s="30"/>
      <c r="U170" s="30"/>
      <c r="V170" s="30"/>
    </row>
    <row r="171" spans="1:22" ht="21" customHeight="1" x14ac:dyDescent="0.15">
      <c r="A171" s="2"/>
      <c r="B171" s="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45"/>
      <c r="P171" s="46"/>
      <c r="Q171" s="30"/>
      <c r="R171" s="30"/>
      <c r="S171" s="30"/>
      <c r="T171" s="30"/>
      <c r="U171" s="30"/>
      <c r="V171" s="30"/>
    </row>
    <row r="172" spans="1:22" ht="21" customHeight="1" x14ac:dyDescent="0.15">
      <c r="A172" s="2"/>
      <c r="B172" s="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45"/>
      <c r="P172" s="46"/>
      <c r="Q172" s="30"/>
      <c r="R172" s="30"/>
      <c r="S172" s="30"/>
      <c r="T172" s="30"/>
      <c r="U172" s="30"/>
      <c r="V172" s="30"/>
    </row>
    <row r="173" spans="1:22" ht="21" customHeight="1" x14ac:dyDescent="0.15">
      <c r="A173" s="2"/>
      <c r="B173" s="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45"/>
      <c r="P173" s="46"/>
      <c r="Q173" s="30"/>
      <c r="R173" s="30"/>
      <c r="S173" s="30"/>
      <c r="T173" s="30"/>
      <c r="U173" s="30"/>
      <c r="V173" s="30"/>
    </row>
    <row r="174" spans="1:22" ht="21" customHeight="1" x14ac:dyDescent="0.15">
      <c r="A174" s="2"/>
      <c r="B174" s="6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45"/>
      <c r="P174" s="46"/>
      <c r="Q174" s="30"/>
      <c r="R174" s="30"/>
      <c r="S174" s="30"/>
      <c r="T174" s="30"/>
      <c r="U174" s="30"/>
      <c r="V174" s="30"/>
    </row>
    <row r="175" spans="1:22" ht="21" customHeight="1" x14ac:dyDescent="0.15">
      <c r="A175" s="2"/>
      <c r="B175" s="6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45"/>
      <c r="P175" s="46"/>
      <c r="Q175" s="30"/>
      <c r="R175" s="30"/>
      <c r="S175" s="30"/>
      <c r="T175" s="30"/>
      <c r="U175" s="30"/>
      <c r="V175" s="30"/>
    </row>
    <row r="176" spans="1:22" ht="21" customHeight="1" x14ac:dyDescent="0.15">
      <c r="A176" s="2"/>
      <c r="B176" s="6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45"/>
      <c r="P176" s="46"/>
      <c r="Q176" s="30"/>
      <c r="R176" s="30"/>
      <c r="S176" s="30"/>
      <c r="T176" s="30"/>
      <c r="U176" s="30"/>
      <c r="V176" s="30"/>
    </row>
    <row r="177" spans="1:22" ht="21" customHeight="1" x14ac:dyDescent="0.15">
      <c r="A177" s="2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45"/>
      <c r="P177" s="46"/>
      <c r="Q177" s="30"/>
      <c r="R177" s="30"/>
      <c r="S177" s="30"/>
      <c r="T177" s="30"/>
      <c r="U177" s="30"/>
      <c r="V177" s="30"/>
    </row>
    <row r="178" spans="1:22" ht="21" customHeight="1" x14ac:dyDescent="0.15">
      <c r="A178" s="2"/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45"/>
      <c r="P178" s="46"/>
      <c r="Q178" s="30"/>
      <c r="R178" s="30"/>
      <c r="S178" s="30"/>
      <c r="T178" s="30"/>
      <c r="U178" s="30"/>
      <c r="V178" s="30"/>
    </row>
    <row r="179" spans="1:22" ht="21" customHeight="1" x14ac:dyDescent="0.15">
      <c r="A179" s="2"/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45"/>
      <c r="P179" s="46"/>
      <c r="Q179" s="30"/>
      <c r="R179" s="30"/>
      <c r="S179" s="30"/>
      <c r="T179" s="30"/>
      <c r="U179" s="30"/>
      <c r="V179" s="30"/>
    </row>
    <row r="180" spans="1:22" ht="21" customHeight="1" x14ac:dyDescent="0.15">
      <c r="A180" s="2"/>
      <c r="B180" s="6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45"/>
      <c r="P180" s="46"/>
      <c r="Q180" s="30"/>
      <c r="R180" s="30"/>
      <c r="S180" s="30"/>
      <c r="T180" s="30"/>
      <c r="U180" s="30"/>
      <c r="V180" s="30"/>
    </row>
    <row r="181" spans="1:22" ht="21" customHeight="1" x14ac:dyDescent="0.15">
      <c r="A181" s="2"/>
      <c r="B181" s="6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45"/>
      <c r="P181" s="46"/>
      <c r="Q181" s="30"/>
      <c r="R181" s="30"/>
      <c r="S181" s="30"/>
      <c r="T181" s="30"/>
      <c r="U181" s="30"/>
      <c r="V181" s="30"/>
    </row>
    <row r="182" spans="1:22" ht="21" customHeight="1" x14ac:dyDescent="0.15">
      <c r="A182" s="2"/>
      <c r="B182" s="6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45"/>
      <c r="P182" s="46"/>
      <c r="Q182" s="30"/>
      <c r="R182" s="30"/>
      <c r="S182" s="30"/>
      <c r="T182" s="30"/>
      <c r="U182" s="30"/>
      <c r="V182" s="30"/>
    </row>
    <row r="183" spans="1:22" ht="21" customHeight="1" x14ac:dyDescent="0.15">
      <c r="A183" s="2"/>
      <c r="B183" s="6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45"/>
      <c r="P183" s="46"/>
      <c r="Q183" s="30"/>
      <c r="R183" s="30"/>
      <c r="S183" s="30"/>
      <c r="T183" s="30"/>
      <c r="U183" s="30"/>
      <c r="V183" s="30"/>
    </row>
    <row r="184" spans="1:22" ht="21" customHeight="1" x14ac:dyDescent="0.15">
      <c r="A184" s="2"/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45"/>
      <c r="P184" s="46"/>
      <c r="Q184" s="30"/>
      <c r="R184" s="30"/>
      <c r="S184" s="30"/>
      <c r="T184" s="30"/>
      <c r="U184" s="30"/>
      <c r="V184" s="30"/>
    </row>
    <row r="185" spans="1:22" ht="21" customHeight="1" x14ac:dyDescent="0.15">
      <c r="A185" s="2"/>
      <c r="B185" s="6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45"/>
      <c r="P185" s="46"/>
      <c r="Q185" s="30"/>
      <c r="R185" s="30"/>
      <c r="S185" s="30"/>
      <c r="T185" s="30"/>
      <c r="U185" s="30"/>
      <c r="V185" s="30"/>
    </row>
    <row r="186" spans="1:22" ht="21" customHeight="1" x14ac:dyDescent="0.15">
      <c r="A186" s="2"/>
      <c r="B186" s="6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45"/>
      <c r="P186" s="46"/>
      <c r="Q186" s="30"/>
      <c r="R186" s="30"/>
      <c r="S186" s="30"/>
      <c r="T186" s="30"/>
      <c r="U186" s="30"/>
      <c r="V186" s="30"/>
    </row>
    <row r="187" spans="1:22" ht="21" customHeight="1" x14ac:dyDescent="0.15">
      <c r="A187" s="2"/>
      <c r="B187" s="6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45"/>
      <c r="P187" s="46"/>
      <c r="Q187" s="30"/>
      <c r="R187" s="30"/>
      <c r="S187" s="30"/>
      <c r="T187" s="30"/>
      <c r="U187" s="30"/>
      <c r="V187" s="30"/>
    </row>
    <row r="188" spans="1:22" ht="21" customHeight="1" x14ac:dyDescent="0.15">
      <c r="A188" s="2"/>
      <c r="B188" s="6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45"/>
      <c r="P188" s="46"/>
      <c r="Q188" s="30"/>
      <c r="R188" s="30"/>
      <c r="S188" s="30"/>
      <c r="T188" s="30"/>
      <c r="U188" s="30"/>
      <c r="V188" s="30"/>
    </row>
    <row r="189" spans="1:22" ht="21" customHeight="1" x14ac:dyDescent="0.15">
      <c r="A189" s="2"/>
      <c r="B189" s="6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45"/>
      <c r="P189" s="46"/>
      <c r="Q189" s="30"/>
      <c r="R189" s="30"/>
      <c r="S189" s="30"/>
      <c r="T189" s="30"/>
      <c r="U189" s="30"/>
      <c r="V189" s="30"/>
    </row>
    <row r="190" spans="1:22" s="9" customFormat="1" ht="21" customHeight="1" thickBot="1" x14ac:dyDescent="0.2">
      <c r="A190" s="2"/>
      <c r="B190" s="6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45"/>
      <c r="P190" s="46"/>
      <c r="Q190" s="30"/>
      <c r="R190" s="30"/>
      <c r="S190" s="30"/>
      <c r="T190" s="30"/>
      <c r="U190" s="30"/>
      <c r="V190" s="30"/>
    </row>
    <row r="191" spans="1:22" ht="21" customHeight="1" x14ac:dyDescent="0.15">
      <c r="A191" s="2"/>
      <c r="B191" s="6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45"/>
      <c r="P191" s="46"/>
      <c r="Q191" s="30"/>
      <c r="R191" s="30"/>
      <c r="S191" s="30"/>
      <c r="T191" s="30"/>
      <c r="U191" s="30"/>
      <c r="V191" s="30"/>
    </row>
    <row r="192" spans="1:22" ht="21" customHeight="1" x14ac:dyDescent="0.15">
      <c r="A192" s="2"/>
      <c r="B192" s="6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45"/>
      <c r="P192" s="46"/>
      <c r="Q192" s="30"/>
      <c r="R192" s="30"/>
      <c r="S192" s="30"/>
      <c r="T192" s="30"/>
      <c r="U192" s="30"/>
      <c r="V192" s="30"/>
    </row>
    <row r="193" spans="1:22" ht="21" customHeight="1" x14ac:dyDescent="0.15">
      <c r="A193" s="2"/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45"/>
      <c r="P193" s="46"/>
      <c r="Q193" s="30"/>
      <c r="R193" s="30"/>
      <c r="S193" s="30"/>
      <c r="T193" s="30"/>
      <c r="U193" s="30"/>
      <c r="V193" s="30"/>
    </row>
    <row r="194" spans="1:22" ht="21" customHeight="1" x14ac:dyDescent="0.15">
      <c r="A194" s="2"/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45"/>
      <c r="P194" s="46"/>
      <c r="Q194" s="30"/>
      <c r="R194" s="30"/>
      <c r="S194" s="30"/>
      <c r="T194" s="30"/>
      <c r="U194" s="30"/>
      <c r="V194" s="30"/>
    </row>
    <row r="195" spans="1:22" ht="21" customHeight="1" x14ac:dyDescent="0.15">
      <c r="A195" s="2"/>
      <c r="B195" s="6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45"/>
      <c r="P195" s="46"/>
      <c r="Q195" s="30"/>
      <c r="R195" s="30"/>
      <c r="S195" s="30"/>
      <c r="T195" s="30"/>
      <c r="U195" s="30"/>
      <c r="V195" s="30"/>
    </row>
    <row r="196" spans="1:22" ht="21" customHeight="1" x14ac:dyDescent="0.15">
      <c r="A196" s="2"/>
      <c r="B196" s="6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45"/>
      <c r="P196" s="46"/>
      <c r="Q196" s="30"/>
      <c r="R196" s="30"/>
      <c r="S196" s="30"/>
      <c r="T196" s="30"/>
      <c r="U196" s="30"/>
      <c r="V196" s="30"/>
    </row>
    <row r="197" spans="1:22" ht="21" customHeight="1" x14ac:dyDescent="0.15">
      <c r="A197" s="2"/>
      <c r="B197" s="6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45"/>
      <c r="P197" s="46"/>
      <c r="Q197" s="30"/>
      <c r="R197" s="30"/>
      <c r="S197" s="30"/>
      <c r="T197" s="30"/>
      <c r="U197" s="30"/>
      <c r="V197" s="30"/>
    </row>
    <row r="198" spans="1:22" ht="21" customHeight="1" x14ac:dyDescent="0.15">
      <c r="A198" s="2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45"/>
      <c r="P198" s="46"/>
      <c r="Q198" s="30"/>
      <c r="R198" s="30"/>
      <c r="S198" s="30"/>
      <c r="T198" s="30"/>
      <c r="U198" s="30"/>
      <c r="V198" s="30"/>
    </row>
    <row r="199" spans="1:22" ht="21" customHeight="1" x14ac:dyDescent="0.15">
      <c r="A199" s="2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45"/>
      <c r="P199" s="46"/>
      <c r="Q199" s="30"/>
      <c r="R199" s="30"/>
      <c r="S199" s="30"/>
      <c r="T199" s="30"/>
      <c r="U199" s="30"/>
      <c r="V199" s="30"/>
    </row>
    <row r="200" spans="1:22" ht="21" customHeight="1" x14ac:dyDescent="0.15">
      <c r="A200" s="2"/>
      <c r="B200" s="6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45"/>
      <c r="P200" s="46"/>
      <c r="Q200" s="30"/>
      <c r="R200" s="30"/>
      <c r="S200" s="30"/>
      <c r="T200" s="30"/>
      <c r="U200" s="30"/>
      <c r="V200" s="30"/>
    </row>
    <row r="201" spans="1:22" ht="21" customHeight="1" x14ac:dyDescent="0.15">
      <c r="A201" s="2"/>
      <c r="B201" s="6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45"/>
      <c r="P201" s="46"/>
      <c r="Q201" s="30"/>
      <c r="R201" s="30"/>
      <c r="S201" s="30"/>
      <c r="T201" s="30"/>
      <c r="U201" s="30"/>
      <c r="V201" s="30"/>
    </row>
    <row r="202" spans="1:22" ht="21" customHeight="1" x14ac:dyDescent="0.15">
      <c r="A202" s="2"/>
      <c r="B202" s="6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45"/>
      <c r="P202" s="46"/>
      <c r="Q202" s="30"/>
      <c r="R202" s="30"/>
      <c r="S202" s="30"/>
      <c r="T202" s="30"/>
      <c r="U202" s="30"/>
      <c r="V202" s="30"/>
    </row>
    <row r="203" spans="1:22" ht="21" customHeight="1" x14ac:dyDescent="0.15">
      <c r="A203" s="2"/>
      <c r="B203" s="6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45"/>
      <c r="P203" s="46"/>
      <c r="Q203" s="30"/>
      <c r="R203" s="30"/>
      <c r="S203" s="30"/>
      <c r="T203" s="30"/>
      <c r="U203" s="30"/>
      <c r="V203" s="30"/>
    </row>
    <row r="204" spans="1:22" ht="21" customHeight="1" x14ac:dyDescent="0.15">
      <c r="A204" s="2"/>
      <c r="B204" s="6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45"/>
      <c r="P204" s="46"/>
      <c r="Q204" s="30"/>
      <c r="R204" s="30"/>
      <c r="S204" s="30"/>
      <c r="T204" s="30"/>
      <c r="U204" s="30"/>
      <c r="V204" s="30"/>
    </row>
    <row r="205" spans="1:22" ht="21" customHeight="1" x14ac:dyDescent="0.15">
      <c r="A205" s="2"/>
      <c r="B205" s="6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45"/>
      <c r="P205" s="46"/>
      <c r="Q205" s="30"/>
      <c r="R205" s="30"/>
      <c r="S205" s="30"/>
      <c r="T205" s="30"/>
      <c r="U205" s="30"/>
      <c r="V205" s="30"/>
    </row>
    <row r="206" spans="1:22" ht="21" customHeight="1" x14ac:dyDescent="0.15">
      <c r="A206" s="2"/>
      <c r="B206" s="6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45"/>
      <c r="P206" s="46"/>
      <c r="Q206" s="30"/>
      <c r="R206" s="30"/>
      <c r="S206" s="30"/>
      <c r="T206" s="30"/>
      <c r="U206" s="30"/>
      <c r="V206" s="30"/>
    </row>
    <row r="207" spans="1:22" ht="21" customHeight="1" x14ac:dyDescent="0.15">
      <c r="A207" s="2"/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45"/>
      <c r="P207" s="46"/>
      <c r="Q207" s="30"/>
      <c r="R207" s="30"/>
      <c r="S207" s="30"/>
      <c r="T207" s="30"/>
      <c r="U207" s="30"/>
      <c r="V207" s="30"/>
    </row>
    <row r="208" spans="1:22" ht="21" customHeight="1" x14ac:dyDescent="0.15">
      <c r="A208" s="2"/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45"/>
      <c r="P208" s="46"/>
      <c r="Q208" s="30"/>
      <c r="R208" s="30"/>
      <c r="S208" s="30"/>
      <c r="T208" s="30"/>
      <c r="U208" s="30"/>
      <c r="V208" s="30"/>
    </row>
    <row r="209" spans="1:22" ht="21" customHeight="1" x14ac:dyDescent="0.15">
      <c r="A209" s="2"/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45"/>
      <c r="P209" s="46"/>
      <c r="Q209" s="30"/>
      <c r="R209" s="30"/>
      <c r="S209" s="30"/>
      <c r="T209" s="30"/>
      <c r="U209" s="30"/>
      <c r="V209" s="30"/>
    </row>
    <row r="210" spans="1:22" ht="21" customHeight="1" x14ac:dyDescent="0.15">
      <c r="A210" s="2"/>
      <c r="B210" s="6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45"/>
      <c r="P210" s="46"/>
      <c r="Q210" s="30"/>
      <c r="R210" s="30"/>
      <c r="S210" s="30"/>
      <c r="T210" s="30"/>
      <c r="U210" s="30"/>
      <c r="V210" s="30"/>
    </row>
    <row r="211" spans="1:22" ht="21" customHeight="1" x14ac:dyDescent="0.15">
      <c r="A211" s="2"/>
      <c r="B211" s="6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45"/>
      <c r="P211" s="46"/>
      <c r="Q211" s="30"/>
      <c r="R211" s="30"/>
      <c r="S211" s="30"/>
      <c r="T211" s="30"/>
      <c r="U211" s="30"/>
      <c r="V211" s="30"/>
    </row>
    <row r="212" spans="1:22" ht="21" customHeight="1" x14ac:dyDescent="0.15">
      <c r="A212" s="2"/>
      <c r="B212" s="6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45"/>
      <c r="P212" s="46"/>
      <c r="Q212" s="30"/>
      <c r="R212" s="30"/>
      <c r="S212" s="30"/>
      <c r="T212" s="30"/>
      <c r="U212" s="30"/>
      <c r="V212" s="30"/>
    </row>
    <row r="213" spans="1:22" ht="21" customHeight="1" x14ac:dyDescent="0.15">
      <c r="A213" s="2"/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45"/>
      <c r="P213" s="46"/>
      <c r="Q213" s="30"/>
      <c r="R213" s="30"/>
      <c r="S213" s="30"/>
      <c r="T213" s="30"/>
      <c r="U213" s="30"/>
      <c r="V213" s="30"/>
    </row>
    <row r="214" spans="1:22" ht="21" customHeight="1" x14ac:dyDescent="0.15">
      <c r="A214" s="2"/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45"/>
      <c r="P214" s="46"/>
      <c r="Q214" s="30"/>
      <c r="R214" s="30"/>
      <c r="S214" s="30"/>
      <c r="T214" s="30"/>
      <c r="U214" s="30"/>
      <c r="V214" s="30"/>
    </row>
    <row r="215" spans="1:22" ht="21" customHeight="1" x14ac:dyDescent="0.15">
      <c r="A215" s="2"/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45"/>
      <c r="P215" s="46"/>
      <c r="Q215" s="30"/>
      <c r="R215" s="30"/>
      <c r="S215" s="30"/>
      <c r="T215" s="30"/>
      <c r="U215" s="30"/>
      <c r="V215" s="30"/>
    </row>
    <row r="216" spans="1:22" ht="21" customHeight="1" x14ac:dyDescent="0.15">
      <c r="A216" s="2"/>
      <c r="B216" s="6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45"/>
      <c r="P216" s="46"/>
      <c r="Q216" s="30"/>
      <c r="R216" s="30"/>
      <c r="S216" s="30"/>
      <c r="T216" s="30"/>
      <c r="U216" s="30"/>
      <c r="V216" s="30"/>
    </row>
    <row r="217" spans="1:22" ht="21" customHeight="1" x14ac:dyDescent="0.15">
      <c r="A217" s="2"/>
      <c r="B217" s="6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45"/>
      <c r="P217" s="46"/>
      <c r="Q217" s="30"/>
      <c r="R217" s="30"/>
      <c r="S217" s="30"/>
      <c r="T217" s="30"/>
      <c r="U217" s="30"/>
      <c r="V217" s="30"/>
    </row>
    <row r="218" spans="1:22" ht="21" customHeight="1" x14ac:dyDescent="0.15">
      <c r="A218" s="2"/>
      <c r="B218" s="6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45"/>
      <c r="P218" s="46"/>
      <c r="Q218" s="30"/>
      <c r="R218" s="30"/>
      <c r="S218" s="30"/>
      <c r="T218" s="30"/>
      <c r="U218" s="30"/>
      <c r="V218" s="30"/>
    </row>
    <row r="219" spans="1:22" ht="21" customHeight="1" x14ac:dyDescent="0.15">
      <c r="A219" s="2"/>
      <c r="B219" s="6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45"/>
      <c r="P219" s="46"/>
      <c r="Q219" s="30"/>
      <c r="R219" s="30"/>
      <c r="S219" s="30"/>
      <c r="T219" s="30"/>
      <c r="U219" s="30"/>
      <c r="V219" s="30"/>
    </row>
    <row r="220" spans="1:22" ht="21" customHeight="1" x14ac:dyDescent="0.15">
      <c r="A220" s="2"/>
      <c r="B220" s="6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45"/>
      <c r="P220" s="46"/>
      <c r="Q220" s="30"/>
      <c r="R220" s="30"/>
      <c r="S220" s="30"/>
      <c r="T220" s="30"/>
      <c r="U220" s="30"/>
      <c r="V220" s="30"/>
    </row>
    <row r="221" spans="1:22" ht="21" customHeight="1" x14ac:dyDescent="0.15">
      <c r="A221" s="2"/>
      <c r="B221" s="6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45"/>
      <c r="P221" s="46"/>
      <c r="Q221" s="30"/>
      <c r="R221" s="30"/>
      <c r="S221" s="30"/>
      <c r="T221" s="30"/>
      <c r="U221" s="30"/>
      <c r="V221" s="30"/>
    </row>
    <row r="222" spans="1:22" ht="21" customHeight="1" x14ac:dyDescent="0.15">
      <c r="A222" s="2"/>
      <c r="B222" s="60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45"/>
      <c r="P222" s="46"/>
      <c r="Q222" s="30"/>
      <c r="R222" s="30"/>
      <c r="S222" s="30"/>
      <c r="T222" s="30"/>
      <c r="U222" s="30"/>
      <c r="V222" s="30"/>
    </row>
    <row r="223" spans="1:22" ht="21" customHeight="1" x14ac:dyDescent="0.15">
      <c r="A223" s="2"/>
      <c r="B223" s="60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45"/>
      <c r="P223" s="46"/>
      <c r="Q223" s="30"/>
      <c r="R223" s="30"/>
      <c r="S223" s="30"/>
      <c r="T223" s="30"/>
      <c r="U223" s="30"/>
      <c r="V223" s="30"/>
    </row>
    <row r="224" spans="1:22" ht="21" customHeight="1" x14ac:dyDescent="0.15">
      <c r="A224" s="2"/>
      <c r="B224" s="60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45"/>
      <c r="P224" s="46"/>
      <c r="Q224" s="30"/>
      <c r="R224" s="30"/>
      <c r="S224" s="30"/>
      <c r="T224" s="30"/>
      <c r="U224" s="30"/>
      <c r="V224" s="30"/>
    </row>
    <row r="225" spans="1:22" ht="21" customHeight="1" x14ac:dyDescent="0.15">
      <c r="A225" s="2"/>
      <c r="B225" s="60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45"/>
      <c r="P225" s="46"/>
      <c r="Q225" s="30"/>
      <c r="R225" s="30"/>
      <c r="S225" s="30"/>
      <c r="T225" s="30"/>
      <c r="U225" s="30"/>
      <c r="V225" s="30"/>
    </row>
    <row r="226" spans="1:22" ht="21" customHeight="1" x14ac:dyDescent="0.15">
      <c r="A226" s="2"/>
      <c r="B226" s="60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45"/>
      <c r="P226" s="46"/>
      <c r="Q226" s="30"/>
      <c r="R226" s="30"/>
      <c r="S226" s="30"/>
      <c r="T226" s="30"/>
      <c r="U226" s="30"/>
      <c r="V226" s="30"/>
    </row>
    <row r="227" spans="1:22" ht="21" customHeight="1" x14ac:dyDescent="0.15">
      <c r="A227" s="2"/>
      <c r="B227" s="60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5"/>
      <c r="P227" s="46"/>
      <c r="Q227" s="30"/>
      <c r="R227" s="30"/>
      <c r="S227" s="30"/>
      <c r="T227" s="30"/>
      <c r="U227" s="30"/>
      <c r="V227" s="30"/>
    </row>
    <row r="228" spans="1:22" ht="21" customHeight="1" x14ac:dyDescent="0.15">
      <c r="A228" s="2"/>
      <c r="B228" s="60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5"/>
      <c r="P228" s="46"/>
      <c r="Q228" s="30"/>
      <c r="R228" s="30"/>
      <c r="S228" s="30"/>
      <c r="T228" s="30"/>
      <c r="U228" s="30"/>
      <c r="V228" s="30"/>
    </row>
    <row r="229" spans="1:22" ht="21" customHeight="1" x14ac:dyDescent="0.15">
      <c r="A229" s="2"/>
      <c r="B229" s="60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45"/>
      <c r="P229" s="46"/>
      <c r="Q229" s="30"/>
      <c r="R229" s="30"/>
      <c r="S229" s="30"/>
      <c r="T229" s="30"/>
      <c r="U229" s="30"/>
      <c r="V229" s="30"/>
    </row>
    <row r="230" spans="1:22" ht="21" customHeight="1" x14ac:dyDescent="0.15">
      <c r="A230" s="2"/>
      <c r="B230" s="60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45"/>
      <c r="P230" s="46"/>
      <c r="Q230" s="30"/>
      <c r="R230" s="30"/>
      <c r="S230" s="30"/>
      <c r="T230" s="30"/>
      <c r="U230" s="30"/>
      <c r="V230" s="30"/>
    </row>
    <row r="231" spans="1:22" ht="21" customHeight="1" x14ac:dyDescent="0.15">
      <c r="A231" s="2"/>
      <c r="B231" s="60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45"/>
      <c r="P231" s="46"/>
      <c r="Q231" s="30"/>
      <c r="R231" s="30"/>
      <c r="S231" s="30"/>
      <c r="T231" s="30"/>
      <c r="U231" s="30"/>
      <c r="V231" s="30"/>
    </row>
    <row r="232" spans="1:22" ht="21" customHeight="1" x14ac:dyDescent="0.15">
      <c r="A232" s="2"/>
      <c r="B232" s="81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45"/>
      <c r="P232" s="46"/>
      <c r="Q232" s="30"/>
      <c r="R232" s="30"/>
      <c r="S232" s="30"/>
      <c r="T232" s="30"/>
      <c r="U232" s="30"/>
      <c r="V232" s="30"/>
    </row>
    <row r="233" spans="1:22" ht="21" customHeight="1" x14ac:dyDescent="0.15">
      <c r="A233" s="2"/>
      <c r="B233" s="81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45"/>
      <c r="P233" s="46"/>
      <c r="Q233" s="30"/>
      <c r="R233" s="30"/>
      <c r="S233" s="30"/>
      <c r="T233" s="30"/>
      <c r="U233" s="30"/>
      <c r="V233" s="30"/>
    </row>
    <row r="234" spans="1:22" ht="21" customHeight="1" x14ac:dyDescent="0.15">
      <c r="A234" s="2"/>
      <c r="B234" s="81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45"/>
      <c r="P234" s="46"/>
      <c r="Q234" s="30"/>
      <c r="R234" s="30"/>
      <c r="S234" s="30"/>
      <c r="T234" s="30"/>
      <c r="U234" s="30"/>
      <c r="V234" s="30"/>
    </row>
    <row r="235" spans="1:22" ht="21" customHeight="1" x14ac:dyDescent="0.15">
      <c r="A235" s="2"/>
      <c r="B235" s="81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45"/>
      <c r="P235" s="46"/>
      <c r="Q235" s="30"/>
      <c r="R235" s="30"/>
      <c r="S235" s="30"/>
      <c r="T235" s="30"/>
      <c r="U235" s="30"/>
      <c r="V235" s="30"/>
    </row>
    <row r="236" spans="1:22" ht="21" customHeight="1" x14ac:dyDescent="0.15">
      <c r="A236" s="2"/>
      <c r="B236" s="91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45"/>
      <c r="P236" s="46"/>
      <c r="Q236" s="30"/>
      <c r="R236" s="30"/>
      <c r="S236" s="30"/>
      <c r="T236" s="30"/>
      <c r="U236" s="30"/>
      <c r="V236" s="30"/>
    </row>
    <row r="237" spans="1:22" ht="21" customHeight="1" x14ac:dyDescent="0.15">
      <c r="A237" s="2"/>
      <c r="B237" s="91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45"/>
      <c r="P237" s="46"/>
      <c r="Q237" s="30"/>
      <c r="R237" s="30"/>
      <c r="S237" s="30"/>
      <c r="T237" s="30"/>
      <c r="U237" s="30"/>
      <c r="V237" s="30"/>
    </row>
    <row r="238" spans="1:22" ht="21" customHeight="1" x14ac:dyDescent="0.15">
      <c r="A238" s="2"/>
      <c r="B238" s="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45"/>
      <c r="P238" s="46"/>
      <c r="Q238" s="30"/>
      <c r="R238" s="30"/>
      <c r="S238" s="30"/>
      <c r="T238" s="30"/>
      <c r="U238" s="30"/>
      <c r="V238" s="30"/>
    </row>
    <row r="239" spans="1:22" ht="21" customHeight="1" x14ac:dyDescent="0.15">
      <c r="A239" s="2"/>
      <c r="B239" s="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45"/>
      <c r="P239" s="46"/>
      <c r="Q239" s="30"/>
      <c r="R239" s="30"/>
      <c r="S239" s="30"/>
      <c r="T239" s="30"/>
      <c r="U239" s="30"/>
      <c r="V239" s="30"/>
    </row>
    <row r="240" spans="1:22" ht="21" customHeight="1" x14ac:dyDescent="0.15">
      <c r="A240" s="2"/>
      <c r="B240" s="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45"/>
      <c r="P240" s="46"/>
      <c r="Q240" s="30"/>
      <c r="R240" s="30"/>
      <c r="S240" s="30"/>
      <c r="T240" s="30"/>
      <c r="U240" s="30"/>
      <c r="V240" s="30"/>
    </row>
    <row r="241" spans="1:22" ht="21" customHeight="1" x14ac:dyDescent="0.15">
      <c r="A241" s="2"/>
      <c r="B241" s="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45"/>
      <c r="P241" s="46"/>
      <c r="Q241" s="30"/>
      <c r="R241" s="30"/>
      <c r="S241" s="30"/>
      <c r="T241" s="30"/>
      <c r="U241" s="30"/>
      <c r="V241" s="30"/>
    </row>
    <row r="242" spans="1:22" ht="21" customHeight="1" x14ac:dyDescent="0.15">
      <c r="A242" s="2"/>
      <c r="B242" s="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45"/>
      <c r="P242" s="46"/>
      <c r="Q242" s="30"/>
      <c r="R242" s="30"/>
      <c r="S242" s="30"/>
      <c r="T242" s="30"/>
      <c r="U242" s="30"/>
      <c r="V242" s="30"/>
    </row>
    <row r="243" spans="1:22" ht="21" customHeight="1" x14ac:dyDescent="0.15">
      <c r="A243" s="2"/>
      <c r="B243" s="60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45"/>
      <c r="P243" s="46"/>
      <c r="Q243" s="30"/>
      <c r="R243" s="30"/>
      <c r="S243" s="30"/>
      <c r="T243" s="30"/>
      <c r="U243" s="30"/>
      <c r="V243" s="30"/>
    </row>
    <row r="244" spans="1:22" ht="21" customHeight="1" x14ac:dyDescent="0.15">
      <c r="A244" s="2"/>
      <c r="B244" s="93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45"/>
      <c r="P244" s="46"/>
      <c r="Q244" s="30"/>
      <c r="R244" s="30"/>
      <c r="S244" s="30"/>
      <c r="T244" s="30"/>
      <c r="U244" s="30"/>
      <c r="V244" s="30"/>
    </row>
    <row r="245" spans="1:22" ht="21" customHeight="1" x14ac:dyDescent="0.15">
      <c r="A245" s="2"/>
      <c r="B245" s="60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45"/>
      <c r="P245" s="46"/>
      <c r="Q245" s="30"/>
      <c r="R245" s="30"/>
      <c r="S245" s="30"/>
      <c r="T245" s="30"/>
      <c r="U245" s="30"/>
      <c r="V245" s="30"/>
    </row>
    <row r="246" spans="1:22" ht="21" customHeight="1" x14ac:dyDescent="0.15">
      <c r="A246" s="2"/>
      <c r="B246" s="6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45"/>
      <c r="P246" s="46"/>
      <c r="Q246" s="30"/>
      <c r="R246" s="30"/>
      <c r="S246" s="30"/>
      <c r="T246" s="30"/>
      <c r="U246" s="30"/>
      <c r="V246" s="30"/>
    </row>
    <row r="247" spans="1:22" ht="21" customHeight="1" x14ac:dyDescent="0.15">
      <c r="A247" s="2"/>
      <c r="B247" s="6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45"/>
      <c r="P247" s="46"/>
      <c r="Q247" s="30"/>
      <c r="R247" s="30"/>
      <c r="S247" s="30"/>
      <c r="T247" s="30"/>
      <c r="U247" s="30"/>
      <c r="V247" s="30"/>
    </row>
    <row r="248" spans="1:22" ht="21" customHeight="1" x14ac:dyDescent="0.15">
      <c r="A248" s="2"/>
      <c r="B248" s="6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45"/>
      <c r="P248" s="46"/>
      <c r="Q248" s="30"/>
      <c r="R248" s="30"/>
      <c r="S248" s="30"/>
      <c r="T248" s="30"/>
      <c r="U248" s="30"/>
      <c r="V248" s="30"/>
    </row>
    <row r="249" spans="1:22" ht="21" customHeight="1" x14ac:dyDescent="0.15">
      <c r="A249" s="2"/>
      <c r="B249" s="6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45"/>
      <c r="P249" s="46"/>
      <c r="Q249" s="30"/>
      <c r="R249" s="30"/>
      <c r="S249" s="30"/>
      <c r="T249" s="30"/>
      <c r="U249" s="30"/>
      <c r="V249" s="30"/>
    </row>
    <row r="250" spans="1:22" ht="21" customHeight="1" x14ac:dyDescent="0.15">
      <c r="A250" s="2"/>
      <c r="B250" s="6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45"/>
      <c r="P250" s="46"/>
      <c r="Q250" s="30"/>
      <c r="R250" s="30"/>
      <c r="S250" s="30"/>
      <c r="T250" s="30"/>
      <c r="U250" s="30"/>
      <c r="V250" s="30"/>
    </row>
    <row r="251" spans="1:22" ht="21" customHeight="1" x14ac:dyDescent="0.15">
      <c r="A251" s="2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45"/>
      <c r="P251" s="46"/>
      <c r="Q251" s="30"/>
      <c r="R251" s="30"/>
      <c r="S251" s="30"/>
      <c r="T251" s="30"/>
      <c r="U251" s="30"/>
      <c r="V251" s="30"/>
    </row>
    <row r="252" spans="1:22" ht="21" customHeight="1" x14ac:dyDescent="0.15">
      <c r="A252" s="2"/>
      <c r="B252" s="6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45"/>
      <c r="P252" s="46"/>
      <c r="Q252" s="30"/>
      <c r="R252" s="30"/>
      <c r="S252" s="30"/>
      <c r="T252" s="30"/>
      <c r="U252" s="30"/>
      <c r="V252" s="30"/>
    </row>
    <row r="253" spans="1:22" ht="21" customHeight="1" x14ac:dyDescent="0.15">
      <c r="A253" s="2"/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45"/>
      <c r="P253" s="46"/>
      <c r="Q253" s="30"/>
      <c r="R253" s="30"/>
      <c r="S253" s="30"/>
      <c r="T253" s="30"/>
      <c r="U253" s="30"/>
      <c r="V253" s="30"/>
    </row>
    <row r="254" spans="1:22" ht="21" customHeight="1" x14ac:dyDescent="0.15">
      <c r="A254" s="2"/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45"/>
      <c r="P254" s="46"/>
      <c r="Q254" s="30"/>
      <c r="R254" s="30"/>
      <c r="S254" s="30"/>
      <c r="T254" s="30"/>
      <c r="U254" s="30"/>
      <c r="V254" s="30"/>
    </row>
    <row r="255" spans="1:22" ht="21" customHeight="1" x14ac:dyDescent="0.15">
      <c r="A255" s="2"/>
      <c r="B255" s="6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45"/>
      <c r="P255" s="46"/>
      <c r="Q255" s="30"/>
      <c r="R255" s="30"/>
      <c r="S255" s="30"/>
      <c r="T255" s="30"/>
      <c r="U255" s="30"/>
      <c r="V255" s="30"/>
    </row>
    <row r="256" spans="1:22" ht="21" customHeight="1" x14ac:dyDescent="0.15">
      <c r="A256" s="2"/>
      <c r="B256" s="6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45"/>
      <c r="P256" s="46"/>
      <c r="Q256" s="30"/>
      <c r="R256" s="30"/>
      <c r="S256" s="30"/>
      <c r="T256" s="30"/>
      <c r="U256" s="30"/>
      <c r="V256" s="30"/>
    </row>
    <row r="257" spans="1:22" ht="21" customHeight="1" x14ac:dyDescent="0.15">
      <c r="A257" s="2"/>
      <c r="B257" s="6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45"/>
      <c r="P257" s="46"/>
      <c r="Q257" s="30"/>
      <c r="R257" s="30"/>
      <c r="S257" s="30"/>
      <c r="T257" s="30"/>
      <c r="U257" s="30"/>
      <c r="V257" s="30"/>
    </row>
    <row r="258" spans="1:22" ht="21" customHeight="1" x14ac:dyDescent="0.15">
      <c r="A258" s="2"/>
      <c r="B258" s="6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45"/>
      <c r="P258" s="46"/>
      <c r="Q258" s="30"/>
      <c r="R258" s="30"/>
      <c r="S258" s="30"/>
      <c r="T258" s="30"/>
      <c r="U258" s="30"/>
      <c r="V258" s="30"/>
    </row>
    <row r="259" spans="1:22" ht="21" customHeight="1" x14ac:dyDescent="0.15">
      <c r="A259" s="2"/>
      <c r="B259" s="6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45"/>
      <c r="P259" s="46"/>
      <c r="Q259" s="30"/>
      <c r="R259" s="30"/>
      <c r="S259" s="30"/>
      <c r="T259" s="30"/>
      <c r="U259" s="30"/>
      <c r="V259" s="30"/>
    </row>
    <row r="260" spans="1:22" ht="21" customHeight="1" x14ac:dyDescent="0.15">
      <c r="A260" s="2"/>
      <c r="B260" s="6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45"/>
      <c r="P260" s="46"/>
      <c r="Q260" s="30"/>
      <c r="R260" s="30"/>
      <c r="S260" s="30"/>
      <c r="T260" s="30"/>
      <c r="U260" s="30"/>
      <c r="V260" s="30"/>
    </row>
    <row r="261" spans="1:22" ht="21" customHeight="1" x14ac:dyDescent="0.15">
      <c r="A261" s="2"/>
      <c r="B261" s="6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45"/>
      <c r="P261" s="46"/>
      <c r="Q261" s="30"/>
      <c r="R261" s="30"/>
      <c r="S261" s="30"/>
      <c r="T261" s="30"/>
      <c r="U261" s="30"/>
      <c r="V261" s="30"/>
    </row>
    <row r="262" spans="1:22" ht="21" customHeight="1" x14ac:dyDescent="0.15">
      <c r="A262" s="2"/>
      <c r="B262" s="6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45"/>
      <c r="P262" s="46"/>
      <c r="Q262" s="30"/>
      <c r="R262" s="30"/>
      <c r="S262" s="30"/>
      <c r="T262" s="30"/>
      <c r="U262" s="30"/>
      <c r="V262" s="30"/>
    </row>
    <row r="263" spans="1:22" ht="21" customHeight="1" x14ac:dyDescent="0.15">
      <c r="A263" s="2"/>
      <c r="B263" s="6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45"/>
      <c r="P263" s="46"/>
      <c r="Q263" s="30"/>
      <c r="R263" s="30"/>
      <c r="S263" s="30"/>
      <c r="T263" s="30"/>
      <c r="U263" s="30"/>
      <c r="V263" s="30"/>
    </row>
    <row r="264" spans="1:22" ht="21" customHeight="1" x14ac:dyDescent="0.15">
      <c r="A264" s="2"/>
      <c r="B264" s="6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45"/>
      <c r="P264" s="46"/>
      <c r="Q264" s="30"/>
      <c r="R264" s="30"/>
      <c r="S264" s="30"/>
      <c r="T264" s="30"/>
      <c r="U264" s="30"/>
      <c r="V264" s="30"/>
    </row>
    <row r="265" spans="1:22" ht="21" customHeight="1" x14ac:dyDescent="0.15">
      <c r="A265" s="2"/>
      <c r="B265" s="6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45"/>
      <c r="P265" s="46"/>
      <c r="Q265" s="30"/>
      <c r="R265" s="30"/>
      <c r="S265" s="30"/>
      <c r="T265" s="30"/>
      <c r="U265" s="30"/>
      <c r="V265" s="30"/>
    </row>
    <row r="266" spans="1:22" ht="21" customHeight="1" x14ac:dyDescent="0.15">
      <c r="A266" s="2"/>
      <c r="B266" s="6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45"/>
      <c r="P266" s="46"/>
      <c r="Q266" s="30"/>
      <c r="R266" s="30"/>
      <c r="S266" s="30"/>
      <c r="T266" s="30"/>
      <c r="U266" s="30"/>
      <c r="V266" s="30"/>
    </row>
    <row r="267" spans="1:22" ht="21" customHeight="1" x14ac:dyDescent="0.15">
      <c r="A267" s="2"/>
      <c r="B267" s="6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45"/>
      <c r="P267" s="46"/>
      <c r="Q267" s="30"/>
      <c r="R267" s="30"/>
      <c r="S267" s="30"/>
      <c r="T267" s="30"/>
      <c r="U267" s="30"/>
      <c r="V267" s="30"/>
    </row>
    <row r="268" spans="1:22" ht="21" customHeight="1" x14ac:dyDescent="0.15">
      <c r="A268" s="2"/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45"/>
      <c r="P268" s="46"/>
      <c r="Q268" s="30"/>
      <c r="R268" s="30"/>
      <c r="S268" s="30"/>
      <c r="T268" s="30"/>
      <c r="U268" s="30"/>
      <c r="V268" s="30"/>
    </row>
    <row r="269" spans="1:22" ht="21" customHeight="1" x14ac:dyDescent="0.15">
      <c r="A269" s="2"/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45"/>
      <c r="P269" s="46"/>
      <c r="Q269" s="30"/>
      <c r="R269" s="30"/>
      <c r="S269" s="30"/>
      <c r="T269" s="30"/>
      <c r="U269" s="30"/>
      <c r="V269" s="30"/>
    </row>
    <row r="270" spans="1:22" ht="21" customHeight="1" x14ac:dyDescent="0.15">
      <c r="A270" s="2"/>
      <c r="B270" s="6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45"/>
      <c r="P270" s="46"/>
      <c r="Q270" s="30"/>
      <c r="R270" s="30"/>
      <c r="S270" s="30"/>
      <c r="T270" s="30"/>
      <c r="U270" s="30"/>
      <c r="V270" s="30"/>
    </row>
    <row r="271" spans="1:22" ht="21" customHeight="1" x14ac:dyDescent="0.15">
      <c r="A271" s="2"/>
      <c r="B271" s="6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45"/>
      <c r="P271" s="46"/>
      <c r="Q271" s="30"/>
      <c r="R271" s="30"/>
      <c r="S271" s="30"/>
      <c r="T271" s="30"/>
      <c r="U271" s="30"/>
      <c r="V271" s="30"/>
    </row>
    <row r="272" spans="1:22" ht="21" customHeight="1" x14ac:dyDescent="0.15">
      <c r="A272" s="2"/>
      <c r="B272" s="6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45"/>
      <c r="P272" s="46"/>
      <c r="Q272" s="30"/>
      <c r="R272" s="30"/>
      <c r="S272" s="30"/>
      <c r="T272" s="30"/>
      <c r="U272" s="30"/>
      <c r="V272" s="30"/>
    </row>
    <row r="273" spans="1:22" ht="21" customHeight="1" x14ac:dyDescent="0.15">
      <c r="A273" s="2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45"/>
      <c r="P273" s="46"/>
      <c r="Q273" s="30"/>
      <c r="R273" s="30"/>
      <c r="S273" s="30"/>
      <c r="T273" s="30"/>
      <c r="U273" s="30"/>
      <c r="V273" s="30"/>
    </row>
    <row r="274" spans="1:22" ht="21" customHeight="1" x14ac:dyDescent="0.15">
      <c r="A274" s="2"/>
      <c r="B274" s="6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45"/>
      <c r="P274" s="46"/>
      <c r="Q274" s="30"/>
      <c r="R274" s="30"/>
      <c r="S274" s="30"/>
      <c r="T274" s="30"/>
      <c r="U274" s="30"/>
      <c r="V274" s="30"/>
    </row>
    <row r="275" spans="1:22" ht="21" customHeight="1" x14ac:dyDescent="0.15">
      <c r="A275" s="2"/>
      <c r="B275" s="6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45"/>
      <c r="P275" s="46"/>
      <c r="Q275" s="30"/>
      <c r="R275" s="30"/>
      <c r="S275" s="30"/>
      <c r="T275" s="30"/>
      <c r="U275" s="30"/>
      <c r="V275" s="30"/>
    </row>
    <row r="276" spans="1:22" ht="21" customHeight="1" x14ac:dyDescent="0.15">
      <c r="A276" s="2"/>
      <c r="B276" s="6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45"/>
      <c r="P276" s="46"/>
      <c r="Q276" s="30"/>
      <c r="R276" s="30"/>
      <c r="S276" s="30"/>
      <c r="T276" s="30"/>
      <c r="U276" s="30"/>
      <c r="V276" s="30"/>
    </row>
    <row r="277" spans="1:22" ht="21" customHeight="1" x14ac:dyDescent="0.15">
      <c r="A277" s="2"/>
      <c r="B277" s="6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45"/>
      <c r="P277" s="46"/>
      <c r="Q277" s="30"/>
      <c r="R277" s="30"/>
      <c r="S277" s="30"/>
      <c r="T277" s="30"/>
      <c r="U277" s="30"/>
      <c r="V277" s="30"/>
    </row>
    <row r="278" spans="1:22" ht="21" customHeight="1" x14ac:dyDescent="0.15">
      <c r="A278" s="2"/>
      <c r="B278" s="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45"/>
      <c r="P278" s="46"/>
      <c r="Q278" s="30"/>
      <c r="R278" s="30"/>
      <c r="S278" s="30"/>
      <c r="T278" s="30"/>
      <c r="U278" s="30"/>
      <c r="V278" s="30"/>
    </row>
    <row r="279" spans="1:22" ht="21" customHeight="1" x14ac:dyDescent="0.15">
      <c r="A279" s="2"/>
      <c r="B279" s="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45"/>
      <c r="P279" s="46"/>
      <c r="Q279" s="30"/>
      <c r="R279" s="30"/>
      <c r="S279" s="30"/>
      <c r="T279" s="30"/>
      <c r="U279" s="30"/>
      <c r="V279" s="30"/>
    </row>
    <row r="280" spans="1:22" ht="21" customHeight="1" x14ac:dyDescent="0.15">
      <c r="A280" s="2"/>
      <c r="B280" s="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45"/>
      <c r="P280" s="46"/>
      <c r="Q280" s="30"/>
      <c r="R280" s="30"/>
      <c r="S280" s="30"/>
      <c r="T280" s="30"/>
      <c r="U280" s="30"/>
      <c r="V280" s="30"/>
    </row>
    <row r="281" spans="1:22" ht="21" customHeight="1" x14ac:dyDescent="0.15">
      <c r="A281" s="2"/>
      <c r="B281" s="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45"/>
      <c r="P281" s="46"/>
      <c r="Q281" s="30"/>
      <c r="R281" s="30"/>
      <c r="S281" s="30"/>
      <c r="T281" s="30"/>
      <c r="U281" s="30"/>
      <c r="V281" s="30"/>
    </row>
    <row r="282" spans="1:22" ht="21" customHeight="1" x14ac:dyDescent="0.15">
      <c r="A282" s="2"/>
      <c r="B282" s="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45"/>
      <c r="P282" s="46"/>
      <c r="Q282" s="30"/>
      <c r="R282" s="30"/>
      <c r="S282" s="30"/>
      <c r="T282" s="30"/>
      <c r="U282" s="30"/>
      <c r="V282" s="30"/>
    </row>
    <row r="283" spans="1:22" ht="21" customHeight="1" x14ac:dyDescent="0.15">
      <c r="A283" s="2"/>
      <c r="B283" s="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45"/>
      <c r="P283" s="46"/>
      <c r="Q283" s="30"/>
      <c r="R283" s="30"/>
      <c r="S283" s="30"/>
      <c r="T283" s="30"/>
      <c r="U283" s="30"/>
      <c r="V283" s="30"/>
    </row>
    <row r="284" spans="1:22" ht="21" customHeight="1" x14ac:dyDescent="0.15">
      <c r="A284" s="2"/>
      <c r="B284" s="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45"/>
      <c r="P284" s="46"/>
      <c r="Q284" s="30"/>
      <c r="R284" s="30"/>
      <c r="S284" s="30"/>
      <c r="T284" s="30"/>
      <c r="U284" s="30"/>
      <c r="V284" s="30"/>
    </row>
    <row r="285" spans="1:22" ht="21" customHeight="1" x14ac:dyDescent="0.15">
      <c r="A285" s="2"/>
      <c r="B285" s="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45"/>
      <c r="P285" s="46"/>
      <c r="Q285" s="30"/>
      <c r="R285" s="30"/>
      <c r="S285" s="30"/>
      <c r="T285" s="30"/>
      <c r="U285" s="30"/>
      <c r="V285" s="30"/>
    </row>
    <row r="286" spans="1:22" ht="21" customHeight="1" x14ac:dyDescent="0.15">
      <c r="A286" s="2"/>
      <c r="B286" s="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45"/>
      <c r="P286" s="46"/>
      <c r="Q286" s="30"/>
      <c r="R286" s="30"/>
      <c r="S286" s="30"/>
      <c r="T286" s="30"/>
      <c r="U286" s="30"/>
      <c r="V286" s="30"/>
    </row>
    <row r="287" spans="1:22" ht="21" customHeight="1" x14ac:dyDescent="0.15">
      <c r="A287" s="2"/>
      <c r="B287" s="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45"/>
      <c r="P287" s="46"/>
      <c r="Q287" s="30"/>
      <c r="R287" s="30"/>
      <c r="S287" s="30"/>
      <c r="T287" s="30"/>
      <c r="U287" s="30"/>
      <c r="V287" s="30"/>
    </row>
    <row r="288" spans="1:22" ht="21" customHeight="1" x14ac:dyDescent="0.15">
      <c r="A288" s="2"/>
      <c r="B288" s="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45"/>
      <c r="P288" s="46"/>
      <c r="Q288" s="30"/>
      <c r="R288" s="30"/>
      <c r="S288" s="30"/>
      <c r="T288" s="30"/>
      <c r="U288" s="30"/>
      <c r="V288" s="30"/>
    </row>
    <row r="289" spans="1:22" ht="21" customHeight="1" x14ac:dyDescent="0.15">
      <c r="A289" s="2"/>
      <c r="B289" s="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45"/>
      <c r="P289" s="46"/>
      <c r="Q289" s="30"/>
      <c r="R289" s="30"/>
      <c r="S289" s="30"/>
      <c r="T289" s="30"/>
      <c r="U289" s="30"/>
      <c r="V289" s="30"/>
    </row>
    <row r="290" spans="1:22" ht="21" customHeight="1" x14ac:dyDescent="0.15">
      <c r="A290" s="2"/>
      <c r="B290" s="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45"/>
      <c r="P290" s="46"/>
      <c r="Q290" s="30"/>
      <c r="R290" s="30"/>
      <c r="S290" s="30"/>
      <c r="T290" s="30"/>
      <c r="U290" s="30"/>
      <c r="V290" s="30"/>
    </row>
    <row r="291" spans="1:22" ht="21" customHeight="1" x14ac:dyDescent="0.15">
      <c r="A291" s="2"/>
      <c r="B291" s="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45"/>
      <c r="P291" s="46"/>
      <c r="Q291" s="30"/>
      <c r="R291" s="30"/>
      <c r="S291" s="30"/>
      <c r="T291" s="30"/>
      <c r="U291" s="30"/>
      <c r="V291" s="30"/>
    </row>
    <row r="292" spans="1:22" ht="21" customHeight="1" x14ac:dyDescent="0.15">
      <c r="A292" s="2"/>
      <c r="B292" s="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45"/>
      <c r="P292" s="46"/>
      <c r="Q292" s="30"/>
      <c r="R292" s="30"/>
      <c r="S292" s="30"/>
      <c r="T292" s="30"/>
      <c r="U292" s="30"/>
      <c r="V292" s="30"/>
    </row>
    <row r="293" spans="1:22" ht="21" customHeight="1" x14ac:dyDescent="0.15">
      <c r="A293" s="2"/>
      <c r="B293" s="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45"/>
      <c r="P293" s="46"/>
      <c r="Q293" s="30"/>
      <c r="R293" s="30"/>
      <c r="S293" s="30"/>
      <c r="T293" s="30"/>
      <c r="U293" s="30"/>
      <c r="V293" s="30"/>
    </row>
    <row r="294" spans="1:22" ht="21" customHeight="1" x14ac:dyDescent="0.15">
      <c r="A294" s="2"/>
      <c r="B294" s="6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45"/>
      <c r="P294" s="46"/>
      <c r="Q294" s="30"/>
      <c r="R294" s="30"/>
      <c r="S294" s="30"/>
      <c r="T294" s="30"/>
      <c r="U294" s="30"/>
      <c r="V294" s="30"/>
    </row>
    <row r="295" spans="1:22" ht="21" customHeight="1" x14ac:dyDescent="0.15">
      <c r="A295" s="2"/>
      <c r="B295" s="6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45"/>
      <c r="P295" s="46"/>
      <c r="Q295" s="30"/>
      <c r="R295" s="30"/>
      <c r="S295" s="30"/>
      <c r="T295" s="30"/>
      <c r="U295" s="30"/>
      <c r="V295" s="30"/>
    </row>
    <row r="296" spans="1:22" ht="21" customHeight="1" x14ac:dyDescent="0.15">
      <c r="A296" s="2"/>
      <c r="B296" s="6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45"/>
      <c r="P296" s="46"/>
      <c r="Q296" s="30"/>
      <c r="R296" s="30"/>
      <c r="S296" s="30"/>
      <c r="T296" s="30"/>
      <c r="U296" s="30"/>
      <c r="V296" s="30"/>
    </row>
    <row r="297" spans="1:22" ht="21" customHeight="1" x14ac:dyDescent="0.15">
      <c r="A297" s="2"/>
      <c r="B297" s="6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45"/>
      <c r="P297" s="46"/>
      <c r="Q297" s="30"/>
      <c r="R297" s="30"/>
      <c r="S297" s="30"/>
      <c r="T297" s="30"/>
      <c r="U297" s="30"/>
      <c r="V297" s="30"/>
    </row>
    <row r="298" spans="1:22" ht="21" customHeight="1" x14ac:dyDescent="0.15">
      <c r="A298" s="2"/>
      <c r="B298" s="6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45"/>
      <c r="P298" s="46"/>
      <c r="Q298" s="30"/>
      <c r="R298" s="30"/>
      <c r="S298" s="30"/>
      <c r="T298" s="30"/>
      <c r="U298" s="30"/>
      <c r="V298" s="30"/>
    </row>
    <row r="299" spans="1:22" ht="21" customHeight="1" x14ac:dyDescent="0.15">
      <c r="A299" s="2"/>
      <c r="B299" s="6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45"/>
      <c r="P299" s="46"/>
      <c r="Q299" s="30"/>
      <c r="R299" s="30"/>
      <c r="S299" s="30"/>
      <c r="T299" s="30"/>
      <c r="U299" s="30"/>
      <c r="V299" s="30"/>
    </row>
    <row r="300" spans="1:22" ht="21" customHeight="1" x14ac:dyDescent="0.15">
      <c r="A300" s="2"/>
      <c r="B300" s="6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45"/>
      <c r="P300" s="46"/>
      <c r="Q300" s="30"/>
      <c r="R300" s="30"/>
      <c r="S300" s="30"/>
      <c r="T300" s="30"/>
      <c r="U300" s="30"/>
      <c r="V300" s="30"/>
    </row>
    <row r="301" spans="1:22" ht="21" customHeight="1" x14ac:dyDescent="0.15">
      <c r="A301" s="2"/>
      <c r="B301" s="6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45"/>
      <c r="P301" s="46"/>
      <c r="Q301" s="30"/>
      <c r="R301" s="30"/>
      <c r="S301" s="30"/>
      <c r="T301" s="30"/>
      <c r="U301" s="30"/>
      <c r="V301" s="30"/>
    </row>
    <row r="302" spans="1:22" ht="21" customHeight="1" x14ac:dyDescent="0.15">
      <c r="A302" s="2"/>
      <c r="B302" s="6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45"/>
      <c r="P302" s="46"/>
      <c r="Q302" s="30"/>
      <c r="R302" s="30"/>
      <c r="S302" s="30"/>
      <c r="T302" s="30"/>
      <c r="U302" s="30"/>
      <c r="V302" s="30"/>
    </row>
    <row r="303" spans="1:22" ht="21" customHeight="1" x14ac:dyDescent="0.15">
      <c r="A303" s="2"/>
      <c r="B303" s="6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45"/>
      <c r="P303" s="46"/>
      <c r="Q303" s="30"/>
      <c r="R303" s="30"/>
      <c r="S303" s="30"/>
      <c r="T303" s="30"/>
      <c r="U303" s="30"/>
      <c r="V303" s="30"/>
    </row>
    <row r="304" spans="1:22" ht="21" customHeight="1" x14ac:dyDescent="0.15">
      <c r="A304" s="2"/>
      <c r="B304" s="6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45"/>
      <c r="P304" s="46"/>
      <c r="Q304" s="30"/>
      <c r="R304" s="30"/>
      <c r="S304" s="30"/>
      <c r="T304" s="30"/>
      <c r="U304" s="30"/>
      <c r="V304" s="30"/>
    </row>
    <row r="305" spans="1:22" ht="21" customHeight="1" x14ac:dyDescent="0.15">
      <c r="A305" s="2"/>
      <c r="B305" s="6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45"/>
      <c r="P305" s="46"/>
      <c r="Q305" s="30"/>
      <c r="R305" s="30"/>
      <c r="S305" s="30"/>
      <c r="T305" s="30"/>
      <c r="U305" s="30"/>
      <c r="V305" s="30"/>
    </row>
    <row r="306" spans="1:22" ht="21" customHeight="1" x14ac:dyDescent="0.15">
      <c r="A306" s="2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45"/>
      <c r="P306" s="46"/>
      <c r="Q306" s="30"/>
      <c r="R306" s="30"/>
      <c r="S306" s="30"/>
      <c r="T306" s="30"/>
      <c r="U306" s="30"/>
      <c r="V306" s="30"/>
    </row>
    <row r="307" spans="1:22" ht="21" customHeight="1" x14ac:dyDescent="0.15">
      <c r="A307" s="2"/>
      <c r="B307" s="6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45"/>
      <c r="P307" s="46"/>
      <c r="Q307" s="30"/>
      <c r="R307" s="30"/>
      <c r="S307" s="30"/>
      <c r="T307" s="30"/>
      <c r="U307" s="30"/>
      <c r="V307" s="30"/>
    </row>
    <row r="308" spans="1:22" ht="21" customHeight="1" x14ac:dyDescent="0.15">
      <c r="A308" s="2"/>
      <c r="B308" s="6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45"/>
      <c r="P308" s="46"/>
      <c r="Q308" s="30"/>
      <c r="R308" s="30"/>
      <c r="S308" s="30"/>
      <c r="T308" s="30"/>
      <c r="U308" s="30"/>
      <c r="V308" s="30"/>
    </row>
    <row r="309" spans="1:22" ht="21" customHeight="1" x14ac:dyDescent="0.15">
      <c r="A309" s="2"/>
      <c r="B309" s="6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45"/>
      <c r="P309" s="46"/>
      <c r="Q309" s="30"/>
      <c r="R309" s="30"/>
      <c r="S309" s="30"/>
      <c r="T309" s="30"/>
      <c r="U309" s="30"/>
      <c r="V309" s="30"/>
    </row>
    <row r="310" spans="1:22" ht="21" customHeight="1" x14ac:dyDescent="0.15">
      <c r="A310" s="2"/>
      <c r="B310" s="6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45"/>
      <c r="P310" s="46"/>
      <c r="Q310" s="30"/>
      <c r="R310" s="30"/>
      <c r="S310" s="30"/>
      <c r="T310" s="30"/>
      <c r="U310" s="30"/>
      <c r="V310" s="30"/>
    </row>
    <row r="311" spans="1:22" ht="21" customHeight="1" x14ac:dyDescent="0.15">
      <c r="A311" s="2"/>
      <c r="B311" s="6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45"/>
      <c r="P311" s="46"/>
      <c r="Q311" s="30"/>
      <c r="R311" s="30"/>
      <c r="S311" s="30"/>
      <c r="T311" s="30"/>
      <c r="U311" s="30"/>
      <c r="V311" s="30"/>
    </row>
    <row r="312" spans="1:22" ht="21" customHeight="1" x14ac:dyDescent="0.15">
      <c r="A312" s="2"/>
      <c r="B312" s="6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45"/>
      <c r="P312" s="46"/>
      <c r="Q312" s="30"/>
      <c r="R312" s="30"/>
      <c r="S312" s="30"/>
      <c r="T312" s="30"/>
      <c r="U312" s="30"/>
      <c r="V312" s="30"/>
    </row>
    <row r="313" spans="1:22" ht="21" customHeight="1" x14ac:dyDescent="0.15">
      <c r="A313" s="2"/>
      <c r="B313" s="6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45"/>
      <c r="P313" s="46"/>
      <c r="Q313" s="30"/>
      <c r="R313" s="30"/>
      <c r="S313" s="30"/>
      <c r="T313" s="30"/>
      <c r="U313" s="30"/>
      <c r="V313" s="30"/>
    </row>
    <row r="314" spans="1:22" ht="21" customHeight="1" x14ac:dyDescent="0.15">
      <c r="A314" s="2"/>
      <c r="B314" s="6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45"/>
      <c r="P314" s="46"/>
      <c r="Q314" s="30"/>
      <c r="R314" s="30"/>
      <c r="S314" s="30"/>
      <c r="T314" s="30"/>
      <c r="U314" s="30"/>
      <c r="V314" s="30"/>
    </row>
    <row r="315" spans="1:22" ht="21" customHeight="1" x14ac:dyDescent="0.15">
      <c r="A315" s="2"/>
      <c r="B315" s="6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45"/>
      <c r="P315" s="46"/>
      <c r="Q315" s="30"/>
      <c r="R315" s="30"/>
      <c r="S315" s="30"/>
      <c r="T315" s="30"/>
      <c r="U315" s="30"/>
      <c r="V315" s="30"/>
    </row>
    <row r="316" spans="1:22" ht="21" customHeight="1" x14ac:dyDescent="0.15">
      <c r="A316" s="2"/>
      <c r="B316" s="6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45"/>
      <c r="P316" s="46"/>
      <c r="Q316" s="30"/>
      <c r="R316" s="30"/>
      <c r="S316" s="30"/>
      <c r="T316" s="30"/>
      <c r="U316" s="30"/>
      <c r="V316" s="30"/>
    </row>
    <row r="317" spans="1:22" ht="21" customHeight="1" x14ac:dyDescent="0.15">
      <c r="A317" s="2"/>
      <c r="B317" s="6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45"/>
      <c r="P317" s="46"/>
      <c r="Q317" s="30"/>
      <c r="R317" s="30"/>
      <c r="S317" s="30"/>
      <c r="T317" s="30"/>
      <c r="U317" s="30"/>
      <c r="V317" s="30"/>
    </row>
    <row r="318" spans="1:22" ht="21" customHeight="1" x14ac:dyDescent="0.15">
      <c r="A318" s="2"/>
      <c r="B318" s="60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45"/>
      <c r="P318" s="46"/>
      <c r="Q318" s="30"/>
      <c r="R318" s="30"/>
      <c r="S318" s="30"/>
      <c r="T318" s="30"/>
      <c r="U318" s="30"/>
      <c r="V318" s="30"/>
    </row>
    <row r="319" spans="1:22" ht="21" customHeight="1" x14ac:dyDescent="0.15">
      <c r="A319" s="2"/>
      <c r="B319" s="60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45"/>
      <c r="P319" s="46"/>
      <c r="Q319" s="30"/>
      <c r="R319" s="30"/>
      <c r="S319" s="30"/>
      <c r="T319" s="30"/>
      <c r="U319" s="30"/>
      <c r="V319" s="30"/>
    </row>
    <row r="320" spans="1:22" ht="21" customHeight="1" x14ac:dyDescent="0.15">
      <c r="A320" s="2"/>
      <c r="B320" s="60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45"/>
      <c r="P320" s="46"/>
      <c r="Q320" s="30"/>
      <c r="R320" s="30"/>
      <c r="S320" s="30"/>
      <c r="T320" s="30"/>
      <c r="U320" s="30"/>
      <c r="V320" s="30"/>
    </row>
    <row r="321" spans="1:22" ht="21" customHeight="1" x14ac:dyDescent="0.15">
      <c r="A321" s="2"/>
      <c r="B321" s="60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45"/>
      <c r="P321" s="46"/>
      <c r="Q321" s="30"/>
      <c r="R321" s="30"/>
      <c r="S321" s="30"/>
      <c r="T321" s="30"/>
      <c r="U321" s="30"/>
      <c r="V321" s="30"/>
    </row>
  </sheetData>
  <autoFilter ref="A1:V294">
    <sortState ref="A2:V294">
      <sortCondition descending="1" ref="I1:I294"/>
    </sortState>
  </autoFilter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input_421010</vt:lpstr>
      <vt:lpstr>tables_421010</vt:lpstr>
      <vt:lpstr>input_421100</vt:lpstr>
      <vt:lpstr>tables_421100</vt:lpstr>
      <vt:lpstr>tables_settle_421100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2016-09-28T10:50:01Z</dcterms:modified>
</cp:coreProperties>
</file>