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8140" yWindow="460" windowWidth="22440" windowHeight="158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20" r:id="rId9"/>
    <sheet name="stage_hints_failure" sheetId="19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1" i="11" l="1"/>
  <c r="A50" i="9"/>
  <c r="D50" i="9"/>
  <c r="E50" i="9"/>
  <c r="G50" i="9"/>
  <c r="H50" i="9"/>
  <c r="I50" i="9"/>
  <c r="J50" i="9"/>
  <c r="K50" i="9"/>
  <c r="L50" i="9"/>
  <c r="M50" i="9"/>
  <c r="N50" i="9"/>
  <c r="O50" i="9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AA49" i="10"/>
  <c r="M109" i="10"/>
  <c r="N109" i="10"/>
  <c r="Q109" i="10"/>
  <c r="P109" i="10"/>
  <c r="R109" i="10"/>
  <c r="O109" i="10"/>
  <c r="S109" i="10"/>
  <c r="E85" i="9"/>
  <c r="W4" i="7"/>
  <c r="E63" i="9"/>
  <c r="W3" i="7"/>
  <c r="E25" i="9"/>
  <c r="W2" i="7"/>
  <c r="D2" i="18"/>
  <c r="E9" i="16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E12" i="16"/>
  <c r="E11" i="16"/>
  <c r="E10" i="16"/>
  <c r="L14" i="20"/>
  <c r="K14" i="20"/>
  <c r="G14" i="20"/>
  <c r="F14" i="20"/>
  <c r="D14" i="20"/>
  <c r="C14" i="20"/>
  <c r="L13" i="20"/>
  <c r="K13" i="20"/>
  <c r="G13" i="20"/>
  <c r="F13" i="20"/>
  <c r="D13" i="20"/>
  <c r="C13" i="20"/>
  <c r="L12" i="20"/>
  <c r="K12" i="20"/>
  <c r="G12" i="20"/>
  <c r="F12" i="20"/>
  <c r="D12" i="20"/>
  <c r="C12" i="20"/>
  <c r="L11" i="20"/>
  <c r="K11" i="20"/>
  <c r="G11" i="20"/>
  <c r="F11" i="20"/>
  <c r="D11" i="20"/>
  <c r="C11" i="20"/>
  <c r="L10" i="20"/>
  <c r="K10" i="20"/>
  <c r="G10" i="20"/>
  <c r="F10" i="20"/>
  <c r="D10" i="20"/>
  <c r="C10" i="20"/>
  <c r="L9" i="20"/>
  <c r="K9" i="20"/>
  <c r="G9" i="20"/>
  <c r="F9" i="20"/>
  <c r="D9" i="20"/>
  <c r="C9" i="20"/>
  <c r="L8" i="20"/>
  <c r="K8" i="20"/>
  <c r="G8" i="20"/>
  <c r="F8" i="20"/>
  <c r="D8" i="20"/>
  <c r="C8" i="20"/>
  <c r="L7" i="20"/>
  <c r="K7" i="20"/>
  <c r="G7" i="20"/>
  <c r="F7" i="20"/>
  <c r="D7" i="20"/>
  <c r="C7" i="20"/>
  <c r="L6" i="20"/>
  <c r="K6" i="20"/>
  <c r="G6" i="20"/>
  <c r="F6" i="20"/>
  <c r="D6" i="20"/>
  <c r="C6" i="20"/>
  <c r="L5" i="20"/>
  <c r="K5" i="20"/>
  <c r="G5" i="20"/>
  <c r="F5" i="20"/>
  <c r="D5" i="20"/>
  <c r="C5" i="20"/>
  <c r="L4" i="20"/>
  <c r="K4" i="20"/>
  <c r="G4" i="20"/>
  <c r="F4" i="20"/>
  <c r="D4" i="20"/>
  <c r="C4" i="20"/>
  <c r="L3" i="20"/>
  <c r="K3" i="20"/>
  <c r="G3" i="20"/>
  <c r="F3" i="20"/>
  <c r="D3" i="20"/>
  <c r="C3" i="20"/>
  <c r="L2" i="20"/>
  <c r="K2" i="20"/>
  <c r="G2" i="20"/>
  <c r="F2" i="20"/>
  <c r="D2" i="20"/>
  <c r="C2" i="20"/>
  <c r="E2" i="1"/>
  <c r="B6" i="19"/>
  <c r="I6" i="19"/>
  <c r="J6" i="19"/>
  <c r="G6" i="19"/>
  <c r="F6" i="19"/>
  <c r="D6" i="19"/>
  <c r="C6" i="19"/>
  <c r="B3" i="19"/>
  <c r="C3" i="19"/>
  <c r="D3" i="19"/>
  <c r="F3" i="19"/>
  <c r="G3" i="19"/>
  <c r="I3" i="19"/>
  <c r="J3" i="19"/>
  <c r="B4" i="19"/>
  <c r="C4" i="19"/>
  <c r="D4" i="19"/>
  <c r="F4" i="19"/>
  <c r="G4" i="19"/>
  <c r="I4" i="19"/>
  <c r="J4" i="19"/>
  <c r="B5" i="19"/>
  <c r="C5" i="19"/>
  <c r="D5" i="19"/>
  <c r="F5" i="19"/>
  <c r="G5" i="19"/>
  <c r="I5" i="19"/>
  <c r="J5" i="19"/>
  <c r="J85" i="11"/>
  <c r="O84" i="9"/>
  <c r="N84" i="9"/>
  <c r="M84" i="9"/>
  <c r="L84" i="9"/>
  <c r="K84" i="9"/>
  <c r="J84" i="9"/>
  <c r="I84" i="9"/>
  <c r="H84" i="9"/>
  <c r="G84" i="9"/>
  <c r="E84" i="9"/>
  <c r="D84" i="9"/>
  <c r="A84" i="9"/>
  <c r="M104" i="9"/>
  <c r="I105" i="9"/>
  <c r="M105" i="9"/>
  <c r="J106" i="11"/>
  <c r="O105" i="9"/>
  <c r="I106" i="9"/>
  <c r="M106" i="9"/>
  <c r="J107" i="11"/>
  <c r="O106" i="9"/>
  <c r="G107" i="9"/>
  <c r="H107" i="9"/>
  <c r="I107" i="9"/>
  <c r="J107" i="9"/>
  <c r="K107" i="9"/>
  <c r="L107" i="9"/>
  <c r="M107" i="9"/>
  <c r="N107" i="9"/>
  <c r="J108" i="11"/>
  <c r="O107" i="9"/>
  <c r="G108" i="9"/>
  <c r="H108" i="9"/>
  <c r="I108" i="9"/>
  <c r="J108" i="9"/>
  <c r="K108" i="9"/>
  <c r="L108" i="9"/>
  <c r="M108" i="9"/>
  <c r="N108" i="9"/>
  <c r="J109" i="11"/>
  <c r="O108" i="9"/>
  <c r="G109" i="9"/>
  <c r="H109" i="9"/>
  <c r="I109" i="9"/>
  <c r="J109" i="9"/>
  <c r="K109" i="9"/>
  <c r="L109" i="9"/>
  <c r="M109" i="9"/>
  <c r="N109" i="9"/>
  <c r="J110" i="11"/>
  <c r="O109" i="9"/>
  <c r="J111" i="11"/>
  <c r="O9" i="9"/>
  <c r="N9" i="9"/>
  <c r="M9" i="9"/>
  <c r="L9" i="9"/>
  <c r="K9" i="9"/>
  <c r="J9" i="9"/>
  <c r="I9" i="9"/>
  <c r="H9" i="9"/>
  <c r="G9" i="9"/>
  <c r="E9" i="9"/>
  <c r="D9" i="9"/>
  <c r="A9" i="9"/>
  <c r="AA109" i="10"/>
  <c r="T109" i="10"/>
  <c r="W109" i="10"/>
  <c r="V109" i="10"/>
  <c r="X109" i="10"/>
  <c r="U109" i="10"/>
  <c r="Y109" i="10"/>
  <c r="G109" i="10"/>
  <c r="J109" i="10"/>
  <c r="I109" i="10"/>
  <c r="K109" i="10"/>
  <c r="H109" i="10"/>
  <c r="L109" i="10"/>
  <c r="J76" i="11"/>
  <c r="O75" i="9"/>
  <c r="N75" i="9"/>
  <c r="M75" i="9"/>
  <c r="L75" i="9"/>
  <c r="K75" i="9"/>
  <c r="J75" i="9"/>
  <c r="I75" i="9"/>
  <c r="H75" i="9"/>
  <c r="G75" i="9"/>
  <c r="E75" i="9"/>
  <c r="D75" i="9"/>
  <c r="A75" i="9"/>
  <c r="J75" i="11"/>
  <c r="O74" i="9"/>
  <c r="N74" i="9"/>
  <c r="M74" i="9"/>
  <c r="L74" i="9"/>
  <c r="K74" i="9"/>
  <c r="J74" i="9"/>
  <c r="I74" i="9"/>
  <c r="H74" i="9"/>
  <c r="G74" i="9"/>
  <c r="E74" i="9"/>
  <c r="D74" i="9"/>
  <c r="A74" i="9"/>
  <c r="J74" i="11"/>
  <c r="O73" i="9"/>
  <c r="N73" i="9"/>
  <c r="M73" i="9"/>
  <c r="L73" i="9"/>
  <c r="K73" i="9"/>
  <c r="J73" i="9"/>
  <c r="I73" i="9"/>
  <c r="H73" i="9"/>
  <c r="G73" i="9"/>
  <c r="E73" i="9"/>
  <c r="D73" i="9"/>
  <c r="A73" i="9"/>
  <c r="J73" i="11"/>
  <c r="O72" i="9"/>
  <c r="N72" i="9"/>
  <c r="M72" i="9"/>
  <c r="L72" i="9"/>
  <c r="K72" i="9"/>
  <c r="J72" i="9"/>
  <c r="I72" i="9"/>
  <c r="H72" i="9"/>
  <c r="G72" i="9"/>
  <c r="E72" i="9"/>
  <c r="D72" i="9"/>
  <c r="A72" i="9"/>
  <c r="J72" i="11"/>
  <c r="O71" i="9"/>
  <c r="N71" i="9"/>
  <c r="M71" i="9"/>
  <c r="L71" i="9"/>
  <c r="K71" i="9"/>
  <c r="J71" i="9"/>
  <c r="I71" i="9"/>
  <c r="H71" i="9"/>
  <c r="G71" i="9"/>
  <c r="E71" i="9"/>
  <c r="D71" i="9"/>
  <c r="A71" i="9"/>
  <c r="J71" i="11"/>
  <c r="O70" i="9"/>
  <c r="N70" i="9"/>
  <c r="M70" i="9"/>
  <c r="L70" i="9"/>
  <c r="K70" i="9"/>
  <c r="J70" i="9"/>
  <c r="I70" i="9"/>
  <c r="H70" i="9"/>
  <c r="G70" i="9"/>
  <c r="E70" i="9"/>
  <c r="D70" i="9"/>
  <c r="A70" i="9"/>
  <c r="J70" i="11"/>
  <c r="O69" i="9"/>
  <c r="N69" i="9"/>
  <c r="M69" i="9"/>
  <c r="L69" i="9"/>
  <c r="K69" i="9"/>
  <c r="J69" i="9"/>
  <c r="I69" i="9"/>
  <c r="H69" i="9"/>
  <c r="G69" i="9"/>
  <c r="E69" i="9"/>
  <c r="D69" i="9"/>
  <c r="A69" i="9"/>
  <c r="J69" i="11"/>
  <c r="O68" i="9"/>
  <c r="N68" i="9"/>
  <c r="M68" i="9"/>
  <c r="L68" i="9"/>
  <c r="K68" i="9"/>
  <c r="J68" i="9"/>
  <c r="I68" i="9"/>
  <c r="H68" i="9"/>
  <c r="G68" i="9"/>
  <c r="E68" i="9"/>
  <c r="D68" i="9"/>
  <c r="A68" i="9"/>
  <c r="J68" i="11"/>
  <c r="O67" i="9"/>
  <c r="N67" i="9"/>
  <c r="M67" i="9"/>
  <c r="L67" i="9"/>
  <c r="K67" i="9"/>
  <c r="J67" i="9"/>
  <c r="I67" i="9"/>
  <c r="H67" i="9"/>
  <c r="G67" i="9"/>
  <c r="E67" i="9"/>
  <c r="D67" i="9"/>
  <c r="A67" i="9"/>
  <c r="J67" i="11"/>
  <c r="O66" i="9"/>
  <c r="N66" i="9"/>
  <c r="M66" i="9"/>
  <c r="L66" i="9"/>
  <c r="K66" i="9"/>
  <c r="J66" i="9"/>
  <c r="I66" i="9"/>
  <c r="H66" i="9"/>
  <c r="G66" i="9"/>
  <c r="E66" i="9"/>
  <c r="D66" i="9"/>
  <c r="A66" i="9"/>
  <c r="J66" i="11"/>
  <c r="O65" i="9"/>
  <c r="N65" i="9"/>
  <c r="M65" i="9"/>
  <c r="L65" i="9"/>
  <c r="K65" i="9"/>
  <c r="J65" i="9"/>
  <c r="I65" i="9"/>
  <c r="H65" i="9"/>
  <c r="G65" i="9"/>
  <c r="E65" i="9"/>
  <c r="D65" i="9"/>
  <c r="A65" i="9"/>
  <c r="J65" i="11"/>
  <c r="O64" i="9"/>
  <c r="N64" i="9"/>
  <c r="M64" i="9"/>
  <c r="L64" i="9"/>
  <c r="K64" i="9"/>
  <c r="J64" i="9"/>
  <c r="I64" i="9"/>
  <c r="H64" i="9"/>
  <c r="G64" i="9"/>
  <c r="E64" i="9"/>
  <c r="D64" i="9"/>
  <c r="A64" i="9"/>
  <c r="J64" i="11"/>
  <c r="O63" i="9"/>
  <c r="N63" i="9"/>
  <c r="M63" i="9"/>
  <c r="L63" i="9"/>
  <c r="K63" i="9"/>
  <c r="J63" i="9"/>
  <c r="I63" i="9"/>
  <c r="H63" i="9"/>
  <c r="G63" i="9"/>
  <c r="D63" i="9"/>
  <c r="A63" i="9"/>
  <c r="J63" i="11"/>
  <c r="O62" i="9"/>
  <c r="N62" i="9"/>
  <c r="M62" i="9"/>
  <c r="L62" i="9"/>
  <c r="K62" i="9"/>
  <c r="J62" i="9"/>
  <c r="I62" i="9"/>
  <c r="H62" i="9"/>
  <c r="G62" i="9"/>
  <c r="E62" i="9"/>
  <c r="D62" i="9"/>
  <c r="A62" i="9"/>
  <c r="J62" i="11"/>
  <c r="O61" i="9"/>
  <c r="N61" i="9"/>
  <c r="M61" i="9"/>
  <c r="L61" i="9"/>
  <c r="K61" i="9"/>
  <c r="J61" i="9"/>
  <c r="I61" i="9"/>
  <c r="H61" i="9"/>
  <c r="G61" i="9"/>
  <c r="E61" i="9"/>
  <c r="D61" i="9"/>
  <c r="A61" i="9"/>
  <c r="J61" i="11"/>
  <c r="O60" i="9"/>
  <c r="N60" i="9"/>
  <c r="M60" i="9"/>
  <c r="L60" i="9"/>
  <c r="K60" i="9"/>
  <c r="J60" i="9"/>
  <c r="I60" i="9"/>
  <c r="H60" i="9"/>
  <c r="G60" i="9"/>
  <c r="E60" i="9"/>
  <c r="D60" i="9"/>
  <c r="A60" i="9"/>
  <c r="J60" i="11"/>
  <c r="O59" i="9"/>
  <c r="N59" i="9"/>
  <c r="M59" i="9"/>
  <c r="L59" i="9"/>
  <c r="K59" i="9"/>
  <c r="J59" i="9"/>
  <c r="I59" i="9"/>
  <c r="H59" i="9"/>
  <c r="G59" i="9"/>
  <c r="E59" i="9"/>
  <c r="D59" i="9"/>
  <c r="A59" i="9"/>
  <c r="J59" i="11"/>
  <c r="O58" i="9"/>
  <c r="N58" i="9"/>
  <c r="M58" i="9"/>
  <c r="L58" i="9"/>
  <c r="K58" i="9"/>
  <c r="J58" i="9"/>
  <c r="I58" i="9"/>
  <c r="H58" i="9"/>
  <c r="G58" i="9"/>
  <c r="E58" i="9"/>
  <c r="D58" i="9"/>
  <c r="A58" i="9"/>
  <c r="J58" i="11"/>
  <c r="O57" i="9"/>
  <c r="N57" i="9"/>
  <c r="M57" i="9"/>
  <c r="L57" i="9"/>
  <c r="K57" i="9"/>
  <c r="J57" i="9"/>
  <c r="I57" i="9"/>
  <c r="H57" i="9"/>
  <c r="G57" i="9"/>
  <c r="E57" i="9"/>
  <c r="D57" i="9"/>
  <c r="A57" i="9"/>
  <c r="J80" i="11"/>
  <c r="O79" i="9"/>
  <c r="N79" i="9"/>
  <c r="M79" i="9"/>
  <c r="L79" i="9"/>
  <c r="K79" i="9"/>
  <c r="J79" i="9"/>
  <c r="I79" i="9"/>
  <c r="H79" i="9"/>
  <c r="G79" i="9"/>
  <c r="E79" i="9"/>
  <c r="D79" i="9"/>
  <c r="A79" i="9"/>
  <c r="J79" i="11"/>
  <c r="O78" i="9"/>
  <c r="N78" i="9"/>
  <c r="M78" i="9"/>
  <c r="L78" i="9"/>
  <c r="K78" i="9"/>
  <c r="J78" i="9"/>
  <c r="I78" i="9"/>
  <c r="H78" i="9"/>
  <c r="G78" i="9"/>
  <c r="E78" i="9"/>
  <c r="D78" i="9"/>
  <c r="A78" i="9"/>
  <c r="J78" i="11"/>
  <c r="O77" i="9"/>
  <c r="N77" i="9"/>
  <c r="M77" i="9"/>
  <c r="L77" i="9"/>
  <c r="K77" i="9"/>
  <c r="J77" i="9"/>
  <c r="I77" i="9"/>
  <c r="H77" i="9"/>
  <c r="G77" i="9"/>
  <c r="E77" i="9"/>
  <c r="D77" i="9"/>
  <c r="A77" i="9"/>
  <c r="J77" i="11"/>
  <c r="O76" i="9"/>
  <c r="N76" i="9"/>
  <c r="M76" i="9"/>
  <c r="L76" i="9"/>
  <c r="K76" i="9"/>
  <c r="J76" i="9"/>
  <c r="I76" i="9"/>
  <c r="H76" i="9"/>
  <c r="G76" i="9"/>
  <c r="E76" i="9"/>
  <c r="D76" i="9"/>
  <c r="A76" i="9"/>
  <c r="J82" i="11"/>
  <c r="O81" i="9"/>
  <c r="N81" i="9"/>
  <c r="M81" i="9"/>
  <c r="L81" i="9"/>
  <c r="K81" i="9"/>
  <c r="J81" i="9"/>
  <c r="I81" i="9"/>
  <c r="H81" i="9"/>
  <c r="G81" i="9"/>
  <c r="E81" i="9"/>
  <c r="D81" i="9"/>
  <c r="A81" i="9"/>
  <c r="J81" i="11"/>
  <c r="O80" i="9"/>
  <c r="N80" i="9"/>
  <c r="M80" i="9"/>
  <c r="L80" i="9"/>
  <c r="K80" i="9"/>
  <c r="J80" i="9"/>
  <c r="I80" i="9"/>
  <c r="H80" i="9"/>
  <c r="G80" i="9"/>
  <c r="E80" i="9"/>
  <c r="D80" i="9"/>
  <c r="A80" i="9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G2" i="10"/>
  <c r="H2" i="10"/>
  <c r="I2" i="10"/>
  <c r="J2" i="10"/>
  <c r="K2" i="10"/>
  <c r="L2" i="10"/>
  <c r="M2" i="10"/>
  <c r="M12" i="10"/>
  <c r="M22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N2" i="10"/>
  <c r="O2" i="10"/>
  <c r="P2" i="10"/>
  <c r="Q2" i="10"/>
  <c r="R2" i="10"/>
  <c r="S2" i="10"/>
  <c r="T2" i="10"/>
  <c r="U2" i="10"/>
  <c r="V2" i="10"/>
  <c r="W2" i="10"/>
  <c r="X2" i="10"/>
  <c r="Y2" i="10"/>
  <c r="AA2" i="10"/>
  <c r="G3" i="10"/>
  <c r="H3" i="10"/>
  <c r="I3" i="10"/>
  <c r="J3" i="10"/>
  <c r="K3" i="10"/>
  <c r="L3" i="10"/>
  <c r="M3" i="10"/>
  <c r="M13" i="10"/>
  <c r="M23" i="10"/>
  <c r="M30" i="10"/>
  <c r="N30" i="10"/>
  <c r="Q30" i="10"/>
  <c r="P30" i="10"/>
  <c r="R30" i="10"/>
  <c r="O30" i="10"/>
  <c r="S30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AA3" i="10"/>
  <c r="G4" i="10"/>
  <c r="H4" i="10"/>
  <c r="I4" i="10"/>
  <c r="J4" i="10"/>
  <c r="K4" i="10"/>
  <c r="L4" i="10"/>
  <c r="M4" i="10"/>
  <c r="M14" i="10"/>
  <c r="M31" i="10"/>
  <c r="M56" i="10"/>
  <c r="M85" i="10"/>
  <c r="N85" i="10"/>
  <c r="Q85" i="10"/>
  <c r="P85" i="10"/>
  <c r="R85" i="10"/>
  <c r="O85" i="10"/>
  <c r="S85" i="10"/>
  <c r="N56" i="10"/>
  <c r="Q56" i="10"/>
  <c r="P56" i="10"/>
  <c r="R56" i="10"/>
  <c r="O56" i="10"/>
  <c r="S56" i="10"/>
  <c r="N31" i="10"/>
  <c r="Q31" i="10"/>
  <c r="P31" i="10"/>
  <c r="R31" i="10"/>
  <c r="O31" i="10"/>
  <c r="S31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AA4" i="10"/>
  <c r="G5" i="10"/>
  <c r="H5" i="10"/>
  <c r="I5" i="10"/>
  <c r="J5" i="10"/>
  <c r="K5" i="10"/>
  <c r="L5" i="10"/>
  <c r="M5" i="10"/>
  <c r="M15" i="10"/>
  <c r="M24" i="10"/>
  <c r="N24" i="10"/>
  <c r="Q24" i="10"/>
  <c r="P24" i="10"/>
  <c r="R24" i="10"/>
  <c r="O24" i="10"/>
  <c r="S24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AA5" i="10"/>
  <c r="G6" i="10"/>
  <c r="H6" i="10"/>
  <c r="I6" i="10"/>
  <c r="J6" i="10"/>
  <c r="K6" i="10"/>
  <c r="L6" i="10"/>
  <c r="M6" i="10"/>
  <c r="M16" i="10"/>
  <c r="M32" i="10"/>
  <c r="M75" i="10"/>
  <c r="M104" i="10"/>
  <c r="N104" i="10"/>
  <c r="Q104" i="10"/>
  <c r="P104" i="10"/>
  <c r="R104" i="10"/>
  <c r="O104" i="10"/>
  <c r="S104" i="10"/>
  <c r="N75" i="10"/>
  <c r="Q75" i="10"/>
  <c r="P75" i="10"/>
  <c r="R75" i="10"/>
  <c r="O75" i="10"/>
  <c r="S75" i="10"/>
  <c r="N32" i="10"/>
  <c r="Q32" i="10"/>
  <c r="P32" i="10"/>
  <c r="R32" i="10"/>
  <c r="O32" i="10"/>
  <c r="S32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AA6" i="10"/>
  <c r="G7" i="10"/>
  <c r="H7" i="10"/>
  <c r="I7" i="10"/>
  <c r="J7" i="10"/>
  <c r="K7" i="10"/>
  <c r="L7" i="10"/>
  <c r="M7" i="10"/>
  <c r="M17" i="10"/>
  <c r="M25" i="10"/>
  <c r="M50" i="10"/>
  <c r="M76" i="10"/>
  <c r="M105" i="10"/>
  <c r="N105" i="10"/>
  <c r="Q105" i="10"/>
  <c r="P105" i="10"/>
  <c r="R105" i="10"/>
  <c r="O105" i="10"/>
  <c r="S105" i="10"/>
  <c r="N76" i="10"/>
  <c r="Q76" i="10"/>
  <c r="P76" i="10"/>
  <c r="R76" i="10"/>
  <c r="O76" i="10"/>
  <c r="S76" i="10"/>
  <c r="N50" i="10"/>
  <c r="Q50" i="10"/>
  <c r="P50" i="10"/>
  <c r="R50" i="10"/>
  <c r="O50" i="10"/>
  <c r="S50" i="10"/>
  <c r="N25" i="10"/>
  <c r="Q25" i="10"/>
  <c r="P25" i="10"/>
  <c r="R25" i="10"/>
  <c r="O25" i="10"/>
  <c r="S25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AA7" i="10"/>
  <c r="G8" i="10"/>
  <c r="H8" i="10"/>
  <c r="I8" i="10"/>
  <c r="J8" i="10"/>
  <c r="K8" i="10"/>
  <c r="L8" i="10"/>
  <c r="M8" i="10"/>
  <c r="M18" i="10"/>
  <c r="M26" i="10"/>
  <c r="M51" i="10"/>
  <c r="N51" i="10"/>
  <c r="Q51" i="10"/>
  <c r="P51" i="10"/>
  <c r="R51" i="10"/>
  <c r="O51" i="10"/>
  <c r="S51" i="10"/>
  <c r="N26" i="10"/>
  <c r="Q26" i="10"/>
  <c r="P26" i="10"/>
  <c r="R26" i="10"/>
  <c r="O26" i="10"/>
  <c r="S26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AA8" i="10"/>
  <c r="G9" i="10"/>
  <c r="H9" i="10"/>
  <c r="I9" i="10"/>
  <c r="J9" i="10"/>
  <c r="K9" i="10"/>
  <c r="L9" i="10"/>
  <c r="M9" i="10"/>
  <c r="M19" i="10"/>
  <c r="M27" i="10"/>
  <c r="M52" i="10"/>
  <c r="N52" i="10"/>
  <c r="Q52" i="10"/>
  <c r="P52" i="10"/>
  <c r="R52" i="10"/>
  <c r="O52" i="10"/>
  <c r="S52" i="10"/>
  <c r="N27" i="10"/>
  <c r="Q27" i="10"/>
  <c r="P27" i="10"/>
  <c r="R27" i="10"/>
  <c r="O27" i="10"/>
  <c r="S27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AA9" i="10"/>
  <c r="G10" i="10"/>
  <c r="H10" i="10"/>
  <c r="I10" i="10"/>
  <c r="J10" i="10"/>
  <c r="K10" i="10"/>
  <c r="L10" i="10"/>
  <c r="M10" i="10"/>
  <c r="M20" i="10"/>
  <c r="M28" i="10"/>
  <c r="M53" i="10"/>
  <c r="M83" i="10"/>
  <c r="M108" i="10"/>
  <c r="N108" i="10"/>
  <c r="Q108" i="10"/>
  <c r="P108" i="10"/>
  <c r="R108" i="10"/>
  <c r="O108" i="10"/>
  <c r="S108" i="10"/>
  <c r="N83" i="10"/>
  <c r="Q83" i="10"/>
  <c r="P83" i="10"/>
  <c r="R83" i="10"/>
  <c r="O83" i="10"/>
  <c r="S83" i="10"/>
  <c r="N53" i="10"/>
  <c r="Q53" i="10"/>
  <c r="P53" i="10"/>
  <c r="R53" i="10"/>
  <c r="O53" i="10"/>
  <c r="S53" i="10"/>
  <c r="N28" i="10"/>
  <c r="Q28" i="10"/>
  <c r="P28" i="10"/>
  <c r="R28" i="10"/>
  <c r="O28" i="10"/>
  <c r="S28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AA10" i="10"/>
  <c r="G11" i="10"/>
  <c r="H11" i="10"/>
  <c r="I11" i="10"/>
  <c r="J11" i="10"/>
  <c r="K11" i="10"/>
  <c r="L11" i="10"/>
  <c r="M11" i="10"/>
  <c r="M21" i="10"/>
  <c r="M29" i="10"/>
  <c r="M54" i="10"/>
  <c r="N54" i="10"/>
  <c r="Q54" i="10"/>
  <c r="P54" i="10"/>
  <c r="R54" i="10"/>
  <c r="O54" i="10"/>
  <c r="S54" i="10"/>
  <c r="N29" i="10"/>
  <c r="Q29" i="10"/>
  <c r="P29" i="10"/>
  <c r="R29" i="10"/>
  <c r="O29" i="10"/>
  <c r="S29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AA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AA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AA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AA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AA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AA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AA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AA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AA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AA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AA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AA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AA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AA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AA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AA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AA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AA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AA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AA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AA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AA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AA33" i="10"/>
  <c r="G34" i="10"/>
  <c r="H34" i="10"/>
  <c r="I34" i="10"/>
  <c r="J34" i="10"/>
  <c r="K34" i="10"/>
  <c r="L34" i="10"/>
  <c r="M34" i="10"/>
  <c r="M77" i="10"/>
  <c r="N77" i="10"/>
  <c r="Q77" i="10"/>
  <c r="P77" i="10"/>
  <c r="R77" i="10"/>
  <c r="O77" i="10"/>
  <c r="S77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AA34" i="10"/>
  <c r="G35" i="10"/>
  <c r="H35" i="10"/>
  <c r="I35" i="10"/>
  <c r="J35" i="10"/>
  <c r="K35" i="10"/>
  <c r="L35" i="10"/>
  <c r="M35" i="10"/>
  <c r="M78" i="10"/>
  <c r="N78" i="10"/>
  <c r="Q78" i="10"/>
  <c r="P78" i="10"/>
  <c r="R78" i="10"/>
  <c r="O78" i="10"/>
  <c r="S78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AA35" i="10"/>
  <c r="G36" i="10"/>
  <c r="H36" i="10"/>
  <c r="I36" i="10"/>
  <c r="J36" i="10"/>
  <c r="K36" i="10"/>
  <c r="L36" i="10"/>
  <c r="M36" i="10"/>
  <c r="M79" i="10"/>
  <c r="M103" i="10"/>
  <c r="N103" i="10"/>
  <c r="Q103" i="10"/>
  <c r="P103" i="10"/>
  <c r="R103" i="10"/>
  <c r="O103" i="10"/>
  <c r="S103" i="10"/>
  <c r="N79" i="10"/>
  <c r="Q79" i="10"/>
  <c r="P79" i="10"/>
  <c r="R79" i="10"/>
  <c r="O79" i="10"/>
  <c r="S79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AA36" i="10"/>
  <c r="G37" i="10"/>
  <c r="H37" i="10"/>
  <c r="I37" i="10"/>
  <c r="J37" i="10"/>
  <c r="K37" i="10"/>
  <c r="L37" i="10"/>
  <c r="M37" i="10"/>
  <c r="M80" i="10"/>
  <c r="N80" i="10"/>
  <c r="Q80" i="10"/>
  <c r="P80" i="10"/>
  <c r="R80" i="10"/>
  <c r="O80" i="10"/>
  <c r="S80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AA37" i="10"/>
  <c r="G38" i="10"/>
  <c r="H38" i="10"/>
  <c r="I38" i="10"/>
  <c r="J38" i="10"/>
  <c r="K38" i="10"/>
  <c r="L38" i="10"/>
  <c r="M38" i="10"/>
  <c r="M81" i="10"/>
  <c r="N81" i="10"/>
  <c r="Q81" i="10"/>
  <c r="P81" i="10"/>
  <c r="R81" i="10"/>
  <c r="O81" i="10"/>
  <c r="S81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AA38" i="10"/>
  <c r="G39" i="10"/>
  <c r="H39" i="10"/>
  <c r="I39" i="10"/>
  <c r="J39" i="10"/>
  <c r="K39" i="10"/>
  <c r="L39" i="10"/>
  <c r="M39" i="10"/>
  <c r="M82" i="10"/>
  <c r="M106" i="10"/>
  <c r="N106" i="10"/>
  <c r="Q106" i="10"/>
  <c r="P106" i="10"/>
  <c r="R106" i="10"/>
  <c r="O106" i="10"/>
  <c r="S106" i="10"/>
  <c r="N82" i="10"/>
  <c r="Q82" i="10"/>
  <c r="P82" i="10"/>
  <c r="R82" i="10"/>
  <c r="O82" i="10"/>
  <c r="S82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AA39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AA40" i="10"/>
  <c r="G41" i="10"/>
  <c r="H41" i="10"/>
  <c r="I41" i="10"/>
  <c r="J41" i="10"/>
  <c r="K41" i="10"/>
  <c r="L41" i="10"/>
  <c r="M41" i="10"/>
  <c r="M84" i="10"/>
  <c r="N84" i="10"/>
  <c r="Q84" i="10"/>
  <c r="P84" i="10"/>
  <c r="R84" i="10"/>
  <c r="O84" i="10"/>
  <c r="S84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AA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AA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AA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AA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AA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AA46" i="10"/>
  <c r="G47" i="10"/>
  <c r="H47" i="10"/>
  <c r="I47" i="10"/>
  <c r="J47" i="10"/>
  <c r="K47" i="10"/>
  <c r="L47" i="10"/>
  <c r="M47" i="10"/>
  <c r="M107" i="10"/>
  <c r="N107" i="10"/>
  <c r="Q107" i="10"/>
  <c r="P107" i="10"/>
  <c r="R107" i="10"/>
  <c r="O107" i="10"/>
  <c r="S10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AA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AA48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AA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AA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AA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AA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AA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AA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AA56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AA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AA58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AA59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AA60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AA61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AA62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AA63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AA64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AA65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AA66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AA67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AA68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AA69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AA70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AA71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AA72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AA73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AA74" i="10"/>
  <c r="G75" i="10"/>
  <c r="H75" i="10"/>
  <c r="I75" i="10"/>
  <c r="J75" i="10"/>
  <c r="K75" i="10"/>
  <c r="L75" i="10"/>
  <c r="T75" i="10"/>
  <c r="U75" i="10"/>
  <c r="V75" i="10"/>
  <c r="W75" i="10"/>
  <c r="X75" i="10"/>
  <c r="Y75" i="10"/>
  <c r="AA75" i="10"/>
  <c r="G76" i="10"/>
  <c r="H76" i="10"/>
  <c r="I76" i="10"/>
  <c r="J76" i="10"/>
  <c r="K76" i="10"/>
  <c r="L76" i="10"/>
  <c r="T76" i="10"/>
  <c r="U76" i="10"/>
  <c r="V76" i="10"/>
  <c r="W76" i="10"/>
  <c r="X76" i="10"/>
  <c r="Y76" i="10"/>
  <c r="AA76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AA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AA78" i="10"/>
  <c r="G79" i="10"/>
  <c r="H79" i="10"/>
  <c r="I79" i="10"/>
  <c r="J79" i="10"/>
  <c r="K79" i="10"/>
  <c r="L79" i="10"/>
  <c r="T79" i="10"/>
  <c r="U79" i="10"/>
  <c r="V79" i="10"/>
  <c r="W79" i="10"/>
  <c r="X79" i="10"/>
  <c r="Y79" i="10"/>
  <c r="AA79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AA80" i="10"/>
  <c r="G81" i="10"/>
  <c r="H81" i="10"/>
  <c r="I81" i="10"/>
  <c r="J81" i="10"/>
  <c r="K81" i="10"/>
  <c r="L81" i="10"/>
  <c r="T81" i="10"/>
  <c r="U81" i="10"/>
  <c r="V81" i="10"/>
  <c r="W81" i="10"/>
  <c r="X81" i="10"/>
  <c r="Y81" i="10"/>
  <c r="AA81" i="10"/>
  <c r="G82" i="10"/>
  <c r="H82" i="10"/>
  <c r="I82" i="10"/>
  <c r="J82" i="10"/>
  <c r="K82" i="10"/>
  <c r="L82" i="10"/>
  <c r="T82" i="10"/>
  <c r="U82" i="10"/>
  <c r="V82" i="10"/>
  <c r="W82" i="10"/>
  <c r="X82" i="10"/>
  <c r="Y82" i="10"/>
  <c r="AA82" i="10"/>
  <c r="G83" i="10"/>
  <c r="H83" i="10"/>
  <c r="I83" i="10"/>
  <c r="J83" i="10"/>
  <c r="K83" i="10"/>
  <c r="L83" i="10"/>
  <c r="T83" i="10"/>
  <c r="U83" i="10"/>
  <c r="V83" i="10"/>
  <c r="W83" i="10"/>
  <c r="X83" i="10"/>
  <c r="Y83" i="10"/>
  <c r="AA83" i="10"/>
  <c r="G84" i="10"/>
  <c r="H84" i="10"/>
  <c r="I84" i="10"/>
  <c r="J84" i="10"/>
  <c r="K84" i="10"/>
  <c r="L84" i="10"/>
  <c r="T84" i="10"/>
  <c r="U84" i="10"/>
  <c r="V84" i="10"/>
  <c r="W84" i="10"/>
  <c r="X84" i="10"/>
  <c r="Y84" i="10"/>
  <c r="AA84" i="10"/>
  <c r="G85" i="10"/>
  <c r="H85" i="10"/>
  <c r="I85" i="10"/>
  <c r="J85" i="10"/>
  <c r="K85" i="10"/>
  <c r="L85" i="10"/>
  <c r="T85" i="10"/>
  <c r="U85" i="10"/>
  <c r="V85" i="10"/>
  <c r="W85" i="10"/>
  <c r="X85" i="10"/>
  <c r="Y85" i="10"/>
  <c r="AA85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AA86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AA87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AA88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AA89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AA90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AA91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AA92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AA93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AA94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AA95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AA96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AA97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AA98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AA99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AA100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AA101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AA102" i="10"/>
  <c r="G103" i="10"/>
  <c r="H103" i="10"/>
  <c r="I103" i="10"/>
  <c r="J103" i="10"/>
  <c r="K103" i="10"/>
  <c r="L103" i="10"/>
  <c r="T103" i="10"/>
  <c r="U103" i="10"/>
  <c r="V103" i="10"/>
  <c r="W103" i="10"/>
  <c r="X103" i="10"/>
  <c r="Y103" i="10"/>
  <c r="AA103" i="10"/>
  <c r="G104" i="10"/>
  <c r="H104" i="10"/>
  <c r="I104" i="10"/>
  <c r="J104" i="10"/>
  <c r="K104" i="10"/>
  <c r="L104" i="10"/>
  <c r="T104" i="10"/>
  <c r="U104" i="10"/>
  <c r="V104" i="10"/>
  <c r="W104" i="10"/>
  <c r="X104" i="10"/>
  <c r="Y104" i="10"/>
  <c r="AA104" i="10"/>
  <c r="G105" i="10"/>
  <c r="H105" i="10"/>
  <c r="I105" i="10"/>
  <c r="J105" i="10"/>
  <c r="K105" i="10"/>
  <c r="L105" i="10"/>
  <c r="T105" i="10"/>
  <c r="U105" i="10"/>
  <c r="V105" i="10"/>
  <c r="W105" i="10"/>
  <c r="X105" i="10"/>
  <c r="Y105" i="10"/>
  <c r="AA105" i="10"/>
  <c r="G106" i="10"/>
  <c r="H106" i="10"/>
  <c r="I106" i="10"/>
  <c r="J106" i="10"/>
  <c r="K106" i="10"/>
  <c r="L106" i="10"/>
  <c r="T106" i="10"/>
  <c r="U106" i="10"/>
  <c r="V106" i="10"/>
  <c r="W106" i="10"/>
  <c r="X106" i="10"/>
  <c r="Y106" i="10"/>
  <c r="AA106" i="10"/>
  <c r="G107" i="10"/>
  <c r="H107" i="10"/>
  <c r="I107" i="10"/>
  <c r="J107" i="10"/>
  <c r="K107" i="10"/>
  <c r="L107" i="10"/>
  <c r="T107" i="10"/>
  <c r="U107" i="10"/>
  <c r="V107" i="10"/>
  <c r="W107" i="10"/>
  <c r="X107" i="10"/>
  <c r="Y107" i="10"/>
  <c r="AA107" i="10"/>
  <c r="G108" i="10"/>
  <c r="H108" i="10"/>
  <c r="I108" i="10"/>
  <c r="J108" i="10"/>
  <c r="K108" i="10"/>
  <c r="L108" i="10"/>
  <c r="T108" i="10"/>
  <c r="U108" i="10"/>
  <c r="V108" i="10"/>
  <c r="W108" i="10"/>
  <c r="X108" i="10"/>
  <c r="Y108" i="10"/>
  <c r="AA108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82" i="9"/>
  <c r="H82" i="9"/>
  <c r="I82" i="9"/>
  <c r="J82" i="9"/>
  <c r="K82" i="9"/>
  <c r="L82" i="9"/>
  <c r="M82" i="9"/>
  <c r="N82" i="9"/>
  <c r="G83" i="9"/>
  <c r="H83" i="9"/>
  <c r="I83" i="9"/>
  <c r="J83" i="9"/>
  <c r="K83" i="9"/>
  <c r="L83" i="9"/>
  <c r="M83" i="9"/>
  <c r="N83" i="9"/>
  <c r="G85" i="9"/>
  <c r="H85" i="9"/>
  <c r="I85" i="9"/>
  <c r="J85" i="9"/>
  <c r="K85" i="9"/>
  <c r="L85" i="9"/>
  <c r="M85" i="9"/>
  <c r="N85" i="9"/>
  <c r="G86" i="9"/>
  <c r="H86" i="9"/>
  <c r="I86" i="9"/>
  <c r="J86" i="9"/>
  <c r="K86" i="9"/>
  <c r="L86" i="9"/>
  <c r="M86" i="9"/>
  <c r="N86" i="9"/>
  <c r="G87" i="9"/>
  <c r="H87" i="9"/>
  <c r="I87" i="9"/>
  <c r="J87" i="9"/>
  <c r="K87" i="9"/>
  <c r="L87" i="9"/>
  <c r="M87" i="9"/>
  <c r="N87" i="9"/>
  <c r="G88" i="9"/>
  <c r="H88" i="9"/>
  <c r="I88" i="9"/>
  <c r="J88" i="9"/>
  <c r="K88" i="9"/>
  <c r="L88" i="9"/>
  <c r="M88" i="9"/>
  <c r="N88" i="9"/>
  <c r="G89" i="9"/>
  <c r="H89" i="9"/>
  <c r="I89" i="9"/>
  <c r="J89" i="9"/>
  <c r="K89" i="9"/>
  <c r="L89" i="9"/>
  <c r="M89" i="9"/>
  <c r="N89" i="9"/>
  <c r="G90" i="9"/>
  <c r="H90" i="9"/>
  <c r="I90" i="9"/>
  <c r="J90" i="9"/>
  <c r="K90" i="9"/>
  <c r="L90" i="9"/>
  <c r="M90" i="9"/>
  <c r="N90" i="9"/>
  <c r="G91" i="9"/>
  <c r="H91" i="9"/>
  <c r="I91" i="9"/>
  <c r="J91" i="9"/>
  <c r="K91" i="9"/>
  <c r="L91" i="9"/>
  <c r="M91" i="9"/>
  <c r="N91" i="9"/>
  <c r="G92" i="9"/>
  <c r="H92" i="9"/>
  <c r="I92" i="9"/>
  <c r="J92" i="9"/>
  <c r="K92" i="9"/>
  <c r="L92" i="9"/>
  <c r="M92" i="9"/>
  <c r="N92" i="9"/>
  <c r="G93" i="9"/>
  <c r="H93" i="9"/>
  <c r="I93" i="9"/>
  <c r="J93" i="9"/>
  <c r="K93" i="9"/>
  <c r="L93" i="9"/>
  <c r="M93" i="9"/>
  <c r="N93" i="9"/>
  <c r="G94" i="9"/>
  <c r="H94" i="9"/>
  <c r="I94" i="9"/>
  <c r="J94" i="9"/>
  <c r="K94" i="9"/>
  <c r="L94" i="9"/>
  <c r="M94" i="9"/>
  <c r="N94" i="9"/>
  <c r="G95" i="9"/>
  <c r="H95" i="9"/>
  <c r="I95" i="9"/>
  <c r="J95" i="9"/>
  <c r="K95" i="9"/>
  <c r="L95" i="9"/>
  <c r="M95" i="9"/>
  <c r="N95" i="9"/>
  <c r="G96" i="9"/>
  <c r="H96" i="9"/>
  <c r="I96" i="9"/>
  <c r="J96" i="9"/>
  <c r="K96" i="9"/>
  <c r="L96" i="9"/>
  <c r="M96" i="9"/>
  <c r="N96" i="9"/>
  <c r="G97" i="9"/>
  <c r="H97" i="9"/>
  <c r="I97" i="9"/>
  <c r="J97" i="9"/>
  <c r="K97" i="9"/>
  <c r="L97" i="9"/>
  <c r="M97" i="9"/>
  <c r="N97" i="9"/>
  <c r="G98" i="9"/>
  <c r="H98" i="9"/>
  <c r="I98" i="9"/>
  <c r="J98" i="9"/>
  <c r="K98" i="9"/>
  <c r="L98" i="9"/>
  <c r="M98" i="9"/>
  <c r="N98" i="9"/>
  <c r="G99" i="9"/>
  <c r="H99" i="9"/>
  <c r="I99" i="9"/>
  <c r="J99" i="9"/>
  <c r="K99" i="9"/>
  <c r="L99" i="9"/>
  <c r="M99" i="9"/>
  <c r="N99" i="9"/>
  <c r="G100" i="9"/>
  <c r="H100" i="9"/>
  <c r="I100" i="9"/>
  <c r="J100" i="9"/>
  <c r="K100" i="9"/>
  <c r="L100" i="9"/>
  <c r="M100" i="9"/>
  <c r="N100" i="9"/>
  <c r="G101" i="9"/>
  <c r="H101" i="9"/>
  <c r="I101" i="9"/>
  <c r="J101" i="9"/>
  <c r="K101" i="9"/>
  <c r="L101" i="9"/>
  <c r="M101" i="9"/>
  <c r="N101" i="9"/>
  <c r="G102" i="9"/>
  <c r="H102" i="9"/>
  <c r="I102" i="9"/>
  <c r="J102" i="9"/>
  <c r="K102" i="9"/>
  <c r="L102" i="9"/>
  <c r="M102" i="9"/>
  <c r="N102" i="9"/>
  <c r="G103" i="9"/>
  <c r="H103" i="9"/>
  <c r="I103" i="9"/>
  <c r="J103" i="9"/>
  <c r="K103" i="9"/>
  <c r="L103" i="9"/>
  <c r="M103" i="9"/>
  <c r="N103" i="9"/>
  <c r="A99" i="9"/>
  <c r="D99" i="9"/>
  <c r="E99" i="9"/>
  <c r="J100" i="11"/>
  <c r="O99" i="9"/>
  <c r="A100" i="9"/>
  <c r="D100" i="9"/>
  <c r="E100" i="9"/>
  <c r="J101" i="11"/>
  <c r="O100" i="9"/>
  <c r="A101" i="9"/>
  <c r="D101" i="9"/>
  <c r="E101" i="9"/>
  <c r="J102" i="11"/>
  <c r="O101" i="9"/>
  <c r="A102" i="9"/>
  <c r="D102" i="9"/>
  <c r="E102" i="9"/>
  <c r="J103" i="11"/>
  <c r="O102" i="9"/>
  <c r="A103" i="9"/>
  <c r="D103" i="9"/>
  <c r="E103" i="9"/>
  <c r="J104" i="11"/>
  <c r="O103" i="9"/>
  <c r="A104" i="9"/>
  <c r="D104" i="9"/>
  <c r="E104" i="9"/>
  <c r="A105" i="9"/>
  <c r="D105" i="9"/>
  <c r="E105" i="9"/>
  <c r="A106" i="9"/>
  <c r="D106" i="9"/>
  <c r="E106" i="9"/>
  <c r="A107" i="9"/>
  <c r="D107" i="9"/>
  <c r="E107" i="9"/>
  <c r="A108" i="9"/>
  <c r="D108" i="9"/>
  <c r="E108" i="9"/>
  <c r="A109" i="9"/>
  <c r="D109" i="9"/>
  <c r="E109" i="9"/>
  <c r="A94" i="9"/>
  <c r="D94" i="9"/>
  <c r="E94" i="9"/>
  <c r="J95" i="11"/>
  <c r="O94" i="9"/>
  <c r="A95" i="9"/>
  <c r="D95" i="9"/>
  <c r="E95" i="9"/>
  <c r="J96" i="11"/>
  <c r="O95" i="9"/>
  <c r="A96" i="9"/>
  <c r="D96" i="9"/>
  <c r="E96" i="9"/>
  <c r="J97" i="11"/>
  <c r="O96" i="9"/>
  <c r="A97" i="9"/>
  <c r="D97" i="9"/>
  <c r="E97" i="9"/>
  <c r="J98" i="11"/>
  <c r="O97" i="9"/>
  <c r="A98" i="9"/>
  <c r="D98" i="9"/>
  <c r="E98" i="9"/>
  <c r="J99" i="11"/>
  <c r="O98" i="9"/>
  <c r="A82" i="9"/>
  <c r="D82" i="9"/>
  <c r="E82" i="9"/>
  <c r="J83" i="11"/>
  <c r="O82" i="9"/>
  <c r="A83" i="9"/>
  <c r="D83" i="9"/>
  <c r="E83" i="9"/>
  <c r="J84" i="11"/>
  <c r="O83" i="9"/>
  <c r="A85" i="9"/>
  <c r="D85" i="9"/>
  <c r="J86" i="11"/>
  <c r="O85" i="9"/>
  <c r="A86" i="9"/>
  <c r="D86" i="9"/>
  <c r="E86" i="9"/>
  <c r="J87" i="11"/>
  <c r="O86" i="9"/>
  <c r="A87" i="9"/>
  <c r="D87" i="9"/>
  <c r="E87" i="9"/>
  <c r="J88" i="11"/>
  <c r="O87" i="9"/>
  <c r="A88" i="9"/>
  <c r="D88" i="9"/>
  <c r="E88" i="9"/>
  <c r="J89" i="11"/>
  <c r="O88" i="9"/>
  <c r="A89" i="9"/>
  <c r="D89" i="9"/>
  <c r="E89" i="9"/>
  <c r="J90" i="11"/>
  <c r="O89" i="9"/>
  <c r="A90" i="9"/>
  <c r="D90" i="9"/>
  <c r="E90" i="9"/>
  <c r="J91" i="11"/>
  <c r="O90" i="9"/>
  <c r="A91" i="9"/>
  <c r="D91" i="9"/>
  <c r="E91" i="9"/>
  <c r="J92" i="11"/>
  <c r="O91" i="9"/>
  <c r="A92" i="9"/>
  <c r="D92" i="9"/>
  <c r="E92" i="9"/>
  <c r="J93" i="11"/>
  <c r="O92" i="9"/>
  <c r="A93" i="9"/>
  <c r="D93" i="9"/>
  <c r="E93" i="9"/>
  <c r="J94" i="11"/>
  <c r="O93" i="9"/>
  <c r="A34" i="9"/>
  <c r="D34" i="9"/>
  <c r="E34" i="9"/>
  <c r="J35" i="11"/>
  <c r="O34" i="9"/>
  <c r="A35" i="9"/>
  <c r="D35" i="9"/>
  <c r="E35" i="9"/>
  <c r="J36" i="11"/>
  <c r="O35" i="9"/>
  <c r="A36" i="9"/>
  <c r="D36" i="9"/>
  <c r="E36" i="9"/>
  <c r="J37" i="11"/>
  <c r="O36" i="9"/>
  <c r="A37" i="9"/>
  <c r="D37" i="9"/>
  <c r="E37" i="9"/>
  <c r="J38" i="11"/>
  <c r="O37" i="9"/>
  <c r="A38" i="9"/>
  <c r="D38" i="9"/>
  <c r="E38" i="9"/>
  <c r="J39" i="11"/>
  <c r="O38" i="9"/>
  <c r="A39" i="9"/>
  <c r="D39" i="9"/>
  <c r="E39" i="9"/>
  <c r="J40" i="11"/>
  <c r="O39" i="9"/>
  <c r="A40" i="9"/>
  <c r="D40" i="9"/>
  <c r="E40" i="9"/>
  <c r="J41" i="11"/>
  <c r="O40" i="9"/>
  <c r="A41" i="9"/>
  <c r="D41" i="9"/>
  <c r="E41" i="9"/>
  <c r="J42" i="11"/>
  <c r="O41" i="9"/>
  <c r="A42" i="9"/>
  <c r="D42" i="9"/>
  <c r="E42" i="9"/>
  <c r="J43" i="11"/>
  <c r="O42" i="9"/>
  <c r="A43" i="9"/>
  <c r="D43" i="9"/>
  <c r="E43" i="9"/>
  <c r="J44" i="11"/>
  <c r="O43" i="9"/>
  <c r="A44" i="9"/>
  <c r="D44" i="9"/>
  <c r="E44" i="9"/>
  <c r="J45" i="11"/>
  <c r="O44" i="9"/>
  <c r="A45" i="9"/>
  <c r="D45" i="9"/>
  <c r="E45" i="9"/>
  <c r="J46" i="11"/>
  <c r="O45" i="9"/>
  <c r="A46" i="9"/>
  <c r="D46" i="9"/>
  <c r="E46" i="9"/>
  <c r="J47" i="11"/>
  <c r="O46" i="9"/>
  <c r="A47" i="9"/>
  <c r="D47" i="9"/>
  <c r="E47" i="9"/>
  <c r="J48" i="11"/>
  <c r="O47" i="9"/>
  <c r="A48" i="9"/>
  <c r="D48" i="9"/>
  <c r="E48" i="9"/>
  <c r="J49" i="11"/>
  <c r="O48" i="9"/>
  <c r="A49" i="9"/>
  <c r="D49" i="9"/>
  <c r="E49" i="9"/>
  <c r="J50" i="11"/>
  <c r="O49" i="9"/>
  <c r="A51" i="9"/>
  <c r="D51" i="9"/>
  <c r="E51" i="9"/>
  <c r="J52" i="11"/>
  <c r="O51" i="9"/>
  <c r="A52" i="9"/>
  <c r="D52" i="9"/>
  <c r="E52" i="9"/>
  <c r="J53" i="11"/>
  <c r="O52" i="9"/>
  <c r="A53" i="9"/>
  <c r="D53" i="9"/>
  <c r="E53" i="9"/>
  <c r="J54" i="11"/>
  <c r="O53" i="9"/>
  <c r="J34" i="11"/>
  <c r="O33" i="9"/>
  <c r="E33" i="9"/>
  <c r="D33" i="9"/>
  <c r="A33" i="9"/>
  <c r="J55" i="11"/>
  <c r="J56" i="11"/>
  <c r="J57" i="11"/>
  <c r="A11" i="9"/>
  <c r="D11" i="9"/>
  <c r="E11" i="9"/>
  <c r="J10" i="11"/>
  <c r="O11" i="9"/>
  <c r="J3" i="11"/>
  <c r="J4" i="11"/>
  <c r="J5" i="11"/>
  <c r="J6" i="11"/>
  <c r="J7" i="11"/>
  <c r="J8" i="11"/>
  <c r="J9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A3" i="9"/>
  <c r="D3" i="9"/>
  <c r="E3" i="9"/>
  <c r="O3" i="9"/>
  <c r="A4" i="9"/>
  <c r="D4" i="9"/>
  <c r="E4" i="9"/>
  <c r="O4" i="9"/>
  <c r="A5" i="9"/>
  <c r="D5" i="9"/>
  <c r="E5" i="9"/>
  <c r="O5" i="9"/>
  <c r="A6" i="9"/>
  <c r="D6" i="9"/>
  <c r="E6" i="9"/>
  <c r="O6" i="9"/>
  <c r="A7" i="9"/>
  <c r="D7" i="9"/>
  <c r="E7" i="9"/>
  <c r="O7" i="9"/>
  <c r="A8" i="9"/>
  <c r="D8" i="9"/>
  <c r="E8" i="9"/>
  <c r="O8" i="9"/>
  <c r="A10" i="9"/>
  <c r="D10" i="9"/>
  <c r="E10" i="9"/>
  <c r="O10" i="9"/>
  <c r="A12" i="9"/>
  <c r="D12" i="9"/>
  <c r="E12" i="9"/>
  <c r="O12" i="9"/>
  <c r="A13" i="9"/>
  <c r="D13" i="9"/>
  <c r="E13" i="9"/>
  <c r="O13" i="9"/>
  <c r="A14" i="9"/>
  <c r="D14" i="9"/>
  <c r="E14" i="9"/>
  <c r="O14" i="9"/>
  <c r="A15" i="9"/>
  <c r="D15" i="9"/>
  <c r="E15" i="9"/>
  <c r="O15" i="9"/>
  <c r="A16" i="9"/>
  <c r="D16" i="9"/>
  <c r="E16" i="9"/>
  <c r="O16" i="9"/>
  <c r="A17" i="9"/>
  <c r="D17" i="9"/>
  <c r="E17" i="9"/>
  <c r="O17" i="9"/>
  <c r="A18" i="9"/>
  <c r="D18" i="9"/>
  <c r="E18" i="9"/>
  <c r="O18" i="9"/>
  <c r="A19" i="9"/>
  <c r="D19" i="9"/>
  <c r="E19" i="9"/>
  <c r="O19" i="9"/>
  <c r="A20" i="9"/>
  <c r="D20" i="9"/>
  <c r="E20" i="9"/>
  <c r="O20" i="9"/>
  <c r="A21" i="9"/>
  <c r="D21" i="9"/>
  <c r="E21" i="9"/>
  <c r="O21" i="9"/>
  <c r="A22" i="9"/>
  <c r="D22" i="9"/>
  <c r="E22" i="9"/>
  <c r="O22" i="9"/>
  <c r="A23" i="9"/>
  <c r="D23" i="9"/>
  <c r="E23" i="9"/>
  <c r="O23" i="9"/>
  <c r="A24" i="9"/>
  <c r="D24" i="9"/>
  <c r="E24" i="9"/>
  <c r="O24" i="9"/>
  <c r="A25" i="9"/>
  <c r="D25" i="9"/>
  <c r="O25" i="9"/>
  <c r="A26" i="9"/>
  <c r="D26" i="9"/>
  <c r="E26" i="9"/>
  <c r="O26" i="9"/>
  <c r="A27" i="9"/>
  <c r="D27" i="9"/>
  <c r="E27" i="9"/>
  <c r="O27" i="9"/>
  <c r="A28" i="9"/>
  <c r="D28" i="9"/>
  <c r="E28" i="9"/>
  <c r="O28" i="9"/>
  <c r="A29" i="9"/>
  <c r="D29" i="9"/>
  <c r="E29" i="9"/>
  <c r="O29" i="9"/>
  <c r="A30" i="9"/>
  <c r="D30" i="9"/>
  <c r="E30" i="9"/>
  <c r="O30" i="9"/>
  <c r="A31" i="9"/>
  <c r="D31" i="9"/>
  <c r="E31" i="9"/>
  <c r="O31" i="9"/>
  <c r="A32" i="9"/>
  <c r="D32" i="9"/>
  <c r="E32" i="9"/>
  <c r="O32" i="9"/>
  <c r="A54" i="9"/>
  <c r="D54" i="9"/>
  <c r="E54" i="9"/>
  <c r="O54" i="9"/>
  <c r="A55" i="9"/>
  <c r="D55" i="9"/>
  <c r="E55" i="9"/>
  <c r="O55" i="9"/>
  <c r="A56" i="9"/>
  <c r="D56" i="9"/>
  <c r="E56" i="9"/>
  <c r="O56" i="9"/>
  <c r="B2" i="19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V2" i="1"/>
  <c r="E2" i="9"/>
  <c r="V3" i="1"/>
  <c r="V4" i="1"/>
  <c r="V5" i="1"/>
  <c r="V6" i="1"/>
  <c r="V7" i="1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I2" i="19"/>
  <c r="J2" i="19"/>
  <c r="G2" i="19"/>
  <c r="F2" i="19"/>
  <c r="D2" i="19"/>
  <c r="C2" i="19"/>
  <c r="J2" i="11"/>
  <c r="O2" i="9"/>
  <c r="N2" i="9"/>
  <c r="M2" i="9"/>
  <c r="L2" i="9"/>
  <c r="K2" i="9"/>
  <c r="J2" i="9"/>
  <c r="I2" i="9"/>
  <c r="H2" i="9"/>
  <c r="G2" i="9"/>
  <c r="D2" i="9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F2" i="1"/>
  <c r="B2" i="2"/>
  <c r="G104" i="9"/>
  <c r="H104" i="9"/>
  <c r="I104" i="9"/>
  <c r="J104" i="9"/>
  <c r="K104" i="9"/>
  <c r="L104" i="9"/>
  <c r="N104" i="9"/>
  <c r="J105" i="11"/>
  <c r="O104" i="9"/>
  <c r="G105" i="9"/>
  <c r="H105" i="9"/>
  <c r="J105" i="9"/>
  <c r="K105" i="9"/>
  <c r="L105" i="9"/>
  <c r="N105" i="9"/>
  <c r="G106" i="9"/>
  <c r="H106" i="9"/>
  <c r="J106" i="9"/>
  <c r="K106" i="9"/>
  <c r="L106" i="9"/>
  <c r="N106" i="9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<sst xmlns="http://schemas.openxmlformats.org/spreadsheetml/2006/main" count="1388" uniqueCount="435">
  <si>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</si>
  <si>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</si>
  <si>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</si>
  <si>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</si>
  <si>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</si>
  <si>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</si>
  <si>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</si>
  <si>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</si>
  <si>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</si>
  <si>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</si>
  <si>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</si>
  <si>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</si>
  <si>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</si>
  <si>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</si>
  <si>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</si>
  <si>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</si>
  <si>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</si>
  <si>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</si>
  <si>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</si>
  <si>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</si>
  <si>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</si>
  <si>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</si>
  <si>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</si>
  <si>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</si>
  <si>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</si>
  <si>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</si>
  <si>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</si>
  <si>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</si>
  <si>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</si>
  <si>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</si>
  <si>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</si>
  <si>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</si>
  <si>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</si>
  <si>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</si>
  <si>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</si>
  <si>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</si>
  <si>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</si>
  <si>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</si>
  <si>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</si>
  <si>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</si>
  <si>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</si>
  <si>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</si>
  <si>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</si>
  <si>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</si>
  <si>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</si>
  <si>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</si>
  <si>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</si>
  <si>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</si>
  <si>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</si>
  <si>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</si>
  <si>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</si>
  <si>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</si>
  <si>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</si>
  <si>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</si>
  <si>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</si>
  <si>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</si>
  <si>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</si>
  <si>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</si>
  <si>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</si>
  <si>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</si>
  <si>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</si>
  <si>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</si>
  <si>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</si>
  <si>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</si>
  <si>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</si>
  <si>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</si>
  <si>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</si>
  <si>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</si>
  <si>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</si>
  <si>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</si>
  <si>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</si>
  <si>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</si>
  <si>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</si>
  <si>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</si>
  <si>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</si>
  <si>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</si>
  <si>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</si>
  <si>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</si>
  <si>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</si>
  <si>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</si>
  <si>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</si>
  <si>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</si>
  <si>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</si>
  <si>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</si>
  <si>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</si>
  <si>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</si>
  <si>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</si>
  <si>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</si>
  <si>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</si>
  <si>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</si>
  <si>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</si>
  <si>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</si>
  <si>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</si>
  <si>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</si>
  <si>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</si>
  <si>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</si>
  <si>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</si>
  <si>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</si>
  <si>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</si>
  <si>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</si>
  <si>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</si>
  <si>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</si>
  <si>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</si>
  <si>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</si>
  <si>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</si>
  <si>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</si>
  <si>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</si>
  <si>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</si>
  <si>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</si>
  <si>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</si>
  <si>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</si>
  <si>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</si>
  <si>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</si>
  <si>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</si>
  <si>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</si>
  <si>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</si>
  <si>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</si>
  <si>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</si>
  <si>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</si>
  <si>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</si>
  <si>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</si>
  <si>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</si>
  <si>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</si>
  <si>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</si>
  <si>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</si>
  <si>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</si>
  <si>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</si>
  <si>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</si>
  <si>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</si>
  <si>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</si>
  <si>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</si>
  <si>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</si>
  <si>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</si>
  <si>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</si>
  <si>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</si>
  <si>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</si>
  <si>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</si>
  <si>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</si>
  <si>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</si>
  <si>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</si>
  <si>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</si>
  <si>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</si>
  <si>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</si>
  <si>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</si>
  <si>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</si>
  <si>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</si>
  <si>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</si>
  <si>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</si>
  <si>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</si>
  <si>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</si>
  <si>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</si>
  <si>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</si>
  <si>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</si>
  <si>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</si>
  <si>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</si>
  <si>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</si>
  <si>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</si>
  <si>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</si>
  <si>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</si>
  <si>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</si>
  <si>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</si>
  <si>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</si>
  <si>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</si>
  <si>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</si>
  <si>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</si>
  <si>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</si>
  <si>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</si>
  <si>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</si>
  <si>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</si>
  <si>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</si>
  <si>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stage_id</t>
    <phoneticPr fontId="6"/>
  </si>
  <si>
    <t>skill_level</t>
    <phoneticPr fontId="6"/>
  </si>
  <si>
    <t>skill_level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</si>
  <si>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</si>
  <si>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</si>
  <si>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</si>
  <si>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</si>
  <si>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</si>
  <si>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</si>
  <si>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</si>
  <si>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</si>
  <si>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</si>
  <si>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</si>
  <si>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</si>
  <si>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</si>
  <si>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</si>
  <si>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</si>
  <si>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</si>
  <si>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complete</t>
  </si>
  <si>
    <t>old</t>
    <phoneticPr fontId="6"/>
  </si>
  <si>
    <t>old</t>
    <phoneticPr fontId="6"/>
  </si>
  <si>
    <t>全体攻撃</t>
    <rPh sb="0" eb="4">
      <t>ゼンタ</t>
    </rPh>
    <phoneticPr fontId="6"/>
  </si>
  <si>
    <t>KAITO</t>
    <phoneticPr fontId="6"/>
  </si>
  <si>
    <t>赤属性のユニットに大ダメージ</t>
    <rPh sb="0" eb="4">
      <t>アカゾk</t>
    </rPh>
    <rPh sb="9" eb="14">
      <t>ダ</t>
    </rPh>
    <phoneticPr fontId="6"/>
  </si>
  <si>
    <t>MEIKO</t>
    <phoneticPr fontId="6"/>
  </si>
  <si>
    <t>クリティカル！</t>
    <phoneticPr fontId="6"/>
  </si>
  <si>
    <t>リン</t>
    <phoneticPr fontId="6"/>
  </si>
  <si>
    <t>レン</t>
    <phoneticPr fontId="6"/>
  </si>
  <si>
    <t>ルカ１</t>
    <phoneticPr fontId="6"/>
  </si>
  <si>
    <t>ルカ２</t>
  </si>
  <si>
    <t>ミク１</t>
  </si>
  <si>
    <t>ミク１</t>
    <phoneticPr fontId="6"/>
  </si>
  <si>
    <t>ミク２</t>
  </si>
  <si>
    <t>ミク３</t>
  </si>
  <si>
    <t>ミク２</t>
    <phoneticPr fontId="6"/>
  </si>
  <si>
    <t>ミク３</t>
    <phoneticPr fontId="6"/>
  </si>
  <si>
    <t>クリティカル！</t>
    <phoneticPr fontId="6"/>
  </si>
  <si>
    <t>[effect:freq_turn, target:myself, turn:3, val:1, animation:enemy_freq_turn]</t>
    <phoneticPr fontId="6"/>
  </si>
  <si>
    <t>[effect:rush, count:4, val:0.4]</t>
    <phoneticPr fontId="6"/>
  </si>
  <si>
    <t>null</t>
    <phoneticPr fontId="6"/>
  </si>
  <si>
    <t>null</t>
    <phoneticPr fontId="6"/>
  </si>
  <si>
    <t>null</t>
    <phoneticPr fontId="6"/>
  </si>
  <si>
    <t>LB久保</t>
    <rPh sb="2" eb="4">
      <t>クb</t>
    </rPh>
    <phoneticPr fontId="6"/>
  </si>
  <si>
    <t>null</t>
  </si>
  <si>
    <t>ja</t>
    <phoneticPr fontId="6"/>
  </si>
  <si>
    <t>ボクの本気、見せてあげる！</t>
    <rPh sb="3" eb="5">
      <t>ホンk</t>
    </rPh>
    <rPh sb="6" eb="12">
      <t>ミs</t>
    </rPh>
    <phoneticPr fontId="6"/>
  </si>
  <si>
    <t>リンに便乗ッ！</t>
    <rPh sb="3" eb="7">
      <t>ビンジョ</t>
    </rPh>
    <phoneticPr fontId="6"/>
  </si>
  <si>
    <t>惑わせてあげるわ</t>
    <rPh sb="0" eb="4">
      <t>マドワセt</t>
    </rPh>
    <phoneticPr fontId="6"/>
  </si>
  <si>
    <t>name</t>
    <phoneticPr fontId="6"/>
  </si>
  <si>
    <t>null</t>
    <phoneticPr fontId="6"/>
  </si>
  <si>
    <t>unit</t>
    <phoneticPr fontId="6"/>
  </si>
  <si>
    <t>link</t>
    <phoneticPr fontId="6"/>
  </si>
  <si>
    <t>unit</t>
    <phoneticPr fontId="6"/>
  </si>
  <si>
    <t>次のターン強力な攻撃！</t>
    <rPh sb="0" eb="2">
      <t>ツg</t>
    </rPh>
    <rPh sb="5" eb="8">
      <t>キョ</t>
    </rPh>
    <rPh sb="8" eb="10">
      <t>コウゲk</t>
    </rPh>
    <phoneticPr fontId="6"/>
  </si>
  <si>
    <t>3ターンCパネル生成延長</t>
    <rPh sb="8" eb="10">
      <t>セ</t>
    </rPh>
    <rPh sb="10" eb="12">
      <t>セ</t>
    </rPh>
    <phoneticPr fontId="6"/>
  </si>
  <si>
    <t>テキーラショット！</t>
    <phoneticPr fontId="6"/>
  </si>
  <si>
    <t>ブルーハワイ(ﾟдﾟ)ｳﾏｰ</t>
    <phoneticPr fontId="6"/>
  </si>
  <si>
    <t>イチゴソルベ(ﾟдﾟ)ｳﾏｰ</t>
    <phoneticPr fontId="6"/>
  </si>
  <si>
    <t>カルーア・オン・アイス♪</t>
    <phoneticPr fontId="6"/>
  </si>
  <si>
    <t>ちょっと危ない雰囲気だ！</t>
    <rPh sb="4" eb="7">
      <t>アブン</t>
    </rPh>
    <rPh sb="7" eb="12">
      <t>フンイk</t>
    </rPh>
    <phoneticPr fontId="6"/>
  </si>
  <si>
    <t>アレが飲みたいわ(人ﾟ∀ﾟ*)</t>
    <rPh sb="3" eb="7">
      <t>ノm</t>
    </rPh>
    <rPh sb="9" eb="15">
      <t>;´･ω･)</t>
    </rPh>
    <phoneticPr fontId="6"/>
  </si>
  <si>
    <t>ja</t>
    <phoneticPr fontId="6"/>
  </si>
  <si>
    <t>[effect:rush, count:4, val:0.3],[effect:fix_speed, target:myself, turn:2]</t>
    <phoneticPr fontId="6"/>
  </si>
  <si>
    <t>null</t>
    <phoneticPr fontId="6"/>
  </si>
  <si>
    <t>null</t>
    <phoneticPr fontId="6"/>
  </si>
  <si>
    <t>Are you ready？</t>
    <phoneticPr fontId="6"/>
  </si>
  <si>
    <t>ja</t>
    <phoneticPr fontId="6"/>
  </si>
  <si>
    <t>楽しんでるかしら？</t>
    <rPh sb="0" eb="5">
      <t>タノs</t>
    </rPh>
    <phoneticPr fontId="6"/>
  </si>
  <si>
    <t>これでどうかしら？</t>
    <phoneticPr fontId="6"/>
  </si>
  <si>
    <t>耐えられるかしら？</t>
    <rPh sb="0" eb="9">
      <t>タ</t>
    </rPh>
    <phoneticPr fontId="6"/>
  </si>
  <si>
    <t>こんなの序の口でしょ？</t>
    <rPh sb="4" eb="5">
      <t>ジョ</t>
    </rPh>
    <rPh sb="6" eb="7">
      <t>クt</t>
    </rPh>
    <phoneticPr fontId="6"/>
  </si>
  <si>
    <t>まだまだこれからよ？</t>
    <phoneticPr fontId="6"/>
  </si>
  <si>
    <t>ja</t>
    <phoneticPr fontId="6"/>
  </si>
  <si>
    <t>本気で来なさい！</t>
    <rPh sb="0" eb="2">
      <t>ホンk</t>
    </rPh>
    <rPh sb="3" eb="4">
      <t>キ</t>
    </rPh>
    <rPh sb="7" eb="8">
      <t>キテ</t>
    </rPh>
    <phoneticPr fontId="6"/>
  </si>
  <si>
    <t>ディストーション！</t>
    <phoneticPr fontId="6"/>
  </si>
  <si>
    <t>楽しみましょう♪</t>
    <rPh sb="0" eb="3">
      <t>タン</t>
    </rPh>
    <phoneticPr fontId="6"/>
  </si>
  <si>
    <t>モード・チェンジ！</t>
    <phoneticPr fontId="6"/>
  </si>
  <si>
    <t>どうしよう…負けたくない…！</t>
    <rPh sb="6" eb="12">
      <t>マk</t>
    </rPh>
    <phoneticPr fontId="6"/>
  </si>
  <si>
    <t>超高周波ボイス！</t>
    <rPh sb="0" eb="1">
      <t>チョ</t>
    </rPh>
    <rPh sb="1" eb="4">
      <t>コウシュ</t>
    </rPh>
    <phoneticPr fontId="6"/>
  </si>
  <si>
    <t>高速BPMモード！</t>
    <rPh sb="0" eb="2">
      <t>コウs</t>
    </rPh>
    <phoneticPr fontId="6"/>
  </si>
  <si>
    <t>ここから変拍子！</t>
    <rPh sb="4" eb="7">
      <t>ヘンビョ</t>
    </rPh>
    <phoneticPr fontId="6"/>
  </si>
  <si>
    <t>まとめて攻撃！</t>
    <rPh sb="4" eb="7">
      <t>コウゲk</t>
    </rPh>
    <phoneticPr fontId="6"/>
  </si>
  <si>
    <t>エレクトリックボイス！</t>
    <phoneticPr fontId="6"/>
  </si>
  <si>
    <t>ワタシの声を聴きなさい！</t>
    <rPh sb="4" eb="5">
      <t>コ</t>
    </rPh>
    <rPh sb="6" eb="7">
      <t>キk</t>
    </rPh>
    <phoneticPr fontId="6"/>
  </si>
  <si>
    <t>回復なんてさせない！</t>
    <rPh sb="0" eb="5">
      <t>カ</t>
    </rPh>
    <phoneticPr fontId="6"/>
  </si>
  <si>
    <t>MEIKO</t>
    <phoneticPr fontId="6"/>
  </si>
  <si>
    <t>ステージの邪魔はさせない！</t>
    <rPh sb="5" eb="7">
      <t>ジャm</t>
    </rPh>
    <phoneticPr fontId="6"/>
  </si>
  <si>
    <t>超音圧アタック！</t>
    <rPh sb="0" eb="3">
      <t>チョウオン</t>
    </rPh>
    <phoneticPr fontId="6"/>
  </si>
  <si>
    <t>ここはワタシのステージ！</t>
    <phoneticPr fontId="6"/>
  </si>
  <si>
    <t>モード・チェンジ！</t>
    <phoneticPr fontId="6"/>
  </si>
  <si>
    <t>エナジー放出ッッ！！</t>
    <rPh sb="4" eb="6">
      <t>ホウシュt</t>
    </rPh>
    <phoneticPr fontId="6"/>
  </si>
  <si>
    <t>ツインチャージ！</t>
    <phoneticPr fontId="6"/>
  </si>
  <si>
    <t>エナジー放出！</t>
    <rPh sb="4" eb="7">
      <t>ホウシュt</t>
    </rPh>
    <phoneticPr fontId="6"/>
  </si>
  <si>
    <t>響け、私の歌声！</t>
    <rPh sb="0" eb="3">
      <t>ヒビケ</t>
    </rPh>
    <rPh sb="3" eb="5">
      <t>ワタs</t>
    </rPh>
    <rPh sb="5" eb="7">
      <t>ウt</t>
    </rPh>
    <phoneticPr fontId="6"/>
  </si>
  <si>
    <t>ロウ・ボリューム</t>
    <phoneticPr fontId="6"/>
  </si>
  <si>
    <t>ミドル・ボリューム</t>
    <phoneticPr fontId="6"/>
  </si>
  <si>
    <t>ハイ・ボリューム</t>
    <phoneticPr fontId="6"/>
  </si>
  <si>
    <t>ミドル・ボルテージ</t>
    <phoneticPr fontId="6"/>
  </si>
  <si>
    <t>MAX・ボルテージ！</t>
    <phoneticPr fontId="6"/>
  </si>
  <si>
    <t>限界突破！ボルテージ！</t>
    <rPh sb="0" eb="5">
      <t>ゲンカ</t>
    </rPh>
    <phoneticPr fontId="6"/>
  </si>
  <si>
    <t>ハイパーディストーション！</t>
    <phoneticPr fontId="6"/>
  </si>
  <si>
    <t>超爆音シャウト！</t>
    <rPh sb="0" eb="1">
      <t>チョ</t>
    </rPh>
    <rPh sb="1" eb="3">
      <t>バクオン</t>
    </rPh>
    <phoneticPr fontId="6"/>
  </si>
  <si>
    <t>ワタシは負けない！</t>
    <rPh sb="4" eb="8">
      <t>マk</t>
    </rPh>
    <phoneticPr fontId="6"/>
  </si>
  <si>
    <t>強い…でもまだ…！</t>
    <rPh sb="0" eb="2">
      <t>ツヨ</t>
    </rPh>
    <phoneticPr fontId="6"/>
  </si>
  <si>
    <t>僕はアイス食べよーっと</t>
    <rPh sb="0" eb="2">
      <t>ボk</t>
    </rPh>
    <rPh sb="5" eb="9">
      <t>タb</t>
    </rPh>
    <phoneticPr fontId="6"/>
  </si>
  <si>
    <t>宴の始まりよっ♪</t>
    <rPh sb="0" eb="2">
      <t>ウt</t>
    </rPh>
    <rPh sb="2" eb="5">
      <t>ハジマr</t>
    </rPh>
    <phoneticPr fontId="6"/>
  </si>
  <si>
    <t>スキありっ！</t>
    <phoneticPr fontId="6"/>
  </si>
  <si>
    <t>種族Unknown以外に大ダメージ！</t>
    <rPh sb="0" eb="2">
      <t>sy</t>
    </rPh>
    <rPh sb="9" eb="11">
      <t>イガ</t>
    </rPh>
    <rPh sb="12" eb="17">
      <t>ダ</t>
    </rPh>
    <phoneticPr fontId="6"/>
  </si>
  <si>
    <t>3ターンハートパネルが出現しない＆時限式タメージパネル出現</t>
    <rPh sb="11" eb="16">
      <t>sy</t>
    </rPh>
    <rPh sb="17" eb="20">
      <t>ジゲン</t>
    </rPh>
    <rPh sb="27" eb="29">
      <t>シュt</t>
    </rPh>
    <phoneticPr fontId="6"/>
  </si>
  <si>
    <t>種族ヒューマンに大ダメージ！HPが減ると強くなる！</t>
    <rPh sb="0" eb="2">
      <t>sy</t>
    </rPh>
    <rPh sb="8" eb="13">
      <t>ダイダm</t>
    </rPh>
    <phoneticPr fontId="6"/>
  </si>
  <si>
    <t>HPが減ると強くなる攻撃！</t>
    <rPh sb="3" eb="6">
      <t>ヘr</t>
    </rPh>
    <rPh sb="10" eb="12">
      <t>コウゲk</t>
    </rPh>
    <phoneticPr fontId="6"/>
  </si>
  <si>
    <t>種族ヒューマンに大ダメージ！</t>
    <rPh sb="0" eb="2">
      <t>sy</t>
    </rPh>
    <rPh sb="8" eb="14">
      <t>ダ</t>
    </rPh>
    <phoneticPr fontId="6"/>
  </si>
  <si>
    <t>5ターン黄パネルがお邪魔パネルになって降る！</t>
    <rPh sb="4" eb="5">
      <t>キ</t>
    </rPh>
    <rPh sb="10" eb="15">
      <t>ジャマパネr</t>
    </rPh>
    <rPh sb="19" eb="20">
      <t>フ</t>
    </rPh>
    <phoneticPr fontId="6"/>
  </si>
  <si>
    <t>種族ドラゴンに大ダメージ！</t>
    <rPh sb="0" eb="12">
      <t>sy</t>
    </rPh>
    <phoneticPr fontId="6"/>
  </si>
  <si>
    <t>ja</t>
    <phoneticPr fontId="6"/>
  </si>
  <si>
    <t>ダイナミクス・チャージ！</t>
    <phoneticPr fontId="6"/>
  </si>
  <si>
    <t>ダイナミクス・ドレイン！</t>
    <phoneticPr fontId="6"/>
  </si>
  <si>
    <t>ハイ・ボルテージ！</t>
    <phoneticPr fontId="6"/>
  </si>
  <si>
    <t>5ターン緑パネル出現率低下＆お邪魔パネル出現</t>
    <rPh sb="4" eb="8">
      <t>ミドr</t>
    </rPh>
    <rPh sb="8" eb="11">
      <t>シュt</t>
    </rPh>
    <rPh sb="11" eb="13">
      <t>テ</t>
    </rPh>
    <rPh sb="15" eb="20">
      <t>ジャm</t>
    </rPh>
    <rPh sb="20" eb="22">
      <t>シュt</t>
    </rPh>
    <phoneticPr fontId="6"/>
  </si>
  <si>
    <t>ja</t>
    <phoneticPr fontId="6"/>
  </si>
  <si>
    <t>Unknown以外は大ダメージを受けてしまいます
難しいと思ったらUnknownの多いパーティで
挑戦してみましょう</t>
    <rPh sb="7" eb="10">
      <t>イガ</t>
    </rPh>
    <rPh sb="10" eb="16">
      <t>ダ</t>
    </rPh>
    <rPh sb="16" eb="19">
      <t>ウk</t>
    </rPh>
    <rPh sb="25" eb="29">
      <t>ムズk</t>
    </rPh>
    <rPh sb="29" eb="33">
      <t>オモッt</t>
    </rPh>
    <rPh sb="41" eb="43">
      <t>オオ</t>
    </rPh>
    <rPh sb="49" eb="58">
      <t>チョ</t>
    </rPh>
    <phoneticPr fontId="6"/>
  </si>
  <si>
    <t>HPが一定の値まで減ると行うスキルに
要注意です
お邪魔パネルを処理するタイミングに
気をつけましょう</t>
    <rPh sb="3" eb="6">
      <t>イッt</t>
    </rPh>
    <rPh sb="6" eb="9">
      <t>アタ</t>
    </rPh>
    <rPh sb="9" eb="12">
      <t>ヘr</t>
    </rPh>
    <rPh sb="12" eb="14">
      <t>オコナ</t>
    </rPh>
    <rPh sb="19" eb="24">
      <t>ヨウチュウ</t>
    </rPh>
    <rPh sb="26" eb="32">
      <t>ジャm</t>
    </rPh>
    <rPh sb="32" eb="36">
      <t>ショr</t>
    </rPh>
    <rPh sb="43" eb="51">
      <t>キw</t>
    </rPh>
    <phoneticPr fontId="6"/>
  </si>
  <si>
    <t>何度も回復される前に倒しましょう
お邪魔パネルは黄パネルが変化したものなので
他のパネルの出現率を上げることでも
対処できます</t>
    <rPh sb="0" eb="3">
      <t>ナンd</t>
    </rPh>
    <rPh sb="3" eb="8">
      <t>カイフクサr</t>
    </rPh>
    <rPh sb="8" eb="10">
      <t>マ</t>
    </rPh>
    <rPh sb="10" eb="16">
      <t>タオs</t>
    </rPh>
    <rPh sb="18" eb="23">
      <t>ジャm</t>
    </rPh>
    <rPh sb="24" eb="28">
      <t>キ</t>
    </rPh>
    <rPh sb="29" eb="31">
      <t>ヘンk</t>
    </rPh>
    <rPh sb="39" eb="41">
      <t>ホk</t>
    </rPh>
    <rPh sb="45" eb="49">
      <t>sy</t>
    </rPh>
    <rPh sb="49" eb="52">
      <t>アg</t>
    </rPh>
    <rPh sb="57" eb="63">
      <t>タイsy</t>
    </rPh>
    <phoneticPr fontId="6"/>
  </si>
  <si>
    <t>苦手な属性から倒しましょう
敵のHPが半分以下になると発動する
強力なスキルにも注意してください</t>
    <rPh sb="0" eb="3">
      <t>ニガt</t>
    </rPh>
    <rPh sb="3" eb="7">
      <t>ゾクセ</t>
    </rPh>
    <rPh sb="7" eb="13">
      <t>タオs</t>
    </rPh>
    <rPh sb="14" eb="16">
      <t>テk</t>
    </rPh>
    <rPh sb="19" eb="27">
      <t>ハン</t>
    </rPh>
    <rPh sb="27" eb="31">
      <t>ハt</t>
    </rPh>
    <rPh sb="32" eb="35">
      <t>キョ</t>
    </rPh>
    <rPh sb="40" eb="44">
      <t>チュウ</t>
    </rPh>
    <phoneticPr fontId="6"/>
  </si>
  <si>
    <t>3ターン攻撃力DOWN</t>
    <rPh sb="4" eb="7">
      <t>コウゲk</t>
    </rPh>
    <phoneticPr fontId="6"/>
  </si>
  <si>
    <t>2ターン防御UP
だんだん強くなる！</t>
    <rPh sb="4" eb="6">
      <t>ボ</t>
    </rPh>
    <phoneticPr fontId="6"/>
  </si>
  <si>
    <t>2ターン防御力UP</t>
    <rPh sb="6" eb="7">
      <t>リョk</t>
    </rPh>
    <phoneticPr fontId="6"/>
  </si>
  <si>
    <t>2ターン防御力UP</t>
    <phoneticPr fontId="6"/>
  </si>
  <si>
    <t>この歌声で…！</t>
    <rPh sb="2" eb="4">
      <t>ウタゴエ</t>
    </rPh>
    <rPh sb="4" eb="5">
      <t>リョ</t>
    </rPh>
    <phoneticPr fontId="6"/>
  </si>
  <si>
    <t>あなたに魅せる！</t>
    <rPh sb="4" eb="5">
      <t>ミ</t>
    </rPh>
    <rPh sb="7" eb="8">
      <t>ミセル</t>
    </rPh>
    <phoneticPr fontId="6"/>
  </si>
  <si>
    <t>もっと熱狂を！</t>
    <rPh sb="3" eb="5">
      <t>ネッキョウ</t>
    </rPh>
    <phoneticPr fontId="6"/>
  </si>
  <si>
    <t>オンザロック</t>
    <phoneticPr fontId="6"/>
  </si>
  <si>
    <t>準備はいいかしら？</t>
    <phoneticPr fontId="6"/>
  </si>
  <si>
    <t>キラーカクテル</t>
    <phoneticPr fontId="6"/>
  </si>
  <si>
    <t>レン、お疲れっ！</t>
    <phoneticPr fontId="6"/>
  </si>
  <si>
    <t>リンは休んでてっ！</t>
    <phoneticPr fontId="6"/>
  </si>
  <si>
    <t>stage_id</t>
    <phoneticPr fontId="6"/>
  </si>
  <si>
    <t>name</t>
    <phoneticPr fontId="6"/>
  </si>
  <si>
    <t>floor_id</t>
    <phoneticPr fontId="6"/>
  </si>
  <si>
    <t>hint_id</t>
    <phoneticPr fontId="6"/>
  </si>
  <si>
    <t>language</t>
    <phoneticPr fontId="6"/>
  </si>
  <si>
    <t>title</t>
    <phoneticPr fontId="6"/>
  </si>
  <si>
    <t>hint</t>
    <phoneticPr fontId="6"/>
  </si>
  <si>
    <t>filename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</si>
  <si>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</si>
  <si>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</si>
  <si>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</si>
  <si>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</si>
  <si>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</si>
  <si>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</si>
  <si>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</si>
  <si>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ja</t>
    <phoneticPr fontId="6"/>
  </si>
  <si>
    <t>NULL</t>
    <phoneticPr fontId="6"/>
  </si>
  <si>
    <t>stage_hints_data_c_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</si>
  <si>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</si>
  <si>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quest_id</t>
    <phoneticPr fontId="6"/>
  </si>
  <si>
    <t>stage_id</t>
    <phoneticPr fontId="6"/>
  </si>
  <si>
    <t>hint_id</t>
    <phoneticPr fontId="6"/>
  </si>
  <si>
    <t>floor_id</t>
    <phoneticPr fontId="6"/>
  </si>
  <si>
    <t>hint_type</t>
    <phoneticPr fontId="6"/>
  </si>
  <si>
    <t>stage_hints_data_f_</t>
    <phoneticPr fontId="6"/>
  </si>
  <si>
    <t>stage_hints_failure</t>
    <phoneticPr fontId="6"/>
  </si>
  <si>
    <t>hint_id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</si>
  <si>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</si>
  <si>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language</t>
    <phoneticPr fontId="6"/>
  </si>
  <si>
    <t>filename</t>
  </si>
  <si>
    <t>title</t>
    <phoneticPr fontId="6"/>
  </si>
  <si>
    <t>stage_bug_bonuses_</t>
  </si>
  <si>
    <t>.tmp</t>
  </si>
  <si>
    <t>bugbonuses</t>
  </si>
  <si>
    <t>stage_target</t>
  </si>
  <si>
    <t>bonus_id</t>
  </si>
  <si>
    <t>bonus_type</t>
  </si>
  <si>
    <t>bonus_value</t>
  </si>
  <si>
    <t>bonus_count</t>
  </si>
  <si>
    <t>skill_level</t>
  </si>
  <si>
    <t>weight</t>
  </si>
  <si>
    <t>definite_start_date</t>
  </si>
  <si>
    <t>definite_end_date</t>
  </si>
  <si>
    <t>old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</si>
  <si>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</si>
  <si>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t>
    <phoneticPr fontId="6"/>
  </si>
  <si>
    <t>HPが減るごとにスキルが強力になります
後半は攻撃力を上げたフィーバーなどで
一気に押し切りましょう</t>
    <rPh sb="3" eb="5">
      <t>ヘr</t>
    </rPh>
    <rPh sb="12" eb="15">
      <t>キョ</t>
    </rPh>
    <rPh sb="20" eb="23">
      <t>コウハン</t>
    </rPh>
    <rPh sb="23" eb="27">
      <t>コウゲk</t>
    </rPh>
    <rPh sb="27" eb="30">
      <t>アg</t>
    </rPh>
    <rPh sb="39" eb="42">
      <t>イッk</t>
    </rPh>
    <rPh sb="42" eb="44">
      <t>オs</t>
    </rPh>
    <rPh sb="44" eb="45">
      <t>キ</t>
    </rPh>
    <phoneticPr fontId="6"/>
  </si>
  <si>
    <t>[effect:remove_enhancement, target:unit_all, target_effect:enhance, target_type:buff, status:defense, animation:frozen_wave],[effect:remove_enhancement, target:unit_all, target_effect:reduction, target_type:buff],
[effect:damage_fix_absolute, target:unit_one, val:3939],[effect:damage_fix_absolute, target:unit_one, val:3939],[effect:degrade_unit, target:unit_all, turn:3, status:attack, val:0.8]</t>
    <phoneticPr fontId="6"/>
  </si>
  <si>
    <t>[effect:enhance_enemy, target:enemy_all, turn:-1, status:attack, val:1, animation:enemy_enhance_attack]</t>
    <phoneticPr fontId="6"/>
  </si>
  <si>
    <t>[effect:damage_anti_tribe, target:unit_one, tribe:dragon, val1:3.0, val2:0.6],[effect:fix_speed, target:myself, turn:2]</t>
    <phoneticPr fontId="6"/>
  </si>
  <si>
    <t>[effect:change_panel_ratio, turn:5, block_type:yellow, val:0.6, animation:block_incidence04],[effect:attack_break, target:myself, turn:-1, val:0.7, calc:mul, animation:attack_break02],[effect:fix_speed, target:myself, turn:2]</t>
    <phoneticPr fontId="6"/>
  </si>
  <si>
    <t>連続攻撃＋回復</t>
    <rPh sb="0" eb="2">
      <t>レンゾクウコウゲキ</t>
    </rPh>
    <rPh sb="2" eb="4">
      <t>コウゲキ</t>
    </rPh>
    <rPh sb="5" eb="7">
      <t>カ</t>
    </rPh>
    <phoneticPr fontId="6"/>
  </si>
  <si>
    <t>4連続攻撃＋お邪魔パネル出現</t>
    <rPh sb="1" eb="5">
      <t>レンゾk</t>
    </rPh>
    <rPh sb="7" eb="12">
      <t>ジャm</t>
    </rPh>
    <rPh sb="12" eb="14">
      <t>シュt</t>
    </rPh>
    <phoneticPr fontId="6"/>
  </si>
  <si>
    <t>5ターン黄パネル出現率UP＋リンの攻撃力DOWN</t>
    <rPh sb="4" eb="8">
      <t>キ</t>
    </rPh>
    <rPh sb="8" eb="11">
      <t>シュt</t>
    </rPh>
    <rPh sb="17" eb="20">
      <t>コウゲk</t>
    </rPh>
    <phoneticPr fontId="6"/>
  </si>
  <si>
    <t>状態異常無効＋全てのスキル効果を解除
＋ボム出現</t>
    <rPh sb="22" eb="24">
      <t>シュt</t>
    </rPh>
    <phoneticPr fontId="6"/>
  </si>
  <si>
    <t>防御系スキル解除＋回復</t>
    <rPh sb="0" eb="3">
      <t>ボ</t>
    </rPh>
    <rPh sb="6" eb="8">
      <t>カ</t>
    </rPh>
    <rPh sb="9" eb="11">
      <t>カ</t>
    </rPh>
    <phoneticPr fontId="6"/>
  </si>
  <si>
    <t>防御系スキル解除＋3ターン攻撃力DOWN</t>
    <rPh sb="0" eb="3">
      <t>ボ</t>
    </rPh>
    <rPh sb="6" eb="8">
      <t>カイj</t>
    </rPh>
    <rPh sb="13" eb="16">
      <t>コウゲk</t>
    </rPh>
    <phoneticPr fontId="6"/>
  </si>
  <si>
    <t>状態異常無効＋フィーバーゲージ減少
＋時限式パネル出現</t>
    <rPh sb="15" eb="17">
      <t>ゲンショ</t>
    </rPh>
    <rPh sb="19" eb="22">
      <t>ジゲンシk</t>
    </rPh>
    <rPh sb="25" eb="27">
      <t>シュt</t>
    </rPh>
    <phoneticPr fontId="6"/>
  </si>
  <si>
    <t>少しだけフィーバーゲージ増加
＋状態異常無効</t>
    <rPh sb="0" eb="4">
      <t>スコs</t>
    </rPh>
    <rPh sb="12" eb="14">
      <t>ゾ</t>
    </rPh>
    <rPh sb="16" eb="22">
      <t>ジョ</t>
    </rPh>
    <phoneticPr fontId="6"/>
  </si>
  <si>
    <t>2ターン防御力UP＋お邪魔パネル出現</t>
    <rPh sb="4" eb="6">
      <t>ボウgy</t>
    </rPh>
    <rPh sb="6" eb="7">
      <t>リョk</t>
    </rPh>
    <rPh sb="16" eb="18">
      <t>シュt</t>
    </rPh>
    <phoneticPr fontId="6"/>
  </si>
  <si>
    <t>3ターン防御力UP＋お邪魔パネル出現</t>
    <rPh sb="4" eb="6">
      <t>ボウgy</t>
    </rPh>
    <rPh sb="6" eb="7">
      <t>リョk</t>
    </rPh>
    <rPh sb="16" eb="18">
      <t>シュt</t>
    </rPh>
    <phoneticPr fontId="6"/>
  </si>
  <si>
    <t>4ターン防御力UP＋お邪魔パネル出現</t>
    <rPh sb="4" eb="6">
      <t>ボウgy</t>
    </rPh>
    <rPh sb="6" eb="7">
      <t>リョk</t>
    </rPh>
    <rPh sb="16" eb="18">
      <t>シュt</t>
    </rPh>
    <phoneticPr fontId="6"/>
  </si>
  <si>
    <t>5ターン防御力UP＋お邪魔パネル出現</t>
    <rPh sb="4" eb="6">
      <t>ボウgy</t>
    </rPh>
    <rPh sb="6" eb="7">
      <t>リョk</t>
    </rPh>
    <rPh sb="16" eb="18">
      <t>シュt</t>
    </rPh>
    <phoneticPr fontId="6"/>
  </si>
  <si>
    <t>[effect:drop_block, block_type:jammer, color:block_yellow, val:0, rate:0.3, turn:5, animation:jammer_influence04],[effect:fix_speed, target:myself, turn:1]</t>
    <phoneticPr fontId="6"/>
  </si>
  <si>
    <t>連続攻撃＋時限式ダメージパネル出現</t>
    <rPh sb="0" eb="4">
      <t>レンゾクコウゲキ</t>
    </rPh>
    <rPh sb="5" eb="7">
      <t>ジゲン</t>
    </rPh>
    <rPh sb="7" eb="8">
      <t>シk</t>
    </rPh>
    <rPh sb="8" eb="15">
      <t>ジゲンシk</t>
    </rPh>
    <rPh sb="15" eb="17">
      <t>シュt</t>
    </rPh>
    <phoneticPr fontId="6"/>
  </si>
  <si>
    <t>4連続攻撃</t>
    <rPh sb="1" eb="3">
      <t>レンゾk</t>
    </rPh>
    <rPh sb="3" eb="5">
      <t>レンゾk</t>
    </rPh>
    <phoneticPr fontId="6"/>
  </si>
  <si>
    <t>[effect:rush, count:2, val:0.6],[effect:charge, status:attack, val:1]</t>
    <phoneticPr fontId="6"/>
  </si>
  <si>
    <t>連続攻撃＆次のターン強力な攻撃</t>
    <rPh sb="0" eb="4">
      <t>レンゾクコウゲキ</t>
    </rPh>
    <rPh sb="5" eb="6">
      <t>ツギノターン</t>
    </rPh>
    <rPh sb="10" eb="12">
      <t>キョウリョクナコウゲキ</t>
    </rPh>
    <phoneticPr fontId="6"/>
  </si>
  <si>
    <t>[effect:remove_enhancement, target:unit_all, target_effect:all, target_type:all, animation:frozen_wave],[effect:freq_turn, target:myself, turn:-1, val:1, animation:enemy_freq_turn]</t>
    <phoneticPr fontId="6"/>
  </si>
  <si>
    <t>[effect:degrade_unit, target:unit_all, turn:5, status:heal, val:0.5, animation:degrade_unit_all_heal],[effect:fix_speed, target:enemy_all, turn:2]</t>
    <phoneticPr fontId="6"/>
  </si>
  <si>
    <t>[effect:rush, count:2, val:0.5]</t>
    <phoneticPr fontId="6"/>
  </si>
  <si>
    <t>[effect:rush, count:2, val:0.6]</t>
    <phoneticPr fontId="6"/>
  </si>
  <si>
    <t>[effect:rush, count:2, val:0.7]</t>
    <phoneticPr fontId="6"/>
  </si>
  <si>
    <t>[effect:damage_anti_tribe, target:unit_all, tribe:human, val1:0.6, val2:0.3]</t>
    <phoneticPr fontId="6"/>
  </si>
  <si>
    <t>[effect:rush, count:2, val:0.75]</t>
    <phoneticPr fontId="6"/>
  </si>
  <si>
    <t>[effect:freq_turn, target:myself, turn:6, val:1, animation:enemy_freq_turn]</t>
    <phoneticPr fontId="6"/>
  </si>
  <si>
    <t>[effect:damage_anti_tribe, target:unit_all, tribe:human, val1:0.4, val2:0.15]</t>
    <phoneticPr fontId="6"/>
  </si>
  <si>
    <t>[effect:damage_anti_tribe, target:unit_all, tribe:human, val1:0.6, val2:0.2]</t>
    <phoneticPr fontId="6"/>
  </si>
  <si>
    <t>[effect:damage_anti_tribe, target:unit_all, tribe:human, val1:0.7, val2:0.25]</t>
    <phoneticPr fontId="6"/>
  </si>
  <si>
    <t>[effect:damage_anti_tribe, target:unit_all, tribe:human, val1:0.9, val2:0.3]</t>
    <phoneticPr fontId="6"/>
  </si>
  <si>
    <t>[effect:damage_anti_tribe, target:unit_all, tribe:human, val1:1.5, val2:0.35]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</si>
  <si>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target:unit_all, turn:10, rate:1, animation:hungup01]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</si>
  <si>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t>
    <phoneticPr fontId="6"/>
  </si>
  <si>
    <t>状態異常無効＋全てのスキル効果を解除
＋10ターンスキル無効</t>
    <rPh sb="0" eb="6">
      <t>jy</t>
    </rPh>
    <rPh sb="7" eb="10">
      <t>スベt</t>
    </rPh>
    <rPh sb="13" eb="16">
      <t>コウk</t>
    </rPh>
    <rPh sb="16" eb="18">
      <t>カイジョ</t>
    </rPh>
    <rPh sb="28" eb="30">
      <t>ムコ</t>
    </rPh>
    <phoneticPr fontId="6"/>
  </si>
  <si>
    <t>[effect:critical, val:1.5],[effect:degrade_unit, target:unit_all, turn:3, status:attack, val:0.5]</t>
    <phoneticPr fontId="6"/>
  </si>
  <si>
    <t>[effect:remove_enhancement, target:unit_all, target_effect:enhance, target_type:buff, status:defense, animation:frozen_wave],[effect:remove_enhancement, target:unit_all, target_effect:reduction, target_type:buff],
[effect:damage_fix_absolute, target:unit_one, val:3939],[effect:damage_fix_absolute, target:unit_one, val:3939],[effect:heal, target:enemy_all, val:0.3, animation:enemy_heal]</t>
    <phoneticPr fontId="6"/>
  </si>
  <si>
    <t>[effect:damage_anti_tribe, target:unit_all, tribe:unknown, val1:0.25, val2:0.75]</t>
    <phoneticPr fontId="6"/>
  </si>
  <si>
    <t>2ターン防御力超大UP＋大量パネル変換！</t>
    <rPh sb="4" eb="7">
      <t>ボ</t>
    </rPh>
    <rPh sb="7" eb="8">
      <t>チョ</t>
    </rPh>
    <rPh sb="8" eb="9">
      <t>ダイ</t>
    </rPh>
    <rPh sb="12" eb="14">
      <t>タイリョ</t>
    </rPh>
    <rPh sb="17" eb="19">
      <t>ヘンk</t>
    </rPh>
    <phoneticPr fontId="6"/>
  </si>
  <si>
    <t>[effect:enhance_enemy, target:myself, turn:2, status:defense, val:6000, calc:add, animation:enemy_enhance_defense],[effect:change_block, new_block:jammer, target:block_yellow, count:0, val:0, animation:change_block],[effect:force_change_block, new_block:time_bomb, target:block_all, count:10, val:0.2, min_time_count:2, max_time_count:2, animation:change_block]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</si>
  <si>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animation:fevergauge_down],[effect:force_change_block, new_block:time_bomb, target:block_all, count:5, val:0.2, min_time_count:2, max_time_count:2, animation:change_block]</t>
    <phoneticPr fontId="6"/>
  </si>
  <si>
    <t>[effect:enhance_enemy, target:myself, turn:2, status:defense, val:800, calc:add, animation:enemy_enhance_defense],[effect:critical, val:1]</t>
    <phoneticPr fontId="6"/>
  </si>
  <si>
    <t>[effect:enhance_enemy, target:myself, turn:2, status:defense, val:1400, calc:add, animation:enemy_enhance_defense],[effect:critical, val:1.1]</t>
    <phoneticPr fontId="6"/>
  </si>
  <si>
    <t>[effect:spread, val:0.2],[effect:spread, val:0.2]</t>
    <phoneticPr fontId="6"/>
  </si>
  <si>
    <t>2連続全体攻撃</t>
    <rPh sb="1" eb="3">
      <t>レンゾク</t>
    </rPh>
    <rPh sb="3" eb="7">
      <t>ゼンタイコウゲキ</t>
    </rPh>
    <phoneticPr fontId="6"/>
  </si>
  <si>
    <t>[effect:enhance_enemy, target:myself, turn:2, status:defense, val:2000, calc:add, animation:enemy_enhance_defense],[effect:critical, val:1.2]</t>
    <phoneticPr fontId="6"/>
  </si>
  <si>
    <t>[effect:change_panel_ratio, turn:5, block_type:green, val:0.15, animation:block_incidence04],[effect:force_change_block, new_block:jammer, target:block_green, count:0, val:0, animation:change_block]</t>
    <phoneticPr fontId="6"/>
  </si>
  <si>
    <t>[effect:critical, val:1.2],[effect:enhance_enemy, target:myself, turn:2, status:defense, val:1600, calc:add, animation:enemy_enhance_defense],[effect:force_change_block, new_block:jammer, target:block_all, count:2, val:0, animation:change_block]</t>
    <phoneticPr fontId="6"/>
  </si>
  <si>
    <t>[effect:critical, val:1.3],[effect:enhance_enemy, target:myself, turn:2, status:defense, val:2400, calc:add, animation:enemy_enhance_defense],[effect:force_change_block, new_block:jammer, target:block_all, count:2, val:0, animation:change_block]</t>
    <phoneticPr fontId="6"/>
  </si>
  <si>
    <t>[effect:critical, val:1.4],[effect:enhance_enemy, target:myself, turn:2, status:defense, val:3200, calc:add, animation:enemy_enhance_defense],[effect:force_change_block, new_block:jammer, target:block_all, count:2, val:0, animation:change_block]</t>
    <phoneticPr fontId="6"/>
  </si>
  <si>
    <t>[effect:critical, val:1.5],[effect:enhance_enemy, target:myself, turn:2, status:defense, val:4000, calc:add, animation:enemy_enhance_defense],[effect:force_change_block, new_block:jammer, target:block_all, count:2, val:0, animation:change_block]</t>
    <phoneticPr fontId="6"/>
  </si>
  <si>
    <t>3ターン攻撃力DOWN＋お邪魔パネル吸収攻撃</t>
    <rPh sb="13" eb="15">
      <t>ジャm</t>
    </rPh>
    <rPh sb="18" eb="22">
      <t>キュウシュウコウゲキ</t>
    </rPh>
    <phoneticPr fontId="6"/>
  </si>
  <si>
    <t>[effect:break_attack, val:0.1, lowest_val:1500, count:-1, block:jammer, target:unit_all],[effect:degrade_unit, target:unit_all, turn:3, status:attack, val:0.5]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</si>
  <si>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animation:enemy_freq_turn],[effect:drop_block, block_type:jammer, color:block_green, val:0, rate:0.2, turn:-1]</t>
    <phoneticPr fontId="6"/>
  </si>
  <si>
    <t>連続攻撃＋１ターンスキルが使えない！</t>
    <rPh sb="0" eb="4">
      <t>レンゾクコウゲキ</t>
    </rPh>
    <rPh sb="13" eb="17">
      <t>ツカ</t>
    </rPh>
    <phoneticPr fontId="6"/>
  </si>
  <si>
    <t>[effect:hungup, target:unit_all, turn:1, rate:1, animation:hungup01],[effect:spread, val:0.2]</t>
    <phoneticPr fontId="6"/>
  </si>
  <si>
    <t>[effect:damage_anti_tribe, target:unit_all, tribe:unknown, val1:0.25, val2:0.5]</t>
    <phoneticPr fontId="6"/>
  </si>
  <si>
    <t>[effect:critical, val:2]</t>
    <phoneticPr fontId="6"/>
  </si>
  <si>
    <t>[effect:change_panel_ratio, turn:3, block_type:heal, val:0, animation:block_incidence04],[effect:force_change_block, new_block:time_bomb, target:block_heart, count:0, val:0.2, min_time_count:2, max_time_count:2, animation:change_block]</t>
    <phoneticPr fontId="6"/>
  </si>
  <si>
    <t>[effect:enhance_enemy, target:enemy_all, turn:-1, status:attack, val:0.5, animation:enemy_enhance_attack],[effect:freq_turn, target:myself, turn:-1, val:1, animation:enemy_freq_turn]</t>
    <phoneticPr fontId="6"/>
  </si>
  <si>
    <t>[effect:rush, count:2, val:0.6],[effect:heal, target:enemy_all, val:0.2, animation:enemy_heal]</t>
    <phoneticPr fontId="6"/>
  </si>
  <si>
    <t>5ターン回復力DOWN</t>
    <rPh sb="4" eb="6">
      <t>カ</t>
    </rPh>
    <rPh sb="6" eb="7">
      <t>リョk</t>
    </rPh>
    <phoneticPr fontId="6"/>
  </si>
  <si>
    <t>攻撃力UP＆行動頻度UP</t>
    <rPh sb="0" eb="3">
      <t>エイゾk</t>
    </rPh>
    <rPh sb="6" eb="10">
      <t>コウドウヒンド</t>
    </rPh>
    <phoneticPr fontId="6"/>
  </si>
  <si>
    <t>状態変化解除＋行動頻度UP</t>
    <rPh sb="0" eb="6">
      <t>jy</t>
    </rPh>
    <rPh sb="7" eb="11">
      <t>コウドウヒンド</t>
    </rPh>
    <phoneticPr fontId="6"/>
  </si>
  <si>
    <t>6ターン行動頻度UP</t>
    <rPh sb="4" eb="8">
      <t>コウドウヒンド</t>
    </rPh>
    <phoneticPr fontId="6"/>
  </si>
  <si>
    <t>緑パネルが稀にお邪魔パネルで出現
＋3ターン行動頻度UP</t>
    <rPh sb="0" eb="5">
      <t>ミドr</t>
    </rPh>
    <rPh sb="5" eb="7">
      <t>マr</t>
    </rPh>
    <rPh sb="8" eb="10">
      <t>ジャm</t>
    </rPh>
    <rPh sb="14" eb="16">
      <t>sy</t>
    </rPh>
    <rPh sb="22" eb="26">
      <t>コウドウ</t>
    </rPh>
    <phoneticPr fontId="6"/>
  </si>
  <si>
    <t>状態異常無効＋1ターンCパネル生成超短縮
＋3ターン行動頻度UP</t>
    <rPh sb="15" eb="17">
      <t>セ</t>
    </rPh>
    <rPh sb="17" eb="18">
      <t>チョウ</t>
    </rPh>
    <rPh sb="18" eb="20">
      <t>タンシュk</t>
    </rPh>
    <phoneticPr fontId="6"/>
  </si>
  <si>
    <t>3ターン行動頻度UP</t>
    <phoneticPr fontId="6"/>
  </si>
  <si>
    <t>4連続攻撃</t>
    <rPh sb="1" eb="5">
      <t>レンゾ</t>
    </rPh>
    <phoneticPr fontId="6"/>
  </si>
  <si>
    <t>[effect:fix_speed, target:myself, turn:2],[effect:crash_condition, target:unit_all, val:1, turn:3, animation:enemy_crash_extend]</t>
    <phoneticPr fontId="6"/>
  </si>
  <si>
    <t>全体の攻撃力UP</t>
    <rPh sb="0" eb="6">
      <t>ゼンタ</t>
    </rPh>
    <phoneticPr fontId="6"/>
  </si>
  <si>
    <t>[effect:spread, val:0.25]</t>
    <phoneticPr fontId="6"/>
  </si>
  <si>
    <t>[effect:force_change_block, new_block:jammer, target:block_all, count:1, val:0, animation:change_block],[effect:rush, count:4, val:0.2],[effect:fix_speed, target:myself, turn:2]</t>
    <phoneticPr fontId="6"/>
  </si>
  <si>
    <t>[effect:fix_speed, target:myself, turn:1],[effect:hp_spend, val:0.2]</t>
    <phoneticPr fontId="6"/>
  </si>
  <si>
    <t>このバトルはHP80%でスタート！</t>
    <phoneticPr fontId="6"/>
  </si>
  <si>
    <t>[effect:damage_anti_color, target:unit_one, color:red, val1:2, val2:0.8]</t>
    <phoneticPr fontId="6"/>
  </si>
  <si>
    <t>[effect:rush, count:1, val:0.8]</t>
    <phoneticPr fontId="6"/>
  </si>
  <si>
    <t>[effect:critical, val:1.5],[effect:fix_speed, target:myself, turn:2]</t>
    <phoneticPr fontId="6"/>
  </si>
  <si>
    <t>[effect:force_change_block, new_block:time_bomb, target:block_all, count:4, val:0.2, min_time_count:2, max_time_count:3, animation:change_block],[effect:rush, count:2, val:0.6],[effect:fix_speed, target:myself, turn:2]</t>
    <phoneticPr fontId="6"/>
  </si>
  <si>
    <t>[effect:critical, val:1.0],[effect:charge, status:attack, val:1.0],[effect:freq_turn, target:myself, turn:1, val:1, animation:enemy_freq_turn]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</si>
</sst>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4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11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32" fillId="14" borderId="7" xfId="0" applyFont="1" applyFill="1" applyBorder="1"/>
    <xf numFmtId="0" fontId="17" fillId="31" borderId="7" xfId="0" applyFont="1" applyFill="1" applyBorder="1" applyAlignment="1">
      <alignment vertical="center"/>
    </xf>
    <xf numFmtId="0" fontId="17" fillId="6" borderId="2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28" fillId="13" borderId="7" xfId="0" applyFont="1" applyFill="1" applyBorder="1"/>
    <xf numFmtId="0" fontId="17" fillId="32" borderId="7" xfId="0" applyFont="1" applyFill="1" applyBorder="1" applyAlignment="1">
      <alignment vertical="center"/>
    </xf>
    <xf numFmtId="0" fontId="17" fillId="32" borderId="7" xfId="0" applyFont="1" applyFill="1" applyBorder="1" applyAlignment="1">
      <alignment vertical="center" wrapText="1"/>
    </xf>
    <xf numFmtId="0" fontId="17" fillId="13" borderId="7" xfId="0" applyFont="1" applyFill="1" applyBorder="1" applyAlignment="1">
      <alignment vertical="center"/>
    </xf>
    <xf numFmtId="0" fontId="17" fillId="33" borderId="7" xfId="0" applyFont="1" applyFill="1" applyBorder="1" applyAlignment="1">
      <alignment vertical="center"/>
    </xf>
    <xf numFmtId="38" fontId="17" fillId="0" borderId="7" xfId="628" applyFont="1" applyFill="1" applyBorder="1" applyAlignment="1">
      <alignment wrapText="1"/>
    </xf>
    <xf numFmtId="38" fontId="17" fillId="14" borderId="7" xfId="1042" applyFont="1" applyFill="1" applyBorder="1" applyAlignment="1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2" fillId="0" borderId="7" xfId="0" applyFont="1" applyBorder="1"/>
    <xf numFmtId="0" fontId="27" fillId="0" borderId="10" xfId="0" applyFont="1" applyBorder="1"/>
    <xf numFmtId="0" fontId="12" fillId="12" borderId="10" xfId="0" applyFont="1" applyFill="1" applyBorder="1" applyAlignment="1">
      <alignment horizontal="left"/>
    </xf>
    <xf numFmtId="0" fontId="27" fillId="12" borderId="10" xfId="0" applyFont="1" applyFill="1" applyBorder="1"/>
  </cellXfs>
  <cellStyles count="104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3" builtinId="8" hidden="1"/>
    <cellStyle name="桁区切り 2" xfId="429"/>
    <cellStyle name="桁区切り 2 2" xfId="628"/>
    <cellStyle name="桁区切り 2 2 2" xfId="1042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4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39005</v>
          </cell>
        </row>
        <row r="152">
          <cell r="A152">
            <v>40001</v>
          </cell>
        </row>
        <row r="153">
          <cell r="A153">
            <v>40002</v>
          </cell>
        </row>
        <row r="154">
          <cell r="A154">
            <v>40003</v>
          </cell>
        </row>
        <row r="155">
          <cell r="A155">
            <v>40004</v>
          </cell>
        </row>
        <row r="156">
          <cell r="A156">
            <v>40005</v>
          </cell>
        </row>
        <row r="157">
          <cell r="A157">
            <v>40006</v>
          </cell>
        </row>
        <row r="158">
          <cell r="A158">
            <v>40007</v>
          </cell>
        </row>
        <row r="159">
          <cell r="A159">
            <v>40008</v>
          </cell>
        </row>
        <row r="160">
          <cell r="A160">
            <v>40009</v>
          </cell>
        </row>
        <row r="161">
          <cell r="A161">
            <v>40010</v>
          </cell>
        </row>
        <row r="162">
          <cell r="A162">
            <v>40011</v>
          </cell>
        </row>
        <row r="163">
          <cell r="A163">
            <v>40012</v>
          </cell>
        </row>
        <row r="164">
          <cell r="A164">
            <v>40013</v>
          </cell>
        </row>
        <row r="165">
          <cell r="A165">
            <v>40014</v>
          </cell>
        </row>
        <row r="166">
          <cell r="A166">
            <v>40015</v>
          </cell>
        </row>
        <row r="167">
          <cell r="A167">
            <v>40016</v>
          </cell>
        </row>
        <row r="168">
          <cell r="A168">
            <v>40017</v>
          </cell>
        </row>
        <row r="169">
          <cell r="A169">
            <v>40018</v>
          </cell>
        </row>
        <row r="170">
          <cell r="A170">
            <v>40019</v>
          </cell>
        </row>
        <row r="171">
          <cell r="A171">
            <v>48001</v>
          </cell>
        </row>
        <row r="172">
          <cell r="A172">
            <v>41001</v>
          </cell>
        </row>
        <row r="173">
          <cell r="A173">
            <v>41002</v>
          </cell>
        </row>
        <row r="174">
          <cell r="A174">
            <v>41003</v>
          </cell>
        </row>
        <row r="175">
          <cell r="A175">
            <v>41004</v>
          </cell>
        </row>
        <row r="176">
          <cell r="A176">
            <v>41005</v>
          </cell>
        </row>
        <row r="177">
          <cell r="A177">
            <v>41006</v>
          </cell>
        </row>
        <row r="178">
          <cell r="A178">
            <v>41008</v>
          </cell>
        </row>
        <row r="179">
          <cell r="A179">
            <v>49001</v>
          </cell>
        </row>
        <row r="180">
          <cell r="A180">
            <v>49002</v>
          </cell>
        </row>
        <row r="181">
          <cell r="A181">
            <v>49003</v>
          </cell>
        </row>
        <row r="182">
          <cell r="A182">
            <v>49004</v>
          </cell>
        </row>
        <row r="183">
          <cell r="A183">
            <v>49005</v>
          </cell>
        </row>
        <row r="184">
          <cell r="A184">
            <v>50001</v>
          </cell>
        </row>
        <row r="185">
          <cell r="A185">
            <v>50002</v>
          </cell>
        </row>
        <row r="186">
          <cell r="A186">
            <v>50003</v>
          </cell>
        </row>
        <row r="187">
          <cell r="A187">
            <v>50004</v>
          </cell>
        </row>
        <row r="188">
          <cell r="A188">
            <v>51001</v>
          </cell>
        </row>
        <row r="189">
          <cell r="A189">
            <v>51002</v>
          </cell>
        </row>
        <row r="190">
          <cell r="A190">
            <v>60001</v>
          </cell>
        </row>
        <row r="191">
          <cell r="A191">
            <v>60002</v>
          </cell>
        </row>
        <row r="192">
          <cell r="A192">
            <v>60003</v>
          </cell>
        </row>
        <row r="193">
          <cell r="A193">
            <v>60004</v>
          </cell>
        </row>
        <row r="194">
          <cell r="A194">
            <v>60005</v>
          </cell>
        </row>
        <row r="195">
          <cell r="A195">
            <v>60006</v>
          </cell>
        </row>
        <row r="196">
          <cell r="A196">
            <v>60007</v>
          </cell>
        </row>
        <row r="197">
          <cell r="A197">
            <v>60010</v>
          </cell>
        </row>
        <row r="198">
          <cell r="A198">
            <v>65535</v>
          </cell>
        </row>
        <row r="199">
          <cell r="A199">
            <v>60021</v>
          </cell>
        </row>
        <row r="200">
          <cell r="A200">
            <v>60022</v>
          </cell>
        </row>
        <row r="201">
          <cell r="A201">
            <v>60023</v>
          </cell>
        </row>
        <row r="202">
          <cell r="A202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【期間限定】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everyone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【期間限定】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everyone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【期間限定】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everyone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【期間限定】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everyone</v>
          </cell>
        </row>
        <row r="227">
          <cell r="A227" t="str">
            <v>11101_10</v>
          </cell>
          <cell r="B227">
            <v>3</v>
          </cell>
          <cell r="C227">
            <v>11101</v>
          </cell>
          <cell r="D227" t="str">
            <v>【期間限定】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everyone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【期間限定】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everyone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【期間限定】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everyone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【期間限定】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everyone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【期間限定】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everyone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【期間限定】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everyone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【期間限定】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【期間限定】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everyone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【期間限定】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everyone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【期間限定】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everyone</v>
          </cell>
        </row>
        <row r="237">
          <cell r="A237" t="str">
            <v>11103_10</v>
          </cell>
          <cell r="B237">
            <v>3</v>
          </cell>
          <cell r="C237">
            <v>11103</v>
          </cell>
          <cell r="D237" t="str">
            <v>【期間限定】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everyone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【期間限定】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everyone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【期間限定】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everyone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【期間限定】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everyone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【期間限定】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everyone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【期間限定】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everyone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【期間限定】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【期間限定】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everyone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【期間限定】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【期間限定】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everyone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11212_1</v>
          </cell>
          <cell r="B260">
            <v>0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11224_1</v>
          </cell>
          <cell r="B272">
            <v>3</v>
          </cell>
          <cell r="C272">
            <v>11224</v>
          </cell>
          <cell r="D272" t="str">
            <v>TVCM放送記念★特別クエスト</v>
          </cell>
          <cell r="E272" t="str">
            <v>TVCM放送記念★特別クエスト</v>
          </cell>
          <cell r="F272">
            <v>1</v>
          </cell>
          <cell r="G272" t="str">
            <v>ja</v>
          </cell>
          <cell r="H272" t="str">
            <v>【超ウザード級】ウザリーマン襲来！</v>
          </cell>
          <cell r="I272" t="str">
            <v>記念クエスト</v>
          </cell>
          <cell r="J272">
            <v>976</v>
          </cell>
          <cell r="K272">
            <v>1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polygon</v>
          </cell>
          <cell r="T272">
            <v>10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907</v>
          </cell>
          <cell r="AD272">
            <v>6</v>
          </cell>
          <cell r="AE272" t="str">
            <v>singleonly</v>
          </cell>
        </row>
        <row r="273">
          <cell r="A273" t="str">
            <v>12001_1</v>
          </cell>
          <cell r="B273">
            <v>3</v>
          </cell>
          <cell r="C273">
            <v>12001</v>
          </cell>
          <cell r="D273" t="str">
            <v>【緊急！！】 アヒル捕獲作戦</v>
          </cell>
          <cell r="E273" t="str">
            <v>ゲリラクエスト</v>
          </cell>
          <cell r="F273">
            <v>1</v>
          </cell>
          <cell r="G273" t="str">
            <v>ja</v>
          </cell>
          <cell r="H273" t="str">
            <v xml:space="preserve">【初級】メタルダックを捕獲せよ！ </v>
          </cell>
          <cell r="I273" t="str">
            <v>経験値ゲリラ</v>
          </cell>
          <cell r="J273">
            <v>334</v>
          </cell>
          <cell r="K273">
            <v>8</v>
          </cell>
          <cell r="L273">
            <v>140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0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201</v>
          </cell>
          <cell r="AD273">
            <v>6</v>
          </cell>
          <cell r="AE273" t="str">
            <v>everyone</v>
          </cell>
        </row>
        <row r="274">
          <cell r="A274" t="str">
            <v>12001_2</v>
          </cell>
          <cell r="B274">
            <v>3</v>
          </cell>
          <cell r="C274">
            <v>12001</v>
          </cell>
          <cell r="D274" t="str">
            <v>【緊急！！】 アヒル捕獲作戦</v>
          </cell>
          <cell r="E274" t="str">
            <v>ゲリラクエスト</v>
          </cell>
          <cell r="F274">
            <v>2</v>
          </cell>
          <cell r="G274" t="str">
            <v>ja</v>
          </cell>
          <cell r="H274" t="str">
            <v xml:space="preserve">【上級】メタルダックを捕獲せよ！ </v>
          </cell>
          <cell r="I274" t="str">
            <v>経験値ゲリラ</v>
          </cell>
          <cell r="J274">
            <v>334</v>
          </cell>
          <cell r="K274">
            <v>20</v>
          </cell>
          <cell r="L274">
            <v>350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201</v>
          </cell>
          <cell r="AD274">
            <v>6</v>
          </cell>
          <cell r="AE274" t="str">
            <v>everyone</v>
          </cell>
        </row>
        <row r="275">
          <cell r="A275" t="str">
            <v>12001_3</v>
          </cell>
          <cell r="B275">
            <v>3</v>
          </cell>
          <cell r="C275">
            <v>12001</v>
          </cell>
          <cell r="D275" t="str">
            <v>【緊急！！】 アヒル捕獲作戦</v>
          </cell>
          <cell r="E275" t="str">
            <v>ゲリラクエスト</v>
          </cell>
          <cell r="F275">
            <v>3</v>
          </cell>
          <cell r="G275" t="str">
            <v>ja</v>
          </cell>
          <cell r="H275" t="str">
            <v xml:space="preserve">【超級】メタルダックを捕獲せよ！ </v>
          </cell>
          <cell r="I275" t="str">
            <v>経験値ゲリラ</v>
          </cell>
          <cell r="J275">
            <v>334</v>
          </cell>
          <cell r="K275">
            <v>30</v>
          </cell>
          <cell r="L275">
            <v>444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7</v>
          </cell>
          <cell r="AD275">
            <v>6</v>
          </cell>
          <cell r="AE275" t="str">
            <v>everyone</v>
          </cell>
        </row>
        <row r="276">
          <cell r="A276" t="str">
            <v>12002_1</v>
          </cell>
          <cell r="B276">
            <v>3</v>
          </cell>
          <cell r="C276">
            <v>12002</v>
          </cell>
          <cell r="D276" t="str">
            <v>【マルチ専用1/2】 アヒル捕獲作戦</v>
          </cell>
          <cell r="E276" t="str">
            <v>ゲリラクエスト</v>
          </cell>
          <cell r="F276">
            <v>1</v>
          </cell>
          <cell r="G276" t="str">
            <v>ja</v>
          </cell>
          <cell r="H276" t="str">
            <v>【上級】メタルダックを捕獲せよ！</v>
          </cell>
          <cell r="I276" t="str">
            <v>経験値ゲリラ</v>
          </cell>
          <cell r="J276">
            <v>334</v>
          </cell>
          <cell r="K276">
            <v>10</v>
          </cell>
          <cell r="L276">
            <v>350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0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201</v>
          </cell>
          <cell r="AD276">
            <v>6</v>
          </cell>
          <cell r="AE276" t="str">
            <v>multionly</v>
          </cell>
        </row>
        <row r="277">
          <cell r="A277" t="str">
            <v>12002_2</v>
          </cell>
          <cell r="B277">
            <v>1</v>
          </cell>
          <cell r="C277">
            <v>12002</v>
          </cell>
          <cell r="D277" t="str">
            <v>【マルチ専用1/2】 アヒル捕獲作戦</v>
          </cell>
          <cell r="E277" t="str">
            <v>ゲリラクエスト</v>
          </cell>
          <cell r="F277">
            <v>2</v>
          </cell>
          <cell r="G277" t="str">
            <v>ja</v>
          </cell>
          <cell r="H277" t="str">
            <v xml:space="preserve">【超級】メタルダックを捕獲せよ！ </v>
          </cell>
          <cell r="I277" t="str">
            <v>経験値ゲリラ</v>
          </cell>
          <cell r="J277">
            <v>334</v>
          </cell>
          <cell r="K277">
            <v>15</v>
          </cell>
          <cell r="L277">
            <v>444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7</v>
          </cell>
          <cell r="AD277">
            <v>6</v>
          </cell>
          <cell r="AE277" t="str">
            <v>multionly</v>
          </cell>
        </row>
        <row r="278">
          <cell r="A278" t="str">
            <v>12003_1</v>
          </cell>
          <cell r="B278">
            <v>3</v>
          </cell>
          <cell r="C278">
            <v>12003</v>
          </cell>
          <cell r="D278" t="str">
            <v>【超緊急！！】メタルジェントルを追え</v>
          </cell>
          <cell r="E278" t="str">
            <v>ゲリラ【超級】</v>
          </cell>
          <cell r="F278">
            <v>1</v>
          </cell>
          <cell r="G278" t="str">
            <v>ja</v>
          </cell>
          <cell r="H278" t="str">
            <v>【超級】雷のジェントルを追え！</v>
          </cell>
          <cell r="I278" t="str">
            <v>超級ゲリラ</v>
          </cell>
          <cell r="J278">
            <v>347</v>
          </cell>
          <cell r="K278">
            <v>40</v>
          </cell>
          <cell r="L278">
            <v>500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12</v>
          </cell>
          <cell r="AD278">
            <v>6</v>
          </cell>
          <cell r="AE278" t="str">
            <v>singleonly</v>
          </cell>
        </row>
        <row r="279">
          <cell r="A279" t="str">
            <v>12003_2</v>
          </cell>
          <cell r="B279">
            <v>3</v>
          </cell>
          <cell r="C279">
            <v>12003</v>
          </cell>
          <cell r="D279" t="str">
            <v>【超緊急！！】メタルジェントルを追え</v>
          </cell>
          <cell r="E279" t="str">
            <v>ゲリラ【超級】</v>
          </cell>
          <cell r="F279">
            <v>2</v>
          </cell>
          <cell r="G279" t="str">
            <v>ja</v>
          </cell>
          <cell r="H279" t="str">
            <v>【超級】水のジェントルを追え！</v>
          </cell>
          <cell r="I279" t="str">
            <v>超級ゲリラ</v>
          </cell>
          <cell r="J279">
            <v>343</v>
          </cell>
          <cell r="K279">
            <v>40</v>
          </cell>
          <cell r="L279">
            <v>500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5</v>
          </cell>
          <cell r="AD279">
            <v>6</v>
          </cell>
          <cell r="AE279" t="str">
            <v>singleonly</v>
          </cell>
        </row>
        <row r="280">
          <cell r="A280" t="str">
            <v>12003_3</v>
          </cell>
          <cell r="B280">
            <v>3</v>
          </cell>
          <cell r="C280">
            <v>12003</v>
          </cell>
          <cell r="D280" t="str">
            <v>【超緊急！！】メタルジェントルを追え</v>
          </cell>
          <cell r="E280" t="str">
            <v>ゲリラ【超級】</v>
          </cell>
          <cell r="F280">
            <v>3</v>
          </cell>
          <cell r="G280" t="str">
            <v>ja</v>
          </cell>
          <cell r="H280" t="str">
            <v>【超級】森のジェントルを追え！</v>
          </cell>
          <cell r="I280" t="str">
            <v>超級ゲリラ</v>
          </cell>
          <cell r="J280">
            <v>339</v>
          </cell>
          <cell r="K280">
            <v>40</v>
          </cell>
          <cell r="L280">
            <v>500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none</v>
          </cell>
          <cell r="T280">
            <v>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7</v>
          </cell>
          <cell r="AD280">
            <v>6</v>
          </cell>
          <cell r="AE280" t="str">
            <v>singleonly</v>
          </cell>
        </row>
        <row r="281">
          <cell r="A281" t="str">
            <v>12003_4</v>
          </cell>
          <cell r="B281">
            <v>3</v>
          </cell>
          <cell r="C281">
            <v>12003</v>
          </cell>
          <cell r="D281" t="str">
            <v>【超緊急！！】メタルジェントルを追え</v>
          </cell>
          <cell r="E281" t="str">
            <v>ゲリラ【超級】</v>
          </cell>
          <cell r="F281">
            <v>4</v>
          </cell>
          <cell r="G281" t="str">
            <v>ja</v>
          </cell>
          <cell r="H281" t="str">
            <v>【超級】炎のジェントルを追え！</v>
          </cell>
          <cell r="I281" t="str">
            <v>超級ゲリラ</v>
          </cell>
          <cell r="J281">
            <v>335</v>
          </cell>
          <cell r="K281">
            <v>40</v>
          </cell>
          <cell r="L281">
            <v>500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10</v>
          </cell>
          <cell r="AD281">
            <v>6</v>
          </cell>
          <cell r="AE281" t="str">
            <v>singleonly</v>
          </cell>
        </row>
        <row r="282">
          <cell r="A282" t="str">
            <v>12004_1</v>
          </cell>
          <cell r="B282">
            <v>3</v>
          </cell>
          <cell r="C282">
            <v>12004</v>
          </cell>
          <cell r="D282" t="str">
            <v>メタルフロッグをもとめて</v>
          </cell>
          <cell r="E282" t="str">
            <v>イベントクエスト</v>
          </cell>
          <cell r="F282">
            <v>1</v>
          </cell>
          <cell r="G282" t="str">
            <v>ja</v>
          </cell>
          <cell r="H282" t="str">
            <v>【上級】メタルフロッグをもとめて</v>
          </cell>
          <cell r="I282" t="str">
            <v>経験値イベント</v>
          </cell>
          <cell r="J282">
            <v>351</v>
          </cell>
          <cell r="K282">
            <v>20</v>
          </cell>
          <cell r="L282">
            <v>100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23</v>
          </cell>
          <cell r="AD282">
            <v>6</v>
          </cell>
          <cell r="AE282" t="str">
            <v>everyone</v>
          </cell>
        </row>
        <row r="283">
          <cell r="A283" t="str">
            <v>13001_1</v>
          </cell>
          <cell r="B283">
            <v>3</v>
          </cell>
          <cell r="C283">
            <v>13001</v>
          </cell>
          <cell r="D283" t="str">
            <v>チャレンジタワー(ソロ専用)</v>
          </cell>
          <cell r="E283" t="str">
            <v>試練の塔</v>
          </cell>
          <cell r="F283">
            <v>1</v>
          </cell>
          <cell r="G283" t="str">
            <v>ja</v>
          </cell>
          <cell r="H283" t="str">
            <v>チャレンジタワー 1F</v>
          </cell>
          <cell r="I283" t="str">
            <v>試練の塔</v>
          </cell>
          <cell r="J283">
            <v>345</v>
          </cell>
          <cell r="K283">
            <v>3</v>
          </cell>
          <cell r="L283">
            <v>120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character</v>
          </cell>
          <cell r="T283" t="str">
            <v>345,345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26</v>
          </cell>
          <cell r="AD283">
            <v>6</v>
          </cell>
          <cell r="AE283" t="str">
            <v>singleonly</v>
          </cell>
        </row>
        <row r="284">
          <cell r="A284" t="str">
            <v>13001_2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2</v>
          </cell>
          <cell r="G284" t="str">
            <v>ja</v>
          </cell>
          <cell r="H284" t="str">
            <v>チャレンジタワー 2F</v>
          </cell>
          <cell r="I284" t="str">
            <v>試練の塔</v>
          </cell>
          <cell r="J284">
            <v>333</v>
          </cell>
          <cell r="K284">
            <v>4</v>
          </cell>
          <cell r="L284">
            <v>176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333,333</v>
          </cell>
          <cell r="U284">
            <v>13001</v>
          </cell>
          <cell r="V284">
            <v>1</v>
          </cell>
          <cell r="W284" t="str">
            <v>チャレンジタワー 1F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13001_3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3</v>
          </cell>
          <cell r="G285" t="str">
            <v>ja</v>
          </cell>
          <cell r="H285" t="str">
            <v>チャレンジタワー 3F</v>
          </cell>
          <cell r="I285" t="str">
            <v>試練の塔</v>
          </cell>
          <cell r="J285">
            <v>337</v>
          </cell>
          <cell r="K285">
            <v>5</v>
          </cell>
          <cell r="L285">
            <v>242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337,337</v>
          </cell>
          <cell r="U285">
            <v>13001</v>
          </cell>
          <cell r="V285">
            <v>2</v>
          </cell>
          <cell r="W285" t="str">
            <v>チャレンジタワー 2F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13001_4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4</v>
          </cell>
          <cell r="G286" t="str">
            <v>ja</v>
          </cell>
          <cell r="H286" t="str">
            <v>チャレンジタワー 4F</v>
          </cell>
          <cell r="I286" t="str">
            <v>試練の塔</v>
          </cell>
          <cell r="J286">
            <v>341</v>
          </cell>
          <cell r="K286">
            <v>7</v>
          </cell>
          <cell r="L286">
            <v>508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341,341</v>
          </cell>
          <cell r="U286">
            <v>13001</v>
          </cell>
          <cell r="V286">
            <v>3</v>
          </cell>
          <cell r="W286" t="str">
            <v>チャレンジタワー 3F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13001_5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5</v>
          </cell>
          <cell r="G287" t="str">
            <v>ja</v>
          </cell>
          <cell r="H287" t="str">
            <v>チャレンジタワー 5F</v>
          </cell>
          <cell r="I287" t="str">
            <v>試練の塔</v>
          </cell>
          <cell r="J287">
            <v>333</v>
          </cell>
          <cell r="K287">
            <v>7</v>
          </cell>
          <cell r="L287">
            <v>280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333,337,341,345</v>
          </cell>
          <cell r="U287">
            <v>13001</v>
          </cell>
          <cell r="V287">
            <v>4</v>
          </cell>
          <cell r="W287" t="str">
            <v>チャレンジタワー 4F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13001_6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6</v>
          </cell>
          <cell r="G288" t="str">
            <v>ja</v>
          </cell>
          <cell r="H288" t="str">
            <v>チャレンジタワー 6F</v>
          </cell>
          <cell r="I288" t="str">
            <v>試練の塔</v>
          </cell>
          <cell r="J288">
            <v>346</v>
          </cell>
          <cell r="K288">
            <v>8</v>
          </cell>
          <cell r="L288">
            <v>474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346,345</v>
          </cell>
          <cell r="U288">
            <v>13001</v>
          </cell>
          <cell r="V288">
            <v>5</v>
          </cell>
          <cell r="W288" t="str">
            <v>チャレンジタワー 5F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13001_7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7</v>
          </cell>
          <cell r="G289" t="str">
            <v>ja</v>
          </cell>
          <cell r="H289" t="str">
            <v>チャレンジタワー 7F</v>
          </cell>
          <cell r="I289" t="str">
            <v>試練の塔</v>
          </cell>
          <cell r="J289">
            <v>342</v>
          </cell>
          <cell r="K289">
            <v>8</v>
          </cell>
          <cell r="L289">
            <v>486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342,341</v>
          </cell>
          <cell r="U289">
            <v>13001</v>
          </cell>
          <cell r="V289">
            <v>6</v>
          </cell>
          <cell r="W289" t="str">
            <v>チャレンジタワー 6F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13001_8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8</v>
          </cell>
          <cell r="G290" t="str">
            <v>ja</v>
          </cell>
          <cell r="H290" t="str">
            <v>チャレンジタワー 8F</v>
          </cell>
          <cell r="I290" t="str">
            <v>試練の塔</v>
          </cell>
          <cell r="J290">
            <v>334</v>
          </cell>
          <cell r="K290">
            <v>10</v>
          </cell>
          <cell r="L290">
            <v>1006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334,333</v>
          </cell>
          <cell r="U290">
            <v>13001</v>
          </cell>
          <cell r="V290">
            <v>7</v>
          </cell>
          <cell r="W290" t="str">
            <v>チャレンジタワー 7F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13001_9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9</v>
          </cell>
          <cell r="G291" t="str">
            <v>ja</v>
          </cell>
          <cell r="H291" t="str">
            <v>チャレンジタワー 9F</v>
          </cell>
          <cell r="I291" t="str">
            <v>試練の塔</v>
          </cell>
          <cell r="J291">
            <v>338</v>
          </cell>
          <cell r="K291">
            <v>10</v>
          </cell>
          <cell r="L291">
            <v>702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337,337,338</v>
          </cell>
          <cell r="U291">
            <v>13001</v>
          </cell>
          <cell r="V291">
            <v>8</v>
          </cell>
          <cell r="W291" t="str">
            <v>チャレンジタワー 8F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13001_10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10</v>
          </cell>
          <cell r="G292" t="str">
            <v>ja</v>
          </cell>
          <cell r="H292" t="str">
            <v>チャレンジタワー 10F</v>
          </cell>
          <cell r="I292" t="str">
            <v>試練の塔</v>
          </cell>
          <cell r="J292">
            <v>346</v>
          </cell>
          <cell r="K292">
            <v>11</v>
          </cell>
          <cell r="L292">
            <v>788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346,333,337,341</v>
          </cell>
          <cell r="U292">
            <v>13001</v>
          </cell>
          <cell r="V292">
            <v>9</v>
          </cell>
          <cell r="W292" t="str">
            <v>チャレンジタワー 9F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13001_11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11</v>
          </cell>
          <cell r="G293" t="str">
            <v>ja</v>
          </cell>
          <cell r="H293" t="str">
            <v>チャレンジタワー 11F</v>
          </cell>
          <cell r="I293" t="str">
            <v>試練の塔</v>
          </cell>
          <cell r="J293">
            <v>346</v>
          </cell>
          <cell r="K293">
            <v>12</v>
          </cell>
          <cell r="L293">
            <v>936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346,346</v>
          </cell>
          <cell r="U293">
            <v>13001</v>
          </cell>
          <cell r="V293">
            <v>10</v>
          </cell>
          <cell r="W293" t="str">
            <v>チャレンジタワー 10F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13001_12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12</v>
          </cell>
          <cell r="G294" t="str">
            <v>ja</v>
          </cell>
          <cell r="H294" t="str">
            <v>チャレンジタワー 12F</v>
          </cell>
          <cell r="I294" t="str">
            <v>試練の塔</v>
          </cell>
          <cell r="J294">
            <v>342</v>
          </cell>
          <cell r="K294">
            <v>13</v>
          </cell>
          <cell r="L294">
            <v>1601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342,342</v>
          </cell>
          <cell r="U294">
            <v>13001</v>
          </cell>
          <cell r="V294">
            <v>11</v>
          </cell>
          <cell r="W294" t="str">
            <v>チャレンジタワー 11F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13001_13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13</v>
          </cell>
          <cell r="G295" t="str">
            <v>ja</v>
          </cell>
          <cell r="H295" t="str">
            <v>チャレンジタワー 13F</v>
          </cell>
          <cell r="I295" t="str">
            <v>試練の塔</v>
          </cell>
          <cell r="J295">
            <v>338</v>
          </cell>
          <cell r="K295">
            <v>14</v>
          </cell>
          <cell r="L295">
            <v>945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338,338</v>
          </cell>
          <cell r="U295">
            <v>13001</v>
          </cell>
          <cell r="V295">
            <v>12</v>
          </cell>
          <cell r="W295" t="str">
            <v>チャレンジタワー 12F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13001_14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14</v>
          </cell>
          <cell r="G296" t="str">
            <v>ja</v>
          </cell>
          <cell r="H296" t="str">
            <v>チャレンジタワー 14F</v>
          </cell>
          <cell r="I296" t="str">
            <v>試練の塔</v>
          </cell>
          <cell r="J296">
            <v>334</v>
          </cell>
          <cell r="K296">
            <v>14</v>
          </cell>
          <cell r="L296">
            <v>1188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334,334</v>
          </cell>
          <cell r="U296">
            <v>13001</v>
          </cell>
          <cell r="V296">
            <v>13</v>
          </cell>
          <cell r="W296" t="str">
            <v>チャレンジタワー 13F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13001_15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15</v>
          </cell>
          <cell r="G297" t="str">
            <v>ja</v>
          </cell>
          <cell r="H297" t="str">
            <v>チャレンジタワー 15F</v>
          </cell>
          <cell r="I297" t="str">
            <v>試練の塔</v>
          </cell>
          <cell r="J297">
            <v>316</v>
          </cell>
          <cell r="K297">
            <v>14</v>
          </cell>
          <cell r="L297">
            <v>1008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316</v>
          </cell>
          <cell r="U297">
            <v>13001</v>
          </cell>
          <cell r="V297">
            <v>14</v>
          </cell>
          <cell r="W297" t="str">
            <v>チャレンジタワー 14F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13001_16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16</v>
          </cell>
          <cell r="G298" t="str">
            <v>ja</v>
          </cell>
          <cell r="H298" t="str">
            <v>チャレンジタワー 16F</v>
          </cell>
          <cell r="I298" t="str">
            <v>試練の塔</v>
          </cell>
          <cell r="J298">
            <v>338</v>
          </cell>
          <cell r="K298">
            <v>16</v>
          </cell>
          <cell r="L298">
            <v>2573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338,338,337</v>
          </cell>
          <cell r="U298">
            <v>13001</v>
          </cell>
          <cell r="V298">
            <v>15</v>
          </cell>
          <cell r="W298" t="str">
            <v>チャレンジタワー 15F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13001_17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17</v>
          </cell>
          <cell r="G299" t="str">
            <v>ja</v>
          </cell>
          <cell r="H299" t="str">
            <v>チャレンジタワー 17F</v>
          </cell>
          <cell r="I299" t="str">
            <v>試練の塔</v>
          </cell>
          <cell r="J299">
            <v>346</v>
          </cell>
          <cell r="K299">
            <v>16</v>
          </cell>
          <cell r="L299">
            <v>1568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346,346,345</v>
          </cell>
          <cell r="U299">
            <v>13001</v>
          </cell>
          <cell r="V299">
            <v>16</v>
          </cell>
          <cell r="W299" t="str">
            <v>チャレンジタワー 16F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13001_18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18</v>
          </cell>
          <cell r="G300" t="str">
            <v>ja</v>
          </cell>
          <cell r="H300" t="str">
            <v>チャレンジタワー 18F</v>
          </cell>
          <cell r="I300" t="str">
            <v>試練の塔</v>
          </cell>
          <cell r="J300">
            <v>334</v>
          </cell>
          <cell r="K300">
            <v>17</v>
          </cell>
          <cell r="L300">
            <v>1821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334,334,333</v>
          </cell>
          <cell r="U300">
            <v>13001</v>
          </cell>
          <cell r="V300">
            <v>17</v>
          </cell>
          <cell r="W300" t="str">
            <v>チャレンジタワー 17F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13001_19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19</v>
          </cell>
          <cell r="G301" t="str">
            <v>ja</v>
          </cell>
          <cell r="H301" t="str">
            <v>チャレンジタワー 19F</v>
          </cell>
          <cell r="I301" t="str">
            <v>試練の塔</v>
          </cell>
          <cell r="J301">
            <v>342</v>
          </cell>
          <cell r="K301">
            <v>18</v>
          </cell>
          <cell r="L301">
            <v>2108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342,342,341</v>
          </cell>
          <cell r="U301">
            <v>13001</v>
          </cell>
          <cell r="V301">
            <v>18</v>
          </cell>
          <cell r="W301" t="str">
            <v>チャレンジタワー 18F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13001_20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20</v>
          </cell>
          <cell r="G302" t="str">
            <v>ja</v>
          </cell>
          <cell r="H302" t="str">
            <v>チャレンジタワー 20F</v>
          </cell>
          <cell r="I302" t="str">
            <v>試練の塔</v>
          </cell>
          <cell r="J302">
            <v>318</v>
          </cell>
          <cell r="K302">
            <v>18</v>
          </cell>
          <cell r="L302">
            <v>1620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318</v>
          </cell>
          <cell r="U302">
            <v>13001</v>
          </cell>
          <cell r="V302">
            <v>19</v>
          </cell>
          <cell r="W302" t="str">
            <v>チャレンジタワー 19F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13001_21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21</v>
          </cell>
          <cell r="G303" t="str">
            <v>ja</v>
          </cell>
          <cell r="H303" t="str">
            <v>チャレンジタワー 21F</v>
          </cell>
          <cell r="I303" t="str">
            <v>試練の塔</v>
          </cell>
          <cell r="J303" t="str">
            <v>335</v>
          </cell>
          <cell r="K303">
            <v>18</v>
          </cell>
          <cell r="L303">
            <v>1620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334,335,335</v>
          </cell>
          <cell r="U303">
            <v>13001</v>
          </cell>
          <cell r="V303">
            <v>20</v>
          </cell>
          <cell r="W303" t="str">
            <v>チャレンジタワー 20F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13001_22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22</v>
          </cell>
          <cell r="G304" t="str">
            <v>ja</v>
          </cell>
          <cell r="H304" t="str">
            <v>チャレンジタワー 22F</v>
          </cell>
          <cell r="I304" t="str">
            <v>試練の塔</v>
          </cell>
          <cell r="J304" t="str">
            <v>339</v>
          </cell>
          <cell r="K304">
            <v>18</v>
          </cell>
          <cell r="L304">
            <v>1620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338,339,339</v>
          </cell>
          <cell r="U304">
            <v>13001</v>
          </cell>
          <cell r="V304">
            <v>21</v>
          </cell>
          <cell r="W304" t="str">
            <v>チャレンジタワー 21F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13001_23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23</v>
          </cell>
          <cell r="G305" t="str">
            <v>ja</v>
          </cell>
          <cell r="H305" t="str">
            <v>チャレンジタワー 23F</v>
          </cell>
          <cell r="I305" t="str">
            <v>試練の塔</v>
          </cell>
          <cell r="J305" t="str">
            <v>347</v>
          </cell>
          <cell r="K305">
            <v>20</v>
          </cell>
          <cell r="L305">
            <v>1821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346,347,347</v>
          </cell>
          <cell r="U305">
            <v>13001</v>
          </cell>
          <cell r="V305">
            <v>22</v>
          </cell>
          <cell r="W305" t="str">
            <v>チャレンジタワー 22F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13001_24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24</v>
          </cell>
          <cell r="G306" t="str">
            <v>ja</v>
          </cell>
          <cell r="H306" t="str">
            <v>チャレンジタワー 24F</v>
          </cell>
          <cell r="I306" t="str">
            <v>試練の塔</v>
          </cell>
          <cell r="J306" t="str">
            <v>343</v>
          </cell>
          <cell r="K306">
            <v>20</v>
          </cell>
          <cell r="L306">
            <v>2871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342,343,343</v>
          </cell>
          <cell r="U306">
            <v>13001</v>
          </cell>
          <cell r="V306">
            <v>23</v>
          </cell>
          <cell r="W306" t="str">
            <v>チャレンジタワー 23F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13001_25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25</v>
          </cell>
          <cell r="G307" t="str">
            <v>ja</v>
          </cell>
          <cell r="H307" t="str">
            <v>チャレンジタワー 25F</v>
          </cell>
          <cell r="I307" t="str">
            <v>試練の塔</v>
          </cell>
          <cell r="J307" t="str">
            <v>368</v>
          </cell>
          <cell r="K307">
            <v>22</v>
          </cell>
          <cell r="L307">
            <v>3740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368</v>
          </cell>
          <cell r="U307">
            <v>13001</v>
          </cell>
          <cell r="V307">
            <v>24</v>
          </cell>
          <cell r="W307" t="str">
            <v>チャレンジタワー 24F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14001_1</v>
          </cell>
          <cell r="B308">
            <v>3</v>
          </cell>
          <cell r="C308">
            <v>14001</v>
          </cell>
          <cell r="D308" t="str">
            <v>【ロック】経験値/ソロ</v>
          </cell>
          <cell r="E308" t="str">
            <v>【ロック】経験値/ソロ</v>
          </cell>
          <cell r="F308">
            <v>1</v>
          </cell>
          <cell r="G308" t="str">
            <v>ja</v>
          </cell>
          <cell r="H308" t="str">
            <v>【超級】雷ファミリー（ハートなし）</v>
          </cell>
          <cell r="I308" t="str">
            <v>【ロッククエスト】経験値</v>
          </cell>
          <cell r="J308">
            <v>347</v>
          </cell>
          <cell r="K308">
            <v>1</v>
          </cell>
          <cell r="L308">
            <v>500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0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12</v>
          </cell>
          <cell r="AD308">
            <v>6</v>
          </cell>
          <cell r="AE308" t="str">
            <v>singleonly</v>
          </cell>
        </row>
        <row r="309">
          <cell r="A309" t="str">
            <v>14001_2</v>
          </cell>
          <cell r="B309">
            <v>3</v>
          </cell>
          <cell r="C309">
            <v>14001</v>
          </cell>
          <cell r="D309" t="str">
            <v>【ロック】経験値/ソロ</v>
          </cell>
          <cell r="E309" t="str">
            <v>【ロック】経験値/ソロ</v>
          </cell>
          <cell r="F309">
            <v>2</v>
          </cell>
          <cell r="G309" t="str">
            <v>ja</v>
          </cell>
          <cell r="H309" t="str">
            <v>【超級】水ファミリー（ハートなし）</v>
          </cell>
          <cell r="I309" t="str">
            <v>【ロッククエスト】経験値</v>
          </cell>
          <cell r="J309">
            <v>343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5</v>
          </cell>
          <cell r="AD309">
            <v>6</v>
          </cell>
          <cell r="AE309" t="str">
            <v>singleonly</v>
          </cell>
        </row>
        <row r="310">
          <cell r="A310" t="str">
            <v>14001_3</v>
          </cell>
          <cell r="B310">
            <v>3</v>
          </cell>
          <cell r="C310">
            <v>14001</v>
          </cell>
          <cell r="D310" t="str">
            <v>【ロック】経験値/ソロ</v>
          </cell>
          <cell r="E310" t="str">
            <v>【ロック】経験値/ソロ</v>
          </cell>
          <cell r="F310">
            <v>3</v>
          </cell>
          <cell r="G310" t="str">
            <v>ja</v>
          </cell>
          <cell r="H310" t="str">
            <v>【超級】森ファミリー（ハートなし）</v>
          </cell>
          <cell r="I310" t="str">
            <v>【ロッククエスト】経験値</v>
          </cell>
          <cell r="J310">
            <v>339</v>
          </cell>
          <cell r="K310">
            <v>1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7</v>
          </cell>
          <cell r="AD310">
            <v>6</v>
          </cell>
          <cell r="AE310" t="str">
            <v>singleonly</v>
          </cell>
        </row>
        <row r="311">
          <cell r="A311" t="str">
            <v>14001_4</v>
          </cell>
          <cell r="B311">
            <v>3</v>
          </cell>
          <cell r="C311">
            <v>14001</v>
          </cell>
          <cell r="D311" t="str">
            <v>【ロック】経験値/ソロ</v>
          </cell>
          <cell r="E311" t="str">
            <v>【ロック】経験値/ソロ</v>
          </cell>
          <cell r="F311">
            <v>4</v>
          </cell>
          <cell r="G311" t="str">
            <v>ja</v>
          </cell>
          <cell r="H311" t="str">
            <v>【超級】炎ファミリー（ハートなし）</v>
          </cell>
          <cell r="I311" t="str">
            <v>【ロッククエスト】経験値</v>
          </cell>
          <cell r="J311">
            <v>335</v>
          </cell>
          <cell r="K311">
            <v>1</v>
          </cell>
          <cell r="L311">
            <v>500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10</v>
          </cell>
          <cell r="AD311">
            <v>6</v>
          </cell>
          <cell r="AE311" t="str">
            <v>singleonly</v>
          </cell>
        </row>
        <row r="312">
          <cell r="A312" t="str">
            <v>14001_5</v>
          </cell>
          <cell r="B312">
            <v>0</v>
          </cell>
          <cell r="C312">
            <v>14001</v>
          </cell>
          <cell r="D312" t="str">
            <v>【ロック】経験値/ソロ</v>
          </cell>
          <cell r="E312" t="str">
            <v>【ロック】経験値/ソロ</v>
          </cell>
          <cell r="F312">
            <v>5</v>
          </cell>
          <cell r="G312" t="str">
            <v>ja</v>
          </cell>
          <cell r="H312" t="str">
            <v>【超絶級】雷のサミット（ハートなし）</v>
          </cell>
          <cell r="I312" t="str">
            <v>【ロッククエスト】経験値</v>
          </cell>
          <cell r="J312">
            <v>334</v>
          </cell>
          <cell r="K312">
            <v>1</v>
          </cell>
          <cell r="L312">
            <v>350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201</v>
          </cell>
          <cell r="AD312">
            <v>6</v>
          </cell>
          <cell r="AE312" t="str">
            <v>singleonly</v>
          </cell>
        </row>
        <row r="313">
          <cell r="A313" t="str">
            <v>14001_6</v>
          </cell>
          <cell r="B313">
            <v>0</v>
          </cell>
          <cell r="C313">
            <v>14001</v>
          </cell>
          <cell r="D313" t="str">
            <v>【ロック】経験値/ソロ</v>
          </cell>
          <cell r="E313" t="str">
            <v>【ロック】経験値/ソロ</v>
          </cell>
          <cell r="F313">
            <v>6</v>
          </cell>
          <cell r="G313" t="str">
            <v>ja</v>
          </cell>
          <cell r="H313" t="str">
            <v>【超絶級】水のサミット（ハートなし）</v>
          </cell>
          <cell r="I313" t="str">
            <v>【ロッククエスト】経験値</v>
          </cell>
          <cell r="J313">
            <v>334</v>
          </cell>
          <cell r="K313">
            <v>1</v>
          </cell>
          <cell r="L313">
            <v>350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201</v>
          </cell>
          <cell r="AD313">
            <v>6</v>
          </cell>
          <cell r="AE313" t="str">
            <v>singleonly</v>
          </cell>
        </row>
        <row r="314">
          <cell r="A314" t="str">
            <v>14001_7</v>
          </cell>
          <cell r="B314">
            <v>0</v>
          </cell>
          <cell r="C314">
            <v>14001</v>
          </cell>
          <cell r="D314" t="str">
            <v>【ロック】経験値/ソロ</v>
          </cell>
          <cell r="E314" t="str">
            <v>【ロック】経験値/ソロ</v>
          </cell>
          <cell r="F314">
            <v>7</v>
          </cell>
          <cell r="G314" t="str">
            <v>ja</v>
          </cell>
          <cell r="H314" t="str">
            <v>【超絶級】森のサミット（ハートなし）</v>
          </cell>
          <cell r="I314" t="str">
            <v>【ロッククエスト】経験値</v>
          </cell>
          <cell r="J314">
            <v>334</v>
          </cell>
          <cell r="K314">
            <v>1</v>
          </cell>
          <cell r="L314">
            <v>350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201</v>
          </cell>
          <cell r="AD314">
            <v>6</v>
          </cell>
          <cell r="AE314" t="str">
            <v>singleonly</v>
          </cell>
        </row>
        <row r="315">
          <cell r="A315" t="str">
            <v>14001_8</v>
          </cell>
          <cell r="B315">
            <v>0</v>
          </cell>
          <cell r="C315">
            <v>14001</v>
          </cell>
          <cell r="D315" t="str">
            <v>【ロック】経験値/ソロ</v>
          </cell>
          <cell r="E315" t="str">
            <v>【ロック】経験値/ソロ</v>
          </cell>
          <cell r="F315">
            <v>8</v>
          </cell>
          <cell r="G315" t="str">
            <v>ja</v>
          </cell>
          <cell r="H315" t="str">
            <v>【超絶級】炎のサミット（ハートなし）</v>
          </cell>
          <cell r="I315" t="str">
            <v>【ロッククエスト】経験値</v>
          </cell>
          <cell r="J315">
            <v>334</v>
          </cell>
          <cell r="K315">
            <v>1</v>
          </cell>
          <cell r="L315">
            <v>350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201</v>
          </cell>
          <cell r="AD315">
            <v>6</v>
          </cell>
          <cell r="AE315" t="str">
            <v>singleonly</v>
          </cell>
        </row>
        <row r="316">
          <cell r="A316" t="str">
            <v>14002_1</v>
          </cell>
          <cell r="B316">
            <v>3</v>
          </cell>
          <cell r="C316">
            <v>14002</v>
          </cell>
          <cell r="D316" t="str">
            <v>【ロック】ビット/ソロ</v>
          </cell>
          <cell r="E316" t="str">
            <v>【ロック】ビット/ソロ</v>
          </cell>
          <cell r="F316">
            <v>1</v>
          </cell>
          <cell r="G316" t="str">
            <v>ja</v>
          </cell>
          <cell r="H316" t="str">
            <v>【超級】ハイローラー（ハートなし）</v>
          </cell>
          <cell r="I316" t="str">
            <v>【ロッククエスト】ビット</v>
          </cell>
          <cell r="J316">
            <v>119</v>
          </cell>
          <cell r="K316">
            <v>1</v>
          </cell>
          <cell r="L316">
            <v>777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0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105</v>
          </cell>
          <cell r="AD316">
            <v>6</v>
          </cell>
          <cell r="AE316" t="str">
            <v>singleonly</v>
          </cell>
        </row>
        <row r="317">
          <cell r="A317" t="str">
            <v>14002_2</v>
          </cell>
          <cell r="B317">
            <v>0</v>
          </cell>
          <cell r="C317">
            <v>14002</v>
          </cell>
          <cell r="D317" t="str">
            <v>【ロック】ビット/ソロ</v>
          </cell>
          <cell r="E317" t="str">
            <v>【ロック】ビット/ソロ</v>
          </cell>
          <cell r="F317">
            <v>2</v>
          </cell>
          <cell r="G317" t="str">
            <v>ja</v>
          </cell>
          <cell r="H317" t="str">
            <v>【上級】ゴールドカジノ （ハートなし）</v>
          </cell>
          <cell r="I317" t="str">
            <v>【ロッククエスト】ビット</v>
          </cell>
          <cell r="J317">
            <v>119</v>
          </cell>
          <cell r="K317">
            <v>1</v>
          </cell>
          <cell r="L317">
            <v>350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105</v>
          </cell>
          <cell r="AD317">
            <v>6</v>
          </cell>
          <cell r="AE317" t="str">
            <v>singleonly</v>
          </cell>
        </row>
        <row r="318">
          <cell r="A318" t="str">
            <v>14003_1</v>
          </cell>
          <cell r="B318">
            <v>3</v>
          </cell>
          <cell r="C318">
            <v>14003</v>
          </cell>
          <cell r="D318" t="str">
            <v>【ロック】限界突破/ソロ</v>
          </cell>
          <cell r="E318" t="str">
            <v>【ロック】限界突破/ソロ</v>
          </cell>
          <cell r="F318">
            <v>1</v>
          </cell>
          <cell r="G318" t="str">
            <v>ja</v>
          </cell>
          <cell r="H318" t="str">
            <v>【超級】果実の楽園（ハートなし）</v>
          </cell>
          <cell r="I318" t="str">
            <v>【ロッククエスト】限界突破</v>
          </cell>
          <cell r="J318">
            <v>125</v>
          </cell>
          <cell r="K318">
            <v>1</v>
          </cell>
          <cell r="L318">
            <v>860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7</v>
          </cell>
          <cell r="AD318">
            <v>6</v>
          </cell>
          <cell r="AE318" t="str">
            <v>singleonly</v>
          </cell>
        </row>
        <row r="319">
          <cell r="A319" t="str">
            <v>14003_2</v>
          </cell>
          <cell r="B319">
            <v>1</v>
          </cell>
          <cell r="C319">
            <v>14003</v>
          </cell>
          <cell r="D319" t="str">
            <v>【ロック】限界突破/ソロ</v>
          </cell>
          <cell r="E319" t="str">
            <v>【ロック】限界突破/ソロ</v>
          </cell>
          <cell r="F319">
            <v>2</v>
          </cell>
          <cell r="G319" t="str">
            <v>ja</v>
          </cell>
          <cell r="H319" t="str">
            <v>【超絶級】攻めの極意（ハートなし）</v>
          </cell>
          <cell r="I319" t="str">
            <v>【ロッククエスト】限界突破</v>
          </cell>
          <cell r="J319">
            <v>611</v>
          </cell>
          <cell r="K319">
            <v>1</v>
          </cell>
          <cell r="L319">
            <v>999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10</v>
          </cell>
          <cell r="AD319">
            <v>6</v>
          </cell>
          <cell r="AE319" t="str">
            <v>singleonly</v>
          </cell>
        </row>
        <row r="320">
          <cell r="A320" t="str">
            <v>14003_3</v>
          </cell>
          <cell r="B320">
            <v>1</v>
          </cell>
          <cell r="C320">
            <v>14003</v>
          </cell>
          <cell r="D320" t="str">
            <v>【ロック】限界突破/ソロ</v>
          </cell>
          <cell r="E320" t="str">
            <v>【ロック】限界突破/ソロ</v>
          </cell>
          <cell r="F320">
            <v>3</v>
          </cell>
          <cell r="G320" t="str">
            <v>ja</v>
          </cell>
          <cell r="H320" t="str">
            <v>【超絶級】癒しの極意（ハートなし）</v>
          </cell>
          <cell r="I320" t="str">
            <v>【ロッククエスト】限界突破</v>
          </cell>
          <cell r="J320">
            <v>613</v>
          </cell>
          <cell r="K320">
            <v>1</v>
          </cell>
          <cell r="L320">
            <v>999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5</v>
          </cell>
          <cell r="AD320">
            <v>6</v>
          </cell>
          <cell r="AE320" t="str">
            <v>singleonly</v>
          </cell>
        </row>
        <row r="321">
          <cell r="A321" t="str">
            <v>14003_4</v>
          </cell>
          <cell r="B321">
            <v>1</v>
          </cell>
          <cell r="C321">
            <v>14003</v>
          </cell>
          <cell r="D321" t="str">
            <v>【ロック】限界突破/ソロ</v>
          </cell>
          <cell r="E321" t="str">
            <v>【ロック】限界突破/ソロ</v>
          </cell>
          <cell r="F321">
            <v>4</v>
          </cell>
          <cell r="G321" t="str">
            <v>ja</v>
          </cell>
          <cell r="H321" t="str">
            <v>【超絶級】体力の極意（ハートなし）</v>
          </cell>
          <cell r="I321" t="str">
            <v>【ロッククエスト】限界突破</v>
          </cell>
          <cell r="J321">
            <v>612</v>
          </cell>
          <cell r="K321">
            <v>1</v>
          </cell>
          <cell r="L321">
            <v>999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7</v>
          </cell>
          <cell r="AD321">
            <v>6</v>
          </cell>
          <cell r="AE321" t="str">
            <v>singleonly</v>
          </cell>
        </row>
        <row r="322">
          <cell r="A322" t="str">
            <v>14004_1</v>
          </cell>
          <cell r="B322">
            <v>1</v>
          </cell>
          <cell r="C322">
            <v>14004</v>
          </cell>
          <cell r="D322" t="str">
            <v>【ロック】経験値/LINEマルチ</v>
          </cell>
          <cell r="E322" t="str">
            <v>【ロック】経験値/LINEマルチ</v>
          </cell>
          <cell r="F322">
            <v>1</v>
          </cell>
          <cell r="G322" t="str">
            <v>ja</v>
          </cell>
          <cell r="H322" t="str">
            <v>【超級】雷ファミリー（ハートなし）</v>
          </cell>
          <cell r="I322" t="str">
            <v>【ロッククエスト】経験値</v>
          </cell>
          <cell r="J322">
            <v>347</v>
          </cell>
          <cell r="K322">
            <v>1</v>
          </cell>
          <cell r="L322">
            <v>500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12</v>
          </cell>
          <cell r="AD322">
            <v>6</v>
          </cell>
          <cell r="AE322" t="str">
            <v>lineonly</v>
          </cell>
        </row>
        <row r="323">
          <cell r="A323" t="str">
            <v>14004_2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2</v>
          </cell>
          <cell r="G323" t="str">
            <v>ja</v>
          </cell>
          <cell r="H323" t="str">
            <v>【超級】水ファミリー（ハートなし）</v>
          </cell>
          <cell r="I323" t="str">
            <v>【ロッククエスト】経験値</v>
          </cell>
          <cell r="J323">
            <v>343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5</v>
          </cell>
          <cell r="AD323">
            <v>6</v>
          </cell>
          <cell r="AE323" t="str">
            <v>lineonly</v>
          </cell>
        </row>
        <row r="324">
          <cell r="A324" t="str">
            <v>14004_3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3</v>
          </cell>
          <cell r="G324" t="str">
            <v>ja</v>
          </cell>
          <cell r="H324" t="str">
            <v>【超級】森ファミリー（ハートなし）</v>
          </cell>
          <cell r="I324" t="str">
            <v>【ロッククエスト】経験値</v>
          </cell>
          <cell r="J324">
            <v>339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7</v>
          </cell>
          <cell r="AD324">
            <v>6</v>
          </cell>
          <cell r="AE324" t="str">
            <v>lineonly</v>
          </cell>
        </row>
        <row r="325">
          <cell r="A325" t="str">
            <v>14004_4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4</v>
          </cell>
          <cell r="G325" t="str">
            <v>ja</v>
          </cell>
          <cell r="H325" t="str">
            <v>【超級】炎ファミリー（ハートなし）</v>
          </cell>
          <cell r="I325" t="str">
            <v>【ロッククエスト】経験値</v>
          </cell>
          <cell r="J325">
            <v>335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6</v>
          </cell>
          <cell r="AE325" t="str">
            <v>lineonly</v>
          </cell>
        </row>
        <row r="326">
          <cell r="A326" t="str">
            <v>14005_1</v>
          </cell>
          <cell r="B326">
            <v>1</v>
          </cell>
          <cell r="C326">
            <v>14005</v>
          </cell>
          <cell r="D326" t="str">
            <v>【ロック】ビット/LINEマルチ</v>
          </cell>
          <cell r="E326" t="str">
            <v>【ロック】ビット/LINEマルチ</v>
          </cell>
          <cell r="F326">
            <v>1</v>
          </cell>
          <cell r="G326" t="str">
            <v>ja</v>
          </cell>
          <cell r="H326" t="str">
            <v>【超級】ハイローラー（ハートなし）</v>
          </cell>
          <cell r="I326" t="str">
            <v>【ロッククエスト】ビット</v>
          </cell>
          <cell r="J326">
            <v>119</v>
          </cell>
          <cell r="K326">
            <v>1</v>
          </cell>
          <cell r="L326">
            <v>777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105</v>
          </cell>
          <cell r="AD326">
            <v>6</v>
          </cell>
          <cell r="AE326" t="str">
            <v>lineonly</v>
          </cell>
        </row>
        <row r="327">
          <cell r="A327" t="str">
            <v>14006_1</v>
          </cell>
          <cell r="B327">
            <v>1</v>
          </cell>
          <cell r="C327">
            <v>14006</v>
          </cell>
          <cell r="D327" t="str">
            <v>【ロック】限界突破/LINEマルチ</v>
          </cell>
          <cell r="E327" t="str">
            <v>【ロック】限界突破/LINEマルチ</v>
          </cell>
          <cell r="F327">
            <v>1</v>
          </cell>
          <cell r="G327" t="str">
            <v>ja</v>
          </cell>
          <cell r="H327" t="str">
            <v>【超級】果実の楽園（ハートなし）</v>
          </cell>
          <cell r="I327" t="str">
            <v>【ロッククエスト】限界突破</v>
          </cell>
          <cell r="J327">
            <v>125</v>
          </cell>
          <cell r="K327">
            <v>1</v>
          </cell>
          <cell r="L327">
            <v>860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7</v>
          </cell>
          <cell r="AD327">
            <v>6</v>
          </cell>
          <cell r="AE327" t="str">
            <v>lineonly</v>
          </cell>
        </row>
        <row r="328">
          <cell r="A328" t="str">
            <v>15027_1</v>
          </cell>
          <cell r="B328">
            <v>3</v>
          </cell>
          <cell r="C328">
            <v>15027</v>
          </cell>
          <cell r="D328" t="str">
            <v>27. 雷雨の登山道</v>
          </cell>
          <cell r="E328" t="str">
            <v>黄青DL6</v>
          </cell>
          <cell r="F328">
            <v>1</v>
          </cell>
          <cell r="G328" t="str">
            <v>ja</v>
          </cell>
          <cell r="H328" t="str">
            <v>27-1. 登山道入口</v>
          </cell>
          <cell r="J328" t="str">
            <v>NULL</v>
          </cell>
          <cell r="K328">
            <v>18</v>
          </cell>
          <cell r="L328">
            <v>2080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none</v>
          </cell>
          <cell r="T328">
            <v>0</v>
          </cell>
          <cell r="U328">
            <v>26</v>
          </cell>
          <cell r="V328">
            <v>6</v>
          </cell>
          <cell r="W328" t="str">
            <v>26-6．【1回のみ】ボーナスステージ</v>
          </cell>
          <cell r="X328">
            <v>0</v>
          </cell>
          <cell r="Y328">
            <v>1</v>
          </cell>
          <cell r="Z328">
            <v>0</v>
          </cell>
          <cell r="AA328">
            <v>1</v>
          </cell>
          <cell r="AB328" t="str">
            <v>anytime</v>
          </cell>
          <cell r="AC328">
            <v>27</v>
          </cell>
          <cell r="AD328">
            <v>6</v>
          </cell>
          <cell r="AE328" t="str">
            <v>everyone</v>
          </cell>
        </row>
        <row r="329">
          <cell r="A329" t="str">
            <v>15027_2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2</v>
          </cell>
          <cell r="G329" t="str">
            <v>ja</v>
          </cell>
          <cell r="H329" t="str">
            <v>27-2. 霊峰の守護者</v>
          </cell>
          <cell r="J329" t="str">
            <v>NULL</v>
          </cell>
          <cell r="K329">
            <v>19</v>
          </cell>
          <cell r="L329">
            <v>2300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15027</v>
          </cell>
          <cell r="V329">
            <v>1</v>
          </cell>
          <cell r="W329" t="str">
            <v>27-1. 登山道入口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15027_3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3</v>
          </cell>
          <cell r="G330" t="str">
            <v>ja</v>
          </cell>
          <cell r="H330" t="str">
            <v>27-3. 山岳の王者</v>
          </cell>
          <cell r="J330" t="str">
            <v>NULL</v>
          </cell>
          <cell r="K330">
            <v>22</v>
          </cell>
          <cell r="L330">
            <v>2920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2</v>
          </cell>
          <cell r="W330" t="str">
            <v>27-2. 霊峰の守護者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15027_4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4</v>
          </cell>
          <cell r="G331" t="str">
            <v>ja</v>
          </cell>
          <cell r="H331" t="str">
            <v>27-4. 【1回のみ】ボーナスステージ</v>
          </cell>
          <cell r="I331" t="str">
            <v>ボーナス</v>
          </cell>
          <cell r="J331">
            <v>343</v>
          </cell>
          <cell r="K331">
            <v>1</v>
          </cell>
          <cell r="L331">
            <v>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3</v>
          </cell>
          <cell r="W331" t="str">
            <v>27-3. 山岳の王者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once</v>
          </cell>
          <cell r="AC331">
            <v>27</v>
          </cell>
          <cell r="AD331">
            <v>6</v>
          </cell>
          <cell r="AE331" t="str">
            <v>singleonly</v>
          </cell>
        </row>
        <row r="332">
          <cell r="A332" t="str">
            <v>15028_1</v>
          </cell>
          <cell r="B332">
            <v>3</v>
          </cell>
          <cell r="C332">
            <v>15028</v>
          </cell>
          <cell r="D332" t="str">
            <v>28. 暴風と灼熱の罪浄</v>
          </cell>
          <cell r="E332" t="str">
            <v>赤緑DL6</v>
          </cell>
          <cell r="F332">
            <v>1</v>
          </cell>
          <cell r="G332" t="str">
            <v>ja</v>
          </cell>
          <cell r="H332" t="str">
            <v>28-1. 轟翼のかまど</v>
          </cell>
          <cell r="J332" t="str">
            <v>NULL</v>
          </cell>
          <cell r="K332">
            <v>18</v>
          </cell>
          <cell r="L332">
            <v>2150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4</v>
          </cell>
          <cell r="W332" t="str">
            <v>27-4. 【1回のみ】ボーナスステージ</v>
          </cell>
          <cell r="X332">
            <v>1</v>
          </cell>
          <cell r="Y332">
            <v>0</v>
          </cell>
          <cell r="Z332">
            <v>1</v>
          </cell>
          <cell r="AA332">
            <v>0</v>
          </cell>
          <cell r="AB332" t="str">
            <v>anytime</v>
          </cell>
          <cell r="AC332">
            <v>28</v>
          </cell>
          <cell r="AD332">
            <v>6</v>
          </cell>
          <cell r="AE332" t="str">
            <v>everyone</v>
          </cell>
        </row>
        <row r="333">
          <cell r="A333" t="str">
            <v>15028_2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2</v>
          </cell>
          <cell r="G333" t="str">
            <v>ja</v>
          </cell>
          <cell r="H333" t="str">
            <v>28-2. 空の寝殿</v>
          </cell>
          <cell r="J333" t="str">
            <v>NULL</v>
          </cell>
          <cell r="K333">
            <v>19</v>
          </cell>
          <cell r="L333">
            <v>2500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15028</v>
          </cell>
          <cell r="V333">
            <v>1</v>
          </cell>
          <cell r="W333" t="str">
            <v>28-1. 轟翼のかまど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15028_3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3</v>
          </cell>
          <cell r="G334" t="str">
            <v>ja</v>
          </cell>
          <cell r="H334" t="str">
            <v>28-3. 縛風の洞窟</v>
          </cell>
          <cell r="J334" t="str">
            <v>NULL</v>
          </cell>
          <cell r="K334">
            <v>22</v>
          </cell>
          <cell r="L334">
            <v>3100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2</v>
          </cell>
          <cell r="W334" t="str">
            <v>28-2. 空の寝殿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15028_4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4</v>
          </cell>
          <cell r="G335" t="str">
            <v>ja</v>
          </cell>
          <cell r="H335" t="str">
            <v>28-4. 【1回のみ】ボーナスステージ</v>
          </cell>
          <cell r="I335" t="str">
            <v>ボーナス</v>
          </cell>
          <cell r="J335">
            <v>339</v>
          </cell>
          <cell r="K335">
            <v>1</v>
          </cell>
          <cell r="L335">
            <v>1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3</v>
          </cell>
          <cell r="W335" t="str">
            <v>28-3. 縛風の洞窟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once</v>
          </cell>
          <cell r="AC335">
            <v>28</v>
          </cell>
          <cell r="AD335">
            <v>6</v>
          </cell>
          <cell r="AE335" t="str">
            <v>singleonly</v>
          </cell>
        </row>
        <row r="336">
          <cell r="A336" t="str">
            <v>15029_1</v>
          </cell>
          <cell r="B336">
            <v>3</v>
          </cell>
          <cell r="C336">
            <v>15029</v>
          </cell>
          <cell r="D336" t="str">
            <v>29. 雪の望郷</v>
          </cell>
          <cell r="E336" t="str">
            <v>緑黄DL6</v>
          </cell>
          <cell r="F336">
            <v>1</v>
          </cell>
          <cell r="G336" t="str">
            <v>ja</v>
          </cell>
          <cell r="H336" t="str">
            <v>29-1. 雪の中のケモノたち</v>
          </cell>
          <cell r="J336" t="str">
            <v>NULL</v>
          </cell>
          <cell r="K336">
            <v>18</v>
          </cell>
          <cell r="L336">
            <v>2340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4</v>
          </cell>
          <cell r="W336" t="str">
            <v>28-4. 【1回のみ】ボーナスステージ</v>
          </cell>
          <cell r="X336">
            <v>0</v>
          </cell>
          <cell r="Y336">
            <v>0</v>
          </cell>
          <cell r="Z336">
            <v>1</v>
          </cell>
          <cell r="AA336">
            <v>1</v>
          </cell>
          <cell r="AB336" t="str">
            <v>anytime</v>
          </cell>
          <cell r="AC336">
            <v>29</v>
          </cell>
          <cell r="AD336">
            <v>6</v>
          </cell>
          <cell r="AE336" t="str">
            <v>everyone</v>
          </cell>
        </row>
        <row r="337">
          <cell r="A337" t="str">
            <v>15029_2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2</v>
          </cell>
          <cell r="G337" t="str">
            <v>ja</v>
          </cell>
          <cell r="H337" t="str">
            <v>29-2. ねこみみマフラー</v>
          </cell>
          <cell r="J337" t="str">
            <v>NULL</v>
          </cell>
          <cell r="K337">
            <v>19</v>
          </cell>
          <cell r="L337">
            <v>2670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15029</v>
          </cell>
          <cell r="V337">
            <v>1</v>
          </cell>
          <cell r="W337" t="str">
            <v>29-1. 雪の中のケモノたち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15029_3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3</v>
          </cell>
          <cell r="G338" t="str">
            <v>ja</v>
          </cell>
          <cell r="H338" t="str">
            <v>29-3. 仕立屋と兄妹</v>
          </cell>
          <cell r="J338" t="str">
            <v>NULL</v>
          </cell>
          <cell r="K338">
            <v>22</v>
          </cell>
          <cell r="L338">
            <v>3320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2</v>
          </cell>
          <cell r="W338" t="str">
            <v>29-2. ねこみみマフラー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15029_4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4</v>
          </cell>
          <cell r="G339" t="str">
            <v>ja</v>
          </cell>
          <cell r="H339" t="str">
            <v>29-4. 【1回のみ】ボーナスステージ</v>
          </cell>
          <cell r="I339" t="str">
            <v>ボーナス</v>
          </cell>
          <cell r="J339">
            <v>347</v>
          </cell>
          <cell r="K339">
            <v>1</v>
          </cell>
          <cell r="L339">
            <v>1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3</v>
          </cell>
          <cell r="W339" t="str">
            <v>29-3. 仕立屋と兄妹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once</v>
          </cell>
          <cell r="AC339">
            <v>29</v>
          </cell>
          <cell r="AD339">
            <v>6</v>
          </cell>
          <cell r="AE339" t="str">
            <v>singleonly</v>
          </cell>
        </row>
        <row r="340">
          <cell r="A340" t="str">
            <v>15030_1</v>
          </cell>
          <cell r="B340">
            <v>3</v>
          </cell>
          <cell r="C340">
            <v>15030</v>
          </cell>
          <cell r="D340" t="str">
            <v>30. 月夜のオールドシティ</v>
          </cell>
          <cell r="E340" t="str">
            <v>赤青DL6</v>
          </cell>
          <cell r="F340">
            <v>1</v>
          </cell>
          <cell r="G340" t="str">
            <v>ja</v>
          </cell>
          <cell r="H340" t="str">
            <v>30-1. 月夜に煌めく刃</v>
          </cell>
          <cell r="J340" t="str">
            <v>NULL</v>
          </cell>
          <cell r="K340">
            <v>18</v>
          </cell>
          <cell r="L340">
            <v>2480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4</v>
          </cell>
          <cell r="W340" t="str">
            <v>29-4. 【1回のみ】ボーナスステージ</v>
          </cell>
          <cell r="X340">
            <v>1</v>
          </cell>
          <cell r="Y340">
            <v>1</v>
          </cell>
          <cell r="Z340">
            <v>0</v>
          </cell>
          <cell r="AA340">
            <v>0</v>
          </cell>
          <cell r="AB340" t="str">
            <v>anytime</v>
          </cell>
          <cell r="AC340">
            <v>30</v>
          </cell>
          <cell r="AD340">
            <v>6</v>
          </cell>
          <cell r="AE340" t="str">
            <v>everyone</v>
          </cell>
        </row>
        <row r="341">
          <cell r="A341" t="str">
            <v>15030_2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2</v>
          </cell>
          <cell r="G341" t="str">
            <v>ja</v>
          </cell>
          <cell r="H341" t="str">
            <v>30-2. 深夜のお茶会</v>
          </cell>
          <cell r="J341" t="str">
            <v>NULL</v>
          </cell>
          <cell r="K341">
            <v>19</v>
          </cell>
          <cell r="L341">
            <v>2800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15030</v>
          </cell>
          <cell r="V341">
            <v>1</v>
          </cell>
          <cell r="W341" t="str">
            <v>30-1. 月夜に煌めく刃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15030_3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3</v>
          </cell>
          <cell r="G342" t="str">
            <v>ja</v>
          </cell>
          <cell r="H342" t="str">
            <v>30-3. 月影の襲撃者</v>
          </cell>
          <cell r="J342" t="str">
            <v>NULL</v>
          </cell>
          <cell r="K342">
            <v>22</v>
          </cell>
          <cell r="L342">
            <v>3540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2</v>
          </cell>
          <cell r="W342" t="str">
            <v>30-2. 深夜のお茶会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15030_4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4</v>
          </cell>
          <cell r="G343" t="str">
            <v>ja</v>
          </cell>
          <cell r="H343" t="str">
            <v>30-4. 【1回のみ】ボーナスステージ</v>
          </cell>
          <cell r="I343" t="str">
            <v>ボーナス</v>
          </cell>
          <cell r="J343">
            <v>335</v>
          </cell>
          <cell r="K343">
            <v>1</v>
          </cell>
          <cell r="L343">
            <v>1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3</v>
          </cell>
          <cell r="W343" t="str">
            <v>30-3. 月影の襲撃者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once</v>
          </cell>
          <cell r="AC343">
            <v>30</v>
          </cell>
          <cell r="AD343">
            <v>6</v>
          </cell>
          <cell r="AE343" t="str">
            <v>singleonly</v>
          </cell>
        </row>
        <row r="344">
          <cell r="A344" t="str">
            <v>15031_1</v>
          </cell>
          <cell r="B344">
            <v>3</v>
          </cell>
          <cell r="C344">
            <v>15031</v>
          </cell>
          <cell r="D344" t="str">
            <v>31. 桜花乱城</v>
          </cell>
          <cell r="E344" t="str">
            <v>混色DL6</v>
          </cell>
          <cell r="F344">
            <v>1</v>
          </cell>
          <cell r="G344" t="str">
            <v>ja</v>
          </cell>
          <cell r="H344" t="str">
            <v>31-1. 忍び寄る影</v>
          </cell>
          <cell r="J344" t="str">
            <v>NULL</v>
          </cell>
          <cell r="K344">
            <v>19</v>
          </cell>
          <cell r="L344">
            <v>2800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4</v>
          </cell>
          <cell r="W344" t="str">
            <v>30-4. 【1回のみ】ボーナスステージ</v>
          </cell>
          <cell r="X344">
            <v>1</v>
          </cell>
          <cell r="Y344">
            <v>1</v>
          </cell>
          <cell r="Z344">
            <v>1</v>
          </cell>
          <cell r="AA344">
            <v>1</v>
          </cell>
          <cell r="AB344" t="str">
            <v>anytime</v>
          </cell>
          <cell r="AC344">
            <v>31</v>
          </cell>
          <cell r="AD344">
            <v>6</v>
          </cell>
          <cell r="AE344" t="str">
            <v>everyone</v>
          </cell>
        </row>
        <row r="345">
          <cell r="A345" t="str">
            <v>15031_2</v>
          </cell>
          <cell r="B345">
            <v>3</v>
          </cell>
          <cell r="C345">
            <v>15031</v>
          </cell>
          <cell r="D345" t="str">
            <v>31. 桜花乱城</v>
          </cell>
          <cell r="E345" t="str">
            <v>混色DL6</v>
          </cell>
          <cell r="F345">
            <v>2</v>
          </cell>
          <cell r="G345" t="str">
            <v>ja</v>
          </cell>
          <cell r="H345" t="str">
            <v>31-2. 赤鉄の将</v>
          </cell>
          <cell r="J345" t="str">
            <v>NULL</v>
          </cell>
          <cell r="K345">
            <v>21</v>
          </cell>
          <cell r="L345">
            <v>3200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15031</v>
          </cell>
          <cell r="V345">
            <v>1</v>
          </cell>
          <cell r="W345" t="str">
            <v>31-1. 忍び寄る影</v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15031_3</v>
          </cell>
          <cell r="B346">
            <v>3</v>
          </cell>
          <cell r="C346">
            <v>15031</v>
          </cell>
          <cell r="D346" t="str">
            <v>31. 桜花乱城</v>
          </cell>
          <cell r="E346" t="str">
            <v>混色DL6</v>
          </cell>
          <cell r="F346">
            <v>3</v>
          </cell>
          <cell r="G346" t="str">
            <v>ja</v>
          </cell>
          <cell r="H346" t="str">
            <v>31-3. 神域の試練</v>
          </cell>
          <cell r="J346" t="str">
            <v>NULL</v>
          </cell>
          <cell r="K346">
            <v>24</v>
          </cell>
          <cell r="L346">
            <v>4680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15031</v>
          </cell>
          <cell r="V346">
            <v>2</v>
          </cell>
          <cell r="W346" t="str">
            <v>31-2. 赤鉄の将</v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15031_4</v>
          </cell>
          <cell r="B347">
            <v>3</v>
          </cell>
          <cell r="C347">
            <v>15031</v>
          </cell>
          <cell r="D347" t="str">
            <v>31. 桜花乱城</v>
          </cell>
          <cell r="E347" t="str">
            <v>混色DL6</v>
          </cell>
          <cell r="F347">
            <v>4</v>
          </cell>
          <cell r="G347" t="str">
            <v>ja</v>
          </cell>
          <cell r="H347" t="str">
            <v>31-4. 【1回のみ】ボーナスステージ</v>
          </cell>
          <cell r="I347" t="str">
            <v>ボーナス</v>
          </cell>
          <cell r="J347">
            <v>610</v>
          </cell>
          <cell r="K347">
            <v>1</v>
          </cell>
          <cell r="L347">
            <v>1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15031</v>
          </cell>
          <cell r="V347">
            <v>3</v>
          </cell>
          <cell r="W347" t="str">
            <v>31-3. 神域の試練</v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once</v>
          </cell>
          <cell r="AC347">
            <v>31</v>
          </cell>
          <cell r="AD347">
            <v>6</v>
          </cell>
          <cell r="AE347" t="str">
            <v>singleonly</v>
          </cell>
        </row>
        <row r="348">
          <cell r="A348" t="str">
            <v>20001_1</v>
          </cell>
          <cell r="B348">
            <v>3</v>
          </cell>
          <cell r="C348">
            <v>20001</v>
          </cell>
          <cell r="D348" t="str">
            <v>紅き執行者</v>
          </cell>
          <cell r="E348" t="str">
            <v>ドロップイベント1-1</v>
          </cell>
          <cell r="F348">
            <v>1</v>
          </cell>
          <cell r="G348" t="str">
            <v>ja</v>
          </cell>
          <cell r="H348" t="str">
            <v xml:space="preserve">【初級】紅き執行者 </v>
          </cell>
          <cell r="I348" t="str">
            <v>初級</v>
          </cell>
          <cell r="J348">
            <v>262</v>
          </cell>
          <cell r="K348">
            <v>8</v>
          </cell>
          <cell r="L348">
            <v>384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 t="str">
            <v>NULL</v>
          </cell>
          <cell r="V348" t="str">
            <v>NULL</v>
          </cell>
          <cell r="W348" t="str">
            <v/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14</v>
          </cell>
          <cell r="AD348">
            <v>6</v>
          </cell>
          <cell r="AE348" t="str">
            <v>everyone</v>
          </cell>
        </row>
        <row r="349">
          <cell r="A349" t="str">
            <v>20001_2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2</v>
          </cell>
          <cell r="G349" t="str">
            <v>ja</v>
          </cell>
          <cell r="H349" t="str">
            <v>【中級】紅き執行者</v>
          </cell>
          <cell r="I349" t="str">
            <v>中級</v>
          </cell>
          <cell r="J349">
            <v>262</v>
          </cell>
          <cell r="K349">
            <v>15</v>
          </cell>
          <cell r="L349">
            <v>1200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20001_3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3</v>
          </cell>
          <cell r="G350" t="str">
            <v>ja</v>
          </cell>
          <cell r="H350" t="str">
            <v xml:space="preserve">【上級】紅き執行者 </v>
          </cell>
          <cell r="I350" t="str">
            <v>上級</v>
          </cell>
          <cell r="J350">
            <v>263</v>
          </cell>
          <cell r="K350">
            <v>20</v>
          </cell>
          <cell r="L350">
            <v>2000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polygon</v>
          </cell>
          <cell r="T350">
            <v>1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20002_1</v>
          </cell>
          <cell r="B351">
            <v>3</v>
          </cell>
          <cell r="C351">
            <v>20002</v>
          </cell>
          <cell r="D351" t="str">
            <v>孤高の一角獣</v>
          </cell>
          <cell r="E351" t="str">
            <v>ドロップイベント1-2</v>
          </cell>
          <cell r="F351">
            <v>1</v>
          </cell>
          <cell r="G351" t="str">
            <v>ja</v>
          </cell>
          <cell r="H351" t="str">
            <v>【初級】孤高の一角獣</v>
          </cell>
          <cell r="I351" t="str">
            <v>初級</v>
          </cell>
          <cell r="J351">
            <v>264</v>
          </cell>
          <cell r="K351">
            <v>8</v>
          </cell>
          <cell r="L351">
            <v>384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0</v>
          </cell>
          <cell r="R351">
            <v>3</v>
          </cell>
          <cell r="S351" t="str">
            <v>none</v>
          </cell>
          <cell r="T351">
            <v>0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19</v>
          </cell>
          <cell r="AD351">
            <v>6</v>
          </cell>
          <cell r="AE351" t="str">
            <v>everyone</v>
          </cell>
        </row>
        <row r="352">
          <cell r="A352" t="str">
            <v>20002_2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2</v>
          </cell>
          <cell r="G352" t="str">
            <v>ja</v>
          </cell>
          <cell r="H352" t="str">
            <v>【中級】孤高の一角獣</v>
          </cell>
          <cell r="I352" t="str">
            <v>中級</v>
          </cell>
          <cell r="J352">
            <v>264</v>
          </cell>
          <cell r="K352">
            <v>15</v>
          </cell>
          <cell r="L352">
            <v>1200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20002_3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3</v>
          </cell>
          <cell r="G353" t="str">
            <v>ja</v>
          </cell>
          <cell r="H353" t="str">
            <v>【上級】孤高の一角獣</v>
          </cell>
          <cell r="I353" t="str">
            <v>上級</v>
          </cell>
          <cell r="J353">
            <v>265</v>
          </cell>
          <cell r="K353">
            <v>20</v>
          </cell>
          <cell r="L353">
            <v>2000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polygon</v>
          </cell>
          <cell r="T353">
            <v>1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20003_1</v>
          </cell>
          <cell r="B354">
            <v>3</v>
          </cell>
          <cell r="C354">
            <v>20003</v>
          </cell>
          <cell r="D354" t="str">
            <v>忍び寄る短剣</v>
          </cell>
          <cell r="E354" t="str">
            <v>ドロップイベント1-3</v>
          </cell>
          <cell r="F354">
            <v>1</v>
          </cell>
          <cell r="G354" t="str">
            <v>ja</v>
          </cell>
          <cell r="H354" t="str">
            <v xml:space="preserve">【初級】忍び寄る短剣 </v>
          </cell>
          <cell r="I354" t="str">
            <v>初級</v>
          </cell>
          <cell r="J354">
            <v>266</v>
          </cell>
          <cell r="K354">
            <v>8</v>
          </cell>
          <cell r="L354">
            <v>384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11</v>
          </cell>
          <cell r="AD354">
            <v>6</v>
          </cell>
          <cell r="AE354" t="str">
            <v>everyone</v>
          </cell>
        </row>
        <row r="355">
          <cell r="A355" t="str">
            <v>20003_2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2</v>
          </cell>
          <cell r="G355" t="str">
            <v>ja</v>
          </cell>
          <cell r="H355" t="str">
            <v xml:space="preserve">【中級】忍び寄る短剣 </v>
          </cell>
          <cell r="I355" t="str">
            <v>中級</v>
          </cell>
          <cell r="J355">
            <v>266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20003_3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3</v>
          </cell>
          <cell r="G356" t="str">
            <v>ja</v>
          </cell>
          <cell r="H356" t="str">
            <v xml:space="preserve">【上級】忍び寄る短剣 </v>
          </cell>
          <cell r="I356" t="str">
            <v>上級</v>
          </cell>
          <cell r="J356">
            <v>267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polygon</v>
          </cell>
          <cell r="T356">
            <v>1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20004_1</v>
          </cell>
          <cell r="B357">
            <v>3</v>
          </cell>
          <cell r="C357">
            <v>20004</v>
          </cell>
          <cell r="D357" t="str">
            <v>雷雲からの刺客</v>
          </cell>
          <cell r="E357" t="str">
            <v>ドロップイベント1-4</v>
          </cell>
          <cell r="F357">
            <v>1</v>
          </cell>
          <cell r="G357" t="str">
            <v>ja</v>
          </cell>
          <cell r="H357" t="str">
            <v>【初級】雷雲からの刺客</v>
          </cell>
          <cell r="I357" t="str">
            <v>初級</v>
          </cell>
          <cell r="J357">
            <v>268</v>
          </cell>
          <cell r="K357">
            <v>8</v>
          </cell>
          <cell r="L357">
            <v>384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0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4</v>
          </cell>
          <cell r="AD357">
            <v>6</v>
          </cell>
          <cell r="AE357" t="str">
            <v>everyone</v>
          </cell>
        </row>
        <row r="358">
          <cell r="A358" t="str">
            <v>20004_2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2</v>
          </cell>
          <cell r="G358" t="str">
            <v>ja</v>
          </cell>
          <cell r="H358" t="str">
            <v>【中級】雷雲からの刺客</v>
          </cell>
          <cell r="I358" t="str">
            <v>中級</v>
          </cell>
          <cell r="J358">
            <v>268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20004_3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3</v>
          </cell>
          <cell r="G359" t="str">
            <v>ja</v>
          </cell>
          <cell r="H359" t="str">
            <v>【上級】雷雲からの刺客</v>
          </cell>
          <cell r="I359" t="str">
            <v>上級</v>
          </cell>
          <cell r="J359">
            <v>269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polygon</v>
          </cell>
          <cell r="T359">
            <v>1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20005_1</v>
          </cell>
          <cell r="B360">
            <v>3</v>
          </cell>
          <cell r="C360">
            <v>20005</v>
          </cell>
          <cell r="D360" t="str">
            <v>ザ・キャノン</v>
          </cell>
          <cell r="E360" t="str">
            <v>ドロップイベント2-2</v>
          </cell>
          <cell r="F360">
            <v>1</v>
          </cell>
          <cell r="G360" t="str">
            <v>ja</v>
          </cell>
          <cell r="H360" t="str">
            <v>【初級】ザ・キャノン(4タップ）</v>
          </cell>
          <cell r="I360" t="str">
            <v>初級</v>
          </cell>
          <cell r="J360">
            <v>286</v>
          </cell>
          <cell r="K360">
            <v>8</v>
          </cell>
          <cell r="L360">
            <v>384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4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14</v>
          </cell>
          <cell r="AD360">
            <v>6</v>
          </cell>
          <cell r="AE360" t="str">
            <v>everyone</v>
          </cell>
        </row>
        <row r="361">
          <cell r="A361" t="str">
            <v>20005_2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2</v>
          </cell>
          <cell r="G361" t="str">
            <v>ja</v>
          </cell>
          <cell r="H361" t="str">
            <v>【中級】ザ・キャノン(4タップ)</v>
          </cell>
          <cell r="I361" t="str">
            <v>中級</v>
          </cell>
          <cell r="J361">
            <v>286</v>
          </cell>
          <cell r="K361">
            <v>15</v>
          </cell>
          <cell r="L361">
            <v>1200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20005_3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3</v>
          </cell>
          <cell r="G362" t="str">
            <v>ja</v>
          </cell>
          <cell r="H362" t="str">
            <v>【上級】ザ・キャノン(4タップ)</v>
          </cell>
          <cell r="I362" t="str">
            <v>上級</v>
          </cell>
          <cell r="J362">
            <v>287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polygon</v>
          </cell>
          <cell r="T362">
            <v>1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20006_1</v>
          </cell>
          <cell r="B363">
            <v>3</v>
          </cell>
          <cell r="C363">
            <v>20006</v>
          </cell>
          <cell r="D363" t="str">
            <v>スチール・プレデター</v>
          </cell>
          <cell r="E363" t="str">
            <v>ドロップイベント2-3</v>
          </cell>
          <cell r="F363">
            <v>1</v>
          </cell>
          <cell r="G363" t="str">
            <v>ja</v>
          </cell>
          <cell r="H363" t="str">
            <v>【初級】スチール・プレデター</v>
          </cell>
          <cell r="I363" t="str">
            <v>初級</v>
          </cell>
          <cell r="J363">
            <v>280</v>
          </cell>
          <cell r="K363">
            <v>8</v>
          </cell>
          <cell r="L363">
            <v>384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2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19</v>
          </cell>
          <cell r="AD363">
            <v>6</v>
          </cell>
          <cell r="AE363" t="str">
            <v>everyone</v>
          </cell>
        </row>
        <row r="364">
          <cell r="A364" t="str">
            <v>20006_2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2</v>
          </cell>
          <cell r="G364" t="str">
            <v>ja</v>
          </cell>
          <cell r="H364" t="str">
            <v>【中級】スチール・プレデター</v>
          </cell>
          <cell r="I364" t="str">
            <v>中級</v>
          </cell>
          <cell r="J364">
            <v>280</v>
          </cell>
          <cell r="K364">
            <v>15</v>
          </cell>
          <cell r="L364">
            <v>1200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20006_3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3</v>
          </cell>
          <cell r="G365" t="str">
            <v>ja</v>
          </cell>
          <cell r="H365" t="str">
            <v>【上級】スチール・プレデター</v>
          </cell>
          <cell r="I365" t="str">
            <v>上級</v>
          </cell>
          <cell r="J365">
            <v>281</v>
          </cell>
          <cell r="K365">
            <v>20</v>
          </cell>
          <cell r="L365">
            <v>2000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polygon</v>
          </cell>
          <cell r="T365">
            <v>1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20007_1</v>
          </cell>
          <cell r="B366">
            <v>3</v>
          </cell>
          <cell r="C366">
            <v>20007</v>
          </cell>
          <cell r="D366" t="str">
            <v>女王陛下の処刑龍</v>
          </cell>
          <cell r="E366" t="str">
            <v>ドロップイベント2-1</v>
          </cell>
          <cell r="F366">
            <v>1</v>
          </cell>
          <cell r="G366" t="str">
            <v>ja</v>
          </cell>
          <cell r="H366" t="str">
            <v>【初級】女王陛下の処刑龍</v>
          </cell>
          <cell r="I366" t="str">
            <v>初級</v>
          </cell>
          <cell r="J366">
            <v>282</v>
          </cell>
          <cell r="K366">
            <v>8</v>
          </cell>
          <cell r="L366">
            <v>384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4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17</v>
          </cell>
          <cell r="AD366">
            <v>6</v>
          </cell>
          <cell r="AE366" t="str">
            <v>everyone</v>
          </cell>
        </row>
        <row r="367">
          <cell r="A367" t="str">
            <v>20007_2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2</v>
          </cell>
          <cell r="G367" t="str">
            <v>ja</v>
          </cell>
          <cell r="H367" t="str">
            <v>【中級】女王陛下の処刑龍</v>
          </cell>
          <cell r="I367" t="str">
            <v>中級</v>
          </cell>
          <cell r="J367">
            <v>282</v>
          </cell>
          <cell r="K367">
            <v>15</v>
          </cell>
          <cell r="L367">
            <v>1200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20007_3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3</v>
          </cell>
          <cell r="G368" t="str">
            <v>ja</v>
          </cell>
          <cell r="H368" t="str">
            <v>【上級】女王陛下の処刑龍</v>
          </cell>
          <cell r="I368" t="str">
            <v>上級</v>
          </cell>
          <cell r="J368">
            <v>283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20008_1</v>
          </cell>
          <cell r="B369">
            <v>3</v>
          </cell>
          <cell r="C369">
            <v>20008</v>
          </cell>
          <cell r="D369" t="str">
            <v>天翔ける金轟機龍</v>
          </cell>
          <cell r="E369" t="str">
            <v>ドロップイベント2-4</v>
          </cell>
          <cell r="F369">
            <v>1</v>
          </cell>
          <cell r="G369" t="str">
            <v>ja</v>
          </cell>
          <cell r="H369" t="str">
            <v>【初級】天翔ける金轟機龍</v>
          </cell>
          <cell r="I369" t="str">
            <v>初級</v>
          </cell>
          <cell r="J369">
            <v>284</v>
          </cell>
          <cell r="K369">
            <v>8</v>
          </cell>
          <cell r="L369">
            <v>384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8</v>
          </cell>
          <cell r="AD369">
            <v>6</v>
          </cell>
          <cell r="AE369" t="str">
            <v>everyone</v>
          </cell>
        </row>
        <row r="370">
          <cell r="A370" t="str">
            <v>20008_2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2</v>
          </cell>
          <cell r="G370" t="str">
            <v>ja</v>
          </cell>
          <cell r="H370" t="str">
            <v>【中級】天翔ける金轟機龍</v>
          </cell>
          <cell r="I370" t="str">
            <v>中級</v>
          </cell>
          <cell r="J370">
            <v>284</v>
          </cell>
          <cell r="K370">
            <v>15</v>
          </cell>
          <cell r="L370">
            <v>1200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20008_3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3</v>
          </cell>
          <cell r="G371" t="str">
            <v>ja</v>
          </cell>
          <cell r="H371" t="str">
            <v>【上級】天翔ける金轟機龍</v>
          </cell>
          <cell r="I371" t="str">
            <v>上級</v>
          </cell>
          <cell r="J371">
            <v>285</v>
          </cell>
          <cell r="K371">
            <v>20</v>
          </cell>
          <cell r="L371">
            <v>2000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polygon</v>
          </cell>
          <cell r="T371">
            <v>1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20009_1</v>
          </cell>
          <cell r="B372">
            <v>0</v>
          </cell>
          <cell r="C372">
            <v>20009</v>
          </cell>
          <cell r="D372" t="str">
            <v>迫り来る窒息</v>
          </cell>
          <cell r="E372" t="str">
            <v>ドロップイベント3</v>
          </cell>
          <cell r="F372">
            <v>1</v>
          </cell>
          <cell r="G372" t="str">
            <v>ja</v>
          </cell>
          <cell r="H372" t="str">
            <v>【初級】迫り来る窒息</v>
          </cell>
          <cell r="I372" t="str">
            <v>初級</v>
          </cell>
          <cell r="J372" t="str">
            <v>NULL</v>
          </cell>
          <cell r="K372">
            <v>8</v>
          </cell>
          <cell r="L372">
            <v>384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25</v>
          </cell>
          <cell r="AD372">
            <v>5</v>
          </cell>
          <cell r="AE372" t="str">
            <v>everyone</v>
          </cell>
        </row>
        <row r="373">
          <cell r="A373" t="str">
            <v>20009_2</v>
          </cell>
          <cell r="B373">
            <v>3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2</v>
          </cell>
          <cell r="G373" t="str">
            <v>ja</v>
          </cell>
          <cell r="H373" t="str">
            <v>【中級】迫り来る窒息</v>
          </cell>
          <cell r="I373" t="str">
            <v>中級</v>
          </cell>
          <cell r="J373">
            <v>302</v>
          </cell>
          <cell r="K373">
            <v>15</v>
          </cell>
          <cell r="L373">
            <v>1200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20009_3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3</v>
          </cell>
          <cell r="G374" t="str">
            <v>ja</v>
          </cell>
          <cell r="H374" t="str">
            <v>【上級】迫り来る窒息</v>
          </cell>
          <cell r="I374" t="str">
            <v>上級</v>
          </cell>
          <cell r="J374">
            <v>303</v>
          </cell>
          <cell r="K374">
            <v>20</v>
          </cell>
          <cell r="L374">
            <v>2000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20010_1</v>
          </cell>
          <cell r="B375">
            <v>3</v>
          </cell>
          <cell r="C375">
            <v>20010</v>
          </cell>
          <cell r="D375" t="str">
            <v>悪夢の一目惚れ</v>
          </cell>
          <cell r="E375" t="str">
            <v>ドロップイベント3</v>
          </cell>
          <cell r="F375">
            <v>1</v>
          </cell>
          <cell r="G375" t="str">
            <v>ja</v>
          </cell>
          <cell r="H375" t="str">
            <v>【初級】悪夢の一目惚れ</v>
          </cell>
          <cell r="I375" t="str">
            <v>初級</v>
          </cell>
          <cell r="J375">
            <v>304</v>
          </cell>
          <cell r="K375">
            <v>8</v>
          </cell>
          <cell r="L375">
            <v>384</v>
          </cell>
          <cell r="M375">
            <v>1</v>
          </cell>
          <cell r="N375">
            <v>1</v>
          </cell>
          <cell r="O375">
            <v>0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2601</v>
          </cell>
          <cell r="AD375">
            <v>6</v>
          </cell>
          <cell r="AE375" t="str">
            <v>everyone</v>
          </cell>
        </row>
        <row r="376">
          <cell r="A376" t="str">
            <v>20010_2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2</v>
          </cell>
          <cell r="G376" t="str">
            <v>ja</v>
          </cell>
          <cell r="H376" t="str">
            <v>【中級】悪夢の一目惚れ</v>
          </cell>
          <cell r="I376" t="str">
            <v>中級</v>
          </cell>
          <cell r="J376">
            <v>304</v>
          </cell>
          <cell r="K376">
            <v>15</v>
          </cell>
          <cell r="L376">
            <v>1200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20010_3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3</v>
          </cell>
          <cell r="G377" t="str">
            <v>ja</v>
          </cell>
          <cell r="H377" t="str">
            <v>【上級】悪夢の一目惚れ</v>
          </cell>
          <cell r="I377" t="str">
            <v>上級</v>
          </cell>
          <cell r="J377">
            <v>305</v>
          </cell>
          <cell r="K377">
            <v>20</v>
          </cell>
          <cell r="L377">
            <v>2000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polygon</v>
          </cell>
          <cell r="T377">
            <v>1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20011_1</v>
          </cell>
          <cell r="B378">
            <v>3</v>
          </cell>
          <cell r="C378">
            <v>20011</v>
          </cell>
          <cell r="D378" t="str">
            <v>すべてが灰になる</v>
          </cell>
          <cell r="E378" t="str">
            <v>ドロップイベント3</v>
          </cell>
          <cell r="F378">
            <v>1</v>
          </cell>
          <cell r="G378" t="str">
            <v>ja</v>
          </cell>
          <cell r="H378" t="str">
            <v>【初級】すべてが灰になる</v>
          </cell>
          <cell r="I378" t="str">
            <v>初級</v>
          </cell>
          <cell r="J378">
            <v>298</v>
          </cell>
          <cell r="K378">
            <v>8</v>
          </cell>
          <cell r="L378">
            <v>384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10</v>
          </cell>
          <cell r="AD378">
            <v>5</v>
          </cell>
          <cell r="AE378" t="str">
            <v>everyone</v>
          </cell>
        </row>
        <row r="379">
          <cell r="A379" t="str">
            <v>20011_2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2</v>
          </cell>
          <cell r="G379" t="str">
            <v>ja</v>
          </cell>
          <cell r="H379" t="str">
            <v>【中級】すべてが灰になる</v>
          </cell>
          <cell r="I379" t="str">
            <v>中級</v>
          </cell>
          <cell r="J379">
            <v>298</v>
          </cell>
          <cell r="K379">
            <v>15</v>
          </cell>
          <cell r="L379">
            <v>1200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20011_3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3</v>
          </cell>
          <cell r="G380" t="str">
            <v>ja</v>
          </cell>
          <cell r="H380" t="str">
            <v>【上級】すべてが灰になる</v>
          </cell>
          <cell r="I380" t="str">
            <v>上級</v>
          </cell>
          <cell r="J380">
            <v>299</v>
          </cell>
          <cell r="K380">
            <v>20</v>
          </cell>
          <cell r="L380">
            <v>2000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20012_1</v>
          </cell>
          <cell r="B381">
            <v>3</v>
          </cell>
          <cell r="C381">
            <v>20012</v>
          </cell>
          <cell r="D381" t="str">
            <v>罪と劇薬</v>
          </cell>
          <cell r="E381" t="str">
            <v>ドロップイベント3</v>
          </cell>
          <cell r="F381">
            <v>1</v>
          </cell>
          <cell r="G381" t="str">
            <v>ja</v>
          </cell>
          <cell r="H381" t="str">
            <v>【初級】罪と劇薬</v>
          </cell>
          <cell r="I381" t="str">
            <v>初級</v>
          </cell>
          <cell r="J381">
            <v>300</v>
          </cell>
          <cell r="K381">
            <v>8</v>
          </cell>
          <cell r="L381">
            <v>384</v>
          </cell>
          <cell r="M381">
            <v>0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19</v>
          </cell>
          <cell r="AD381">
            <v>6</v>
          </cell>
          <cell r="AE381" t="str">
            <v>everyone</v>
          </cell>
        </row>
        <row r="382">
          <cell r="A382" t="str">
            <v>20012_2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2</v>
          </cell>
          <cell r="G382" t="str">
            <v>ja</v>
          </cell>
          <cell r="H382" t="str">
            <v>【中級】罪と劇薬</v>
          </cell>
          <cell r="I382" t="str">
            <v>中級</v>
          </cell>
          <cell r="J382">
            <v>300</v>
          </cell>
          <cell r="K382">
            <v>15</v>
          </cell>
          <cell r="L382">
            <v>1200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20012_3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3</v>
          </cell>
          <cell r="G383" t="str">
            <v>ja</v>
          </cell>
          <cell r="H383" t="str">
            <v>【上級】罪と劇薬</v>
          </cell>
          <cell r="I383" t="str">
            <v>上級</v>
          </cell>
          <cell r="J383">
            <v>301</v>
          </cell>
          <cell r="K383">
            <v>20</v>
          </cell>
          <cell r="L383">
            <v>2000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20013_1</v>
          </cell>
          <cell r="B384">
            <v>3</v>
          </cell>
          <cell r="C384">
            <v>20013</v>
          </cell>
          <cell r="D384" t="str">
            <v>天の時、地の利、人の和</v>
          </cell>
          <cell r="E384" t="str">
            <v>ドロップイベント4</v>
          </cell>
          <cell r="F384">
            <v>1</v>
          </cell>
          <cell r="G384" t="str">
            <v>ja</v>
          </cell>
          <cell r="H384" t="str">
            <v>【初級】天の時、地の利、人の和</v>
          </cell>
          <cell r="I384" t="str">
            <v>初級</v>
          </cell>
          <cell r="J384">
            <v>720</v>
          </cell>
          <cell r="K384">
            <v>8</v>
          </cell>
          <cell r="L384">
            <v>384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10</v>
          </cell>
          <cell r="AD384">
            <v>6</v>
          </cell>
          <cell r="AE384" t="str">
            <v>everyone</v>
          </cell>
        </row>
        <row r="385">
          <cell r="A385" t="str">
            <v>20013_2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2</v>
          </cell>
          <cell r="G385" t="str">
            <v>ja</v>
          </cell>
          <cell r="H385" t="str">
            <v>【中級】天の時、地の利、人の和</v>
          </cell>
          <cell r="I385" t="str">
            <v>中級</v>
          </cell>
          <cell r="J385">
            <v>720</v>
          </cell>
          <cell r="K385">
            <v>15</v>
          </cell>
          <cell r="L385">
            <v>1200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20013_3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3</v>
          </cell>
          <cell r="G386" t="str">
            <v>ja</v>
          </cell>
          <cell r="H386" t="str">
            <v>【上級】天の時、地の利、人の和</v>
          </cell>
          <cell r="I386" t="str">
            <v>上級</v>
          </cell>
          <cell r="J386">
            <v>721</v>
          </cell>
          <cell r="K386">
            <v>20</v>
          </cell>
          <cell r="L386">
            <v>2000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20014_1</v>
          </cell>
          <cell r="B387">
            <v>3</v>
          </cell>
          <cell r="C387">
            <v>20014</v>
          </cell>
          <cell r="D387" t="str">
            <v>魅了する歌声</v>
          </cell>
          <cell r="E387" t="str">
            <v>天使と悪魔編1</v>
          </cell>
          <cell r="F387">
            <v>1</v>
          </cell>
          <cell r="G387" t="str">
            <v>ja</v>
          </cell>
          <cell r="H387" t="str">
            <v>【初級】魅了する歌声</v>
          </cell>
          <cell r="I387" t="str">
            <v>初級</v>
          </cell>
          <cell r="J387">
            <v>842</v>
          </cell>
          <cell r="K387">
            <v>8</v>
          </cell>
          <cell r="L387">
            <v>384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17</v>
          </cell>
          <cell r="AD387">
            <v>4</v>
          </cell>
          <cell r="AE387" t="str">
            <v>everyone</v>
          </cell>
        </row>
        <row r="388">
          <cell r="A388" t="str">
            <v>20014_2</v>
          </cell>
          <cell r="B388">
            <v>3</v>
          </cell>
          <cell r="C388">
            <v>20014</v>
          </cell>
          <cell r="D388" t="str">
            <v>魅了する歌声</v>
          </cell>
          <cell r="E388" t="str">
            <v>天使と悪魔編1</v>
          </cell>
          <cell r="F388">
            <v>2</v>
          </cell>
          <cell r="G388" t="str">
            <v>ja</v>
          </cell>
          <cell r="H388" t="str">
            <v>【中級】魅了する歌声</v>
          </cell>
          <cell r="I388" t="str">
            <v>中級</v>
          </cell>
          <cell r="J388">
            <v>842</v>
          </cell>
          <cell r="K388">
            <v>15</v>
          </cell>
          <cell r="L388">
            <v>1200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4</v>
          </cell>
          <cell r="AE388" t="str">
            <v>everyone</v>
          </cell>
        </row>
        <row r="389">
          <cell r="A389" t="str">
            <v>20014_3</v>
          </cell>
          <cell r="B389">
            <v>3</v>
          </cell>
          <cell r="C389">
            <v>20014</v>
          </cell>
          <cell r="D389" t="str">
            <v>魅了する歌声</v>
          </cell>
          <cell r="E389" t="str">
            <v>天使と悪魔編1</v>
          </cell>
          <cell r="F389">
            <v>3</v>
          </cell>
          <cell r="G389" t="str">
            <v>ja</v>
          </cell>
          <cell r="H389" t="str">
            <v>【上級】魅了する歌声</v>
          </cell>
          <cell r="I389" t="str">
            <v>上級</v>
          </cell>
          <cell r="J389">
            <v>842</v>
          </cell>
          <cell r="K389">
            <v>20</v>
          </cell>
          <cell r="L389">
            <v>2000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17</v>
          </cell>
          <cell r="AD389">
            <v>4</v>
          </cell>
          <cell r="AE389" t="str">
            <v>everyone</v>
          </cell>
        </row>
        <row r="390">
          <cell r="A390" t="str">
            <v>20015_1</v>
          </cell>
          <cell r="B390">
            <v>3</v>
          </cell>
          <cell r="C390">
            <v>20015</v>
          </cell>
          <cell r="D390" t="str">
            <v>妄執とり憑く美貌の妃</v>
          </cell>
          <cell r="E390" t="str">
            <v>おとぎ話シリーズ3</v>
          </cell>
          <cell r="F390">
            <v>1</v>
          </cell>
          <cell r="G390" t="str">
            <v>ja</v>
          </cell>
          <cell r="H390" t="str">
            <v>【初級】妄執とり憑く美貌の妃</v>
          </cell>
          <cell r="I390" t="str">
            <v>初級</v>
          </cell>
          <cell r="J390">
            <v>856</v>
          </cell>
          <cell r="K390">
            <v>8</v>
          </cell>
          <cell r="L390">
            <v>384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6</v>
          </cell>
          <cell r="AD390">
            <v>6</v>
          </cell>
          <cell r="AE390" t="str">
            <v>everyone</v>
          </cell>
        </row>
        <row r="391">
          <cell r="A391" t="str">
            <v>20015_2</v>
          </cell>
          <cell r="B391">
            <v>3</v>
          </cell>
          <cell r="C391">
            <v>20015</v>
          </cell>
          <cell r="D391" t="str">
            <v>妄執とり憑く美貌の妃</v>
          </cell>
          <cell r="E391" t="str">
            <v>おとぎ話シリーズ3</v>
          </cell>
          <cell r="F391">
            <v>2</v>
          </cell>
          <cell r="G391" t="str">
            <v>ja</v>
          </cell>
          <cell r="H391" t="str">
            <v>【中級】妄執とり憑く美貌の妃</v>
          </cell>
          <cell r="I391" t="str">
            <v>中級</v>
          </cell>
          <cell r="J391">
            <v>856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6</v>
          </cell>
          <cell r="AD391">
            <v>6</v>
          </cell>
          <cell r="AE391" t="str">
            <v>everyone</v>
          </cell>
        </row>
        <row r="392">
          <cell r="A392" t="str">
            <v>20015_3</v>
          </cell>
          <cell r="B392">
            <v>3</v>
          </cell>
          <cell r="C392">
            <v>20015</v>
          </cell>
          <cell r="D392" t="str">
            <v>妄執とり憑く美貌の妃</v>
          </cell>
          <cell r="E392" t="str">
            <v>おとぎ話シリーズ3</v>
          </cell>
          <cell r="F392">
            <v>3</v>
          </cell>
          <cell r="G392" t="str">
            <v>ja</v>
          </cell>
          <cell r="H392" t="str">
            <v>【上級】妄執とり憑く美貌の妃</v>
          </cell>
          <cell r="I392" t="str">
            <v>上級</v>
          </cell>
          <cell r="J392">
            <v>857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polygon</v>
          </cell>
          <cell r="T392">
            <v>1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20016_1</v>
          </cell>
          <cell r="B393">
            <v>1</v>
          </cell>
          <cell r="C393">
            <v>20016</v>
          </cell>
          <cell r="D393" t="str">
            <v>寡黙な翼竜の侵攻</v>
          </cell>
          <cell r="E393" t="str">
            <v>ギリシャ神話01</v>
          </cell>
          <cell r="F393">
            <v>1</v>
          </cell>
          <cell r="G393" t="str">
            <v>ja</v>
          </cell>
          <cell r="H393" t="str">
            <v>【初級】ラドン</v>
          </cell>
          <cell r="I393" t="str">
            <v>初級</v>
          </cell>
          <cell r="J393">
            <v>738</v>
          </cell>
          <cell r="K393">
            <v>8</v>
          </cell>
          <cell r="L393">
            <v>384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25</v>
          </cell>
          <cell r="AD393">
            <v>6</v>
          </cell>
          <cell r="AE393" t="str">
            <v>everyone</v>
          </cell>
        </row>
        <row r="394">
          <cell r="A394" t="str">
            <v>20016_2</v>
          </cell>
          <cell r="B394">
            <v>1</v>
          </cell>
          <cell r="C394">
            <v>20016</v>
          </cell>
          <cell r="D394" t="str">
            <v>寡黙な翼竜の侵攻</v>
          </cell>
          <cell r="E394" t="str">
            <v>ギリシャ神話01</v>
          </cell>
          <cell r="F394">
            <v>2</v>
          </cell>
          <cell r="G394" t="str">
            <v>ja</v>
          </cell>
          <cell r="H394" t="str">
            <v>【中級】ラドン</v>
          </cell>
          <cell r="I394" t="str">
            <v>中級</v>
          </cell>
          <cell r="J394">
            <v>738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25</v>
          </cell>
          <cell r="AD394">
            <v>6</v>
          </cell>
          <cell r="AE394" t="str">
            <v>everyone</v>
          </cell>
        </row>
        <row r="395">
          <cell r="A395" t="str">
            <v>20016_3</v>
          </cell>
          <cell r="B395">
            <v>1</v>
          </cell>
          <cell r="C395">
            <v>20016</v>
          </cell>
          <cell r="D395" t="str">
            <v>寡黙な翼竜の侵攻</v>
          </cell>
          <cell r="E395" t="str">
            <v>ギリシャ神話01</v>
          </cell>
          <cell r="F395">
            <v>3</v>
          </cell>
          <cell r="G395" t="str">
            <v>ja</v>
          </cell>
          <cell r="H395" t="str">
            <v>【上級】ラドン</v>
          </cell>
          <cell r="I395" t="str">
            <v>上級</v>
          </cell>
          <cell r="J395">
            <v>739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25</v>
          </cell>
          <cell r="AD395">
            <v>6</v>
          </cell>
          <cell r="AE395" t="str">
            <v>everyone</v>
          </cell>
        </row>
        <row r="396">
          <cell r="A396" t="str">
            <v>30001_1</v>
          </cell>
          <cell r="B396">
            <v>3</v>
          </cell>
          <cell r="C396">
            <v>30001</v>
          </cell>
          <cell r="D396" t="str">
            <v>ハンター・オブ・ハンター</v>
          </cell>
          <cell r="E396" t="str">
            <v>ドロップイベント1-1（マルチ専用）</v>
          </cell>
          <cell r="F396">
            <v>1</v>
          </cell>
          <cell r="G396" t="str">
            <v>ja</v>
          </cell>
          <cell r="H396" t="str">
            <v xml:space="preserve">【中級】ハンター・オブ・ハンター </v>
          </cell>
          <cell r="I396" t="str">
            <v>中級</v>
          </cell>
          <cell r="J396">
            <v>270</v>
          </cell>
          <cell r="K396">
            <v>15</v>
          </cell>
          <cell r="L396">
            <v>1200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7</v>
          </cell>
          <cell r="AD396">
            <v>6</v>
          </cell>
          <cell r="AE396" t="str">
            <v>everyone</v>
          </cell>
        </row>
        <row r="397">
          <cell r="A397" t="str">
            <v>30001_2</v>
          </cell>
          <cell r="B397">
            <v>3</v>
          </cell>
          <cell r="C397">
            <v>30001</v>
          </cell>
          <cell r="D397" t="str">
            <v>ハンター・オブ・ハンター</v>
          </cell>
          <cell r="E397" t="str">
            <v>ドロップイベント1-1（マルチ専用）</v>
          </cell>
          <cell r="F397">
            <v>2</v>
          </cell>
          <cell r="G397" t="str">
            <v>ja</v>
          </cell>
          <cell r="H397" t="str">
            <v xml:space="preserve">【上級】ハンター・オブ・ハンター </v>
          </cell>
          <cell r="I397" t="str">
            <v>上級</v>
          </cell>
          <cell r="J397">
            <v>270</v>
          </cell>
          <cell r="K397">
            <v>20</v>
          </cell>
          <cell r="L397">
            <v>2000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7</v>
          </cell>
          <cell r="AD397">
            <v>6</v>
          </cell>
          <cell r="AE397" t="str">
            <v>everyone</v>
          </cell>
        </row>
        <row r="398">
          <cell r="A398" t="str">
            <v>30001_3</v>
          </cell>
          <cell r="B398">
            <v>3</v>
          </cell>
          <cell r="C398">
            <v>30001</v>
          </cell>
          <cell r="D398" t="str">
            <v>ハンター・オブ・ハンター</v>
          </cell>
          <cell r="E398" t="str">
            <v>ドロップイベント1-1（マルチ専用）</v>
          </cell>
          <cell r="F398">
            <v>3</v>
          </cell>
          <cell r="G398" t="str">
            <v>ja</v>
          </cell>
          <cell r="H398" t="str">
            <v xml:space="preserve">【超級】ハンター・オブ・ハンター </v>
          </cell>
          <cell r="I398" t="str">
            <v>超級</v>
          </cell>
          <cell r="J398">
            <v>271</v>
          </cell>
          <cell r="K398">
            <v>30</v>
          </cell>
          <cell r="L398">
            <v>3300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>
            <v>1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7</v>
          </cell>
          <cell r="AD398">
            <v>6</v>
          </cell>
          <cell r="AE398" t="str">
            <v>everyone</v>
          </cell>
        </row>
        <row r="399">
          <cell r="A399" t="str">
            <v>30002_1</v>
          </cell>
          <cell r="B399">
            <v>3</v>
          </cell>
          <cell r="C399">
            <v>30002</v>
          </cell>
          <cell r="D399" t="str">
            <v>トリックスター</v>
          </cell>
          <cell r="E399" t="str">
            <v>ドロップイベント1-2（マルチ専用）</v>
          </cell>
          <cell r="F399">
            <v>1</v>
          </cell>
          <cell r="G399" t="str">
            <v>ja</v>
          </cell>
          <cell r="H399" t="str">
            <v xml:space="preserve">【中級】トリックスター </v>
          </cell>
          <cell r="I399" t="str">
            <v>中級</v>
          </cell>
          <cell r="J399">
            <v>272</v>
          </cell>
          <cell r="K399">
            <v>15</v>
          </cell>
          <cell r="L399">
            <v>1200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17</v>
          </cell>
          <cell r="AD399">
            <v>6</v>
          </cell>
          <cell r="AE399" t="str">
            <v>everyone</v>
          </cell>
        </row>
        <row r="400">
          <cell r="A400" t="str">
            <v>30002_2</v>
          </cell>
          <cell r="B400">
            <v>3</v>
          </cell>
          <cell r="C400">
            <v>30002</v>
          </cell>
          <cell r="D400" t="str">
            <v>トリックスター</v>
          </cell>
          <cell r="E400" t="str">
            <v>ドロップイベント1-2（マルチ専用）</v>
          </cell>
          <cell r="F400">
            <v>2</v>
          </cell>
          <cell r="G400" t="str">
            <v>ja</v>
          </cell>
          <cell r="H400" t="str">
            <v xml:space="preserve">【上級】トリックスター </v>
          </cell>
          <cell r="I400" t="str">
            <v>上級</v>
          </cell>
          <cell r="J400">
            <v>272</v>
          </cell>
          <cell r="K400">
            <v>20</v>
          </cell>
          <cell r="L400">
            <v>2000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17</v>
          </cell>
          <cell r="AD400">
            <v>6</v>
          </cell>
          <cell r="AE400" t="str">
            <v>everyone</v>
          </cell>
        </row>
        <row r="401">
          <cell r="A401" t="str">
            <v>30002_3</v>
          </cell>
          <cell r="B401">
            <v>3</v>
          </cell>
          <cell r="C401">
            <v>30002</v>
          </cell>
          <cell r="D401" t="str">
            <v>トリックスター</v>
          </cell>
          <cell r="E401" t="str">
            <v>ドロップイベント1-2（マルチ専用）</v>
          </cell>
          <cell r="F401">
            <v>3</v>
          </cell>
          <cell r="G401" t="str">
            <v>ja</v>
          </cell>
          <cell r="H401" t="str">
            <v xml:space="preserve">【超級】トリックスター </v>
          </cell>
          <cell r="I401" t="str">
            <v>超級</v>
          </cell>
          <cell r="J401">
            <v>273</v>
          </cell>
          <cell r="K401">
            <v>30</v>
          </cell>
          <cell r="L401">
            <v>3300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17</v>
          </cell>
          <cell r="AD401">
            <v>6</v>
          </cell>
          <cell r="AE401" t="str">
            <v>everyone</v>
          </cell>
        </row>
        <row r="402">
          <cell r="A402" t="str">
            <v>30003_1</v>
          </cell>
          <cell r="B402">
            <v>3</v>
          </cell>
          <cell r="C402">
            <v>30003</v>
          </cell>
          <cell r="D402" t="str">
            <v>打ち下ろされる砕棒</v>
          </cell>
          <cell r="E402" t="str">
            <v>ドロップイベント1-3（マルチ専用）</v>
          </cell>
          <cell r="F402">
            <v>1</v>
          </cell>
          <cell r="G402" t="str">
            <v>ja</v>
          </cell>
          <cell r="H402" t="str">
            <v xml:space="preserve">【中級】打ち下ろされる砕棒 </v>
          </cell>
          <cell r="I402" t="str">
            <v>中級</v>
          </cell>
          <cell r="J402">
            <v>274</v>
          </cell>
          <cell r="K402">
            <v>15</v>
          </cell>
          <cell r="L402">
            <v>1200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20</v>
          </cell>
          <cell r="AD402">
            <v>6</v>
          </cell>
          <cell r="AE402" t="str">
            <v>everyone</v>
          </cell>
        </row>
        <row r="403">
          <cell r="A403" t="str">
            <v>30003_2</v>
          </cell>
          <cell r="B403">
            <v>3</v>
          </cell>
          <cell r="C403">
            <v>30003</v>
          </cell>
          <cell r="D403" t="str">
            <v>打ち下ろされる砕棒</v>
          </cell>
          <cell r="E403" t="str">
            <v>ドロップイベント1-3（マルチ専用）</v>
          </cell>
          <cell r="F403">
            <v>2</v>
          </cell>
          <cell r="G403" t="str">
            <v>ja</v>
          </cell>
          <cell r="H403" t="str">
            <v>【上級】打ち下ろされる砕棒</v>
          </cell>
          <cell r="I403" t="str">
            <v>上級</v>
          </cell>
          <cell r="J403">
            <v>274</v>
          </cell>
          <cell r="K403">
            <v>20</v>
          </cell>
          <cell r="L403">
            <v>2000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20</v>
          </cell>
          <cell r="AD403">
            <v>6</v>
          </cell>
          <cell r="AE403" t="str">
            <v>everyone</v>
          </cell>
        </row>
        <row r="404">
          <cell r="A404" t="str">
            <v>30003_3</v>
          </cell>
          <cell r="B404">
            <v>3</v>
          </cell>
          <cell r="C404">
            <v>30003</v>
          </cell>
          <cell r="D404" t="str">
            <v>打ち下ろされる砕棒</v>
          </cell>
          <cell r="E404" t="str">
            <v>ドロップイベント1-3（マルチ専用）</v>
          </cell>
          <cell r="F404">
            <v>3</v>
          </cell>
          <cell r="G404" t="str">
            <v>ja</v>
          </cell>
          <cell r="H404" t="str">
            <v xml:space="preserve">【超級】打ち下ろされる砕棒 </v>
          </cell>
          <cell r="I404" t="str">
            <v>超級</v>
          </cell>
          <cell r="J404">
            <v>275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polygon</v>
          </cell>
          <cell r="T404">
            <v>1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20</v>
          </cell>
          <cell r="AD404">
            <v>6</v>
          </cell>
          <cell r="AE404" t="str">
            <v>everyone</v>
          </cell>
        </row>
        <row r="405">
          <cell r="A405" t="str">
            <v>30004_1</v>
          </cell>
          <cell r="B405">
            <v>3</v>
          </cell>
          <cell r="C405">
            <v>30004</v>
          </cell>
          <cell r="D405" t="str">
            <v>危険な仲裁者</v>
          </cell>
          <cell r="E405" t="str">
            <v>ドロップイベント1-4（マルチ専用）</v>
          </cell>
          <cell r="F405">
            <v>1</v>
          </cell>
          <cell r="G405" t="str">
            <v>ja</v>
          </cell>
          <cell r="H405" t="str">
            <v xml:space="preserve">【中級】危険な仲裁者 </v>
          </cell>
          <cell r="I405" t="str">
            <v>中級</v>
          </cell>
          <cell r="J405">
            <v>276</v>
          </cell>
          <cell r="K405">
            <v>15</v>
          </cell>
          <cell r="L405">
            <v>1200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14</v>
          </cell>
          <cell r="AD405">
            <v>6</v>
          </cell>
          <cell r="AE405" t="str">
            <v>everyone</v>
          </cell>
        </row>
        <row r="406">
          <cell r="A406" t="str">
            <v>30004_2</v>
          </cell>
          <cell r="B406">
            <v>3</v>
          </cell>
          <cell r="C406">
            <v>30004</v>
          </cell>
          <cell r="D406" t="str">
            <v>危険な仲裁者</v>
          </cell>
          <cell r="E406" t="str">
            <v>ドロップイベント1-4（マルチ専用）</v>
          </cell>
          <cell r="F406">
            <v>2</v>
          </cell>
          <cell r="G406" t="str">
            <v>ja</v>
          </cell>
          <cell r="H406" t="str">
            <v xml:space="preserve">【上級】危険な仲裁者 </v>
          </cell>
          <cell r="I406" t="str">
            <v>上級</v>
          </cell>
          <cell r="J406">
            <v>276</v>
          </cell>
          <cell r="K406">
            <v>20</v>
          </cell>
          <cell r="L406">
            <v>2000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14</v>
          </cell>
          <cell r="AD406">
            <v>6</v>
          </cell>
          <cell r="AE406" t="str">
            <v>everyone</v>
          </cell>
        </row>
        <row r="407">
          <cell r="A407" t="str">
            <v>30004_3</v>
          </cell>
          <cell r="B407">
            <v>3</v>
          </cell>
          <cell r="C407">
            <v>30004</v>
          </cell>
          <cell r="D407" t="str">
            <v>危険な仲裁者</v>
          </cell>
          <cell r="E407" t="str">
            <v>ドロップイベント1-4（マルチ専用）</v>
          </cell>
          <cell r="F407">
            <v>3</v>
          </cell>
          <cell r="G407" t="str">
            <v>ja</v>
          </cell>
          <cell r="H407" t="str">
            <v xml:space="preserve">【超級】危険な仲裁者 </v>
          </cell>
          <cell r="I407" t="str">
            <v>超級</v>
          </cell>
          <cell r="J407">
            <v>277</v>
          </cell>
          <cell r="K407">
            <v>30</v>
          </cell>
          <cell r="L407">
            <v>3300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14</v>
          </cell>
          <cell r="AD407">
            <v>6</v>
          </cell>
          <cell r="AE407" t="str">
            <v>everyone</v>
          </cell>
        </row>
        <row r="408">
          <cell r="A408" t="str">
            <v>30005_1</v>
          </cell>
          <cell r="B408">
            <v>3</v>
          </cell>
          <cell r="C408">
            <v>30005</v>
          </cell>
          <cell r="D408" t="str">
            <v>ニンゲンにしてあげる☆</v>
          </cell>
          <cell r="E408" t="str">
            <v>ドロップイベント2-1（マルチ専用）</v>
          </cell>
          <cell r="F408">
            <v>1</v>
          </cell>
          <cell r="G408" t="str">
            <v>ja</v>
          </cell>
          <cell r="H408" t="str">
            <v xml:space="preserve">【中級】ニンゲンにしてあげる </v>
          </cell>
          <cell r="I408" t="str">
            <v>中級</v>
          </cell>
          <cell r="J408">
            <v>290</v>
          </cell>
          <cell r="K408">
            <v>15</v>
          </cell>
          <cell r="L408">
            <v>1200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11</v>
          </cell>
          <cell r="AD408">
            <v>6</v>
          </cell>
          <cell r="AE408" t="str">
            <v>everyone</v>
          </cell>
        </row>
        <row r="409">
          <cell r="A409" t="str">
            <v>30005_2</v>
          </cell>
          <cell r="B409">
            <v>3</v>
          </cell>
          <cell r="C409">
            <v>30005</v>
          </cell>
          <cell r="D409" t="str">
            <v>ニンゲンにしてあげる☆</v>
          </cell>
          <cell r="E409" t="str">
            <v>ドロップイベント2-1（マルチ専用）</v>
          </cell>
          <cell r="F409">
            <v>2</v>
          </cell>
          <cell r="G409" t="str">
            <v>ja</v>
          </cell>
          <cell r="H409" t="str">
            <v xml:space="preserve">【上級】ニンゲンにしてあげる </v>
          </cell>
          <cell r="I409" t="str">
            <v>上級</v>
          </cell>
          <cell r="J409">
            <v>290</v>
          </cell>
          <cell r="K409">
            <v>20</v>
          </cell>
          <cell r="L409">
            <v>2000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11</v>
          </cell>
          <cell r="AD409">
            <v>6</v>
          </cell>
          <cell r="AE409" t="str">
            <v>everyone</v>
          </cell>
        </row>
        <row r="410">
          <cell r="A410" t="str">
            <v>30005_3</v>
          </cell>
          <cell r="B410">
            <v>3</v>
          </cell>
          <cell r="C410">
            <v>30005</v>
          </cell>
          <cell r="D410" t="str">
            <v>ニンゲンにしてあげる☆</v>
          </cell>
          <cell r="E410" t="str">
            <v>ドロップイベント2-1（マルチ専用）</v>
          </cell>
          <cell r="F410">
            <v>3</v>
          </cell>
          <cell r="G410" t="str">
            <v>ja</v>
          </cell>
          <cell r="H410" t="str">
            <v>【超級】ニンゲンにしてあげる</v>
          </cell>
          <cell r="I410" t="str">
            <v>超級</v>
          </cell>
          <cell r="J410">
            <v>291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1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11</v>
          </cell>
          <cell r="AD410">
            <v>6</v>
          </cell>
          <cell r="AE410" t="str">
            <v>everyone</v>
          </cell>
        </row>
        <row r="411">
          <cell r="A411" t="str">
            <v>30006_1</v>
          </cell>
          <cell r="B411">
            <v>3</v>
          </cell>
          <cell r="C411">
            <v>30006</v>
          </cell>
          <cell r="D411" t="str">
            <v>それはお前を食べるためさ</v>
          </cell>
          <cell r="E411" t="str">
            <v>ドロップイベント2-3（マルチ専用）</v>
          </cell>
          <cell r="F411">
            <v>1</v>
          </cell>
          <cell r="G411" t="str">
            <v>ja</v>
          </cell>
          <cell r="H411" t="str">
            <v>【中級】それはお前を食べるためさ</v>
          </cell>
          <cell r="I411" t="str">
            <v>中級</v>
          </cell>
          <cell r="J411">
            <v>294</v>
          </cell>
          <cell r="K411">
            <v>15</v>
          </cell>
          <cell r="L411">
            <v>1200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7</v>
          </cell>
          <cell r="AD411">
            <v>6</v>
          </cell>
          <cell r="AE411" t="str">
            <v>everyone</v>
          </cell>
        </row>
        <row r="412">
          <cell r="A412" t="str">
            <v>30006_2</v>
          </cell>
          <cell r="B412">
            <v>3</v>
          </cell>
          <cell r="C412">
            <v>30006</v>
          </cell>
          <cell r="D412" t="str">
            <v>それはお前を食べるためさ</v>
          </cell>
          <cell r="E412" t="str">
            <v>ドロップイベント2-3（マルチ専用）</v>
          </cell>
          <cell r="F412">
            <v>2</v>
          </cell>
          <cell r="G412" t="str">
            <v>ja</v>
          </cell>
          <cell r="H412" t="str">
            <v>【上級】それはお前を食べるためさ</v>
          </cell>
          <cell r="I412" t="str">
            <v>上級</v>
          </cell>
          <cell r="J412">
            <v>294</v>
          </cell>
          <cell r="K412">
            <v>20</v>
          </cell>
          <cell r="L412">
            <v>2000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7</v>
          </cell>
          <cell r="AD412">
            <v>6</v>
          </cell>
          <cell r="AE412" t="str">
            <v>everyone</v>
          </cell>
        </row>
        <row r="413">
          <cell r="A413" t="str">
            <v>30006_3</v>
          </cell>
          <cell r="B413">
            <v>3</v>
          </cell>
          <cell r="C413">
            <v>30006</v>
          </cell>
          <cell r="D413" t="str">
            <v>それはお前を食べるためさ</v>
          </cell>
          <cell r="E413" t="str">
            <v>ドロップイベント2-3（マルチ専用）</v>
          </cell>
          <cell r="F413">
            <v>3</v>
          </cell>
          <cell r="G413" t="str">
            <v>ja</v>
          </cell>
          <cell r="H413" t="str">
            <v>【超級】それはお前を食べるためさ</v>
          </cell>
          <cell r="I413" t="str">
            <v>超級</v>
          </cell>
          <cell r="J413">
            <v>295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7</v>
          </cell>
          <cell r="AD413">
            <v>6</v>
          </cell>
          <cell r="AE413" t="str">
            <v>everyone</v>
          </cell>
        </row>
        <row r="414">
          <cell r="A414" t="str">
            <v>30007_1</v>
          </cell>
          <cell r="B414">
            <v>3</v>
          </cell>
          <cell r="C414">
            <v>30007</v>
          </cell>
          <cell r="D414" t="str">
            <v>ガラスの靴は私のもの</v>
          </cell>
          <cell r="E414" t="str">
            <v>ドロップイベント2-2（マルチ専用）</v>
          </cell>
          <cell r="F414">
            <v>1</v>
          </cell>
          <cell r="G414" t="str">
            <v>ja</v>
          </cell>
          <cell r="H414" t="str">
            <v xml:space="preserve">【中級】ガラスの靴は私のもの </v>
          </cell>
          <cell r="I414" t="str">
            <v>中級</v>
          </cell>
          <cell r="J414">
            <v>292</v>
          </cell>
          <cell r="K414">
            <v>15</v>
          </cell>
          <cell r="L414">
            <v>1200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</v>
          </cell>
          <cell r="AD414">
            <v>6</v>
          </cell>
          <cell r="AE414" t="str">
            <v>everyone</v>
          </cell>
        </row>
        <row r="415">
          <cell r="A415" t="str">
            <v>30007_2</v>
          </cell>
          <cell r="B415">
            <v>3</v>
          </cell>
          <cell r="C415">
            <v>30007</v>
          </cell>
          <cell r="D415" t="str">
            <v>ガラスの靴は私のもの</v>
          </cell>
          <cell r="E415" t="str">
            <v>ドロップイベント2-2（マルチ専用）</v>
          </cell>
          <cell r="F415">
            <v>2</v>
          </cell>
          <cell r="G415" t="str">
            <v>ja</v>
          </cell>
          <cell r="H415" t="str">
            <v>【上級】ガラスの靴は私のもの</v>
          </cell>
          <cell r="I415" t="str">
            <v>上級</v>
          </cell>
          <cell r="J415">
            <v>292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</v>
          </cell>
          <cell r="AD415">
            <v>6</v>
          </cell>
          <cell r="AE415" t="str">
            <v>everyone</v>
          </cell>
        </row>
        <row r="416">
          <cell r="A416" t="str">
            <v>30007_3</v>
          </cell>
          <cell r="B416">
            <v>3</v>
          </cell>
          <cell r="C416">
            <v>30007</v>
          </cell>
          <cell r="D416" t="str">
            <v>ガラスの靴は私のもの</v>
          </cell>
          <cell r="E416" t="str">
            <v>ドロップイベント2-2（マルチ専用）</v>
          </cell>
          <cell r="F416">
            <v>3</v>
          </cell>
          <cell r="G416" t="str">
            <v>ja</v>
          </cell>
          <cell r="H416" t="str">
            <v xml:space="preserve">【超級】ガラスの靴は私のもの </v>
          </cell>
          <cell r="I416" t="str">
            <v>超級</v>
          </cell>
          <cell r="J416">
            <v>293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>
            <v>1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</v>
          </cell>
          <cell r="AD416">
            <v>6</v>
          </cell>
          <cell r="AE416" t="str">
            <v>everyone</v>
          </cell>
        </row>
        <row r="417">
          <cell r="A417" t="str">
            <v>30008_1</v>
          </cell>
          <cell r="B417">
            <v>3</v>
          </cell>
          <cell r="C417">
            <v>30008</v>
          </cell>
          <cell r="D417" t="str">
            <v>わたしの嫁を返してもらおう</v>
          </cell>
          <cell r="E417" t="str">
            <v>ドロップイベント2-4（マルチ専用）</v>
          </cell>
          <cell r="F417">
            <v>1</v>
          </cell>
          <cell r="G417" t="str">
            <v>ja</v>
          </cell>
          <cell r="H417" t="str">
            <v>【中級】わたしの嫁を返してもらおう</v>
          </cell>
          <cell r="I417" t="str">
            <v>中級</v>
          </cell>
          <cell r="J417">
            <v>288</v>
          </cell>
          <cell r="K417">
            <v>15</v>
          </cell>
          <cell r="L417">
            <v>1200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22</v>
          </cell>
          <cell r="AD417">
            <v>6</v>
          </cell>
          <cell r="AE417" t="str">
            <v>everyone</v>
          </cell>
        </row>
        <row r="418">
          <cell r="A418" t="str">
            <v>30008_2</v>
          </cell>
          <cell r="B418">
            <v>3</v>
          </cell>
          <cell r="C418">
            <v>30008</v>
          </cell>
          <cell r="D418" t="str">
            <v>わたしの嫁を返してもらおう</v>
          </cell>
          <cell r="E418" t="str">
            <v>ドロップイベント2-4（マルチ専用）</v>
          </cell>
          <cell r="F418">
            <v>2</v>
          </cell>
          <cell r="G418" t="str">
            <v>ja</v>
          </cell>
          <cell r="H418" t="str">
            <v>【上級】わたしの嫁を返してもらおう</v>
          </cell>
          <cell r="I418" t="str">
            <v>上級</v>
          </cell>
          <cell r="J418">
            <v>288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22</v>
          </cell>
          <cell r="AD418">
            <v>6</v>
          </cell>
          <cell r="AE418" t="str">
            <v>everyone</v>
          </cell>
        </row>
        <row r="419">
          <cell r="A419" t="str">
            <v>30008_3</v>
          </cell>
          <cell r="B419">
            <v>3</v>
          </cell>
          <cell r="C419">
            <v>30008</v>
          </cell>
          <cell r="D419" t="str">
            <v>わたしの嫁を返してもらおう</v>
          </cell>
          <cell r="E419" t="str">
            <v>ドロップイベント2-4（マルチ専用）</v>
          </cell>
          <cell r="F419">
            <v>3</v>
          </cell>
          <cell r="G419" t="str">
            <v>ja</v>
          </cell>
          <cell r="H419" t="str">
            <v>【超級】わたしの嫁を返してもらおう</v>
          </cell>
          <cell r="I419" t="str">
            <v>超級</v>
          </cell>
          <cell r="J419">
            <v>289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22</v>
          </cell>
          <cell r="AD419">
            <v>6</v>
          </cell>
          <cell r="AE419" t="str">
            <v>everyone</v>
          </cell>
        </row>
        <row r="420">
          <cell r="A420" t="str">
            <v>30009_3</v>
          </cell>
          <cell r="B420">
            <v>0</v>
          </cell>
          <cell r="C420">
            <v>30009</v>
          </cell>
          <cell r="D420" t="str">
            <v>復活の捕食者</v>
          </cell>
          <cell r="E420" t="str">
            <v>ドロップイベント3（マルチ専用）</v>
          </cell>
          <cell r="F420">
            <v>3</v>
          </cell>
          <cell r="G420" t="str">
            <v>ja</v>
          </cell>
          <cell r="H420" t="str">
            <v>【上級】復活の捕食者</v>
          </cell>
          <cell r="I420" t="str">
            <v>上級</v>
          </cell>
          <cell r="J420">
            <v>312</v>
          </cell>
          <cell r="K420">
            <v>20</v>
          </cell>
          <cell r="L420">
            <v>2000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2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8</v>
          </cell>
          <cell r="AD420">
            <v>6</v>
          </cell>
          <cell r="AE420" t="str">
            <v>everyone</v>
          </cell>
        </row>
        <row r="421">
          <cell r="A421" t="str">
            <v>30009_1</v>
          </cell>
          <cell r="B421">
            <v>3</v>
          </cell>
          <cell r="C421">
            <v>30009</v>
          </cell>
          <cell r="D421" t="str">
            <v>復活の捕食者</v>
          </cell>
          <cell r="E421" t="str">
            <v>ドロップイベント3（マルチ専用）</v>
          </cell>
          <cell r="F421">
            <v>1</v>
          </cell>
          <cell r="G421" t="str">
            <v>ja</v>
          </cell>
          <cell r="H421" t="str">
            <v>【超級】復活の捕食者</v>
          </cell>
          <cell r="I421" t="str">
            <v>超級</v>
          </cell>
          <cell r="J421">
            <v>312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2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8</v>
          </cell>
          <cell r="AD421">
            <v>6</v>
          </cell>
          <cell r="AE421" t="str">
            <v>everyone</v>
          </cell>
        </row>
        <row r="422">
          <cell r="A422" t="str">
            <v>30009_2</v>
          </cell>
          <cell r="B422">
            <v>3</v>
          </cell>
          <cell r="C422">
            <v>30009</v>
          </cell>
          <cell r="D422" t="str">
            <v>復活の捕食者</v>
          </cell>
          <cell r="E422" t="str">
            <v>ドロップイベント3（マルチ専用）</v>
          </cell>
          <cell r="F422">
            <v>2</v>
          </cell>
          <cell r="G422" t="str">
            <v>ja</v>
          </cell>
          <cell r="H422" t="str">
            <v>【超絶級】復活の捕食者</v>
          </cell>
          <cell r="I422" t="str">
            <v>超絶級</v>
          </cell>
          <cell r="J422">
            <v>312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2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8</v>
          </cell>
          <cell r="AD422">
            <v>6</v>
          </cell>
          <cell r="AE422" t="str">
            <v>everyone</v>
          </cell>
        </row>
        <row r="423">
          <cell r="A423" t="str">
            <v>30010_1</v>
          </cell>
          <cell r="B423">
            <v>3</v>
          </cell>
          <cell r="C423">
            <v>30010</v>
          </cell>
          <cell r="D423" t="str">
            <v>最大最凶</v>
          </cell>
          <cell r="E423" t="str">
            <v>ドロップイベント3（マルチ専用）</v>
          </cell>
          <cell r="F423">
            <v>1</v>
          </cell>
          <cell r="G423" t="str">
            <v>ja</v>
          </cell>
          <cell r="H423" t="str">
            <v>【上級】最大最凶</v>
          </cell>
          <cell r="I423" t="str">
            <v>上級</v>
          </cell>
          <cell r="J423">
            <v>306</v>
          </cell>
          <cell r="K423">
            <v>20</v>
          </cell>
          <cell r="L423">
            <v>2000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</v>
          </cell>
          <cell r="AD423">
            <v>7</v>
          </cell>
          <cell r="AE423" t="str">
            <v>everyone</v>
          </cell>
        </row>
        <row r="424">
          <cell r="A424" t="str">
            <v>30010_2</v>
          </cell>
          <cell r="B424">
            <v>3</v>
          </cell>
          <cell r="C424">
            <v>30010</v>
          </cell>
          <cell r="D424" t="str">
            <v>最大最凶</v>
          </cell>
          <cell r="E424" t="str">
            <v>ドロップイベント3（マルチ専用）</v>
          </cell>
          <cell r="F424">
            <v>2</v>
          </cell>
          <cell r="G424" t="str">
            <v>ja</v>
          </cell>
          <cell r="H424" t="str">
            <v>【超級】最大最凶</v>
          </cell>
          <cell r="I424" t="str">
            <v>超級</v>
          </cell>
          <cell r="J424">
            <v>306</v>
          </cell>
          <cell r="K424">
            <v>30</v>
          </cell>
          <cell r="L424">
            <v>3300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</v>
          </cell>
          <cell r="AD424">
            <v>7</v>
          </cell>
          <cell r="AE424" t="str">
            <v>everyone</v>
          </cell>
        </row>
        <row r="425">
          <cell r="A425" t="str">
            <v>30010_3</v>
          </cell>
          <cell r="B425">
            <v>3</v>
          </cell>
          <cell r="C425">
            <v>30010</v>
          </cell>
          <cell r="D425" t="str">
            <v>最大最凶</v>
          </cell>
          <cell r="E425" t="str">
            <v>ドロップイベント3（マルチ専用）</v>
          </cell>
          <cell r="F425">
            <v>3</v>
          </cell>
          <cell r="G425" t="str">
            <v>ja</v>
          </cell>
          <cell r="H425" t="str">
            <v>【超絶級】最大最凶</v>
          </cell>
          <cell r="I425" t="str">
            <v>超絶級</v>
          </cell>
          <cell r="J425">
            <v>306</v>
          </cell>
          <cell r="K425">
            <v>35</v>
          </cell>
          <cell r="L425">
            <v>4200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polygon</v>
          </cell>
          <cell r="T425">
            <v>1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</v>
          </cell>
          <cell r="AD425">
            <v>7</v>
          </cell>
          <cell r="AE425" t="str">
            <v>everyone</v>
          </cell>
        </row>
        <row r="426">
          <cell r="A426" t="str">
            <v>30011_1</v>
          </cell>
          <cell r="B426">
            <v>3</v>
          </cell>
          <cell r="C426">
            <v>30011</v>
          </cell>
          <cell r="D426" t="str">
            <v>気怠い巨読者</v>
          </cell>
          <cell r="E426" t="str">
            <v>ドロップイベント3（マルチ専用）</v>
          </cell>
          <cell r="F426">
            <v>1</v>
          </cell>
          <cell r="G426" t="str">
            <v>ja</v>
          </cell>
          <cell r="H426" t="str">
            <v>【上級】気怠い巨読者</v>
          </cell>
          <cell r="I426" t="str">
            <v>上級</v>
          </cell>
          <cell r="J426">
            <v>308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2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19</v>
          </cell>
          <cell r="AD426">
            <v>6</v>
          </cell>
          <cell r="AE426" t="str">
            <v>everyone</v>
          </cell>
        </row>
        <row r="427">
          <cell r="A427" t="str">
            <v>30011_2</v>
          </cell>
          <cell r="B427">
            <v>3</v>
          </cell>
          <cell r="C427">
            <v>30011</v>
          </cell>
          <cell r="D427" t="str">
            <v>気怠い巨読者</v>
          </cell>
          <cell r="E427" t="str">
            <v>ドロップイベント3（マルチ専用）</v>
          </cell>
          <cell r="F427">
            <v>2</v>
          </cell>
          <cell r="G427" t="str">
            <v>ja</v>
          </cell>
          <cell r="H427" t="str">
            <v>【超級】気怠い巨読者</v>
          </cell>
          <cell r="I427" t="str">
            <v>超級</v>
          </cell>
          <cell r="J427">
            <v>308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2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19</v>
          </cell>
          <cell r="AD427">
            <v>6</v>
          </cell>
          <cell r="AE427" t="str">
            <v>everyone</v>
          </cell>
        </row>
        <row r="428">
          <cell r="A428" t="str">
            <v>30011_3</v>
          </cell>
          <cell r="B428">
            <v>3</v>
          </cell>
          <cell r="C428">
            <v>30011</v>
          </cell>
          <cell r="D428" t="str">
            <v>気怠い巨読者</v>
          </cell>
          <cell r="E428" t="str">
            <v>ドロップイベント3（マルチ専用）</v>
          </cell>
          <cell r="F428">
            <v>3</v>
          </cell>
          <cell r="G428" t="str">
            <v>ja</v>
          </cell>
          <cell r="H428" t="str">
            <v>【超絶級】気怠い巨読者</v>
          </cell>
          <cell r="I428" t="str">
            <v>超絶級</v>
          </cell>
          <cell r="J428">
            <v>309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2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19</v>
          </cell>
          <cell r="AD428">
            <v>6</v>
          </cell>
          <cell r="AE428" t="str">
            <v>everyone</v>
          </cell>
        </row>
        <row r="429">
          <cell r="A429" t="str">
            <v>30012_1</v>
          </cell>
          <cell r="B429">
            <v>3</v>
          </cell>
          <cell r="C429">
            <v>30012</v>
          </cell>
          <cell r="D429" t="str">
            <v>底なしの胃袋</v>
          </cell>
          <cell r="E429" t="str">
            <v>ドロップイベント3（マルチ専用）</v>
          </cell>
          <cell r="F429">
            <v>1</v>
          </cell>
          <cell r="G429" t="str">
            <v>ja</v>
          </cell>
          <cell r="H429" t="str">
            <v>【上級】底なしの胃袋</v>
          </cell>
          <cell r="I429" t="str">
            <v>上級</v>
          </cell>
          <cell r="J429">
            <v>310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5</v>
          </cell>
          <cell r="AD429">
            <v>6</v>
          </cell>
          <cell r="AE429" t="str">
            <v>everyone</v>
          </cell>
        </row>
        <row r="430">
          <cell r="A430" t="str">
            <v>30012_2</v>
          </cell>
          <cell r="B430">
            <v>3</v>
          </cell>
          <cell r="C430">
            <v>30012</v>
          </cell>
          <cell r="D430" t="str">
            <v>底なしの胃袋</v>
          </cell>
          <cell r="E430" t="str">
            <v>ドロップイベント3（マルチ専用）</v>
          </cell>
          <cell r="F430">
            <v>2</v>
          </cell>
          <cell r="G430" t="str">
            <v>ja</v>
          </cell>
          <cell r="H430" t="str">
            <v>【超級】底なしの胃袋</v>
          </cell>
          <cell r="I430" t="str">
            <v>超級</v>
          </cell>
          <cell r="J430">
            <v>310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5</v>
          </cell>
          <cell r="AD430">
            <v>6</v>
          </cell>
          <cell r="AE430" t="str">
            <v>everyone</v>
          </cell>
        </row>
        <row r="431">
          <cell r="A431" t="str">
            <v>30012_3</v>
          </cell>
          <cell r="B431">
            <v>3</v>
          </cell>
          <cell r="C431">
            <v>30012</v>
          </cell>
          <cell r="D431" t="str">
            <v>底なしの胃袋</v>
          </cell>
          <cell r="E431" t="str">
            <v>ドロップイベント3（マルチ専用）</v>
          </cell>
          <cell r="F431">
            <v>3</v>
          </cell>
          <cell r="G431" t="str">
            <v>ja</v>
          </cell>
          <cell r="H431" t="str">
            <v>【超絶級】底なしの胃袋</v>
          </cell>
          <cell r="I431" t="str">
            <v>超絶級</v>
          </cell>
          <cell r="J431">
            <v>310</v>
          </cell>
          <cell r="K431">
            <v>35</v>
          </cell>
          <cell r="L431">
            <v>4200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polygon</v>
          </cell>
          <cell r="T431">
            <v>1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everyone</v>
          </cell>
        </row>
        <row r="432">
          <cell r="A432" t="str">
            <v>30013_1</v>
          </cell>
          <cell r="B432">
            <v>3</v>
          </cell>
          <cell r="C432">
            <v>30013</v>
          </cell>
          <cell r="D432" t="str">
            <v>決戦・竜宮城</v>
          </cell>
          <cell r="E432" t="str">
            <v>ドロップイベント4（マルチ専用）</v>
          </cell>
          <cell r="F432">
            <v>1</v>
          </cell>
          <cell r="G432" t="str">
            <v>ja</v>
          </cell>
          <cell r="H432" t="str">
            <v>【超級】決戦・竜宮城</v>
          </cell>
          <cell r="I432" t="str">
            <v>超級</v>
          </cell>
          <cell r="J432">
            <v>418</v>
          </cell>
          <cell r="K432">
            <v>30</v>
          </cell>
          <cell r="L432">
            <v>3300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17</v>
          </cell>
          <cell r="AD432">
            <v>6</v>
          </cell>
          <cell r="AE432" t="str">
            <v>everyone</v>
          </cell>
        </row>
        <row r="433">
          <cell r="A433" t="str">
            <v>30013_2</v>
          </cell>
          <cell r="B433">
            <v>3</v>
          </cell>
          <cell r="C433">
            <v>30013</v>
          </cell>
          <cell r="D433" t="str">
            <v>決戦・竜宮城</v>
          </cell>
          <cell r="E433" t="str">
            <v>ドロップイベント4（マルチ専用）</v>
          </cell>
          <cell r="F433">
            <v>2</v>
          </cell>
          <cell r="G433" t="str">
            <v>ja</v>
          </cell>
          <cell r="H433" t="str">
            <v>【超絶級】決戦・竜宮城</v>
          </cell>
          <cell r="I433" t="str">
            <v>超絶級</v>
          </cell>
          <cell r="J433">
            <v>419</v>
          </cell>
          <cell r="K433">
            <v>35</v>
          </cell>
          <cell r="L433">
            <v>4200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17</v>
          </cell>
          <cell r="AD433">
            <v>6</v>
          </cell>
          <cell r="AE433" t="str">
            <v>everyone</v>
          </cell>
        </row>
        <row r="434">
          <cell r="A434" t="str">
            <v>30014_1</v>
          </cell>
          <cell r="B434">
            <v>3</v>
          </cell>
          <cell r="C434">
            <v>30014</v>
          </cell>
          <cell r="D434" t="str">
            <v>親指を突き立てろ！</v>
          </cell>
          <cell r="E434" t="str">
            <v>ドロップイベント4（マルチ専用）</v>
          </cell>
          <cell r="F434">
            <v>1</v>
          </cell>
          <cell r="G434" t="str">
            <v>ja</v>
          </cell>
          <cell r="H434" t="str">
            <v>【超級】親指を突き立てろ！</v>
          </cell>
          <cell r="I434" t="str">
            <v>超級</v>
          </cell>
          <cell r="J434">
            <v>420</v>
          </cell>
          <cell r="K434">
            <v>30</v>
          </cell>
          <cell r="L434">
            <v>3300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23</v>
          </cell>
          <cell r="AD434">
            <v>5</v>
          </cell>
          <cell r="AE434" t="str">
            <v>everyone</v>
          </cell>
        </row>
        <row r="435">
          <cell r="A435" t="str">
            <v>30014_2</v>
          </cell>
          <cell r="B435">
            <v>3</v>
          </cell>
          <cell r="C435">
            <v>30014</v>
          </cell>
          <cell r="D435" t="str">
            <v>親指を突き立てろ！</v>
          </cell>
          <cell r="E435" t="str">
            <v>ドロップイベント4（マルチ専用）</v>
          </cell>
          <cell r="F435">
            <v>2</v>
          </cell>
          <cell r="G435" t="str">
            <v>ja</v>
          </cell>
          <cell r="H435" t="str">
            <v>【超絶級】親指を突き立てろ！</v>
          </cell>
          <cell r="I435" t="str">
            <v>超絶級</v>
          </cell>
          <cell r="J435">
            <v>421</v>
          </cell>
          <cell r="K435">
            <v>35</v>
          </cell>
          <cell r="L435">
            <v>4200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polygon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23</v>
          </cell>
          <cell r="AD435">
            <v>5</v>
          </cell>
          <cell r="AE435" t="str">
            <v>everyone</v>
          </cell>
        </row>
        <row r="436">
          <cell r="A436" t="str">
            <v>30015_1</v>
          </cell>
          <cell r="B436">
            <v>3</v>
          </cell>
          <cell r="C436">
            <v>30015</v>
          </cell>
          <cell r="D436" t="str">
            <v>兄妹の大冒険</v>
          </cell>
          <cell r="E436" t="str">
            <v>ドロップイベント4（マルチ専用）</v>
          </cell>
          <cell r="F436">
            <v>1</v>
          </cell>
          <cell r="G436" t="str">
            <v>ja</v>
          </cell>
          <cell r="H436" t="str">
            <v>【超級】兄妹の大冒険</v>
          </cell>
          <cell r="I436" t="str">
            <v>超級</v>
          </cell>
          <cell r="J436">
            <v>422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16</v>
          </cell>
          <cell r="AD436">
            <v>6</v>
          </cell>
          <cell r="AE436" t="str">
            <v>everyone</v>
          </cell>
        </row>
        <row r="437">
          <cell r="A437" t="str">
            <v>30015_2</v>
          </cell>
          <cell r="B437">
            <v>3</v>
          </cell>
          <cell r="C437">
            <v>30015</v>
          </cell>
          <cell r="D437" t="str">
            <v>兄妹の大冒険</v>
          </cell>
          <cell r="E437" t="str">
            <v>ドロップイベント4（マルチ専用）</v>
          </cell>
          <cell r="F437">
            <v>2</v>
          </cell>
          <cell r="G437" t="str">
            <v>ja</v>
          </cell>
          <cell r="H437" t="str">
            <v>【超絶級】兄妹の大冒険</v>
          </cell>
          <cell r="I437" t="str">
            <v>超絶級</v>
          </cell>
          <cell r="J437">
            <v>423</v>
          </cell>
          <cell r="K437">
            <v>35</v>
          </cell>
          <cell r="L437">
            <v>4200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polygon</v>
          </cell>
          <cell r="T437">
            <v>1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16</v>
          </cell>
          <cell r="AD437">
            <v>6</v>
          </cell>
          <cell r="AE437" t="str">
            <v>everyone</v>
          </cell>
        </row>
        <row r="438">
          <cell r="A438" t="str">
            <v>30016_1</v>
          </cell>
          <cell r="B438">
            <v>3</v>
          </cell>
          <cell r="C438">
            <v>30016</v>
          </cell>
          <cell r="D438" t="str">
            <v>私がワニの天敵よ？</v>
          </cell>
          <cell r="E438" t="str">
            <v>ドロップイベント4（マルチ専用）</v>
          </cell>
          <cell r="F438">
            <v>1</v>
          </cell>
          <cell r="G438" t="str">
            <v>ja</v>
          </cell>
          <cell r="H438" t="str">
            <v>【超級】私がワニの天敵よ？</v>
          </cell>
          <cell r="I438" t="str">
            <v>超級</v>
          </cell>
          <cell r="J438">
            <v>424</v>
          </cell>
          <cell r="K438">
            <v>30</v>
          </cell>
          <cell r="L438">
            <v>3300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4</v>
          </cell>
          <cell r="AD438">
            <v>6</v>
          </cell>
          <cell r="AE438" t="str">
            <v>everyone</v>
          </cell>
        </row>
        <row r="439">
          <cell r="A439" t="str">
            <v>30016_2</v>
          </cell>
          <cell r="B439">
            <v>3</v>
          </cell>
          <cell r="C439">
            <v>30016</v>
          </cell>
          <cell r="D439" t="str">
            <v>私がワニの天敵よ？</v>
          </cell>
          <cell r="E439" t="str">
            <v>ドロップイベント4（マルチ専用）</v>
          </cell>
          <cell r="F439">
            <v>2</v>
          </cell>
          <cell r="G439" t="str">
            <v>ja</v>
          </cell>
          <cell r="H439" t="str">
            <v>【超絶級】私がワニの天敵よ？</v>
          </cell>
          <cell r="I439" t="str">
            <v>超絶級</v>
          </cell>
          <cell r="J439">
            <v>425</v>
          </cell>
          <cell r="K439">
            <v>35</v>
          </cell>
          <cell r="L439">
            <v>4200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4</v>
          </cell>
          <cell r="AD439">
            <v>6</v>
          </cell>
          <cell r="AE439" t="str">
            <v>everyone</v>
          </cell>
        </row>
        <row r="440">
          <cell r="A440" t="str">
            <v>30017_1</v>
          </cell>
          <cell r="B440">
            <v>3</v>
          </cell>
          <cell r="C440">
            <v>30017</v>
          </cell>
          <cell r="D440" t="str">
            <v>狩人の挽歌</v>
          </cell>
          <cell r="E440" t="str">
            <v>ドロップイベント5（マルチ専用）</v>
          </cell>
          <cell r="F440">
            <v>1</v>
          </cell>
          <cell r="G440" t="str">
            <v>ja</v>
          </cell>
          <cell r="H440" t="str">
            <v>【超級】狩人の挽歌</v>
          </cell>
          <cell r="I440" t="str">
            <v>超級</v>
          </cell>
          <cell r="J440">
            <v>452</v>
          </cell>
          <cell r="K440">
            <v>30</v>
          </cell>
          <cell r="L440">
            <v>3300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20</v>
          </cell>
          <cell r="AD440">
            <v>6</v>
          </cell>
          <cell r="AE440" t="str">
            <v>multionly</v>
          </cell>
        </row>
        <row r="441">
          <cell r="A441" t="str">
            <v>30017_2</v>
          </cell>
          <cell r="B441">
            <v>3</v>
          </cell>
          <cell r="C441">
            <v>30017</v>
          </cell>
          <cell r="D441" t="str">
            <v>狩人の挽歌</v>
          </cell>
          <cell r="E441" t="str">
            <v>ドロップイベント5（マルチ専用）</v>
          </cell>
          <cell r="F441">
            <v>2</v>
          </cell>
          <cell r="G441" t="str">
            <v>ja</v>
          </cell>
          <cell r="H441" t="str">
            <v>【超絶級】狩人の挽歌</v>
          </cell>
          <cell r="I441" t="str">
            <v>超絶級</v>
          </cell>
          <cell r="J441">
            <v>453</v>
          </cell>
          <cell r="K441">
            <v>35</v>
          </cell>
          <cell r="L441">
            <v>4200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polygon</v>
          </cell>
          <cell r="T441">
            <v>1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20</v>
          </cell>
          <cell r="AD441">
            <v>6</v>
          </cell>
          <cell r="AE441" t="str">
            <v>multionly</v>
          </cell>
        </row>
        <row r="442">
          <cell r="A442" t="str">
            <v>30018_1</v>
          </cell>
          <cell r="B442">
            <v>3</v>
          </cell>
          <cell r="C442">
            <v>30018</v>
          </cell>
          <cell r="D442" t="str">
            <v>バックストリートファイト</v>
          </cell>
          <cell r="E442" t="str">
            <v>ドロップイベント5（マルチ専用）</v>
          </cell>
          <cell r="F442">
            <v>1</v>
          </cell>
          <cell r="G442" t="str">
            <v>ja</v>
          </cell>
          <cell r="H442" t="str">
            <v>【超級】バックストリートファイト</v>
          </cell>
          <cell r="I442" t="str">
            <v>超級</v>
          </cell>
          <cell r="J442">
            <v>454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0</v>
          </cell>
          <cell r="R442">
            <v>3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14</v>
          </cell>
          <cell r="AD442">
            <v>6</v>
          </cell>
          <cell r="AE442" t="str">
            <v>everyone</v>
          </cell>
        </row>
        <row r="443">
          <cell r="A443" t="str">
            <v>30018_2</v>
          </cell>
          <cell r="B443">
            <v>3</v>
          </cell>
          <cell r="C443">
            <v>30018</v>
          </cell>
          <cell r="D443" t="str">
            <v>バックストリートファイト</v>
          </cell>
          <cell r="E443" t="str">
            <v>ドロップイベント5（マルチ専用）</v>
          </cell>
          <cell r="F443">
            <v>2</v>
          </cell>
          <cell r="G443" t="str">
            <v>ja</v>
          </cell>
          <cell r="H443" t="str">
            <v>【超絶級】バックストリートファイト</v>
          </cell>
          <cell r="I443" t="str">
            <v>超絶級</v>
          </cell>
          <cell r="J443">
            <v>455</v>
          </cell>
          <cell r="K443">
            <v>35</v>
          </cell>
          <cell r="L443">
            <v>4200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0</v>
          </cell>
          <cell r="R443">
            <v>3</v>
          </cell>
          <cell r="S443" t="str">
            <v>polygon</v>
          </cell>
          <cell r="T443">
            <v>1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14</v>
          </cell>
          <cell r="AD443">
            <v>6</v>
          </cell>
          <cell r="AE443" t="str">
            <v>everyone</v>
          </cell>
        </row>
        <row r="444">
          <cell r="A444" t="str">
            <v>30019_1</v>
          </cell>
          <cell r="B444">
            <v>3</v>
          </cell>
          <cell r="C444">
            <v>30019</v>
          </cell>
          <cell r="D444" t="str">
            <v>狙撃は終わらない</v>
          </cell>
          <cell r="E444" t="str">
            <v>ドロップイベント5（マルチ専用）</v>
          </cell>
          <cell r="F444">
            <v>1</v>
          </cell>
          <cell r="G444" t="str">
            <v>ja</v>
          </cell>
          <cell r="H444" t="str">
            <v>【超級】狙撃は終わらない</v>
          </cell>
          <cell r="I444" t="str">
            <v>超級</v>
          </cell>
          <cell r="J444">
            <v>456</v>
          </cell>
          <cell r="K444">
            <v>30</v>
          </cell>
          <cell r="L444">
            <v>3300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24</v>
          </cell>
          <cell r="AD444">
            <v>6</v>
          </cell>
          <cell r="AE444" t="str">
            <v>multionly</v>
          </cell>
        </row>
        <row r="445">
          <cell r="A445" t="str">
            <v>30019_2</v>
          </cell>
          <cell r="B445">
            <v>3</v>
          </cell>
          <cell r="C445">
            <v>30019</v>
          </cell>
          <cell r="D445" t="str">
            <v>狙撃は終わらない</v>
          </cell>
          <cell r="E445" t="str">
            <v>ドロップイベント5（マルチ専用）</v>
          </cell>
          <cell r="F445">
            <v>2</v>
          </cell>
          <cell r="G445" t="str">
            <v>ja</v>
          </cell>
          <cell r="H445" t="str">
            <v>【超絶級】狙撃は終わらない</v>
          </cell>
          <cell r="I445" t="str">
            <v>超絶級</v>
          </cell>
          <cell r="J445">
            <v>457</v>
          </cell>
          <cell r="K445">
            <v>35</v>
          </cell>
          <cell r="L445">
            <v>4200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24</v>
          </cell>
          <cell r="AD445">
            <v>6</v>
          </cell>
          <cell r="AE445" t="str">
            <v>multionly</v>
          </cell>
        </row>
        <row r="446">
          <cell r="A446" t="str">
            <v>30020_1</v>
          </cell>
          <cell r="B446">
            <v>3</v>
          </cell>
          <cell r="C446">
            <v>30020</v>
          </cell>
          <cell r="D446" t="str">
            <v>若造よ、身の程を知れ</v>
          </cell>
          <cell r="E446" t="str">
            <v>ドロップイベント5（マルチ専用）</v>
          </cell>
          <cell r="F446">
            <v>1</v>
          </cell>
          <cell r="G446" t="str">
            <v>ja</v>
          </cell>
          <cell r="H446" t="str">
            <v>【超級】若造よ、身の程を知れ</v>
          </cell>
          <cell r="I446" t="str">
            <v>超級</v>
          </cell>
          <cell r="J446">
            <v>458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13</v>
          </cell>
          <cell r="AD446">
            <v>6</v>
          </cell>
          <cell r="AE446" t="str">
            <v>everyone</v>
          </cell>
        </row>
        <row r="447">
          <cell r="A447" t="str">
            <v>30020_2</v>
          </cell>
          <cell r="B447">
            <v>3</v>
          </cell>
          <cell r="C447">
            <v>30020</v>
          </cell>
          <cell r="D447" t="str">
            <v>若造よ、身の程を知れ</v>
          </cell>
          <cell r="E447" t="str">
            <v>ドロップイベント5（マルチ専用）</v>
          </cell>
          <cell r="F447">
            <v>2</v>
          </cell>
          <cell r="G447" t="str">
            <v>ja</v>
          </cell>
          <cell r="H447" t="str">
            <v>【超絶級】若造よ、身の程を知れ</v>
          </cell>
          <cell r="I447" t="str">
            <v>超絶級</v>
          </cell>
          <cell r="J447">
            <v>459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13</v>
          </cell>
          <cell r="AD447">
            <v>6</v>
          </cell>
          <cell r="AE447" t="str">
            <v>everyone</v>
          </cell>
        </row>
        <row r="448">
          <cell r="A448" t="str">
            <v>30021_1</v>
          </cell>
          <cell r="B448">
            <v>3</v>
          </cell>
          <cell r="C448">
            <v>30021</v>
          </cell>
          <cell r="D448" t="str">
            <v>野獣死すべしっ！</v>
          </cell>
          <cell r="E448" t="str">
            <v>ドロップイベント6（マルチ専用）</v>
          </cell>
          <cell r="F448">
            <v>1</v>
          </cell>
          <cell r="G448" t="str">
            <v>ja</v>
          </cell>
          <cell r="H448" t="str">
            <v>【中級】野獣死すべしっ！</v>
          </cell>
          <cell r="I448" t="str">
            <v>中級</v>
          </cell>
          <cell r="J448">
            <v>502</v>
          </cell>
          <cell r="K448">
            <v>15</v>
          </cell>
          <cell r="L448">
            <v>1200</v>
          </cell>
          <cell r="M448">
            <v>1</v>
          </cell>
          <cell r="N448">
            <v>1</v>
          </cell>
          <cell r="O448">
            <v>0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14</v>
          </cell>
          <cell r="AD448">
            <v>6</v>
          </cell>
          <cell r="AE448" t="str">
            <v>everyone</v>
          </cell>
        </row>
        <row r="449">
          <cell r="A449" t="str">
            <v>30021_2</v>
          </cell>
          <cell r="B449">
            <v>3</v>
          </cell>
          <cell r="C449">
            <v>30021</v>
          </cell>
          <cell r="D449" t="str">
            <v>野獣死すべしっ！</v>
          </cell>
          <cell r="E449" t="str">
            <v>ドロップイベント6（マルチ専用）</v>
          </cell>
          <cell r="F449">
            <v>2</v>
          </cell>
          <cell r="G449" t="str">
            <v>ja</v>
          </cell>
          <cell r="H449" t="str">
            <v>【上級】野獣死すべしっ！</v>
          </cell>
          <cell r="I449" t="str">
            <v>上級</v>
          </cell>
          <cell r="J449">
            <v>502</v>
          </cell>
          <cell r="K449">
            <v>20</v>
          </cell>
          <cell r="L449">
            <v>2000</v>
          </cell>
          <cell r="M449">
            <v>1</v>
          </cell>
          <cell r="N449">
            <v>1</v>
          </cell>
          <cell r="O449">
            <v>0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14</v>
          </cell>
          <cell r="AD449">
            <v>6</v>
          </cell>
          <cell r="AE449" t="str">
            <v>everyone</v>
          </cell>
        </row>
        <row r="450">
          <cell r="A450" t="str">
            <v>30021_3</v>
          </cell>
          <cell r="B450">
            <v>3</v>
          </cell>
          <cell r="C450">
            <v>30021</v>
          </cell>
          <cell r="D450" t="str">
            <v>野獣死すべしっ！</v>
          </cell>
          <cell r="E450" t="str">
            <v>ドロップイベント6（マルチ専用）</v>
          </cell>
          <cell r="F450">
            <v>3</v>
          </cell>
          <cell r="G450" t="str">
            <v>ja</v>
          </cell>
          <cell r="H450" t="str">
            <v>【超級】野獣死すべしっ！</v>
          </cell>
          <cell r="I450" t="str">
            <v>超級</v>
          </cell>
          <cell r="J450">
            <v>503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0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14</v>
          </cell>
          <cell r="AD450">
            <v>6</v>
          </cell>
          <cell r="AE450" t="str">
            <v>everyone</v>
          </cell>
        </row>
        <row r="451">
          <cell r="A451" t="str">
            <v>30022_1</v>
          </cell>
          <cell r="B451">
            <v>3</v>
          </cell>
          <cell r="C451">
            <v>30022</v>
          </cell>
          <cell r="D451" t="str">
            <v>凶鼠ネコを咬む</v>
          </cell>
          <cell r="E451" t="str">
            <v>ドロップイベント6（マルチ専用）</v>
          </cell>
          <cell r="F451">
            <v>1</v>
          </cell>
          <cell r="G451" t="str">
            <v>ja</v>
          </cell>
          <cell r="H451" t="str">
            <v>【超級】凶鼠ネコを咬む</v>
          </cell>
          <cell r="I451" t="str">
            <v>超級</v>
          </cell>
          <cell r="J451">
            <v>504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6</v>
          </cell>
          <cell r="AD451">
            <v>6</v>
          </cell>
          <cell r="AE451" t="str">
            <v>everyone</v>
          </cell>
        </row>
        <row r="452">
          <cell r="A452" t="str">
            <v>30022_2</v>
          </cell>
          <cell r="B452">
            <v>3</v>
          </cell>
          <cell r="C452">
            <v>30022</v>
          </cell>
          <cell r="D452" t="str">
            <v>凶鼠ネコを咬む</v>
          </cell>
          <cell r="E452" t="str">
            <v>ドロップイベント6（マルチ専用）</v>
          </cell>
          <cell r="F452">
            <v>2</v>
          </cell>
          <cell r="G452" t="str">
            <v>ja</v>
          </cell>
          <cell r="H452" t="str">
            <v>【超絶級】凶鼠ネコを咬む</v>
          </cell>
          <cell r="I452" t="str">
            <v>超絶級</v>
          </cell>
          <cell r="J452">
            <v>505</v>
          </cell>
          <cell r="K452">
            <v>35</v>
          </cell>
          <cell r="L452">
            <v>4200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polygon</v>
          </cell>
          <cell r="T452">
            <v>1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6</v>
          </cell>
          <cell r="AD452">
            <v>6</v>
          </cell>
          <cell r="AE452" t="str">
            <v>everyone</v>
          </cell>
        </row>
        <row r="453">
          <cell r="A453" t="str">
            <v>30023_1</v>
          </cell>
          <cell r="B453">
            <v>3</v>
          </cell>
          <cell r="C453">
            <v>30023</v>
          </cell>
          <cell r="D453" t="str">
            <v>隔離からのエスケイプ</v>
          </cell>
          <cell r="E453" t="str">
            <v>ドロップイベント6（マルチ専用）</v>
          </cell>
          <cell r="F453">
            <v>1</v>
          </cell>
          <cell r="G453" t="str">
            <v>ja</v>
          </cell>
          <cell r="H453" t="str">
            <v>【中級】隔離からのエスケイプ</v>
          </cell>
          <cell r="I453" t="str">
            <v>中級</v>
          </cell>
          <cell r="J453">
            <v>506</v>
          </cell>
          <cell r="K453">
            <v>15</v>
          </cell>
          <cell r="L453">
            <v>1200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25</v>
          </cell>
          <cell r="AD453">
            <v>6</v>
          </cell>
          <cell r="AE453" t="str">
            <v>everyone</v>
          </cell>
        </row>
        <row r="454">
          <cell r="A454" t="str">
            <v>30023_2</v>
          </cell>
          <cell r="B454">
            <v>3</v>
          </cell>
          <cell r="C454">
            <v>30023</v>
          </cell>
          <cell r="D454" t="str">
            <v>隔離からのエスケイプ</v>
          </cell>
          <cell r="E454" t="str">
            <v>ドロップイベント6（マルチ専用）</v>
          </cell>
          <cell r="F454">
            <v>2</v>
          </cell>
          <cell r="G454" t="str">
            <v>ja</v>
          </cell>
          <cell r="H454" t="str">
            <v>【上級】隔離からのエスケイプ</v>
          </cell>
          <cell r="I454" t="str">
            <v>上級</v>
          </cell>
          <cell r="J454">
            <v>506</v>
          </cell>
          <cell r="K454">
            <v>20</v>
          </cell>
          <cell r="L454">
            <v>2000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25</v>
          </cell>
          <cell r="AD454">
            <v>6</v>
          </cell>
          <cell r="AE454" t="str">
            <v>everyone</v>
          </cell>
        </row>
        <row r="455">
          <cell r="A455" t="str">
            <v>30023_3</v>
          </cell>
          <cell r="B455">
            <v>3</v>
          </cell>
          <cell r="C455">
            <v>30023</v>
          </cell>
          <cell r="D455" t="str">
            <v>隔離からのエスケイプ</v>
          </cell>
          <cell r="E455" t="str">
            <v>ドロップイベント6（マルチ専用）</v>
          </cell>
          <cell r="F455">
            <v>3</v>
          </cell>
          <cell r="G455" t="str">
            <v>ja</v>
          </cell>
          <cell r="H455" t="str">
            <v>【超級】隔離からのエスケイプ</v>
          </cell>
          <cell r="I455" t="str">
            <v>超級</v>
          </cell>
          <cell r="J455">
            <v>507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polygon</v>
          </cell>
          <cell r="T455">
            <v>1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25</v>
          </cell>
          <cell r="AD455">
            <v>6</v>
          </cell>
          <cell r="AE455" t="str">
            <v>everyone</v>
          </cell>
        </row>
        <row r="456">
          <cell r="A456" t="str">
            <v>30024_1</v>
          </cell>
          <cell r="B456">
            <v>3</v>
          </cell>
          <cell r="C456">
            <v>30024</v>
          </cell>
          <cell r="D456" t="str">
            <v>雷鎚の選定</v>
          </cell>
          <cell r="E456" t="str">
            <v>ドロップイベント7（マルチ専用）</v>
          </cell>
          <cell r="F456">
            <v>1</v>
          </cell>
          <cell r="G456" t="str">
            <v>ja</v>
          </cell>
          <cell r="H456" t="str">
            <v>【中級】雷鎚の選定</v>
          </cell>
          <cell r="I456" t="str">
            <v>中級</v>
          </cell>
          <cell r="J456">
            <v>583</v>
          </cell>
          <cell r="K456">
            <v>15</v>
          </cell>
          <cell r="L456">
            <v>1200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20</v>
          </cell>
          <cell r="AD456">
            <v>6</v>
          </cell>
          <cell r="AE456" t="str">
            <v>multionly</v>
          </cell>
        </row>
        <row r="457">
          <cell r="A457" t="str">
            <v>30024_2</v>
          </cell>
          <cell r="B457">
            <v>3</v>
          </cell>
          <cell r="C457">
            <v>30024</v>
          </cell>
          <cell r="D457" t="str">
            <v>雷鎚の選定</v>
          </cell>
          <cell r="E457" t="str">
            <v>ドロップイベント7（マルチ専用）</v>
          </cell>
          <cell r="F457">
            <v>2</v>
          </cell>
          <cell r="G457" t="str">
            <v>ja</v>
          </cell>
          <cell r="H457" t="str">
            <v>【上級】雷鎚の選定</v>
          </cell>
          <cell r="I457" t="str">
            <v>上級</v>
          </cell>
          <cell r="J457">
            <v>583</v>
          </cell>
          <cell r="K457">
            <v>20</v>
          </cell>
          <cell r="L457">
            <v>2000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20</v>
          </cell>
          <cell r="AD457">
            <v>6</v>
          </cell>
          <cell r="AE457" t="str">
            <v>multionly</v>
          </cell>
        </row>
        <row r="458">
          <cell r="A458" t="str">
            <v>30024_3</v>
          </cell>
          <cell r="B458">
            <v>3</v>
          </cell>
          <cell r="C458">
            <v>30024</v>
          </cell>
          <cell r="D458" t="str">
            <v>雷鎚の選定</v>
          </cell>
          <cell r="E458" t="str">
            <v>ドロップイベント7（マルチ専用）</v>
          </cell>
          <cell r="F458">
            <v>3</v>
          </cell>
          <cell r="G458" t="str">
            <v>ja</v>
          </cell>
          <cell r="H458" t="str">
            <v>【超級】雷鎚の選定</v>
          </cell>
          <cell r="I458" t="str">
            <v>超級</v>
          </cell>
          <cell r="J458">
            <v>584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polygon</v>
          </cell>
          <cell r="T458">
            <v>1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20</v>
          </cell>
          <cell r="AD458">
            <v>6</v>
          </cell>
          <cell r="AE458" t="str">
            <v>multionly</v>
          </cell>
        </row>
        <row r="459">
          <cell r="A459" t="str">
            <v>30025_1</v>
          </cell>
          <cell r="B459">
            <v>3</v>
          </cell>
          <cell r="C459">
            <v>30025</v>
          </cell>
          <cell r="D459" t="str">
            <v>真実の探求者</v>
          </cell>
          <cell r="E459" t="str">
            <v>ドロップイベント7（マルチ専用）</v>
          </cell>
          <cell r="F459">
            <v>1</v>
          </cell>
          <cell r="G459" t="str">
            <v>ja</v>
          </cell>
          <cell r="H459" t="str">
            <v>【中級】真実の探求者</v>
          </cell>
          <cell r="I459" t="str">
            <v>中級</v>
          </cell>
          <cell r="J459">
            <v>579</v>
          </cell>
          <cell r="K459">
            <v>15</v>
          </cell>
          <cell r="L459">
            <v>1200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7</v>
          </cell>
          <cell r="AD459">
            <v>6</v>
          </cell>
          <cell r="AE459" t="str">
            <v>everyone</v>
          </cell>
        </row>
        <row r="460">
          <cell r="A460" t="str">
            <v>30025_2</v>
          </cell>
          <cell r="B460">
            <v>3</v>
          </cell>
          <cell r="C460">
            <v>30025</v>
          </cell>
          <cell r="D460" t="str">
            <v>真実の探求者</v>
          </cell>
          <cell r="E460" t="str">
            <v>ドロップイベント7（マルチ専用）</v>
          </cell>
          <cell r="F460">
            <v>2</v>
          </cell>
          <cell r="G460" t="str">
            <v>ja</v>
          </cell>
          <cell r="H460" t="str">
            <v>【上級】真実の探求者</v>
          </cell>
          <cell r="I460" t="str">
            <v>上級</v>
          </cell>
          <cell r="J460">
            <v>579</v>
          </cell>
          <cell r="K460">
            <v>20</v>
          </cell>
          <cell r="L460">
            <v>2000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7</v>
          </cell>
          <cell r="AD460">
            <v>6</v>
          </cell>
          <cell r="AE460" t="str">
            <v>everyone</v>
          </cell>
        </row>
        <row r="461">
          <cell r="A461" t="str">
            <v>30025_3</v>
          </cell>
          <cell r="B461">
            <v>3</v>
          </cell>
          <cell r="C461">
            <v>30025</v>
          </cell>
          <cell r="D461" t="str">
            <v>真実の探求者</v>
          </cell>
          <cell r="E461" t="str">
            <v>ドロップイベント7（マルチ専用）</v>
          </cell>
          <cell r="F461">
            <v>3</v>
          </cell>
          <cell r="G461" t="str">
            <v>ja</v>
          </cell>
          <cell r="H461" t="str">
            <v>【超級】真実の探求者</v>
          </cell>
          <cell r="I461" t="str">
            <v>超級</v>
          </cell>
          <cell r="J461">
            <v>580</v>
          </cell>
          <cell r="K461">
            <v>30</v>
          </cell>
          <cell r="L461">
            <v>3300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7</v>
          </cell>
          <cell r="AD461">
            <v>6</v>
          </cell>
          <cell r="AE461" t="str">
            <v>everyone</v>
          </cell>
        </row>
        <row r="462">
          <cell r="A462" t="str">
            <v>30026_1</v>
          </cell>
          <cell r="B462">
            <v>3</v>
          </cell>
          <cell r="C462">
            <v>30026</v>
          </cell>
          <cell r="D462" t="str">
            <v>道を阻む妖精夫婦</v>
          </cell>
          <cell r="E462" t="str">
            <v>ドロップイベント7（マルチ専用）</v>
          </cell>
          <cell r="F462">
            <v>1</v>
          </cell>
          <cell r="G462" t="str">
            <v>ja</v>
          </cell>
          <cell r="H462" t="str">
            <v>【中級】道を阻む妖精夫婦</v>
          </cell>
          <cell r="I462" t="str">
            <v>中級</v>
          </cell>
          <cell r="J462">
            <v>577</v>
          </cell>
          <cell r="K462">
            <v>15</v>
          </cell>
          <cell r="L462">
            <v>1200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21</v>
          </cell>
          <cell r="AD462">
            <v>6</v>
          </cell>
          <cell r="AE462" t="str">
            <v>everyone</v>
          </cell>
        </row>
        <row r="463">
          <cell r="A463" t="str">
            <v>30026_2</v>
          </cell>
          <cell r="B463">
            <v>3</v>
          </cell>
          <cell r="C463">
            <v>30026</v>
          </cell>
          <cell r="D463" t="str">
            <v>道を阻む妖精夫婦</v>
          </cell>
          <cell r="E463" t="str">
            <v>ドロップイベント7（マルチ専用）</v>
          </cell>
          <cell r="F463">
            <v>2</v>
          </cell>
          <cell r="G463" t="str">
            <v>ja</v>
          </cell>
          <cell r="H463" t="str">
            <v>【上級】道を阻む妖精夫婦</v>
          </cell>
          <cell r="I463" t="str">
            <v>上級</v>
          </cell>
          <cell r="J463">
            <v>577</v>
          </cell>
          <cell r="K463">
            <v>20</v>
          </cell>
          <cell r="L463">
            <v>2000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21</v>
          </cell>
          <cell r="AD463">
            <v>6</v>
          </cell>
          <cell r="AE463" t="str">
            <v>everyone</v>
          </cell>
        </row>
        <row r="464">
          <cell r="A464" t="str">
            <v>30026_3</v>
          </cell>
          <cell r="B464">
            <v>3</v>
          </cell>
          <cell r="C464">
            <v>30026</v>
          </cell>
          <cell r="D464" t="str">
            <v>道を阻む妖精夫婦</v>
          </cell>
          <cell r="E464" t="str">
            <v>ドロップイベント7（マルチ専用）</v>
          </cell>
          <cell r="F464">
            <v>3</v>
          </cell>
          <cell r="G464" t="str">
            <v>ja</v>
          </cell>
          <cell r="H464" t="str">
            <v>【超級】道を阻む妖精夫婦</v>
          </cell>
          <cell r="I464" t="str">
            <v>超級</v>
          </cell>
          <cell r="J464">
            <v>578</v>
          </cell>
          <cell r="K464">
            <v>30</v>
          </cell>
          <cell r="L464">
            <v>3300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21</v>
          </cell>
          <cell r="AD464">
            <v>6</v>
          </cell>
          <cell r="AE464" t="str">
            <v>everyone</v>
          </cell>
        </row>
        <row r="465">
          <cell r="A465" t="str">
            <v>30027_1</v>
          </cell>
          <cell r="B465">
            <v>3</v>
          </cell>
          <cell r="C465">
            <v>30027</v>
          </cell>
          <cell r="D465" t="str">
            <v>凍りつくまで愛してあげる</v>
          </cell>
          <cell r="E465" t="str">
            <v>ドロップイベント7（マルチ専用）</v>
          </cell>
          <cell r="F465">
            <v>1</v>
          </cell>
          <cell r="G465" t="str">
            <v>ja</v>
          </cell>
          <cell r="H465" t="str">
            <v>【中級】凍りつくまで愛してあげる</v>
          </cell>
          <cell r="I465" t="str">
            <v>中級</v>
          </cell>
          <cell r="J465">
            <v>646</v>
          </cell>
          <cell r="K465">
            <v>15</v>
          </cell>
          <cell r="L465">
            <v>1200</v>
          </cell>
          <cell r="M465">
            <v>0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9</v>
          </cell>
          <cell r="AD465">
            <v>6</v>
          </cell>
          <cell r="AE465" t="str">
            <v>everyone</v>
          </cell>
        </row>
        <row r="466">
          <cell r="A466" t="str">
            <v>30027_2</v>
          </cell>
          <cell r="B466">
            <v>3</v>
          </cell>
          <cell r="C466">
            <v>30027</v>
          </cell>
          <cell r="D466" t="str">
            <v>凍りつくまで愛してあげる</v>
          </cell>
          <cell r="E466" t="str">
            <v>ドロップイベント7（マルチ専用）</v>
          </cell>
          <cell r="F466">
            <v>2</v>
          </cell>
          <cell r="G466" t="str">
            <v>ja</v>
          </cell>
          <cell r="H466" t="str">
            <v>【上級】凍りつくまで愛してあげる</v>
          </cell>
          <cell r="I466" t="str">
            <v>上級</v>
          </cell>
          <cell r="J466">
            <v>646</v>
          </cell>
          <cell r="K466">
            <v>20</v>
          </cell>
          <cell r="L466">
            <v>2000</v>
          </cell>
          <cell r="M466">
            <v>0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9</v>
          </cell>
          <cell r="AD466">
            <v>6</v>
          </cell>
          <cell r="AE466" t="str">
            <v>everyone</v>
          </cell>
        </row>
        <row r="467">
          <cell r="A467" t="str">
            <v>30027_3</v>
          </cell>
          <cell r="B467">
            <v>3</v>
          </cell>
          <cell r="C467">
            <v>30027</v>
          </cell>
          <cell r="D467" t="str">
            <v>凍りつくまで愛してあげる</v>
          </cell>
          <cell r="E467" t="str">
            <v>ドロップイベント7（マルチ専用）</v>
          </cell>
          <cell r="F467">
            <v>3</v>
          </cell>
          <cell r="G467" t="str">
            <v>ja</v>
          </cell>
          <cell r="H467" t="str">
            <v>【超級】凍りつくまで愛してあげる</v>
          </cell>
          <cell r="I467" t="str">
            <v>超級</v>
          </cell>
          <cell r="J467">
            <v>647</v>
          </cell>
          <cell r="K467">
            <v>30</v>
          </cell>
          <cell r="L467">
            <v>3300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9</v>
          </cell>
          <cell r="AD467">
            <v>6</v>
          </cell>
          <cell r="AE467" t="str">
            <v>everyone</v>
          </cell>
        </row>
        <row r="468">
          <cell r="A468" t="str">
            <v>30028_1</v>
          </cell>
          <cell r="B468">
            <v>3</v>
          </cell>
          <cell r="C468">
            <v>30028</v>
          </cell>
          <cell r="D468" t="str">
            <v>最悪の刺客</v>
          </cell>
          <cell r="E468" t="str">
            <v>ドロップイベント8（マルチ専用）</v>
          </cell>
          <cell r="F468">
            <v>1</v>
          </cell>
          <cell r="G468" t="str">
            <v>ja</v>
          </cell>
          <cell r="H468" t="str">
            <v>【中級】最悪の刺客</v>
          </cell>
          <cell r="I468" t="str">
            <v>中級</v>
          </cell>
          <cell r="J468">
            <v>650</v>
          </cell>
          <cell r="K468">
            <v>15</v>
          </cell>
          <cell r="L468">
            <v>1200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2601</v>
          </cell>
          <cell r="AD468">
            <v>6</v>
          </cell>
          <cell r="AE468" t="str">
            <v>everyone</v>
          </cell>
        </row>
        <row r="469">
          <cell r="A469" t="str">
            <v>30028_2</v>
          </cell>
          <cell r="B469">
            <v>3</v>
          </cell>
          <cell r="C469">
            <v>30028</v>
          </cell>
          <cell r="D469" t="str">
            <v>最悪の刺客</v>
          </cell>
          <cell r="E469" t="str">
            <v>ドロップイベント8（マルチ専用）</v>
          </cell>
          <cell r="F469">
            <v>2</v>
          </cell>
          <cell r="G469" t="str">
            <v>ja</v>
          </cell>
          <cell r="H469" t="str">
            <v>【上級】最悪の刺客</v>
          </cell>
          <cell r="I469" t="str">
            <v>上級</v>
          </cell>
          <cell r="J469">
            <v>650</v>
          </cell>
          <cell r="K469">
            <v>20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2601</v>
          </cell>
          <cell r="AD469">
            <v>6</v>
          </cell>
          <cell r="AE469" t="str">
            <v>everyone</v>
          </cell>
        </row>
        <row r="470">
          <cell r="A470" t="str">
            <v>30028_3</v>
          </cell>
          <cell r="B470">
            <v>3</v>
          </cell>
          <cell r="C470">
            <v>30028</v>
          </cell>
          <cell r="D470" t="str">
            <v>最悪の刺客</v>
          </cell>
          <cell r="E470" t="str">
            <v>ドロップイベント8（マルチ専用）</v>
          </cell>
          <cell r="F470">
            <v>3</v>
          </cell>
          <cell r="G470" t="str">
            <v>ja</v>
          </cell>
          <cell r="H470" t="str">
            <v>【超級】最悪の刺客</v>
          </cell>
          <cell r="I470" t="str">
            <v>超級</v>
          </cell>
          <cell r="J470">
            <v>651</v>
          </cell>
          <cell r="K470">
            <v>30</v>
          </cell>
          <cell r="L470">
            <v>3300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2601</v>
          </cell>
          <cell r="AD470">
            <v>6</v>
          </cell>
          <cell r="AE470" t="str">
            <v>everyone</v>
          </cell>
        </row>
        <row r="471">
          <cell r="A471" t="str">
            <v>30029_1</v>
          </cell>
          <cell r="B471">
            <v>3</v>
          </cell>
          <cell r="C471">
            <v>30029</v>
          </cell>
          <cell r="D471" t="str">
            <v>全ては主のために</v>
          </cell>
          <cell r="E471" t="str">
            <v>ドロップイベント8（マルチ専用）</v>
          </cell>
          <cell r="F471">
            <v>1</v>
          </cell>
          <cell r="G471" t="str">
            <v>ja</v>
          </cell>
          <cell r="H471" t="str">
            <v>【中級】全ては主のために</v>
          </cell>
          <cell r="I471" t="str">
            <v>中級</v>
          </cell>
          <cell r="J471">
            <v>648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5</v>
          </cell>
          <cell r="AD471">
            <v>6</v>
          </cell>
          <cell r="AE471" t="str">
            <v>everyone</v>
          </cell>
        </row>
        <row r="472">
          <cell r="A472" t="str">
            <v>30029_2</v>
          </cell>
          <cell r="B472">
            <v>3</v>
          </cell>
          <cell r="C472">
            <v>30029</v>
          </cell>
          <cell r="D472" t="str">
            <v>全ては主のために</v>
          </cell>
          <cell r="E472" t="str">
            <v>ドロップイベント8（マルチ専用）</v>
          </cell>
          <cell r="F472">
            <v>2</v>
          </cell>
          <cell r="G472" t="str">
            <v>ja</v>
          </cell>
          <cell r="H472" t="str">
            <v>【上級】全ては主のために</v>
          </cell>
          <cell r="I472" t="str">
            <v>上級</v>
          </cell>
          <cell r="J472">
            <v>648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5</v>
          </cell>
          <cell r="AD472">
            <v>6</v>
          </cell>
          <cell r="AE472" t="str">
            <v>everyone</v>
          </cell>
        </row>
        <row r="473">
          <cell r="A473" t="str">
            <v>30029_3</v>
          </cell>
          <cell r="B473">
            <v>3</v>
          </cell>
          <cell r="C473">
            <v>30029</v>
          </cell>
          <cell r="D473" t="str">
            <v>全ては主のために</v>
          </cell>
          <cell r="E473" t="str">
            <v>ドロップイベント8（マルチ専用）</v>
          </cell>
          <cell r="F473">
            <v>3</v>
          </cell>
          <cell r="G473" t="str">
            <v>ja</v>
          </cell>
          <cell r="H473" t="str">
            <v>【超級】全ては主のために</v>
          </cell>
          <cell r="I473" t="str">
            <v>超級</v>
          </cell>
          <cell r="J473">
            <v>648</v>
          </cell>
          <cell r="K473">
            <v>30</v>
          </cell>
          <cell r="L473">
            <v>3300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5</v>
          </cell>
          <cell r="AD473">
            <v>6</v>
          </cell>
          <cell r="AE473" t="str">
            <v>everyone</v>
          </cell>
        </row>
        <row r="474">
          <cell r="A474" t="str">
            <v>30030_1</v>
          </cell>
          <cell r="B474">
            <v>3</v>
          </cell>
          <cell r="C474">
            <v>30030</v>
          </cell>
          <cell r="D474" t="str">
            <v>ここは誰の箱庭じゃ？</v>
          </cell>
          <cell r="E474" t="str">
            <v>ドロップイベント9（マルチ専用）</v>
          </cell>
          <cell r="F474">
            <v>1</v>
          </cell>
          <cell r="G474" t="str">
            <v>ja</v>
          </cell>
          <cell r="H474" t="str">
            <v>【中級】ここは誰の箱庭じゃ？</v>
          </cell>
          <cell r="I474" t="str">
            <v>中級</v>
          </cell>
          <cell r="J474">
            <v>652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8</v>
          </cell>
          <cell r="AD474">
            <v>6</v>
          </cell>
          <cell r="AE474" t="str">
            <v>everyone</v>
          </cell>
        </row>
        <row r="475">
          <cell r="A475" t="str">
            <v>30030_2</v>
          </cell>
          <cell r="B475">
            <v>3</v>
          </cell>
          <cell r="C475">
            <v>30030</v>
          </cell>
          <cell r="D475" t="str">
            <v>ここは誰の箱庭じゃ？</v>
          </cell>
          <cell r="E475" t="str">
            <v>ドロップイベント9（マルチ専用）</v>
          </cell>
          <cell r="F475">
            <v>2</v>
          </cell>
          <cell r="G475" t="str">
            <v>ja</v>
          </cell>
          <cell r="H475" t="str">
            <v>【上級】ここは誰の箱庭じゃ？</v>
          </cell>
          <cell r="I475" t="str">
            <v>上級</v>
          </cell>
          <cell r="J475">
            <v>653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8</v>
          </cell>
          <cell r="AD475">
            <v>6</v>
          </cell>
          <cell r="AE475" t="str">
            <v>everyone</v>
          </cell>
        </row>
        <row r="476">
          <cell r="A476" t="str">
            <v>30030_3</v>
          </cell>
          <cell r="B476">
            <v>3</v>
          </cell>
          <cell r="C476">
            <v>30030</v>
          </cell>
          <cell r="D476" t="str">
            <v>ここは誰の箱庭じゃ？</v>
          </cell>
          <cell r="E476" t="str">
            <v>ドロップイベント9（マルチ専用）</v>
          </cell>
          <cell r="F476">
            <v>3</v>
          </cell>
          <cell r="G476" t="str">
            <v>ja</v>
          </cell>
          <cell r="H476" t="str">
            <v>【超級】ここは誰の箱庭じゃ？</v>
          </cell>
          <cell r="I476" t="str">
            <v>超級</v>
          </cell>
          <cell r="J476">
            <v>653</v>
          </cell>
          <cell r="K476">
            <v>30</v>
          </cell>
          <cell r="L476">
            <v>3300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8</v>
          </cell>
          <cell r="AD476">
            <v>6</v>
          </cell>
          <cell r="AE476" t="str">
            <v>everyone</v>
          </cell>
        </row>
        <row r="477">
          <cell r="A477" t="str">
            <v>30031_1</v>
          </cell>
          <cell r="B477">
            <v>3</v>
          </cell>
          <cell r="C477">
            <v>30031</v>
          </cell>
          <cell r="D477" t="str">
            <v>力への羨望</v>
          </cell>
          <cell r="E477" t="str">
            <v>ドロップイベント10（マルチ専用）</v>
          </cell>
          <cell r="F477">
            <v>1</v>
          </cell>
          <cell r="G477" t="str">
            <v>ja</v>
          </cell>
          <cell r="H477" t="str">
            <v>【中級】力への羨望</v>
          </cell>
          <cell r="I477" t="str">
            <v>中級</v>
          </cell>
          <cell r="J477">
            <v>764</v>
          </cell>
          <cell r="K477">
            <v>15</v>
          </cell>
          <cell r="L477">
            <v>1200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20</v>
          </cell>
          <cell r="AD477">
            <v>6</v>
          </cell>
          <cell r="AE477" t="str">
            <v>everyone</v>
          </cell>
        </row>
        <row r="478">
          <cell r="A478" t="str">
            <v>30031_2</v>
          </cell>
          <cell r="B478">
            <v>3</v>
          </cell>
          <cell r="C478">
            <v>30031</v>
          </cell>
          <cell r="D478" t="str">
            <v>力への羨望</v>
          </cell>
          <cell r="E478" t="str">
            <v>ドロップイベント10（マルチ専用）</v>
          </cell>
          <cell r="F478">
            <v>2</v>
          </cell>
          <cell r="G478" t="str">
            <v>ja</v>
          </cell>
          <cell r="H478" t="str">
            <v>【上級】力への羨望</v>
          </cell>
          <cell r="I478" t="str">
            <v>上級</v>
          </cell>
          <cell r="J478">
            <v>764</v>
          </cell>
          <cell r="K478">
            <v>20</v>
          </cell>
          <cell r="L478">
            <v>2000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20</v>
          </cell>
          <cell r="AD478">
            <v>6</v>
          </cell>
          <cell r="AE478" t="str">
            <v>everyone</v>
          </cell>
        </row>
        <row r="479">
          <cell r="A479" t="str">
            <v>30031_3</v>
          </cell>
          <cell r="B479">
            <v>3</v>
          </cell>
          <cell r="C479">
            <v>30031</v>
          </cell>
          <cell r="D479" t="str">
            <v>力への羨望</v>
          </cell>
          <cell r="E479" t="str">
            <v>ドロップイベント10（マルチ専用）</v>
          </cell>
          <cell r="F479">
            <v>3</v>
          </cell>
          <cell r="G479" t="str">
            <v>ja</v>
          </cell>
          <cell r="H479" t="str">
            <v>【超級】力への羨望</v>
          </cell>
          <cell r="I479" t="str">
            <v>超級</v>
          </cell>
          <cell r="J479">
            <v>765</v>
          </cell>
          <cell r="K479">
            <v>30</v>
          </cell>
          <cell r="L479">
            <v>3300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20</v>
          </cell>
          <cell r="AD479">
            <v>6</v>
          </cell>
          <cell r="AE479" t="str">
            <v>everyone</v>
          </cell>
        </row>
        <row r="480">
          <cell r="A480" t="str">
            <v>30032_1</v>
          </cell>
          <cell r="B480">
            <v>3</v>
          </cell>
          <cell r="C480">
            <v>30032</v>
          </cell>
          <cell r="D480" t="str">
            <v>赤き竜の制裁</v>
          </cell>
          <cell r="E480" t="str">
            <v>円卓2（マルチ専用）</v>
          </cell>
          <cell r="F480">
            <v>1</v>
          </cell>
          <cell r="G480" t="str">
            <v>ja</v>
          </cell>
          <cell r="H480" t="str">
            <v>【中級】赤き竜の制裁</v>
          </cell>
          <cell r="I480" t="str">
            <v>中級</v>
          </cell>
          <cell r="J480">
            <v>767</v>
          </cell>
          <cell r="K480">
            <v>15</v>
          </cell>
          <cell r="L480">
            <v>1200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14</v>
          </cell>
          <cell r="AD480">
            <v>6</v>
          </cell>
          <cell r="AE480" t="str">
            <v>everyone</v>
          </cell>
        </row>
        <row r="481">
          <cell r="A481" t="str">
            <v>30032_2</v>
          </cell>
          <cell r="B481">
            <v>3</v>
          </cell>
          <cell r="C481">
            <v>30032</v>
          </cell>
          <cell r="D481" t="str">
            <v>赤き竜の制裁</v>
          </cell>
          <cell r="E481" t="str">
            <v>円卓2（マルチ専用）</v>
          </cell>
          <cell r="F481">
            <v>2</v>
          </cell>
          <cell r="G481" t="str">
            <v>ja</v>
          </cell>
          <cell r="H481" t="str">
            <v>【上級】赤き竜の制裁</v>
          </cell>
          <cell r="I481" t="str">
            <v>上級</v>
          </cell>
          <cell r="J481">
            <v>767</v>
          </cell>
          <cell r="K481">
            <v>20</v>
          </cell>
          <cell r="L481">
            <v>2000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14</v>
          </cell>
          <cell r="AD481">
            <v>6</v>
          </cell>
          <cell r="AE481" t="str">
            <v>everyone</v>
          </cell>
        </row>
        <row r="482">
          <cell r="A482" t="str">
            <v>30032_3</v>
          </cell>
          <cell r="B482">
            <v>3</v>
          </cell>
          <cell r="C482">
            <v>30032</v>
          </cell>
          <cell r="D482" t="str">
            <v>赤き竜の制裁</v>
          </cell>
          <cell r="E482" t="str">
            <v>円卓2（マルチ専用）</v>
          </cell>
          <cell r="F482">
            <v>3</v>
          </cell>
          <cell r="G482" t="str">
            <v>ja</v>
          </cell>
          <cell r="H482" t="str">
            <v>【超級】赤き竜の制裁</v>
          </cell>
          <cell r="I482" t="str">
            <v>超級</v>
          </cell>
          <cell r="J482">
            <v>767</v>
          </cell>
          <cell r="K482">
            <v>30</v>
          </cell>
          <cell r="L482">
            <v>3300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14</v>
          </cell>
          <cell r="AD482">
            <v>6</v>
          </cell>
          <cell r="AE482" t="str">
            <v>everyone</v>
          </cell>
        </row>
        <row r="483">
          <cell r="A483" t="str">
            <v>30033_1</v>
          </cell>
          <cell r="B483">
            <v>3</v>
          </cell>
          <cell r="C483">
            <v>30033</v>
          </cell>
          <cell r="D483" t="str">
            <v>御館様の懐刀</v>
          </cell>
          <cell r="E483" t="str">
            <v>戦国１</v>
          </cell>
          <cell r="F483">
            <v>1</v>
          </cell>
          <cell r="G483" t="str">
            <v>ja</v>
          </cell>
          <cell r="H483" t="str">
            <v>【中級】御館様の懐刀</v>
          </cell>
          <cell r="I483" t="str">
            <v>中級</v>
          </cell>
          <cell r="J483">
            <v>722</v>
          </cell>
          <cell r="K483">
            <v>15</v>
          </cell>
          <cell r="L483">
            <v>1200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</v>
          </cell>
          <cell r="AD483">
            <v>6</v>
          </cell>
          <cell r="AE483" t="str">
            <v>everyone</v>
          </cell>
        </row>
        <row r="484">
          <cell r="A484" t="str">
            <v>30033_2</v>
          </cell>
          <cell r="B484">
            <v>3</v>
          </cell>
          <cell r="C484">
            <v>30033</v>
          </cell>
          <cell r="D484" t="str">
            <v>御館様の懐刀</v>
          </cell>
          <cell r="E484" t="str">
            <v>戦国１</v>
          </cell>
          <cell r="F484">
            <v>2</v>
          </cell>
          <cell r="G484" t="str">
            <v>ja</v>
          </cell>
          <cell r="H484" t="str">
            <v>【上級】御館様の懐刀</v>
          </cell>
          <cell r="I484" t="str">
            <v>上級</v>
          </cell>
          <cell r="J484">
            <v>722</v>
          </cell>
          <cell r="K484">
            <v>20</v>
          </cell>
          <cell r="L484">
            <v>2000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</v>
          </cell>
          <cell r="AD484">
            <v>6</v>
          </cell>
          <cell r="AE484" t="str">
            <v>everyone</v>
          </cell>
        </row>
        <row r="485">
          <cell r="A485" t="str">
            <v>30033_3</v>
          </cell>
          <cell r="B485">
            <v>3</v>
          </cell>
          <cell r="C485">
            <v>30033</v>
          </cell>
          <cell r="D485" t="str">
            <v>御館様の懐刀</v>
          </cell>
          <cell r="E485" t="str">
            <v>戦国１</v>
          </cell>
          <cell r="F485">
            <v>3</v>
          </cell>
          <cell r="G485" t="str">
            <v>ja</v>
          </cell>
          <cell r="H485" t="str">
            <v>【超級】御館様の懐刀</v>
          </cell>
          <cell r="I485" t="str">
            <v>超級</v>
          </cell>
          <cell r="J485">
            <v>723</v>
          </cell>
          <cell r="K485">
            <v>30</v>
          </cell>
          <cell r="L485">
            <v>3300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</v>
          </cell>
          <cell r="AD485">
            <v>6</v>
          </cell>
          <cell r="AE485" t="str">
            <v>everyone</v>
          </cell>
        </row>
        <row r="486">
          <cell r="A486" t="str">
            <v>30034_1</v>
          </cell>
          <cell r="B486">
            <v>3</v>
          </cell>
          <cell r="C486">
            <v>30034</v>
          </cell>
          <cell r="D486" t="str">
            <v>孤高の焔翼</v>
          </cell>
          <cell r="E486" t="str">
            <v>天使と悪魔</v>
          </cell>
          <cell r="F486">
            <v>1</v>
          </cell>
          <cell r="G486" t="str">
            <v>ja</v>
          </cell>
          <cell r="H486" t="str">
            <v>【中級】孤高の焔翼</v>
          </cell>
          <cell r="I486" t="str">
            <v>中級</v>
          </cell>
          <cell r="J486">
            <v>840</v>
          </cell>
          <cell r="K486">
            <v>15</v>
          </cell>
          <cell r="L486">
            <v>1200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10</v>
          </cell>
          <cell r="AD486">
            <v>6</v>
          </cell>
          <cell r="AE486" t="str">
            <v>everyone</v>
          </cell>
        </row>
        <row r="487">
          <cell r="A487" t="str">
            <v>30034_2</v>
          </cell>
          <cell r="B487">
            <v>3</v>
          </cell>
          <cell r="C487">
            <v>30034</v>
          </cell>
          <cell r="D487" t="str">
            <v>孤高の焔翼</v>
          </cell>
          <cell r="E487" t="str">
            <v>天使と悪魔</v>
          </cell>
          <cell r="F487">
            <v>2</v>
          </cell>
          <cell r="G487" t="str">
            <v>ja</v>
          </cell>
          <cell r="H487" t="str">
            <v>【上級】孤高の焔翼</v>
          </cell>
          <cell r="I487" t="str">
            <v>上級</v>
          </cell>
          <cell r="J487">
            <v>840</v>
          </cell>
          <cell r="K487">
            <v>20</v>
          </cell>
          <cell r="L487">
            <v>2000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10</v>
          </cell>
          <cell r="AD487">
            <v>6</v>
          </cell>
          <cell r="AE487" t="str">
            <v>everyone</v>
          </cell>
        </row>
        <row r="488">
          <cell r="A488" t="str">
            <v>30034_3</v>
          </cell>
          <cell r="B488">
            <v>3</v>
          </cell>
          <cell r="C488">
            <v>30034</v>
          </cell>
          <cell r="D488" t="str">
            <v>孤高の焔翼</v>
          </cell>
          <cell r="E488" t="str">
            <v>天使と悪魔</v>
          </cell>
          <cell r="F488">
            <v>3</v>
          </cell>
          <cell r="G488" t="str">
            <v>ja</v>
          </cell>
          <cell r="H488" t="str">
            <v>【超級】孤高の焔翼</v>
          </cell>
          <cell r="I488" t="str">
            <v>超級</v>
          </cell>
          <cell r="J488">
            <v>841</v>
          </cell>
          <cell r="K488">
            <v>30</v>
          </cell>
          <cell r="L488">
            <v>3300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10</v>
          </cell>
          <cell r="AD488">
            <v>6</v>
          </cell>
          <cell r="AE488" t="str">
            <v>everyone</v>
          </cell>
        </row>
        <row r="489">
          <cell r="A489" t="str">
            <v>30035_1</v>
          </cell>
          <cell r="B489">
            <v>3</v>
          </cell>
          <cell r="C489">
            <v>30035</v>
          </cell>
          <cell r="D489" t="str">
            <v>大鯨の呼び声</v>
          </cell>
          <cell r="E489" t="str">
            <v>童話シリーズ3本目</v>
          </cell>
          <cell r="F489">
            <v>1</v>
          </cell>
          <cell r="G489" t="str">
            <v>ja</v>
          </cell>
          <cell r="H489" t="str">
            <v>【中級】大鯨の呼び声</v>
          </cell>
          <cell r="I489" t="str">
            <v>中級</v>
          </cell>
          <cell r="J489">
            <v>858</v>
          </cell>
          <cell r="K489">
            <v>15</v>
          </cell>
          <cell r="L489">
            <v>1200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5</v>
          </cell>
          <cell r="AD489">
            <v>6</v>
          </cell>
          <cell r="AE489" t="str">
            <v>everyone</v>
          </cell>
        </row>
        <row r="490">
          <cell r="A490" t="str">
            <v>30035_2</v>
          </cell>
          <cell r="B490">
            <v>3</v>
          </cell>
          <cell r="C490">
            <v>30035</v>
          </cell>
          <cell r="D490" t="str">
            <v>大鯨の呼び声</v>
          </cell>
          <cell r="E490" t="str">
            <v>童話シリーズ3本目</v>
          </cell>
          <cell r="F490">
            <v>2</v>
          </cell>
          <cell r="G490" t="str">
            <v>ja</v>
          </cell>
          <cell r="H490" t="str">
            <v>【上級】大鯨の呼び声</v>
          </cell>
          <cell r="I490" t="str">
            <v>上級</v>
          </cell>
          <cell r="J490">
            <v>858</v>
          </cell>
          <cell r="K490">
            <v>20</v>
          </cell>
          <cell r="L490">
            <v>2000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5</v>
          </cell>
          <cell r="AD490">
            <v>6</v>
          </cell>
          <cell r="AE490" t="str">
            <v>everyone</v>
          </cell>
        </row>
        <row r="491">
          <cell r="A491" t="str">
            <v>30035_3</v>
          </cell>
          <cell r="B491">
            <v>3</v>
          </cell>
          <cell r="C491">
            <v>30035</v>
          </cell>
          <cell r="D491" t="str">
            <v>大鯨の呼び声</v>
          </cell>
          <cell r="E491" t="str">
            <v>童話シリーズ3本目</v>
          </cell>
          <cell r="F491">
            <v>3</v>
          </cell>
          <cell r="G491" t="str">
            <v>ja</v>
          </cell>
          <cell r="H491" t="str">
            <v>【超級】大鯨の呼び声</v>
          </cell>
          <cell r="I491" t="str">
            <v>超級</v>
          </cell>
          <cell r="J491">
            <v>859</v>
          </cell>
          <cell r="K491">
            <v>30</v>
          </cell>
          <cell r="L491">
            <v>3300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5</v>
          </cell>
          <cell r="AD491">
            <v>6</v>
          </cell>
          <cell r="AE491" t="str">
            <v>everyone</v>
          </cell>
        </row>
        <row r="492">
          <cell r="A492" t="str">
            <v>30036_1</v>
          </cell>
          <cell r="B492">
            <v>1</v>
          </cell>
          <cell r="C492">
            <v>30036</v>
          </cell>
          <cell r="D492" t="str">
            <v>オルトロス(仮)</v>
          </cell>
          <cell r="E492" t="str">
            <v>ギリシャ神話シリーズ超級</v>
          </cell>
          <cell r="F492">
            <v>1</v>
          </cell>
          <cell r="G492" t="str">
            <v>ja</v>
          </cell>
          <cell r="H492" t="str">
            <v>【中級】オルトロス</v>
          </cell>
          <cell r="I492" t="str">
            <v>中級</v>
          </cell>
          <cell r="J492">
            <v>858</v>
          </cell>
          <cell r="K492">
            <v>15</v>
          </cell>
          <cell r="L492">
            <v>1200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13</v>
          </cell>
          <cell r="AD492">
            <v>6</v>
          </cell>
          <cell r="AE492" t="str">
            <v>everyone</v>
          </cell>
        </row>
        <row r="493">
          <cell r="A493" t="str">
            <v>30036_2</v>
          </cell>
          <cell r="B493">
            <v>1</v>
          </cell>
          <cell r="C493">
            <v>30036</v>
          </cell>
          <cell r="D493" t="str">
            <v>オルトロス(仮)</v>
          </cell>
          <cell r="E493" t="str">
            <v>ギリシャ神話シリーズ超級</v>
          </cell>
          <cell r="F493">
            <v>2</v>
          </cell>
          <cell r="G493" t="str">
            <v>ja</v>
          </cell>
          <cell r="H493" t="str">
            <v>【上級】オルトロス</v>
          </cell>
          <cell r="I493" t="str">
            <v>上級</v>
          </cell>
          <cell r="J493">
            <v>858</v>
          </cell>
          <cell r="K493">
            <v>20</v>
          </cell>
          <cell r="L493">
            <v>2000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13</v>
          </cell>
          <cell r="AD493">
            <v>6</v>
          </cell>
          <cell r="AE493" t="str">
            <v>everyone</v>
          </cell>
        </row>
        <row r="494">
          <cell r="A494" t="str">
            <v>30036_3</v>
          </cell>
          <cell r="B494">
            <v>1</v>
          </cell>
          <cell r="C494">
            <v>30036</v>
          </cell>
          <cell r="D494" t="str">
            <v>オルトロス(仮)</v>
          </cell>
          <cell r="E494" t="str">
            <v>ギリシャ神話シリーズ超級</v>
          </cell>
          <cell r="F494">
            <v>3</v>
          </cell>
          <cell r="G494" t="str">
            <v>ja</v>
          </cell>
          <cell r="H494" t="str">
            <v>【超級】オルトロス</v>
          </cell>
          <cell r="I494" t="str">
            <v>超級</v>
          </cell>
          <cell r="J494">
            <v>859</v>
          </cell>
          <cell r="K494">
            <v>30</v>
          </cell>
          <cell r="L494">
            <v>3300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13</v>
          </cell>
          <cell r="AD494">
            <v>6</v>
          </cell>
          <cell r="AE494" t="str">
            <v>everyone</v>
          </cell>
        </row>
        <row r="495">
          <cell r="A495" t="str">
            <v>39001_1</v>
          </cell>
          <cell r="B495">
            <v>3</v>
          </cell>
          <cell r="C495">
            <v>39001</v>
          </cell>
          <cell r="D495" t="str">
            <v>雪の歌姫</v>
          </cell>
          <cell r="E495" t="str">
            <v>コラボクエスト</v>
          </cell>
          <cell r="F495">
            <v>1</v>
          </cell>
          <cell r="G495" t="str">
            <v>ja</v>
          </cell>
          <cell r="H495" t="str">
            <v>【初級】雪の歌姫</v>
          </cell>
          <cell r="I495" t="str">
            <v>初級</v>
          </cell>
          <cell r="J495">
            <v>525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909</v>
          </cell>
          <cell r="AD495">
            <v>6</v>
          </cell>
          <cell r="AE495" t="str">
            <v>everyone</v>
          </cell>
        </row>
        <row r="496">
          <cell r="A496" t="str">
            <v>39001_2</v>
          </cell>
          <cell r="B496">
            <v>3</v>
          </cell>
          <cell r="C496">
            <v>39001</v>
          </cell>
          <cell r="D496" t="str">
            <v>雪の歌姫</v>
          </cell>
          <cell r="E496" t="str">
            <v>コラボクエスト</v>
          </cell>
          <cell r="F496">
            <v>2</v>
          </cell>
          <cell r="G496" t="str">
            <v>ja</v>
          </cell>
          <cell r="H496" t="str">
            <v>【中級】雪の歌姫</v>
          </cell>
          <cell r="I496" t="str">
            <v>中級</v>
          </cell>
          <cell r="J496">
            <v>525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909</v>
          </cell>
          <cell r="AD496">
            <v>6</v>
          </cell>
          <cell r="AE496" t="str">
            <v>everyone</v>
          </cell>
        </row>
        <row r="497">
          <cell r="A497" t="str">
            <v>39001_3</v>
          </cell>
          <cell r="B497">
            <v>3</v>
          </cell>
          <cell r="C497">
            <v>39001</v>
          </cell>
          <cell r="D497" t="str">
            <v>雪の歌姫</v>
          </cell>
          <cell r="E497" t="str">
            <v>コラボクエスト</v>
          </cell>
          <cell r="F497">
            <v>3</v>
          </cell>
          <cell r="G497" t="str">
            <v>ja</v>
          </cell>
          <cell r="H497" t="str">
            <v>【上級】雪の歌姫</v>
          </cell>
          <cell r="I497" t="str">
            <v>上級</v>
          </cell>
          <cell r="J497">
            <v>525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909</v>
          </cell>
          <cell r="AD497">
            <v>6</v>
          </cell>
          <cell r="AE497" t="str">
            <v>everyone</v>
          </cell>
        </row>
        <row r="498">
          <cell r="A498" t="str">
            <v>39001_4</v>
          </cell>
          <cell r="B498">
            <v>3</v>
          </cell>
          <cell r="C498">
            <v>39001</v>
          </cell>
          <cell r="D498" t="str">
            <v>雪の歌姫</v>
          </cell>
          <cell r="E498" t="str">
            <v>コラボクエスト</v>
          </cell>
          <cell r="F498">
            <v>4</v>
          </cell>
          <cell r="G498" t="str">
            <v>ja</v>
          </cell>
          <cell r="H498" t="str">
            <v>【超級】雪の歌姫</v>
          </cell>
          <cell r="I498" t="str">
            <v>超級</v>
          </cell>
          <cell r="J498">
            <v>526</v>
          </cell>
          <cell r="K498">
            <v>30</v>
          </cell>
          <cell r="L498">
            <v>3300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909</v>
          </cell>
          <cell r="AD498">
            <v>6</v>
          </cell>
          <cell r="AE498" t="str">
            <v>everyone</v>
          </cell>
        </row>
        <row r="499">
          <cell r="A499" t="str">
            <v>39001_5</v>
          </cell>
          <cell r="B499">
            <v>3</v>
          </cell>
          <cell r="C499">
            <v>39001</v>
          </cell>
          <cell r="D499" t="str">
            <v>雪の歌姫</v>
          </cell>
          <cell r="E499" t="str">
            <v>コラボクエスト</v>
          </cell>
          <cell r="F499">
            <v>5</v>
          </cell>
          <cell r="G499" t="str">
            <v>ja</v>
          </cell>
          <cell r="H499" t="str">
            <v>【超絶級】雪の歌姫</v>
          </cell>
          <cell r="I499" t="str">
            <v>超絶級</v>
          </cell>
          <cell r="J499">
            <v>526</v>
          </cell>
          <cell r="K499">
            <v>35</v>
          </cell>
          <cell r="L499">
            <v>4200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polygon</v>
          </cell>
          <cell r="T499">
            <v>1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909</v>
          </cell>
          <cell r="AD499">
            <v>6</v>
          </cell>
          <cell r="AE499" t="str">
            <v>everyone</v>
          </cell>
        </row>
        <row r="500">
          <cell r="A500" t="str">
            <v>39002_1</v>
          </cell>
          <cell r="B500">
            <v>3</v>
          </cell>
          <cell r="C500">
            <v>39002</v>
          </cell>
          <cell r="D500" t="str">
            <v>黄巾賊の暴走を止めろ！</v>
          </cell>
          <cell r="E500" t="str">
            <v>コラボクエスト</v>
          </cell>
          <cell r="F500">
            <v>1</v>
          </cell>
          <cell r="G500" t="str">
            <v>ja</v>
          </cell>
          <cell r="H500" t="str">
            <v>【初級】黄巾賊の暴走を止めろ</v>
          </cell>
          <cell r="I500" t="str">
            <v>初級</v>
          </cell>
          <cell r="J500">
            <v>694</v>
          </cell>
          <cell r="K500">
            <v>8</v>
          </cell>
          <cell r="L500">
            <v>384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12</v>
          </cell>
          <cell r="AD500">
            <v>6</v>
          </cell>
          <cell r="AE500" t="str">
            <v>everyone</v>
          </cell>
        </row>
        <row r="501">
          <cell r="A501" t="str">
            <v>39002_2</v>
          </cell>
          <cell r="B501">
            <v>3</v>
          </cell>
          <cell r="C501">
            <v>39002</v>
          </cell>
          <cell r="D501" t="str">
            <v>黄巾賊の暴走を止めろ！</v>
          </cell>
          <cell r="E501" t="str">
            <v>コラボクエスト</v>
          </cell>
          <cell r="F501">
            <v>2</v>
          </cell>
          <cell r="G501" t="str">
            <v>ja</v>
          </cell>
          <cell r="H501" t="str">
            <v>【中級】黄巾賊の暴走を止めろ</v>
          </cell>
          <cell r="I501" t="str">
            <v>中級</v>
          </cell>
          <cell r="J501">
            <v>694</v>
          </cell>
          <cell r="K501">
            <v>15</v>
          </cell>
          <cell r="L501">
            <v>1200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12</v>
          </cell>
          <cell r="AD501">
            <v>6</v>
          </cell>
          <cell r="AE501" t="str">
            <v>everyone</v>
          </cell>
        </row>
        <row r="502">
          <cell r="A502" t="str">
            <v>39002_3</v>
          </cell>
          <cell r="B502">
            <v>3</v>
          </cell>
          <cell r="C502">
            <v>39002</v>
          </cell>
          <cell r="D502" t="str">
            <v>黄巾賊の暴走を止めろ！</v>
          </cell>
          <cell r="E502" t="str">
            <v>コラボクエスト</v>
          </cell>
          <cell r="F502">
            <v>3</v>
          </cell>
          <cell r="G502" t="str">
            <v>ja</v>
          </cell>
          <cell r="H502" t="str">
            <v>【上級】黄巾賊の暴走を止めろ</v>
          </cell>
          <cell r="I502" t="str">
            <v>上級</v>
          </cell>
          <cell r="J502">
            <v>694</v>
          </cell>
          <cell r="K502">
            <v>20</v>
          </cell>
          <cell r="L502">
            <v>2000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12</v>
          </cell>
          <cell r="AD502">
            <v>6</v>
          </cell>
          <cell r="AE502" t="str">
            <v>everyone</v>
          </cell>
        </row>
        <row r="503">
          <cell r="A503" t="str">
            <v>39002_4</v>
          </cell>
          <cell r="B503">
            <v>3</v>
          </cell>
          <cell r="C503">
            <v>39002</v>
          </cell>
          <cell r="D503" t="str">
            <v>黄巾賊の暴走を止めろ！</v>
          </cell>
          <cell r="E503" t="str">
            <v>コラボクエスト</v>
          </cell>
          <cell r="F503">
            <v>4</v>
          </cell>
          <cell r="G503" t="str">
            <v>ja</v>
          </cell>
          <cell r="H503" t="str">
            <v>【超級】黄巾賊の暴走を止めろ</v>
          </cell>
          <cell r="I503" t="str">
            <v>超級</v>
          </cell>
          <cell r="J503">
            <v>694</v>
          </cell>
          <cell r="K503">
            <v>30</v>
          </cell>
          <cell r="L503">
            <v>3300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12</v>
          </cell>
          <cell r="AD503">
            <v>6</v>
          </cell>
          <cell r="AE503" t="str">
            <v>everyone</v>
          </cell>
        </row>
        <row r="504">
          <cell r="A504" t="str">
            <v>39003_1</v>
          </cell>
          <cell r="B504">
            <v>3</v>
          </cell>
          <cell r="C504">
            <v>39003</v>
          </cell>
          <cell r="D504" t="str">
            <v>ブルースクウェアを追え！</v>
          </cell>
          <cell r="E504" t="str">
            <v>コラボクエスト</v>
          </cell>
          <cell r="F504">
            <v>1</v>
          </cell>
          <cell r="G504" t="str">
            <v>ja</v>
          </cell>
          <cell r="H504" t="str">
            <v>【初級】ブルースクウェアを追え！</v>
          </cell>
          <cell r="I504" t="str">
            <v>初級</v>
          </cell>
          <cell r="J504">
            <v>691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14</v>
          </cell>
          <cell r="AD504">
            <v>6</v>
          </cell>
          <cell r="AE504" t="str">
            <v>everyone</v>
          </cell>
        </row>
        <row r="505">
          <cell r="A505" t="str">
            <v>39003_2</v>
          </cell>
          <cell r="B505">
            <v>3</v>
          </cell>
          <cell r="C505">
            <v>39003</v>
          </cell>
          <cell r="D505" t="str">
            <v>ブルースクウェアを追え！</v>
          </cell>
          <cell r="E505" t="str">
            <v>コラボクエスト</v>
          </cell>
          <cell r="F505">
            <v>2</v>
          </cell>
          <cell r="G505" t="str">
            <v>ja</v>
          </cell>
          <cell r="H505" t="str">
            <v>【中級】ブルースクウェアを追え！</v>
          </cell>
          <cell r="I505" t="str">
            <v>中級</v>
          </cell>
          <cell r="J505">
            <v>691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14</v>
          </cell>
          <cell r="AD505">
            <v>6</v>
          </cell>
          <cell r="AE505" t="str">
            <v>everyone</v>
          </cell>
        </row>
        <row r="506">
          <cell r="A506" t="str">
            <v>39003_3</v>
          </cell>
          <cell r="B506">
            <v>3</v>
          </cell>
          <cell r="C506">
            <v>39003</v>
          </cell>
          <cell r="D506" t="str">
            <v>ブルースクウェアを追え！</v>
          </cell>
          <cell r="E506" t="str">
            <v>コラボクエスト</v>
          </cell>
          <cell r="F506">
            <v>3</v>
          </cell>
          <cell r="G506" t="str">
            <v>ja</v>
          </cell>
          <cell r="H506" t="str">
            <v>【上級】ブルースクウェアを追え！</v>
          </cell>
          <cell r="I506" t="str">
            <v>上級</v>
          </cell>
          <cell r="J506">
            <v>691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14</v>
          </cell>
          <cell r="AD506">
            <v>6</v>
          </cell>
          <cell r="AE506" t="str">
            <v>everyone</v>
          </cell>
        </row>
        <row r="507">
          <cell r="A507" t="str">
            <v>39003_4</v>
          </cell>
          <cell r="B507">
            <v>3</v>
          </cell>
          <cell r="C507">
            <v>39003</v>
          </cell>
          <cell r="D507" t="str">
            <v>ブルースクウェアを追え！</v>
          </cell>
          <cell r="E507" t="str">
            <v>コラボクエスト</v>
          </cell>
          <cell r="F507">
            <v>4</v>
          </cell>
          <cell r="G507" t="str">
            <v>ja</v>
          </cell>
          <cell r="H507" t="str">
            <v>【超級】ブルースクウェアを追え！</v>
          </cell>
          <cell r="I507" t="str">
            <v>超級</v>
          </cell>
          <cell r="J507">
            <v>691</v>
          </cell>
          <cell r="K507">
            <v>30</v>
          </cell>
          <cell r="L507">
            <v>3300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polygon</v>
          </cell>
          <cell r="T507">
            <v>1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14</v>
          </cell>
          <cell r="AD507">
            <v>6</v>
          </cell>
          <cell r="AE507" t="str">
            <v>everyone</v>
          </cell>
        </row>
        <row r="508">
          <cell r="A508" t="str">
            <v>39004_1</v>
          </cell>
          <cell r="B508">
            <v>1</v>
          </cell>
          <cell r="C508">
            <v>39004</v>
          </cell>
          <cell r="D508" t="str">
            <v xml:space="preserve">ニムダのおきにいり♪ </v>
          </cell>
          <cell r="E508" t="str">
            <v>コラボクエスト</v>
          </cell>
          <cell r="F508">
            <v>1</v>
          </cell>
          <cell r="G508" t="str">
            <v>ja</v>
          </cell>
          <cell r="H508" t="str">
            <v xml:space="preserve">【初級】ニムダのおきにいり♪ </v>
          </cell>
          <cell r="I508" t="str">
            <v>初級</v>
          </cell>
          <cell r="J508">
            <v>902</v>
          </cell>
          <cell r="K508">
            <v>8</v>
          </cell>
          <cell r="L508">
            <v>384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935</v>
          </cell>
          <cell r="AD508">
            <v>6</v>
          </cell>
          <cell r="AE508" t="str">
            <v>everyone</v>
          </cell>
        </row>
        <row r="509">
          <cell r="A509" t="str">
            <v>39004_2</v>
          </cell>
          <cell r="B509">
            <v>1</v>
          </cell>
          <cell r="C509">
            <v>39004</v>
          </cell>
          <cell r="D509" t="str">
            <v xml:space="preserve">ニムダのおきにいり♪ </v>
          </cell>
          <cell r="E509" t="str">
            <v>コラボクエスト</v>
          </cell>
          <cell r="F509">
            <v>2</v>
          </cell>
          <cell r="G509" t="str">
            <v>ja</v>
          </cell>
          <cell r="H509" t="str">
            <v xml:space="preserve">【中級】ニムダのおきにいり♪ </v>
          </cell>
          <cell r="I509" t="str">
            <v>中級</v>
          </cell>
          <cell r="J509">
            <v>902</v>
          </cell>
          <cell r="K509">
            <v>15</v>
          </cell>
          <cell r="L509">
            <v>1200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935</v>
          </cell>
          <cell r="AD509">
            <v>6</v>
          </cell>
          <cell r="AE509" t="str">
            <v>everyone</v>
          </cell>
        </row>
        <row r="510">
          <cell r="A510" t="str">
            <v>39004_3</v>
          </cell>
          <cell r="B510">
            <v>1</v>
          </cell>
          <cell r="C510">
            <v>39004</v>
          </cell>
          <cell r="D510" t="str">
            <v xml:space="preserve">ニムダのおきにいり♪ </v>
          </cell>
          <cell r="E510" t="str">
            <v>コラボクエスト</v>
          </cell>
          <cell r="F510">
            <v>3</v>
          </cell>
          <cell r="G510" t="str">
            <v>ja</v>
          </cell>
          <cell r="H510" t="str">
            <v xml:space="preserve">【上級】ニムダのおきにいり♪ </v>
          </cell>
          <cell r="I510" t="str">
            <v>上級</v>
          </cell>
          <cell r="J510">
            <v>902</v>
          </cell>
          <cell r="K510">
            <v>20</v>
          </cell>
          <cell r="L510">
            <v>2000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935</v>
          </cell>
          <cell r="AD510">
            <v>6</v>
          </cell>
          <cell r="AE510" t="str">
            <v>everyone</v>
          </cell>
        </row>
        <row r="511">
          <cell r="A511" t="str">
            <v>39004_4</v>
          </cell>
          <cell r="B511">
            <v>1</v>
          </cell>
          <cell r="C511">
            <v>39004</v>
          </cell>
          <cell r="D511" t="str">
            <v xml:space="preserve">ニムダのおきにいり♪ </v>
          </cell>
          <cell r="E511" t="str">
            <v>コラボクエスト</v>
          </cell>
          <cell r="F511">
            <v>4</v>
          </cell>
          <cell r="G511" t="str">
            <v>ja</v>
          </cell>
          <cell r="H511" t="str">
            <v xml:space="preserve">【超級】ニムダのおきにいり♪ </v>
          </cell>
          <cell r="I511" t="str">
            <v>超級</v>
          </cell>
          <cell r="J511">
            <v>902</v>
          </cell>
          <cell r="K511">
            <v>30</v>
          </cell>
          <cell r="L511">
            <v>3300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polygon</v>
          </cell>
          <cell r="T511">
            <v>1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935</v>
          </cell>
          <cell r="AD511">
            <v>6</v>
          </cell>
          <cell r="AE511" t="str">
            <v>everyone</v>
          </cell>
        </row>
        <row r="512">
          <cell r="A512" t="str">
            <v>39005_1</v>
          </cell>
          <cell r="B512">
            <v>1</v>
          </cell>
          <cell r="C512">
            <v>39005</v>
          </cell>
          <cell r="D512" t="str">
            <v xml:space="preserve">ポ </v>
          </cell>
          <cell r="E512" t="str">
            <v>コラボクエスト</v>
          </cell>
          <cell r="F512">
            <v>1</v>
          </cell>
          <cell r="G512" t="str">
            <v>ja</v>
          </cell>
          <cell r="H512" t="str">
            <v>【初級】ポ</v>
          </cell>
          <cell r="I512" t="str">
            <v>初級</v>
          </cell>
          <cell r="J512">
            <v>8029</v>
          </cell>
          <cell r="K512">
            <v>8</v>
          </cell>
          <cell r="L512">
            <v>384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909</v>
          </cell>
          <cell r="AD512">
            <v>6</v>
          </cell>
          <cell r="AE512" t="str">
            <v>everyone</v>
          </cell>
        </row>
        <row r="513">
          <cell r="A513" t="str">
            <v>39005_2</v>
          </cell>
          <cell r="B513">
            <v>1</v>
          </cell>
          <cell r="C513">
            <v>39005</v>
          </cell>
          <cell r="D513" t="str">
            <v xml:space="preserve">ポ </v>
          </cell>
          <cell r="E513" t="str">
            <v>コラボクエスト</v>
          </cell>
          <cell r="F513">
            <v>2</v>
          </cell>
          <cell r="G513" t="str">
            <v>ja</v>
          </cell>
          <cell r="H513" t="str">
            <v>【中級】ポ</v>
          </cell>
          <cell r="I513" t="str">
            <v>中級</v>
          </cell>
          <cell r="J513">
            <v>8029</v>
          </cell>
          <cell r="K513">
            <v>15</v>
          </cell>
          <cell r="L513">
            <v>1200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909</v>
          </cell>
          <cell r="AD513">
            <v>6</v>
          </cell>
          <cell r="AE513" t="str">
            <v>everyone</v>
          </cell>
        </row>
        <row r="514">
          <cell r="A514" t="str">
            <v>39005_3</v>
          </cell>
          <cell r="B514">
            <v>1</v>
          </cell>
          <cell r="C514">
            <v>39005</v>
          </cell>
          <cell r="D514" t="str">
            <v xml:space="preserve">ポ </v>
          </cell>
          <cell r="E514" t="str">
            <v>コラボクエスト</v>
          </cell>
          <cell r="F514">
            <v>3</v>
          </cell>
          <cell r="G514" t="str">
            <v>ja</v>
          </cell>
          <cell r="H514" t="str">
            <v>【上級】ポ</v>
          </cell>
          <cell r="I514" t="str">
            <v>上級</v>
          </cell>
          <cell r="J514">
            <v>8029</v>
          </cell>
          <cell r="K514">
            <v>20</v>
          </cell>
          <cell r="L514">
            <v>2000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909</v>
          </cell>
          <cell r="AD514">
            <v>6</v>
          </cell>
          <cell r="AE514" t="str">
            <v>everyone</v>
          </cell>
        </row>
        <row r="515">
          <cell r="A515" t="str">
            <v>39005_4</v>
          </cell>
          <cell r="B515">
            <v>1</v>
          </cell>
          <cell r="C515">
            <v>39005</v>
          </cell>
          <cell r="D515" t="str">
            <v xml:space="preserve">ポ </v>
          </cell>
          <cell r="E515" t="str">
            <v>コラボクエスト</v>
          </cell>
          <cell r="F515">
            <v>4</v>
          </cell>
          <cell r="G515" t="str">
            <v>ja</v>
          </cell>
          <cell r="H515" t="str">
            <v>【超級】ポ</v>
          </cell>
          <cell r="I515" t="str">
            <v>超級</v>
          </cell>
          <cell r="J515">
            <v>8029</v>
          </cell>
          <cell r="K515">
            <v>30</v>
          </cell>
          <cell r="L515">
            <v>3300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909</v>
          </cell>
          <cell r="AD515">
            <v>6</v>
          </cell>
          <cell r="AE515" t="str">
            <v>everyone</v>
          </cell>
        </row>
        <row r="516">
          <cell r="A516" t="str">
            <v>39005_5</v>
          </cell>
          <cell r="B516">
            <v>1</v>
          </cell>
          <cell r="C516">
            <v>39005</v>
          </cell>
          <cell r="D516" t="str">
            <v xml:space="preserve">ポ </v>
          </cell>
          <cell r="E516" t="str">
            <v>コラボクエスト</v>
          </cell>
          <cell r="F516">
            <v>5</v>
          </cell>
          <cell r="G516" t="str">
            <v>ja</v>
          </cell>
          <cell r="H516" t="str">
            <v>【超絶級】ポ</v>
          </cell>
          <cell r="I516" t="str">
            <v>超絶級</v>
          </cell>
          <cell r="J516">
            <v>8030</v>
          </cell>
          <cell r="K516">
            <v>35</v>
          </cell>
          <cell r="L516">
            <v>4200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polygon</v>
          </cell>
          <cell r="T516">
            <v>1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909</v>
          </cell>
          <cell r="AD516">
            <v>6</v>
          </cell>
          <cell r="AE516" t="str">
            <v>everyone</v>
          </cell>
        </row>
        <row r="517">
          <cell r="A517" t="str">
            <v>40001_1</v>
          </cell>
          <cell r="B517">
            <v>0</v>
          </cell>
          <cell r="C517">
            <v>40001</v>
          </cell>
          <cell r="D517" t="str">
            <v>アマテラス襲来！</v>
          </cell>
          <cell r="E517" t="str">
            <v>降臨1</v>
          </cell>
          <cell r="F517">
            <v>1</v>
          </cell>
          <cell r="G517" t="str">
            <v>ja</v>
          </cell>
          <cell r="H517" t="str">
            <v xml:space="preserve">【ウィザード級】アマテラス襲来 </v>
          </cell>
          <cell r="I517" t="str">
            <v>地獄級</v>
          </cell>
          <cell r="J517">
            <v>278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901</v>
          </cell>
          <cell r="AD517">
            <v>6</v>
          </cell>
          <cell r="AE517" t="str">
            <v>everyone</v>
          </cell>
        </row>
        <row r="518">
          <cell r="A518" t="str">
            <v>40002_1</v>
          </cell>
          <cell r="B518">
            <v>0</v>
          </cell>
          <cell r="C518">
            <v>40002</v>
          </cell>
          <cell r="D518" t="str">
            <v>アザゼル襲来！</v>
          </cell>
          <cell r="E518" t="str">
            <v>降臨2</v>
          </cell>
          <cell r="F518">
            <v>1</v>
          </cell>
          <cell r="G518" t="str">
            <v>ja</v>
          </cell>
          <cell r="H518" t="str">
            <v xml:space="preserve">【超級】アザゼル襲来 </v>
          </cell>
          <cell r="I518" t="str">
            <v>超級</v>
          </cell>
          <cell r="J518">
            <v>296</v>
          </cell>
          <cell r="K518">
            <v>25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902</v>
          </cell>
          <cell r="AD518">
            <v>6</v>
          </cell>
          <cell r="AE518" t="str">
            <v>everyone</v>
          </cell>
        </row>
        <row r="519">
          <cell r="A519" t="str">
            <v>40002_2</v>
          </cell>
          <cell r="B519">
            <v>0</v>
          </cell>
          <cell r="C519">
            <v>40002</v>
          </cell>
          <cell r="D519" t="str">
            <v>アザゼル襲来！</v>
          </cell>
          <cell r="E519" t="str">
            <v>降臨2</v>
          </cell>
          <cell r="F519">
            <v>2</v>
          </cell>
          <cell r="G519" t="str">
            <v>ja</v>
          </cell>
          <cell r="H519" t="str">
            <v>【超絶級】アザゼル襲来</v>
          </cell>
          <cell r="I519" t="str">
            <v>超絶級</v>
          </cell>
          <cell r="J519">
            <v>297</v>
          </cell>
          <cell r="K519">
            <v>30</v>
          </cell>
          <cell r="L519">
            <v>3300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902</v>
          </cell>
          <cell r="AD519">
            <v>6</v>
          </cell>
          <cell r="AE519" t="str">
            <v>everyone</v>
          </cell>
        </row>
        <row r="520">
          <cell r="A520" t="str">
            <v>40002_3</v>
          </cell>
          <cell r="B520">
            <v>0</v>
          </cell>
          <cell r="C520">
            <v>40002</v>
          </cell>
          <cell r="D520" t="str">
            <v>アザゼル襲来！</v>
          </cell>
          <cell r="E520" t="str">
            <v>降臨2</v>
          </cell>
          <cell r="F520">
            <v>3</v>
          </cell>
          <cell r="G520" t="str">
            <v>ja</v>
          </cell>
          <cell r="H520" t="str">
            <v xml:space="preserve">【ウィザード級】アザゼル襲来 </v>
          </cell>
          <cell r="I520" t="str">
            <v>地獄級</v>
          </cell>
          <cell r="J520">
            <v>297</v>
          </cell>
          <cell r="K520">
            <v>35</v>
          </cell>
          <cell r="L520">
            <v>4200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character</v>
          </cell>
          <cell r="T520">
            <v>296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902</v>
          </cell>
          <cell r="AD520">
            <v>6</v>
          </cell>
          <cell r="AE520" t="str">
            <v>everyone</v>
          </cell>
        </row>
        <row r="521">
          <cell r="A521" t="str">
            <v>40003_1</v>
          </cell>
          <cell r="B521">
            <v>0</v>
          </cell>
          <cell r="C521">
            <v>40003</v>
          </cell>
          <cell r="D521" t="str">
            <v>ジャンヌ襲来！</v>
          </cell>
          <cell r="E521" t="str">
            <v>降臨3</v>
          </cell>
          <cell r="F521">
            <v>1</v>
          </cell>
          <cell r="G521" t="str">
            <v>ja</v>
          </cell>
          <cell r="H521" t="str">
            <v xml:space="preserve">【ウィザード級】ジャンヌ襲来 </v>
          </cell>
          <cell r="I521" t="str">
            <v>地獄級</v>
          </cell>
          <cell r="J521">
            <v>315</v>
          </cell>
          <cell r="K521">
            <v>35</v>
          </cell>
          <cell r="L521">
            <v>4200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character</v>
          </cell>
          <cell r="T521">
            <v>314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903</v>
          </cell>
          <cell r="AD521">
            <v>6</v>
          </cell>
          <cell r="AE521" t="str">
            <v>everyone</v>
          </cell>
        </row>
        <row r="522">
          <cell r="A522" t="str">
            <v>40004_1</v>
          </cell>
          <cell r="B522">
            <v>0</v>
          </cell>
          <cell r="C522">
            <v>40004</v>
          </cell>
          <cell r="D522" t="str">
            <v>宮本武蔵襲来！</v>
          </cell>
          <cell r="E522" t="str">
            <v>降臨4</v>
          </cell>
          <cell r="F522">
            <v>1</v>
          </cell>
          <cell r="G522" t="str">
            <v>ja</v>
          </cell>
          <cell r="H522" t="str">
            <v xml:space="preserve">【ウィザード級】宮本武蔵襲来 </v>
          </cell>
          <cell r="I522" t="str">
            <v>地獄級</v>
          </cell>
          <cell r="J522">
            <v>427</v>
          </cell>
          <cell r="K522">
            <v>35</v>
          </cell>
          <cell r="L522">
            <v>4200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character</v>
          </cell>
          <cell r="T522">
            <v>426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904</v>
          </cell>
          <cell r="AD522">
            <v>6</v>
          </cell>
          <cell r="AE522" t="str">
            <v>everyone</v>
          </cell>
        </row>
        <row r="523">
          <cell r="A523" t="str">
            <v>40005_1</v>
          </cell>
          <cell r="B523">
            <v>3</v>
          </cell>
          <cell r="C523">
            <v>40005</v>
          </cell>
          <cell r="D523" t="str">
            <v>オズ襲来！</v>
          </cell>
          <cell r="E523" t="str">
            <v>降臨5</v>
          </cell>
          <cell r="F523">
            <v>1</v>
          </cell>
          <cell r="G523" t="str">
            <v>ja</v>
          </cell>
          <cell r="H523" t="str">
            <v xml:space="preserve">【ウィザード級】オズ襲来 </v>
          </cell>
          <cell r="I523" t="str">
            <v>地獄級</v>
          </cell>
          <cell r="J523">
            <v>461</v>
          </cell>
          <cell r="K523">
            <v>35</v>
          </cell>
          <cell r="L523">
            <v>4200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character</v>
          </cell>
          <cell r="T523">
            <v>460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906</v>
          </cell>
          <cell r="AD523">
            <v>6</v>
          </cell>
          <cell r="AE523" t="str">
            <v>everyone</v>
          </cell>
        </row>
        <row r="524">
          <cell r="A524" t="str">
            <v>40006_1</v>
          </cell>
          <cell r="B524">
            <v>3</v>
          </cell>
          <cell r="C524">
            <v>40006</v>
          </cell>
          <cell r="D524" t="str">
            <v>アーサー襲来！</v>
          </cell>
          <cell r="E524" t="str">
            <v>降臨6</v>
          </cell>
          <cell r="F524">
            <v>1</v>
          </cell>
          <cell r="G524" t="str">
            <v>ja</v>
          </cell>
          <cell r="H524" t="str">
            <v xml:space="preserve">【ウィザード級】アーサー襲来 </v>
          </cell>
          <cell r="I524" t="str">
            <v>地獄級</v>
          </cell>
          <cell r="J524">
            <v>473</v>
          </cell>
          <cell r="K524">
            <v>35</v>
          </cell>
          <cell r="L524">
            <v>4200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character</v>
          </cell>
          <cell r="T524">
            <v>472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907</v>
          </cell>
          <cell r="AD524">
            <v>6</v>
          </cell>
          <cell r="AE524" t="str">
            <v>everyone</v>
          </cell>
        </row>
        <row r="525">
          <cell r="A525" t="str">
            <v>40007_1</v>
          </cell>
          <cell r="B525">
            <v>3</v>
          </cell>
          <cell r="C525">
            <v>40007</v>
          </cell>
          <cell r="D525" t="str">
            <v>グリム襲来！</v>
          </cell>
          <cell r="E525" t="str">
            <v>降臨7</v>
          </cell>
          <cell r="F525">
            <v>1</v>
          </cell>
          <cell r="G525" t="str">
            <v>ja</v>
          </cell>
          <cell r="H525" t="str">
            <v xml:space="preserve">【ウィザード級】グリム襲来 </v>
          </cell>
          <cell r="I525" t="str">
            <v>地獄級</v>
          </cell>
          <cell r="J525">
            <v>491</v>
          </cell>
          <cell r="K525">
            <v>35</v>
          </cell>
          <cell r="L525">
            <v>4200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character</v>
          </cell>
          <cell r="T525">
            <v>490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908</v>
          </cell>
          <cell r="AD525">
            <v>6</v>
          </cell>
          <cell r="AE525" t="str">
            <v>everyone</v>
          </cell>
        </row>
        <row r="526">
          <cell r="A526" t="str">
            <v>40008_1</v>
          </cell>
          <cell r="B526">
            <v>3</v>
          </cell>
          <cell r="C526">
            <v>40008</v>
          </cell>
          <cell r="D526" t="str">
            <v>Gスター襲来！</v>
          </cell>
          <cell r="E526" t="str">
            <v>降臨8</v>
          </cell>
          <cell r="F526">
            <v>1</v>
          </cell>
          <cell r="G526" t="str">
            <v>ja</v>
          </cell>
          <cell r="H526" t="str">
            <v xml:space="preserve">【ウィザード級】Gスター襲来 </v>
          </cell>
          <cell r="I526" t="str">
            <v>地獄級</v>
          </cell>
          <cell r="J526">
            <v>509</v>
          </cell>
          <cell r="K526">
            <v>35</v>
          </cell>
          <cell r="L526">
            <v>4200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character</v>
          </cell>
          <cell r="T526">
            <v>508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2601</v>
          </cell>
          <cell r="AD526">
            <v>6</v>
          </cell>
          <cell r="AE526" t="str">
            <v>everyone</v>
          </cell>
        </row>
        <row r="527">
          <cell r="A527" t="str">
            <v>40009_1</v>
          </cell>
          <cell r="B527">
            <v>3</v>
          </cell>
          <cell r="C527">
            <v>40009</v>
          </cell>
          <cell r="D527" t="str">
            <v>フギンとムニン襲来！</v>
          </cell>
          <cell r="E527" t="str">
            <v>降臨9</v>
          </cell>
          <cell r="F527">
            <v>1</v>
          </cell>
          <cell r="G527" t="str">
            <v>ja</v>
          </cell>
          <cell r="H527" t="str">
            <v xml:space="preserve">【ウィザード級】フギンとムニン襲来 </v>
          </cell>
          <cell r="I527" t="str">
            <v>地獄級</v>
          </cell>
          <cell r="J527">
            <v>582</v>
          </cell>
          <cell r="K527">
            <v>35</v>
          </cell>
          <cell r="L527">
            <v>4200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character</v>
          </cell>
          <cell r="T527">
            <v>581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25</v>
          </cell>
          <cell r="AD527">
            <v>6</v>
          </cell>
          <cell r="AE527" t="str">
            <v>everyone</v>
          </cell>
        </row>
        <row r="528">
          <cell r="A528" t="str">
            <v>40010_1</v>
          </cell>
          <cell r="B528">
            <v>3</v>
          </cell>
          <cell r="C528">
            <v>40010</v>
          </cell>
          <cell r="D528" t="str">
            <v>フレイ襲来！</v>
          </cell>
          <cell r="E528" t="str">
            <v>降臨10</v>
          </cell>
          <cell r="F528">
            <v>1</v>
          </cell>
          <cell r="G528" t="str">
            <v>ja</v>
          </cell>
          <cell r="H528" t="str">
            <v xml:space="preserve">【ウィザード級】フレイ襲来 </v>
          </cell>
          <cell r="I528" t="str">
            <v>地獄級</v>
          </cell>
          <cell r="J528">
            <v>575</v>
          </cell>
          <cell r="K528">
            <v>35</v>
          </cell>
          <cell r="L528">
            <v>4200</v>
          </cell>
          <cell r="M528">
            <v>1</v>
          </cell>
          <cell r="N528">
            <v>1</v>
          </cell>
          <cell r="O528">
            <v>1</v>
          </cell>
          <cell r="P528">
            <v>0</v>
          </cell>
          <cell r="Q528">
            <v>1</v>
          </cell>
          <cell r="R528">
            <v>3</v>
          </cell>
          <cell r="S528" t="str">
            <v>character</v>
          </cell>
          <cell r="T528">
            <v>575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912</v>
          </cell>
          <cell r="AD528">
            <v>6</v>
          </cell>
          <cell r="AE528" t="str">
            <v>everyone</v>
          </cell>
        </row>
        <row r="529">
          <cell r="A529" t="str">
            <v>40011_1</v>
          </cell>
          <cell r="B529">
            <v>3</v>
          </cell>
          <cell r="C529">
            <v>40011</v>
          </cell>
          <cell r="D529" t="str">
            <v>ヨミ襲来！</v>
          </cell>
          <cell r="E529" t="str">
            <v>降臨11</v>
          </cell>
          <cell r="F529">
            <v>1</v>
          </cell>
          <cell r="G529" t="str">
            <v>ja</v>
          </cell>
          <cell r="H529" t="str">
            <v xml:space="preserve">【ウィザード級】ヨミ襲来 </v>
          </cell>
          <cell r="I529" t="str">
            <v>地獄級</v>
          </cell>
          <cell r="J529">
            <v>655</v>
          </cell>
          <cell r="K529">
            <v>35</v>
          </cell>
          <cell r="L529">
            <v>4200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character</v>
          </cell>
          <cell r="T529">
            <v>654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913</v>
          </cell>
          <cell r="AD529">
            <v>6</v>
          </cell>
          <cell r="AE529" t="str">
            <v>everyone</v>
          </cell>
        </row>
        <row r="530">
          <cell r="A530" t="str">
            <v>40012_1</v>
          </cell>
          <cell r="B530">
            <v>3</v>
          </cell>
          <cell r="C530">
            <v>40012</v>
          </cell>
          <cell r="D530" t="str">
            <v>ショウキ襲来！</v>
          </cell>
          <cell r="E530" t="str">
            <v>降臨12</v>
          </cell>
          <cell r="F530">
            <v>1</v>
          </cell>
          <cell r="G530" t="str">
            <v>ja</v>
          </cell>
          <cell r="H530" t="str">
            <v xml:space="preserve">【ウィザード級】ショウキ襲来 </v>
          </cell>
          <cell r="I530" t="str">
            <v>地獄級</v>
          </cell>
          <cell r="J530">
            <v>645</v>
          </cell>
          <cell r="K530">
            <v>35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character</v>
          </cell>
          <cell r="T530">
            <v>644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915</v>
          </cell>
          <cell r="AD530">
            <v>6</v>
          </cell>
          <cell r="AE530" t="str">
            <v>everyone</v>
          </cell>
        </row>
        <row r="531">
          <cell r="A531" t="str">
            <v>40013_1</v>
          </cell>
          <cell r="B531">
            <v>3</v>
          </cell>
          <cell r="C531">
            <v>40013</v>
          </cell>
          <cell r="D531" t="str">
            <v>カーマ襲来！</v>
          </cell>
          <cell r="E531" t="str">
            <v>降臨13</v>
          </cell>
          <cell r="F531">
            <v>1</v>
          </cell>
          <cell r="G531" t="str">
            <v>ja</v>
          </cell>
          <cell r="H531" t="str">
            <v xml:space="preserve">【ウィザード級】カーマ襲来 </v>
          </cell>
          <cell r="I531" t="str">
            <v>地獄級</v>
          </cell>
          <cell r="J531">
            <v>643</v>
          </cell>
          <cell r="K531">
            <v>35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0</v>
          </cell>
          <cell r="R531">
            <v>3</v>
          </cell>
          <cell r="S531" t="str">
            <v>character</v>
          </cell>
          <cell r="T531">
            <v>642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916</v>
          </cell>
          <cell r="AD531">
            <v>6</v>
          </cell>
          <cell r="AE531" t="str">
            <v>everyone</v>
          </cell>
        </row>
        <row r="532">
          <cell r="A532" t="str">
            <v>40014_1</v>
          </cell>
          <cell r="B532">
            <v>3</v>
          </cell>
          <cell r="C532">
            <v>40014</v>
          </cell>
          <cell r="D532" t="str">
            <v>シヴァ襲来！</v>
          </cell>
          <cell r="E532" t="str">
            <v>降臨14</v>
          </cell>
          <cell r="F532">
            <v>1</v>
          </cell>
          <cell r="G532" t="str">
            <v>ja</v>
          </cell>
          <cell r="H532" t="str">
            <v xml:space="preserve">【ウィザード級】シヴァ襲来 </v>
          </cell>
          <cell r="I532" t="str">
            <v>地獄級</v>
          </cell>
          <cell r="J532">
            <v>657</v>
          </cell>
          <cell r="K532">
            <v>35</v>
          </cell>
          <cell r="L532">
            <v>4200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character</v>
          </cell>
          <cell r="T532">
            <v>656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916</v>
          </cell>
          <cell r="AD532">
            <v>6</v>
          </cell>
          <cell r="AE532" t="str">
            <v>everyone</v>
          </cell>
        </row>
        <row r="533">
          <cell r="A533" t="str">
            <v>40015_1</v>
          </cell>
          <cell r="B533">
            <v>3</v>
          </cell>
          <cell r="C533">
            <v>40015</v>
          </cell>
          <cell r="D533" t="str">
            <v>ガレス襲来！</v>
          </cell>
          <cell r="E533" t="str">
            <v>降臨15</v>
          </cell>
          <cell r="F533">
            <v>1</v>
          </cell>
          <cell r="G533" t="str">
            <v>ja</v>
          </cell>
          <cell r="H533" t="str">
            <v xml:space="preserve">【ウィザード級】ガレス襲来 </v>
          </cell>
          <cell r="I533" t="str">
            <v>地獄級</v>
          </cell>
          <cell r="J533">
            <v>769</v>
          </cell>
          <cell r="K533">
            <v>35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character</v>
          </cell>
          <cell r="T533">
            <v>768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907</v>
          </cell>
          <cell r="AD533">
            <v>6</v>
          </cell>
          <cell r="AE533" t="str">
            <v>everyone</v>
          </cell>
        </row>
        <row r="534">
          <cell r="A534" t="str">
            <v>40016_1</v>
          </cell>
          <cell r="B534">
            <v>3</v>
          </cell>
          <cell r="C534">
            <v>40016</v>
          </cell>
          <cell r="D534" t="str">
            <v>武田信玄襲来！</v>
          </cell>
          <cell r="E534" t="str">
            <v>降臨16</v>
          </cell>
          <cell r="F534">
            <v>1</v>
          </cell>
          <cell r="G534" t="str">
            <v>ja</v>
          </cell>
          <cell r="H534" t="str">
            <v xml:space="preserve">【ウィザード級】武田信玄襲来 </v>
          </cell>
          <cell r="I534" t="str">
            <v>地獄級</v>
          </cell>
          <cell r="J534">
            <v>725</v>
          </cell>
          <cell r="K534">
            <v>40</v>
          </cell>
          <cell r="L534">
            <v>4500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919</v>
          </cell>
          <cell r="AD534">
            <v>6</v>
          </cell>
          <cell r="AE534" t="str">
            <v>everyone</v>
          </cell>
        </row>
        <row r="535">
          <cell r="A535" t="str">
            <v>40016_2</v>
          </cell>
          <cell r="B535">
            <v>3</v>
          </cell>
          <cell r="C535">
            <v>40016</v>
          </cell>
          <cell r="D535" t="str">
            <v>武田信玄襲来！</v>
          </cell>
          <cell r="E535" t="str">
            <v>降臨16</v>
          </cell>
          <cell r="F535">
            <v>2</v>
          </cell>
          <cell r="G535" t="str">
            <v>ja</v>
          </cell>
          <cell r="H535" t="str">
            <v xml:space="preserve">【ノーコンテニュー】武田信玄襲来 </v>
          </cell>
          <cell r="I535" t="str">
            <v>地獄級</v>
          </cell>
          <cell r="J535">
            <v>725</v>
          </cell>
          <cell r="K535">
            <v>40</v>
          </cell>
          <cell r="L535">
            <v>4500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polygon</v>
          </cell>
          <cell r="T535">
            <v>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919</v>
          </cell>
          <cell r="AD535">
            <v>6</v>
          </cell>
          <cell r="AE535" t="str">
            <v>everyone</v>
          </cell>
        </row>
        <row r="536">
          <cell r="A536" t="str">
            <v>40017_1</v>
          </cell>
          <cell r="B536">
            <v>3</v>
          </cell>
          <cell r="C536">
            <v>40017</v>
          </cell>
          <cell r="D536" t="str">
            <v>ベルゼブブ襲来！</v>
          </cell>
          <cell r="E536" t="str">
            <v>降臨17</v>
          </cell>
          <cell r="F536">
            <v>1</v>
          </cell>
          <cell r="G536" t="str">
            <v>ja</v>
          </cell>
          <cell r="H536" t="str">
            <v xml:space="preserve">【超絶級】ベルゼブブ襲来 </v>
          </cell>
          <cell r="I536" t="str">
            <v>地獄級</v>
          </cell>
          <cell r="J536">
            <v>845</v>
          </cell>
          <cell r="K536">
            <v>35</v>
          </cell>
          <cell r="L536">
            <v>4200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polygon</v>
          </cell>
          <cell r="T536">
            <v>1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927</v>
          </cell>
          <cell r="AD536">
            <v>6</v>
          </cell>
          <cell r="AE536" t="str">
            <v>everyone</v>
          </cell>
        </row>
        <row r="537">
          <cell r="A537" t="str">
            <v>40017_2</v>
          </cell>
          <cell r="B537">
            <v>3</v>
          </cell>
          <cell r="C537">
            <v>40017</v>
          </cell>
          <cell r="D537" t="str">
            <v>ベルゼブブ襲来！</v>
          </cell>
          <cell r="E537" t="str">
            <v>降臨17</v>
          </cell>
          <cell r="F537">
            <v>2</v>
          </cell>
          <cell r="G537" t="str">
            <v>ja</v>
          </cell>
          <cell r="H537" t="str">
            <v>【ウィザード級】ベルゼブブ襲来</v>
          </cell>
          <cell r="I537" t="str">
            <v>地獄級</v>
          </cell>
          <cell r="J537">
            <v>845</v>
          </cell>
          <cell r="K537">
            <v>40</v>
          </cell>
          <cell r="L537">
            <v>4500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927</v>
          </cell>
          <cell r="AD537">
            <v>6</v>
          </cell>
          <cell r="AE537" t="str">
            <v>everyone</v>
          </cell>
        </row>
        <row r="538">
          <cell r="A538" t="str">
            <v>40017_3</v>
          </cell>
          <cell r="B538">
            <v>3</v>
          </cell>
          <cell r="C538">
            <v>40017</v>
          </cell>
          <cell r="D538" t="str">
            <v>ベルゼブブ襲来！</v>
          </cell>
          <cell r="E538" t="str">
            <v>降臨17</v>
          </cell>
          <cell r="F538">
            <v>3</v>
          </cell>
          <cell r="G538" t="str">
            <v>ja</v>
          </cell>
          <cell r="H538" t="str">
            <v>【ノーコンテニュー】ベルゼブブ襲来</v>
          </cell>
          <cell r="I538" t="str">
            <v>地獄級</v>
          </cell>
          <cell r="J538">
            <v>845</v>
          </cell>
          <cell r="K538">
            <v>40</v>
          </cell>
          <cell r="L538">
            <v>4500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polygon</v>
          </cell>
          <cell r="T538">
            <v>1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927</v>
          </cell>
          <cell r="AD538">
            <v>6</v>
          </cell>
          <cell r="AE538" t="str">
            <v>everyone</v>
          </cell>
        </row>
        <row r="539">
          <cell r="A539" t="str">
            <v>40018_1</v>
          </cell>
          <cell r="B539">
            <v>3</v>
          </cell>
          <cell r="C539">
            <v>40018</v>
          </cell>
          <cell r="D539" t="str">
            <v>ジーナ襲来！</v>
          </cell>
          <cell r="E539" t="str">
            <v>降臨18</v>
          </cell>
          <cell r="F539">
            <v>1</v>
          </cell>
          <cell r="G539" t="str">
            <v>ja</v>
          </cell>
          <cell r="H539" t="str">
            <v xml:space="preserve">【超絶級】ジーナ襲来 </v>
          </cell>
          <cell r="I539" t="str">
            <v>地獄級</v>
          </cell>
          <cell r="J539">
            <v>861</v>
          </cell>
          <cell r="K539">
            <v>35</v>
          </cell>
          <cell r="L539">
            <v>4200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polygon</v>
          </cell>
          <cell r="T539">
            <v>1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929</v>
          </cell>
          <cell r="AD539">
            <v>6</v>
          </cell>
          <cell r="AE539" t="str">
            <v>everyone</v>
          </cell>
        </row>
        <row r="540">
          <cell r="A540" t="str">
            <v>40018_2</v>
          </cell>
          <cell r="B540">
            <v>3</v>
          </cell>
          <cell r="C540">
            <v>40018</v>
          </cell>
          <cell r="D540" t="str">
            <v>ジーナ襲来！</v>
          </cell>
          <cell r="E540" t="str">
            <v>降臨18</v>
          </cell>
          <cell r="F540">
            <v>2</v>
          </cell>
          <cell r="G540" t="str">
            <v>ja</v>
          </cell>
          <cell r="H540" t="str">
            <v>【ウィザード級】ジーナ襲来</v>
          </cell>
          <cell r="I540" t="str">
            <v>地獄級</v>
          </cell>
          <cell r="J540">
            <v>861</v>
          </cell>
          <cell r="K540">
            <v>40</v>
          </cell>
          <cell r="L540">
            <v>4500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929</v>
          </cell>
          <cell r="AD540">
            <v>6</v>
          </cell>
          <cell r="AE540" t="str">
            <v>everyone</v>
          </cell>
        </row>
        <row r="541">
          <cell r="A541" t="str">
            <v>40018_3</v>
          </cell>
          <cell r="B541">
            <v>3</v>
          </cell>
          <cell r="C541">
            <v>40018</v>
          </cell>
          <cell r="D541" t="str">
            <v>ジーナ襲来！</v>
          </cell>
          <cell r="E541" t="str">
            <v>降臨18</v>
          </cell>
          <cell r="F541">
            <v>3</v>
          </cell>
          <cell r="G541" t="str">
            <v>ja</v>
          </cell>
          <cell r="H541" t="str">
            <v>【ノーコンテニュー】ジーナ襲来</v>
          </cell>
          <cell r="I541" t="str">
            <v>地獄級</v>
          </cell>
          <cell r="J541">
            <v>861</v>
          </cell>
          <cell r="K541">
            <v>40</v>
          </cell>
          <cell r="L541">
            <v>4500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polygon</v>
          </cell>
          <cell r="T541">
            <v>1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929</v>
          </cell>
          <cell r="AD541">
            <v>6</v>
          </cell>
          <cell r="AE541" t="str">
            <v>everyone</v>
          </cell>
        </row>
        <row r="542">
          <cell r="A542" t="str">
            <v>40019_1</v>
          </cell>
          <cell r="B542">
            <v>1</v>
          </cell>
          <cell r="C542">
            <v>40019</v>
          </cell>
          <cell r="D542" t="str">
            <v>テュポーン襲来！</v>
          </cell>
          <cell r="E542" t="str">
            <v>降臨19</v>
          </cell>
          <cell r="F542">
            <v>1</v>
          </cell>
          <cell r="G542" t="str">
            <v>ja</v>
          </cell>
          <cell r="H542" t="str">
            <v xml:space="preserve">【超絶級】テュポーン襲来 </v>
          </cell>
          <cell r="I542" t="str">
            <v>超絶級</v>
          </cell>
          <cell r="J542">
            <v>740</v>
          </cell>
          <cell r="K542">
            <v>35</v>
          </cell>
          <cell r="L542">
            <v>4200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polygon</v>
          </cell>
          <cell r="T542">
            <v>1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24</v>
          </cell>
          <cell r="AD542">
            <v>6</v>
          </cell>
          <cell r="AE542" t="str">
            <v>everyone</v>
          </cell>
        </row>
        <row r="543">
          <cell r="A543" t="str">
            <v>40019_2</v>
          </cell>
          <cell r="B543">
            <v>1</v>
          </cell>
          <cell r="C543">
            <v>40019</v>
          </cell>
          <cell r="D543" t="str">
            <v>テュポーン襲来！</v>
          </cell>
          <cell r="E543" t="str">
            <v>降臨19</v>
          </cell>
          <cell r="F543">
            <v>2</v>
          </cell>
          <cell r="G543" t="str">
            <v>ja</v>
          </cell>
          <cell r="H543" t="str">
            <v>【ウィザード級】テュポーン襲来</v>
          </cell>
          <cell r="I543" t="str">
            <v>地獄級</v>
          </cell>
          <cell r="J543">
            <v>741</v>
          </cell>
          <cell r="K543">
            <v>40</v>
          </cell>
          <cell r="L543">
            <v>4500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24</v>
          </cell>
          <cell r="AD543">
            <v>6</v>
          </cell>
          <cell r="AE543" t="str">
            <v>everyone</v>
          </cell>
        </row>
        <row r="544">
          <cell r="A544" t="str">
            <v>40019_3</v>
          </cell>
          <cell r="B544">
            <v>1</v>
          </cell>
          <cell r="C544">
            <v>40019</v>
          </cell>
          <cell r="D544" t="str">
            <v>テュポーン襲来！</v>
          </cell>
          <cell r="E544" t="str">
            <v>降臨19</v>
          </cell>
          <cell r="F544">
            <v>3</v>
          </cell>
          <cell r="G544" t="str">
            <v>ja</v>
          </cell>
          <cell r="H544" t="str">
            <v>【ノーコンテニュー】テュポーン襲来</v>
          </cell>
          <cell r="I544" t="str">
            <v>地獄級</v>
          </cell>
          <cell r="J544">
            <v>741</v>
          </cell>
          <cell r="K544">
            <v>40</v>
          </cell>
          <cell r="L544">
            <v>4500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polygon</v>
          </cell>
          <cell r="T544">
            <v>1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24</v>
          </cell>
          <cell r="AD544">
            <v>6</v>
          </cell>
          <cell r="AE544" t="str">
            <v>everyone</v>
          </cell>
        </row>
        <row r="545">
          <cell r="A545" t="str">
            <v>48001_1</v>
          </cell>
          <cell r="B545">
            <v>1</v>
          </cell>
          <cell r="C545">
            <v>48001</v>
          </cell>
          <cell r="D545" t="str">
            <v>蛟龍襲来！</v>
          </cell>
          <cell r="E545" t="str">
            <v>台湾版降臨1</v>
          </cell>
          <cell r="F545">
            <v>1</v>
          </cell>
          <cell r="G545" t="str">
            <v>ja</v>
          </cell>
          <cell r="H545" t="str">
            <v>【ウィザード級】蛟龍襲来</v>
          </cell>
          <cell r="I545" t="str">
            <v>地獄級</v>
          </cell>
          <cell r="J545">
            <v>8004</v>
          </cell>
          <cell r="K545">
            <v>35</v>
          </cell>
          <cell r="L545">
            <v>4200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character</v>
          </cell>
          <cell r="T545">
            <v>8003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927</v>
          </cell>
          <cell r="AD545">
            <v>6</v>
          </cell>
          <cell r="AE545" t="str">
            <v>everyone</v>
          </cell>
        </row>
        <row r="546">
          <cell r="A546" t="str">
            <v>41001_1</v>
          </cell>
          <cell r="B546">
            <v>3</v>
          </cell>
          <cell r="C546">
            <v>41001</v>
          </cell>
          <cell r="D546" t="str">
            <v>アマテラス襲来！</v>
          </cell>
          <cell r="E546" t="str">
            <v>降臨1</v>
          </cell>
          <cell r="F546">
            <v>1</v>
          </cell>
          <cell r="G546" t="str">
            <v>ja</v>
          </cell>
          <cell r="H546" t="str">
            <v>【超絶級】アマテラス襲来</v>
          </cell>
          <cell r="I546" t="str">
            <v>超絶級</v>
          </cell>
          <cell r="J546">
            <v>279</v>
          </cell>
          <cell r="K546">
            <v>35</v>
          </cell>
          <cell r="L546">
            <v>4200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901</v>
          </cell>
          <cell r="AD546">
            <v>6</v>
          </cell>
          <cell r="AE546" t="str">
            <v>everyone</v>
          </cell>
        </row>
        <row r="547">
          <cell r="A547" t="str">
            <v>41001_2</v>
          </cell>
          <cell r="B547">
            <v>3</v>
          </cell>
          <cell r="C547">
            <v>41001</v>
          </cell>
          <cell r="D547" t="str">
            <v>アマテラス襲来！</v>
          </cell>
          <cell r="E547" t="str">
            <v>降臨1</v>
          </cell>
          <cell r="F547">
            <v>2</v>
          </cell>
          <cell r="G547" t="str">
            <v>ja</v>
          </cell>
          <cell r="H547" t="str">
            <v>【ウィザード級】アマテラス襲来</v>
          </cell>
          <cell r="I547" t="str">
            <v>地獄級</v>
          </cell>
          <cell r="J547">
            <v>810</v>
          </cell>
          <cell r="K547">
            <v>40</v>
          </cell>
          <cell r="L547">
            <v>4500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polygon</v>
          </cell>
          <cell r="T547">
            <v>1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901</v>
          </cell>
          <cell r="AD547">
            <v>6</v>
          </cell>
          <cell r="AE547" t="str">
            <v>everyone</v>
          </cell>
        </row>
        <row r="548">
          <cell r="A548" t="str">
            <v>41001_3</v>
          </cell>
          <cell r="B548">
            <v>3</v>
          </cell>
          <cell r="C548">
            <v>41001</v>
          </cell>
          <cell r="D548" t="str">
            <v>アマテラス襲来！</v>
          </cell>
          <cell r="E548" t="str">
            <v>降臨1</v>
          </cell>
          <cell r="F548">
            <v>3</v>
          </cell>
          <cell r="G548" t="str">
            <v>ja</v>
          </cell>
          <cell r="H548" t="str">
            <v>【ノーコンテニュー】アマテラス襲来</v>
          </cell>
          <cell r="I548" t="str">
            <v>地獄級</v>
          </cell>
          <cell r="J548">
            <v>810</v>
          </cell>
          <cell r="K548">
            <v>40</v>
          </cell>
          <cell r="L548">
            <v>4500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901</v>
          </cell>
          <cell r="AD548">
            <v>6</v>
          </cell>
          <cell r="AE548" t="str">
            <v>everyone</v>
          </cell>
        </row>
        <row r="549">
          <cell r="A549" t="str">
            <v>41002_1</v>
          </cell>
          <cell r="B549">
            <v>3</v>
          </cell>
          <cell r="C549">
            <v>41002</v>
          </cell>
          <cell r="D549" t="str">
            <v>アザゼル襲来！</v>
          </cell>
          <cell r="E549" t="str">
            <v>降臨1</v>
          </cell>
          <cell r="F549">
            <v>1</v>
          </cell>
          <cell r="G549" t="str">
            <v>ja</v>
          </cell>
          <cell r="H549" t="str">
            <v>【超絶級】アザゼル襲来</v>
          </cell>
          <cell r="I549" t="str">
            <v>超絶級</v>
          </cell>
          <cell r="J549">
            <v>297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902</v>
          </cell>
          <cell r="AD549">
            <v>6</v>
          </cell>
          <cell r="AE549" t="str">
            <v>everyone</v>
          </cell>
        </row>
        <row r="550">
          <cell r="A550" t="str">
            <v>41002_2</v>
          </cell>
          <cell r="B550">
            <v>3</v>
          </cell>
          <cell r="C550">
            <v>41002</v>
          </cell>
          <cell r="D550" t="str">
            <v>アザゼル襲来！</v>
          </cell>
          <cell r="E550" t="str">
            <v>降臨1</v>
          </cell>
          <cell r="F550">
            <v>2</v>
          </cell>
          <cell r="G550" t="str">
            <v>ja</v>
          </cell>
          <cell r="H550" t="str">
            <v>【ウィザード級】アザゼル襲来</v>
          </cell>
          <cell r="I550" t="str">
            <v>地獄級</v>
          </cell>
          <cell r="J550">
            <v>812</v>
          </cell>
          <cell r="K550">
            <v>40</v>
          </cell>
          <cell r="L550">
            <v>4500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polygon</v>
          </cell>
          <cell r="T550">
            <v>1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902</v>
          </cell>
          <cell r="AD550">
            <v>6</v>
          </cell>
          <cell r="AE550" t="str">
            <v>everyone</v>
          </cell>
        </row>
        <row r="551">
          <cell r="A551" t="str">
            <v>41002_3</v>
          </cell>
          <cell r="B551">
            <v>3</v>
          </cell>
          <cell r="C551">
            <v>41002</v>
          </cell>
          <cell r="D551" t="str">
            <v>アザゼル襲来！</v>
          </cell>
          <cell r="E551" t="str">
            <v>降臨1</v>
          </cell>
          <cell r="F551">
            <v>3</v>
          </cell>
          <cell r="G551" t="str">
            <v>ja</v>
          </cell>
          <cell r="H551" t="str">
            <v>【ノーコンテニュー】アザゼル襲来</v>
          </cell>
          <cell r="I551" t="str">
            <v>地獄級</v>
          </cell>
          <cell r="J551">
            <v>812</v>
          </cell>
          <cell r="K551">
            <v>40</v>
          </cell>
          <cell r="L551">
            <v>4500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902</v>
          </cell>
          <cell r="AD551">
            <v>6</v>
          </cell>
          <cell r="AE551" t="str">
            <v>everyone</v>
          </cell>
        </row>
        <row r="552">
          <cell r="A552" t="str">
            <v>41003_1</v>
          </cell>
          <cell r="B552">
            <v>3</v>
          </cell>
          <cell r="C552">
            <v>41003</v>
          </cell>
          <cell r="D552" t="str">
            <v>ジャンヌ襲来！</v>
          </cell>
          <cell r="E552" t="str">
            <v>降臨1</v>
          </cell>
          <cell r="F552">
            <v>1</v>
          </cell>
          <cell r="G552" t="str">
            <v>ja</v>
          </cell>
          <cell r="H552" t="str">
            <v>【超絶級】ジャンヌ襲来</v>
          </cell>
          <cell r="I552" t="str">
            <v>超絶級</v>
          </cell>
          <cell r="J552">
            <v>315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903</v>
          </cell>
          <cell r="AD552">
            <v>6</v>
          </cell>
          <cell r="AE552" t="str">
            <v>everyone</v>
          </cell>
        </row>
        <row r="553">
          <cell r="A553" t="str">
            <v>41003_2</v>
          </cell>
          <cell r="B553">
            <v>3</v>
          </cell>
          <cell r="C553">
            <v>41003</v>
          </cell>
          <cell r="D553" t="str">
            <v>ジャンヌ襲来！</v>
          </cell>
          <cell r="E553" t="str">
            <v>降臨1</v>
          </cell>
          <cell r="F553">
            <v>2</v>
          </cell>
          <cell r="G553" t="str">
            <v>ja</v>
          </cell>
          <cell r="H553" t="str">
            <v>【ウィザード級】ジャンヌ襲来</v>
          </cell>
          <cell r="I553" t="str">
            <v>地獄級</v>
          </cell>
          <cell r="J553">
            <v>814</v>
          </cell>
          <cell r="K553">
            <v>40</v>
          </cell>
          <cell r="L553">
            <v>4500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polygon</v>
          </cell>
          <cell r="T553">
            <v>1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903</v>
          </cell>
          <cell r="AD553">
            <v>6</v>
          </cell>
          <cell r="AE553" t="str">
            <v>everyone</v>
          </cell>
        </row>
        <row r="554">
          <cell r="A554" t="str">
            <v>41003_3</v>
          </cell>
          <cell r="B554">
            <v>3</v>
          </cell>
          <cell r="C554">
            <v>41003</v>
          </cell>
          <cell r="D554" t="str">
            <v>ジャンヌ襲来！</v>
          </cell>
          <cell r="E554" t="str">
            <v>降臨1</v>
          </cell>
          <cell r="F554">
            <v>3</v>
          </cell>
          <cell r="G554" t="str">
            <v>ja</v>
          </cell>
          <cell r="H554" t="str">
            <v>【ノーコンテニュー】ジャンヌ襲来</v>
          </cell>
          <cell r="I554" t="str">
            <v>地獄級</v>
          </cell>
          <cell r="J554">
            <v>814</v>
          </cell>
          <cell r="K554">
            <v>40</v>
          </cell>
          <cell r="L554">
            <v>4500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polygon</v>
          </cell>
          <cell r="T554">
            <v>1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903</v>
          </cell>
          <cell r="AD554">
            <v>6</v>
          </cell>
          <cell r="AE554" t="str">
            <v>everyone</v>
          </cell>
        </row>
        <row r="555">
          <cell r="A555" t="str">
            <v>41004_1</v>
          </cell>
          <cell r="B555">
            <v>3</v>
          </cell>
          <cell r="C555">
            <v>41004</v>
          </cell>
          <cell r="D555" t="str">
            <v>宮本武蔵襲来！</v>
          </cell>
          <cell r="E555" t="str">
            <v>降臨1</v>
          </cell>
          <cell r="F555">
            <v>1</v>
          </cell>
          <cell r="G555" t="str">
            <v>ja</v>
          </cell>
          <cell r="H555" t="str">
            <v>【超絶級】宮本武蔵襲来</v>
          </cell>
          <cell r="I555" t="str">
            <v>超絶級</v>
          </cell>
          <cell r="J555">
            <v>427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904</v>
          </cell>
          <cell r="AD555">
            <v>6</v>
          </cell>
          <cell r="AE555" t="str">
            <v>everyone</v>
          </cell>
        </row>
        <row r="556">
          <cell r="A556" t="str">
            <v>41004_2</v>
          </cell>
          <cell r="B556">
            <v>3</v>
          </cell>
          <cell r="C556">
            <v>41004</v>
          </cell>
          <cell r="D556" t="str">
            <v>宮本武蔵襲来！</v>
          </cell>
          <cell r="E556" t="str">
            <v>降臨1</v>
          </cell>
          <cell r="F556">
            <v>2</v>
          </cell>
          <cell r="G556" t="str">
            <v>ja</v>
          </cell>
          <cell r="H556" t="str">
            <v>【ウィザード級】宮本武蔵襲来</v>
          </cell>
          <cell r="I556" t="str">
            <v>地獄級</v>
          </cell>
          <cell r="J556">
            <v>816</v>
          </cell>
          <cell r="K556">
            <v>40</v>
          </cell>
          <cell r="L556">
            <v>4500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polygon</v>
          </cell>
          <cell r="T556">
            <v>1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904</v>
          </cell>
          <cell r="AD556">
            <v>6</v>
          </cell>
          <cell r="AE556" t="str">
            <v>everyone</v>
          </cell>
        </row>
        <row r="557">
          <cell r="A557" t="str">
            <v>41004_3</v>
          </cell>
          <cell r="B557">
            <v>3</v>
          </cell>
          <cell r="C557">
            <v>41004</v>
          </cell>
          <cell r="D557" t="str">
            <v>宮本武蔵襲来！</v>
          </cell>
          <cell r="E557" t="str">
            <v>降臨1</v>
          </cell>
          <cell r="F557">
            <v>3</v>
          </cell>
          <cell r="G557" t="str">
            <v>ja</v>
          </cell>
          <cell r="H557" t="str">
            <v>【ノーコンテニュー】宮本武蔵襲来</v>
          </cell>
          <cell r="I557" t="str">
            <v>地獄級</v>
          </cell>
          <cell r="J557">
            <v>816</v>
          </cell>
          <cell r="K557">
            <v>40</v>
          </cell>
          <cell r="L557">
            <v>4500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904</v>
          </cell>
          <cell r="AD557">
            <v>6</v>
          </cell>
          <cell r="AE557" t="str">
            <v>everyone</v>
          </cell>
        </row>
        <row r="558">
          <cell r="A558" t="str">
            <v>41005_1</v>
          </cell>
          <cell r="B558">
            <v>3</v>
          </cell>
          <cell r="C558">
            <v>41005</v>
          </cell>
          <cell r="D558" t="str">
            <v>オズ襲来！</v>
          </cell>
          <cell r="E558" t="str">
            <v>降臨1</v>
          </cell>
          <cell r="F558">
            <v>1</v>
          </cell>
          <cell r="G558" t="str">
            <v>ja</v>
          </cell>
          <cell r="H558" t="str">
            <v>【超絶級】オズ襲来</v>
          </cell>
          <cell r="I558" t="str">
            <v>超絶級</v>
          </cell>
          <cell r="J558">
            <v>461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906</v>
          </cell>
          <cell r="AD558">
            <v>6</v>
          </cell>
          <cell r="AE558" t="str">
            <v>everyone</v>
          </cell>
        </row>
        <row r="559">
          <cell r="A559" t="str">
            <v>41005_2</v>
          </cell>
          <cell r="B559">
            <v>3</v>
          </cell>
          <cell r="C559">
            <v>41005</v>
          </cell>
          <cell r="D559" t="str">
            <v>オズ襲来！</v>
          </cell>
          <cell r="E559" t="str">
            <v>降臨1</v>
          </cell>
          <cell r="F559">
            <v>2</v>
          </cell>
          <cell r="G559" t="str">
            <v>ja</v>
          </cell>
          <cell r="H559" t="str">
            <v>【ウィザード級】オズ襲来</v>
          </cell>
          <cell r="I559" t="str">
            <v>地獄級</v>
          </cell>
          <cell r="J559">
            <v>818</v>
          </cell>
          <cell r="K559">
            <v>40</v>
          </cell>
          <cell r="L559">
            <v>4500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polygon</v>
          </cell>
          <cell r="T559">
            <v>1</v>
          </cell>
          <cell r="U559" t="str">
            <v>NULL</v>
          </cell>
          <cell r="V559" t="str">
            <v>NULL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906</v>
          </cell>
          <cell r="AD559">
            <v>6</v>
          </cell>
          <cell r="AE559" t="str">
            <v>everyone</v>
          </cell>
        </row>
        <row r="560">
          <cell r="A560" t="str">
            <v>41005_3</v>
          </cell>
          <cell r="B560">
            <v>3</v>
          </cell>
          <cell r="C560">
            <v>41005</v>
          </cell>
          <cell r="D560" t="str">
            <v>オズ襲来！</v>
          </cell>
          <cell r="E560" t="str">
            <v>降臨1</v>
          </cell>
          <cell r="F560">
            <v>3</v>
          </cell>
          <cell r="G560" t="str">
            <v>ja</v>
          </cell>
          <cell r="H560" t="str">
            <v>【ノーコンテニュー】オズ襲来</v>
          </cell>
          <cell r="I560" t="str">
            <v>地獄級</v>
          </cell>
          <cell r="J560">
            <v>818</v>
          </cell>
          <cell r="K560">
            <v>40</v>
          </cell>
          <cell r="L560">
            <v>4500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906</v>
          </cell>
          <cell r="AD560">
            <v>6</v>
          </cell>
          <cell r="AE560" t="str">
            <v>everyone</v>
          </cell>
        </row>
        <row r="561">
          <cell r="A561" t="str">
            <v>41006_1</v>
          </cell>
          <cell r="B561">
            <v>3</v>
          </cell>
          <cell r="C561">
            <v>41006</v>
          </cell>
          <cell r="D561" t="str">
            <v>アーサー襲来！</v>
          </cell>
          <cell r="E561" t="str">
            <v>降臨1</v>
          </cell>
          <cell r="F561">
            <v>1</v>
          </cell>
          <cell r="G561" t="str">
            <v>ja</v>
          </cell>
          <cell r="H561" t="str">
            <v>【超絶級】アーサー襲来</v>
          </cell>
          <cell r="I561" t="str">
            <v>超絶級</v>
          </cell>
          <cell r="J561">
            <v>473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907</v>
          </cell>
          <cell r="AD561">
            <v>6</v>
          </cell>
          <cell r="AE561" t="str">
            <v>everyone</v>
          </cell>
        </row>
        <row r="562">
          <cell r="A562" t="str">
            <v>41006_2</v>
          </cell>
          <cell r="B562">
            <v>3</v>
          </cell>
          <cell r="C562">
            <v>41006</v>
          </cell>
          <cell r="D562" t="str">
            <v>アーサー襲来！</v>
          </cell>
          <cell r="E562" t="str">
            <v>降臨1</v>
          </cell>
          <cell r="F562">
            <v>2</v>
          </cell>
          <cell r="G562" t="str">
            <v>ja</v>
          </cell>
          <cell r="H562" t="str">
            <v>【ウィザード級】アーサー襲来</v>
          </cell>
          <cell r="I562" t="str">
            <v>地獄級</v>
          </cell>
          <cell r="J562">
            <v>820</v>
          </cell>
          <cell r="K562">
            <v>40</v>
          </cell>
          <cell r="L562">
            <v>4500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907</v>
          </cell>
          <cell r="AD562">
            <v>6</v>
          </cell>
          <cell r="AE562" t="str">
            <v>everyone</v>
          </cell>
        </row>
        <row r="563">
          <cell r="A563" t="str">
            <v>41006_3</v>
          </cell>
          <cell r="B563">
            <v>3</v>
          </cell>
          <cell r="C563">
            <v>41006</v>
          </cell>
          <cell r="D563" t="str">
            <v>アーサー襲来！</v>
          </cell>
          <cell r="E563" t="str">
            <v>降臨1</v>
          </cell>
          <cell r="F563">
            <v>3</v>
          </cell>
          <cell r="G563" t="str">
            <v>ja</v>
          </cell>
          <cell r="H563" t="str">
            <v>【ノーコンテニュー】アーサー襲来</v>
          </cell>
          <cell r="I563" t="str">
            <v>地獄級</v>
          </cell>
          <cell r="J563">
            <v>820</v>
          </cell>
          <cell r="K563">
            <v>40</v>
          </cell>
          <cell r="L563">
            <v>4500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907</v>
          </cell>
          <cell r="AD563">
            <v>6</v>
          </cell>
          <cell r="AE563" t="str">
            <v>everyone</v>
          </cell>
        </row>
        <row r="564">
          <cell r="A564" t="str">
            <v>41008_1</v>
          </cell>
          <cell r="B564">
            <v>1</v>
          </cell>
          <cell r="C564">
            <v>41008</v>
          </cell>
          <cell r="D564" t="str">
            <v>Gスター襲来！</v>
          </cell>
          <cell r="E564" t="str">
            <v>降臨1</v>
          </cell>
          <cell r="F564">
            <v>1</v>
          </cell>
          <cell r="G564" t="str">
            <v>ja</v>
          </cell>
          <cell r="H564" t="str">
            <v>【超絶級】Gスター襲来</v>
          </cell>
          <cell r="I564" t="str">
            <v>超絶級</v>
          </cell>
          <cell r="J564">
            <v>509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2601</v>
          </cell>
          <cell r="AD564">
            <v>6</v>
          </cell>
          <cell r="AE564" t="str">
            <v>everyone</v>
          </cell>
        </row>
        <row r="565">
          <cell r="A565" t="str">
            <v>41008_2</v>
          </cell>
          <cell r="B565">
            <v>1</v>
          </cell>
          <cell r="C565">
            <v>41008</v>
          </cell>
          <cell r="D565" t="str">
            <v>Gスター襲来！</v>
          </cell>
          <cell r="E565" t="str">
            <v>降臨1</v>
          </cell>
          <cell r="F565">
            <v>2</v>
          </cell>
          <cell r="G565" t="str">
            <v>ja</v>
          </cell>
          <cell r="H565" t="str">
            <v>【ウィザード級】Gスター襲来</v>
          </cell>
          <cell r="I565" t="str">
            <v>地獄級</v>
          </cell>
          <cell r="J565">
            <v>1</v>
          </cell>
          <cell r="K565">
            <v>40</v>
          </cell>
          <cell r="L565">
            <v>4500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2601</v>
          </cell>
          <cell r="AD565">
            <v>6</v>
          </cell>
          <cell r="AE565" t="str">
            <v>everyone</v>
          </cell>
        </row>
        <row r="566">
          <cell r="A566" t="str">
            <v>41008_3</v>
          </cell>
          <cell r="B566">
            <v>1</v>
          </cell>
          <cell r="C566">
            <v>41008</v>
          </cell>
          <cell r="D566" t="str">
            <v>Gスター襲来！</v>
          </cell>
          <cell r="E566" t="str">
            <v>降臨1</v>
          </cell>
          <cell r="F566">
            <v>3</v>
          </cell>
          <cell r="G566" t="str">
            <v>ja</v>
          </cell>
          <cell r="H566" t="str">
            <v>【ノーコンテニュー】Gスター襲来</v>
          </cell>
          <cell r="I566" t="str">
            <v>地獄級</v>
          </cell>
          <cell r="J566">
            <v>1</v>
          </cell>
          <cell r="K566">
            <v>40</v>
          </cell>
          <cell r="L566">
            <v>4500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2601</v>
          </cell>
          <cell r="AD566">
            <v>6</v>
          </cell>
          <cell r="AE566" t="str">
            <v>everyone</v>
          </cell>
        </row>
        <row r="567">
          <cell r="A567" t="str">
            <v>49001_1</v>
          </cell>
          <cell r="B567">
            <v>3</v>
          </cell>
          <cell r="C567">
            <v>49001</v>
          </cell>
          <cell r="D567" t="str">
            <v>熱唱！初音ミクV3</v>
          </cell>
          <cell r="E567" t="str">
            <v>コラボ降臨1</v>
          </cell>
          <cell r="F567">
            <v>1</v>
          </cell>
          <cell r="G567" t="str">
            <v>ja</v>
          </cell>
          <cell r="H567" t="str">
            <v>【ウィザード級】熱唱！初音ミクV3</v>
          </cell>
          <cell r="I567" t="str">
            <v>地獄級</v>
          </cell>
          <cell r="J567">
            <v>528</v>
          </cell>
          <cell r="K567">
            <v>40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910</v>
          </cell>
          <cell r="AD567">
            <v>6</v>
          </cell>
          <cell r="AE567" t="str">
            <v>everyone</v>
          </cell>
        </row>
        <row r="568">
          <cell r="A568" t="str">
            <v>49002_1</v>
          </cell>
          <cell r="B568">
            <v>3</v>
          </cell>
          <cell r="C568">
            <v>49002</v>
          </cell>
          <cell r="D568" t="str">
            <v>園原杏里襲来！</v>
          </cell>
          <cell r="E568" t="str">
            <v>コラボ降臨2</v>
          </cell>
          <cell r="F568">
            <v>1</v>
          </cell>
          <cell r="G568" t="str">
            <v>ja</v>
          </cell>
          <cell r="H568" t="str">
            <v>【ウィザード級】園原杏里襲来</v>
          </cell>
          <cell r="I568" t="str">
            <v>地獄級</v>
          </cell>
          <cell r="J568">
            <v>699</v>
          </cell>
          <cell r="K568">
            <v>40</v>
          </cell>
          <cell r="L568">
            <v>4500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917</v>
          </cell>
          <cell r="AD568">
            <v>6</v>
          </cell>
          <cell r="AE568" t="str">
            <v>everyone</v>
          </cell>
        </row>
        <row r="569">
          <cell r="A569" t="str">
            <v>49002_2</v>
          </cell>
          <cell r="B569">
            <v>3</v>
          </cell>
          <cell r="C569">
            <v>49002</v>
          </cell>
          <cell r="D569" t="str">
            <v>園原杏里襲来！</v>
          </cell>
          <cell r="E569" t="str">
            <v>コラボ降臨2</v>
          </cell>
          <cell r="F569">
            <v>2</v>
          </cell>
          <cell r="G569" t="str">
            <v>ja</v>
          </cell>
          <cell r="H569" t="str">
            <v>【ノーコンテニュー】園原杏里襲来</v>
          </cell>
          <cell r="I569" t="str">
            <v>地獄級</v>
          </cell>
          <cell r="J569">
            <v>699</v>
          </cell>
          <cell r="K569">
            <v>40</v>
          </cell>
          <cell r="L569">
            <v>4500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917</v>
          </cell>
          <cell r="AD569">
            <v>6</v>
          </cell>
          <cell r="AE569" t="str">
            <v>everyone</v>
          </cell>
        </row>
        <row r="570">
          <cell r="A570" t="str">
            <v>49003_1</v>
          </cell>
          <cell r="B570">
            <v>3</v>
          </cell>
          <cell r="C570">
            <v>49003</v>
          </cell>
          <cell r="D570" t="str">
            <v>折原臨也襲来！</v>
          </cell>
          <cell r="E570" t="str">
            <v>コラボ降臨3</v>
          </cell>
          <cell r="F570">
            <v>1</v>
          </cell>
          <cell r="G570" t="str">
            <v>ja</v>
          </cell>
          <cell r="H570" t="str">
            <v>【ウィザード級】折原臨也襲来</v>
          </cell>
          <cell r="I570" t="str">
            <v>地獄級</v>
          </cell>
          <cell r="J570">
            <v>701</v>
          </cell>
          <cell r="K570">
            <v>40</v>
          </cell>
          <cell r="L570">
            <v>4500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918</v>
          </cell>
          <cell r="AD570">
            <v>6</v>
          </cell>
          <cell r="AE570" t="str">
            <v>everyone</v>
          </cell>
        </row>
        <row r="571">
          <cell r="A571" t="str">
            <v>49003_2</v>
          </cell>
          <cell r="B571">
            <v>3</v>
          </cell>
          <cell r="C571">
            <v>49003</v>
          </cell>
          <cell r="D571" t="str">
            <v>折原臨也襲来！</v>
          </cell>
          <cell r="E571" t="str">
            <v>コラボ降臨3</v>
          </cell>
          <cell r="F571">
            <v>2</v>
          </cell>
          <cell r="G571" t="str">
            <v>ja</v>
          </cell>
          <cell r="H571" t="str">
            <v>【ノーコンテニュー】折原臨也襲来</v>
          </cell>
          <cell r="I571" t="str">
            <v>地獄級</v>
          </cell>
          <cell r="J571">
            <v>701</v>
          </cell>
          <cell r="K571">
            <v>40</v>
          </cell>
          <cell r="L571">
            <v>4500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918</v>
          </cell>
          <cell r="AD571">
            <v>6</v>
          </cell>
          <cell r="AE571" t="str">
            <v>everyone</v>
          </cell>
        </row>
        <row r="572">
          <cell r="A572" t="str">
            <v>49004_1</v>
          </cell>
          <cell r="B572">
            <v>1</v>
          </cell>
          <cell r="C572">
            <v>49004</v>
          </cell>
          <cell r="D572" t="str">
            <v>A襲来！</v>
          </cell>
          <cell r="E572" t="str">
            <v>コラボ降臨4</v>
          </cell>
          <cell r="F572">
            <v>1</v>
          </cell>
          <cell r="G572" t="str">
            <v>ja</v>
          </cell>
          <cell r="H572" t="str">
            <v>【超絶】サンリオ好きなのだーれだ♪</v>
          </cell>
          <cell r="I572" t="str">
            <v>地獄級</v>
          </cell>
          <cell r="J572">
            <v>1</v>
          </cell>
          <cell r="K572">
            <v>40</v>
          </cell>
          <cell r="L572">
            <v>4500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934</v>
          </cell>
          <cell r="AD572">
            <v>6</v>
          </cell>
          <cell r="AE572" t="str">
            <v>everyone</v>
          </cell>
        </row>
        <row r="573">
          <cell r="A573" t="str">
            <v>49004_2</v>
          </cell>
          <cell r="B573">
            <v>1</v>
          </cell>
          <cell r="C573">
            <v>49004</v>
          </cell>
          <cell r="D573" t="str">
            <v>A襲来！</v>
          </cell>
          <cell r="E573" t="str">
            <v>コラボ降臨4</v>
          </cell>
          <cell r="F573">
            <v>2</v>
          </cell>
          <cell r="G573" t="str">
            <v>ja</v>
          </cell>
          <cell r="H573" t="str">
            <v>【WIZ】サンリオ好きなのだーれだ♪</v>
          </cell>
          <cell r="I573" t="str">
            <v>地獄級</v>
          </cell>
          <cell r="J573">
            <v>1</v>
          </cell>
          <cell r="K573">
            <v>40</v>
          </cell>
          <cell r="L573">
            <v>4500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934</v>
          </cell>
          <cell r="AD573">
            <v>6</v>
          </cell>
          <cell r="AE573" t="str">
            <v>everyone</v>
          </cell>
        </row>
        <row r="574">
          <cell r="A574" t="str">
            <v>49004_3</v>
          </cell>
          <cell r="B574">
            <v>1</v>
          </cell>
          <cell r="C574">
            <v>49004</v>
          </cell>
          <cell r="D574" t="str">
            <v>A襲来！</v>
          </cell>
          <cell r="E574" t="str">
            <v>コラボ降臨4</v>
          </cell>
          <cell r="F574">
            <v>3</v>
          </cell>
          <cell r="G574" t="str">
            <v>ja</v>
          </cell>
          <cell r="H574" t="str">
            <v>【ﾉｰｺﾝ】サンリオ好きなのだーれだ♪</v>
          </cell>
          <cell r="I574" t="str">
            <v>地獄級</v>
          </cell>
          <cell r="J574">
            <v>1</v>
          </cell>
          <cell r="K574">
            <v>40</v>
          </cell>
          <cell r="L574">
            <v>4500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934</v>
          </cell>
          <cell r="AD574">
            <v>6</v>
          </cell>
          <cell r="AE574" t="str">
            <v>everyone</v>
          </cell>
        </row>
        <row r="575">
          <cell r="A575" t="str">
            <v>49005_1</v>
          </cell>
          <cell r="B575">
            <v>1</v>
          </cell>
          <cell r="C575">
            <v>49005</v>
          </cell>
          <cell r="D575" t="str">
            <v>襲来クエスト</v>
          </cell>
          <cell r="E575" t="str">
            <v>コラボ降臨5</v>
          </cell>
          <cell r="F575">
            <v>1</v>
          </cell>
          <cell r="G575" t="str">
            <v>ja</v>
          </cell>
          <cell r="H575" t="str">
            <v>【ウィザード級】襲来クエスト</v>
          </cell>
          <cell r="I575" t="str">
            <v>地獄級</v>
          </cell>
          <cell r="J575">
            <v>8013</v>
          </cell>
          <cell r="K575">
            <v>40</v>
          </cell>
          <cell r="L575">
            <v>4200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910</v>
          </cell>
          <cell r="AD575">
            <v>6</v>
          </cell>
          <cell r="AE575" t="str">
            <v>everyone</v>
          </cell>
        </row>
        <row r="576">
          <cell r="A576" t="str">
            <v>50001_1</v>
          </cell>
          <cell r="B576">
            <v>3</v>
          </cell>
          <cell r="C576">
            <v>50001</v>
          </cell>
          <cell r="D576" t="str">
            <v>麒麟襲来！</v>
          </cell>
          <cell r="E576" t="str">
            <v>超降臨1</v>
          </cell>
          <cell r="F576">
            <v>1</v>
          </cell>
          <cell r="G576" t="str">
            <v>ja</v>
          </cell>
          <cell r="H576" t="str">
            <v xml:space="preserve">【超ウィザード級】麒麟襲来 </v>
          </cell>
          <cell r="I576" t="str">
            <v>超地獄級</v>
          </cell>
          <cell r="J576">
            <v>329</v>
          </cell>
          <cell r="K576">
            <v>40</v>
          </cell>
          <cell r="L576">
            <v>5200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character</v>
          </cell>
          <cell r="T576">
            <v>432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905</v>
          </cell>
          <cell r="AD576">
            <v>6</v>
          </cell>
          <cell r="AE576" t="str">
            <v>everyone</v>
          </cell>
        </row>
        <row r="577">
          <cell r="A577" t="str">
            <v>50002_1</v>
          </cell>
          <cell r="B577">
            <v>3</v>
          </cell>
          <cell r="C577">
            <v>50002</v>
          </cell>
          <cell r="D577" t="str">
            <v>オーディン襲来！</v>
          </cell>
          <cell r="E577" t="str">
            <v>超降臨2</v>
          </cell>
          <cell r="F577">
            <v>1</v>
          </cell>
          <cell r="G577" t="str">
            <v>ja</v>
          </cell>
          <cell r="H577" t="str">
            <v xml:space="preserve">【超ウィザード級】オーディン襲来 </v>
          </cell>
          <cell r="I577" t="str">
            <v>超地獄級</v>
          </cell>
          <cell r="J577">
            <v>331</v>
          </cell>
          <cell r="K577">
            <v>40</v>
          </cell>
          <cell r="L577">
            <v>5200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character</v>
          </cell>
          <cell r="T577">
            <v>573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911</v>
          </cell>
          <cell r="AD577">
            <v>6</v>
          </cell>
          <cell r="AE577" t="str">
            <v>everyone</v>
          </cell>
        </row>
        <row r="578">
          <cell r="A578" t="str">
            <v>50003_1</v>
          </cell>
          <cell r="B578">
            <v>3</v>
          </cell>
          <cell r="C578">
            <v>50003</v>
          </cell>
          <cell r="D578" t="str">
            <v>織田信長襲来！</v>
          </cell>
          <cell r="E578" t="str">
            <v>超降臨3</v>
          </cell>
          <cell r="F578">
            <v>1</v>
          </cell>
          <cell r="G578" t="str">
            <v>ja</v>
          </cell>
          <cell r="H578" t="str">
            <v xml:space="preserve">【超ウィザード級】織田信長襲来 </v>
          </cell>
          <cell r="I578" t="str">
            <v>超地獄級</v>
          </cell>
          <cell r="J578">
            <v>567</v>
          </cell>
          <cell r="K578">
            <v>40</v>
          </cell>
          <cell r="L578">
            <v>5200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character</v>
          </cell>
          <cell r="T578">
            <v>726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920</v>
          </cell>
          <cell r="AD578">
            <v>6</v>
          </cell>
          <cell r="AE578" t="str">
            <v>everyone</v>
          </cell>
        </row>
        <row r="579">
          <cell r="A579" t="str">
            <v>50004_1</v>
          </cell>
          <cell r="B579">
            <v>3</v>
          </cell>
          <cell r="C579">
            <v>50004</v>
          </cell>
          <cell r="D579" t="str">
            <v>ルシファー襲来！</v>
          </cell>
          <cell r="E579" t="str">
            <v>超降臨4</v>
          </cell>
          <cell r="F579">
            <v>1</v>
          </cell>
          <cell r="G579" t="str">
            <v>ja</v>
          </cell>
          <cell r="H579" t="str">
            <v xml:space="preserve">【超ウィザード級】ルシファー襲来 </v>
          </cell>
          <cell r="I579" t="str">
            <v>超地獄級</v>
          </cell>
          <cell r="J579">
            <v>0</v>
          </cell>
          <cell r="K579">
            <v>40</v>
          </cell>
          <cell r="L579">
            <v>5200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character</v>
          </cell>
          <cell r="T579">
            <v>846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928</v>
          </cell>
          <cell r="AD579">
            <v>6</v>
          </cell>
          <cell r="AE579" t="str">
            <v>everyone</v>
          </cell>
        </row>
        <row r="580">
          <cell r="A580" t="str">
            <v>51001_1</v>
          </cell>
          <cell r="B580">
            <v>3</v>
          </cell>
          <cell r="C580">
            <v>51001</v>
          </cell>
          <cell r="D580" t="str">
            <v>麒麟襲来！</v>
          </cell>
          <cell r="E580" t="str">
            <v>超降臨1</v>
          </cell>
          <cell r="F580">
            <v>1</v>
          </cell>
          <cell r="G580" t="str">
            <v>ja</v>
          </cell>
          <cell r="H580" t="str">
            <v xml:space="preserve">【超ウィザード級】麒麟襲来 </v>
          </cell>
          <cell r="I580" t="str">
            <v>超地獄級</v>
          </cell>
          <cell r="J580">
            <v>0</v>
          </cell>
          <cell r="K580">
            <v>40</v>
          </cell>
          <cell r="L580">
            <v>5200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character</v>
          </cell>
          <cell r="T580">
            <v>432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905</v>
          </cell>
          <cell r="AD580">
            <v>6</v>
          </cell>
          <cell r="AE580" t="str">
            <v>everyone</v>
          </cell>
        </row>
        <row r="581">
          <cell r="A581" t="str">
            <v>51002_1</v>
          </cell>
          <cell r="B581">
            <v>3</v>
          </cell>
          <cell r="C581">
            <v>51002</v>
          </cell>
          <cell r="D581" t="str">
            <v>オーディン襲来！</v>
          </cell>
          <cell r="E581" t="str">
            <v>超降臨2</v>
          </cell>
          <cell r="F581">
            <v>1</v>
          </cell>
          <cell r="G581" t="str">
            <v>ja</v>
          </cell>
          <cell r="H581" t="str">
            <v>【超ウィザード級】オーディン襲来</v>
          </cell>
          <cell r="I581" t="str">
            <v>超地獄級</v>
          </cell>
          <cell r="J581">
            <v>0</v>
          </cell>
          <cell r="K581">
            <v>40</v>
          </cell>
          <cell r="L581">
            <v>5200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character</v>
          </cell>
          <cell r="T581">
            <v>573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911</v>
          </cell>
          <cell r="AD581">
            <v>6</v>
          </cell>
          <cell r="AE581" t="str">
            <v>everyone</v>
          </cell>
        </row>
        <row r="582">
          <cell r="A582" t="str">
            <v>60001_1</v>
          </cell>
          <cell r="B582">
            <v>1</v>
          </cell>
          <cell r="C582">
            <v>60001</v>
          </cell>
          <cell r="D582" t="str">
            <v>ヘンペルチャレンジ</v>
          </cell>
          <cell r="E582" t="str">
            <v>ランキング1</v>
          </cell>
          <cell r="F582">
            <v>1</v>
          </cell>
          <cell r="G582" t="str">
            <v>ja</v>
          </cell>
          <cell r="H582" t="str">
            <v>[ウィザード] 第一回</v>
          </cell>
          <cell r="I582" t="str">
            <v>ランキング</v>
          </cell>
          <cell r="J582">
            <v>488</v>
          </cell>
          <cell r="K582">
            <v>5</v>
          </cell>
          <cell r="L582">
            <v>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none</v>
          </cell>
          <cell r="T582">
            <v>0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911</v>
          </cell>
          <cell r="AD582">
            <v>6</v>
          </cell>
          <cell r="AE582" t="str">
            <v>singleonly</v>
          </cell>
        </row>
        <row r="583">
          <cell r="A583" t="str">
            <v>60002_1</v>
          </cell>
          <cell r="B583">
            <v>1</v>
          </cell>
          <cell r="C583">
            <v>60002</v>
          </cell>
          <cell r="D583" t="str">
            <v>ヘンペルチャレンジ</v>
          </cell>
          <cell r="E583" t="str">
            <v>ランキング1</v>
          </cell>
          <cell r="F583">
            <v>1</v>
          </cell>
          <cell r="G583" t="str">
            <v>ja</v>
          </cell>
          <cell r="H583" t="str">
            <v>[超級] 第2回　※Wizと難易度は同じ</v>
          </cell>
          <cell r="I583" t="str">
            <v>ランキング</v>
          </cell>
          <cell r="J583">
            <v>488</v>
          </cell>
          <cell r="K583">
            <v>5</v>
          </cell>
          <cell r="L583">
            <v>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911</v>
          </cell>
          <cell r="AD583">
            <v>6</v>
          </cell>
          <cell r="AE583" t="str">
            <v>singleonly</v>
          </cell>
        </row>
        <row r="584">
          <cell r="A584" t="str">
            <v>60002_2</v>
          </cell>
          <cell r="B584">
            <v>1</v>
          </cell>
          <cell r="C584">
            <v>60002</v>
          </cell>
          <cell r="D584" t="str">
            <v>ヘンペルチャレンジ</v>
          </cell>
          <cell r="E584" t="str">
            <v>ランキング1</v>
          </cell>
          <cell r="F584">
            <v>2</v>
          </cell>
          <cell r="G584" t="str">
            <v>ja</v>
          </cell>
          <cell r="H584" t="str">
            <v>[ウィザード] 第2回　※Wizと難易度は同じ</v>
          </cell>
          <cell r="I584" t="str">
            <v>ランキング</v>
          </cell>
          <cell r="J584">
            <v>488</v>
          </cell>
          <cell r="K584">
            <v>5</v>
          </cell>
          <cell r="L584">
            <v>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911</v>
          </cell>
          <cell r="AD584">
            <v>6</v>
          </cell>
          <cell r="AE584" t="str">
            <v>singleonly</v>
          </cell>
        </row>
        <row r="585">
          <cell r="A585" t="str">
            <v>60003_1</v>
          </cell>
          <cell r="B585">
            <v>1</v>
          </cell>
          <cell r="C585">
            <v>60003</v>
          </cell>
          <cell r="D585" t="str">
            <v>ヘンペルチャレンジ</v>
          </cell>
          <cell r="E585" t="str">
            <v>ランキング1</v>
          </cell>
          <cell r="F585">
            <v>1</v>
          </cell>
          <cell r="G585" t="str">
            <v>ja</v>
          </cell>
          <cell r="H585" t="str">
            <v>[中級] 第3回　</v>
          </cell>
          <cell r="I585" t="str">
            <v>ランキング</v>
          </cell>
          <cell r="J585">
            <v>488</v>
          </cell>
          <cell r="K585">
            <v>5</v>
          </cell>
          <cell r="L585">
            <v>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none</v>
          </cell>
          <cell r="T585">
            <v>0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911</v>
          </cell>
          <cell r="AD585">
            <v>6</v>
          </cell>
          <cell r="AE585" t="str">
            <v>singleonly</v>
          </cell>
        </row>
        <row r="586">
          <cell r="A586" t="str">
            <v>60003_2</v>
          </cell>
          <cell r="B586">
            <v>1</v>
          </cell>
          <cell r="C586">
            <v>60003</v>
          </cell>
          <cell r="D586" t="str">
            <v>ヘンペルチャレンジ</v>
          </cell>
          <cell r="E586" t="str">
            <v>ランキング1</v>
          </cell>
          <cell r="F586">
            <v>2</v>
          </cell>
          <cell r="G586" t="str">
            <v>ja</v>
          </cell>
          <cell r="H586" t="str">
            <v>[超級] 第3回　</v>
          </cell>
          <cell r="I586" t="str">
            <v>ランキング</v>
          </cell>
          <cell r="J586">
            <v>488</v>
          </cell>
          <cell r="K586">
            <v>5</v>
          </cell>
          <cell r="L586">
            <v>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>
            <v>60003</v>
          </cell>
          <cell r="V586">
            <v>1</v>
          </cell>
          <cell r="W586" t="str">
            <v>[中級] 第3回　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911</v>
          </cell>
          <cell r="AD586">
            <v>6</v>
          </cell>
          <cell r="AE586" t="str">
            <v>singleonly</v>
          </cell>
        </row>
        <row r="587">
          <cell r="A587" t="str">
            <v>60003_3</v>
          </cell>
          <cell r="B587">
            <v>1</v>
          </cell>
          <cell r="C587">
            <v>60003</v>
          </cell>
          <cell r="D587" t="str">
            <v>ヘンペルチャレンジ</v>
          </cell>
          <cell r="E587" t="str">
            <v>ランキング1</v>
          </cell>
          <cell r="F587">
            <v>3</v>
          </cell>
          <cell r="G587" t="str">
            <v>ja</v>
          </cell>
          <cell r="H587" t="str">
            <v>[ウィザード] 第3回　</v>
          </cell>
          <cell r="I587" t="str">
            <v>ランキング</v>
          </cell>
          <cell r="J587">
            <v>488</v>
          </cell>
          <cell r="K587">
            <v>5</v>
          </cell>
          <cell r="L587">
            <v>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>
            <v>60003</v>
          </cell>
          <cell r="V587">
            <v>2</v>
          </cell>
          <cell r="W587" t="str">
            <v>[超級] 第3回　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911</v>
          </cell>
          <cell r="AD587">
            <v>6</v>
          </cell>
          <cell r="AE587" t="str">
            <v>singleonly</v>
          </cell>
        </row>
        <row r="588">
          <cell r="A588" t="str">
            <v>60004_1</v>
          </cell>
          <cell r="B588">
            <v>1</v>
          </cell>
          <cell r="C588">
            <v>60004</v>
          </cell>
          <cell r="D588" t="str">
            <v>ヘンペルチャレンジ</v>
          </cell>
          <cell r="E588" t="str">
            <v>ランキング1</v>
          </cell>
          <cell r="F588">
            <v>1</v>
          </cell>
          <cell r="G588" t="str">
            <v>ja</v>
          </cell>
          <cell r="H588" t="str">
            <v>[ウィザード] 第4回　</v>
          </cell>
          <cell r="I588" t="str">
            <v>ランキング</v>
          </cell>
          <cell r="J588">
            <v>488</v>
          </cell>
          <cell r="K588">
            <v>5</v>
          </cell>
          <cell r="L588">
            <v>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none</v>
          </cell>
          <cell r="T588">
            <v>0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911</v>
          </cell>
          <cell r="AD588">
            <v>6</v>
          </cell>
          <cell r="AE588" t="str">
            <v>singleonly</v>
          </cell>
        </row>
        <row r="589">
          <cell r="A589" t="str">
            <v>60005_1</v>
          </cell>
          <cell r="B589">
            <v>1</v>
          </cell>
          <cell r="C589">
            <v>60005</v>
          </cell>
          <cell r="D589" t="str">
            <v>オイラーチャレンジ</v>
          </cell>
          <cell r="E589" t="str">
            <v>ランキング1</v>
          </cell>
          <cell r="F589">
            <v>1</v>
          </cell>
          <cell r="G589" t="str">
            <v>ja</v>
          </cell>
          <cell r="H589" t="str">
            <v>[ウィザード] 第5回　</v>
          </cell>
          <cell r="I589" t="str">
            <v>ランキング</v>
          </cell>
          <cell r="J589">
            <v>379</v>
          </cell>
          <cell r="K589">
            <v>5</v>
          </cell>
          <cell r="L589">
            <v>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923</v>
          </cell>
          <cell r="AD589">
            <v>6</v>
          </cell>
          <cell r="AE589" t="str">
            <v>singleonly</v>
          </cell>
        </row>
        <row r="590">
          <cell r="A590" t="str">
            <v>60006_1</v>
          </cell>
          <cell r="B590">
            <v>0</v>
          </cell>
          <cell r="C590">
            <v>60006</v>
          </cell>
          <cell r="D590" t="str">
            <v>オイラーチャレンジ</v>
          </cell>
          <cell r="E590" t="str">
            <v>ランキング1（本番実装用）</v>
          </cell>
          <cell r="F590">
            <v>1</v>
          </cell>
          <cell r="G590" t="str">
            <v>ja</v>
          </cell>
          <cell r="H590" t="str">
            <v>【中級】オイラーチャレンジ</v>
          </cell>
          <cell r="I590" t="str">
            <v>中級</v>
          </cell>
          <cell r="J590">
            <v>378</v>
          </cell>
          <cell r="K590">
            <v>15</v>
          </cell>
          <cell r="L590">
            <v>1200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>
            <v>60006</v>
          </cell>
          <cell r="V590">
            <v>1</v>
          </cell>
          <cell r="W590" t="str">
            <v>【中級】オイラーチャレンジ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923</v>
          </cell>
          <cell r="AD590">
            <v>6</v>
          </cell>
          <cell r="AE590" t="str">
            <v>singleonly</v>
          </cell>
        </row>
        <row r="591">
          <cell r="A591" t="str">
            <v>60006_2</v>
          </cell>
          <cell r="B591">
            <v>0</v>
          </cell>
          <cell r="C591">
            <v>60006</v>
          </cell>
          <cell r="D591" t="str">
            <v>オイラーチャレンジ</v>
          </cell>
          <cell r="E591" t="str">
            <v>ランキング1（本番実装用）</v>
          </cell>
          <cell r="F591">
            <v>2</v>
          </cell>
          <cell r="G591" t="str">
            <v>ja</v>
          </cell>
          <cell r="H591" t="str">
            <v>【超級】オイラーチャレンジ</v>
          </cell>
          <cell r="I591" t="str">
            <v>超級</v>
          </cell>
          <cell r="J591">
            <v>378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none</v>
          </cell>
          <cell r="T591">
            <v>0</v>
          </cell>
          <cell r="U591">
            <v>60006</v>
          </cell>
          <cell r="V591">
            <v>2</v>
          </cell>
          <cell r="W591" t="str">
            <v>【超級】オイラーチャレンジ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923</v>
          </cell>
          <cell r="AD591">
            <v>6</v>
          </cell>
          <cell r="AE591" t="str">
            <v>singleonly</v>
          </cell>
        </row>
        <row r="592">
          <cell r="A592" t="str">
            <v>60006_3</v>
          </cell>
          <cell r="B592">
            <v>3</v>
          </cell>
          <cell r="C592">
            <v>60006</v>
          </cell>
          <cell r="D592" t="str">
            <v>オイラーチャレンジ</v>
          </cell>
          <cell r="E592" t="str">
            <v>ランキング1（本番実装用）</v>
          </cell>
          <cell r="F592">
            <v>3</v>
          </cell>
          <cell r="G592" t="str">
            <v>ja</v>
          </cell>
          <cell r="H592" t="str">
            <v>【ウィザード級】オイラーチャレンジ</v>
          </cell>
          <cell r="I592" t="str">
            <v>ウィザード級</v>
          </cell>
          <cell r="J592">
            <v>379</v>
          </cell>
          <cell r="K592">
            <v>35</v>
          </cell>
          <cell r="L592">
            <v>4200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>
            <v>60006</v>
          </cell>
          <cell r="V592">
            <v>3</v>
          </cell>
          <cell r="W592" t="str">
            <v>【ウィザード級】オイラーチャレンジ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923</v>
          </cell>
          <cell r="AD592">
            <v>6</v>
          </cell>
          <cell r="AE592" t="str">
            <v>singleonly</v>
          </cell>
        </row>
        <row r="593">
          <cell r="A593" t="str">
            <v>60007_1</v>
          </cell>
          <cell r="B593">
            <v>0</v>
          </cell>
          <cell r="C593">
            <v>60007</v>
          </cell>
          <cell r="D593" t="str">
            <v>オイラーチャレンジ</v>
          </cell>
          <cell r="E593" t="str">
            <v>ランキング1（改修版）</v>
          </cell>
          <cell r="F593">
            <v>1</v>
          </cell>
          <cell r="G593" t="str">
            <v>ja</v>
          </cell>
          <cell r="H593" t="str">
            <v>【中級】オイラーチャレンジ</v>
          </cell>
          <cell r="I593" t="str">
            <v>中級</v>
          </cell>
          <cell r="J593">
            <v>378</v>
          </cell>
          <cell r="K593">
            <v>15</v>
          </cell>
          <cell r="L593">
            <v>1200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923</v>
          </cell>
          <cell r="AD593">
            <v>6</v>
          </cell>
          <cell r="AE593" t="str">
            <v>singleonly</v>
          </cell>
        </row>
        <row r="594">
          <cell r="A594" t="str">
            <v>60007_2</v>
          </cell>
          <cell r="B594">
            <v>0</v>
          </cell>
          <cell r="C594">
            <v>60007</v>
          </cell>
          <cell r="D594" t="str">
            <v>オイラーチャレンジ</v>
          </cell>
          <cell r="E594" t="str">
            <v>ランキング1（改修版）</v>
          </cell>
          <cell r="F594">
            <v>2</v>
          </cell>
          <cell r="G594" t="str">
            <v>ja</v>
          </cell>
          <cell r="H594" t="str">
            <v>【超級】オイラーチャレンジ</v>
          </cell>
          <cell r="I594" t="str">
            <v>超級</v>
          </cell>
          <cell r="J594">
            <v>378</v>
          </cell>
          <cell r="K594">
            <v>30</v>
          </cell>
          <cell r="L594">
            <v>3300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none</v>
          </cell>
          <cell r="T594">
            <v>0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923</v>
          </cell>
          <cell r="AD594">
            <v>6</v>
          </cell>
          <cell r="AE594" t="str">
            <v>singleonly</v>
          </cell>
        </row>
        <row r="595">
          <cell r="A595" t="str">
            <v>60007_3</v>
          </cell>
          <cell r="B595">
            <v>3</v>
          </cell>
          <cell r="C595">
            <v>60007</v>
          </cell>
          <cell r="D595" t="str">
            <v>オイラーチャレンジ</v>
          </cell>
          <cell r="E595" t="str">
            <v>ランキング1（改修版）</v>
          </cell>
          <cell r="F595">
            <v>3</v>
          </cell>
          <cell r="G595" t="str">
            <v>ja</v>
          </cell>
          <cell r="H595" t="str">
            <v>【ウィザード級】オイラーチャレンジ</v>
          </cell>
          <cell r="I595" t="str">
            <v>ウィザード級</v>
          </cell>
          <cell r="J595">
            <v>379</v>
          </cell>
          <cell r="K595">
            <v>35</v>
          </cell>
          <cell r="L595">
            <v>4200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923</v>
          </cell>
          <cell r="AD595">
            <v>6</v>
          </cell>
          <cell r="AE595" t="str">
            <v>singleonly</v>
          </cell>
        </row>
        <row r="596">
          <cell r="A596" t="str">
            <v>60010_1</v>
          </cell>
          <cell r="B596">
            <v>3</v>
          </cell>
          <cell r="C596">
            <v>60010</v>
          </cell>
          <cell r="D596" t="str">
            <v>ラグランジュチャレンジ</v>
          </cell>
          <cell r="E596" t="str">
            <v>ランキング2（ラグランジュ）</v>
          </cell>
          <cell r="F596">
            <v>1</v>
          </cell>
          <cell r="G596" t="str">
            <v>ja</v>
          </cell>
          <cell r="H596" t="str">
            <v>ラグランジュチャレンジ</v>
          </cell>
          <cell r="I596" t="str">
            <v>ウィザード級</v>
          </cell>
          <cell r="J596">
            <v>796</v>
          </cell>
          <cell r="K596">
            <v>35</v>
          </cell>
          <cell r="L596">
            <v>4200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922</v>
          </cell>
          <cell r="AD596">
            <v>6</v>
          </cell>
          <cell r="AE596" t="str">
            <v>singleonly</v>
          </cell>
        </row>
        <row r="597">
          <cell r="A597" t="str">
            <v>65535_1</v>
          </cell>
          <cell r="B597">
            <v>1</v>
          </cell>
          <cell r="C597">
            <v>65535</v>
          </cell>
          <cell r="D597" t="str">
            <v>検証クエスト</v>
          </cell>
          <cell r="E597" t="str">
            <v>検証</v>
          </cell>
          <cell r="F597">
            <v>1</v>
          </cell>
          <cell r="G597" t="str">
            <v>ja</v>
          </cell>
          <cell r="H597" t="str">
            <v>テンプレート</v>
          </cell>
          <cell r="I597" t="str">
            <v>検証</v>
          </cell>
          <cell r="J597" t="str">
            <v>NULL</v>
          </cell>
          <cell r="K597">
            <v>1</v>
          </cell>
          <cell r="L597">
            <v>1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none</v>
          </cell>
          <cell r="T597">
            <v>0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903</v>
          </cell>
          <cell r="AD597">
            <v>6</v>
          </cell>
          <cell r="AE597" t="str">
            <v>everyone</v>
          </cell>
        </row>
        <row r="598">
          <cell r="A598" t="str">
            <v>65535_2</v>
          </cell>
          <cell r="B598">
            <v>1</v>
          </cell>
          <cell r="C598">
            <v>65535</v>
          </cell>
          <cell r="D598" t="str">
            <v>検証クエスト</v>
          </cell>
          <cell r="E598" t="str">
            <v>検証</v>
          </cell>
          <cell r="F598">
            <v>2</v>
          </cell>
          <cell r="G598" t="str">
            <v>ja</v>
          </cell>
          <cell r="H598" t="str">
            <v>ランクアップクエスト</v>
          </cell>
          <cell r="I598" t="str">
            <v>検証</v>
          </cell>
          <cell r="J598" t="str">
            <v>NULL</v>
          </cell>
          <cell r="K598">
            <v>1</v>
          </cell>
          <cell r="L598">
            <v>65535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903</v>
          </cell>
          <cell r="AD598">
            <v>6</v>
          </cell>
          <cell r="AE598" t="str">
            <v>everyone</v>
          </cell>
        </row>
        <row r="599">
          <cell r="A599" t="str">
            <v>65535_3</v>
          </cell>
          <cell r="B599">
            <v>1</v>
          </cell>
          <cell r="C599">
            <v>65535</v>
          </cell>
          <cell r="D599" t="str">
            <v>検証クエスト</v>
          </cell>
          <cell r="E599" t="str">
            <v>検証</v>
          </cell>
          <cell r="F599">
            <v>3</v>
          </cell>
          <cell r="G599" t="str">
            <v>ja</v>
          </cell>
          <cell r="H599" t="str">
            <v>サンドボックス</v>
          </cell>
          <cell r="I599" t="str">
            <v>検証</v>
          </cell>
          <cell r="J599" t="str">
            <v>NULL</v>
          </cell>
          <cell r="K599">
            <v>1</v>
          </cell>
          <cell r="L599">
            <v>1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105</v>
          </cell>
          <cell r="AD599">
            <v>6</v>
          </cell>
          <cell r="AE599" t="str">
            <v>everyone</v>
          </cell>
        </row>
        <row r="600">
          <cell r="A600" t="str">
            <v>65535_4</v>
          </cell>
          <cell r="B600">
            <v>1</v>
          </cell>
          <cell r="C600">
            <v>65535</v>
          </cell>
          <cell r="D600" t="str">
            <v>検証クエスト</v>
          </cell>
          <cell r="E600" t="str">
            <v>検証</v>
          </cell>
          <cell r="F600">
            <v>4</v>
          </cell>
          <cell r="G600" t="str">
            <v>ja</v>
          </cell>
          <cell r="H600" t="str">
            <v>フリーズジャンヌ</v>
          </cell>
          <cell r="I600" t="str">
            <v>検証</v>
          </cell>
          <cell r="J600" t="str">
            <v>NULL</v>
          </cell>
          <cell r="K600">
            <v>1</v>
          </cell>
          <cell r="L600">
            <v>1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none</v>
          </cell>
          <cell r="T600">
            <v>0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105</v>
          </cell>
          <cell r="AD600">
            <v>6</v>
          </cell>
          <cell r="AE600" t="str">
            <v>everyone</v>
          </cell>
        </row>
        <row r="601">
          <cell r="A601" t="str">
            <v>65535_5</v>
          </cell>
          <cell r="B601">
            <v>1</v>
          </cell>
          <cell r="C601">
            <v>65535</v>
          </cell>
          <cell r="D601" t="str">
            <v>検証クエスト</v>
          </cell>
          <cell r="E601" t="str">
            <v>検証</v>
          </cell>
          <cell r="F601">
            <v>5</v>
          </cell>
          <cell r="G601" t="str">
            <v>ja</v>
          </cell>
          <cell r="H601" t="str">
            <v>ウィルスジャンヌ</v>
          </cell>
          <cell r="I601" t="str">
            <v>検証</v>
          </cell>
          <cell r="J601" t="str">
            <v>NULL</v>
          </cell>
          <cell r="K601">
            <v>1</v>
          </cell>
          <cell r="L601">
            <v>1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105</v>
          </cell>
          <cell r="AD601">
            <v>6</v>
          </cell>
          <cell r="AE601" t="str">
            <v>everyone</v>
          </cell>
        </row>
        <row r="602">
          <cell r="A602" t="str">
            <v>65535_6</v>
          </cell>
          <cell r="B602">
            <v>1</v>
          </cell>
          <cell r="C602">
            <v>65535</v>
          </cell>
          <cell r="D602" t="str">
            <v>検証クエスト</v>
          </cell>
          <cell r="E602" t="str">
            <v>検証</v>
          </cell>
          <cell r="F602">
            <v>6</v>
          </cell>
          <cell r="G602" t="str">
            <v>ja</v>
          </cell>
          <cell r="H602" t="str">
            <v>お邪魔ジャンヌ</v>
          </cell>
          <cell r="I602" t="str">
            <v>検証</v>
          </cell>
          <cell r="J602" t="str">
            <v>NULL</v>
          </cell>
          <cell r="K602">
            <v>1</v>
          </cell>
          <cell r="L602">
            <v>1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105</v>
          </cell>
          <cell r="AD602">
            <v>6</v>
          </cell>
          <cell r="AE602" t="str">
            <v>everyone</v>
          </cell>
        </row>
        <row r="603">
          <cell r="A603" t="str">
            <v>65535_7</v>
          </cell>
          <cell r="B603">
            <v>1</v>
          </cell>
          <cell r="C603">
            <v>65535</v>
          </cell>
          <cell r="D603" t="str">
            <v>検証クエスト</v>
          </cell>
          <cell r="E603" t="str">
            <v>検証</v>
          </cell>
          <cell r="F603">
            <v>7</v>
          </cell>
          <cell r="G603" t="str">
            <v>ja</v>
          </cell>
          <cell r="H603" t="str">
            <v>爆風ジャンヌ</v>
          </cell>
          <cell r="I603" t="str">
            <v>検証</v>
          </cell>
          <cell r="J603" t="str">
            <v>NULL</v>
          </cell>
          <cell r="K603">
            <v>1</v>
          </cell>
          <cell r="L603">
            <v>1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none</v>
          </cell>
          <cell r="T603">
            <v>0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105</v>
          </cell>
          <cell r="AD603">
            <v>6</v>
          </cell>
          <cell r="AE603" t="str">
            <v>everyone</v>
          </cell>
        </row>
        <row r="604">
          <cell r="A604" t="str">
            <v>65535_8</v>
          </cell>
          <cell r="B604">
            <v>1</v>
          </cell>
          <cell r="C604">
            <v>65535</v>
          </cell>
          <cell r="D604" t="str">
            <v>検証クエスト</v>
          </cell>
          <cell r="E604" t="str">
            <v>検証</v>
          </cell>
          <cell r="F604">
            <v>8</v>
          </cell>
          <cell r="G604" t="str">
            <v>ja</v>
          </cell>
          <cell r="H604" t="str">
            <v>テスト</v>
          </cell>
          <cell r="I604" t="str">
            <v>検証</v>
          </cell>
          <cell r="J604" t="str">
            <v>NULL</v>
          </cell>
          <cell r="K604">
            <v>1</v>
          </cell>
          <cell r="L604">
            <v>1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105</v>
          </cell>
          <cell r="AD604">
            <v>6</v>
          </cell>
          <cell r="AE604" t="str">
            <v>everyone</v>
          </cell>
        </row>
        <row r="605">
          <cell r="A605" t="str">
            <v>60021_3</v>
          </cell>
          <cell r="B605">
            <v>1</v>
          </cell>
          <cell r="C605">
            <v>60021</v>
          </cell>
          <cell r="D605" t="str">
            <v>【月曜限定】 黄の素材verハンプ検証</v>
          </cell>
          <cell r="E605" t="str">
            <v>検証</v>
          </cell>
          <cell r="F605">
            <v>3</v>
          </cell>
          <cell r="G605" t="str">
            <v>ja</v>
          </cell>
          <cell r="H605" t="str">
            <v>【上級】ハンプティ検証</v>
          </cell>
          <cell r="I605" t="str">
            <v>上級</v>
          </cell>
          <cell r="J605">
            <v>84</v>
          </cell>
          <cell r="K605">
            <v>20</v>
          </cell>
          <cell r="L605">
            <v>860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101</v>
          </cell>
          <cell r="AD605">
            <v>6</v>
          </cell>
          <cell r="AE605" t="str">
            <v>everyone</v>
          </cell>
        </row>
        <row r="606">
          <cell r="A606" t="str">
            <v>60022_3</v>
          </cell>
          <cell r="B606">
            <v>1</v>
          </cell>
          <cell r="C606">
            <v>60022</v>
          </cell>
          <cell r="D606" t="str">
            <v>【火曜限定】 赤の素材verハンプ検証</v>
          </cell>
          <cell r="E606" t="str">
            <v>検証</v>
          </cell>
          <cell r="F606">
            <v>3</v>
          </cell>
          <cell r="G606" t="str">
            <v>ja</v>
          </cell>
          <cell r="H606" t="str">
            <v>【上級】ハンプティ検証</v>
          </cell>
          <cell r="I606" t="str">
            <v>上級</v>
          </cell>
          <cell r="J606">
            <v>84</v>
          </cell>
          <cell r="K606">
            <v>20</v>
          </cell>
          <cell r="L606">
            <v>860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none</v>
          </cell>
          <cell r="T606">
            <v>0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101</v>
          </cell>
          <cell r="AD606">
            <v>6</v>
          </cell>
          <cell r="AE606" t="str">
            <v>everyone</v>
          </cell>
        </row>
        <row r="607">
          <cell r="A607" t="str">
            <v>60023_3</v>
          </cell>
          <cell r="B607">
            <v>1</v>
          </cell>
          <cell r="C607">
            <v>60023</v>
          </cell>
          <cell r="D607" t="str">
            <v>【水曜限定】 青の素材verハンプ検証</v>
          </cell>
          <cell r="E607" t="str">
            <v>検証</v>
          </cell>
          <cell r="F607">
            <v>3</v>
          </cell>
          <cell r="G607" t="str">
            <v>ja</v>
          </cell>
          <cell r="H607" t="str">
            <v>【上級】ハンプティ検証</v>
          </cell>
          <cell r="I607" t="str">
            <v>上級</v>
          </cell>
          <cell r="J607">
            <v>84</v>
          </cell>
          <cell r="K607">
            <v>20</v>
          </cell>
          <cell r="L607">
            <v>860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101</v>
          </cell>
          <cell r="AD607">
            <v>6</v>
          </cell>
          <cell r="AE607" t="str">
            <v>everyone</v>
          </cell>
        </row>
        <row r="608">
          <cell r="A608" t="str">
            <v>60024_3</v>
          </cell>
          <cell r="B608">
            <v>1</v>
          </cell>
          <cell r="C608">
            <v>60024</v>
          </cell>
          <cell r="D608" t="str">
            <v>【木曜限定】 緑の素材verハンプ検証</v>
          </cell>
          <cell r="E608" t="str">
            <v>検証</v>
          </cell>
          <cell r="F608">
            <v>3</v>
          </cell>
          <cell r="G608" t="str">
            <v>ja</v>
          </cell>
          <cell r="H608" t="str">
            <v>【上級】ハンプティ検証</v>
          </cell>
          <cell r="I608" t="str">
            <v>上級</v>
          </cell>
          <cell r="J608">
            <v>84</v>
          </cell>
          <cell r="K608">
            <v>20</v>
          </cell>
          <cell r="L608">
            <v>860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101</v>
          </cell>
          <cell r="AD608">
            <v>6</v>
          </cell>
          <cell r="AE608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8001</v>
          </cell>
        </row>
        <row r="1071">
          <cell r="A1071">
            <v>8002</v>
          </cell>
        </row>
        <row r="1072">
          <cell r="A1072">
            <v>8003</v>
          </cell>
        </row>
        <row r="1073">
          <cell r="A1073">
            <v>8004</v>
          </cell>
        </row>
        <row r="1074">
          <cell r="A1074">
            <v>8005</v>
          </cell>
        </row>
        <row r="1075">
          <cell r="A1075">
            <v>8006</v>
          </cell>
        </row>
        <row r="1076">
          <cell r="A1076">
            <v>8007</v>
          </cell>
        </row>
        <row r="1077">
          <cell r="A1077">
            <v>8008</v>
          </cell>
        </row>
        <row r="1078">
          <cell r="A1078">
            <v>8009</v>
          </cell>
        </row>
        <row r="1079">
          <cell r="A1079">
            <v>8010</v>
          </cell>
        </row>
        <row r="1080">
          <cell r="A1080">
            <v>8011</v>
          </cell>
        </row>
        <row r="1081">
          <cell r="A1081">
            <v>8012</v>
          </cell>
        </row>
        <row r="1082">
          <cell r="A1082">
            <v>8013</v>
          </cell>
        </row>
        <row r="1083">
          <cell r="A1083">
            <v>8014</v>
          </cell>
        </row>
        <row r="1084">
          <cell r="A1084">
            <v>8015</v>
          </cell>
        </row>
        <row r="1085">
          <cell r="A1085">
            <v>8016</v>
          </cell>
        </row>
        <row r="1086">
          <cell r="A1086">
            <v>8017</v>
          </cell>
        </row>
        <row r="1087">
          <cell r="A1087">
            <v>8018</v>
          </cell>
        </row>
        <row r="1088">
          <cell r="A1088">
            <v>8019</v>
          </cell>
        </row>
        <row r="1089">
          <cell r="A1089">
            <v>8020</v>
          </cell>
        </row>
        <row r="1090">
          <cell r="A1090">
            <v>8021</v>
          </cell>
        </row>
        <row r="1091">
          <cell r="A1091">
            <v>8022</v>
          </cell>
        </row>
        <row r="1092">
          <cell r="A1092">
            <v>8023</v>
          </cell>
        </row>
        <row r="1093">
          <cell r="A1093">
            <v>8024</v>
          </cell>
        </row>
        <row r="1094">
          <cell r="A1094">
            <v>8025</v>
          </cell>
        </row>
        <row r="1095">
          <cell r="A1095">
            <v>8026</v>
          </cell>
        </row>
        <row r="1096">
          <cell r="A1096">
            <v>8027</v>
          </cell>
        </row>
        <row r="1097">
          <cell r="A1097">
            <v>8028</v>
          </cell>
        </row>
        <row r="1098">
          <cell r="A1098">
            <v>8029</v>
          </cell>
        </row>
        <row r="1099">
          <cell r="A109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8001</v>
          </cell>
        </row>
        <row r="1071">
          <cell r="A1071">
            <v>8002</v>
          </cell>
        </row>
        <row r="1072">
          <cell r="A1072">
            <v>8003</v>
          </cell>
        </row>
        <row r="1073">
          <cell r="A1073">
            <v>8004</v>
          </cell>
        </row>
        <row r="1074">
          <cell r="A1074">
            <v>8005</v>
          </cell>
        </row>
        <row r="1075">
          <cell r="A1075">
            <v>8006</v>
          </cell>
        </row>
        <row r="1076">
          <cell r="A1076">
            <v>8007</v>
          </cell>
        </row>
        <row r="1077">
          <cell r="A1077">
            <v>8008</v>
          </cell>
        </row>
        <row r="1078">
          <cell r="A1078">
            <v>8009</v>
          </cell>
        </row>
        <row r="1079">
          <cell r="A1079">
            <v>8010</v>
          </cell>
        </row>
        <row r="1080">
          <cell r="A1080">
            <v>8011</v>
          </cell>
        </row>
        <row r="1081">
          <cell r="A1081">
            <v>8012</v>
          </cell>
        </row>
        <row r="1082">
          <cell r="A1082">
            <v>8013</v>
          </cell>
        </row>
        <row r="1083">
          <cell r="A1083">
            <v>8014</v>
          </cell>
        </row>
        <row r="1084">
          <cell r="A1084">
            <v>8015</v>
          </cell>
        </row>
        <row r="1085">
          <cell r="A1085">
            <v>8016</v>
          </cell>
        </row>
        <row r="1086">
          <cell r="A1086">
            <v>8017</v>
          </cell>
        </row>
        <row r="1087">
          <cell r="A1087">
            <v>8018</v>
          </cell>
        </row>
        <row r="1088">
          <cell r="A1088">
            <v>8019</v>
          </cell>
        </row>
        <row r="1089">
          <cell r="A1089">
            <v>8020</v>
          </cell>
        </row>
        <row r="1090">
          <cell r="A1090">
            <v>8021</v>
          </cell>
        </row>
        <row r="1091">
          <cell r="A1091">
            <v>8022</v>
          </cell>
        </row>
        <row r="1092">
          <cell r="A1092">
            <v>8023</v>
          </cell>
        </row>
        <row r="1093">
          <cell r="A1093">
            <v>8024</v>
          </cell>
        </row>
        <row r="1094">
          <cell r="A1094">
            <v>8025</v>
          </cell>
        </row>
        <row r="1095">
          <cell r="A1095">
            <v>8026</v>
          </cell>
        </row>
        <row r="1096">
          <cell r="A1096">
            <v>8027</v>
          </cell>
        </row>
        <row r="1097">
          <cell r="A1097">
            <v>8028</v>
          </cell>
        </row>
        <row r="1098">
          <cell r="A1098">
            <v>8029</v>
          </cell>
        </row>
        <row r="1099">
          <cell r="A109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opLeftCell="B1" workbookViewId="0">
      <selection activeCell="E12" sqref="E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128</v>
      </c>
      <c r="B1" s="54" t="s">
        <v>98</v>
      </c>
      <c r="C1" s="54" t="s">
        <v>99</v>
      </c>
      <c r="D1" s="54" t="s">
        <v>100</v>
      </c>
      <c r="E1" s="54" t="s">
        <v>101</v>
      </c>
      <c r="F1" s="54" t="s">
        <v>102</v>
      </c>
      <c r="G1" s="54" t="s">
        <v>103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189</v>
      </c>
      <c r="B2" s="56" t="s">
        <v>104</v>
      </c>
      <c r="C2" s="61">
        <v>49005</v>
      </c>
      <c r="D2" s="56" t="s">
        <v>105</v>
      </c>
      <c r="E2" s="55" t="str">
        <f>B2&amp;C2&amp;D2</f>
        <v>floors_49005.tmp</v>
      </c>
      <c r="F2" s="56" t="s">
        <v>106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189</v>
      </c>
      <c r="B3" s="56" t="s">
        <v>107</v>
      </c>
      <c r="C3" s="61">
        <v>49005</v>
      </c>
      <c r="D3" s="56" t="s">
        <v>105</v>
      </c>
      <c r="E3" s="55" t="str">
        <f>B3&amp;C3&amp;D3</f>
        <v>enemy_habitats_49005.tmp</v>
      </c>
      <c r="F3" s="56" t="s">
        <v>108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171</v>
      </c>
    </row>
    <row r="4" spans="1:30" x14ac:dyDescent="0.15">
      <c r="A4" s="60" t="s">
        <v>190</v>
      </c>
      <c r="B4" s="56" t="s">
        <v>109</v>
      </c>
      <c r="C4" s="61">
        <v>49005</v>
      </c>
      <c r="D4" s="56" t="s">
        <v>105</v>
      </c>
      <c r="E4" s="55" t="str">
        <f>B4&amp;C4&amp;D4</f>
        <v>enemy_habitat_S_49005.tmp</v>
      </c>
      <c r="F4" s="56" t="s">
        <v>110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189</v>
      </c>
      <c r="B5" s="56" t="s">
        <v>111</v>
      </c>
      <c r="C5" s="61">
        <v>49005</v>
      </c>
      <c r="D5" s="56" t="s">
        <v>105</v>
      </c>
      <c r="E5" s="55" t="str">
        <f>B5&amp;C5&amp;D5</f>
        <v>enemy_skill_sets_49005.tmp</v>
      </c>
      <c r="F5" s="56" t="s">
        <v>112</v>
      </c>
      <c r="G5" s="58" t="s">
        <v>22</v>
      </c>
      <c r="H5" s="58" t="s">
        <v>97</v>
      </c>
      <c r="I5" s="58" t="s">
        <v>92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189</v>
      </c>
      <c r="B6" s="56" t="s">
        <v>113</v>
      </c>
      <c r="C6" s="61">
        <v>49005</v>
      </c>
      <c r="D6" s="56" t="s">
        <v>114</v>
      </c>
      <c r="E6" s="55" t="str">
        <f t="shared" ref="E6:E12" si="0">B6&amp;C6&amp;D6</f>
        <v>enemy_skills_tmp_49005.tmp</v>
      </c>
      <c r="F6" s="56" t="s">
        <v>88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189</v>
      </c>
      <c r="B7" s="56" t="s">
        <v>115</v>
      </c>
      <c r="C7" s="61">
        <v>49005</v>
      </c>
      <c r="D7" s="56" t="s">
        <v>105</v>
      </c>
      <c r="E7" s="55" t="str">
        <f>B7&amp;C7&amp;D7</f>
        <v>enemy_skills_i18n_49005.tmp</v>
      </c>
      <c r="F7" s="56" t="s">
        <v>116</v>
      </c>
      <c r="G7" s="57" t="s">
        <v>79</v>
      </c>
      <c r="H7" s="57" t="s">
        <v>89</v>
      </c>
      <c r="I7" s="57" t="s">
        <v>90</v>
      </c>
      <c r="J7" s="57" t="s">
        <v>91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189</v>
      </c>
      <c r="B8" s="56" t="s">
        <v>117</v>
      </c>
      <c r="C8" s="61">
        <v>49005</v>
      </c>
      <c r="D8" s="56" t="s">
        <v>118</v>
      </c>
      <c r="E8" s="55" t="str">
        <f t="shared" si="0"/>
        <v>enemy_skill_triggers_49005.tmp</v>
      </c>
      <c r="F8" s="56" t="s">
        <v>119</v>
      </c>
      <c r="G8" s="57" t="s">
        <v>92</v>
      </c>
      <c r="H8" s="57" t="s">
        <v>93</v>
      </c>
      <c r="I8" s="57" t="s">
        <v>94</v>
      </c>
      <c r="J8" s="57" t="s">
        <v>95</v>
      </c>
      <c r="K8" s="57" t="s">
        <v>120</v>
      </c>
      <c r="L8" s="57" t="s">
        <v>96</v>
      </c>
      <c r="M8" s="57" t="s">
        <v>121</v>
      </c>
      <c r="N8" s="57" t="s">
        <v>122</v>
      </c>
      <c r="O8" s="57" t="s">
        <v>123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107" t="s">
        <v>349</v>
      </c>
      <c r="B9" s="108" t="s">
        <v>337</v>
      </c>
      <c r="C9" s="61">
        <v>49005</v>
      </c>
      <c r="D9" s="108" t="s">
        <v>338</v>
      </c>
      <c r="E9" s="55" t="str">
        <f t="shared" si="0"/>
        <v>stage_bug_bonuses_49005.tmp</v>
      </c>
      <c r="F9" s="108" t="s">
        <v>339</v>
      </c>
      <c r="G9" s="109" t="s">
        <v>0</v>
      </c>
      <c r="H9" s="109" t="s">
        <v>1</v>
      </c>
      <c r="I9" s="109" t="s">
        <v>340</v>
      </c>
      <c r="J9" s="110" t="s">
        <v>341</v>
      </c>
      <c r="K9" s="109" t="s">
        <v>342</v>
      </c>
      <c r="L9" s="109" t="s">
        <v>343</v>
      </c>
      <c r="M9" s="109" t="s">
        <v>344</v>
      </c>
      <c r="N9" s="109" t="s">
        <v>3</v>
      </c>
      <c r="O9" s="109" t="s">
        <v>345</v>
      </c>
      <c r="P9" s="109" t="s">
        <v>37</v>
      </c>
      <c r="Q9" s="109" t="s">
        <v>39</v>
      </c>
      <c r="R9" s="109" t="s">
        <v>41</v>
      </c>
      <c r="S9" s="109" t="s">
        <v>43</v>
      </c>
      <c r="T9" s="109" t="s">
        <v>45</v>
      </c>
      <c r="U9" s="109" t="s">
        <v>346</v>
      </c>
      <c r="V9" s="109" t="s">
        <v>347</v>
      </c>
      <c r="W9" s="109" t="s">
        <v>348</v>
      </c>
    </row>
    <row r="10" spans="1:30" s="74" customFormat="1" x14ac:dyDescent="0.15">
      <c r="A10" s="60" t="s">
        <v>189</v>
      </c>
      <c r="B10" s="66" t="s">
        <v>323</v>
      </c>
      <c r="C10" s="61">
        <v>49005</v>
      </c>
      <c r="D10" s="66" t="s">
        <v>169</v>
      </c>
      <c r="E10" s="67" t="str">
        <f t="shared" si="0"/>
        <v>stage_hints_data_c_49005.tmp</v>
      </c>
      <c r="F10" s="66" t="s">
        <v>324</v>
      </c>
      <c r="G10" s="71" t="s">
        <v>325</v>
      </c>
      <c r="H10" s="71" t="s">
        <v>326</v>
      </c>
      <c r="I10" s="72" t="s">
        <v>327</v>
      </c>
      <c r="J10" s="65" t="s">
        <v>328</v>
      </c>
      <c r="K10" s="73" t="s">
        <v>329</v>
      </c>
    </row>
    <row r="11" spans="1:30" s="74" customFormat="1" x14ac:dyDescent="0.15">
      <c r="A11" s="60" t="s">
        <v>189</v>
      </c>
      <c r="B11" s="66" t="s">
        <v>330</v>
      </c>
      <c r="C11" s="61">
        <v>49005</v>
      </c>
      <c r="D11" s="66" t="s">
        <v>169</v>
      </c>
      <c r="E11" s="67" t="str">
        <f t="shared" si="0"/>
        <v>stage_hints_data_f_49005.tmp</v>
      </c>
      <c r="F11" s="66" t="s">
        <v>331</v>
      </c>
      <c r="G11" s="71" t="s">
        <v>176</v>
      </c>
      <c r="H11" s="71" t="s">
        <v>170</v>
      </c>
      <c r="I11" s="72" t="s">
        <v>332</v>
      </c>
      <c r="J11" s="65" t="s">
        <v>180</v>
      </c>
      <c r="K11" s="73" t="s">
        <v>175</v>
      </c>
    </row>
    <row r="12" spans="1:30" s="74" customFormat="1" x14ac:dyDescent="0.15">
      <c r="A12" s="60" t="s">
        <v>189</v>
      </c>
      <c r="B12" s="66" t="s">
        <v>333</v>
      </c>
      <c r="C12" s="61">
        <v>49005</v>
      </c>
      <c r="D12" s="66" t="s">
        <v>169</v>
      </c>
      <c r="E12" s="67" t="str">
        <f t="shared" si="0"/>
        <v>stage_hints_i18n_49005.tmp</v>
      </c>
      <c r="F12" s="66" t="s">
        <v>331</v>
      </c>
      <c r="G12" s="72" t="s">
        <v>332</v>
      </c>
      <c r="H12" s="105" t="s">
        <v>334</v>
      </c>
      <c r="I12" s="71" t="s">
        <v>173</v>
      </c>
      <c r="J12" s="106" t="s">
        <v>335</v>
      </c>
      <c r="K12" s="73" t="s">
        <v>336</v>
      </c>
    </row>
  </sheetData>
  <phoneticPr fontId="6"/>
  <dataValidations count="1">
    <dataValidation type="list" allowBlank="1" showInputMessage="1" showErrorMessage="1" sqref="A2:A8 A10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C3" sqref="C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49005_1-1</v>
      </c>
      <c r="B2" s="16" t="str">
        <f>IF(COUNTIF(enemy_habitats!$H:$H,A2),"OK","NG")</f>
        <v>OK</v>
      </c>
      <c r="C2" s="7">
        <v>49005</v>
      </c>
      <c r="D2" s="11" t="str">
        <f ca="1">VLOOKUP($C2,OFFSET([2]quests!$A$1,0,0,COUNTA([2]quests!$A:$A),MATCH(D$1,[2]quests!$1:$1,0)-MATCH($C$1,[2]quests!$1:$1,0)+1),MATCH(D$1,[2]quests!$1:$1,0)-MATCH($C$1,[2]quests!$1:$1,0)+1,FALSE)</f>
        <v>襲来クエスト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コラボ降臨5</v>
      </c>
      <c r="F2" s="21">
        <v>1</v>
      </c>
      <c r="G2" s="23" t="str">
        <f>C2&amp;"_"&amp;F2</f>
        <v>49005_1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【ウィザード級】襲来クエスト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49005_1-2</v>
      </c>
      <c r="B3" s="16" t="str">
        <f>IF(COUNTIF(enemy_habitats!$H:$H,A3),"OK","NG")</f>
        <v>OK</v>
      </c>
      <c r="C3" s="7">
        <v>49005</v>
      </c>
      <c r="D3" s="11" t="str">
        <f ca="1">VLOOKUP($C3,OFFSET([2]quests!$A$1,0,0,COUNTA([2]quests!$A:$A),MATCH(D$1,[2]quests!$1:$1,0)-MATCH($C$1,[2]quests!$1:$1,0)+1),MATCH(D$1,[2]quests!$1:$1,0)-MATCH($C$1,[2]quests!$1:$1,0)+1,FALSE)</f>
        <v>襲来クエスト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コラボ降臨5</v>
      </c>
      <c r="F3" s="21">
        <v>1</v>
      </c>
      <c r="G3" s="23" t="str">
        <f>C3&amp;"_"&amp;F3</f>
        <v>49005_1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【ウィザード級】襲来クエスト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49005_1-3</v>
      </c>
      <c r="B4" s="16" t="str">
        <f>IF(COUNTIF(enemy_habitats!$H:$H,A4),"OK","NG")</f>
        <v>OK</v>
      </c>
      <c r="C4" s="7">
        <v>49005</v>
      </c>
      <c r="D4" s="11" t="str">
        <f ca="1">VLOOKUP($C4,OFFSET([2]quests!$A$1,0,0,COUNTA([2]quests!$A:$A),MATCH(D$1,[2]quests!$1:$1,0)-MATCH($C$1,[2]quests!$1:$1,0)+1),MATCH(D$1,[2]quests!$1:$1,0)-MATCH($C$1,[2]quests!$1:$1,0)+1,FALSE)</f>
        <v>襲来クエスト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コラボ降臨5</v>
      </c>
      <c r="F4" s="21">
        <v>1</v>
      </c>
      <c r="G4" s="23" t="str">
        <f>C4&amp;"_"&amp;F4</f>
        <v>49005_1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【ウィザード級】襲来クエスト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>G5&amp;"-"&amp;I5</f>
        <v>49005_1-4</v>
      </c>
      <c r="B5" s="16" t="str">
        <f>IF(COUNTIF(enemy_habitats!$H:$H,A5),"OK","NG")</f>
        <v>OK</v>
      </c>
      <c r="C5" s="7">
        <v>49005</v>
      </c>
      <c r="D5" s="11" t="str">
        <f ca="1">VLOOKUP($C5,OFFSET([2]quests!$A$1,0,0,COUNTA([2]quests!$A:$A),MATCH(D$1,[2]quests!$1:$1,0)-MATCH($C$1,[2]quests!$1:$1,0)+1),MATCH(D$1,[2]quests!$1:$1,0)-MATCH($C$1,[2]quests!$1:$1,0)+1,FALSE)</f>
        <v>襲来クエスト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コラボ降臨5</v>
      </c>
      <c r="F5" s="21">
        <v>1</v>
      </c>
      <c r="G5" s="23" t="str">
        <f>C5&amp;"_"&amp;F5</f>
        <v>49005_1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【ウィザード級】襲来クエスト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"/>
  <sheetViews>
    <sheetView showGridLines="0" zoomScale="75" zoomScaleNormal="75" zoomScalePageLayoutView="75" workbookViewId="0">
      <pane xSplit="17" ySplit="1" topLeftCell="AF2" activePane="bottomRight" state="frozen"/>
      <selection pane="topRight" activeCell="N1" sqref="N1"/>
      <selection pane="bottomLeft" activeCell="A2" sqref="A2"/>
      <selection pane="bottomRight" activeCell="AH8" sqref="AH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6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8.1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172</v>
      </c>
    </row>
    <row r="2" spans="1:40" ht="21" customHeight="1" x14ac:dyDescent="0.15">
      <c r="A2" s="16" t="str">
        <f t="shared" ref="A2:A7" si="0">B2&amp;"_"&amp;C2&amp;"-"&amp;G2&amp;"/"&amp;L2&amp;"&lt;lv"&amp;R2&amp;"&gt;s"&amp;AA2</f>
        <v>49005_1-1/8026&lt;lv80&gt;s2</v>
      </c>
      <c r="B2" s="22">
        <v>49005</v>
      </c>
      <c r="C2" s="21">
        <v>1</v>
      </c>
      <c r="D2" s="2" t="str">
        <f t="shared" ref="D2:D7" si="1">B2&amp;"_"&amp;C2</f>
        <v>49005_1</v>
      </c>
      <c r="E2" s="4" t="str">
        <f ca="1">VLOOKUP($B2,OFFSET([2]quests!$A$1,0,0,COUNTA([2]quests!$A:$A),MATCH(E$1,[2]quests!$1:$1,0)-MATCH($B$1,[2]quests!$1:$1,0)+1),MATCH(E$1,[2]quests!$1:$1,0)-MATCH($B$1,[2]quests!$1:$1,0)+1,FALSE)</f>
        <v>襲来クエスト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【ウィザード級】襲来クエスト</v>
      </c>
      <c r="G2" s="21">
        <v>1</v>
      </c>
      <c r="H2" s="15" t="str">
        <f t="shared" ref="H2:H7" si="2">B2&amp;"_"&amp;C2&amp;"-"&amp;G2</f>
        <v>49005_1-1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8026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CO04_ GA06_R4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80</v>
      </c>
      <c r="S2" s="25">
        <v>0.4</v>
      </c>
      <c r="T2" s="25">
        <v>0.6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このバトルはHP80%でスタート！</v>
      </c>
      <c r="W2" s="4">
        <v>49005002</v>
      </c>
      <c r="X2" s="6">
        <v>1</v>
      </c>
      <c r="Y2" s="6">
        <v>100</v>
      </c>
      <c r="Z2" s="6">
        <v>0</v>
      </c>
      <c r="AA2" s="17">
        <v>2</v>
      </c>
      <c r="AB2" s="24">
        <f t="shared" ref="AB2:AB7" si="3">L2</f>
        <v>8026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CO04_ GA06_R4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7">
        <v>1</v>
      </c>
      <c r="AG2" s="24">
        <f t="shared" ref="AG2:AG7" ca="1" si="4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 t="shared" si="0"/>
        <v>49005_1-1/8028&lt;lv80&gt;s2</v>
      </c>
      <c r="B3" s="22">
        <v>49005</v>
      </c>
      <c r="C3" s="21">
        <v>1</v>
      </c>
      <c r="D3" s="2" t="str">
        <f t="shared" si="1"/>
        <v>49005_1</v>
      </c>
      <c r="E3" s="4" t="str">
        <f ca="1">VLOOKUP($B3,OFFSET([2]quests!$A$1,0,0,COUNTA([2]quests!$A:$A),MATCH(E$1,[2]quests!$1:$1,0)-MATCH($B$1,[2]quests!$1:$1,0)+1),MATCH(E$1,[2]quests!$1:$1,0)-MATCH($B$1,[2]quests!$1:$1,0)+1,FALSE)</f>
        <v>襲来クエスト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【ウィザード級】襲来クエスト</v>
      </c>
      <c r="G3" s="21">
        <v>1</v>
      </c>
      <c r="H3" s="15" t="str">
        <f t="shared" si="2"/>
        <v>49005_1-1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8028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CO04_ GA07_R4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0.6</v>
      </c>
      <c r="T3" s="25">
        <v>0.7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3" s="4">
        <v>49005001</v>
      </c>
      <c r="X3" s="6">
        <v>1</v>
      </c>
      <c r="Y3" s="6">
        <v>100</v>
      </c>
      <c r="Z3" s="6">
        <v>1</v>
      </c>
      <c r="AA3" s="17">
        <v>2</v>
      </c>
      <c r="AB3" s="24">
        <f t="shared" si="3"/>
        <v>8028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CO04_ GA07_R4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4">
        <f t="shared" ca="1" si="4"/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 t="shared" si="0"/>
        <v>49005_1-2/8020&lt;lv80&gt;s2</v>
      </c>
      <c r="B4" s="22">
        <v>49005</v>
      </c>
      <c r="C4" s="21">
        <v>1</v>
      </c>
      <c r="D4" s="2" t="str">
        <f t="shared" si="1"/>
        <v>49005_1</v>
      </c>
      <c r="E4" s="4" t="str">
        <f ca="1">VLOOKUP($B4,OFFSET([2]quests!$A$1,0,0,COUNTA([2]quests!$A:$A),MATCH(E$1,[2]quests!$1:$1,0)-MATCH($B$1,[2]quests!$1:$1,0)+1),MATCH(E$1,[2]quests!$1:$1,0)-MATCH($B$1,[2]quests!$1:$1,0)+1,FALSE)</f>
        <v>襲来クエスト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【ウィザード級】襲来クエスト</v>
      </c>
      <c r="G4" s="21">
        <v>2</v>
      </c>
      <c r="H4" s="15" t="str">
        <f t="shared" si="2"/>
        <v>49005_1-2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8020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CO04_ GA03_R5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80</v>
      </c>
      <c r="S4" s="25">
        <v>0.9</v>
      </c>
      <c r="T4" s="25">
        <v>1.2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5ターン黄パネル出現率UP＋リンの攻撃力DOWN</v>
      </c>
      <c r="W4" s="4">
        <v>49005003</v>
      </c>
      <c r="X4" s="6">
        <v>1</v>
      </c>
      <c r="Y4" s="6">
        <v>100</v>
      </c>
      <c r="Z4" s="6">
        <v>0</v>
      </c>
      <c r="AA4" s="17">
        <v>2</v>
      </c>
      <c r="AB4" s="24">
        <f t="shared" si="3"/>
        <v>8020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CO04_ GA03_R5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" s="7">
        <v>1</v>
      </c>
      <c r="AG4" s="24">
        <f t="shared" ca="1" si="4"/>
        <v>5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si="0"/>
        <v>49005_1-2/8022&lt;lv80&gt;s2</v>
      </c>
      <c r="B5" s="22">
        <v>49005</v>
      </c>
      <c r="C5" s="21">
        <v>1</v>
      </c>
      <c r="D5" s="2" t="str">
        <f t="shared" si="1"/>
        <v>49005_1</v>
      </c>
      <c r="E5" s="4" t="str">
        <f ca="1">VLOOKUP($B5,OFFSET([2]quests!$A$1,0,0,COUNTA([2]quests!$A:$A),MATCH(E$1,[2]quests!$1:$1,0)-MATCH($B$1,[2]quests!$1:$1,0)+1),MATCH(E$1,[2]quests!$1:$1,0)-MATCH($B$1,[2]quests!$1:$1,0)+1,FALSE)</f>
        <v>襲来クエスト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【ウィザード級】襲来クエスト</v>
      </c>
      <c r="G5" s="21">
        <v>2</v>
      </c>
      <c r="H5" s="15" t="str">
        <f t="shared" si="2"/>
        <v>49005_1-2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8022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CO04_ GA04_R5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5">
        <v>1.1000000000000001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5ターン黄パネルがお邪魔パネルになって降る！</v>
      </c>
      <c r="W5" s="4">
        <v>49005004</v>
      </c>
      <c r="X5" s="6">
        <v>1</v>
      </c>
      <c r="Y5" s="6">
        <v>100</v>
      </c>
      <c r="Z5" s="6">
        <v>1</v>
      </c>
      <c r="AA5" s="17">
        <v>2</v>
      </c>
      <c r="AB5" s="24">
        <f t="shared" si="3"/>
        <v>8022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CO04_ GA04_R5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5" s="7">
        <v>1</v>
      </c>
      <c r="AG5" s="24">
        <f t="shared" ca="1" si="4"/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si="0"/>
        <v>49005_1-3/8024&lt;lv80&gt;s2</v>
      </c>
      <c r="B6" s="22">
        <v>49005</v>
      </c>
      <c r="C6" s="21">
        <v>1</v>
      </c>
      <c r="D6" s="2" t="str">
        <f t="shared" si="1"/>
        <v>49005_1</v>
      </c>
      <c r="E6" s="4" t="str">
        <f ca="1">VLOOKUP($B6,OFFSET([2]quests!$A$1,0,0,COUNTA([2]quests!$A:$A),MATCH(E$1,[2]quests!$1:$1,0)-MATCH($B$1,[2]quests!$1:$1,0)+1),MATCH(E$1,[2]quests!$1:$1,0)-MATCH($B$1,[2]quests!$1:$1,0)+1,FALSE)</f>
        <v>襲来クエスト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【ウィザード級】襲来クエスト</v>
      </c>
      <c r="G6" s="21">
        <v>3</v>
      </c>
      <c r="H6" s="15" t="str">
        <f t="shared" si="2"/>
        <v>49005_1-3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>
        <v>1</v>
      </c>
      <c r="L6" s="20">
        <v>8024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CO04_ GA05_R4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80</v>
      </c>
      <c r="S6" s="25">
        <v>1.9</v>
      </c>
      <c r="T6" s="25">
        <v>0.5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5ターン回復力DOWN</v>
      </c>
      <c r="W6" s="4">
        <v>49005005</v>
      </c>
      <c r="X6" s="6">
        <v>1</v>
      </c>
      <c r="Y6" s="6">
        <v>100</v>
      </c>
      <c r="Z6" s="6">
        <v>0</v>
      </c>
      <c r="AA6" s="17">
        <v>2</v>
      </c>
      <c r="AB6" s="24">
        <f t="shared" si="3"/>
        <v>8024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CO04_ GA05_R4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si="0"/>
        <v>49005_1-4/8013&lt;lv80&gt;s2</v>
      </c>
      <c r="B7" s="22">
        <v>49005</v>
      </c>
      <c r="C7" s="21">
        <v>1</v>
      </c>
      <c r="D7" s="2" t="str">
        <f t="shared" si="1"/>
        <v>49005_1</v>
      </c>
      <c r="E7" s="4" t="str">
        <f ca="1">VLOOKUP($B7,OFFSET([2]quests!$A$1,0,0,COUNTA([2]quests!$A:$A),MATCH(E$1,[2]quests!$1:$1,0)-MATCH($B$1,[2]quests!$1:$1,0)+1),MATCH(E$1,[2]quests!$1:$1,0)-MATCH($B$1,[2]quests!$1:$1,0)+1,FALSE)</f>
        <v>襲来クエスト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【ウィザード級】襲来クエスト</v>
      </c>
      <c r="G7" s="21">
        <v>4</v>
      </c>
      <c r="H7" s="15" t="str">
        <f t="shared" si="2"/>
        <v>49005_1-4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8013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CO04_Wiz01_R5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80</v>
      </c>
      <c r="S7" s="25">
        <v>2.8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状態異常無効＋全てのスキル効果を解除_x000D_＋10ターンスキル無効</v>
      </c>
      <c r="W7" s="4">
        <v>49005007</v>
      </c>
      <c r="X7" s="6">
        <v>1</v>
      </c>
      <c r="Y7" s="6">
        <v>100</v>
      </c>
      <c r="Z7" s="6">
        <v>1</v>
      </c>
      <c r="AA7" s="17">
        <v>2</v>
      </c>
      <c r="AB7" s="24">
        <f t="shared" si="3"/>
        <v>8013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CO04_Wiz01_R5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7">
        <v>1</v>
      </c>
      <c r="AG7" s="24">
        <f t="shared" ca="1" si="4"/>
        <v>5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3" sqref="U3"/>
    </sheetView>
  </sheetViews>
  <sheetFormatPr baseColWidth="12" defaultColWidth="13" defaultRowHeight="21" customHeight="1" outlineLevelCol="1" x14ac:dyDescent="0.15"/>
  <cols>
    <col min="1" max="1" width="23.33203125" style="19" bestFit="1" customWidth="1"/>
    <col min="2" max="2" width="10.83203125" style="3" bestFit="1" customWidth="1"/>
    <col min="3" max="3" width="10.83203125" style="3" bestFit="1" customWidth="1" collapsed="1"/>
    <col min="4" max="4" width="13.33203125" style="14" hidden="1" customWidth="1" outlineLevel="1"/>
    <col min="5" max="5" width="20.1640625" style="3" hidden="1" customWidth="1" outlineLevel="1"/>
    <col min="6" max="6" width="27.33203125" style="3" hidden="1" customWidth="1" outlineLevel="1"/>
    <col min="7" max="7" width="10.1640625" style="3" bestFit="1" customWidth="1" collapsed="1"/>
    <col min="8" max="8" width="12.6640625" style="3" hidden="1" customWidth="1" outlineLevel="1"/>
    <col min="9" max="9" width="14.83203125" style="3" hidden="1" customWidth="1" outlineLevel="1"/>
    <col min="10" max="10" width="15.33203125" style="3" hidden="1" customWidth="1" outlineLevel="1"/>
    <col min="11" max="11" width="10" style="3" bestFit="1" customWidth="1"/>
    <col min="12" max="12" width="11" style="3" customWidth="1"/>
    <col min="13" max="13" width="14" style="9" bestFit="1" customWidth="1"/>
    <col min="14" max="14" width="13.33203125" style="3" customWidth="1" outlineLevel="1"/>
    <col min="15" max="15" width="8.6640625" style="3" customWidth="1" outlineLevel="1"/>
    <col min="16" max="16" width="12.1640625" style="3" customWidth="1" outlineLevel="1"/>
    <col min="17" max="17" width="21.6640625" style="3" customWidth="1" outlineLevel="1"/>
    <col min="18" max="18" width="8" style="3" customWidth="1" outlineLevel="1"/>
    <col min="19" max="19" width="8.33203125" style="3" customWidth="1"/>
    <col min="20" max="20" width="15" style="3" bestFit="1" customWidth="1"/>
    <col min="21" max="21" width="18" style="3" bestFit="1" customWidth="1"/>
    <col min="22" max="22" width="18.83203125" style="3" bestFit="1" customWidth="1"/>
    <col min="23" max="23" width="46" style="3" bestFit="1" customWidth="1" collapsed="1"/>
    <col min="24" max="24" width="12.33203125" style="3" hidden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127</v>
      </c>
      <c r="X1" s="29" t="s">
        <v>126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49005_1-3/8024&lt;lv80&gt;sq1st2</v>
      </c>
      <c r="B2" s="22">
        <v>49005</v>
      </c>
      <c r="C2" s="21">
        <v>1</v>
      </c>
      <c r="D2" s="2" t="str">
        <f>B2&amp;"_"&amp;C2</f>
        <v>49005_1</v>
      </c>
      <c r="E2" s="4" t="str">
        <f ca="1">VLOOKUP($B2,OFFSET([2]quests!$A$1,0,0,COUNTA([2]quests!$A:$A),MATCH(E$1,[2]quests!$1:$1,0)-MATCH($B$1,[2]quests!$1:$1,0)+1),MATCH(E$1,[2]quests!$1:$1,0)-MATCH($B$1,[2]quests!$1:$1,0)+1,FALSE)</f>
        <v>襲来クエスト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【ウィザード級】襲来クエスト</v>
      </c>
      <c r="G2" s="21">
        <v>3</v>
      </c>
      <c r="H2" s="15" t="str">
        <f>B2&amp;"_"&amp;C2&amp;"-"&amp;G2</f>
        <v>49005_1-3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20">
        <v>8024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CO04_ GA05_R4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80</v>
      </c>
      <c r="T2" s="25">
        <v>1.9</v>
      </c>
      <c r="U2" s="25">
        <v>0.6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6ターン行動頻度UP</v>
      </c>
      <c r="X2" s="4">
        <v>49005006</v>
      </c>
      <c r="Y2" s="69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49005_1-4/8014&lt;lv80&gt;sq2st2</v>
      </c>
      <c r="B3" s="22">
        <v>49005</v>
      </c>
      <c r="C3" s="21">
        <v>1</v>
      </c>
      <c r="D3" s="2" t="str">
        <f>B3&amp;"_"&amp;C3</f>
        <v>49005_1</v>
      </c>
      <c r="E3" s="4" t="str">
        <f ca="1">VLOOKUP($B3,OFFSET([2]quests!$A$1,0,0,COUNTA([2]quests!$A:$A),MATCH(E$1,[2]quests!$1:$1,0)-MATCH($B$1,[2]quests!$1:$1,0)+1),MATCH(E$1,[2]quests!$1:$1,0)-MATCH($B$1,[2]quests!$1:$1,0)+1,FALSE)</f>
        <v>襲来クエスト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【ウィザード級】襲来クエスト</v>
      </c>
      <c r="G3" s="21">
        <v>4</v>
      </c>
      <c r="H3" s="15" t="str">
        <f>B3&amp;"_"&amp;C3&amp;"-"&amp;G3</f>
        <v>49005_1-4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8014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CO04_Wiz01_R6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80</v>
      </c>
      <c r="T3" s="25">
        <v>3.4</v>
      </c>
      <c r="U3" s="25">
        <v>1.1000000000000001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少しだけフィーバーゲージ増加_x000D_＋状態異常無効</v>
      </c>
      <c r="X3" s="4">
        <v>49005008</v>
      </c>
      <c r="Y3" s="69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49005_1-4/8014&lt;lv80&gt;sq2st3</v>
      </c>
      <c r="B4" s="22">
        <v>49005</v>
      </c>
      <c r="C4" s="21">
        <v>1</v>
      </c>
      <c r="D4" s="2" t="str">
        <f>B4&amp;"_"&amp;C4</f>
        <v>49005_1</v>
      </c>
      <c r="E4" s="4" t="str">
        <f ca="1">VLOOKUP($B4,OFFSET([2]quests!$A$1,0,0,COUNTA([2]quests!$A:$A),MATCH(E$1,[2]quests!$1:$1,0)-MATCH($B$1,[2]quests!$1:$1,0)+1),MATCH(E$1,[2]quests!$1:$1,0)-MATCH($B$1,[2]quests!$1:$1,0)+1,FALSE)</f>
        <v>襲来クエスト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【ウィザード級】襲来クエスト</v>
      </c>
      <c r="G4" s="21">
        <v>4</v>
      </c>
      <c r="H4" s="15" t="str">
        <f>B4&amp;"_"&amp;C4&amp;"-"&amp;G4</f>
        <v>49005_1-4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8014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CO04_Wiz01_R6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80</v>
      </c>
      <c r="T4" s="25">
        <v>3.4</v>
      </c>
      <c r="U4" s="25">
        <v>1.1000000000000001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緑パネルが稀にお邪魔パネルで出現_x000D_＋3ターン行動頻度UP</v>
      </c>
      <c r="X4" s="4">
        <v>49005009</v>
      </c>
      <c r="Y4" s="69">
        <v>2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9"/>
  <sheetViews>
    <sheetView showGridLines="0" topLeftCell="B1" workbookViewId="0">
      <pane ySplit="1" topLeftCell="A2" activePane="bottomLeft" state="frozenSplit"/>
      <selection pane="bottomLeft" activeCell="B30" sqref="B30"/>
    </sheetView>
  </sheetViews>
  <sheetFormatPr baseColWidth="12" defaultColWidth="12.83203125" defaultRowHeight="21" customHeight="1" outlineLevelRow="1" outlineLevelCol="1" x14ac:dyDescent="0.15"/>
  <cols>
    <col min="1" max="1" width="12.83203125" style="48"/>
    <col min="2" max="2" width="91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124</v>
      </c>
      <c r="E1" s="40" t="s">
        <v>218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6">
        <v>49005001</v>
      </c>
      <c r="B2" s="46" t="s">
        <v>424</v>
      </c>
      <c r="C2" s="49">
        <v>3</v>
      </c>
      <c r="D2" s="49" t="s">
        <v>125</v>
      </c>
      <c r="E2" s="50" t="s">
        <v>274</v>
      </c>
      <c r="F2" s="50" t="s">
        <v>224</v>
      </c>
      <c r="G2" s="62" t="str">
        <f>IFERROR(LEFT(B2,FIND("],",B2)),B2)</f>
        <v>[effect:fix_speed, target:myself, turn:2]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IFERROR(VLOOKUP(MID(G2,J2,K2-J2),[5]skilldef!$C:$D,2,FALSE),"-") &amp; " / " &amp; IFERROR(VLOOKUP(MID(G2,H2,I2-H2),[5]skilldef!$A:$B,2,FALSE),"-")</f>
        <v>自分自身に / 行動値設定</v>
      </c>
      <c r="M2" s="62" t="str">
        <f>IFERROR(RIGHT(B2,LEN(B2)-FIND("],",B2)-1),"none")</f>
        <v>[effect:crash_condition, target:unit_all, val:1, turn:3, animation:enemy_crash_extend]</v>
      </c>
      <c r="N2" s="47" t="str">
        <f t="shared" ref="N2:N13" si="0">IFERROR(LEFT(M2,FIND("],",M2)+S12),M2)</f>
        <v>[effect:crash_condition, target:unit_all, val:1, turn:3, animation:enemy_crash_extend]</v>
      </c>
      <c r="O2" s="62">
        <f>FIND("effect:",N2)+7</f>
        <v>9</v>
      </c>
      <c r="P2" s="62">
        <f>IFERROR(FIND(",",N2),LEN(N2))</f>
        <v>24</v>
      </c>
      <c r="Q2" s="62">
        <f>FIND("target:",N2)+7</f>
        <v>33</v>
      </c>
      <c r="R2" s="62">
        <f>FIND(",",N2,P2+1)</f>
        <v>41</v>
      </c>
      <c r="S2" s="62" t="str">
        <f>IFERROR(VLOOKUP(MID(N2,Q2,R2-Q2),[5]skilldef!$C:$D,2,FALSE),"-") &amp; " / " &amp; IFERROR(VLOOKUP(MID(N2,O2,P2-O2),[5]skilldef!$A:$B,2,FALSE),"-")</f>
        <v>味方全体に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 t="s">
        <v>212</v>
      </c>
      <c r="AA2" s="51">
        <f ca="1">TODAY()</f>
        <v>42527</v>
      </c>
      <c r="AB2" s="50" t="s">
        <v>192</v>
      </c>
    </row>
    <row r="3" spans="1:28" ht="21" customHeight="1" x14ac:dyDescent="0.15">
      <c r="A3" s="46">
        <v>49005002</v>
      </c>
      <c r="B3" s="46" t="s">
        <v>426</v>
      </c>
      <c r="C3" s="49">
        <v>3</v>
      </c>
      <c r="D3" s="49" t="s">
        <v>125</v>
      </c>
      <c r="E3" s="50" t="s">
        <v>226</v>
      </c>
      <c r="F3" s="50" t="s">
        <v>191</v>
      </c>
      <c r="G3" s="62" t="str">
        <f>IFERROR(LEFT(B3,FIND("],",B3)),B3)</f>
        <v>[effect:spread, val:0.25]</v>
      </c>
      <c r="H3" s="62">
        <f>FIND("effect:",G3)+7</f>
        <v>9</v>
      </c>
      <c r="I3" s="62">
        <f>IFERROR(FIND(",",G3),LEN(G3))</f>
        <v>15</v>
      </c>
      <c r="J3" s="62" t="e">
        <f>FIND("target:",G3)+7</f>
        <v>#VALUE!</v>
      </c>
      <c r="K3" s="62" t="e">
        <f>FIND(",",G3,I3+1)</f>
        <v>#VALUE!</v>
      </c>
      <c r="L3" s="62" t="str">
        <f>IFERROR(VLOOKUP(MID(G3,J3,K3-J3),[5]skilldef!$C:$D,2,FALSE),"-") &amp; " / " &amp; IFERROR(VLOOKUP(MID(G3,H3,I3-H3),[5]skilldef!$A:$B,2,FALSE),"-")</f>
        <v>- / 全体攻撃</v>
      </c>
      <c r="M3" s="62" t="str">
        <f>IFERROR(RIGHT(B3,LEN(B3)-FIND("],",B3)-1),"none")</f>
        <v>none</v>
      </c>
      <c r="N3" s="47" t="str">
        <f t="shared" si="0"/>
        <v>none</v>
      </c>
      <c r="O3" s="62" t="e">
        <f>FIND("effect:",N3)+7</f>
        <v>#VALUE!</v>
      </c>
      <c r="P3" s="62">
        <f>IFERROR(FIND(",",N3),LEN(N3))</f>
        <v>4</v>
      </c>
      <c r="Q3" s="62" t="e">
        <f>FIND("target:",N3)+7</f>
        <v>#VALUE!</v>
      </c>
      <c r="R3" s="62" t="e">
        <f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>IFERROR(RIGHT(M3,LEN(M3)-FIND("],",M3)-1),"none")</f>
        <v>none</v>
      </c>
      <c r="U3" s="62" t="e">
        <f>FIND("effect:",T3)+7</f>
        <v>#VALUE!</v>
      </c>
      <c r="V3" s="62">
        <f>IFERROR(FIND(",",T3),LEN(T3))</f>
        <v>4</v>
      </c>
      <c r="W3" s="62" t="e">
        <f>FIND("target:",T3)+7</f>
        <v>#VALUE!</v>
      </c>
      <c r="X3" s="62" t="e">
        <f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 t="s">
        <v>212</v>
      </c>
      <c r="AA3" s="51">
        <f t="shared" ref="AA3:AA109" ca="1" si="1">TODAY()</f>
        <v>42527</v>
      </c>
      <c r="AB3" s="50" t="s">
        <v>192</v>
      </c>
    </row>
    <row r="4" spans="1:28" ht="21" customHeight="1" x14ac:dyDescent="0.15">
      <c r="A4" s="46">
        <v>49005003</v>
      </c>
      <c r="B4" s="46" t="s">
        <v>430</v>
      </c>
      <c r="C4" s="49">
        <v>3</v>
      </c>
      <c r="D4" s="49" t="s">
        <v>125</v>
      </c>
      <c r="E4" s="50" t="s">
        <v>227</v>
      </c>
      <c r="F4" s="50" t="s">
        <v>193</v>
      </c>
      <c r="G4" s="62" t="str">
        <f t="shared" ref="G4:G23" si="2">IFERROR(LEFT(B4,FIND("],",B4)),B4)</f>
        <v>[effect:damage_anti_color, target:unit_one, color:red, val1:2, val2:0.8]</v>
      </c>
      <c r="H4" s="62">
        <f t="shared" ref="H4:H23" si="3">FIND("effect:",G4)+7</f>
        <v>9</v>
      </c>
      <c r="I4" s="62">
        <f t="shared" ref="I4:I23" si="4">IFERROR(FIND(",",G4),LEN(G4))</f>
        <v>26</v>
      </c>
      <c r="J4" s="62">
        <f t="shared" ref="J4:J23" si="5">FIND("target:",G4)+7</f>
        <v>35</v>
      </c>
      <c r="K4" s="62">
        <f t="shared" ref="K4:K23" si="6">FIND(",",G4,I4+1)</f>
        <v>43</v>
      </c>
      <c r="L4" s="62" t="str">
        <f>IFERROR(VLOOKUP(MID(G4,J4,K4-J4),[5]skilldef!$C:$D,2,FALSE),"-") &amp; " / " &amp; IFERROR(VLOOKUP(MID(G4,H4,I4-H4),[5]skilldef!$A:$B,2,FALSE),"-")</f>
        <v>味方単体に / 属性キラー</v>
      </c>
      <c r="M4" s="62" t="str">
        <f t="shared" ref="M4:M23" si="7">IFERROR(RIGHT(B4,LEN(B4)-FIND("],",B4)-1),"none")</f>
        <v>none</v>
      </c>
      <c r="N4" s="47" t="str">
        <f t="shared" si="0"/>
        <v>none</v>
      </c>
      <c r="O4" s="62" t="e">
        <f t="shared" ref="O4:O23" si="8">FIND("effect:",N4)+7</f>
        <v>#VALUE!</v>
      </c>
      <c r="P4" s="62">
        <f t="shared" ref="P4:P23" si="9">IFERROR(FIND(",",N4),LEN(N4))</f>
        <v>4</v>
      </c>
      <c r="Q4" s="62" t="e">
        <f t="shared" ref="Q4:Q23" si="10">FIND("target:",N4)+7</f>
        <v>#VALUE!</v>
      </c>
      <c r="R4" s="62" t="e">
        <f t="shared" ref="R4:R23" si="11">FIND(",",N4,P4+1)</f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ref="T4:T23" si="12">IFERROR(RIGHT(M4,LEN(M4)-FIND("],",M4)-1),"none")</f>
        <v>none</v>
      </c>
      <c r="U4" s="62" t="e">
        <f t="shared" ref="U4:U23" si="13">FIND("effect:",T4)+7</f>
        <v>#VALUE!</v>
      </c>
      <c r="V4" s="62">
        <f t="shared" ref="V4:V23" si="14">IFERROR(FIND(",",T4),LEN(T4))</f>
        <v>4</v>
      </c>
      <c r="W4" s="62" t="e">
        <f t="shared" ref="W4:W23" si="15">FIND("target:",T4)+7</f>
        <v>#VALUE!</v>
      </c>
      <c r="X4" s="62" t="e">
        <f t="shared" ref="X4:X23" si="16"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 t="s">
        <v>212</v>
      </c>
      <c r="AA4" s="51">
        <f t="shared" ca="1" si="1"/>
        <v>42527</v>
      </c>
      <c r="AB4" s="50" t="s">
        <v>192</v>
      </c>
    </row>
    <row r="5" spans="1:28" ht="21" customHeight="1" x14ac:dyDescent="0.15">
      <c r="A5" s="46">
        <v>49005004</v>
      </c>
      <c r="B5" s="46" t="s">
        <v>354</v>
      </c>
      <c r="C5" s="49">
        <v>3</v>
      </c>
      <c r="D5" s="49" t="s">
        <v>125</v>
      </c>
      <c r="E5" s="50" t="s">
        <v>228</v>
      </c>
      <c r="F5" s="50" t="s">
        <v>425</v>
      </c>
      <c r="G5" s="62" t="str">
        <f t="shared" si="2"/>
        <v>[effect:enhance_enemy, target:enemy_all, turn:-1, status:attack, val:1, animation:enemy_enhance_attack]</v>
      </c>
      <c r="H5" s="62">
        <f t="shared" si="3"/>
        <v>9</v>
      </c>
      <c r="I5" s="62">
        <f t="shared" si="4"/>
        <v>22</v>
      </c>
      <c r="J5" s="62">
        <f t="shared" si="5"/>
        <v>31</v>
      </c>
      <c r="K5" s="62">
        <f t="shared" si="6"/>
        <v>40</v>
      </c>
      <c r="L5" s="62" t="str">
        <f>IFERROR(VLOOKUP(MID(G5,J5,K5-J5),[5]skilldef!$C:$D,2,FALSE),"-") &amp; " / " &amp; IFERROR(VLOOKUP(MID(G5,H5,I5-H5),[5]skilldef!$A:$B,2,FALSE),"-")</f>
        <v>敵全体に / ステータス強化</v>
      </c>
      <c r="M5" s="62" t="str">
        <f t="shared" si="7"/>
        <v>none</v>
      </c>
      <c r="N5" s="47" t="str">
        <f t="shared" si="0"/>
        <v>none</v>
      </c>
      <c r="O5" s="62" t="e">
        <f t="shared" si="8"/>
        <v>#VALUE!</v>
      </c>
      <c r="P5" s="62">
        <f t="shared" si="9"/>
        <v>4</v>
      </c>
      <c r="Q5" s="62" t="e">
        <f t="shared" si="10"/>
        <v>#VALUE!</v>
      </c>
      <c r="R5" s="62" t="e">
        <f t="shared" si="11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2"/>
        <v>none</v>
      </c>
      <c r="U5" s="62" t="e">
        <f t="shared" si="13"/>
        <v>#VALUE!</v>
      </c>
      <c r="V5" s="62">
        <f t="shared" si="14"/>
        <v>4</v>
      </c>
      <c r="W5" s="62" t="e">
        <f t="shared" si="15"/>
        <v>#VALUE!</v>
      </c>
      <c r="X5" s="62" t="e">
        <f t="shared" si="16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 t="s">
        <v>212</v>
      </c>
      <c r="AA5" s="51">
        <f t="shared" ca="1" si="1"/>
        <v>42527</v>
      </c>
      <c r="AB5" s="50" t="s">
        <v>192</v>
      </c>
    </row>
    <row r="6" spans="1:28" ht="21" customHeight="1" x14ac:dyDescent="0.15">
      <c r="A6" s="46">
        <v>49005005</v>
      </c>
      <c r="B6" s="46" t="s">
        <v>428</v>
      </c>
      <c r="C6" s="49">
        <v>3</v>
      </c>
      <c r="D6" s="49" t="s">
        <v>125</v>
      </c>
      <c r="E6" s="50" t="s">
        <v>275</v>
      </c>
      <c r="F6" s="50" t="s">
        <v>429</v>
      </c>
      <c r="G6" s="62" t="str">
        <f t="shared" si="2"/>
        <v>[effect:fix_speed, target:myself, turn:1]</v>
      </c>
      <c r="H6" s="62">
        <f t="shared" si="3"/>
        <v>9</v>
      </c>
      <c r="I6" s="62">
        <f t="shared" si="4"/>
        <v>18</v>
      </c>
      <c r="J6" s="62">
        <f t="shared" si="5"/>
        <v>27</v>
      </c>
      <c r="K6" s="62">
        <f t="shared" si="6"/>
        <v>33</v>
      </c>
      <c r="L6" s="62" t="str">
        <f>IFERROR(VLOOKUP(MID(G6,J6,K6-J6),[5]skilldef!$C:$D,2,FALSE),"-") &amp; " / " &amp; IFERROR(VLOOKUP(MID(G6,H6,I6-H6),[5]skilldef!$A:$B,2,FALSE),"-")</f>
        <v>自分自身に / 行動値設定</v>
      </c>
      <c r="M6" s="62" t="str">
        <f t="shared" si="7"/>
        <v>[effect:hp_spend, val:0.2]</v>
      </c>
      <c r="N6" s="47" t="str">
        <f t="shared" si="0"/>
        <v>[effect:hp_spend, val:0.2]</v>
      </c>
      <c r="O6" s="62">
        <f t="shared" si="8"/>
        <v>9</v>
      </c>
      <c r="P6" s="62">
        <f t="shared" si="9"/>
        <v>17</v>
      </c>
      <c r="Q6" s="62" t="e">
        <f t="shared" si="10"/>
        <v>#VALUE!</v>
      </c>
      <c r="R6" s="62" t="e">
        <f t="shared" si="11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2"/>
        <v>none</v>
      </c>
      <c r="U6" s="62" t="e">
        <f t="shared" si="13"/>
        <v>#VALUE!</v>
      </c>
      <c r="V6" s="62">
        <f t="shared" si="14"/>
        <v>4</v>
      </c>
      <c r="W6" s="62" t="e">
        <f t="shared" si="15"/>
        <v>#VALUE!</v>
      </c>
      <c r="X6" s="62" t="e">
        <f t="shared" si="16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 t="s">
        <v>212</v>
      </c>
      <c r="AA6" s="51">
        <f t="shared" ca="1" si="1"/>
        <v>42527</v>
      </c>
      <c r="AB6" s="50" t="s">
        <v>194</v>
      </c>
    </row>
    <row r="7" spans="1:28" ht="21" customHeight="1" x14ac:dyDescent="0.15">
      <c r="A7" s="46">
        <v>49005006</v>
      </c>
      <c r="B7" s="46" t="s">
        <v>355</v>
      </c>
      <c r="C7" s="49">
        <v>3</v>
      </c>
      <c r="D7" s="49" t="s">
        <v>125</v>
      </c>
      <c r="E7" s="50" t="s">
        <v>303</v>
      </c>
      <c r="F7" s="50" t="s">
        <v>283</v>
      </c>
      <c r="G7" s="62" t="str">
        <f t="shared" si="2"/>
        <v>[effect:damage_anti_tribe, target:unit_one, tribe:dragon, val1:3.0, val2:0.6]</v>
      </c>
      <c r="H7" s="62">
        <f t="shared" si="3"/>
        <v>9</v>
      </c>
      <c r="I7" s="62">
        <f t="shared" si="4"/>
        <v>26</v>
      </c>
      <c r="J7" s="62">
        <f t="shared" si="5"/>
        <v>35</v>
      </c>
      <c r="K7" s="62">
        <f t="shared" si="6"/>
        <v>43</v>
      </c>
      <c r="L7" s="62" t="str">
        <f>IFERROR(VLOOKUP(MID(G7,J7,K7-J7),[5]skilldef!$C:$D,2,FALSE),"-") &amp; " / " &amp; IFERROR(VLOOKUP(MID(G7,H7,I7-H7),[5]skilldef!$A:$B,2,FALSE),"-")</f>
        <v>味方単体に / 種族キラー</v>
      </c>
      <c r="M7" s="62" t="str">
        <f t="shared" si="7"/>
        <v>[effect:fix_speed, target:myself, turn:2]</v>
      </c>
      <c r="N7" s="47" t="str">
        <f t="shared" si="0"/>
        <v>[effect:fix_speed, target:myself, turn:2]</v>
      </c>
      <c r="O7" s="62">
        <f t="shared" si="8"/>
        <v>9</v>
      </c>
      <c r="P7" s="62">
        <f t="shared" si="9"/>
        <v>18</v>
      </c>
      <c r="Q7" s="62">
        <f t="shared" si="10"/>
        <v>27</v>
      </c>
      <c r="R7" s="62">
        <f t="shared" si="11"/>
        <v>33</v>
      </c>
      <c r="S7" s="62" t="str">
        <f>IFERROR(VLOOKUP(MID(N7,Q7,R7-Q7),[5]skilldef!$C:$D,2,FALSE),"-") &amp; " / " &amp; IFERROR(VLOOKUP(MID(N7,O7,P7-O7),[5]skilldef!$A:$B,2,FALSE),"-")</f>
        <v>自分自身に / 行動値設定</v>
      </c>
      <c r="T7" s="47" t="str">
        <f t="shared" si="12"/>
        <v>none</v>
      </c>
      <c r="U7" s="62" t="e">
        <f t="shared" si="13"/>
        <v>#VALUE!</v>
      </c>
      <c r="V7" s="62">
        <f t="shared" si="14"/>
        <v>4</v>
      </c>
      <c r="W7" s="62" t="e">
        <f t="shared" si="15"/>
        <v>#VALUE!</v>
      </c>
      <c r="X7" s="62" t="e">
        <f t="shared" si="16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 t="s">
        <v>212</v>
      </c>
      <c r="AA7" s="51">
        <f t="shared" ca="1" si="1"/>
        <v>42527</v>
      </c>
      <c r="AB7" s="50" t="s">
        <v>194</v>
      </c>
    </row>
    <row r="8" spans="1:28" ht="21" customHeight="1" x14ac:dyDescent="0.15">
      <c r="A8" s="46">
        <v>49005007</v>
      </c>
      <c r="B8" s="46" t="s">
        <v>427</v>
      </c>
      <c r="C8" s="49">
        <v>3</v>
      </c>
      <c r="D8" s="49" t="s">
        <v>125</v>
      </c>
      <c r="E8" s="50" t="s">
        <v>301</v>
      </c>
      <c r="F8" s="50" t="s">
        <v>358</v>
      </c>
      <c r="G8" s="62" t="str">
        <f t="shared" si="2"/>
        <v>[effect:force_change_block, new_block:jammer, target:block_all, count:1, val:0, animation:change_block]</v>
      </c>
      <c r="H8" s="62">
        <f t="shared" si="3"/>
        <v>9</v>
      </c>
      <c r="I8" s="62">
        <f t="shared" si="4"/>
        <v>27</v>
      </c>
      <c r="J8" s="62">
        <f t="shared" si="5"/>
        <v>54</v>
      </c>
      <c r="K8" s="62">
        <f t="shared" si="6"/>
        <v>45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7"/>
        <v>[effect:rush, count:4, val:0.2],[effect:fix_speed, target:myself, turn:2]</v>
      </c>
      <c r="N8" s="47" t="str">
        <f t="shared" si="0"/>
        <v>[effect:rush, count:4, val:0.2],[effect:fix_speed, target:myself, turn:2]</v>
      </c>
      <c r="O8" s="62">
        <f t="shared" si="8"/>
        <v>9</v>
      </c>
      <c r="P8" s="62">
        <f t="shared" si="9"/>
        <v>13</v>
      </c>
      <c r="Q8" s="62">
        <f t="shared" si="10"/>
        <v>59</v>
      </c>
      <c r="R8" s="62">
        <f t="shared" si="11"/>
        <v>22</v>
      </c>
      <c r="S8" s="62" t="str">
        <f>IFERROR(VLOOKUP(MID(N8,Q8,R8-Q8),[5]skilldef!$C:$D,2,FALSE),"-") &amp; " / " &amp; IFERROR(VLOOKUP(MID(N8,O8,P8-O8),[5]skilldef!$A:$B,2,FALSE),"-")</f>
        <v>- / 連続攻撃</v>
      </c>
      <c r="T8" s="47" t="str">
        <f t="shared" si="12"/>
        <v>[effect:fix_speed, target:myself, turn:2]</v>
      </c>
      <c r="U8" s="62">
        <f t="shared" si="13"/>
        <v>9</v>
      </c>
      <c r="V8" s="62">
        <f t="shared" si="14"/>
        <v>18</v>
      </c>
      <c r="W8" s="62">
        <f t="shared" si="15"/>
        <v>27</v>
      </c>
      <c r="X8" s="62">
        <f t="shared" si="16"/>
        <v>33</v>
      </c>
      <c r="Y8" s="62" t="str">
        <f>IFERROR(VLOOKUP(MID(T8,W8,X8-W8),[5]skilldef!$C:$D,2,FALSE),"-") &amp; " / " &amp; IFERROR(VLOOKUP(MID(T8,U8,V8-U8),[5]skilldef!$A:$B,2,FALSE),"-")</f>
        <v>自分自身に / 行動値設定</v>
      </c>
      <c r="Z8" s="49" t="s">
        <v>212</v>
      </c>
      <c r="AA8" s="51">
        <f t="shared" ca="1" si="1"/>
        <v>42527</v>
      </c>
      <c r="AB8" s="50" t="s">
        <v>194</v>
      </c>
    </row>
    <row r="9" spans="1:28" ht="21" customHeight="1" x14ac:dyDescent="0.15">
      <c r="A9" s="46">
        <v>49005008</v>
      </c>
      <c r="B9" s="46" t="s">
        <v>432</v>
      </c>
      <c r="C9" s="49">
        <v>3</v>
      </c>
      <c r="D9" s="49" t="s">
        <v>125</v>
      </c>
      <c r="E9" s="50" t="s">
        <v>225</v>
      </c>
      <c r="F9" s="50" t="s">
        <v>195</v>
      </c>
      <c r="G9" s="62" t="str">
        <f t="shared" si="2"/>
        <v>[effect:critical, val:1.5]</v>
      </c>
      <c r="H9" s="62">
        <f t="shared" si="3"/>
        <v>9</v>
      </c>
      <c r="I9" s="62">
        <f t="shared" si="4"/>
        <v>17</v>
      </c>
      <c r="J9" s="62" t="e">
        <f t="shared" si="5"/>
        <v>#VALUE!</v>
      </c>
      <c r="K9" s="62" t="e">
        <f t="shared" si="6"/>
        <v>#VALUE!</v>
      </c>
      <c r="L9" s="62" t="str">
        <f>IFERROR(VLOOKUP(MID(G9,J9,K9-J9),[5]skilldef!$C:$D,2,FALSE),"-") &amp; " / " &amp; IFERROR(VLOOKUP(MID(G9,H9,I9-H9),[5]skilldef!$A:$B,2,FALSE),"-")</f>
        <v>- / 大攻撃</v>
      </c>
      <c r="M9" s="62" t="str">
        <f t="shared" si="7"/>
        <v>[effect:fix_speed, target:myself, turn:2]</v>
      </c>
      <c r="N9" s="47" t="str">
        <f t="shared" si="0"/>
        <v>[effect:fix_speed, target:myself, turn:2]</v>
      </c>
      <c r="O9" s="62">
        <f t="shared" si="8"/>
        <v>9</v>
      </c>
      <c r="P9" s="62">
        <f t="shared" si="9"/>
        <v>18</v>
      </c>
      <c r="Q9" s="62">
        <f t="shared" si="10"/>
        <v>27</v>
      </c>
      <c r="R9" s="62">
        <f t="shared" si="11"/>
        <v>33</v>
      </c>
      <c r="S9" s="62" t="str">
        <f>IFERROR(VLOOKUP(MID(N9,Q9,R9-Q9),[5]skilldef!$C:$D,2,FALSE),"-") &amp; " / " &amp; IFERROR(VLOOKUP(MID(N9,O9,P9-O9),[5]skilldef!$A:$B,2,FALSE),"-")</f>
        <v>自分自身に / 行動値設定</v>
      </c>
      <c r="T9" s="47" t="str">
        <f t="shared" si="12"/>
        <v>none</v>
      </c>
      <c r="U9" s="62" t="e">
        <f t="shared" si="13"/>
        <v>#VALUE!</v>
      </c>
      <c r="V9" s="62">
        <f t="shared" si="14"/>
        <v>4</v>
      </c>
      <c r="W9" s="62" t="e">
        <f t="shared" si="15"/>
        <v>#VALUE!</v>
      </c>
      <c r="X9" s="62" t="e">
        <f t="shared" si="16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 t="s">
        <v>212</v>
      </c>
      <c r="AA9" s="51">
        <f t="shared" ca="1" si="1"/>
        <v>42527</v>
      </c>
      <c r="AB9" s="50" t="s">
        <v>194</v>
      </c>
    </row>
    <row r="10" spans="1:28" ht="21" customHeight="1" x14ac:dyDescent="0.15">
      <c r="A10" s="46">
        <v>49005009</v>
      </c>
      <c r="B10" s="99" t="s">
        <v>356</v>
      </c>
      <c r="C10" s="49">
        <v>3</v>
      </c>
      <c r="D10" s="49" t="s">
        <v>125</v>
      </c>
      <c r="E10" s="50" t="s">
        <v>260</v>
      </c>
      <c r="F10" s="50" t="s">
        <v>359</v>
      </c>
      <c r="G10" s="62" t="str">
        <f t="shared" si="2"/>
        <v>[effect:change_panel_ratio, turn:5, block_type:yellow, val:0.6, animation:block_incidence04]</v>
      </c>
      <c r="H10" s="62">
        <f t="shared" si="3"/>
        <v>9</v>
      </c>
      <c r="I10" s="62">
        <f t="shared" si="4"/>
        <v>27</v>
      </c>
      <c r="J10" s="62" t="e">
        <f t="shared" si="5"/>
        <v>#VALUE!</v>
      </c>
      <c r="K10" s="62">
        <f t="shared" si="6"/>
        <v>35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7"/>
        <v>[effect:attack_break, target:myself, turn:-1, val:0.7, calc:mul, animation:attack_break02],[effect:fix_speed, target:myself, turn:2]</v>
      </c>
      <c r="N10" s="47" t="str">
        <f t="shared" si="0"/>
        <v>[effect:attack_break, target:myself, turn:-1, val:0.7, calc:mul, animation:attack_break02],[effect:fix_speed, target:myself, turn:2]</v>
      </c>
      <c r="O10" s="62">
        <f t="shared" si="8"/>
        <v>9</v>
      </c>
      <c r="P10" s="62">
        <f t="shared" si="9"/>
        <v>21</v>
      </c>
      <c r="Q10" s="62">
        <f t="shared" si="10"/>
        <v>30</v>
      </c>
      <c r="R10" s="62">
        <f t="shared" si="11"/>
        <v>36</v>
      </c>
      <c r="S10" s="62" t="str">
        <f>IFERROR(VLOOKUP(MID(N10,Q10,R10-Q10),[5]skilldef!$C:$D,2,FALSE),"-") &amp; " / " &amp; IFERROR(VLOOKUP(MID(N10,O10,P10-O10),[5]skilldef!$A:$B,2,FALSE),"-")</f>
        <v>自分自身に / -</v>
      </c>
      <c r="T10" s="47" t="str">
        <f t="shared" si="12"/>
        <v>[effect:fix_speed, target:myself, turn:2]</v>
      </c>
      <c r="U10" s="62">
        <f t="shared" si="13"/>
        <v>9</v>
      </c>
      <c r="V10" s="62">
        <f t="shared" si="14"/>
        <v>18</v>
      </c>
      <c r="W10" s="62">
        <f t="shared" si="15"/>
        <v>27</v>
      </c>
      <c r="X10" s="62">
        <f t="shared" si="16"/>
        <v>33</v>
      </c>
      <c r="Y10" s="62" t="str">
        <f>IFERROR(VLOOKUP(MID(T10,W10,X10-W10),[5]skilldef!$C:$D,2,FALSE),"-") &amp; " / " &amp; IFERROR(VLOOKUP(MID(T10,U10,V10-U10),[5]skilldef!$A:$B,2,FALSE),"-")</f>
        <v>自分自身に / 行動値設定</v>
      </c>
      <c r="Z10" s="49" t="s">
        <v>212</v>
      </c>
      <c r="AA10" s="51">
        <f t="shared" ca="1" si="1"/>
        <v>42527</v>
      </c>
      <c r="AB10" s="50" t="s">
        <v>196</v>
      </c>
    </row>
    <row r="11" spans="1:28" ht="21" customHeight="1" x14ac:dyDescent="0.15">
      <c r="A11" s="46">
        <v>49005010</v>
      </c>
      <c r="B11" s="46" t="s">
        <v>415</v>
      </c>
      <c r="C11" s="49">
        <v>3</v>
      </c>
      <c r="D11" s="49" t="s">
        <v>125</v>
      </c>
      <c r="E11" s="50" t="s">
        <v>261</v>
      </c>
      <c r="F11" s="50" t="s">
        <v>357</v>
      </c>
      <c r="G11" s="62" t="str">
        <f t="shared" si="2"/>
        <v>[effect:rush, count:2, val:0.6]</v>
      </c>
      <c r="H11" s="62">
        <f t="shared" si="3"/>
        <v>9</v>
      </c>
      <c r="I11" s="62">
        <f t="shared" si="4"/>
        <v>13</v>
      </c>
      <c r="J11" s="62" t="e">
        <f t="shared" si="5"/>
        <v>#VALUE!</v>
      </c>
      <c r="K11" s="62">
        <f t="shared" si="6"/>
        <v>22</v>
      </c>
      <c r="L11" s="62" t="str">
        <f>IFERROR(VLOOKUP(MID(G11,J11,K11-J11),[5]skilldef!$C:$D,2,FALSE),"-") &amp; " / " &amp; IFERROR(VLOOKUP(MID(G11,H11,I11-H11),[5]skilldef!$A:$B,2,FALSE),"-")</f>
        <v>- / 連続攻撃</v>
      </c>
      <c r="M11" s="62" t="str">
        <f t="shared" si="7"/>
        <v>[effect:heal, target:enemy_all, val:0.2, animation:enemy_heal]</v>
      </c>
      <c r="N11" s="47" t="str">
        <f t="shared" si="0"/>
        <v>[effect:heal, target:enemy_all, val:0.2, animation:enemy_heal]</v>
      </c>
      <c r="O11" s="62">
        <f t="shared" si="8"/>
        <v>9</v>
      </c>
      <c r="P11" s="62">
        <f t="shared" si="9"/>
        <v>13</v>
      </c>
      <c r="Q11" s="62">
        <f t="shared" si="10"/>
        <v>22</v>
      </c>
      <c r="R11" s="62">
        <f t="shared" si="11"/>
        <v>31</v>
      </c>
      <c r="S11" s="62" t="str">
        <f>IFERROR(VLOOKUP(MID(N11,Q11,R11-Q11),[5]skilldef!$C:$D,2,FALSE),"-") &amp; " / " &amp; IFERROR(VLOOKUP(MID(N11,O11,P11-O11),[5]skilldef!$A:$B,2,FALSE),"-")</f>
        <v>敵全体に / 回復</v>
      </c>
      <c r="T11" s="47" t="str">
        <f t="shared" si="12"/>
        <v>none</v>
      </c>
      <c r="U11" s="62" t="e">
        <f t="shared" si="13"/>
        <v>#VALUE!</v>
      </c>
      <c r="V11" s="62">
        <f t="shared" si="14"/>
        <v>4</v>
      </c>
      <c r="W11" s="62" t="e">
        <f t="shared" si="15"/>
        <v>#VALUE!</v>
      </c>
      <c r="X11" s="62" t="e">
        <f t="shared" si="16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 t="s">
        <v>212</v>
      </c>
      <c r="AA11" s="51">
        <f t="shared" ca="1" si="1"/>
        <v>42527</v>
      </c>
      <c r="AB11" s="50" t="s">
        <v>196</v>
      </c>
    </row>
    <row r="12" spans="1:28" ht="21" customHeight="1" x14ac:dyDescent="0.15">
      <c r="A12" s="46">
        <v>49005011</v>
      </c>
      <c r="B12" s="46" t="s">
        <v>414</v>
      </c>
      <c r="C12" s="49">
        <v>3</v>
      </c>
      <c r="D12" s="49" t="s">
        <v>125</v>
      </c>
      <c r="E12" s="50" t="s">
        <v>304</v>
      </c>
      <c r="F12" s="50" t="s">
        <v>417</v>
      </c>
      <c r="G12" s="62" t="str">
        <f t="shared" si="2"/>
        <v>[effect:enhance_enemy, target:enemy_all, turn:-1, status:attack, val:0.5, animation:enemy_enhance_attack]</v>
      </c>
      <c r="H12" s="62">
        <f t="shared" si="3"/>
        <v>9</v>
      </c>
      <c r="I12" s="62">
        <f t="shared" si="4"/>
        <v>22</v>
      </c>
      <c r="J12" s="62">
        <f t="shared" si="5"/>
        <v>31</v>
      </c>
      <c r="K12" s="62">
        <f t="shared" si="6"/>
        <v>40</v>
      </c>
      <c r="L12" s="62" t="str">
        <f>IFERROR(VLOOKUP(MID(G12,J12,K12-J12),[5]skilldef!$C:$D,2,FALSE),"-") &amp; " / " &amp; IFERROR(VLOOKUP(MID(G12,H12,I12-H12),[5]skilldef!$A:$B,2,FALSE),"-")</f>
        <v>敵全体に / ステータス強化</v>
      </c>
      <c r="M12" s="62" t="str">
        <f t="shared" si="7"/>
        <v>[effect:freq_turn, target:myself, turn:-1, val:1, animation:enemy_freq_turn]</v>
      </c>
      <c r="N12" s="47" t="str">
        <f t="shared" si="0"/>
        <v>[effect:freq_turn, target:myself, turn:-1, val:1, animation:enemy_freq_turn]</v>
      </c>
      <c r="O12" s="62">
        <f t="shared" si="8"/>
        <v>9</v>
      </c>
      <c r="P12" s="62">
        <f t="shared" si="9"/>
        <v>18</v>
      </c>
      <c r="Q12" s="62">
        <f t="shared" si="10"/>
        <v>27</v>
      </c>
      <c r="R12" s="62">
        <f t="shared" si="11"/>
        <v>33</v>
      </c>
      <c r="S12" s="62" t="str">
        <f>IFERROR(VLOOKUP(MID(N12,Q12,R12-Q12),[5]skilldef!$C:$D,2,FALSE),"-") &amp; " / " &amp; IFERROR(VLOOKUP(MID(N12,O12,P12-O12),[5]skilldef!$A:$B,2,FALSE),"-")</f>
        <v>自分自身に / 攻撃頻度がUP</v>
      </c>
      <c r="T12" s="47" t="str">
        <f t="shared" si="12"/>
        <v>none</v>
      </c>
      <c r="U12" s="62" t="e">
        <f t="shared" si="13"/>
        <v>#VALUE!</v>
      </c>
      <c r="V12" s="62">
        <f t="shared" si="14"/>
        <v>4</v>
      </c>
      <c r="W12" s="62" t="e">
        <f t="shared" si="15"/>
        <v>#VALUE!</v>
      </c>
      <c r="X12" s="62" t="e">
        <f t="shared" si="16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 t="s">
        <v>212</v>
      </c>
      <c r="AA12" s="51">
        <f t="shared" ca="1" si="1"/>
        <v>42527</v>
      </c>
      <c r="AB12" s="50" t="s">
        <v>196</v>
      </c>
    </row>
    <row r="13" spans="1:28" ht="21" customHeight="1" x14ac:dyDescent="0.15">
      <c r="A13" s="46">
        <v>49005012</v>
      </c>
      <c r="B13" s="99" t="s">
        <v>369</v>
      </c>
      <c r="C13" s="49">
        <v>3</v>
      </c>
      <c r="D13" s="49" t="s">
        <v>125</v>
      </c>
      <c r="E13" s="50" t="s">
        <v>216</v>
      </c>
      <c r="F13" s="50" t="s">
        <v>282</v>
      </c>
      <c r="G13" s="62" t="str">
        <f t="shared" si="2"/>
        <v>[effect:drop_block, block_type:jammer, color:block_yellow, val:0, rate:0.3, turn:5, animation:jammer_influence04]</v>
      </c>
      <c r="H13" s="62">
        <f t="shared" si="3"/>
        <v>9</v>
      </c>
      <c r="I13" s="62">
        <f t="shared" si="4"/>
        <v>19</v>
      </c>
      <c r="J13" s="62" t="e">
        <f t="shared" si="5"/>
        <v>#VALUE!</v>
      </c>
      <c r="K13" s="62">
        <f t="shared" si="6"/>
        <v>38</v>
      </c>
      <c r="L13" s="62" t="str">
        <f>IFERROR(VLOOKUP(MID(G13,J13,K13-J13),[5]skilldef!$C:$D,2,FALSE),"-") &amp; " / " &amp; IFERROR(VLOOKUP(MID(G13,H13,I13-H13),[5]skilldef!$A:$B,2,FALSE),"-")</f>
        <v>- / 特定ブロックの割合ドロップ</v>
      </c>
      <c r="M13" s="62" t="str">
        <f t="shared" si="7"/>
        <v>[effect:fix_speed, target:myself, turn:1]</v>
      </c>
      <c r="N13" s="47" t="str">
        <f t="shared" si="0"/>
        <v>[effect:fix_speed, target:myself, turn:1]</v>
      </c>
      <c r="O13" s="62">
        <f t="shared" si="8"/>
        <v>9</v>
      </c>
      <c r="P13" s="62">
        <f t="shared" si="9"/>
        <v>18</v>
      </c>
      <c r="Q13" s="62">
        <f t="shared" si="10"/>
        <v>27</v>
      </c>
      <c r="R13" s="62">
        <f t="shared" si="11"/>
        <v>33</v>
      </c>
      <c r="S13" s="62" t="str">
        <f>IFERROR(VLOOKUP(MID(N13,Q13,R13-Q13),[5]skilldef!$C:$D,2,FALSE),"-") &amp; " / " &amp; IFERROR(VLOOKUP(MID(N13,O13,P13-O13),[5]skilldef!$A:$B,2,FALSE),"-")</f>
        <v>自分自身に / 行動値設定</v>
      </c>
      <c r="T13" s="47" t="str">
        <f t="shared" si="12"/>
        <v>none</v>
      </c>
      <c r="U13" s="62" t="e">
        <f t="shared" si="13"/>
        <v>#VALUE!</v>
      </c>
      <c r="V13" s="62">
        <f t="shared" si="14"/>
        <v>4</v>
      </c>
      <c r="W13" s="62" t="e">
        <f t="shared" si="15"/>
        <v>#VALUE!</v>
      </c>
      <c r="X13" s="62" t="e">
        <f t="shared" si="16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 t="s">
        <v>212</v>
      </c>
      <c r="AA13" s="51">
        <f t="shared" ca="1" si="1"/>
        <v>42527</v>
      </c>
      <c r="AB13" s="50" t="s">
        <v>197</v>
      </c>
    </row>
    <row r="14" spans="1:28" ht="21" customHeight="1" x14ac:dyDescent="0.15">
      <c r="A14" s="46">
        <v>49005013</v>
      </c>
      <c r="B14" s="46" t="s">
        <v>433</v>
      </c>
      <c r="C14" s="49">
        <v>3</v>
      </c>
      <c r="D14" s="49" t="s">
        <v>125</v>
      </c>
      <c r="E14" s="50" t="s">
        <v>262</v>
      </c>
      <c r="F14" s="50" t="s">
        <v>370</v>
      </c>
      <c r="G14" s="62" t="str">
        <f t="shared" si="2"/>
        <v>[effect:force_change_block, new_block:time_bomb, target:block_all, count:4, val:0.2, min_time_count:2, max_time_count:3, animation:change_block]</v>
      </c>
      <c r="H14" s="62">
        <f t="shared" si="3"/>
        <v>9</v>
      </c>
      <c r="I14" s="62">
        <f t="shared" si="4"/>
        <v>27</v>
      </c>
      <c r="J14" s="62">
        <f t="shared" si="5"/>
        <v>57</v>
      </c>
      <c r="K14" s="62">
        <f t="shared" si="6"/>
        <v>48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7"/>
        <v>[effect:rush, count:2, val:0.6],[effect:fix_speed, target:myself, turn:2]</v>
      </c>
      <c r="N14" s="47" t="str">
        <f>IFERROR(LEFT(M14,FIND("],",M14)+#REF!),M14)</f>
        <v>[effect:rush, count:2, val:0.6],[effect:fix_speed, target:myself, turn:2]</v>
      </c>
      <c r="O14" s="62">
        <f t="shared" si="8"/>
        <v>9</v>
      </c>
      <c r="P14" s="62">
        <f t="shared" si="9"/>
        <v>13</v>
      </c>
      <c r="Q14" s="62">
        <f t="shared" si="10"/>
        <v>59</v>
      </c>
      <c r="R14" s="62">
        <f t="shared" si="11"/>
        <v>22</v>
      </c>
      <c r="S14" s="62" t="str">
        <f>IFERROR(VLOOKUP(MID(N14,Q14,R14-Q14),[5]skilldef!$C:$D,2,FALSE),"-") &amp; " / " &amp; IFERROR(VLOOKUP(MID(N14,O14,P14-O14),[5]skilldef!$A:$B,2,FALSE),"-")</f>
        <v>- / 連続攻撃</v>
      </c>
      <c r="T14" s="47" t="str">
        <f t="shared" si="12"/>
        <v>[effect:fix_speed, target:myself, turn:2]</v>
      </c>
      <c r="U14" s="62">
        <f t="shared" si="13"/>
        <v>9</v>
      </c>
      <c r="V14" s="62">
        <f t="shared" si="14"/>
        <v>18</v>
      </c>
      <c r="W14" s="62">
        <f t="shared" si="15"/>
        <v>27</v>
      </c>
      <c r="X14" s="62">
        <f t="shared" si="16"/>
        <v>33</v>
      </c>
      <c r="Y14" s="62" t="str">
        <f>IFERROR(VLOOKUP(MID(T14,W14,X14-W14),[5]skilldef!$C:$D,2,FALSE),"-") &amp; " / " &amp; IFERROR(VLOOKUP(MID(T14,U14,V14-U14),[5]skilldef!$A:$B,2,FALSE),"-")</f>
        <v>自分自身に / 行動値設定</v>
      </c>
      <c r="Z14" s="49" t="s">
        <v>212</v>
      </c>
      <c r="AA14" s="51">
        <f t="shared" ca="1" si="1"/>
        <v>42527</v>
      </c>
      <c r="AB14" s="50" t="s">
        <v>197</v>
      </c>
    </row>
    <row r="15" spans="1:28" ht="21" customHeight="1" x14ac:dyDescent="0.15">
      <c r="A15" s="46">
        <v>49005014</v>
      </c>
      <c r="B15" s="46" t="s">
        <v>232</v>
      </c>
      <c r="C15" s="49">
        <v>3</v>
      </c>
      <c r="D15" s="49" t="s">
        <v>125</v>
      </c>
      <c r="E15" s="50" t="s">
        <v>276</v>
      </c>
      <c r="F15" s="50" t="s">
        <v>371</v>
      </c>
      <c r="G15" s="62" t="str">
        <f t="shared" si="2"/>
        <v>[effect:rush, count:4, val:0.3]</v>
      </c>
      <c r="H15" s="62">
        <f t="shared" si="3"/>
        <v>9</v>
      </c>
      <c r="I15" s="62">
        <f t="shared" si="4"/>
        <v>13</v>
      </c>
      <c r="J15" s="62" t="e">
        <f t="shared" si="5"/>
        <v>#VALUE!</v>
      </c>
      <c r="K15" s="62">
        <f t="shared" si="6"/>
        <v>22</v>
      </c>
      <c r="L15" s="62" t="str">
        <f>IFERROR(VLOOKUP(MID(G15,J15,K15-J15),[5]skilldef!$C:$D,2,FALSE),"-") &amp; " / " &amp; IFERROR(VLOOKUP(MID(G15,H15,I15-H15),[5]skilldef!$A:$B,2,FALSE),"-")</f>
        <v>- / 連続攻撃</v>
      </c>
      <c r="M15" s="62" t="str">
        <f t="shared" si="7"/>
        <v>[effect:fix_speed, target:myself, turn:2]</v>
      </c>
      <c r="N15" s="47" t="str">
        <f>IFERROR(LEFT(M15,FIND("],",M15)+S24),M15)</f>
        <v>[effect:fix_speed, target:myself, turn:2]</v>
      </c>
      <c r="O15" s="62">
        <f t="shared" si="8"/>
        <v>9</v>
      </c>
      <c r="P15" s="62">
        <f t="shared" si="9"/>
        <v>18</v>
      </c>
      <c r="Q15" s="62">
        <f t="shared" si="10"/>
        <v>27</v>
      </c>
      <c r="R15" s="62">
        <f t="shared" si="11"/>
        <v>33</v>
      </c>
      <c r="S15" s="62" t="str">
        <f>IFERROR(VLOOKUP(MID(N15,Q15,R15-Q15),[5]skilldef!$C:$D,2,FALSE),"-") &amp; " / " &amp; IFERROR(VLOOKUP(MID(N15,O15,P15-O15),[5]skilldef!$A:$B,2,FALSE),"-")</f>
        <v>自分自身に / 行動値設定</v>
      </c>
      <c r="T15" s="47" t="str">
        <f t="shared" si="12"/>
        <v>none</v>
      </c>
      <c r="U15" s="62" t="e">
        <f t="shared" si="13"/>
        <v>#VALUE!</v>
      </c>
      <c r="V15" s="62">
        <f t="shared" si="14"/>
        <v>4</v>
      </c>
      <c r="W15" s="62" t="e">
        <f t="shared" si="15"/>
        <v>#VALUE!</v>
      </c>
      <c r="X15" s="62" t="e">
        <f t="shared" si="16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 t="s">
        <v>212</v>
      </c>
      <c r="AA15" s="51">
        <f t="shared" ca="1" si="1"/>
        <v>42527</v>
      </c>
      <c r="AB15" s="50" t="s">
        <v>197</v>
      </c>
    </row>
    <row r="16" spans="1:28" ht="21" customHeight="1" x14ac:dyDescent="0.15">
      <c r="A16" s="46">
        <v>49005015</v>
      </c>
      <c r="B16" s="46" t="s">
        <v>372</v>
      </c>
      <c r="C16" s="49">
        <v>3</v>
      </c>
      <c r="D16" s="49" t="s">
        <v>125</v>
      </c>
      <c r="E16" s="50" t="s">
        <v>215</v>
      </c>
      <c r="F16" s="50" t="s">
        <v>373</v>
      </c>
      <c r="G16" s="62" t="str">
        <f t="shared" si="2"/>
        <v>[effect:rush, count:2, val:0.6]</v>
      </c>
      <c r="H16" s="62">
        <f t="shared" si="3"/>
        <v>9</v>
      </c>
      <c r="I16" s="62">
        <f t="shared" si="4"/>
        <v>13</v>
      </c>
      <c r="J16" s="62" t="e">
        <f t="shared" si="5"/>
        <v>#VALUE!</v>
      </c>
      <c r="K16" s="62">
        <f t="shared" si="6"/>
        <v>22</v>
      </c>
      <c r="L16" s="62" t="str">
        <f>IFERROR(VLOOKUP(MID(G16,J16,K16-J16),[5]skilldef!$C:$D,2,FALSE),"-") &amp; " / " &amp; IFERROR(VLOOKUP(MID(G16,H16,I16-H16),[5]skilldef!$A:$B,2,FALSE),"-")</f>
        <v>- / 連続攻撃</v>
      </c>
      <c r="M16" s="62" t="str">
        <f t="shared" si="7"/>
        <v>[effect:charge, status:attack, val:1]</v>
      </c>
      <c r="N16" s="47" t="str">
        <f>IFERROR(LEFT(M16,FIND("],",M16)+#REF!),M16)</f>
        <v>[effect:charge, status:attack, val:1]</v>
      </c>
      <c r="O16" s="62">
        <f t="shared" si="8"/>
        <v>9</v>
      </c>
      <c r="P16" s="62">
        <f t="shared" si="9"/>
        <v>15</v>
      </c>
      <c r="Q16" s="62" t="e">
        <f t="shared" si="10"/>
        <v>#VALUE!</v>
      </c>
      <c r="R16" s="62">
        <f t="shared" si="11"/>
        <v>30</v>
      </c>
      <c r="S16" s="62" t="str">
        <f>IFERROR(VLOOKUP(MID(N16,Q16,R16-Q16),[5]skilldef!$C:$D,2,FALSE),"-") &amp; " / " &amp; IFERROR(VLOOKUP(MID(N16,O16,P16-O16),[5]skilldef!$A:$B,2,FALSE),"-")</f>
        <v>- / 溜め</v>
      </c>
      <c r="T16" s="47" t="str">
        <f t="shared" si="12"/>
        <v>none</v>
      </c>
      <c r="U16" s="62" t="e">
        <f t="shared" si="13"/>
        <v>#VALUE!</v>
      </c>
      <c r="V16" s="62">
        <f t="shared" si="14"/>
        <v>4</v>
      </c>
      <c r="W16" s="62" t="e">
        <f t="shared" si="15"/>
        <v>#VALUE!</v>
      </c>
      <c r="X16" s="62" t="e">
        <f t="shared" si="16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 t="s">
        <v>212</v>
      </c>
      <c r="AA16" s="51">
        <f t="shared" ca="1" si="1"/>
        <v>42527</v>
      </c>
      <c r="AB16" s="50" t="s">
        <v>197</v>
      </c>
    </row>
    <row r="17" spans="1:28" ht="21" customHeight="1" x14ac:dyDescent="0.15">
      <c r="A17" s="46">
        <v>49005016</v>
      </c>
      <c r="B17" s="99" t="s">
        <v>374</v>
      </c>
      <c r="C17" s="49">
        <v>3</v>
      </c>
      <c r="D17" s="49" t="s">
        <v>125</v>
      </c>
      <c r="E17" s="50" t="s">
        <v>305</v>
      </c>
      <c r="F17" s="50" t="s">
        <v>418</v>
      </c>
      <c r="G17" s="62" t="str">
        <f t="shared" si="2"/>
        <v>[effect:remove_enhancement, target:unit_all, target_effect:all, target_type:all, animation:frozen_wave]</v>
      </c>
      <c r="H17" s="62">
        <f t="shared" si="3"/>
        <v>9</v>
      </c>
      <c r="I17" s="62">
        <f t="shared" si="4"/>
        <v>27</v>
      </c>
      <c r="J17" s="62">
        <f t="shared" si="5"/>
        <v>36</v>
      </c>
      <c r="K17" s="62">
        <f t="shared" si="6"/>
        <v>44</v>
      </c>
      <c r="L17" s="62" t="str">
        <f>IFERROR(VLOOKUP(MID(G17,J17,K17-J17),[5]skilldef!$C:$D,2,FALSE),"-") &amp; " / " &amp; IFERROR(VLOOKUP(MID(G17,H17,I17-H17),[5]skilldef!$A:$B,2,FALSE),"-")</f>
        <v>味方全体に / -</v>
      </c>
      <c r="M17" s="62" t="str">
        <f t="shared" si="7"/>
        <v>[effect:freq_turn, target:myself, turn:-1, val:1, animation:enemy_freq_turn]</v>
      </c>
      <c r="N17" s="47" t="str">
        <f>IFERROR(LEFT(M17,FIND("],",M17)+S25),M17)</f>
        <v>[effect:freq_turn, target:myself, turn:-1, val:1, animation:enemy_freq_turn]</v>
      </c>
      <c r="O17" s="62">
        <f t="shared" si="8"/>
        <v>9</v>
      </c>
      <c r="P17" s="62">
        <f t="shared" si="9"/>
        <v>18</v>
      </c>
      <c r="Q17" s="62">
        <f t="shared" si="10"/>
        <v>27</v>
      </c>
      <c r="R17" s="62">
        <f t="shared" si="11"/>
        <v>33</v>
      </c>
      <c r="S17" s="62" t="str">
        <f>IFERROR(VLOOKUP(MID(N17,Q17,R17-Q17),[5]skilldef!$C:$D,2,FALSE),"-") &amp; " / " &amp; IFERROR(VLOOKUP(MID(N17,O17,P17-O17),[5]skilldef!$A:$B,2,FALSE),"-")</f>
        <v>自分自身に / 攻撃頻度がUP</v>
      </c>
      <c r="T17" s="47" t="str">
        <f t="shared" si="12"/>
        <v>none</v>
      </c>
      <c r="U17" s="62" t="e">
        <f t="shared" si="13"/>
        <v>#VALUE!</v>
      </c>
      <c r="V17" s="62">
        <f t="shared" si="14"/>
        <v>4</v>
      </c>
      <c r="W17" s="62" t="e">
        <f t="shared" si="15"/>
        <v>#VALUE!</v>
      </c>
      <c r="X17" s="62" t="e">
        <f t="shared" si="16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9" t="s">
        <v>212</v>
      </c>
      <c r="AA17" s="51">
        <f t="shared" ca="1" si="1"/>
        <v>42527</v>
      </c>
      <c r="AB17" s="50" t="s">
        <v>197</v>
      </c>
    </row>
    <row r="18" spans="1:28" ht="21" customHeight="1" x14ac:dyDescent="0.15">
      <c r="A18" s="46">
        <v>49005017</v>
      </c>
      <c r="B18" s="46" t="s">
        <v>375</v>
      </c>
      <c r="C18" s="49">
        <v>3</v>
      </c>
      <c r="D18" s="49" t="s">
        <v>125</v>
      </c>
      <c r="E18" s="50" t="s">
        <v>217</v>
      </c>
      <c r="F18" s="50" t="s">
        <v>416</v>
      </c>
      <c r="G18" s="62" t="str">
        <f t="shared" si="2"/>
        <v>[effect:degrade_unit, target:unit_all, turn:5, status:heal, val:0.5, animation:degrade_unit_all_heal]</v>
      </c>
      <c r="H18" s="62">
        <f t="shared" si="3"/>
        <v>9</v>
      </c>
      <c r="I18" s="62">
        <f t="shared" si="4"/>
        <v>21</v>
      </c>
      <c r="J18" s="62">
        <f t="shared" si="5"/>
        <v>30</v>
      </c>
      <c r="K18" s="62">
        <f t="shared" si="6"/>
        <v>38</v>
      </c>
      <c r="L18" s="62" t="str">
        <f>IFERROR(VLOOKUP(MID(G18,J18,K18-J18),[5]skilldef!$C:$D,2,FALSE),"-") &amp; " / " &amp; IFERROR(VLOOKUP(MID(G18,H18,I18-H18),[5]skilldef!$A:$B,2,FALSE),"-")</f>
        <v>味方全体に / ステータスDOWN</v>
      </c>
      <c r="M18" s="62" t="str">
        <f t="shared" si="7"/>
        <v>[effect:fix_speed, target:enemy_all, turn:2]</v>
      </c>
      <c r="N18" s="47" t="str">
        <f>IFERROR(LEFT(M18,FIND("],",M18)+S26),M18)</f>
        <v>[effect:fix_speed, target:enemy_all, turn:2]</v>
      </c>
      <c r="O18" s="62">
        <f t="shared" si="8"/>
        <v>9</v>
      </c>
      <c r="P18" s="62">
        <f t="shared" si="9"/>
        <v>18</v>
      </c>
      <c r="Q18" s="62">
        <f t="shared" si="10"/>
        <v>27</v>
      </c>
      <c r="R18" s="62">
        <f t="shared" si="11"/>
        <v>36</v>
      </c>
      <c r="S18" s="62" t="str">
        <f>IFERROR(VLOOKUP(MID(N18,Q18,R18-Q18),[5]skilldef!$C:$D,2,FALSE),"-") &amp; " / " &amp; IFERROR(VLOOKUP(MID(N18,O18,P18-O18),[5]skilldef!$A:$B,2,FALSE),"-")</f>
        <v>敵全体に / 行動値設定</v>
      </c>
      <c r="T18" s="47" t="str">
        <f t="shared" si="12"/>
        <v>none</v>
      </c>
      <c r="U18" s="62" t="e">
        <f t="shared" si="13"/>
        <v>#VALUE!</v>
      </c>
      <c r="V18" s="62">
        <f t="shared" si="14"/>
        <v>4</v>
      </c>
      <c r="W18" s="62" t="e">
        <f t="shared" si="15"/>
        <v>#VALUE!</v>
      </c>
      <c r="X18" s="62" t="e">
        <f t="shared" si="16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 t="s">
        <v>212</v>
      </c>
      <c r="AA18" s="51">
        <f t="shared" ca="1" si="1"/>
        <v>42527</v>
      </c>
      <c r="AB18" s="50" t="s">
        <v>198</v>
      </c>
    </row>
    <row r="19" spans="1:28" ht="21" customHeight="1" x14ac:dyDescent="0.15">
      <c r="A19" s="46">
        <v>49005018</v>
      </c>
      <c r="B19" s="46" t="s">
        <v>376</v>
      </c>
      <c r="C19" s="49">
        <v>3</v>
      </c>
      <c r="D19" s="49" t="s">
        <v>125</v>
      </c>
      <c r="E19" s="50" t="s">
        <v>298</v>
      </c>
      <c r="F19" s="50" t="s">
        <v>280</v>
      </c>
      <c r="G19" s="62" t="str">
        <f t="shared" si="2"/>
        <v>[effect:rush, count:2, val:0.5]</v>
      </c>
      <c r="H19" s="62">
        <f t="shared" si="3"/>
        <v>9</v>
      </c>
      <c r="I19" s="62">
        <f t="shared" si="4"/>
        <v>13</v>
      </c>
      <c r="J19" s="62" t="e">
        <f t="shared" si="5"/>
        <v>#VALUE!</v>
      </c>
      <c r="K19" s="62">
        <f t="shared" si="6"/>
        <v>22</v>
      </c>
      <c r="L19" s="62" t="str">
        <f>IFERROR(VLOOKUP(MID(G19,J19,K19-J19),[5]skilldef!$C:$D,2,FALSE),"-") &amp; " / " &amp; IFERROR(VLOOKUP(MID(G19,H19,I19-H19),[5]skilldef!$A:$B,2,FALSE),"-")</f>
        <v>- / 連続攻撃</v>
      </c>
      <c r="M19" s="62" t="str">
        <f t="shared" si="7"/>
        <v>none</v>
      </c>
      <c r="N19" s="47" t="str">
        <f>IFERROR(LEFT(M19,FIND("],",M19)+S27),M19)</f>
        <v>none</v>
      </c>
      <c r="O19" s="62" t="e">
        <f t="shared" si="8"/>
        <v>#VALUE!</v>
      </c>
      <c r="P19" s="62">
        <f t="shared" si="9"/>
        <v>4</v>
      </c>
      <c r="Q19" s="62" t="e">
        <f t="shared" si="10"/>
        <v>#VALUE!</v>
      </c>
      <c r="R19" s="62" t="e">
        <f t="shared" si="11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12"/>
        <v>none</v>
      </c>
      <c r="U19" s="62" t="e">
        <f t="shared" si="13"/>
        <v>#VALUE!</v>
      </c>
      <c r="V19" s="62">
        <f t="shared" si="14"/>
        <v>4</v>
      </c>
      <c r="W19" s="62" t="e">
        <f t="shared" si="15"/>
        <v>#VALUE!</v>
      </c>
      <c r="X19" s="62" t="e">
        <f t="shared" si="16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 t="s">
        <v>212</v>
      </c>
      <c r="AA19" s="51">
        <f t="shared" ca="1" si="1"/>
        <v>42527</v>
      </c>
      <c r="AB19" s="50" t="s">
        <v>198</v>
      </c>
    </row>
    <row r="20" spans="1:28" ht="21" customHeight="1" x14ac:dyDescent="0.15">
      <c r="A20" s="46">
        <v>49005019</v>
      </c>
      <c r="B20" s="46" t="s">
        <v>377</v>
      </c>
      <c r="C20" s="49">
        <v>3</v>
      </c>
      <c r="D20" s="49" t="s">
        <v>125</v>
      </c>
      <c r="E20" s="50" t="s">
        <v>299</v>
      </c>
      <c r="F20" s="50" t="s">
        <v>280</v>
      </c>
      <c r="G20" s="62" t="str">
        <f t="shared" si="2"/>
        <v>[effect:rush, count:2, val:0.6]</v>
      </c>
      <c r="H20" s="62">
        <f t="shared" si="3"/>
        <v>9</v>
      </c>
      <c r="I20" s="62">
        <f t="shared" si="4"/>
        <v>13</v>
      </c>
      <c r="J20" s="62" t="e">
        <f t="shared" si="5"/>
        <v>#VALUE!</v>
      </c>
      <c r="K20" s="62">
        <f t="shared" si="6"/>
        <v>22</v>
      </c>
      <c r="L20" s="62" t="str">
        <f>IFERROR(VLOOKUP(MID(G20,J20,K20-J20),[5]skilldef!$C:$D,2,FALSE),"-") &amp; " / " &amp; IFERROR(VLOOKUP(MID(G20,H20,I20-H20),[5]skilldef!$A:$B,2,FALSE),"-")</f>
        <v>- / 連続攻撃</v>
      </c>
      <c r="M20" s="62" t="str">
        <f t="shared" si="7"/>
        <v>none</v>
      </c>
      <c r="N20" s="47" t="str">
        <f>IFERROR(LEFT(M20,FIND("],",M20)+S28),M20)</f>
        <v>none</v>
      </c>
      <c r="O20" s="62" t="e">
        <f t="shared" si="8"/>
        <v>#VALUE!</v>
      </c>
      <c r="P20" s="62">
        <f t="shared" si="9"/>
        <v>4</v>
      </c>
      <c r="Q20" s="62" t="e">
        <f t="shared" si="10"/>
        <v>#VALUE!</v>
      </c>
      <c r="R20" s="62" t="e">
        <f t="shared" si="11"/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si="12"/>
        <v>none</v>
      </c>
      <c r="U20" s="62" t="e">
        <f t="shared" si="13"/>
        <v>#VALUE!</v>
      </c>
      <c r="V20" s="62">
        <f t="shared" si="14"/>
        <v>4</v>
      </c>
      <c r="W20" s="62" t="e">
        <f t="shared" si="15"/>
        <v>#VALUE!</v>
      </c>
      <c r="X20" s="62" t="e">
        <f t="shared" si="16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 t="s">
        <v>212</v>
      </c>
      <c r="AA20" s="51">
        <f t="shared" ca="1" si="1"/>
        <v>42527</v>
      </c>
      <c r="AB20" s="50" t="s">
        <v>198</v>
      </c>
    </row>
    <row r="21" spans="1:28" ht="21" customHeight="1" x14ac:dyDescent="0.15">
      <c r="A21" s="46">
        <v>49005020</v>
      </c>
      <c r="B21" s="46" t="s">
        <v>378</v>
      </c>
      <c r="C21" s="49">
        <v>3</v>
      </c>
      <c r="D21" s="49" t="s">
        <v>125</v>
      </c>
      <c r="E21" s="50" t="s">
        <v>300</v>
      </c>
      <c r="F21" s="50" t="s">
        <v>280</v>
      </c>
      <c r="G21" s="62" t="str">
        <f t="shared" si="2"/>
        <v>[effect:rush, count:2, val:0.7]</v>
      </c>
      <c r="H21" s="62">
        <f t="shared" si="3"/>
        <v>9</v>
      </c>
      <c r="I21" s="62">
        <f t="shared" si="4"/>
        <v>13</v>
      </c>
      <c r="J21" s="62" t="e">
        <f t="shared" si="5"/>
        <v>#VALUE!</v>
      </c>
      <c r="K21" s="62">
        <f t="shared" si="6"/>
        <v>22</v>
      </c>
      <c r="L21" s="62" t="str">
        <f>IFERROR(VLOOKUP(MID(G21,J21,K21-J21),[5]skilldef!$C:$D,2,FALSE),"-") &amp; " / " &amp; IFERROR(VLOOKUP(MID(G21,H21,I21-H21),[5]skilldef!$A:$B,2,FALSE),"-")</f>
        <v>- / 連続攻撃</v>
      </c>
      <c r="M21" s="62" t="str">
        <f t="shared" si="7"/>
        <v>none</v>
      </c>
      <c r="N21" s="47" t="str">
        <f>IFERROR(LEFT(M21,FIND("],",M21)+S29),M21)</f>
        <v>none</v>
      </c>
      <c r="O21" s="62" t="e">
        <f t="shared" si="8"/>
        <v>#VALUE!</v>
      </c>
      <c r="P21" s="62">
        <f t="shared" si="9"/>
        <v>4</v>
      </c>
      <c r="Q21" s="62" t="e">
        <f t="shared" si="10"/>
        <v>#VALUE!</v>
      </c>
      <c r="R21" s="62" t="e">
        <f t="shared" si="11"/>
        <v>#VALUE!</v>
      </c>
      <c r="S21" s="62" t="str">
        <f>IFERROR(VLOOKUP(MID(N21,Q21,R21-Q21),[5]skilldef!$C:$D,2,FALSE),"-") &amp; " / " &amp; IFERROR(VLOOKUP(MID(N21,O21,P21-O21),[5]skilldef!$A:$B,2,FALSE),"-")</f>
        <v>- / -</v>
      </c>
      <c r="T21" s="47" t="str">
        <f t="shared" si="12"/>
        <v>none</v>
      </c>
      <c r="U21" s="62" t="e">
        <f t="shared" si="13"/>
        <v>#VALUE!</v>
      </c>
      <c r="V21" s="62">
        <f t="shared" si="14"/>
        <v>4</v>
      </c>
      <c r="W21" s="62" t="e">
        <f t="shared" si="15"/>
        <v>#VALUE!</v>
      </c>
      <c r="X21" s="62" t="e">
        <f t="shared" si="16"/>
        <v>#VALUE!</v>
      </c>
      <c r="Y21" s="62" t="str">
        <f>IFERROR(VLOOKUP(MID(T21,W21,X21-W21),[5]skilldef!$C:$D,2,FALSE),"-") &amp; " / " &amp; IFERROR(VLOOKUP(MID(T21,U21,V21-U21),[5]skilldef!$A:$B,2,FALSE),"-")</f>
        <v>- / -</v>
      </c>
      <c r="Z21" s="49" t="s">
        <v>212</v>
      </c>
      <c r="AA21" s="51">
        <f t="shared" ca="1" si="1"/>
        <v>42527</v>
      </c>
      <c r="AB21" s="50" t="s">
        <v>198</v>
      </c>
    </row>
    <row r="22" spans="1:28" ht="21" customHeight="1" x14ac:dyDescent="0.15">
      <c r="A22" s="46">
        <v>49005021</v>
      </c>
      <c r="B22" s="46" t="s">
        <v>379</v>
      </c>
      <c r="C22" s="49">
        <v>3</v>
      </c>
      <c r="D22" s="49" t="s">
        <v>125</v>
      </c>
      <c r="E22" s="50" t="s">
        <v>237</v>
      </c>
      <c r="F22" s="50" t="s">
        <v>281</v>
      </c>
      <c r="G22" s="62" t="str">
        <f t="shared" si="2"/>
        <v>[effect:damage_anti_tribe, target:unit_all, tribe:human, val1:0.6, val2:0.3]</v>
      </c>
      <c r="H22" s="62">
        <f t="shared" si="3"/>
        <v>9</v>
      </c>
      <c r="I22" s="62">
        <f t="shared" si="4"/>
        <v>26</v>
      </c>
      <c r="J22" s="62">
        <f t="shared" si="5"/>
        <v>35</v>
      </c>
      <c r="K22" s="62">
        <f t="shared" si="6"/>
        <v>43</v>
      </c>
      <c r="L22" s="62" t="str">
        <f>IFERROR(VLOOKUP(MID(G22,J22,K22-J22),[5]skilldef!$C:$D,2,FALSE),"-") &amp; " / " &amp; IFERROR(VLOOKUP(MID(G22,H22,I22-H22),[5]skilldef!$A:$B,2,FALSE),"-")</f>
        <v>味方全体に / 種族キラー</v>
      </c>
      <c r="M22" s="62" t="str">
        <f t="shared" si="7"/>
        <v>none</v>
      </c>
      <c r="N22" s="47" t="str">
        <f>IFERROR(LEFT(M22,FIND("],",M22)+#REF!),M22)</f>
        <v>none</v>
      </c>
      <c r="O22" s="62" t="e">
        <f t="shared" si="8"/>
        <v>#VALUE!</v>
      </c>
      <c r="P22" s="62">
        <f t="shared" si="9"/>
        <v>4</v>
      </c>
      <c r="Q22" s="62" t="e">
        <f t="shared" si="10"/>
        <v>#VALUE!</v>
      </c>
      <c r="R22" s="62" t="e">
        <f t="shared" si="11"/>
        <v>#VALUE!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si="12"/>
        <v>none</v>
      </c>
      <c r="U22" s="62" t="e">
        <f t="shared" si="13"/>
        <v>#VALUE!</v>
      </c>
      <c r="V22" s="62">
        <f t="shared" si="14"/>
        <v>4</v>
      </c>
      <c r="W22" s="62" t="e">
        <f t="shared" si="15"/>
        <v>#VALUE!</v>
      </c>
      <c r="X22" s="62" t="e">
        <f t="shared" si="16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 t="s">
        <v>212</v>
      </c>
      <c r="AA22" s="51">
        <f t="shared" ca="1" si="1"/>
        <v>42527</v>
      </c>
      <c r="AB22" s="50" t="s">
        <v>198</v>
      </c>
    </row>
    <row r="23" spans="1:28" ht="21" customHeight="1" x14ac:dyDescent="0.15">
      <c r="A23" s="46">
        <v>49005022</v>
      </c>
      <c r="B23" s="46" t="s">
        <v>380</v>
      </c>
      <c r="C23" s="49">
        <v>3</v>
      </c>
      <c r="D23" s="49" t="s">
        <v>236</v>
      </c>
      <c r="E23" s="50" t="s">
        <v>238</v>
      </c>
      <c r="F23" s="50" t="s">
        <v>280</v>
      </c>
      <c r="G23" s="62" t="str">
        <f t="shared" si="2"/>
        <v>[effect:rush, count:2, val:0.75]</v>
      </c>
      <c r="H23" s="62">
        <f t="shared" si="3"/>
        <v>9</v>
      </c>
      <c r="I23" s="62">
        <f t="shared" si="4"/>
        <v>13</v>
      </c>
      <c r="J23" s="62" t="e">
        <f t="shared" si="5"/>
        <v>#VALUE!</v>
      </c>
      <c r="K23" s="62">
        <f t="shared" si="6"/>
        <v>22</v>
      </c>
      <c r="L23" s="62" t="str">
        <f>IFERROR(VLOOKUP(MID(G23,J23,K23-J23),[5]skilldef!$C:$D,2,FALSE),"-") &amp; " / " &amp; IFERROR(VLOOKUP(MID(G23,H23,I23-H23),[5]skilldef!$A:$B,2,FALSE),"-")</f>
        <v>- / 連続攻撃</v>
      </c>
      <c r="M23" s="62" t="str">
        <f t="shared" si="7"/>
        <v>none</v>
      </c>
      <c r="N23" s="47" t="str">
        <f>IFERROR(LEFT(M23,FIND("],",M23)+S30),M23)</f>
        <v>none</v>
      </c>
      <c r="O23" s="62" t="e">
        <f t="shared" si="8"/>
        <v>#VALUE!</v>
      </c>
      <c r="P23" s="62">
        <f t="shared" si="9"/>
        <v>4</v>
      </c>
      <c r="Q23" s="62" t="e">
        <f t="shared" si="10"/>
        <v>#VALUE!</v>
      </c>
      <c r="R23" s="62" t="e">
        <f t="shared" si="11"/>
        <v>#VALUE!</v>
      </c>
      <c r="S23" s="62" t="str">
        <f>IFERROR(VLOOKUP(MID(N23,Q23,R23-Q23),[5]skilldef!$C:$D,2,FALSE),"-") &amp; " / " &amp; IFERROR(VLOOKUP(MID(N23,O23,P23-O23),[5]skilldef!$A:$B,2,FALSE),"-")</f>
        <v>- / -</v>
      </c>
      <c r="T23" s="47" t="str">
        <f t="shared" si="12"/>
        <v>none</v>
      </c>
      <c r="U23" s="62" t="e">
        <f t="shared" si="13"/>
        <v>#VALUE!</v>
      </c>
      <c r="V23" s="62">
        <f t="shared" si="14"/>
        <v>4</v>
      </c>
      <c r="W23" s="62" t="e">
        <f t="shared" si="15"/>
        <v>#VALUE!</v>
      </c>
      <c r="X23" s="62" t="e">
        <f t="shared" si="16"/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49" t="s">
        <v>212</v>
      </c>
      <c r="AA23" s="51">
        <f t="shared" ca="1" si="1"/>
        <v>42527</v>
      </c>
      <c r="AB23" s="50" t="s">
        <v>198</v>
      </c>
    </row>
    <row r="24" spans="1:28" ht="21" customHeight="1" x14ac:dyDescent="0.15">
      <c r="A24" s="46">
        <v>49005024</v>
      </c>
      <c r="B24" s="46" t="s">
        <v>381</v>
      </c>
      <c r="C24" s="49">
        <v>3</v>
      </c>
      <c r="D24" s="49" t="s">
        <v>125</v>
      </c>
      <c r="E24" s="50" t="s">
        <v>235</v>
      </c>
      <c r="F24" s="50" t="s">
        <v>419</v>
      </c>
      <c r="G24" s="62" t="str">
        <f t="shared" ref="G24:G55" si="17">IFERROR(LEFT(B24,FIND("],",B24)),B24)</f>
        <v>[effect:freq_turn, target:myself, turn:6, val:1, animation:enemy_freq_turn]</v>
      </c>
      <c r="H24" s="62">
        <f t="shared" ref="H24:H55" si="18">FIND("effect:",G24)+7</f>
        <v>9</v>
      </c>
      <c r="I24" s="62">
        <f t="shared" ref="I24:I55" si="19">IFERROR(FIND(",",G24),LEN(G24))</f>
        <v>18</v>
      </c>
      <c r="J24" s="62">
        <f t="shared" ref="J24:J55" si="20">FIND("target:",G24)+7</f>
        <v>27</v>
      </c>
      <c r="K24" s="62">
        <f t="shared" ref="K24:K55" si="21">FIND(",",G24,I24+1)</f>
        <v>33</v>
      </c>
      <c r="L24" s="62" t="str">
        <f>IFERROR(VLOOKUP(MID(G24,J24,K24-J24),[5]skilldef!$C:$D,2,FALSE),"-") &amp; " / " &amp; IFERROR(VLOOKUP(MID(G24,H24,I24-H24),[5]skilldef!$A:$B,2,FALSE),"-")</f>
        <v>自分自身に / 攻撃頻度がUP</v>
      </c>
      <c r="M24" s="62" t="str">
        <f t="shared" ref="M24:M55" si="22">IFERROR(RIGHT(B24,LEN(B24)-FIND("],",B24)-1),"none")</f>
        <v>none</v>
      </c>
      <c r="N24" s="47" t="str">
        <f>IFERROR(LEFT(M24,FIND("],",M24)+#REF!),M24)</f>
        <v>none</v>
      </c>
      <c r="O24" s="62" t="e">
        <f t="shared" ref="O24:O55" si="23">FIND("effect:",N24)+7</f>
        <v>#VALUE!</v>
      </c>
      <c r="P24" s="62">
        <f t="shared" ref="P24:P55" si="24">IFERROR(FIND(",",N24),LEN(N24))</f>
        <v>4</v>
      </c>
      <c r="Q24" s="62" t="e">
        <f t="shared" ref="Q24:Q55" si="25">FIND("target:",N24)+7</f>
        <v>#VALUE!</v>
      </c>
      <c r="R24" s="62" t="e">
        <f t="shared" ref="R24:R55" si="26">FIND(",",N24,P24+1)</f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 t="shared" ref="T24:T55" si="27">IFERROR(RIGHT(M24,LEN(M24)-FIND("],",M24)-1),"none")</f>
        <v>none</v>
      </c>
      <c r="U24" s="62" t="e">
        <f t="shared" ref="U24:U55" si="28">FIND("effect:",T24)+7</f>
        <v>#VALUE!</v>
      </c>
      <c r="V24" s="62">
        <f t="shared" ref="V24:V55" si="29">IFERROR(FIND(",",T24),LEN(T24))</f>
        <v>4</v>
      </c>
      <c r="W24" s="62" t="e">
        <f t="shared" ref="W24:W55" si="30">FIND("target:",T24)+7</f>
        <v>#VALUE!</v>
      </c>
      <c r="X24" s="62" t="e">
        <f t="shared" ref="X24:X55" si="31">FIND(",",T24,V24+1)</f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 t="s">
        <v>212</v>
      </c>
      <c r="AA24" s="51">
        <f t="shared" ca="1" si="1"/>
        <v>42527</v>
      </c>
      <c r="AB24" s="50" t="s">
        <v>199</v>
      </c>
    </row>
    <row r="25" spans="1:28" ht="21" customHeight="1" x14ac:dyDescent="0.15">
      <c r="A25" s="46">
        <v>49005026</v>
      </c>
      <c r="B25" s="46" t="s">
        <v>382</v>
      </c>
      <c r="C25" s="49">
        <v>3</v>
      </c>
      <c r="D25" s="49" t="s">
        <v>125</v>
      </c>
      <c r="E25" s="48" t="s">
        <v>245</v>
      </c>
      <c r="F25" s="50" t="s">
        <v>279</v>
      </c>
      <c r="G25" s="62" t="str">
        <f t="shared" si="17"/>
        <v>[effect:damage_anti_tribe, target:unit_all, tribe:human, val1:0.4, val2:0.15]</v>
      </c>
      <c r="H25" s="62">
        <f t="shared" si="18"/>
        <v>9</v>
      </c>
      <c r="I25" s="62">
        <f t="shared" si="19"/>
        <v>26</v>
      </c>
      <c r="J25" s="62">
        <f t="shared" si="20"/>
        <v>35</v>
      </c>
      <c r="K25" s="62">
        <f t="shared" si="21"/>
        <v>43</v>
      </c>
      <c r="L25" s="62" t="str">
        <f>IFERROR(VLOOKUP(MID(G25,J25,K25-J25),[5]skilldef!$C:$D,2,FALSE),"-") &amp; " / " &amp; IFERROR(VLOOKUP(MID(G25,H25,I25-H25),[5]skilldef!$A:$B,2,FALSE),"-")</f>
        <v>味方全体に / 種族キラー</v>
      </c>
      <c r="M25" s="62" t="str">
        <f t="shared" si="22"/>
        <v>none</v>
      </c>
      <c r="N25" s="47" t="str">
        <f>IFERROR(LEFT(M25,FIND("],",M25)+S50),M25)</f>
        <v>none</v>
      </c>
      <c r="O25" s="62" t="e">
        <f t="shared" si="23"/>
        <v>#VALUE!</v>
      </c>
      <c r="P25" s="62">
        <f t="shared" si="24"/>
        <v>4</v>
      </c>
      <c r="Q25" s="62" t="e">
        <f t="shared" si="25"/>
        <v>#VALUE!</v>
      </c>
      <c r="R25" s="62" t="e">
        <f t="shared" si="26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si="27"/>
        <v>none</v>
      </c>
      <c r="U25" s="62" t="e">
        <f t="shared" si="28"/>
        <v>#VALUE!</v>
      </c>
      <c r="V25" s="62">
        <f t="shared" si="29"/>
        <v>4</v>
      </c>
      <c r="W25" s="62" t="e">
        <f t="shared" si="30"/>
        <v>#VALUE!</v>
      </c>
      <c r="X25" s="62" t="e">
        <f t="shared" si="31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 t="s">
        <v>212</v>
      </c>
      <c r="AA25" s="51">
        <f t="shared" ca="1" si="1"/>
        <v>42527</v>
      </c>
      <c r="AB25" s="50" t="s">
        <v>199</v>
      </c>
    </row>
    <row r="26" spans="1:28" ht="21" customHeight="1" x14ac:dyDescent="0.15">
      <c r="A26" s="46">
        <v>49005027</v>
      </c>
      <c r="B26" s="46" t="s">
        <v>383</v>
      </c>
      <c r="C26" s="49">
        <v>3</v>
      </c>
      <c r="D26" s="49" t="s">
        <v>125</v>
      </c>
      <c r="E26" s="50" t="s">
        <v>241</v>
      </c>
      <c r="F26" s="50" t="s">
        <v>279</v>
      </c>
      <c r="G26" s="62" t="str">
        <f t="shared" si="17"/>
        <v>[effect:damage_anti_tribe, target:unit_all, tribe:human, val1:0.6, val2:0.2]</v>
      </c>
      <c r="H26" s="62">
        <f t="shared" si="18"/>
        <v>9</v>
      </c>
      <c r="I26" s="62">
        <f t="shared" si="19"/>
        <v>26</v>
      </c>
      <c r="J26" s="62">
        <f t="shared" si="20"/>
        <v>35</v>
      </c>
      <c r="K26" s="62">
        <f t="shared" si="21"/>
        <v>43</v>
      </c>
      <c r="L26" s="62" t="str">
        <f>IFERROR(VLOOKUP(MID(G26,J26,K26-J26),[5]skilldef!$C:$D,2,FALSE),"-") &amp; " / " &amp; IFERROR(VLOOKUP(MID(G26,H26,I26-H26),[5]skilldef!$A:$B,2,FALSE),"-")</f>
        <v>味方全体に / 種族キラー</v>
      </c>
      <c r="M26" s="62" t="str">
        <f t="shared" si="22"/>
        <v>none</v>
      </c>
      <c r="N26" s="47" t="str">
        <f>IFERROR(LEFT(M26,FIND("],",M26)+S51),M26)</f>
        <v>none</v>
      </c>
      <c r="O26" s="62" t="e">
        <f t="shared" si="23"/>
        <v>#VALUE!</v>
      </c>
      <c r="P26" s="62">
        <f t="shared" si="24"/>
        <v>4</v>
      </c>
      <c r="Q26" s="62" t="e">
        <f t="shared" si="25"/>
        <v>#VALUE!</v>
      </c>
      <c r="R26" s="62" t="e">
        <f t="shared" si="26"/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si="27"/>
        <v>none</v>
      </c>
      <c r="U26" s="62" t="e">
        <f t="shared" si="28"/>
        <v>#VALUE!</v>
      </c>
      <c r="V26" s="62">
        <f t="shared" si="29"/>
        <v>4</v>
      </c>
      <c r="W26" s="62" t="e">
        <f t="shared" si="30"/>
        <v>#VALUE!</v>
      </c>
      <c r="X26" s="62" t="e">
        <f t="shared" si="31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 t="s">
        <v>212</v>
      </c>
      <c r="AA26" s="51">
        <f t="shared" ca="1" si="1"/>
        <v>42527</v>
      </c>
      <c r="AB26" s="50" t="s">
        <v>199</v>
      </c>
    </row>
    <row r="27" spans="1:28" ht="21" customHeight="1" x14ac:dyDescent="0.15">
      <c r="A27" s="46">
        <v>49005028</v>
      </c>
      <c r="B27" s="46" t="s">
        <v>384</v>
      </c>
      <c r="C27" s="49">
        <v>3</v>
      </c>
      <c r="D27" s="49" t="s">
        <v>125</v>
      </c>
      <c r="E27" s="50" t="s">
        <v>240</v>
      </c>
      <c r="F27" s="50" t="s">
        <v>279</v>
      </c>
      <c r="G27" s="62" t="str">
        <f t="shared" si="17"/>
        <v>[effect:damage_anti_tribe, target:unit_all, tribe:human, val1:0.7, val2:0.25]</v>
      </c>
      <c r="H27" s="62">
        <f t="shared" si="18"/>
        <v>9</v>
      </c>
      <c r="I27" s="62">
        <f t="shared" si="19"/>
        <v>26</v>
      </c>
      <c r="J27" s="62">
        <f t="shared" si="20"/>
        <v>35</v>
      </c>
      <c r="K27" s="62">
        <f t="shared" si="21"/>
        <v>43</v>
      </c>
      <c r="L27" s="62" t="str">
        <f>IFERROR(VLOOKUP(MID(G27,J27,K27-J27),[5]skilldef!$C:$D,2,FALSE),"-") &amp; " / " &amp; IFERROR(VLOOKUP(MID(G27,H27,I27-H27),[5]skilldef!$A:$B,2,FALSE),"-")</f>
        <v>味方全体に / 種族キラー</v>
      </c>
      <c r="M27" s="62" t="str">
        <f t="shared" si="22"/>
        <v>none</v>
      </c>
      <c r="N27" s="47" t="str">
        <f>IFERROR(LEFT(M27,FIND("],",M27)+S52),M27)</f>
        <v>none</v>
      </c>
      <c r="O27" s="62" t="e">
        <f t="shared" si="23"/>
        <v>#VALUE!</v>
      </c>
      <c r="P27" s="62">
        <f t="shared" si="24"/>
        <v>4</v>
      </c>
      <c r="Q27" s="62" t="e">
        <f t="shared" si="25"/>
        <v>#VALUE!</v>
      </c>
      <c r="R27" s="62" t="e">
        <f t="shared" si="26"/>
        <v>#VALUE!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27"/>
        <v>none</v>
      </c>
      <c r="U27" s="62" t="e">
        <f t="shared" si="28"/>
        <v>#VALUE!</v>
      </c>
      <c r="V27" s="62">
        <f t="shared" si="29"/>
        <v>4</v>
      </c>
      <c r="W27" s="62" t="e">
        <f t="shared" si="30"/>
        <v>#VALUE!</v>
      </c>
      <c r="X27" s="62" t="e">
        <f t="shared" si="31"/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49" t="s">
        <v>212</v>
      </c>
      <c r="AA27" s="51">
        <f t="shared" ca="1" si="1"/>
        <v>42527</v>
      </c>
      <c r="AB27" s="50" t="s">
        <v>199</v>
      </c>
    </row>
    <row r="28" spans="1:28" ht="21" customHeight="1" x14ac:dyDescent="0.15">
      <c r="A28" s="46">
        <v>49005029</v>
      </c>
      <c r="B28" s="46" t="s">
        <v>385</v>
      </c>
      <c r="C28" s="49">
        <v>3</v>
      </c>
      <c r="D28" s="49" t="s">
        <v>125</v>
      </c>
      <c r="E28" s="50" t="s">
        <v>263</v>
      </c>
      <c r="F28" s="50" t="s">
        <v>279</v>
      </c>
      <c r="G28" s="62" t="str">
        <f t="shared" si="17"/>
        <v>[effect:damage_anti_tribe, target:unit_all, tribe:human, val1:0.9, val2:0.3]</v>
      </c>
      <c r="H28" s="62">
        <f t="shared" si="18"/>
        <v>9</v>
      </c>
      <c r="I28" s="62">
        <f t="shared" si="19"/>
        <v>26</v>
      </c>
      <c r="J28" s="62">
        <f t="shared" si="20"/>
        <v>35</v>
      </c>
      <c r="K28" s="62">
        <f t="shared" si="21"/>
        <v>43</v>
      </c>
      <c r="L28" s="62" t="str">
        <f>IFERROR(VLOOKUP(MID(G28,J28,K28-J28),[5]skilldef!$C:$D,2,FALSE),"-") &amp; " / " &amp; IFERROR(VLOOKUP(MID(G28,H28,I28-H28),[5]skilldef!$A:$B,2,FALSE),"-")</f>
        <v>味方全体に / 種族キラー</v>
      </c>
      <c r="M28" s="62" t="str">
        <f t="shared" si="22"/>
        <v>none</v>
      </c>
      <c r="N28" s="47" t="str">
        <f>IFERROR(LEFT(M28,FIND("],",M28)+S53),M28)</f>
        <v>none</v>
      </c>
      <c r="O28" s="62" t="e">
        <f t="shared" si="23"/>
        <v>#VALUE!</v>
      </c>
      <c r="P28" s="62">
        <f t="shared" si="24"/>
        <v>4</v>
      </c>
      <c r="Q28" s="62" t="e">
        <f t="shared" si="25"/>
        <v>#VALUE!</v>
      </c>
      <c r="R28" s="62" t="e">
        <f t="shared" si="26"/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si="27"/>
        <v>none</v>
      </c>
      <c r="U28" s="62" t="e">
        <f t="shared" si="28"/>
        <v>#VALUE!</v>
      </c>
      <c r="V28" s="62">
        <f t="shared" si="29"/>
        <v>4</v>
      </c>
      <c r="W28" s="62" t="e">
        <f t="shared" si="30"/>
        <v>#VALUE!</v>
      </c>
      <c r="X28" s="62" t="e">
        <f t="shared" si="31"/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 t="s">
        <v>212</v>
      </c>
      <c r="AA28" s="51">
        <f t="shared" ca="1" si="1"/>
        <v>42527</v>
      </c>
      <c r="AB28" s="50" t="s">
        <v>199</v>
      </c>
    </row>
    <row r="29" spans="1:28" ht="21" customHeight="1" x14ac:dyDescent="0.15">
      <c r="A29" s="46">
        <v>49005030</v>
      </c>
      <c r="B29" s="46" t="s">
        <v>386</v>
      </c>
      <c r="C29" s="49">
        <v>3</v>
      </c>
      <c r="D29" s="49" t="s">
        <v>125</v>
      </c>
      <c r="E29" s="50" t="s">
        <v>239</v>
      </c>
      <c r="F29" s="50" t="s">
        <v>279</v>
      </c>
      <c r="G29" s="62" t="str">
        <f t="shared" si="17"/>
        <v>[effect:damage_anti_tribe, target:unit_all, tribe:human, val1:1.5, val2:0.35]</v>
      </c>
      <c r="H29" s="62">
        <f t="shared" si="18"/>
        <v>9</v>
      </c>
      <c r="I29" s="62">
        <f t="shared" si="19"/>
        <v>26</v>
      </c>
      <c r="J29" s="62">
        <f t="shared" si="20"/>
        <v>35</v>
      </c>
      <c r="K29" s="62">
        <f t="shared" si="21"/>
        <v>43</v>
      </c>
      <c r="L29" s="62" t="str">
        <f>IFERROR(VLOOKUP(MID(G29,J29,K29-J29),[5]skilldef!$C:$D,2,FALSE),"-") &amp; " / " &amp; IFERROR(VLOOKUP(MID(G29,H29,I29-H29),[5]skilldef!$A:$B,2,FALSE),"-")</f>
        <v>味方全体に / 種族キラー</v>
      </c>
      <c r="M29" s="62" t="str">
        <f t="shared" si="22"/>
        <v>none</v>
      </c>
      <c r="N29" s="47" t="str">
        <f>IFERROR(LEFT(M29,FIND("],",M29)+S54),M29)</f>
        <v>none</v>
      </c>
      <c r="O29" s="62" t="e">
        <f t="shared" si="23"/>
        <v>#VALUE!</v>
      </c>
      <c r="P29" s="62">
        <f t="shared" si="24"/>
        <v>4</v>
      </c>
      <c r="Q29" s="62" t="e">
        <f t="shared" si="25"/>
        <v>#VALUE!</v>
      </c>
      <c r="R29" s="62" t="e">
        <f t="shared" si="26"/>
        <v>#VALUE!</v>
      </c>
      <c r="S29" s="62" t="str">
        <f>IFERROR(VLOOKUP(MID(N29,Q29,R29-Q29),[5]skilldef!$C:$D,2,FALSE),"-") &amp; " / " &amp; IFERROR(VLOOKUP(MID(N29,O29,P29-O29),[5]skilldef!$A:$B,2,FALSE),"-")</f>
        <v>- / -</v>
      </c>
      <c r="T29" s="47" t="str">
        <f t="shared" si="27"/>
        <v>none</v>
      </c>
      <c r="U29" s="62" t="e">
        <f t="shared" si="28"/>
        <v>#VALUE!</v>
      </c>
      <c r="V29" s="62">
        <f t="shared" si="29"/>
        <v>4</v>
      </c>
      <c r="W29" s="62" t="e">
        <f t="shared" si="30"/>
        <v>#VALUE!</v>
      </c>
      <c r="X29" s="62" t="e">
        <f t="shared" si="31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49" t="s">
        <v>212</v>
      </c>
      <c r="AA29" s="51">
        <f t="shared" ca="1" si="1"/>
        <v>42527</v>
      </c>
      <c r="AB29" s="50" t="s">
        <v>199</v>
      </c>
    </row>
    <row r="30" spans="1:28" ht="21" customHeight="1" x14ac:dyDescent="0.15">
      <c r="A30" s="46">
        <v>49005031</v>
      </c>
      <c r="B30" s="46" t="s">
        <v>434</v>
      </c>
      <c r="C30" s="49">
        <v>3</v>
      </c>
      <c r="D30" s="49" t="s">
        <v>242</v>
      </c>
      <c r="E30" s="50" t="s">
        <v>302</v>
      </c>
      <c r="F30" s="50" t="s">
        <v>223</v>
      </c>
      <c r="G30" s="62" t="str">
        <f t="shared" si="17"/>
        <v>[effect:critical, val:1.0]</v>
      </c>
      <c r="H30" s="62">
        <f t="shared" si="18"/>
        <v>9</v>
      </c>
      <c r="I30" s="62">
        <f t="shared" si="19"/>
        <v>17</v>
      </c>
      <c r="J30" s="62" t="e">
        <f t="shared" si="20"/>
        <v>#VALUE!</v>
      </c>
      <c r="K30" s="62" t="e">
        <f t="shared" si="21"/>
        <v>#VALUE!</v>
      </c>
      <c r="L30" s="62" t="str">
        <f>IFERROR(VLOOKUP(MID(G30,J30,K30-J30),[5]skilldef!$C:$D,2,FALSE),"-") &amp; " / " &amp; IFERROR(VLOOKUP(MID(G30,H30,I30-H30),[5]skilldef!$A:$B,2,FALSE),"-")</f>
        <v>- / 大攻撃</v>
      </c>
      <c r="M30" s="62" t="str">
        <f t="shared" si="22"/>
        <v>[effect:charge, status:attack, val:1.0],[effect:freq_turn, target:myself, turn:1, val:1, animation:enemy_freq_turn]</v>
      </c>
      <c r="N30" s="47" t="str">
        <f>IFERROR(LEFT(M30,FIND("],",M30)+#REF!),M30)</f>
        <v>[effect:charge, status:attack, val:1.0],[effect:freq_turn, target:myself, turn:1, val:1, animation:enemy_freq_turn]</v>
      </c>
      <c r="O30" s="62">
        <f t="shared" si="23"/>
        <v>9</v>
      </c>
      <c r="P30" s="62">
        <f t="shared" si="24"/>
        <v>15</v>
      </c>
      <c r="Q30" s="62">
        <f t="shared" si="25"/>
        <v>67</v>
      </c>
      <c r="R30" s="62">
        <f t="shared" si="26"/>
        <v>30</v>
      </c>
      <c r="S30" s="62" t="str">
        <f>IFERROR(VLOOKUP(MID(N30,Q30,R30-Q30),[5]skilldef!$C:$D,2,FALSE),"-") &amp; " / " &amp; IFERROR(VLOOKUP(MID(N30,O30,P30-O30),[5]skilldef!$A:$B,2,FALSE),"-")</f>
        <v>- / 溜め</v>
      </c>
      <c r="T30" s="47" t="str">
        <f t="shared" si="27"/>
        <v>[effect:freq_turn, target:myself, turn:1, val:1, animation:enemy_freq_turn]</v>
      </c>
      <c r="U30" s="62">
        <f t="shared" si="28"/>
        <v>9</v>
      </c>
      <c r="V30" s="62">
        <f t="shared" si="29"/>
        <v>18</v>
      </c>
      <c r="W30" s="62">
        <f t="shared" si="30"/>
        <v>27</v>
      </c>
      <c r="X30" s="62">
        <f t="shared" si="31"/>
        <v>33</v>
      </c>
      <c r="Y30" s="62" t="str">
        <f>IFERROR(VLOOKUP(MID(T30,W30,X30-W30),[5]skilldef!$C:$D,2,FALSE),"-") &amp; " / " &amp; IFERROR(VLOOKUP(MID(T30,U30,V30-U30),[5]skilldef!$A:$B,2,FALSE),"-")</f>
        <v>自分自身に / 攻撃頻度がUP</v>
      </c>
      <c r="Z30" s="49" t="s">
        <v>212</v>
      </c>
      <c r="AA30" s="51">
        <f t="shared" ca="1" si="1"/>
        <v>42527</v>
      </c>
      <c r="AB30" s="50" t="s">
        <v>199</v>
      </c>
    </row>
    <row r="31" spans="1:28" ht="21" customHeight="1" x14ac:dyDescent="0.15">
      <c r="A31" s="46">
        <v>49005032</v>
      </c>
      <c r="B31" s="99" t="s">
        <v>387</v>
      </c>
      <c r="C31" s="49">
        <v>3</v>
      </c>
      <c r="D31" s="49" t="s">
        <v>125</v>
      </c>
      <c r="E31" s="50" t="s">
        <v>258</v>
      </c>
      <c r="F31" s="50" t="s">
        <v>389</v>
      </c>
      <c r="G31" s="62" t="str">
        <f t="shared" si="17"/>
        <v>[effect:tolerance, target:myself, turn:-1, tolerance_effect:hungup, count:-1]</v>
      </c>
      <c r="H31" s="62">
        <f t="shared" si="18"/>
        <v>9</v>
      </c>
      <c r="I31" s="62">
        <f t="shared" si="19"/>
        <v>18</v>
      </c>
      <c r="J31" s="62">
        <f t="shared" si="20"/>
        <v>27</v>
      </c>
      <c r="K31" s="62">
        <f t="shared" si="21"/>
        <v>33</v>
      </c>
      <c r="L31" s="62" t="str">
        <f>IFERROR(VLOOKUP(MID(G31,J31,K31-J31),[5]skilldef!$C:$D,2,FALSE),"-") &amp; " / " &amp; IFERROR(VLOOKUP(MID(G31,H31,I31-H31),[5]skilldef!$A:$B,2,FALSE),"-")</f>
        <v>自分自身に / 状態異常耐性</v>
      </c>
      <c r="M31" s="62" t="str">
        <f t="shared" si="22"/>
        <v>[effect:tolerance, target:myself, turn:-1, tolerance_effect:virus, count:-1],[effect:tolerance, target:myself, turn:-1, tolerance_effect:sleep, count:-1, animation:enemy_tolerance],[effect:hungup, target:unit_all, turn:10, rate:1, animation:hungup01]</v>
      </c>
      <c r="N31" s="47" t="str">
        <f>IFERROR(LEFT(M31,FIND("],",M31)+S56),M31)</f>
        <v>[effect:tolerance, target:myself, turn:-1, tolerance_effect:virus, count:-1],[effect:tolerance, target:myself, turn:-1, tolerance_effect:sleep, count:-1, animation:enemy_tolerance],[effect:hungup, target:unit_all, turn:10, rate:1, animation:hungup01]</v>
      </c>
      <c r="O31" s="62">
        <f t="shared" si="23"/>
        <v>9</v>
      </c>
      <c r="P31" s="62">
        <f t="shared" si="24"/>
        <v>18</v>
      </c>
      <c r="Q31" s="62">
        <f t="shared" si="25"/>
        <v>27</v>
      </c>
      <c r="R31" s="62">
        <f t="shared" si="26"/>
        <v>33</v>
      </c>
      <c r="S31" s="62" t="str">
        <f>IFERROR(VLOOKUP(MID(N31,Q31,R31-Q31),[5]skilldef!$C:$D,2,FALSE),"-") &amp; " / " &amp; IFERROR(VLOOKUP(MID(N31,O31,P31-O31),[5]skilldef!$A:$B,2,FALSE),"-")</f>
        <v>自分自身に / 状態異常耐性</v>
      </c>
      <c r="T31" s="47" t="str">
        <f t="shared" si="27"/>
        <v>[effect:tolerance, target:myself, turn:-1, tolerance_effect:sleep, count:-1, animation:enemy_tolerance],[effect:hungup, target:unit_all, turn:10, rate:1, animation:hungup01]</v>
      </c>
      <c r="U31" s="62">
        <f t="shared" si="28"/>
        <v>9</v>
      </c>
      <c r="V31" s="62">
        <f t="shared" si="29"/>
        <v>18</v>
      </c>
      <c r="W31" s="62">
        <f t="shared" si="30"/>
        <v>27</v>
      </c>
      <c r="X31" s="62">
        <f t="shared" si="31"/>
        <v>33</v>
      </c>
      <c r="Y31" s="62" t="str">
        <f>IFERROR(VLOOKUP(MID(T31,W31,X31-W31),[5]skilldef!$C:$D,2,FALSE),"-") &amp; " / " &amp; IFERROR(VLOOKUP(MID(T31,U31,V31-U31),[5]skilldef!$A:$B,2,FALSE),"-")</f>
        <v>自分自身に / 状態異常耐性</v>
      </c>
      <c r="Z31" s="49" t="s">
        <v>212</v>
      </c>
      <c r="AA31" s="51">
        <f t="shared" ca="1" si="1"/>
        <v>42527</v>
      </c>
      <c r="AB31" s="50" t="s">
        <v>201</v>
      </c>
    </row>
    <row r="32" spans="1:28" ht="21" customHeight="1" x14ac:dyDescent="0.15">
      <c r="A32" s="46">
        <v>49005033</v>
      </c>
      <c r="B32" s="99" t="s">
        <v>388</v>
      </c>
      <c r="C32" s="49">
        <v>3</v>
      </c>
      <c r="D32" s="49" t="s">
        <v>125</v>
      </c>
      <c r="E32" s="50" t="s">
        <v>243</v>
      </c>
      <c r="F32" s="50" t="s">
        <v>360</v>
      </c>
      <c r="G32" s="62" t="str">
        <f t="shared" si="17"/>
        <v>[effect:tolerance, target:myself, turn:-1, tolerance_effect:hungup, count:-1]</v>
      </c>
      <c r="H32" s="62">
        <f t="shared" si="18"/>
        <v>9</v>
      </c>
      <c r="I32" s="62">
        <f t="shared" si="19"/>
        <v>18</v>
      </c>
      <c r="J32" s="62">
        <f t="shared" si="20"/>
        <v>27</v>
      </c>
      <c r="K32" s="62">
        <f t="shared" si="21"/>
        <v>33</v>
      </c>
      <c r="L32" s="62" t="str">
        <f>IFERROR(VLOOKUP(MID(G32,J32,K32-J32),[5]skilldef!$C:$D,2,FALSE),"-") &amp; " / " &amp; IFERROR(VLOOKUP(MID(G32,H32,I32-H32),[5]skilldef!$A:$B,2,FALSE),"-")</f>
        <v>自分自身に / 状態異常耐性</v>
      </c>
      <c r="M32" s="62" t="str">
        <f t="shared" si="2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2" s="47" t="str">
        <f t="shared" ref="N32:N42" si="32">IFERROR(LEFT(M32,FIND("],",M32)+S75),M32)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2" s="62">
        <f t="shared" si="23"/>
        <v>9</v>
      </c>
      <c r="P32" s="62">
        <f t="shared" si="24"/>
        <v>18</v>
      </c>
      <c r="Q32" s="62">
        <f t="shared" si="25"/>
        <v>27</v>
      </c>
      <c r="R32" s="62">
        <f t="shared" si="26"/>
        <v>33</v>
      </c>
      <c r="S32" s="62" t="str">
        <f>IFERROR(VLOOKUP(MID(N32,Q32,R32-Q32),[5]skilldef!$C:$D,2,FALSE),"-") &amp; " / " &amp; IFERROR(VLOOKUP(MID(N32,O32,P32-O32),[5]skilldef!$A:$B,2,FALSE),"-")</f>
        <v>自分自身に / 状態異常耐性</v>
      </c>
      <c r="T32" s="47" t="str">
        <f t="shared" si="27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2" s="62">
        <f t="shared" si="28"/>
        <v>9</v>
      </c>
      <c r="V32" s="62">
        <f t="shared" si="29"/>
        <v>18</v>
      </c>
      <c r="W32" s="62">
        <f t="shared" si="30"/>
        <v>27</v>
      </c>
      <c r="X32" s="62">
        <f t="shared" si="31"/>
        <v>33</v>
      </c>
      <c r="Y32" s="62" t="str">
        <f>IFERROR(VLOOKUP(MID(T32,W32,X32-W32),[5]skilldef!$C:$D,2,FALSE),"-") &amp; " / " &amp; IFERROR(VLOOKUP(MID(T32,U32,V32-U32),[5]skilldef!$A:$B,2,FALSE),"-")</f>
        <v>自分自身に / 状態異常耐性</v>
      </c>
      <c r="Z32" s="49" t="s">
        <v>212</v>
      </c>
      <c r="AA32" s="51">
        <f t="shared" ca="1" si="1"/>
        <v>42527</v>
      </c>
      <c r="AB32" s="50" t="s">
        <v>200</v>
      </c>
    </row>
    <row r="33" spans="1:28" ht="21" customHeight="1" outlineLevel="1" x14ac:dyDescent="0.15">
      <c r="A33" s="46">
        <v>49005034</v>
      </c>
      <c r="B33" s="99" t="str">
        <f>B32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3" s="49">
        <v>3</v>
      </c>
      <c r="D33" s="49" t="s">
        <v>125</v>
      </c>
      <c r="E33" s="50" t="s">
        <v>243</v>
      </c>
      <c r="F33" s="50" t="s">
        <v>360</v>
      </c>
      <c r="G33" s="62" t="str">
        <f t="shared" ref="G33:G34" si="33">IFERROR(LEFT(B33,FIND("],",B33)),B33)</f>
        <v>[effect:tolerance, target:myself, turn:-1, tolerance_effect:hungup, count:-1]</v>
      </c>
      <c r="H33" s="62">
        <f t="shared" ref="H33:H34" si="34">FIND("effect:",G33)+7</f>
        <v>9</v>
      </c>
      <c r="I33" s="62">
        <f t="shared" ref="I33:I34" si="35">IFERROR(FIND(",",G33),LEN(G33))</f>
        <v>18</v>
      </c>
      <c r="J33" s="62">
        <f t="shared" ref="J33:J34" si="36">FIND("target:",G33)+7</f>
        <v>27</v>
      </c>
      <c r="K33" s="62">
        <f t="shared" ref="K33:K34" si="37">FIND(",",G33,I33+1)</f>
        <v>33</v>
      </c>
      <c r="L33" s="62" t="str">
        <f>IFERROR(VLOOKUP(MID(G33,J33,K33-J33),[5]skilldef!$C:$D,2,FALSE),"-") &amp; " / " &amp; IFERROR(VLOOKUP(MID(G33,H33,I33-H33),[5]skilldef!$A:$B,2,FALSE),"-")</f>
        <v>自分自身に / 状態異常耐性</v>
      </c>
      <c r="M33" s="62" t="str">
        <f t="shared" ref="M33:M34" si="38">IFERROR(RIGHT(B33,LEN(B33)-FIND("],",B33)-1),"none")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3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3" s="62">
        <f t="shared" ref="O33:O34" si="39">FIND("effect:",N33)+7</f>
        <v>9</v>
      </c>
      <c r="P33" s="62">
        <f t="shared" ref="P33:P34" si="40">IFERROR(FIND(",",N33),LEN(N33))</f>
        <v>18</v>
      </c>
      <c r="Q33" s="62">
        <f t="shared" ref="Q33:Q34" si="41">FIND("target:",N33)+7</f>
        <v>27</v>
      </c>
      <c r="R33" s="62">
        <f t="shared" ref="R33:R34" si="42">FIND(",",N33,P33+1)</f>
        <v>33</v>
      </c>
      <c r="S33" s="62" t="str">
        <f>IFERROR(VLOOKUP(MID(N33,Q33,R33-Q33),[5]skilldef!$C:$D,2,FALSE),"-") &amp; " / " &amp; IFERROR(VLOOKUP(MID(N33,O33,P33-O33),[5]skilldef!$A:$B,2,FALSE),"-")</f>
        <v>自分自身に / 状態異常耐性</v>
      </c>
      <c r="T33" s="47" t="str">
        <f t="shared" ref="T33:T34" si="43">IFERROR(RIGHT(M33,LEN(M33)-FIND("],",M33)-1),"none")</f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3" s="62">
        <f t="shared" ref="U33:U34" si="44">FIND("effect:",T33)+7</f>
        <v>9</v>
      </c>
      <c r="V33" s="62">
        <f t="shared" ref="V33:V34" si="45">IFERROR(FIND(",",T33),LEN(T33))</f>
        <v>18</v>
      </c>
      <c r="W33" s="62">
        <f t="shared" ref="W33:W34" si="46">FIND("target:",T33)+7</f>
        <v>27</v>
      </c>
      <c r="X33" s="62">
        <f t="shared" ref="X33:X34" si="47">FIND(",",T33,V33+1)</f>
        <v>33</v>
      </c>
      <c r="Y33" s="62" t="str">
        <f>IFERROR(VLOOKUP(MID(T33,W33,X33-W33),[5]skilldef!$C:$D,2,FALSE),"-") &amp; " / " &amp; IFERROR(VLOOKUP(MID(T33,U33,V33-U33),[5]skilldef!$A:$B,2,FALSE),"-")</f>
        <v>自分自身に / 状態異常耐性</v>
      </c>
      <c r="Z33" s="49" t="s">
        <v>212</v>
      </c>
      <c r="AA33" s="51">
        <f t="shared" ca="1" si="1"/>
        <v>42527</v>
      </c>
      <c r="AB33" s="50" t="s">
        <v>200</v>
      </c>
    </row>
    <row r="34" spans="1:28" ht="21" customHeight="1" outlineLevel="1" x14ac:dyDescent="0.15">
      <c r="A34" s="46">
        <v>49005035</v>
      </c>
      <c r="B34" s="99" t="str">
        <f t="shared" ref="B34:B49" si="48">B33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4" s="49">
        <v>3</v>
      </c>
      <c r="D34" s="49" t="s">
        <v>125</v>
      </c>
      <c r="E34" s="50" t="s">
        <v>243</v>
      </c>
      <c r="F34" s="50" t="s">
        <v>360</v>
      </c>
      <c r="G34" s="62" t="str">
        <f t="shared" si="33"/>
        <v>[effect:tolerance, target:myself, turn:-1, tolerance_effect:hungup, count:-1]</v>
      </c>
      <c r="H34" s="62">
        <f t="shared" si="34"/>
        <v>9</v>
      </c>
      <c r="I34" s="62">
        <f t="shared" si="35"/>
        <v>18</v>
      </c>
      <c r="J34" s="62">
        <f t="shared" si="36"/>
        <v>27</v>
      </c>
      <c r="K34" s="62">
        <f t="shared" si="37"/>
        <v>33</v>
      </c>
      <c r="L34" s="62" t="str">
        <f>IFERROR(VLOOKUP(MID(G34,J34,K34-J34),[5]skilldef!$C:$D,2,FALSE),"-") &amp; " / " &amp; IFERROR(VLOOKUP(MID(G34,H34,I34-H34),[5]skilldef!$A:$B,2,FALSE),"-")</f>
        <v>自分自身に / 状態異常耐性</v>
      </c>
      <c r="M34" s="62" t="str">
        <f t="shared" si="38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4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4" s="62">
        <f t="shared" si="39"/>
        <v>9</v>
      </c>
      <c r="P34" s="62">
        <f t="shared" si="40"/>
        <v>18</v>
      </c>
      <c r="Q34" s="62">
        <f t="shared" si="41"/>
        <v>27</v>
      </c>
      <c r="R34" s="62">
        <f t="shared" si="42"/>
        <v>33</v>
      </c>
      <c r="S34" s="62" t="str">
        <f>IFERROR(VLOOKUP(MID(N34,Q34,R34-Q34),[5]skilldef!$C:$D,2,FALSE),"-") &amp; " / " &amp; IFERROR(VLOOKUP(MID(N34,O34,P34-O34),[5]skilldef!$A:$B,2,FALSE),"-")</f>
        <v>自分自身に / 状態異常耐性</v>
      </c>
      <c r="T34" s="47" t="str">
        <f t="shared" si="43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4" s="62">
        <f t="shared" si="44"/>
        <v>9</v>
      </c>
      <c r="V34" s="62">
        <f t="shared" si="45"/>
        <v>18</v>
      </c>
      <c r="W34" s="62">
        <f t="shared" si="46"/>
        <v>27</v>
      </c>
      <c r="X34" s="62">
        <f t="shared" si="47"/>
        <v>33</v>
      </c>
      <c r="Y34" s="62" t="str">
        <f>IFERROR(VLOOKUP(MID(T34,W34,X34-W34),[5]skilldef!$C:$D,2,FALSE),"-") &amp; " / " &amp; IFERROR(VLOOKUP(MID(T34,U34,V34-U34),[5]skilldef!$A:$B,2,FALSE),"-")</f>
        <v>自分自身に / 状態異常耐性</v>
      </c>
      <c r="Z34" s="49" t="s">
        <v>212</v>
      </c>
      <c r="AA34" s="51">
        <f t="shared" ca="1" si="1"/>
        <v>42527</v>
      </c>
      <c r="AB34" s="50" t="s">
        <v>200</v>
      </c>
    </row>
    <row r="35" spans="1:28" ht="21" customHeight="1" outlineLevel="1" x14ac:dyDescent="0.15">
      <c r="A35" s="46">
        <v>49005036</v>
      </c>
      <c r="B35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5" s="49">
        <v>3</v>
      </c>
      <c r="D35" s="49" t="s">
        <v>125</v>
      </c>
      <c r="E35" s="50" t="s">
        <v>243</v>
      </c>
      <c r="F35" s="50" t="s">
        <v>360</v>
      </c>
      <c r="G35" s="62" t="str">
        <f t="shared" ref="G35:G49" si="49">IFERROR(LEFT(B35,FIND("],",B35)),B35)</f>
        <v>[effect:tolerance, target:myself, turn:-1, tolerance_effect:hungup, count:-1]</v>
      </c>
      <c r="H35" s="62">
        <f t="shared" ref="H35:H49" si="50">FIND("effect:",G35)+7</f>
        <v>9</v>
      </c>
      <c r="I35" s="62">
        <f t="shared" ref="I35:I49" si="51">IFERROR(FIND(",",G35),LEN(G35))</f>
        <v>18</v>
      </c>
      <c r="J35" s="62">
        <f t="shared" ref="J35:J49" si="52">FIND("target:",G35)+7</f>
        <v>27</v>
      </c>
      <c r="K35" s="62">
        <f t="shared" ref="K35:K49" si="53">FIND(",",G35,I35+1)</f>
        <v>33</v>
      </c>
      <c r="L35" s="62" t="str">
        <f>IFERROR(VLOOKUP(MID(G35,J35,K35-J35),[5]skilldef!$C:$D,2,FALSE),"-") &amp; " / " &amp; IFERROR(VLOOKUP(MID(G35,H35,I35-H35),[5]skilldef!$A:$B,2,FALSE),"-")</f>
        <v>自分自身に / 状態異常耐性</v>
      </c>
      <c r="M35" s="62" t="str">
        <f t="shared" ref="M35:M49" si="54">IFERROR(RIGHT(B35,LEN(B35)-FIND("],",B35)-1),"none")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5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5" s="62">
        <f t="shared" ref="O35:O49" si="55">FIND("effect:",N35)+7</f>
        <v>9</v>
      </c>
      <c r="P35" s="62">
        <f t="shared" ref="P35:P49" si="56">IFERROR(FIND(",",N35),LEN(N35))</f>
        <v>18</v>
      </c>
      <c r="Q35" s="62">
        <f t="shared" ref="Q35:Q49" si="57">FIND("target:",N35)+7</f>
        <v>27</v>
      </c>
      <c r="R35" s="62">
        <f t="shared" ref="R35:R49" si="58">FIND(",",N35,P35+1)</f>
        <v>33</v>
      </c>
      <c r="S35" s="62" t="str">
        <f>IFERROR(VLOOKUP(MID(N35,Q35,R35-Q35),[5]skilldef!$C:$D,2,FALSE),"-") &amp; " / " &amp; IFERROR(VLOOKUP(MID(N35,O35,P35-O35),[5]skilldef!$A:$B,2,FALSE),"-")</f>
        <v>自分自身に / 状態異常耐性</v>
      </c>
      <c r="T35" s="47" t="str">
        <f t="shared" ref="T35:T49" si="59">IFERROR(RIGHT(M35,LEN(M35)-FIND("],",M35)-1),"none")</f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5" s="62">
        <f t="shared" ref="U35:U49" si="60">FIND("effect:",T35)+7</f>
        <v>9</v>
      </c>
      <c r="V35" s="62">
        <f t="shared" ref="V35:V49" si="61">IFERROR(FIND(",",T35),LEN(T35))</f>
        <v>18</v>
      </c>
      <c r="W35" s="62">
        <f t="shared" ref="W35:W49" si="62">FIND("target:",T35)+7</f>
        <v>27</v>
      </c>
      <c r="X35" s="62">
        <f t="shared" ref="X35:X49" si="63">FIND(",",T35,V35+1)</f>
        <v>33</v>
      </c>
      <c r="Y35" s="62" t="str">
        <f>IFERROR(VLOOKUP(MID(T35,W35,X35-W35),[5]skilldef!$C:$D,2,FALSE),"-") &amp; " / " &amp; IFERROR(VLOOKUP(MID(T35,U35,V35-U35),[5]skilldef!$A:$B,2,FALSE),"-")</f>
        <v>自分自身に / 状態異常耐性</v>
      </c>
      <c r="Z35" s="49" t="s">
        <v>212</v>
      </c>
      <c r="AA35" s="51">
        <f t="shared" ca="1" si="1"/>
        <v>42527</v>
      </c>
      <c r="AB35" s="50" t="s">
        <v>200</v>
      </c>
    </row>
    <row r="36" spans="1:28" ht="21" customHeight="1" outlineLevel="1" x14ac:dyDescent="0.15">
      <c r="A36" s="46">
        <v>49005037</v>
      </c>
      <c r="B36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6" s="49">
        <v>3</v>
      </c>
      <c r="D36" s="49" t="s">
        <v>125</v>
      </c>
      <c r="E36" s="50" t="s">
        <v>243</v>
      </c>
      <c r="F36" s="50" t="s">
        <v>360</v>
      </c>
      <c r="G36" s="62" t="str">
        <f t="shared" si="49"/>
        <v>[effect:tolerance, target:myself, turn:-1, tolerance_effect:hungup, count:-1]</v>
      </c>
      <c r="H36" s="62">
        <f t="shared" si="50"/>
        <v>9</v>
      </c>
      <c r="I36" s="62">
        <f t="shared" si="51"/>
        <v>18</v>
      </c>
      <c r="J36" s="62">
        <f t="shared" si="52"/>
        <v>27</v>
      </c>
      <c r="K36" s="62">
        <f t="shared" si="53"/>
        <v>33</v>
      </c>
      <c r="L36" s="62" t="str">
        <f>IFERROR(VLOOKUP(MID(G36,J36,K36-J36),[5]skilldef!$C:$D,2,FALSE),"-") &amp; " / " &amp; IFERROR(VLOOKUP(MID(G36,H36,I36-H36),[5]skilldef!$A:$B,2,FALSE),"-")</f>
        <v>自分自身に / 状態異常耐性</v>
      </c>
      <c r="M36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6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6" s="62">
        <f t="shared" si="55"/>
        <v>9</v>
      </c>
      <c r="P36" s="62">
        <f t="shared" si="56"/>
        <v>18</v>
      </c>
      <c r="Q36" s="62">
        <f t="shared" si="57"/>
        <v>27</v>
      </c>
      <c r="R36" s="62">
        <f t="shared" si="58"/>
        <v>33</v>
      </c>
      <c r="S36" s="62" t="str">
        <f>IFERROR(VLOOKUP(MID(N36,Q36,R36-Q36),[5]skilldef!$C:$D,2,FALSE),"-") &amp; " / " &amp; IFERROR(VLOOKUP(MID(N36,O36,P36-O36),[5]skilldef!$A:$B,2,FALSE),"-")</f>
        <v>自分自身に / 状態異常耐性</v>
      </c>
      <c r="T36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6" s="62">
        <f t="shared" si="60"/>
        <v>9</v>
      </c>
      <c r="V36" s="62">
        <f t="shared" si="61"/>
        <v>18</v>
      </c>
      <c r="W36" s="62">
        <f t="shared" si="62"/>
        <v>27</v>
      </c>
      <c r="X36" s="62">
        <f t="shared" si="63"/>
        <v>33</v>
      </c>
      <c r="Y36" s="62" t="str">
        <f>IFERROR(VLOOKUP(MID(T36,W36,X36-W36),[5]skilldef!$C:$D,2,FALSE),"-") &amp; " / " &amp; IFERROR(VLOOKUP(MID(T36,U36,V36-U36),[5]skilldef!$A:$B,2,FALSE),"-")</f>
        <v>自分自身に / 状態異常耐性</v>
      </c>
      <c r="Z36" s="49" t="s">
        <v>212</v>
      </c>
      <c r="AA36" s="51">
        <f t="shared" ca="1" si="1"/>
        <v>42527</v>
      </c>
      <c r="AB36" s="50" t="s">
        <v>200</v>
      </c>
    </row>
    <row r="37" spans="1:28" ht="21" customHeight="1" outlineLevel="1" x14ac:dyDescent="0.15">
      <c r="A37" s="46">
        <v>49005038</v>
      </c>
      <c r="B37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7" s="49">
        <v>3</v>
      </c>
      <c r="D37" s="49" t="s">
        <v>289</v>
      </c>
      <c r="E37" s="50" t="s">
        <v>243</v>
      </c>
      <c r="F37" s="50" t="s">
        <v>360</v>
      </c>
      <c r="G37" s="62" t="str">
        <f t="shared" si="49"/>
        <v>[effect:tolerance, target:myself, turn:-1, tolerance_effect:hungup, count:-1]</v>
      </c>
      <c r="H37" s="62">
        <f t="shared" si="50"/>
        <v>9</v>
      </c>
      <c r="I37" s="62">
        <f t="shared" si="51"/>
        <v>18</v>
      </c>
      <c r="J37" s="62">
        <f t="shared" si="52"/>
        <v>27</v>
      </c>
      <c r="K37" s="62">
        <f t="shared" si="53"/>
        <v>33</v>
      </c>
      <c r="L37" s="62" t="str">
        <f>IFERROR(VLOOKUP(MID(G37,J37,K37-J37),[5]skilldef!$C:$D,2,FALSE),"-") &amp; " / " &amp; IFERROR(VLOOKUP(MID(G37,H37,I37-H37),[5]skilldef!$A:$B,2,FALSE),"-")</f>
        <v>自分自身に / 状態異常耐性</v>
      </c>
      <c r="M37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7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7" s="62">
        <f t="shared" si="55"/>
        <v>9</v>
      </c>
      <c r="P37" s="62">
        <f t="shared" si="56"/>
        <v>18</v>
      </c>
      <c r="Q37" s="62">
        <f t="shared" si="57"/>
        <v>27</v>
      </c>
      <c r="R37" s="62">
        <f t="shared" si="58"/>
        <v>33</v>
      </c>
      <c r="S37" s="62" t="str">
        <f>IFERROR(VLOOKUP(MID(N37,Q37,R37-Q37),[5]skilldef!$C:$D,2,FALSE),"-") &amp; " / " &amp; IFERROR(VLOOKUP(MID(N37,O37,P37-O37),[5]skilldef!$A:$B,2,FALSE),"-")</f>
        <v>自分自身に / 状態異常耐性</v>
      </c>
      <c r="T37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7" s="62">
        <f t="shared" si="60"/>
        <v>9</v>
      </c>
      <c r="V37" s="62">
        <f t="shared" si="61"/>
        <v>18</v>
      </c>
      <c r="W37" s="62">
        <f t="shared" si="62"/>
        <v>27</v>
      </c>
      <c r="X37" s="62">
        <f t="shared" si="63"/>
        <v>33</v>
      </c>
      <c r="Y37" s="62" t="str">
        <f>IFERROR(VLOOKUP(MID(T37,W37,X37-W37),[5]skilldef!$C:$D,2,FALSE),"-") &amp; " / " &amp; IFERROR(VLOOKUP(MID(T37,U37,V37-U37),[5]skilldef!$A:$B,2,FALSE),"-")</f>
        <v>自分自身に / 状態異常耐性</v>
      </c>
      <c r="Z37" s="49" t="s">
        <v>212</v>
      </c>
      <c r="AA37" s="51">
        <f t="shared" ca="1" si="1"/>
        <v>42527</v>
      </c>
      <c r="AB37" s="50" t="s">
        <v>200</v>
      </c>
    </row>
    <row r="38" spans="1:28" ht="21" customHeight="1" outlineLevel="1" x14ac:dyDescent="0.15">
      <c r="A38" s="46">
        <v>49005039</v>
      </c>
      <c r="B38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8" s="49">
        <v>3</v>
      </c>
      <c r="D38" s="49" t="s">
        <v>125</v>
      </c>
      <c r="E38" s="50" t="s">
        <v>243</v>
      </c>
      <c r="F38" s="50" t="s">
        <v>360</v>
      </c>
      <c r="G38" s="62" t="str">
        <f t="shared" si="49"/>
        <v>[effect:tolerance, target:myself, turn:-1, tolerance_effect:hungup, count:-1]</v>
      </c>
      <c r="H38" s="62">
        <f t="shared" si="50"/>
        <v>9</v>
      </c>
      <c r="I38" s="62">
        <f t="shared" si="51"/>
        <v>18</v>
      </c>
      <c r="J38" s="62">
        <f t="shared" si="52"/>
        <v>27</v>
      </c>
      <c r="K38" s="62">
        <f t="shared" si="53"/>
        <v>33</v>
      </c>
      <c r="L38" s="62" t="str">
        <f>IFERROR(VLOOKUP(MID(G38,J38,K38-J38),[5]skilldef!$C:$D,2,FALSE),"-") &amp; " / " &amp; IFERROR(VLOOKUP(MID(G38,H38,I38-H38),[5]skilldef!$A:$B,2,FALSE),"-")</f>
        <v>自分自身に / 状態異常耐性</v>
      </c>
      <c r="M38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8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8" s="62">
        <f t="shared" si="55"/>
        <v>9</v>
      </c>
      <c r="P38" s="62">
        <f t="shared" si="56"/>
        <v>18</v>
      </c>
      <c r="Q38" s="62">
        <f t="shared" si="57"/>
        <v>27</v>
      </c>
      <c r="R38" s="62">
        <f t="shared" si="58"/>
        <v>33</v>
      </c>
      <c r="S38" s="62" t="str">
        <f>IFERROR(VLOOKUP(MID(N38,Q38,R38-Q38),[5]skilldef!$C:$D,2,FALSE),"-") &amp; " / " &amp; IFERROR(VLOOKUP(MID(N38,O38,P38-O38),[5]skilldef!$A:$B,2,FALSE),"-")</f>
        <v>自分自身に / 状態異常耐性</v>
      </c>
      <c r="T38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8" s="62">
        <f t="shared" si="60"/>
        <v>9</v>
      </c>
      <c r="V38" s="62">
        <f t="shared" si="61"/>
        <v>18</v>
      </c>
      <c r="W38" s="62">
        <f t="shared" si="62"/>
        <v>27</v>
      </c>
      <c r="X38" s="62">
        <f t="shared" si="63"/>
        <v>33</v>
      </c>
      <c r="Y38" s="62" t="str">
        <f>IFERROR(VLOOKUP(MID(T38,W38,X38-W38),[5]skilldef!$C:$D,2,FALSE),"-") &amp; " / " &amp; IFERROR(VLOOKUP(MID(T38,U38,V38-U38),[5]skilldef!$A:$B,2,FALSE),"-")</f>
        <v>自分自身に / 状態異常耐性</v>
      </c>
      <c r="Z38" s="49" t="s">
        <v>212</v>
      </c>
      <c r="AA38" s="51">
        <f t="shared" ca="1" si="1"/>
        <v>42527</v>
      </c>
      <c r="AB38" s="50" t="s">
        <v>200</v>
      </c>
    </row>
    <row r="39" spans="1:28" ht="21" customHeight="1" outlineLevel="1" x14ac:dyDescent="0.15">
      <c r="A39" s="46">
        <v>49005040</v>
      </c>
      <c r="B39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9" s="49">
        <v>3</v>
      </c>
      <c r="D39" s="49" t="s">
        <v>125</v>
      </c>
      <c r="E39" s="50" t="s">
        <v>243</v>
      </c>
      <c r="F39" s="50" t="s">
        <v>360</v>
      </c>
      <c r="G39" s="62" t="str">
        <f t="shared" si="49"/>
        <v>[effect:tolerance, target:myself, turn:-1, tolerance_effect:hungup, count:-1]</v>
      </c>
      <c r="H39" s="62">
        <f t="shared" si="50"/>
        <v>9</v>
      </c>
      <c r="I39" s="62">
        <f t="shared" si="51"/>
        <v>18</v>
      </c>
      <c r="J39" s="62">
        <f t="shared" si="52"/>
        <v>27</v>
      </c>
      <c r="K39" s="62">
        <f t="shared" si="53"/>
        <v>33</v>
      </c>
      <c r="L39" s="62" t="str">
        <f>IFERROR(VLOOKUP(MID(G39,J39,K39-J39),[5]skilldef!$C:$D,2,FALSE),"-") &amp; " / " &amp; IFERROR(VLOOKUP(MID(G39,H39,I39-H39),[5]skilldef!$A:$B,2,FALSE),"-")</f>
        <v>自分自身に / 状態異常耐性</v>
      </c>
      <c r="M39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9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9" s="62">
        <f t="shared" si="55"/>
        <v>9</v>
      </c>
      <c r="P39" s="62">
        <f t="shared" si="56"/>
        <v>18</v>
      </c>
      <c r="Q39" s="62">
        <f t="shared" si="57"/>
        <v>27</v>
      </c>
      <c r="R39" s="62">
        <f t="shared" si="58"/>
        <v>33</v>
      </c>
      <c r="S39" s="62" t="str">
        <f>IFERROR(VLOOKUP(MID(N39,Q39,R39-Q39),[5]skilldef!$C:$D,2,FALSE),"-") &amp; " / " &amp; IFERROR(VLOOKUP(MID(N39,O39,P39-O39),[5]skilldef!$A:$B,2,FALSE),"-")</f>
        <v>自分自身に / 状態異常耐性</v>
      </c>
      <c r="T39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9" s="62">
        <f t="shared" si="60"/>
        <v>9</v>
      </c>
      <c r="V39" s="62">
        <f t="shared" si="61"/>
        <v>18</v>
      </c>
      <c r="W39" s="62">
        <f t="shared" si="62"/>
        <v>27</v>
      </c>
      <c r="X39" s="62">
        <f t="shared" si="63"/>
        <v>33</v>
      </c>
      <c r="Y39" s="62" t="str">
        <f>IFERROR(VLOOKUP(MID(T39,W39,X39-W39),[5]skilldef!$C:$D,2,FALSE),"-") &amp; " / " &amp; IFERROR(VLOOKUP(MID(T39,U39,V39-U39),[5]skilldef!$A:$B,2,FALSE),"-")</f>
        <v>自分自身に / 状態異常耐性</v>
      </c>
      <c r="Z39" s="49" t="s">
        <v>212</v>
      </c>
      <c r="AA39" s="51">
        <f t="shared" ca="1" si="1"/>
        <v>42527</v>
      </c>
      <c r="AB39" s="50" t="s">
        <v>200</v>
      </c>
    </row>
    <row r="40" spans="1:28" ht="21" customHeight="1" outlineLevel="1" x14ac:dyDescent="0.15">
      <c r="A40" s="46">
        <v>49005041</v>
      </c>
      <c r="B40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0" s="49">
        <v>3</v>
      </c>
      <c r="D40" s="49" t="s">
        <v>125</v>
      </c>
      <c r="E40" s="50" t="s">
        <v>243</v>
      </c>
      <c r="F40" s="50" t="s">
        <v>360</v>
      </c>
      <c r="G40" s="62" t="str">
        <f t="shared" si="49"/>
        <v>[effect:tolerance, target:myself, turn:-1, tolerance_effect:hungup, count:-1]</v>
      </c>
      <c r="H40" s="62">
        <f t="shared" si="50"/>
        <v>9</v>
      </c>
      <c r="I40" s="62">
        <f t="shared" si="51"/>
        <v>18</v>
      </c>
      <c r="J40" s="62">
        <f t="shared" si="52"/>
        <v>27</v>
      </c>
      <c r="K40" s="62">
        <f t="shared" si="53"/>
        <v>33</v>
      </c>
      <c r="L40" s="62" t="str">
        <f>IFERROR(VLOOKUP(MID(G40,J40,K40-J40),[5]skilldef!$C:$D,2,FALSE),"-") &amp; " / " &amp; IFERROR(VLOOKUP(MID(G40,H40,I40-H40),[5]skilldef!$A:$B,2,FALSE),"-")</f>
        <v>自分自身に / 状態異常耐性</v>
      </c>
      <c r="M40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0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0" s="62">
        <f t="shared" si="55"/>
        <v>9</v>
      </c>
      <c r="P40" s="62">
        <f t="shared" si="56"/>
        <v>18</v>
      </c>
      <c r="Q40" s="62">
        <f t="shared" si="57"/>
        <v>27</v>
      </c>
      <c r="R40" s="62">
        <f t="shared" si="58"/>
        <v>33</v>
      </c>
      <c r="S40" s="62" t="str">
        <f>IFERROR(VLOOKUP(MID(N40,Q40,R40-Q40),[5]skilldef!$C:$D,2,FALSE),"-") &amp; " / " &amp; IFERROR(VLOOKUP(MID(N40,O40,P40-O40),[5]skilldef!$A:$B,2,FALSE),"-")</f>
        <v>自分自身に / 状態異常耐性</v>
      </c>
      <c r="T40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0" s="62">
        <f t="shared" si="60"/>
        <v>9</v>
      </c>
      <c r="V40" s="62">
        <f t="shared" si="61"/>
        <v>18</v>
      </c>
      <c r="W40" s="62">
        <f t="shared" si="62"/>
        <v>27</v>
      </c>
      <c r="X40" s="62">
        <f t="shared" si="63"/>
        <v>33</v>
      </c>
      <c r="Y40" s="62" t="str">
        <f>IFERROR(VLOOKUP(MID(T40,W40,X40-W40),[5]skilldef!$C:$D,2,FALSE),"-") &amp; " / " &amp; IFERROR(VLOOKUP(MID(T40,U40,V40-U40),[5]skilldef!$A:$B,2,FALSE),"-")</f>
        <v>自分自身に / 状態異常耐性</v>
      </c>
      <c r="Z40" s="49" t="s">
        <v>212</v>
      </c>
      <c r="AA40" s="51">
        <f t="shared" ca="1" si="1"/>
        <v>42527</v>
      </c>
      <c r="AB40" s="50" t="s">
        <v>200</v>
      </c>
    </row>
    <row r="41" spans="1:28" ht="21" customHeight="1" outlineLevel="1" x14ac:dyDescent="0.15">
      <c r="A41" s="46">
        <v>49005042</v>
      </c>
      <c r="B41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1" s="49">
        <v>3</v>
      </c>
      <c r="D41" s="49" t="s">
        <v>125</v>
      </c>
      <c r="E41" s="50" t="s">
        <v>243</v>
      </c>
      <c r="F41" s="50" t="s">
        <v>360</v>
      </c>
      <c r="G41" s="62" t="str">
        <f t="shared" si="49"/>
        <v>[effect:tolerance, target:myself, turn:-1, tolerance_effect:hungup, count:-1]</v>
      </c>
      <c r="H41" s="62">
        <f t="shared" si="50"/>
        <v>9</v>
      </c>
      <c r="I41" s="62">
        <f t="shared" si="51"/>
        <v>18</v>
      </c>
      <c r="J41" s="62">
        <f t="shared" si="52"/>
        <v>27</v>
      </c>
      <c r="K41" s="62">
        <f t="shared" si="53"/>
        <v>33</v>
      </c>
      <c r="L41" s="62" t="str">
        <f>IFERROR(VLOOKUP(MID(G41,J41,K41-J41),[5]skilldef!$C:$D,2,FALSE),"-") &amp; " / " &amp; IFERROR(VLOOKUP(MID(G41,H41,I41-H41),[5]skilldef!$A:$B,2,FALSE),"-")</f>
        <v>自分自身に / 状態異常耐性</v>
      </c>
      <c r="M41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1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1" s="62">
        <f t="shared" si="55"/>
        <v>9</v>
      </c>
      <c r="P41" s="62">
        <f t="shared" si="56"/>
        <v>18</v>
      </c>
      <c r="Q41" s="62">
        <f t="shared" si="57"/>
        <v>27</v>
      </c>
      <c r="R41" s="62">
        <f t="shared" si="58"/>
        <v>33</v>
      </c>
      <c r="S41" s="62" t="str">
        <f>IFERROR(VLOOKUP(MID(N41,Q41,R41-Q41),[5]skilldef!$C:$D,2,FALSE),"-") &amp; " / " &amp; IFERROR(VLOOKUP(MID(N41,O41,P41-O41),[5]skilldef!$A:$B,2,FALSE),"-")</f>
        <v>自分自身に / 状態異常耐性</v>
      </c>
      <c r="T41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1" s="62">
        <f t="shared" si="60"/>
        <v>9</v>
      </c>
      <c r="V41" s="62">
        <f t="shared" si="61"/>
        <v>18</v>
      </c>
      <c r="W41" s="62">
        <f t="shared" si="62"/>
        <v>27</v>
      </c>
      <c r="X41" s="62">
        <f t="shared" si="63"/>
        <v>33</v>
      </c>
      <c r="Y41" s="62" t="str">
        <f>IFERROR(VLOOKUP(MID(T41,W41,X41-W41),[5]skilldef!$C:$D,2,FALSE),"-") &amp; " / " &amp; IFERROR(VLOOKUP(MID(T41,U41,V41-U41),[5]skilldef!$A:$B,2,FALSE),"-")</f>
        <v>自分自身に / 状態異常耐性</v>
      </c>
      <c r="Z41" s="49" t="s">
        <v>212</v>
      </c>
      <c r="AA41" s="51">
        <f t="shared" ca="1" si="1"/>
        <v>42527</v>
      </c>
      <c r="AB41" s="50" t="s">
        <v>200</v>
      </c>
    </row>
    <row r="42" spans="1:28" ht="21" customHeight="1" outlineLevel="1" x14ac:dyDescent="0.15">
      <c r="A42" s="46">
        <v>49005043</v>
      </c>
      <c r="B42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2" s="49">
        <v>3</v>
      </c>
      <c r="D42" s="49" t="s">
        <v>125</v>
      </c>
      <c r="E42" s="50" t="s">
        <v>243</v>
      </c>
      <c r="F42" s="50" t="s">
        <v>360</v>
      </c>
      <c r="G42" s="62" t="str">
        <f t="shared" si="49"/>
        <v>[effect:tolerance, target:myself, turn:-1, tolerance_effect:hungup, count:-1]</v>
      </c>
      <c r="H42" s="62">
        <f t="shared" si="50"/>
        <v>9</v>
      </c>
      <c r="I42" s="62">
        <f t="shared" si="51"/>
        <v>18</v>
      </c>
      <c r="J42" s="62">
        <f t="shared" si="52"/>
        <v>27</v>
      </c>
      <c r="K42" s="62">
        <f t="shared" si="53"/>
        <v>33</v>
      </c>
      <c r="L42" s="62" t="str">
        <f>IFERROR(VLOOKUP(MID(G42,J42,K42-J42),[5]skilldef!$C:$D,2,FALSE),"-") &amp; " / " &amp; IFERROR(VLOOKUP(MID(G42,H42,I42-H42),[5]skilldef!$A:$B,2,FALSE),"-")</f>
        <v>自分自身に / 状態異常耐性</v>
      </c>
      <c r="M42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2" s="47" t="str">
        <f t="shared" si="32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2" s="62">
        <f t="shared" si="55"/>
        <v>9</v>
      </c>
      <c r="P42" s="62">
        <f t="shared" si="56"/>
        <v>18</v>
      </c>
      <c r="Q42" s="62">
        <f t="shared" si="57"/>
        <v>27</v>
      </c>
      <c r="R42" s="62">
        <f t="shared" si="58"/>
        <v>33</v>
      </c>
      <c r="S42" s="62" t="str">
        <f>IFERROR(VLOOKUP(MID(N42,Q42,R42-Q42),[5]skilldef!$C:$D,2,FALSE),"-") &amp; " / " &amp; IFERROR(VLOOKUP(MID(N42,O42,P42-O42),[5]skilldef!$A:$B,2,FALSE),"-")</f>
        <v>自分自身に / 状態異常耐性</v>
      </c>
      <c r="T42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2" s="62">
        <f t="shared" si="60"/>
        <v>9</v>
      </c>
      <c r="V42" s="62">
        <f t="shared" si="61"/>
        <v>18</v>
      </c>
      <c r="W42" s="62">
        <f t="shared" si="62"/>
        <v>27</v>
      </c>
      <c r="X42" s="62">
        <f t="shared" si="63"/>
        <v>33</v>
      </c>
      <c r="Y42" s="62" t="str">
        <f>IFERROR(VLOOKUP(MID(T42,W42,X42-W42),[5]skilldef!$C:$D,2,FALSE),"-") &amp; " / " &amp; IFERROR(VLOOKUP(MID(T42,U42,V42-U42),[5]skilldef!$A:$B,2,FALSE),"-")</f>
        <v>自分自身に / 状態異常耐性</v>
      </c>
      <c r="Z42" s="49" t="s">
        <v>212</v>
      </c>
      <c r="AA42" s="51">
        <f t="shared" ca="1" si="1"/>
        <v>42527</v>
      </c>
      <c r="AB42" s="50" t="s">
        <v>200</v>
      </c>
    </row>
    <row r="43" spans="1:28" ht="21" customHeight="1" outlineLevel="1" x14ac:dyDescent="0.15">
      <c r="A43" s="46">
        <v>49005044</v>
      </c>
      <c r="B43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3" s="49">
        <v>3</v>
      </c>
      <c r="D43" s="49" t="s">
        <v>125</v>
      </c>
      <c r="E43" s="50" t="s">
        <v>243</v>
      </c>
      <c r="F43" s="50" t="s">
        <v>360</v>
      </c>
      <c r="G43" s="62" t="str">
        <f t="shared" si="49"/>
        <v>[effect:tolerance, target:myself, turn:-1, tolerance_effect:hungup, count:-1]</v>
      </c>
      <c r="H43" s="62">
        <f t="shared" si="50"/>
        <v>9</v>
      </c>
      <c r="I43" s="62">
        <f t="shared" si="51"/>
        <v>18</v>
      </c>
      <c r="J43" s="62">
        <f t="shared" si="52"/>
        <v>27</v>
      </c>
      <c r="K43" s="62">
        <f t="shared" si="53"/>
        <v>33</v>
      </c>
      <c r="L43" s="62" t="str">
        <f>IFERROR(VLOOKUP(MID(G43,J43,K43-J43),[5]skilldef!$C:$D,2,FALSE),"-") &amp; " / " &amp; IFERROR(VLOOKUP(MID(G43,H43,I43-H43),[5]skilldef!$A:$B,2,FALSE),"-")</f>
        <v>自分自身に / 状態異常耐性</v>
      </c>
      <c r="M43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3" s="47" t="str">
        <f t="shared" ref="N43:N48" si="64">IFERROR(LEFT(M43,FIND("],",M43)+S103),M43)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3" s="62">
        <f t="shared" si="55"/>
        <v>9</v>
      </c>
      <c r="P43" s="62">
        <f t="shared" si="56"/>
        <v>18</v>
      </c>
      <c r="Q43" s="62">
        <f t="shared" si="57"/>
        <v>27</v>
      </c>
      <c r="R43" s="62">
        <f t="shared" si="58"/>
        <v>33</v>
      </c>
      <c r="S43" s="62" t="str">
        <f>IFERROR(VLOOKUP(MID(N43,Q43,R43-Q43),[5]skilldef!$C:$D,2,FALSE),"-") &amp; " / " &amp; IFERROR(VLOOKUP(MID(N43,O43,P43-O43),[5]skilldef!$A:$B,2,FALSE),"-")</f>
        <v>自分自身に / 状態異常耐性</v>
      </c>
      <c r="T43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3" s="62">
        <f t="shared" si="60"/>
        <v>9</v>
      </c>
      <c r="V43" s="62">
        <f t="shared" si="61"/>
        <v>18</v>
      </c>
      <c r="W43" s="62">
        <f t="shared" si="62"/>
        <v>27</v>
      </c>
      <c r="X43" s="62">
        <f t="shared" si="63"/>
        <v>33</v>
      </c>
      <c r="Y43" s="62" t="str">
        <f>IFERROR(VLOOKUP(MID(T43,W43,X43-W43),[5]skilldef!$C:$D,2,FALSE),"-") &amp; " / " &amp; IFERROR(VLOOKUP(MID(T43,U43,V43-U43),[5]skilldef!$A:$B,2,FALSE),"-")</f>
        <v>自分自身に / 状態異常耐性</v>
      </c>
      <c r="Z43" s="49" t="s">
        <v>212</v>
      </c>
      <c r="AA43" s="51">
        <f t="shared" ca="1" si="1"/>
        <v>42527</v>
      </c>
      <c r="AB43" s="50" t="s">
        <v>200</v>
      </c>
    </row>
    <row r="44" spans="1:28" ht="21" customHeight="1" outlineLevel="1" x14ac:dyDescent="0.15">
      <c r="A44" s="46">
        <v>49005045</v>
      </c>
      <c r="B44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4" s="49">
        <v>3</v>
      </c>
      <c r="D44" s="49" t="s">
        <v>125</v>
      </c>
      <c r="E44" s="50" t="s">
        <v>243</v>
      </c>
      <c r="F44" s="50" t="s">
        <v>360</v>
      </c>
      <c r="G44" s="62" t="str">
        <f t="shared" si="49"/>
        <v>[effect:tolerance, target:myself, turn:-1, tolerance_effect:hungup, count:-1]</v>
      </c>
      <c r="H44" s="62">
        <f t="shared" si="50"/>
        <v>9</v>
      </c>
      <c r="I44" s="62">
        <f t="shared" si="51"/>
        <v>18</v>
      </c>
      <c r="J44" s="62">
        <f t="shared" si="52"/>
        <v>27</v>
      </c>
      <c r="K44" s="62">
        <f t="shared" si="53"/>
        <v>33</v>
      </c>
      <c r="L44" s="62" t="str">
        <f>IFERROR(VLOOKUP(MID(G44,J44,K44-J44),[5]skilldef!$C:$D,2,FALSE),"-") &amp; " / " &amp; IFERROR(VLOOKUP(MID(G44,H44,I44-H44),[5]skilldef!$A:$B,2,FALSE),"-")</f>
        <v>自分自身に / 状態異常耐性</v>
      </c>
      <c r="M44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4" s="47" t="str">
        <f t="shared" si="6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4" s="62">
        <f t="shared" si="55"/>
        <v>9</v>
      </c>
      <c r="P44" s="62">
        <f t="shared" si="56"/>
        <v>18</v>
      </c>
      <c r="Q44" s="62">
        <f t="shared" si="57"/>
        <v>27</v>
      </c>
      <c r="R44" s="62">
        <f t="shared" si="58"/>
        <v>33</v>
      </c>
      <c r="S44" s="62" t="str">
        <f>IFERROR(VLOOKUP(MID(N44,Q44,R44-Q44),[5]skilldef!$C:$D,2,FALSE),"-") &amp; " / " &amp; IFERROR(VLOOKUP(MID(N44,O44,P44-O44),[5]skilldef!$A:$B,2,FALSE),"-")</f>
        <v>自分自身に / 状態異常耐性</v>
      </c>
      <c r="T44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4" s="62">
        <f t="shared" si="60"/>
        <v>9</v>
      </c>
      <c r="V44" s="62">
        <f t="shared" si="61"/>
        <v>18</v>
      </c>
      <c r="W44" s="62">
        <f t="shared" si="62"/>
        <v>27</v>
      </c>
      <c r="X44" s="62">
        <f t="shared" si="63"/>
        <v>33</v>
      </c>
      <c r="Y44" s="62" t="str">
        <f>IFERROR(VLOOKUP(MID(T44,W44,X44-W44),[5]skilldef!$C:$D,2,FALSE),"-") &amp; " / " &amp; IFERROR(VLOOKUP(MID(T44,U44,V44-U44),[5]skilldef!$A:$B,2,FALSE),"-")</f>
        <v>自分自身に / 状態異常耐性</v>
      </c>
      <c r="Z44" s="49" t="s">
        <v>212</v>
      </c>
      <c r="AA44" s="51">
        <f t="shared" ca="1" si="1"/>
        <v>42527</v>
      </c>
      <c r="AB44" s="50" t="s">
        <v>200</v>
      </c>
    </row>
    <row r="45" spans="1:28" ht="21" customHeight="1" outlineLevel="1" x14ac:dyDescent="0.15">
      <c r="A45" s="46">
        <v>49005046</v>
      </c>
      <c r="B45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5" s="49">
        <v>3</v>
      </c>
      <c r="D45" s="49" t="s">
        <v>125</v>
      </c>
      <c r="E45" s="50" t="s">
        <v>243</v>
      </c>
      <c r="F45" s="50" t="s">
        <v>360</v>
      </c>
      <c r="G45" s="62" t="str">
        <f t="shared" si="49"/>
        <v>[effect:tolerance, target:myself, turn:-1, tolerance_effect:hungup, count:-1]</v>
      </c>
      <c r="H45" s="62">
        <f t="shared" si="50"/>
        <v>9</v>
      </c>
      <c r="I45" s="62">
        <f t="shared" si="51"/>
        <v>18</v>
      </c>
      <c r="J45" s="62">
        <f t="shared" si="52"/>
        <v>27</v>
      </c>
      <c r="K45" s="62">
        <f t="shared" si="53"/>
        <v>33</v>
      </c>
      <c r="L45" s="62" t="str">
        <f>IFERROR(VLOOKUP(MID(G45,J45,K45-J45),[5]skilldef!$C:$D,2,FALSE),"-") &amp; " / " &amp; IFERROR(VLOOKUP(MID(G45,H45,I45-H45),[5]skilldef!$A:$B,2,FALSE),"-")</f>
        <v>自分自身に / 状態異常耐性</v>
      </c>
      <c r="M45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5" s="47" t="str">
        <f t="shared" si="6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5" s="62">
        <f t="shared" si="55"/>
        <v>9</v>
      </c>
      <c r="P45" s="62">
        <f t="shared" si="56"/>
        <v>18</v>
      </c>
      <c r="Q45" s="62">
        <f t="shared" si="57"/>
        <v>27</v>
      </c>
      <c r="R45" s="62">
        <f t="shared" si="58"/>
        <v>33</v>
      </c>
      <c r="S45" s="62" t="str">
        <f>IFERROR(VLOOKUP(MID(N45,Q45,R45-Q45),[5]skilldef!$C:$D,2,FALSE),"-") &amp; " / " &amp; IFERROR(VLOOKUP(MID(N45,O45,P45-O45),[5]skilldef!$A:$B,2,FALSE),"-")</f>
        <v>自分自身に / 状態異常耐性</v>
      </c>
      <c r="T45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5" s="62">
        <f t="shared" si="60"/>
        <v>9</v>
      </c>
      <c r="V45" s="62">
        <f t="shared" si="61"/>
        <v>18</v>
      </c>
      <c r="W45" s="62">
        <f t="shared" si="62"/>
        <v>27</v>
      </c>
      <c r="X45" s="62">
        <f t="shared" si="63"/>
        <v>33</v>
      </c>
      <c r="Y45" s="62" t="str">
        <f>IFERROR(VLOOKUP(MID(T45,W45,X45-W45),[5]skilldef!$C:$D,2,FALSE),"-") &amp; " / " &amp; IFERROR(VLOOKUP(MID(T45,U45,V45-U45),[5]skilldef!$A:$B,2,FALSE),"-")</f>
        <v>自分自身に / 状態異常耐性</v>
      </c>
      <c r="Z45" s="49" t="s">
        <v>212</v>
      </c>
      <c r="AA45" s="51">
        <f t="shared" ca="1" si="1"/>
        <v>42527</v>
      </c>
      <c r="AB45" s="50" t="s">
        <v>200</v>
      </c>
    </row>
    <row r="46" spans="1:28" ht="21" customHeight="1" outlineLevel="1" x14ac:dyDescent="0.15">
      <c r="A46" s="46">
        <v>49005047</v>
      </c>
      <c r="B46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6" s="49">
        <v>3</v>
      </c>
      <c r="D46" s="49" t="s">
        <v>125</v>
      </c>
      <c r="E46" s="50" t="s">
        <v>243</v>
      </c>
      <c r="F46" s="50" t="s">
        <v>360</v>
      </c>
      <c r="G46" s="62" t="str">
        <f t="shared" si="49"/>
        <v>[effect:tolerance, target:myself, turn:-1, tolerance_effect:hungup, count:-1]</v>
      </c>
      <c r="H46" s="62">
        <f t="shared" si="50"/>
        <v>9</v>
      </c>
      <c r="I46" s="62">
        <f t="shared" si="51"/>
        <v>18</v>
      </c>
      <c r="J46" s="62">
        <f t="shared" si="52"/>
        <v>27</v>
      </c>
      <c r="K46" s="62">
        <f t="shared" si="53"/>
        <v>33</v>
      </c>
      <c r="L46" s="62" t="str">
        <f>IFERROR(VLOOKUP(MID(G46,J46,K46-J46),[5]skilldef!$C:$D,2,FALSE),"-") &amp; " / " &amp; IFERROR(VLOOKUP(MID(G46,H46,I46-H46),[5]skilldef!$A:$B,2,FALSE),"-")</f>
        <v>自分自身に / 状態異常耐性</v>
      </c>
      <c r="M46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6" s="47" t="str">
        <f t="shared" si="6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6" s="62">
        <f t="shared" si="55"/>
        <v>9</v>
      </c>
      <c r="P46" s="62">
        <f t="shared" si="56"/>
        <v>18</v>
      </c>
      <c r="Q46" s="62">
        <f t="shared" si="57"/>
        <v>27</v>
      </c>
      <c r="R46" s="62">
        <f t="shared" si="58"/>
        <v>33</v>
      </c>
      <c r="S46" s="62" t="str">
        <f>IFERROR(VLOOKUP(MID(N46,Q46,R46-Q46),[5]skilldef!$C:$D,2,FALSE),"-") &amp; " / " &amp; IFERROR(VLOOKUP(MID(N46,O46,P46-O46),[5]skilldef!$A:$B,2,FALSE),"-")</f>
        <v>自分自身に / 状態異常耐性</v>
      </c>
      <c r="T46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6" s="62">
        <f t="shared" si="60"/>
        <v>9</v>
      </c>
      <c r="V46" s="62">
        <f t="shared" si="61"/>
        <v>18</v>
      </c>
      <c r="W46" s="62">
        <f t="shared" si="62"/>
        <v>27</v>
      </c>
      <c r="X46" s="62">
        <f t="shared" si="63"/>
        <v>33</v>
      </c>
      <c r="Y46" s="62" t="str">
        <f>IFERROR(VLOOKUP(MID(T46,W46,X46-W46),[5]skilldef!$C:$D,2,FALSE),"-") &amp; " / " &amp; IFERROR(VLOOKUP(MID(T46,U46,V46-U46),[5]skilldef!$A:$B,2,FALSE),"-")</f>
        <v>自分自身に / 状態異常耐性</v>
      </c>
      <c r="Z46" s="49" t="s">
        <v>212</v>
      </c>
      <c r="AA46" s="51">
        <f t="shared" ca="1" si="1"/>
        <v>42527</v>
      </c>
      <c r="AB46" s="50" t="s">
        <v>200</v>
      </c>
    </row>
    <row r="47" spans="1:28" ht="21" customHeight="1" outlineLevel="1" x14ac:dyDescent="0.15">
      <c r="A47" s="46">
        <v>49005048</v>
      </c>
      <c r="B47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7" s="49">
        <v>3</v>
      </c>
      <c r="D47" s="49" t="s">
        <v>125</v>
      </c>
      <c r="E47" s="50" t="s">
        <v>243</v>
      </c>
      <c r="F47" s="50" t="s">
        <v>360</v>
      </c>
      <c r="G47" s="62" t="str">
        <f t="shared" si="49"/>
        <v>[effect:tolerance, target:myself, turn:-1, tolerance_effect:hungup, count:-1]</v>
      </c>
      <c r="H47" s="62">
        <f t="shared" si="50"/>
        <v>9</v>
      </c>
      <c r="I47" s="62">
        <f t="shared" si="51"/>
        <v>18</v>
      </c>
      <c r="J47" s="62">
        <f t="shared" si="52"/>
        <v>27</v>
      </c>
      <c r="K47" s="62">
        <f t="shared" si="53"/>
        <v>33</v>
      </c>
      <c r="L47" s="62" t="str">
        <f>IFERROR(VLOOKUP(MID(G47,J47,K47-J47),[5]skilldef!$C:$D,2,FALSE),"-") &amp; " / " &amp; IFERROR(VLOOKUP(MID(G47,H47,I47-H47),[5]skilldef!$A:$B,2,FALSE),"-")</f>
        <v>自分自身に / 状態異常耐性</v>
      </c>
      <c r="M47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7" s="47" t="str">
        <f t="shared" si="6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7" s="62">
        <f t="shared" si="55"/>
        <v>9</v>
      </c>
      <c r="P47" s="62">
        <f t="shared" si="56"/>
        <v>18</v>
      </c>
      <c r="Q47" s="62">
        <f t="shared" si="57"/>
        <v>27</v>
      </c>
      <c r="R47" s="62">
        <f t="shared" si="58"/>
        <v>33</v>
      </c>
      <c r="S47" s="62" t="str">
        <f>IFERROR(VLOOKUP(MID(N47,Q47,R47-Q47),[5]skilldef!$C:$D,2,FALSE),"-") &amp; " / " &amp; IFERROR(VLOOKUP(MID(N47,O47,P47-O47),[5]skilldef!$A:$B,2,FALSE),"-")</f>
        <v>自分自身に / 状態異常耐性</v>
      </c>
      <c r="T47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7" s="62">
        <f t="shared" si="60"/>
        <v>9</v>
      </c>
      <c r="V47" s="62">
        <f t="shared" si="61"/>
        <v>18</v>
      </c>
      <c r="W47" s="62">
        <f t="shared" si="62"/>
        <v>27</v>
      </c>
      <c r="X47" s="62">
        <f t="shared" si="63"/>
        <v>33</v>
      </c>
      <c r="Y47" s="62" t="str">
        <f>IFERROR(VLOOKUP(MID(T47,W47,X47-W47),[5]skilldef!$C:$D,2,FALSE),"-") &amp; " / " &amp; IFERROR(VLOOKUP(MID(T47,U47,V47-U47),[5]skilldef!$A:$B,2,FALSE),"-")</f>
        <v>自分自身に / 状態異常耐性</v>
      </c>
      <c r="Z47" s="49" t="s">
        <v>212</v>
      </c>
      <c r="AA47" s="51">
        <f t="shared" ca="1" si="1"/>
        <v>42527</v>
      </c>
      <c r="AB47" s="50" t="s">
        <v>200</v>
      </c>
    </row>
    <row r="48" spans="1:28" ht="21" customHeight="1" outlineLevel="1" x14ac:dyDescent="0.15">
      <c r="A48" s="46">
        <v>49005049</v>
      </c>
      <c r="B48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8" s="49">
        <v>3</v>
      </c>
      <c r="D48" s="49" t="s">
        <v>125</v>
      </c>
      <c r="E48" s="50" t="s">
        <v>243</v>
      </c>
      <c r="F48" s="50" t="s">
        <v>360</v>
      </c>
      <c r="G48" s="62" t="str">
        <f t="shared" si="49"/>
        <v>[effect:tolerance, target:myself, turn:-1, tolerance_effect:hungup, count:-1]</v>
      </c>
      <c r="H48" s="62">
        <f t="shared" si="50"/>
        <v>9</v>
      </c>
      <c r="I48" s="62">
        <f t="shared" si="51"/>
        <v>18</v>
      </c>
      <c r="J48" s="62">
        <f t="shared" si="52"/>
        <v>27</v>
      </c>
      <c r="K48" s="62">
        <f t="shared" si="53"/>
        <v>33</v>
      </c>
      <c r="L48" s="62" t="str">
        <f>IFERROR(VLOOKUP(MID(G48,J48,K48-J48),[5]skilldef!$C:$D,2,FALSE),"-") &amp; " / " &amp; IFERROR(VLOOKUP(MID(G48,H48,I48-H48),[5]skilldef!$A:$B,2,FALSE),"-")</f>
        <v>自分自身に / 状態異常耐性</v>
      </c>
      <c r="M48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8" s="47" t="str">
        <f t="shared" si="6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8" s="62">
        <f t="shared" si="55"/>
        <v>9</v>
      </c>
      <c r="P48" s="62">
        <f t="shared" si="56"/>
        <v>18</v>
      </c>
      <c r="Q48" s="62">
        <f t="shared" si="57"/>
        <v>27</v>
      </c>
      <c r="R48" s="62">
        <f t="shared" si="58"/>
        <v>33</v>
      </c>
      <c r="S48" s="62" t="str">
        <f>IFERROR(VLOOKUP(MID(N48,Q48,R48-Q48),[5]skilldef!$C:$D,2,FALSE),"-") &amp; " / " &amp; IFERROR(VLOOKUP(MID(N48,O48,P48-O48),[5]skilldef!$A:$B,2,FALSE),"-")</f>
        <v>自分自身に / 状態異常耐性</v>
      </c>
      <c r="T48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8" s="62">
        <f t="shared" si="60"/>
        <v>9</v>
      </c>
      <c r="V48" s="62">
        <f t="shared" si="61"/>
        <v>18</v>
      </c>
      <c r="W48" s="62">
        <f t="shared" si="62"/>
        <v>27</v>
      </c>
      <c r="X48" s="62">
        <f t="shared" si="63"/>
        <v>33</v>
      </c>
      <c r="Y48" s="62" t="str">
        <f>IFERROR(VLOOKUP(MID(T48,W48,X48-W48),[5]skilldef!$C:$D,2,FALSE),"-") &amp; " / " &amp; IFERROR(VLOOKUP(MID(T48,U48,V48-U48),[5]skilldef!$A:$B,2,FALSE),"-")</f>
        <v>自分自身に / 状態異常耐性</v>
      </c>
      <c r="Z48" s="49" t="s">
        <v>212</v>
      </c>
      <c r="AA48" s="51">
        <f t="shared" ca="1" si="1"/>
        <v>42527</v>
      </c>
      <c r="AB48" s="50" t="s">
        <v>200</v>
      </c>
    </row>
    <row r="49" spans="1:28" ht="21" customHeight="1" outlineLevel="1" x14ac:dyDescent="0.15">
      <c r="A49" s="46">
        <v>49005050</v>
      </c>
      <c r="B49" s="99" t="str">
        <f t="shared" si="4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9" s="49">
        <v>3</v>
      </c>
      <c r="D49" s="49" t="s">
        <v>125</v>
      </c>
      <c r="E49" s="50" t="s">
        <v>243</v>
      </c>
      <c r="F49" s="50" t="s">
        <v>360</v>
      </c>
      <c r="G49" s="62" t="str">
        <f t="shared" si="49"/>
        <v>[effect:tolerance, target:myself, turn:-1, tolerance_effect:hungup, count:-1]</v>
      </c>
      <c r="H49" s="62">
        <f t="shared" si="50"/>
        <v>9</v>
      </c>
      <c r="I49" s="62">
        <f t="shared" si="51"/>
        <v>18</v>
      </c>
      <c r="J49" s="62">
        <f t="shared" si="52"/>
        <v>27</v>
      </c>
      <c r="K49" s="62">
        <f t="shared" si="53"/>
        <v>33</v>
      </c>
      <c r="L49" s="62" t="str">
        <f>IFERROR(VLOOKUP(MID(G49,J49,K49-J49),[5]skilldef!$C:$D,2,FALSE),"-") &amp; " / " &amp; IFERROR(VLOOKUP(MID(G49,H49,I49-H49),[5]skilldef!$A:$B,2,FALSE),"-")</f>
        <v>自分自身に / 状態異常耐性</v>
      </c>
      <c r="M49" s="62" t="str">
        <f t="shared" si="5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9" s="47" t="str">
        <f>IFERROR(LEFT(M49,FIND("],",M49)+#REF!),M49)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9" s="62">
        <f t="shared" si="55"/>
        <v>9</v>
      </c>
      <c r="P49" s="62">
        <f t="shared" si="56"/>
        <v>18</v>
      </c>
      <c r="Q49" s="62">
        <f t="shared" si="57"/>
        <v>27</v>
      </c>
      <c r="R49" s="62">
        <f t="shared" si="58"/>
        <v>33</v>
      </c>
      <c r="S49" s="62" t="str">
        <f>IFERROR(VLOOKUP(MID(N49,Q49,R49-Q49),[5]skilldef!$C:$D,2,FALSE),"-") &amp; " / " &amp; IFERROR(VLOOKUP(MID(N49,O49,P49-O49),[5]skilldef!$A:$B,2,FALSE),"-")</f>
        <v>自分自身に / 状態異常耐性</v>
      </c>
      <c r="T49" s="47" t="str">
        <f t="shared" si="59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9" s="62">
        <f t="shared" si="60"/>
        <v>9</v>
      </c>
      <c r="V49" s="62">
        <f t="shared" si="61"/>
        <v>18</v>
      </c>
      <c r="W49" s="62">
        <f t="shared" si="62"/>
        <v>27</v>
      </c>
      <c r="X49" s="62">
        <f t="shared" si="63"/>
        <v>33</v>
      </c>
      <c r="Y49" s="62" t="str">
        <f>IFERROR(VLOOKUP(MID(T49,W49,X49-W49),[5]skilldef!$C:$D,2,FALSE),"-") &amp; " / " &amp; IFERROR(VLOOKUP(MID(T49,U49,V49-U49),[5]skilldef!$A:$B,2,FALSE),"-")</f>
        <v>自分自身に / 状態異常耐性</v>
      </c>
      <c r="Z49" s="49" t="s">
        <v>212</v>
      </c>
      <c r="AA49" s="51">
        <f t="shared" ca="1" si="1"/>
        <v>42527</v>
      </c>
      <c r="AB49" s="50" t="s">
        <v>200</v>
      </c>
    </row>
    <row r="50" spans="1:28" ht="21" customHeight="1" x14ac:dyDescent="0.15">
      <c r="A50" s="46">
        <v>49005058</v>
      </c>
      <c r="B50" s="46" t="s">
        <v>390</v>
      </c>
      <c r="C50" s="49">
        <v>3</v>
      </c>
      <c r="D50" s="49" t="s">
        <v>125</v>
      </c>
      <c r="E50" s="50" t="s">
        <v>253</v>
      </c>
      <c r="F50" s="50" t="s">
        <v>294</v>
      </c>
      <c r="G50" s="62" t="str">
        <f t="shared" si="17"/>
        <v>[effect:critical, val:1.5]</v>
      </c>
      <c r="H50" s="62">
        <f t="shared" si="18"/>
        <v>9</v>
      </c>
      <c r="I50" s="62">
        <f t="shared" si="19"/>
        <v>17</v>
      </c>
      <c r="J50" s="62" t="e">
        <f t="shared" si="20"/>
        <v>#VALUE!</v>
      </c>
      <c r="K50" s="62" t="e">
        <f t="shared" si="21"/>
        <v>#VALUE!</v>
      </c>
      <c r="L50" s="62" t="str">
        <f>IFERROR(VLOOKUP(MID(G50,J50,K50-J50),[5]skilldef!$C:$D,2,FALSE),"-") &amp; " / " &amp; IFERROR(VLOOKUP(MID(G50,H50,I50-H50),[5]skilldef!$A:$B,2,FALSE),"-")</f>
        <v>- / 大攻撃</v>
      </c>
      <c r="M50" s="62" t="str">
        <f t="shared" si="22"/>
        <v>[effect:degrade_unit, target:unit_all, turn:3, status:attack, val:0.5]</v>
      </c>
      <c r="N50" s="47" t="str">
        <f>IFERROR(LEFT(M50,FIND("],",M50)+S76),M50)</f>
        <v>[effect:degrade_unit, target:unit_all, turn:3, status:attack, val:0.5]</v>
      </c>
      <c r="O50" s="62">
        <f t="shared" si="23"/>
        <v>9</v>
      </c>
      <c r="P50" s="62">
        <f t="shared" si="24"/>
        <v>21</v>
      </c>
      <c r="Q50" s="62">
        <f t="shared" si="25"/>
        <v>30</v>
      </c>
      <c r="R50" s="62">
        <f t="shared" si="26"/>
        <v>38</v>
      </c>
      <c r="S50" s="62" t="str">
        <f>IFERROR(VLOOKUP(MID(N50,Q50,R50-Q50),[5]skilldef!$C:$D,2,FALSE),"-") &amp; " / " &amp; IFERROR(VLOOKUP(MID(N50,O50,P50-O50),[5]skilldef!$A:$B,2,FALSE),"-")</f>
        <v>味方全体に / ステータスDOWN</v>
      </c>
      <c r="T50" s="47" t="str">
        <f t="shared" si="27"/>
        <v>none</v>
      </c>
      <c r="U50" s="62" t="e">
        <f t="shared" si="28"/>
        <v>#VALUE!</v>
      </c>
      <c r="V50" s="62">
        <f t="shared" si="29"/>
        <v>4</v>
      </c>
      <c r="W50" s="62" t="e">
        <f t="shared" si="30"/>
        <v>#VALUE!</v>
      </c>
      <c r="X50" s="62" t="e">
        <f t="shared" si="31"/>
        <v>#VALUE!</v>
      </c>
      <c r="Y50" s="62" t="str">
        <f>IFERROR(VLOOKUP(MID(T50,W50,X50-W50),[5]skilldef!$C:$D,2,FALSE),"-") &amp; " / " &amp; IFERROR(VLOOKUP(MID(T50,U50,V50-U50),[5]skilldef!$A:$B,2,FALSE),"-")</f>
        <v>- / -</v>
      </c>
      <c r="Z50" s="49" t="s">
        <v>212</v>
      </c>
      <c r="AA50" s="51">
        <f t="shared" ca="1" si="1"/>
        <v>42527</v>
      </c>
      <c r="AB50" s="50" t="s">
        <v>200</v>
      </c>
    </row>
    <row r="51" spans="1:28" ht="21" customHeight="1" x14ac:dyDescent="0.15">
      <c r="A51" s="46">
        <v>49005059</v>
      </c>
      <c r="B51" s="100" t="s">
        <v>391</v>
      </c>
      <c r="C51" s="49">
        <v>3</v>
      </c>
      <c r="D51" s="49" t="s">
        <v>125</v>
      </c>
      <c r="E51" s="50" t="s">
        <v>285</v>
      </c>
      <c r="F51" s="50" t="s">
        <v>361</v>
      </c>
      <c r="G51" s="62" t="str">
        <f t="shared" si="17"/>
        <v>[effect:remove_enhancement, target:unit_all, target_effect:enhance, target_type:buff, status:defense, animation:frozen_wave]</v>
      </c>
      <c r="H51" s="62">
        <f t="shared" si="18"/>
        <v>9</v>
      </c>
      <c r="I51" s="62">
        <f t="shared" si="19"/>
        <v>27</v>
      </c>
      <c r="J51" s="62">
        <f t="shared" si="20"/>
        <v>36</v>
      </c>
      <c r="K51" s="62">
        <f t="shared" si="21"/>
        <v>44</v>
      </c>
      <c r="L51" s="62" t="str">
        <f>IFERROR(VLOOKUP(MID(G51,J51,K51-J51),[5]skilldef!$C:$D,2,FALSE),"-") &amp; " / " &amp; IFERROR(VLOOKUP(MID(G51,H51,I51-H51),[5]skilldef!$A:$B,2,FALSE),"-")</f>
        <v>味方全体に / -</v>
      </c>
      <c r="M51" s="62" t="str">
        <f t="shared" si="22"/>
        <v>[effect:remove_enhancement, target:unit_all, target_effect:reduction, target_type:buff],_x000D_[effect:damage_fix_absolute, target:unit_one, val:3939],[effect:damage_fix_absolute, target:unit_one, val:3939],[effect:heal, target:enemy_all, val:0.3, animation:enemy_heal]</v>
      </c>
      <c r="N51" s="47" t="str">
        <f>IFERROR(LEFT(M51,FIND("],",M51)+#REF!),M51)</f>
        <v>[effect:remove_enhancement, target:unit_all, target_effect:reduction, target_type:buff],_x000D_[effect:damage_fix_absolute, target:unit_one, val:3939],[effect:damage_fix_absolute, target:unit_one, val:3939],[effect:heal, target:enemy_all, val:0.3, animation:enemy_heal]</v>
      </c>
      <c r="O51" s="62">
        <f t="shared" si="23"/>
        <v>9</v>
      </c>
      <c r="P51" s="62">
        <f t="shared" si="24"/>
        <v>27</v>
      </c>
      <c r="Q51" s="62">
        <f t="shared" si="25"/>
        <v>36</v>
      </c>
      <c r="R51" s="62">
        <f t="shared" si="26"/>
        <v>44</v>
      </c>
      <c r="S51" s="62" t="str">
        <f>IFERROR(VLOOKUP(MID(N51,Q51,R51-Q51),[5]skilldef!$C:$D,2,FALSE),"-") &amp; " / " &amp; IFERROR(VLOOKUP(MID(N51,O51,P51-O51),[5]skilldef!$A:$B,2,FALSE),"-")</f>
        <v>味方全体に / -</v>
      </c>
      <c r="T51" s="47" t="str">
        <f t="shared" si="27"/>
        <v>_x000D_[effect:damage_fix_absolute, target:unit_one, val:3939],[effect:damage_fix_absolute, target:unit_one, val:3939],[effect:heal, target:enemy_all, val:0.3, animation:enemy_heal]</v>
      </c>
      <c r="U51" s="62">
        <f t="shared" si="28"/>
        <v>10</v>
      </c>
      <c r="V51" s="62">
        <f t="shared" si="29"/>
        <v>29</v>
      </c>
      <c r="W51" s="62">
        <f t="shared" si="30"/>
        <v>38</v>
      </c>
      <c r="X51" s="62">
        <f t="shared" si="31"/>
        <v>46</v>
      </c>
      <c r="Y51" s="62" t="str">
        <f>IFERROR(VLOOKUP(MID(T51,W51,X51-W51),[5]skilldef!$C:$D,2,FALSE),"-") &amp; " / " &amp; IFERROR(VLOOKUP(MID(T51,U51,V51-U51),[5]skilldef!$A:$B,2,FALSE),"-")</f>
        <v>味方単体に / -</v>
      </c>
      <c r="Z51" s="49" t="s">
        <v>212</v>
      </c>
      <c r="AA51" s="51">
        <f t="shared" ca="1" si="1"/>
        <v>42527</v>
      </c>
      <c r="AB51" s="50" t="s">
        <v>200</v>
      </c>
    </row>
    <row r="52" spans="1:28" ht="21" customHeight="1" x14ac:dyDescent="0.15">
      <c r="A52" s="46">
        <v>49005060</v>
      </c>
      <c r="B52" s="46" t="s">
        <v>392</v>
      </c>
      <c r="C52" s="49">
        <v>3</v>
      </c>
      <c r="D52" s="49" t="s">
        <v>125</v>
      </c>
      <c r="E52" s="50" t="s">
        <v>256</v>
      </c>
      <c r="F52" s="50" t="s">
        <v>277</v>
      </c>
      <c r="G52" s="62" t="str">
        <f t="shared" si="17"/>
        <v>[effect:damage_anti_tribe, target:unit_all, tribe:unknown, val1:0.25, val2:0.75]</v>
      </c>
      <c r="H52" s="62">
        <f t="shared" si="18"/>
        <v>9</v>
      </c>
      <c r="I52" s="62">
        <f t="shared" si="19"/>
        <v>26</v>
      </c>
      <c r="J52" s="62">
        <f t="shared" si="20"/>
        <v>35</v>
      </c>
      <c r="K52" s="62">
        <f t="shared" si="21"/>
        <v>43</v>
      </c>
      <c r="L52" s="62" t="str">
        <f>IFERROR(VLOOKUP(MID(G52,J52,K52-J52),[5]skilldef!$C:$D,2,FALSE),"-") &amp; " / " &amp; IFERROR(VLOOKUP(MID(G52,H52,I52-H52),[5]skilldef!$A:$B,2,FALSE),"-")</f>
        <v>味方全体に / 種族キラー</v>
      </c>
      <c r="M52" s="62" t="str">
        <f t="shared" si="22"/>
        <v>none</v>
      </c>
      <c r="N52" s="47" t="str">
        <f>IFERROR(LEFT(M52,FIND("],",M52)+#REF!),M52)</f>
        <v>none</v>
      </c>
      <c r="O52" s="62" t="e">
        <f t="shared" si="23"/>
        <v>#VALUE!</v>
      </c>
      <c r="P52" s="62">
        <f t="shared" si="24"/>
        <v>4</v>
      </c>
      <c r="Q52" s="62" t="e">
        <f t="shared" si="25"/>
        <v>#VALUE!</v>
      </c>
      <c r="R52" s="62" t="e">
        <f t="shared" si="26"/>
        <v>#VALUE!</v>
      </c>
      <c r="S52" s="62" t="str">
        <f>IFERROR(VLOOKUP(MID(N52,Q52,R52-Q52),[5]skilldef!$C:$D,2,FALSE),"-") &amp; " / " &amp; IFERROR(VLOOKUP(MID(N52,O52,P52-O52),[5]skilldef!$A:$B,2,FALSE),"-")</f>
        <v>- / -</v>
      </c>
      <c r="T52" s="47" t="str">
        <f t="shared" si="27"/>
        <v>none</v>
      </c>
      <c r="U52" s="62" t="e">
        <f t="shared" si="28"/>
        <v>#VALUE!</v>
      </c>
      <c r="V52" s="62">
        <f t="shared" si="29"/>
        <v>4</v>
      </c>
      <c r="W52" s="62" t="e">
        <f t="shared" si="30"/>
        <v>#VALUE!</v>
      </c>
      <c r="X52" s="62" t="e">
        <f t="shared" si="31"/>
        <v>#VALUE!</v>
      </c>
      <c r="Y52" s="62" t="str">
        <f>IFERROR(VLOOKUP(MID(T52,W52,X52-W52),[5]skilldef!$C:$D,2,FALSE),"-") &amp; " / " &amp; IFERROR(VLOOKUP(MID(T52,U52,V52-U52),[5]skilldef!$A:$B,2,FALSE),"-")</f>
        <v>- / -</v>
      </c>
      <c r="Z52" s="49" t="s">
        <v>212</v>
      </c>
      <c r="AA52" s="51">
        <f t="shared" ca="1" si="1"/>
        <v>42527</v>
      </c>
      <c r="AB52" s="50" t="s">
        <v>200</v>
      </c>
    </row>
    <row r="53" spans="1:28" ht="21" customHeight="1" x14ac:dyDescent="0.15">
      <c r="A53" s="46">
        <v>49005061</v>
      </c>
      <c r="B53" s="100" t="s">
        <v>353</v>
      </c>
      <c r="C53" s="49">
        <v>3</v>
      </c>
      <c r="D53" s="49" t="s">
        <v>125</v>
      </c>
      <c r="E53" s="50" t="s">
        <v>286</v>
      </c>
      <c r="F53" s="50" t="s">
        <v>362</v>
      </c>
      <c r="G53" s="62" t="str">
        <f t="shared" si="17"/>
        <v>[effect:remove_enhancement, target:unit_all, target_effect:enhance, target_type:buff, status:defense, animation:frozen_wave]</v>
      </c>
      <c r="H53" s="62">
        <f t="shared" si="18"/>
        <v>9</v>
      </c>
      <c r="I53" s="62">
        <f t="shared" si="19"/>
        <v>27</v>
      </c>
      <c r="J53" s="62">
        <f t="shared" si="20"/>
        <v>36</v>
      </c>
      <c r="K53" s="62">
        <f t="shared" si="21"/>
        <v>44</v>
      </c>
      <c r="L53" s="62" t="str">
        <f>IFERROR(VLOOKUP(MID(G53,J53,K53-J53),[5]skilldef!$C:$D,2,FALSE),"-") &amp; " / " &amp; IFERROR(VLOOKUP(MID(G53,H53,I53-H53),[5]skilldef!$A:$B,2,FALSE),"-")</f>
        <v>味方全体に / -</v>
      </c>
      <c r="M53" s="62" t="str">
        <f t="shared" si="22"/>
        <v>[effect:remove_enhancement, target:unit_all, target_effect:reduction, target_type:buff],_x000D_[effect:damage_fix_absolute, target:unit_one, val:3939],[effect:damage_fix_absolute, target:unit_one, val:3939],[effect:degrade_unit, target:unit_all, turn:3, status:attack, val:0.8]</v>
      </c>
      <c r="N53" s="47" t="str">
        <f>IFERROR(LEFT(M53,FIND("],",M53)+S83),M53)</f>
        <v>[effect:remove_enhancement, target:unit_all, target_effect:reduction, target_type:buff],_x000D_[effect:damage_fix_absolute, target:unit_one, val:3939],[effect:damage_fix_absolute, target:unit_one, val:3939],[effect:degrade_unit, target:unit_all, turn:3, status:attack, val:0.8]</v>
      </c>
      <c r="O53" s="62">
        <f t="shared" si="23"/>
        <v>9</v>
      </c>
      <c r="P53" s="62">
        <f t="shared" si="24"/>
        <v>27</v>
      </c>
      <c r="Q53" s="62">
        <f t="shared" si="25"/>
        <v>36</v>
      </c>
      <c r="R53" s="62">
        <f t="shared" si="26"/>
        <v>44</v>
      </c>
      <c r="S53" s="62" t="str">
        <f>IFERROR(VLOOKUP(MID(N53,Q53,R53-Q53),[5]skilldef!$C:$D,2,FALSE),"-") &amp; " / " &amp; IFERROR(VLOOKUP(MID(N53,O53,P53-O53),[5]skilldef!$A:$B,2,FALSE),"-")</f>
        <v>味方全体に / -</v>
      </c>
      <c r="T53" s="47" t="str">
        <f t="shared" si="27"/>
        <v>_x000D_[effect:damage_fix_absolute, target:unit_one, val:3939],[effect:damage_fix_absolute, target:unit_one, val:3939],[effect:degrade_unit, target:unit_all, turn:3, status:attack, val:0.8]</v>
      </c>
      <c r="U53" s="62">
        <f t="shared" si="28"/>
        <v>10</v>
      </c>
      <c r="V53" s="62">
        <f t="shared" si="29"/>
        <v>29</v>
      </c>
      <c r="W53" s="62">
        <f t="shared" si="30"/>
        <v>38</v>
      </c>
      <c r="X53" s="62">
        <f t="shared" si="31"/>
        <v>46</v>
      </c>
      <c r="Y53" s="62" t="str">
        <f>IFERROR(VLOOKUP(MID(T53,W53,X53-W53),[5]skilldef!$C:$D,2,FALSE),"-") &amp; " / " &amp; IFERROR(VLOOKUP(MID(T53,U53,V53-U53),[5]skilldef!$A:$B,2,FALSE),"-")</f>
        <v>味方単体に / -</v>
      </c>
      <c r="Z53" s="49" t="s">
        <v>212</v>
      </c>
      <c r="AA53" s="51">
        <f t="shared" ca="1" si="1"/>
        <v>42527</v>
      </c>
      <c r="AB53" s="50" t="s">
        <v>200</v>
      </c>
    </row>
    <row r="54" spans="1:28" ht="21" customHeight="1" x14ac:dyDescent="0.15">
      <c r="A54" s="46">
        <v>49005062</v>
      </c>
      <c r="B54" s="99" t="s">
        <v>401</v>
      </c>
      <c r="C54" s="49">
        <v>3</v>
      </c>
      <c r="D54" s="49" t="s">
        <v>125</v>
      </c>
      <c r="E54" s="50" t="s">
        <v>244</v>
      </c>
      <c r="F54" s="50" t="s">
        <v>288</v>
      </c>
      <c r="G54" s="62" t="str">
        <f t="shared" si="17"/>
        <v>[effect:change_panel_ratio, turn:5, block_type:green, val:0.15, animation:block_incidence04]</v>
      </c>
      <c r="H54" s="62">
        <f t="shared" si="18"/>
        <v>9</v>
      </c>
      <c r="I54" s="62">
        <f t="shared" si="19"/>
        <v>27</v>
      </c>
      <c r="J54" s="62" t="e">
        <f t="shared" si="20"/>
        <v>#VALUE!</v>
      </c>
      <c r="K54" s="62">
        <f t="shared" si="21"/>
        <v>35</v>
      </c>
      <c r="L54" s="62" t="str">
        <f>IFERROR(VLOOKUP(MID(G54,J54,K54-J54),[5]skilldef!$C:$D,2,FALSE),"-") &amp; " / " &amp; IFERROR(VLOOKUP(MID(G54,H54,I54-H54),[5]skilldef!$A:$B,2,FALSE),"-")</f>
        <v>- / -</v>
      </c>
      <c r="M54" s="62" t="str">
        <f t="shared" si="22"/>
        <v>[effect:force_change_block, new_block:jammer, target:block_green, count:0, val:0, animation:change_block]</v>
      </c>
      <c r="N54" s="47" t="str">
        <f>IFERROR(LEFT(M54,FIND("],",M54)+#REF!),M54)</f>
        <v>[effect:force_change_block, new_block:jammer, target:block_green, count:0, val:0, animation:change_block]</v>
      </c>
      <c r="O54" s="62">
        <f t="shared" si="23"/>
        <v>9</v>
      </c>
      <c r="P54" s="62">
        <f t="shared" si="24"/>
        <v>27</v>
      </c>
      <c r="Q54" s="62">
        <f t="shared" si="25"/>
        <v>54</v>
      </c>
      <c r="R54" s="62">
        <f t="shared" si="26"/>
        <v>45</v>
      </c>
      <c r="S54" s="62" t="str">
        <f>IFERROR(VLOOKUP(MID(N54,Q54,R54-Q54),[5]skilldef!$C:$D,2,FALSE),"-") &amp; " / " &amp; IFERROR(VLOOKUP(MID(N54,O54,P54-O54),[5]skilldef!$A:$B,2,FALSE),"-")</f>
        <v>- / -</v>
      </c>
      <c r="T54" s="47" t="str">
        <f t="shared" si="27"/>
        <v>none</v>
      </c>
      <c r="U54" s="62" t="e">
        <f t="shared" si="28"/>
        <v>#VALUE!</v>
      </c>
      <c r="V54" s="62">
        <f t="shared" si="29"/>
        <v>4</v>
      </c>
      <c r="W54" s="62" t="e">
        <f t="shared" si="30"/>
        <v>#VALUE!</v>
      </c>
      <c r="X54" s="62" t="e">
        <f t="shared" si="31"/>
        <v>#VALUE!</v>
      </c>
      <c r="Y54" s="62" t="str">
        <f>IFERROR(VLOOKUP(MID(T54,W54,X54-W54),[5]skilldef!$C:$D,2,FALSE),"-") &amp; " / " &amp; IFERROR(VLOOKUP(MID(T54,U54,V54-U54),[5]skilldef!$A:$B,2,FALSE),"-")</f>
        <v>- / -</v>
      </c>
      <c r="Z54" s="49" t="s">
        <v>212</v>
      </c>
      <c r="AA54" s="51">
        <f t="shared" ca="1" si="1"/>
        <v>42527</v>
      </c>
      <c r="AB54" s="50" t="s">
        <v>200</v>
      </c>
    </row>
    <row r="55" spans="1:28" ht="21" customHeight="1" x14ac:dyDescent="0.15">
      <c r="A55" s="46">
        <v>49005063</v>
      </c>
      <c r="B55" s="46" t="s">
        <v>394</v>
      </c>
      <c r="C55" s="49">
        <v>3</v>
      </c>
      <c r="D55" s="49" t="s">
        <v>125</v>
      </c>
      <c r="E55" s="50" t="s">
        <v>270</v>
      </c>
      <c r="F55" s="50" t="s">
        <v>393</v>
      </c>
      <c r="G55" s="62" t="str">
        <f t="shared" si="17"/>
        <v>[effect:enhance_enemy, target:myself, turn:2, status:defense, val:6000, calc:add, animation:enemy_enhance_defense]</v>
      </c>
      <c r="H55" s="62">
        <f t="shared" si="18"/>
        <v>9</v>
      </c>
      <c r="I55" s="62">
        <f t="shared" si="19"/>
        <v>22</v>
      </c>
      <c r="J55" s="62">
        <f t="shared" si="20"/>
        <v>31</v>
      </c>
      <c r="K55" s="62">
        <f t="shared" si="21"/>
        <v>37</v>
      </c>
      <c r="L55" s="62" t="str">
        <f>IFERROR(VLOOKUP(MID(G55,J55,K55-J55),[5]skilldef!$C:$D,2,FALSE),"-") &amp; " / " &amp; IFERROR(VLOOKUP(MID(G55,H55,I55-H55),[5]skilldef!$A:$B,2,FALSE),"-")</f>
        <v>自分自身に / ステータス強化</v>
      </c>
      <c r="M55" s="62" t="str">
        <f t="shared" si="22"/>
        <v>[effect:change_block, new_block:jammer, target:block_yellow, count:0, val:0, animation:change_block],[effect:force_change_block, new_block:time_bomb, target:block_all, count:10, val:0.2, min_time_count:2, max_time_count:2, animation:change_block]</v>
      </c>
      <c r="N55" s="47" t="str">
        <f>IFERROR(LEFT(M55,FIND("],",M55)+#REF!),M55)</f>
        <v>[effect:change_block, new_block:jammer, target:block_yellow, count:0, val:0, animation:change_block],[effect:force_change_block, new_block:time_bomb, target:block_all, count:10, val:0.2, min_time_count:2, max_time_count:2, animation:change_block]</v>
      </c>
      <c r="O55" s="62">
        <f t="shared" si="23"/>
        <v>9</v>
      </c>
      <c r="P55" s="62">
        <f t="shared" si="24"/>
        <v>21</v>
      </c>
      <c r="Q55" s="62">
        <f t="shared" si="25"/>
        <v>48</v>
      </c>
      <c r="R55" s="62">
        <f t="shared" si="26"/>
        <v>39</v>
      </c>
      <c r="S55" s="62" t="str">
        <f>IFERROR(VLOOKUP(MID(N55,Q55,R55-Q55),[5]skilldef!$C:$D,2,FALSE),"-") &amp; " / " &amp; IFERROR(VLOOKUP(MID(N55,O55,P55-O55),[5]skilldef!$A:$B,2,FALSE),"-")</f>
        <v>- / ブロック変換</v>
      </c>
      <c r="T55" s="47" t="str">
        <f t="shared" si="27"/>
        <v>[effect:force_change_block, new_block:time_bomb, target:block_all, count:10, val:0.2, min_time_count:2, max_time_count:2, animation:change_block]</v>
      </c>
      <c r="U55" s="62">
        <f t="shared" si="28"/>
        <v>9</v>
      </c>
      <c r="V55" s="62">
        <f t="shared" si="29"/>
        <v>27</v>
      </c>
      <c r="W55" s="62">
        <f t="shared" si="30"/>
        <v>57</v>
      </c>
      <c r="X55" s="62">
        <f t="shared" si="31"/>
        <v>48</v>
      </c>
      <c r="Y55" s="62" t="str">
        <f>IFERROR(VLOOKUP(MID(T55,W55,X55-W55),[5]skilldef!$C:$D,2,FALSE),"-") &amp; " / " &amp; IFERROR(VLOOKUP(MID(T55,U55,V55-U55),[5]skilldef!$A:$B,2,FALSE),"-")</f>
        <v>- / -</v>
      </c>
      <c r="Z55" s="49" t="s">
        <v>212</v>
      </c>
      <c r="AA55" s="51">
        <f t="shared" ca="1" si="1"/>
        <v>42527</v>
      </c>
      <c r="AB55" s="50" t="s">
        <v>200</v>
      </c>
    </row>
    <row r="56" spans="1:28" ht="21" customHeight="1" x14ac:dyDescent="0.15">
      <c r="A56" s="46">
        <v>49005064</v>
      </c>
      <c r="B56" s="46" t="s">
        <v>395</v>
      </c>
      <c r="C56" s="49">
        <v>3</v>
      </c>
      <c r="D56" s="49" t="s">
        <v>125</v>
      </c>
      <c r="E56" s="50" t="s">
        <v>273</v>
      </c>
      <c r="F56" s="50" t="s">
        <v>363</v>
      </c>
      <c r="G56" s="62" t="str">
        <f t="shared" ref="G56:G83" si="65">IFERROR(LEFT(B56,FIND("],",B56)),B56)</f>
        <v>[effect:tolerance, target:myself, turn:-1, tolerance_effect:hungup, count:-1]</v>
      </c>
      <c r="H56" s="62">
        <f t="shared" ref="H56:H83" si="66">FIND("effect:",G56)+7</f>
        <v>9</v>
      </c>
      <c r="I56" s="62">
        <f t="shared" ref="I56:I83" si="67">IFERROR(FIND(",",G56),LEN(G56))</f>
        <v>18</v>
      </c>
      <c r="J56" s="62">
        <f t="shared" ref="J56:J83" si="68">FIND("target:",G56)+7</f>
        <v>27</v>
      </c>
      <c r="K56" s="62">
        <f t="shared" ref="K56:K83" si="69">FIND(",",G56,I56+1)</f>
        <v>33</v>
      </c>
      <c r="L56" s="62" t="str">
        <f>IFERROR(VLOOKUP(MID(G56,J56,K56-J56),[5]skilldef!$C:$D,2,FALSE),"-") &amp; " / " &amp; IFERROR(VLOOKUP(MID(G56,H56,I56-H56),[5]skilldef!$A:$B,2,FALSE),"-")</f>
        <v>自分自身に / 状態異常耐性</v>
      </c>
      <c r="M56" s="62" t="str">
        <f t="shared" ref="M56:M83" si="70">IFERROR(RIGHT(B56,LEN(B56)-FIND("],",B56)-1),"none")</f>
        <v>[effect:tolerance, target:myself, turn:-1, tolerance_effect:virus, count:-1],[effect:tolerance, target:myself, turn:-1, tolerance_effect:sleep, count:-1, animation:enemy_tolerance],[effect:degrade_fever, val:1000, animation:fevergauge_down],[effect:force_change_block, new_block:time_bomb, target:block_all, count:5, val:0.2, min_time_count:2, max_time_count:2, animation:change_block]</v>
      </c>
      <c r="N56" s="47" t="str">
        <f>IFERROR(LEFT(M56,FIND("],",M56)+S85),M56)</f>
        <v>[effect:tolerance, target:myself, turn:-1, tolerance_effect:virus, count:-1],[effect:tolerance, target:myself, turn:-1, tolerance_effect:sleep, count:-1, animation:enemy_tolerance],[effect:degrade_fever, val:1000, animation:fevergauge_down],[effect:force_change_block, new_block:time_bomb, target:block_all, count:5, val:0.2, min_time_count:2, max_time_count:2, animation:change_block]</v>
      </c>
      <c r="O56" s="62">
        <f t="shared" ref="O56:O83" si="71">FIND("effect:",N56)+7</f>
        <v>9</v>
      </c>
      <c r="P56" s="62">
        <f t="shared" ref="P56:P83" si="72">IFERROR(FIND(",",N56),LEN(N56))</f>
        <v>18</v>
      </c>
      <c r="Q56" s="62">
        <f t="shared" ref="Q56:Q83" si="73">FIND("target:",N56)+7</f>
        <v>27</v>
      </c>
      <c r="R56" s="62">
        <f t="shared" ref="R56:R83" si="74">FIND(",",N56,P56+1)</f>
        <v>33</v>
      </c>
      <c r="S56" s="62" t="str">
        <f>IFERROR(VLOOKUP(MID(N56,Q56,R56-Q56),[5]skilldef!$C:$D,2,FALSE),"-") &amp; " / " &amp; IFERROR(VLOOKUP(MID(N56,O56,P56-O56),[5]skilldef!$A:$B,2,FALSE),"-")</f>
        <v>自分自身に / 状態異常耐性</v>
      </c>
      <c r="T56" s="47" t="str">
        <f t="shared" ref="T56:T83" si="75">IFERROR(RIGHT(M56,LEN(M56)-FIND("],",M56)-1),"none")</f>
        <v>[effect:tolerance, target:myself, turn:-1, tolerance_effect:sleep, count:-1, animation:enemy_tolerance],[effect:degrade_fever, val:1000, animation:fevergauge_down],[effect:force_change_block, new_block:time_bomb, target:block_all, count:5, val:0.2, min_time_count:2, max_time_count:2, animation:change_block]</v>
      </c>
      <c r="U56" s="62">
        <f t="shared" ref="U56:U83" si="76">FIND("effect:",T56)+7</f>
        <v>9</v>
      </c>
      <c r="V56" s="62">
        <f t="shared" ref="V56:V83" si="77">IFERROR(FIND(",",T56),LEN(T56))</f>
        <v>18</v>
      </c>
      <c r="W56" s="62">
        <f t="shared" ref="W56:W83" si="78">FIND("target:",T56)+7</f>
        <v>27</v>
      </c>
      <c r="X56" s="62">
        <f t="shared" ref="X56:X83" si="79">FIND(",",T56,V56+1)</f>
        <v>33</v>
      </c>
      <c r="Y56" s="62" t="str">
        <f>IFERROR(VLOOKUP(MID(T56,W56,X56-W56),[5]skilldef!$C:$D,2,FALSE),"-") &amp; " / " &amp; IFERROR(VLOOKUP(MID(T56,U56,V56-U56),[5]skilldef!$A:$B,2,FALSE),"-")</f>
        <v>自分自身に / 状態異常耐性</v>
      </c>
      <c r="Z56" s="49" t="s">
        <v>212</v>
      </c>
      <c r="AA56" s="51">
        <f t="shared" ca="1" si="1"/>
        <v>42527</v>
      </c>
      <c r="AB56" s="50" t="s">
        <v>204</v>
      </c>
    </row>
    <row r="57" spans="1:28" ht="21" customHeight="1" x14ac:dyDescent="0.15">
      <c r="A57" s="46">
        <v>49005065</v>
      </c>
      <c r="B57" s="46" t="s">
        <v>350</v>
      </c>
      <c r="C57" s="49">
        <v>3</v>
      </c>
      <c r="D57" s="49" t="s">
        <v>125</v>
      </c>
      <c r="E57" s="50" t="s">
        <v>246</v>
      </c>
      <c r="F57" s="50" t="s">
        <v>364</v>
      </c>
      <c r="G57" s="62" t="str">
        <f t="shared" si="65"/>
        <v>[effect:tolerance, target:myself, turn:-1, tolerance_effect:hungup, count:-1]</v>
      </c>
      <c r="H57" s="62">
        <f t="shared" si="66"/>
        <v>9</v>
      </c>
      <c r="I57" s="62">
        <f t="shared" si="67"/>
        <v>18</v>
      </c>
      <c r="J57" s="62">
        <f t="shared" si="68"/>
        <v>27</v>
      </c>
      <c r="K57" s="62">
        <f t="shared" si="69"/>
        <v>33</v>
      </c>
      <c r="L57" s="62" t="str">
        <f>IFERROR(VLOOKUP(MID(G57,J57,K57-J57),[5]skilldef!$C:$D,2,FALSE),"-") &amp; " / " &amp; IFERROR(VLOOKUP(MID(G57,H57,I57-H57),[5]skilldef!$A:$B,2,FALSE),"-")</f>
        <v>自分自身に / 状態異常耐性</v>
      </c>
      <c r="M57" s="62" t="str">
        <f t="shared" si="70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57" s="47" t="str">
        <f t="shared" ref="N57:N62" si="80">IFERROR(LEFT(M57,FIND("],",M57)+S103),M57)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57" s="62">
        <f t="shared" si="71"/>
        <v>9</v>
      </c>
      <c r="P57" s="62">
        <f t="shared" si="72"/>
        <v>18</v>
      </c>
      <c r="Q57" s="62">
        <f t="shared" si="73"/>
        <v>27</v>
      </c>
      <c r="R57" s="62">
        <f t="shared" si="74"/>
        <v>33</v>
      </c>
      <c r="S57" s="62" t="str">
        <f>IFERROR(VLOOKUP(MID(N57,Q57,R57-Q57),[5]skilldef!$C:$D,2,FALSE),"-") &amp; " / " &amp; IFERROR(VLOOKUP(MID(N57,O57,P57-O57),[5]skilldef!$A:$B,2,FALSE),"-")</f>
        <v>自分自身に / 状態異常耐性</v>
      </c>
      <c r="T57" s="47" t="str">
        <f t="shared" si="75"/>
        <v>[effect:tolerance, target:myself, turn:-1, tolerance_effect:sleep, count:-1, animation:enemy_tolerance],[effect:enhance_fever, val:100.0, animation:fevergauge_up04]</v>
      </c>
      <c r="U57" s="62">
        <f t="shared" si="76"/>
        <v>9</v>
      </c>
      <c r="V57" s="62">
        <f t="shared" si="77"/>
        <v>18</v>
      </c>
      <c r="W57" s="62">
        <f t="shared" si="78"/>
        <v>27</v>
      </c>
      <c r="X57" s="62">
        <f t="shared" si="79"/>
        <v>33</v>
      </c>
      <c r="Y57" s="62" t="str">
        <f>IFERROR(VLOOKUP(MID(T57,W57,X57-W57),[5]skilldef!$C:$D,2,FALSE),"-") &amp; " / " &amp; IFERROR(VLOOKUP(MID(T57,U57,V57-U57),[5]skilldef!$A:$B,2,FALSE),"-")</f>
        <v>自分自身に / 状態異常耐性</v>
      </c>
      <c r="Z57" s="49" t="s">
        <v>212</v>
      </c>
      <c r="AA57" s="51">
        <f t="shared" ca="1" si="1"/>
        <v>42527</v>
      </c>
      <c r="AB57" s="50" t="s">
        <v>202</v>
      </c>
    </row>
    <row r="58" spans="1:28" ht="21" customHeight="1" outlineLevel="1" x14ac:dyDescent="0.15">
      <c r="A58" s="46">
        <v>49005066</v>
      </c>
      <c r="B58" s="46" t="str">
        <f>B57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58" s="49">
        <v>3</v>
      </c>
      <c r="D58" s="49" t="s">
        <v>125</v>
      </c>
      <c r="E58" s="50" t="s">
        <v>246</v>
      </c>
      <c r="F58" s="50" t="s">
        <v>364</v>
      </c>
      <c r="G58" s="62" t="str">
        <f t="shared" ref="G58:G59" si="81">IFERROR(LEFT(B58,FIND("],",B58)),B58)</f>
        <v>[effect:tolerance, target:myself, turn:-1, tolerance_effect:hungup, count:-1]</v>
      </c>
      <c r="H58" s="62">
        <f t="shared" ref="H58:H59" si="82">FIND("effect:",G58)+7</f>
        <v>9</v>
      </c>
      <c r="I58" s="62">
        <f t="shared" ref="I58:I59" si="83">IFERROR(FIND(",",G58),LEN(G58))</f>
        <v>18</v>
      </c>
      <c r="J58" s="62">
        <f t="shared" ref="J58:J59" si="84">FIND("target:",G58)+7</f>
        <v>27</v>
      </c>
      <c r="K58" s="62">
        <f t="shared" ref="K58:K59" si="85">FIND(",",G58,I58+1)</f>
        <v>33</v>
      </c>
      <c r="L58" s="62" t="str">
        <f>IFERROR(VLOOKUP(MID(G58,J58,K58-J58),[5]skilldef!$C:$D,2,FALSE),"-") &amp; " / " &amp; IFERROR(VLOOKUP(MID(G58,H58,I58-H58),[5]skilldef!$A:$B,2,FALSE),"-")</f>
        <v>自分自身に / 状態異常耐性</v>
      </c>
      <c r="M58" s="62" t="str">
        <f t="shared" ref="M58:M59" si="86">IFERROR(RIGHT(B58,LEN(B58)-FIND("],",B58)-1),"none")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58" s="47" t="str">
        <f t="shared" si="80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58" s="62">
        <f t="shared" ref="O58:O59" si="87">FIND("effect:",N58)+7</f>
        <v>9</v>
      </c>
      <c r="P58" s="62">
        <f t="shared" ref="P58:P59" si="88">IFERROR(FIND(",",N58),LEN(N58))</f>
        <v>18</v>
      </c>
      <c r="Q58" s="62">
        <f t="shared" ref="Q58:Q59" si="89">FIND("target:",N58)+7</f>
        <v>27</v>
      </c>
      <c r="R58" s="62">
        <f t="shared" ref="R58:R59" si="90">FIND(",",N58,P58+1)</f>
        <v>33</v>
      </c>
      <c r="S58" s="62" t="str">
        <f>IFERROR(VLOOKUP(MID(N58,Q58,R58-Q58),[5]skilldef!$C:$D,2,FALSE),"-") &amp; " / " &amp; IFERROR(VLOOKUP(MID(N58,O58,P58-O58),[5]skilldef!$A:$B,2,FALSE),"-")</f>
        <v>自分自身に / 状態異常耐性</v>
      </c>
      <c r="T58" s="47" t="str">
        <f t="shared" ref="T58:T59" si="91">IFERROR(RIGHT(M58,LEN(M58)-FIND("],",M58)-1),"none")</f>
        <v>[effect:tolerance, target:myself, turn:-1, tolerance_effect:sleep, count:-1, animation:enemy_tolerance],[effect:enhance_fever, val:100.0, animation:fevergauge_up04]</v>
      </c>
      <c r="U58" s="62">
        <f t="shared" ref="U58:U59" si="92">FIND("effect:",T58)+7</f>
        <v>9</v>
      </c>
      <c r="V58" s="62">
        <f t="shared" ref="V58:V59" si="93">IFERROR(FIND(",",T58),LEN(T58))</f>
        <v>18</v>
      </c>
      <c r="W58" s="62">
        <f t="shared" ref="W58:W59" si="94">FIND("target:",T58)+7</f>
        <v>27</v>
      </c>
      <c r="X58" s="62">
        <f t="shared" ref="X58:X59" si="95">FIND(",",T58,V58+1)</f>
        <v>33</v>
      </c>
      <c r="Y58" s="62" t="str">
        <f>IFERROR(VLOOKUP(MID(T58,W58,X58-W58),[5]skilldef!$C:$D,2,FALSE),"-") &amp; " / " &amp; IFERROR(VLOOKUP(MID(T58,U58,V58-U58),[5]skilldef!$A:$B,2,FALSE),"-")</f>
        <v>自分自身に / 状態異常耐性</v>
      </c>
      <c r="Z58" s="49" t="s">
        <v>212</v>
      </c>
      <c r="AA58" s="51">
        <f t="shared" ca="1" si="1"/>
        <v>42527</v>
      </c>
      <c r="AB58" s="50" t="s">
        <v>202</v>
      </c>
    </row>
    <row r="59" spans="1:28" ht="21" customHeight="1" outlineLevel="1" x14ac:dyDescent="0.15">
      <c r="A59" s="46">
        <v>49005067</v>
      </c>
      <c r="B59" s="46" t="str">
        <f t="shared" ref="B59:B74" si="96">B58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59" s="49">
        <v>3</v>
      </c>
      <c r="D59" s="49" t="s">
        <v>125</v>
      </c>
      <c r="E59" s="50" t="s">
        <v>246</v>
      </c>
      <c r="F59" s="50" t="s">
        <v>364</v>
      </c>
      <c r="G59" s="62" t="str">
        <f t="shared" si="81"/>
        <v>[effect:tolerance, target:myself, turn:-1, tolerance_effect:hungup, count:-1]</v>
      </c>
      <c r="H59" s="62">
        <f t="shared" si="82"/>
        <v>9</v>
      </c>
      <c r="I59" s="62">
        <f t="shared" si="83"/>
        <v>18</v>
      </c>
      <c r="J59" s="62">
        <f t="shared" si="84"/>
        <v>27</v>
      </c>
      <c r="K59" s="62">
        <f t="shared" si="85"/>
        <v>33</v>
      </c>
      <c r="L59" s="62" t="str">
        <f>IFERROR(VLOOKUP(MID(G59,J59,K59-J59),[5]skilldef!$C:$D,2,FALSE),"-") &amp; " / " &amp; IFERROR(VLOOKUP(MID(G59,H59,I59-H59),[5]skilldef!$A:$B,2,FALSE),"-")</f>
        <v>自分自身に / 状態異常耐性</v>
      </c>
      <c r="M59" s="62" t="str">
        <f t="shared" si="86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59" s="47" t="str">
        <f t="shared" si="80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59" s="62">
        <f t="shared" si="87"/>
        <v>9</v>
      </c>
      <c r="P59" s="62">
        <f t="shared" si="88"/>
        <v>18</v>
      </c>
      <c r="Q59" s="62">
        <f t="shared" si="89"/>
        <v>27</v>
      </c>
      <c r="R59" s="62">
        <f t="shared" si="90"/>
        <v>33</v>
      </c>
      <c r="S59" s="62" t="str">
        <f>IFERROR(VLOOKUP(MID(N59,Q59,R59-Q59),[5]skilldef!$C:$D,2,FALSE),"-") &amp; " / " &amp; IFERROR(VLOOKUP(MID(N59,O59,P59-O59),[5]skilldef!$A:$B,2,FALSE),"-")</f>
        <v>自分自身に / 状態異常耐性</v>
      </c>
      <c r="T59" s="47" t="str">
        <f t="shared" si="91"/>
        <v>[effect:tolerance, target:myself, turn:-1, tolerance_effect:sleep, count:-1, animation:enemy_tolerance],[effect:enhance_fever, val:100.0, animation:fevergauge_up04]</v>
      </c>
      <c r="U59" s="62">
        <f t="shared" si="92"/>
        <v>9</v>
      </c>
      <c r="V59" s="62">
        <f t="shared" si="93"/>
        <v>18</v>
      </c>
      <c r="W59" s="62">
        <f t="shared" si="94"/>
        <v>27</v>
      </c>
      <c r="X59" s="62">
        <f t="shared" si="95"/>
        <v>33</v>
      </c>
      <c r="Y59" s="62" t="str">
        <f>IFERROR(VLOOKUP(MID(T59,W59,X59-W59),[5]skilldef!$C:$D,2,FALSE),"-") &amp; " / " &amp; IFERROR(VLOOKUP(MID(T59,U59,V59-U59),[5]skilldef!$A:$B,2,FALSE),"-")</f>
        <v>自分自身に / 状態異常耐性</v>
      </c>
      <c r="Z59" s="49" t="s">
        <v>212</v>
      </c>
      <c r="AA59" s="51">
        <f t="shared" ca="1" si="1"/>
        <v>42527</v>
      </c>
      <c r="AB59" s="50" t="s">
        <v>202</v>
      </c>
    </row>
    <row r="60" spans="1:28" ht="21" customHeight="1" outlineLevel="1" x14ac:dyDescent="0.15">
      <c r="A60" s="46">
        <v>49005068</v>
      </c>
      <c r="B60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0" s="49">
        <v>3</v>
      </c>
      <c r="D60" s="49" t="s">
        <v>125</v>
      </c>
      <c r="E60" s="50" t="s">
        <v>246</v>
      </c>
      <c r="F60" s="50" t="s">
        <v>364</v>
      </c>
      <c r="G60" s="62" t="str">
        <f t="shared" ref="G60:G74" si="97">IFERROR(LEFT(B60,FIND("],",B60)),B60)</f>
        <v>[effect:tolerance, target:myself, turn:-1, tolerance_effect:hungup, count:-1]</v>
      </c>
      <c r="H60" s="62">
        <f t="shared" ref="H60:H74" si="98">FIND("effect:",G60)+7</f>
        <v>9</v>
      </c>
      <c r="I60" s="62">
        <f t="shared" ref="I60:I74" si="99">IFERROR(FIND(",",G60),LEN(G60))</f>
        <v>18</v>
      </c>
      <c r="J60" s="62">
        <f t="shared" ref="J60:J74" si="100">FIND("target:",G60)+7</f>
        <v>27</v>
      </c>
      <c r="K60" s="62">
        <f t="shared" ref="K60:K74" si="101">FIND(",",G60,I60+1)</f>
        <v>33</v>
      </c>
      <c r="L60" s="62" t="str">
        <f>IFERROR(VLOOKUP(MID(G60,J60,K60-J60),[5]skilldef!$C:$D,2,FALSE),"-") &amp; " / " &amp; IFERROR(VLOOKUP(MID(G60,H60,I60-H60),[5]skilldef!$A:$B,2,FALSE),"-")</f>
        <v>自分自身に / 状態異常耐性</v>
      </c>
      <c r="M60" s="62" t="str">
        <f t="shared" ref="M60:M74" si="102">IFERROR(RIGHT(B60,LEN(B60)-FIND("],",B60)-1),"none")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0" s="47" t="str">
        <f t="shared" si="80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0" s="62">
        <f t="shared" ref="O60:O74" si="103">FIND("effect:",N60)+7</f>
        <v>9</v>
      </c>
      <c r="P60" s="62">
        <f t="shared" ref="P60:P74" si="104">IFERROR(FIND(",",N60),LEN(N60))</f>
        <v>18</v>
      </c>
      <c r="Q60" s="62">
        <f t="shared" ref="Q60:Q74" si="105">FIND("target:",N60)+7</f>
        <v>27</v>
      </c>
      <c r="R60" s="62">
        <f t="shared" ref="R60:R74" si="106">FIND(",",N60,P60+1)</f>
        <v>33</v>
      </c>
      <c r="S60" s="62" t="str">
        <f>IFERROR(VLOOKUP(MID(N60,Q60,R60-Q60),[5]skilldef!$C:$D,2,FALSE),"-") &amp; " / " &amp; IFERROR(VLOOKUP(MID(N60,O60,P60-O60),[5]skilldef!$A:$B,2,FALSE),"-")</f>
        <v>自分自身に / 状態異常耐性</v>
      </c>
      <c r="T60" s="47" t="str">
        <f t="shared" ref="T60:T74" si="107">IFERROR(RIGHT(M60,LEN(M60)-FIND("],",M60)-1),"none")</f>
        <v>[effect:tolerance, target:myself, turn:-1, tolerance_effect:sleep, count:-1, animation:enemy_tolerance],[effect:enhance_fever, val:100.0, animation:fevergauge_up04]</v>
      </c>
      <c r="U60" s="62">
        <f t="shared" ref="U60:U74" si="108">FIND("effect:",T60)+7</f>
        <v>9</v>
      </c>
      <c r="V60" s="62">
        <f t="shared" ref="V60:V74" si="109">IFERROR(FIND(",",T60),LEN(T60))</f>
        <v>18</v>
      </c>
      <c r="W60" s="62">
        <f t="shared" ref="W60:W74" si="110">FIND("target:",T60)+7</f>
        <v>27</v>
      </c>
      <c r="X60" s="62">
        <f t="shared" ref="X60:X74" si="111">FIND(",",T60,V60+1)</f>
        <v>33</v>
      </c>
      <c r="Y60" s="62" t="str">
        <f>IFERROR(VLOOKUP(MID(T60,W60,X60-W60),[5]skilldef!$C:$D,2,FALSE),"-") &amp; " / " &amp; IFERROR(VLOOKUP(MID(T60,U60,V60-U60),[5]skilldef!$A:$B,2,FALSE),"-")</f>
        <v>自分自身に / 状態異常耐性</v>
      </c>
      <c r="Z60" s="49" t="s">
        <v>212</v>
      </c>
      <c r="AA60" s="51">
        <f t="shared" ca="1" si="1"/>
        <v>42527</v>
      </c>
      <c r="AB60" s="50" t="s">
        <v>202</v>
      </c>
    </row>
    <row r="61" spans="1:28" ht="21" customHeight="1" outlineLevel="1" x14ac:dyDescent="0.15">
      <c r="A61" s="46">
        <v>49005069</v>
      </c>
      <c r="B61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1" s="49">
        <v>3</v>
      </c>
      <c r="D61" s="49" t="s">
        <v>231</v>
      </c>
      <c r="E61" s="50" t="s">
        <v>246</v>
      </c>
      <c r="F61" s="50" t="s">
        <v>364</v>
      </c>
      <c r="G61" s="62" t="str">
        <f t="shared" si="97"/>
        <v>[effect:tolerance, target:myself, turn:-1, tolerance_effect:hungup, count:-1]</v>
      </c>
      <c r="H61" s="62">
        <f t="shared" si="98"/>
        <v>9</v>
      </c>
      <c r="I61" s="62">
        <f t="shared" si="99"/>
        <v>18</v>
      </c>
      <c r="J61" s="62">
        <f t="shared" si="100"/>
        <v>27</v>
      </c>
      <c r="K61" s="62">
        <f t="shared" si="101"/>
        <v>33</v>
      </c>
      <c r="L61" s="62" t="str">
        <f>IFERROR(VLOOKUP(MID(G61,J61,K61-J61),[5]skilldef!$C:$D,2,FALSE),"-") &amp; " / " &amp; IFERROR(VLOOKUP(MID(G61,H61,I61-H61),[5]skilldef!$A:$B,2,FALSE),"-")</f>
        <v>自分自身に / 状態異常耐性</v>
      </c>
      <c r="M61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1" s="47" t="str">
        <f t="shared" si="80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1" s="62">
        <f t="shared" si="103"/>
        <v>9</v>
      </c>
      <c r="P61" s="62">
        <f t="shared" si="104"/>
        <v>18</v>
      </c>
      <c r="Q61" s="62">
        <f t="shared" si="105"/>
        <v>27</v>
      </c>
      <c r="R61" s="62">
        <f t="shared" si="106"/>
        <v>33</v>
      </c>
      <c r="S61" s="62" t="str">
        <f>IFERROR(VLOOKUP(MID(N61,Q61,R61-Q61),[5]skilldef!$C:$D,2,FALSE),"-") &amp; " / " &amp; IFERROR(VLOOKUP(MID(N61,O61,P61-O61),[5]skilldef!$A:$B,2,FALSE),"-")</f>
        <v>自分自身に / 状態異常耐性</v>
      </c>
      <c r="T61" s="47" t="str">
        <f t="shared" si="107"/>
        <v>[effect:tolerance, target:myself, turn:-1, tolerance_effect:sleep, count:-1, animation:enemy_tolerance],[effect:enhance_fever, val:100.0, animation:fevergauge_up04]</v>
      </c>
      <c r="U61" s="62">
        <f t="shared" si="108"/>
        <v>9</v>
      </c>
      <c r="V61" s="62">
        <f t="shared" si="109"/>
        <v>18</v>
      </c>
      <c r="W61" s="62">
        <f t="shared" si="110"/>
        <v>27</v>
      </c>
      <c r="X61" s="62">
        <f t="shared" si="111"/>
        <v>33</v>
      </c>
      <c r="Y61" s="62" t="str">
        <f>IFERROR(VLOOKUP(MID(T61,W61,X61-W61),[5]skilldef!$C:$D,2,FALSE),"-") &amp; " / " &amp; IFERROR(VLOOKUP(MID(T61,U61,V61-U61),[5]skilldef!$A:$B,2,FALSE),"-")</f>
        <v>自分自身に / 状態異常耐性</v>
      </c>
      <c r="Z61" s="49" t="s">
        <v>212</v>
      </c>
      <c r="AA61" s="51">
        <f t="shared" ca="1" si="1"/>
        <v>42527</v>
      </c>
      <c r="AB61" s="50" t="s">
        <v>202</v>
      </c>
    </row>
    <row r="62" spans="1:28" ht="21" customHeight="1" outlineLevel="1" x14ac:dyDescent="0.15">
      <c r="A62" s="46">
        <v>49005070</v>
      </c>
      <c r="B62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2" s="49">
        <v>3</v>
      </c>
      <c r="D62" s="49" t="s">
        <v>125</v>
      </c>
      <c r="E62" s="50" t="s">
        <v>246</v>
      </c>
      <c r="F62" s="50" t="s">
        <v>364</v>
      </c>
      <c r="G62" s="62" t="str">
        <f t="shared" si="97"/>
        <v>[effect:tolerance, target:myself, turn:-1, tolerance_effect:hungup, count:-1]</v>
      </c>
      <c r="H62" s="62">
        <f t="shared" si="98"/>
        <v>9</v>
      </c>
      <c r="I62" s="62">
        <f t="shared" si="99"/>
        <v>18</v>
      </c>
      <c r="J62" s="62">
        <f t="shared" si="100"/>
        <v>27</v>
      </c>
      <c r="K62" s="62">
        <f t="shared" si="101"/>
        <v>33</v>
      </c>
      <c r="L62" s="62" t="str">
        <f>IFERROR(VLOOKUP(MID(G62,J62,K62-J62),[5]skilldef!$C:$D,2,FALSE),"-") &amp; " / " &amp; IFERROR(VLOOKUP(MID(G62,H62,I62-H62),[5]skilldef!$A:$B,2,FALSE),"-")</f>
        <v>自分自身に / 状態異常耐性</v>
      </c>
      <c r="M62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2" s="47" t="str">
        <f t="shared" si="80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2" s="62">
        <f t="shared" si="103"/>
        <v>9</v>
      </c>
      <c r="P62" s="62">
        <f t="shared" si="104"/>
        <v>18</v>
      </c>
      <c r="Q62" s="62">
        <f t="shared" si="105"/>
        <v>27</v>
      </c>
      <c r="R62" s="62">
        <f t="shared" si="106"/>
        <v>33</v>
      </c>
      <c r="S62" s="62" t="str">
        <f>IFERROR(VLOOKUP(MID(N62,Q62,R62-Q62),[5]skilldef!$C:$D,2,FALSE),"-") &amp; " / " &amp; IFERROR(VLOOKUP(MID(N62,O62,P62-O62),[5]skilldef!$A:$B,2,FALSE),"-")</f>
        <v>自分自身に / 状態異常耐性</v>
      </c>
      <c r="T62" s="47" t="str">
        <f t="shared" si="107"/>
        <v>[effect:tolerance, target:myself, turn:-1, tolerance_effect:sleep, count:-1, animation:enemy_tolerance],[effect:enhance_fever, val:100.0, animation:fevergauge_up04]</v>
      </c>
      <c r="U62" s="62">
        <f t="shared" si="108"/>
        <v>9</v>
      </c>
      <c r="V62" s="62">
        <f t="shared" si="109"/>
        <v>18</v>
      </c>
      <c r="W62" s="62">
        <f t="shared" si="110"/>
        <v>27</v>
      </c>
      <c r="X62" s="62">
        <f t="shared" si="111"/>
        <v>33</v>
      </c>
      <c r="Y62" s="62" t="str">
        <f>IFERROR(VLOOKUP(MID(T62,W62,X62-W62),[5]skilldef!$C:$D,2,FALSE),"-") &amp; " / " &amp; IFERROR(VLOOKUP(MID(T62,U62,V62-U62),[5]skilldef!$A:$B,2,FALSE),"-")</f>
        <v>自分自身に / 状態異常耐性</v>
      </c>
      <c r="Z62" s="49" t="s">
        <v>212</v>
      </c>
      <c r="AA62" s="51">
        <f t="shared" ca="1" si="1"/>
        <v>42527</v>
      </c>
      <c r="AB62" s="50" t="s">
        <v>202</v>
      </c>
    </row>
    <row r="63" spans="1:28" ht="21" customHeight="1" outlineLevel="1" x14ac:dyDescent="0.15">
      <c r="A63" s="46">
        <v>49005071</v>
      </c>
      <c r="B63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3" s="49">
        <v>3</v>
      </c>
      <c r="D63" s="49" t="s">
        <v>125</v>
      </c>
      <c r="E63" s="50" t="s">
        <v>246</v>
      </c>
      <c r="F63" s="50" t="s">
        <v>364</v>
      </c>
      <c r="G63" s="62" t="str">
        <f t="shared" si="97"/>
        <v>[effect:tolerance, target:myself, turn:-1, tolerance_effect:hungup, count:-1]</v>
      </c>
      <c r="H63" s="62">
        <f t="shared" si="98"/>
        <v>9</v>
      </c>
      <c r="I63" s="62">
        <f t="shared" si="99"/>
        <v>18</v>
      </c>
      <c r="J63" s="62">
        <f t="shared" si="100"/>
        <v>27</v>
      </c>
      <c r="K63" s="62">
        <f t="shared" si="101"/>
        <v>33</v>
      </c>
      <c r="L63" s="62" t="str">
        <f>IFERROR(VLOOKUP(MID(G63,J63,K63-J63),[5]skilldef!$C:$D,2,FALSE),"-") &amp; " / " &amp; IFERROR(VLOOKUP(MID(G63,H63,I63-H63),[5]skilldef!$A:$B,2,FALSE),"-")</f>
        <v>自分自身に / 状態異常耐性</v>
      </c>
      <c r="M63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3" s="47" t="str">
        <f>IFERROR(LEFT(M63,FIND("],",M63)+#REF!),M63)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3" s="62">
        <f t="shared" si="103"/>
        <v>9</v>
      </c>
      <c r="P63" s="62">
        <f t="shared" si="104"/>
        <v>18</v>
      </c>
      <c r="Q63" s="62">
        <f t="shared" si="105"/>
        <v>27</v>
      </c>
      <c r="R63" s="62">
        <f t="shared" si="106"/>
        <v>33</v>
      </c>
      <c r="S63" s="62" t="str">
        <f>IFERROR(VLOOKUP(MID(N63,Q63,R63-Q63),[5]skilldef!$C:$D,2,FALSE),"-") &amp; " / " &amp; IFERROR(VLOOKUP(MID(N63,O63,P63-O63),[5]skilldef!$A:$B,2,FALSE),"-")</f>
        <v>自分自身に / 状態異常耐性</v>
      </c>
      <c r="T63" s="47" t="str">
        <f t="shared" si="107"/>
        <v>[effect:tolerance, target:myself, turn:-1, tolerance_effect:sleep, count:-1, animation:enemy_tolerance],[effect:enhance_fever, val:100.0, animation:fevergauge_up04]</v>
      </c>
      <c r="U63" s="62">
        <f t="shared" si="108"/>
        <v>9</v>
      </c>
      <c r="V63" s="62">
        <f t="shared" si="109"/>
        <v>18</v>
      </c>
      <c r="W63" s="62">
        <f t="shared" si="110"/>
        <v>27</v>
      </c>
      <c r="X63" s="62">
        <f t="shared" si="111"/>
        <v>33</v>
      </c>
      <c r="Y63" s="62" t="str">
        <f>IFERROR(VLOOKUP(MID(T63,W63,X63-W63),[5]skilldef!$C:$D,2,FALSE),"-") &amp; " / " &amp; IFERROR(VLOOKUP(MID(T63,U63,V63-U63),[5]skilldef!$A:$B,2,FALSE),"-")</f>
        <v>自分自身に / 状態異常耐性</v>
      </c>
      <c r="Z63" s="49" t="s">
        <v>212</v>
      </c>
      <c r="AA63" s="51">
        <f t="shared" ca="1" si="1"/>
        <v>42527</v>
      </c>
      <c r="AB63" s="50" t="s">
        <v>202</v>
      </c>
    </row>
    <row r="64" spans="1:28" ht="21" customHeight="1" outlineLevel="1" x14ac:dyDescent="0.15">
      <c r="A64" s="46">
        <v>49005072</v>
      </c>
      <c r="B64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4" s="49">
        <v>3</v>
      </c>
      <c r="D64" s="49" t="s">
        <v>125</v>
      </c>
      <c r="E64" s="50" t="s">
        <v>246</v>
      </c>
      <c r="F64" s="50" t="s">
        <v>364</v>
      </c>
      <c r="G64" s="62" t="str">
        <f t="shared" si="97"/>
        <v>[effect:tolerance, target:myself, turn:-1, tolerance_effect:hungup, count:-1]</v>
      </c>
      <c r="H64" s="62">
        <f t="shared" si="98"/>
        <v>9</v>
      </c>
      <c r="I64" s="62">
        <f t="shared" si="99"/>
        <v>18</v>
      </c>
      <c r="J64" s="62">
        <f t="shared" si="100"/>
        <v>27</v>
      </c>
      <c r="K64" s="62">
        <f t="shared" si="101"/>
        <v>33</v>
      </c>
      <c r="L64" s="62" t="str">
        <f>IFERROR(VLOOKUP(MID(G64,J64,K64-J64),[5]skilldef!$C:$D,2,FALSE),"-") &amp; " / " &amp; IFERROR(VLOOKUP(MID(G64,H64,I64-H64),[5]skilldef!$A:$B,2,FALSE),"-")</f>
        <v>自分自身に / 状態異常耐性</v>
      </c>
      <c r="M64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4" s="47" t="str">
        <f t="shared" ref="N64:N74" si="112">IFERROR(LEFT(M64,FIND("],",M64)+S109),M64)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4" s="62">
        <f t="shared" si="103"/>
        <v>9</v>
      </c>
      <c r="P64" s="62">
        <f t="shared" si="104"/>
        <v>18</v>
      </c>
      <c r="Q64" s="62">
        <f t="shared" si="105"/>
        <v>27</v>
      </c>
      <c r="R64" s="62">
        <f t="shared" si="106"/>
        <v>33</v>
      </c>
      <c r="S64" s="62" t="str">
        <f>IFERROR(VLOOKUP(MID(N64,Q64,R64-Q64),[5]skilldef!$C:$D,2,FALSE),"-") &amp; " / " &amp; IFERROR(VLOOKUP(MID(N64,O64,P64-O64),[5]skilldef!$A:$B,2,FALSE),"-")</f>
        <v>自分自身に / 状態異常耐性</v>
      </c>
      <c r="T64" s="47" t="str">
        <f t="shared" si="107"/>
        <v>[effect:tolerance, target:myself, turn:-1, tolerance_effect:sleep, count:-1, animation:enemy_tolerance],[effect:enhance_fever, val:100.0, animation:fevergauge_up04]</v>
      </c>
      <c r="U64" s="62">
        <f t="shared" si="108"/>
        <v>9</v>
      </c>
      <c r="V64" s="62">
        <f t="shared" si="109"/>
        <v>18</v>
      </c>
      <c r="W64" s="62">
        <f t="shared" si="110"/>
        <v>27</v>
      </c>
      <c r="X64" s="62">
        <f t="shared" si="111"/>
        <v>33</v>
      </c>
      <c r="Y64" s="62" t="str">
        <f>IFERROR(VLOOKUP(MID(T64,W64,X64-W64),[5]skilldef!$C:$D,2,FALSE),"-") &amp; " / " &amp; IFERROR(VLOOKUP(MID(T64,U64,V64-U64),[5]skilldef!$A:$B,2,FALSE),"-")</f>
        <v>自分自身に / 状態異常耐性</v>
      </c>
      <c r="Z64" s="49" t="s">
        <v>212</v>
      </c>
      <c r="AA64" s="51">
        <f t="shared" ca="1" si="1"/>
        <v>42527</v>
      </c>
      <c r="AB64" s="50" t="s">
        <v>202</v>
      </c>
    </row>
    <row r="65" spans="1:28" ht="21" customHeight="1" outlineLevel="1" x14ac:dyDescent="0.15">
      <c r="A65" s="46">
        <v>49005073</v>
      </c>
      <c r="B65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5" s="49">
        <v>3</v>
      </c>
      <c r="D65" s="49" t="s">
        <v>125</v>
      </c>
      <c r="E65" s="50" t="s">
        <v>259</v>
      </c>
      <c r="F65" s="50" t="s">
        <v>364</v>
      </c>
      <c r="G65" s="62" t="str">
        <f t="shared" si="97"/>
        <v>[effect:tolerance, target:myself, turn:-1, tolerance_effect:hungup, count:-1]</v>
      </c>
      <c r="H65" s="62">
        <f t="shared" si="98"/>
        <v>9</v>
      </c>
      <c r="I65" s="62">
        <f t="shared" si="99"/>
        <v>18</v>
      </c>
      <c r="J65" s="62">
        <f t="shared" si="100"/>
        <v>27</v>
      </c>
      <c r="K65" s="62">
        <f t="shared" si="101"/>
        <v>33</v>
      </c>
      <c r="L65" s="62" t="str">
        <f>IFERROR(VLOOKUP(MID(G65,J65,K65-J65),[5]skilldef!$C:$D,2,FALSE),"-") &amp; " / " &amp; IFERROR(VLOOKUP(MID(G65,H65,I65-H65),[5]skilldef!$A:$B,2,FALSE),"-")</f>
        <v>自分自身に / 状態異常耐性</v>
      </c>
      <c r="M65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5" s="47" t="str">
        <f t="shared" si="112"/>
        <v>[effect:tolerance, target:myself, turn:-1, tolerance_effect:virus, count:-1]</v>
      </c>
      <c r="O65" s="62">
        <f t="shared" si="103"/>
        <v>9</v>
      </c>
      <c r="P65" s="62">
        <f t="shared" si="104"/>
        <v>18</v>
      </c>
      <c r="Q65" s="62">
        <f t="shared" si="105"/>
        <v>27</v>
      </c>
      <c r="R65" s="62">
        <f t="shared" si="106"/>
        <v>33</v>
      </c>
      <c r="S65" s="62" t="str">
        <f>IFERROR(VLOOKUP(MID(N65,Q65,R65-Q65),[5]skilldef!$C:$D,2,FALSE),"-") &amp; " / " &amp; IFERROR(VLOOKUP(MID(N65,O65,P65-O65),[5]skilldef!$A:$B,2,FALSE),"-")</f>
        <v>自分自身に / 状態異常耐性</v>
      </c>
      <c r="T65" s="47" t="str">
        <f t="shared" si="107"/>
        <v>[effect:tolerance, target:myself, turn:-1, tolerance_effect:sleep, count:-1, animation:enemy_tolerance],[effect:enhance_fever, val:100.0, animation:fevergauge_up04]</v>
      </c>
      <c r="U65" s="62">
        <f t="shared" si="108"/>
        <v>9</v>
      </c>
      <c r="V65" s="62">
        <f t="shared" si="109"/>
        <v>18</v>
      </c>
      <c r="W65" s="62">
        <f t="shared" si="110"/>
        <v>27</v>
      </c>
      <c r="X65" s="62">
        <f t="shared" si="111"/>
        <v>33</v>
      </c>
      <c r="Y65" s="62" t="str">
        <f>IFERROR(VLOOKUP(MID(T65,W65,X65-W65),[5]skilldef!$C:$D,2,FALSE),"-") &amp; " / " &amp; IFERROR(VLOOKUP(MID(T65,U65,V65-U65),[5]skilldef!$A:$B,2,FALSE),"-")</f>
        <v>自分自身に / 状態異常耐性</v>
      </c>
      <c r="Z65" s="49" t="s">
        <v>212</v>
      </c>
      <c r="AA65" s="51">
        <f t="shared" ca="1" si="1"/>
        <v>42527</v>
      </c>
      <c r="AB65" s="50" t="s">
        <v>202</v>
      </c>
    </row>
    <row r="66" spans="1:28" ht="21" customHeight="1" outlineLevel="1" x14ac:dyDescent="0.15">
      <c r="A66" s="46">
        <v>49005074</v>
      </c>
      <c r="B66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6" s="49">
        <v>3</v>
      </c>
      <c r="D66" s="49" t="s">
        <v>125</v>
      </c>
      <c r="E66" s="50" t="s">
        <v>246</v>
      </c>
      <c r="F66" s="50" t="s">
        <v>364</v>
      </c>
      <c r="G66" s="62" t="str">
        <f t="shared" si="97"/>
        <v>[effect:tolerance, target:myself, turn:-1, tolerance_effect:hungup, count:-1]</v>
      </c>
      <c r="H66" s="62">
        <f t="shared" si="98"/>
        <v>9</v>
      </c>
      <c r="I66" s="62">
        <f t="shared" si="99"/>
        <v>18</v>
      </c>
      <c r="J66" s="62">
        <f t="shared" si="100"/>
        <v>27</v>
      </c>
      <c r="K66" s="62">
        <f t="shared" si="101"/>
        <v>33</v>
      </c>
      <c r="L66" s="62" t="str">
        <f>IFERROR(VLOOKUP(MID(G66,J66,K66-J66),[5]skilldef!$C:$D,2,FALSE),"-") &amp; " / " &amp; IFERROR(VLOOKUP(MID(G66,H66,I66-H66),[5]skilldef!$A:$B,2,FALSE),"-")</f>
        <v>自分自身に / 状態異常耐性</v>
      </c>
      <c r="M66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6" s="47" t="str">
        <f t="shared" si="112"/>
        <v>[effect:tolerance, target:myself, turn:-1, tolerance_effect:virus, count:-1]</v>
      </c>
      <c r="O66" s="62">
        <f t="shared" si="103"/>
        <v>9</v>
      </c>
      <c r="P66" s="62">
        <f t="shared" si="104"/>
        <v>18</v>
      </c>
      <c r="Q66" s="62">
        <f t="shared" si="105"/>
        <v>27</v>
      </c>
      <c r="R66" s="62">
        <f t="shared" si="106"/>
        <v>33</v>
      </c>
      <c r="S66" s="62" t="str">
        <f>IFERROR(VLOOKUP(MID(N66,Q66,R66-Q66),[5]skilldef!$C:$D,2,FALSE),"-") &amp; " / " &amp; IFERROR(VLOOKUP(MID(N66,O66,P66-O66),[5]skilldef!$A:$B,2,FALSE),"-")</f>
        <v>自分自身に / 状態異常耐性</v>
      </c>
      <c r="T66" s="47" t="str">
        <f t="shared" si="107"/>
        <v>[effect:tolerance, target:myself, turn:-1, tolerance_effect:sleep, count:-1, animation:enemy_tolerance],[effect:enhance_fever, val:100.0, animation:fevergauge_up04]</v>
      </c>
      <c r="U66" s="62">
        <f t="shared" si="108"/>
        <v>9</v>
      </c>
      <c r="V66" s="62">
        <f t="shared" si="109"/>
        <v>18</v>
      </c>
      <c r="W66" s="62">
        <f t="shared" si="110"/>
        <v>27</v>
      </c>
      <c r="X66" s="62">
        <f t="shared" si="111"/>
        <v>33</v>
      </c>
      <c r="Y66" s="62" t="str">
        <f>IFERROR(VLOOKUP(MID(T66,W66,X66-W66),[5]skilldef!$C:$D,2,FALSE),"-") &amp; " / " &amp; IFERROR(VLOOKUP(MID(T66,U66,V66-U66),[5]skilldef!$A:$B,2,FALSE),"-")</f>
        <v>自分自身に / 状態異常耐性</v>
      </c>
      <c r="Z66" s="49" t="s">
        <v>212</v>
      </c>
      <c r="AA66" s="51">
        <f t="shared" ca="1" si="1"/>
        <v>42527</v>
      </c>
      <c r="AB66" s="50" t="s">
        <v>202</v>
      </c>
    </row>
    <row r="67" spans="1:28" ht="21" customHeight="1" outlineLevel="1" x14ac:dyDescent="0.15">
      <c r="A67" s="46">
        <v>49005075</v>
      </c>
      <c r="B67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7" s="49">
        <v>3</v>
      </c>
      <c r="D67" s="49" t="s">
        <v>125</v>
      </c>
      <c r="E67" s="50" t="s">
        <v>246</v>
      </c>
      <c r="F67" s="50" t="s">
        <v>364</v>
      </c>
      <c r="G67" s="62" t="str">
        <f t="shared" si="97"/>
        <v>[effect:tolerance, target:myself, turn:-1, tolerance_effect:hungup, count:-1]</v>
      </c>
      <c r="H67" s="62">
        <f t="shared" si="98"/>
        <v>9</v>
      </c>
      <c r="I67" s="62">
        <f t="shared" si="99"/>
        <v>18</v>
      </c>
      <c r="J67" s="62">
        <f t="shared" si="100"/>
        <v>27</v>
      </c>
      <c r="K67" s="62">
        <f t="shared" si="101"/>
        <v>33</v>
      </c>
      <c r="L67" s="62" t="str">
        <f>IFERROR(VLOOKUP(MID(G67,J67,K67-J67),[5]skilldef!$C:$D,2,FALSE),"-") &amp; " / " &amp; IFERROR(VLOOKUP(MID(G67,H67,I67-H67),[5]skilldef!$A:$B,2,FALSE),"-")</f>
        <v>自分自身に / 状態異常耐性</v>
      </c>
      <c r="M67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7" s="47" t="str">
        <f t="shared" si="112"/>
        <v>[effect:tolerance, target:myself, turn:-1, tolerance_effect:virus, count:-1]</v>
      </c>
      <c r="O67" s="62">
        <f t="shared" si="103"/>
        <v>9</v>
      </c>
      <c r="P67" s="62">
        <f t="shared" si="104"/>
        <v>18</v>
      </c>
      <c r="Q67" s="62">
        <f t="shared" si="105"/>
        <v>27</v>
      </c>
      <c r="R67" s="62">
        <f t="shared" si="106"/>
        <v>33</v>
      </c>
      <c r="S67" s="62" t="str">
        <f>IFERROR(VLOOKUP(MID(N67,Q67,R67-Q67),[5]skilldef!$C:$D,2,FALSE),"-") &amp; " / " &amp; IFERROR(VLOOKUP(MID(N67,O67,P67-O67),[5]skilldef!$A:$B,2,FALSE),"-")</f>
        <v>自分自身に / 状態異常耐性</v>
      </c>
      <c r="T67" s="47" t="str">
        <f t="shared" si="107"/>
        <v>[effect:tolerance, target:myself, turn:-1, tolerance_effect:sleep, count:-1, animation:enemy_tolerance],[effect:enhance_fever, val:100.0, animation:fevergauge_up04]</v>
      </c>
      <c r="U67" s="62">
        <f t="shared" si="108"/>
        <v>9</v>
      </c>
      <c r="V67" s="62">
        <f t="shared" si="109"/>
        <v>18</v>
      </c>
      <c r="W67" s="62">
        <f t="shared" si="110"/>
        <v>27</v>
      </c>
      <c r="X67" s="62">
        <f t="shared" si="111"/>
        <v>33</v>
      </c>
      <c r="Y67" s="62" t="str">
        <f>IFERROR(VLOOKUP(MID(T67,W67,X67-W67),[5]skilldef!$C:$D,2,FALSE),"-") &amp; " / " &amp; IFERROR(VLOOKUP(MID(T67,U67,V67-U67),[5]skilldef!$A:$B,2,FALSE),"-")</f>
        <v>自分自身に / 状態異常耐性</v>
      </c>
      <c r="Z67" s="49" t="s">
        <v>212</v>
      </c>
      <c r="AA67" s="51">
        <f t="shared" ca="1" si="1"/>
        <v>42527</v>
      </c>
      <c r="AB67" s="50" t="s">
        <v>202</v>
      </c>
    </row>
    <row r="68" spans="1:28" ht="21" customHeight="1" outlineLevel="1" x14ac:dyDescent="0.15">
      <c r="A68" s="46">
        <v>49005076</v>
      </c>
      <c r="B68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8" s="49">
        <v>3</v>
      </c>
      <c r="D68" s="49" t="s">
        <v>284</v>
      </c>
      <c r="E68" s="50" t="s">
        <v>246</v>
      </c>
      <c r="F68" s="50" t="s">
        <v>364</v>
      </c>
      <c r="G68" s="62" t="str">
        <f t="shared" si="97"/>
        <v>[effect:tolerance, target:myself, turn:-1, tolerance_effect:hungup, count:-1]</v>
      </c>
      <c r="H68" s="62">
        <f t="shared" si="98"/>
        <v>9</v>
      </c>
      <c r="I68" s="62">
        <f t="shared" si="99"/>
        <v>18</v>
      </c>
      <c r="J68" s="62">
        <f t="shared" si="100"/>
        <v>27</v>
      </c>
      <c r="K68" s="62">
        <f t="shared" si="101"/>
        <v>33</v>
      </c>
      <c r="L68" s="62" t="str">
        <f>IFERROR(VLOOKUP(MID(G68,J68,K68-J68),[5]skilldef!$C:$D,2,FALSE),"-") &amp; " / " &amp; IFERROR(VLOOKUP(MID(G68,H68,I68-H68),[5]skilldef!$A:$B,2,FALSE),"-")</f>
        <v>自分自身に / 状態異常耐性</v>
      </c>
      <c r="M68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8" s="47" t="str">
        <f t="shared" si="112"/>
        <v>[effect:tolerance, target:myself, turn:-1, tolerance_effect:virus, count:-1]</v>
      </c>
      <c r="O68" s="62">
        <f t="shared" si="103"/>
        <v>9</v>
      </c>
      <c r="P68" s="62">
        <f t="shared" si="104"/>
        <v>18</v>
      </c>
      <c r="Q68" s="62">
        <f t="shared" si="105"/>
        <v>27</v>
      </c>
      <c r="R68" s="62">
        <f t="shared" si="106"/>
        <v>33</v>
      </c>
      <c r="S68" s="62" t="str">
        <f>IFERROR(VLOOKUP(MID(N68,Q68,R68-Q68),[5]skilldef!$C:$D,2,FALSE),"-") &amp; " / " &amp; IFERROR(VLOOKUP(MID(N68,O68,P68-O68),[5]skilldef!$A:$B,2,FALSE),"-")</f>
        <v>自分自身に / 状態異常耐性</v>
      </c>
      <c r="T68" s="47" t="str">
        <f t="shared" si="107"/>
        <v>[effect:tolerance, target:myself, turn:-1, tolerance_effect:sleep, count:-1, animation:enemy_tolerance],[effect:enhance_fever, val:100.0, animation:fevergauge_up04]</v>
      </c>
      <c r="U68" s="62">
        <f t="shared" si="108"/>
        <v>9</v>
      </c>
      <c r="V68" s="62">
        <f t="shared" si="109"/>
        <v>18</v>
      </c>
      <c r="W68" s="62">
        <f t="shared" si="110"/>
        <v>27</v>
      </c>
      <c r="X68" s="62">
        <f t="shared" si="111"/>
        <v>33</v>
      </c>
      <c r="Y68" s="62" t="str">
        <f>IFERROR(VLOOKUP(MID(T68,W68,X68-W68),[5]skilldef!$C:$D,2,FALSE),"-") &amp; " / " &amp; IFERROR(VLOOKUP(MID(T68,U68,V68-U68),[5]skilldef!$A:$B,2,FALSE),"-")</f>
        <v>自分自身に / 状態異常耐性</v>
      </c>
      <c r="Z68" s="49" t="s">
        <v>212</v>
      </c>
      <c r="AA68" s="51">
        <f t="shared" ca="1" si="1"/>
        <v>42527</v>
      </c>
      <c r="AB68" s="50" t="s">
        <v>202</v>
      </c>
    </row>
    <row r="69" spans="1:28" ht="21" customHeight="1" outlineLevel="1" x14ac:dyDescent="0.15">
      <c r="A69" s="46">
        <v>49005077</v>
      </c>
      <c r="B69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9" s="49">
        <v>3</v>
      </c>
      <c r="D69" s="49" t="s">
        <v>125</v>
      </c>
      <c r="E69" s="50" t="s">
        <v>246</v>
      </c>
      <c r="F69" s="50" t="s">
        <v>364</v>
      </c>
      <c r="G69" s="62" t="str">
        <f t="shared" si="97"/>
        <v>[effect:tolerance, target:myself, turn:-1, tolerance_effect:hungup, count:-1]</v>
      </c>
      <c r="H69" s="62">
        <f t="shared" si="98"/>
        <v>9</v>
      </c>
      <c r="I69" s="62">
        <f t="shared" si="99"/>
        <v>18</v>
      </c>
      <c r="J69" s="62">
        <f t="shared" si="100"/>
        <v>27</v>
      </c>
      <c r="K69" s="62">
        <f t="shared" si="101"/>
        <v>33</v>
      </c>
      <c r="L69" s="62" t="str">
        <f>IFERROR(VLOOKUP(MID(G69,J69,K69-J69),[5]skilldef!$C:$D,2,FALSE),"-") &amp; " / " &amp; IFERROR(VLOOKUP(MID(G69,H69,I69-H69),[5]skilldef!$A:$B,2,FALSE),"-")</f>
        <v>自分自身に / 状態異常耐性</v>
      </c>
      <c r="M69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9" s="47" t="str">
        <f t="shared" si="112"/>
        <v>[effect:tolerance, target:myself, turn:-1, tolerance_effect:virus, count:-1]</v>
      </c>
      <c r="O69" s="62">
        <f t="shared" si="103"/>
        <v>9</v>
      </c>
      <c r="P69" s="62">
        <f t="shared" si="104"/>
        <v>18</v>
      </c>
      <c r="Q69" s="62">
        <f t="shared" si="105"/>
        <v>27</v>
      </c>
      <c r="R69" s="62">
        <f t="shared" si="106"/>
        <v>33</v>
      </c>
      <c r="S69" s="62" t="str">
        <f>IFERROR(VLOOKUP(MID(N69,Q69,R69-Q69),[5]skilldef!$C:$D,2,FALSE),"-") &amp; " / " &amp; IFERROR(VLOOKUP(MID(N69,O69,P69-O69),[5]skilldef!$A:$B,2,FALSE),"-")</f>
        <v>自分自身に / 状態異常耐性</v>
      </c>
      <c r="T69" s="47" t="str">
        <f t="shared" si="107"/>
        <v>[effect:tolerance, target:myself, turn:-1, tolerance_effect:sleep, count:-1, animation:enemy_tolerance],[effect:enhance_fever, val:100.0, animation:fevergauge_up04]</v>
      </c>
      <c r="U69" s="62">
        <f t="shared" si="108"/>
        <v>9</v>
      </c>
      <c r="V69" s="62">
        <f t="shared" si="109"/>
        <v>18</v>
      </c>
      <c r="W69" s="62">
        <f t="shared" si="110"/>
        <v>27</v>
      </c>
      <c r="X69" s="62">
        <f t="shared" si="111"/>
        <v>33</v>
      </c>
      <c r="Y69" s="62" t="str">
        <f>IFERROR(VLOOKUP(MID(T69,W69,X69-W69),[5]skilldef!$C:$D,2,FALSE),"-") &amp; " / " &amp; IFERROR(VLOOKUP(MID(T69,U69,V69-U69),[5]skilldef!$A:$B,2,FALSE),"-")</f>
        <v>自分自身に / 状態異常耐性</v>
      </c>
      <c r="Z69" s="49" t="s">
        <v>212</v>
      </c>
      <c r="AA69" s="51">
        <f t="shared" ca="1" si="1"/>
        <v>42527</v>
      </c>
      <c r="AB69" s="50" t="s">
        <v>202</v>
      </c>
    </row>
    <row r="70" spans="1:28" ht="21" customHeight="1" outlineLevel="1" x14ac:dyDescent="0.15">
      <c r="A70" s="46">
        <v>49005078</v>
      </c>
      <c r="B70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0" s="49">
        <v>3</v>
      </c>
      <c r="D70" s="49" t="s">
        <v>125</v>
      </c>
      <c r="E70" s="50" t="s">
        <v>246</v>
      </c>
      <c r="F70" s="50" t="s">
        <v>364</v>
      </c>
      <c r="G70" s="62" t="str">
        <f t="shared" si="97"/>
        <v>[effect:tolerance, target:myself, turn:-1, tolerance_effect:hungup, count:-1]</v>
      </c>
      <c r="H70" s="62">
        <f t="shared" si="98"/>
        <v>9</v>
      </c>
      <c r="I70" s="62">
        <f t="shared" si="99"/>
        <v>18</v>
      </c>
      <c r="J70" s="62">
        <f t="shared" si="100"/>
        <v>27</v>
      </c>
      <c r="K70" s="62">
        <f t="shared" si="101"/>
        <v>33</v>
      </c>
      <c r="L70" s="62" t="str">
        <f>IFERROR(VLOOKUP(MID(G70,J70,K70-J70),[5]skilldef!$C:$D,2,FALSE),"-") &amp; " / " &amp; IFERROR(VLOOKUP(MID(G70,H70,I70-H70),[5]skilldef!$A:$B,2,FALSE),"-")</f>
        <v>自分自身に / 状態異常耐性</v>
      </c>
      <c r="M70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0" s="47" t="str">
        <f t="shared" si="112"/>
        <v>[effect:tolerance, target:myself, turn:-1, tolerance_effect:virus, count:-1]</v>
      </c>
      <c r="O70" s="62">
        <f t="shared" si="103"/>
        <v>9</v>
      </c>
      <c r="P70" s="62">
        <f t="shared" si="104"/>
        <v>18</v>
      </c>
      <c r="Q70" s="62">
        <f t="shared" si="105"/>
        <v>27</v>
      </c>
      <c r="R70" s="62">
        <f t="shared" si="106"/>
        <v>33</v>
      </c>
      <c r="S70" s="62" t="str">
        <f>IFERROR(VLOOKUP(MID(N70,Q70,R70-Q70),[5]skilldef!$C:$D,2,FALSE),"-") &amp; " / " &amp; IFERROR(VLOOKUP(MID(N70,O70,P70-O70),[5]skilldef!$A:$B,2,FALSE),"-")</f>
        <v>自分自身に / 状態異常耐性</v>
      </c>
      <c r="T70" s="47" t="str">
        <f t="shared" si="107"/>
        <v>[effect:tolerance, target:myself, turn:-1, tolerance_effect:sleep, count:-1, animation:enemy_tolerance],[effect:enhance_fever, val:100.0, animation:fevergauge_up04]</v>
      </c>
      <c r="U70" s="62">
        <f t="shared" si="108"/>
        <v>9</v>
      </c>
      <c r="V70" s="62">
        <f t="shared" si="109"/>
        <v>18</v>
      </c>
      <c r="W70" s="62">
        <f t="shared" si="110"/>
        <v>27</v>
      </c>
      <c r="X70" s="62">
        <f t="shared" si="111"/>
        <v>33</v>
      </c>
      <c r="Y70" s="62" t="str">
        <f>IFERROR(VLOOKUP(MID(T70,W70,X70-W70),[5]skilldef!$C:$D,2,FALSE),"-") &amp; " / " &amp; IFERROR(VLOOKUP(MID(T70,U70,V70-U70),[5]skilldef!$A:$B,2,FALSE),"-")</f>
        <v>自分自身に / 状態異常耐性</v>
      </c>
      <c r="Z70" s="49" t="s">
        <v>212</v>
      </c>
      <c r="AA70" s="51">
        <f t="shared" ca="1" si="1"/>
        <v>42527</v>
      </c>
      <c r="AB70" s="50" t="s">
        <v>202</v>
      </c>
    </row>
    <row r="71" spans="1:28" ht="21" customHeight="1" outlineLevel="1" x14ac:dyDescent="0.15">
      <c r="A71" s="46">
        <v>49005079</v>
      </c>
      <c r="B71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1" s="49">
        <v>3</v>
      </c>
      <c r="D71" s="49" t="s">
        <v>125</v>
      </c>
      <c r="E71" s="50" t="s">
        <v>246</v>
      </c>
      <c r="F71" s="50" t="s">
        <v>364</v>
      </c>
      <c r="G71" s="62" t="str">
        <f t="shared" si="97"/>
        <v>[effect:tolerance, target:myself, turn:-1, tolerance_effect:hungup, count:-1]</v>
      </c>
      <c r="H71" s="62">
        <f t="shared" si="98"/>
        <v>9</v>
      </c>
      <c r="I71" s="62">
        <f t="shared" si="99"/>
        <v>18</v>
      </c>
      <c r="J71" s="62">
        <f t="shared" si="100"/>
        <v>27</v>
      </c>
      <c r="K71" s="62">
        <f t="shared" si="101"/>
        <v>33</v>
      </c>
      <c r="L71" s="62" t="str">
        <f>IFERROR(VLOOKUP(MID(G71,J71,K71-J71),[5]skilldef!$C:$D,2,FALSE),"-") &amp; " / " &amp; IFERROR(VLOOKUP(MID(G71,H71,I71-H71),[5]skilldef!$A:$B,2,FALSE),"-")</f>
        <v>自分自身に / 状態異常耐性</v>
      </c>
      <c r="M71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1" s="47" t="str">
        <f t="shared" si="112"/>
        <v>[effect:tolerance, target:myself, turn:-1, tolerance_effect:virus, count:-1]</v>
      </c>
      <c r="O71" s="62">
        <f t="shared" si="103"/>
        <v>9</v>
      </c>
      <c r="P71" s="62">
        <f t="shared" si="104"/>
        <v>18</v>
      </c>
      <c r="Q71" s="62">
        <f t="shared" si="105"/>
        <v>27</v>
      </c>
      <c r="R71" s="62">
        <f t="shared" si="106"/>
        <v>33</v>
      </c>
      <c r="S71" s="62" t="str">
        <f>IFERROR(VLOOKUP(MID(N71,Q71,R71-Q71),[5]skilldef!$C:$D,2,FALSE),"-") &amp; " / " &amp; IFERROR(VLOOKUP(MID(N71,O71,P71-O71),[5]skilldef!$A:$B,2,FALSE),"-")</f>
        <v>自分自身に / 状態異常耐性</v>
      </c>
      <c r="T71" s="47" t="str">
        <f t="shared" si="107"/>
        <v>[effect:tolerance, target:myself, turn:-1, tolerance_effect:sleep, count:-1, animation:enemy_tolerance],[effect:enhance_fever, val:100.0, animation:fevergauge_up04]</v>
      </c>
      <c r="U71" s="62">
        <f t="shared" si="108"/>
        <v>9</v>
      </c>
      <c r="V71" s="62">
        <f t="shared" si="109"/>
        <v>18</v>
      </c>
      <c r="W71" s="62">
        <f t="shared" si="110"/>
        <v>27</v>
      </c>
      <c r="X71" s="62">
        <f t="shared" si="111"/>
        <v>33</v>
      </c>
      <c r="Y71" s="62" t="str">
        <f>IFERROR(VLOOKUP(MID(T71,W71,X71-W71),[5]skilldef!$C:$D,2,FALSE),"-") &amp; " / " &amp; IFERROR(VLOOKUP(MID(T71,U71,V71-U71),[5]skilldef!$A:$B,2,FALSE),"-")</f>
        <v>自分自身に / 状態異常耐性</v>
      </c>
      <c r="Z71" s="49" t="s">
        <v>212</v>
      </c>
      <c r="AA71" s="51">
        <f t="shared" ca="1" si="1"/>
        <v>42527</v>
      </c>
      <c r="AB71" s="50" t="s">
        <v>202</v>
      </c>
    </row>
    <row r="72" spans="1:28" ht="21" customHeight="1" outlineLevel="1" x14ac:dyDescent="0.15">
      <c r="A72" s="46">
        <v>49005080</v>
      </c>
      <c r="B72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2" s="49">
        <v>3</v>
      </c>
      <c r="D72" s="49" t="s">
        <v>125</v>
      </c>
      <c r="E72" s="50" t="s">
        <v>246</v>
      </c>
      <c r="F72" s="50" t="s">
        <v>364</v>
      </c>
      <c r="G72" s="62" t="str">
        <f t="shared" si="97"/>
        <v>[effect:tolerance, target:myself, turn:-1, tolerance_effect:hungup, count:-1]</v>
      </c>
      <c r="H72" s="62">
        <f t="shared" si="98"/>
        <v>9</v>
      </c>
      <c r="I72" s="62">
        <f t="shared" si="99"/>
        <v>18</v>
      </c>
      <c r="J72" s="62">
        <f t="shared" si="100"/>
        <v>27</v>
      </c>
      <c r="K72" s="62">
        <f t="shared" si="101"/>
        <v>33</v>
      </c>
      <c r="L72" s="62" t="str">
        <f>IFERROR(VLOOKUP(MID(G72,J72,K72-J72),[5]skilldef!$C:$D,2,FALSE),"-") &amp; " / " &amp; IFERROR(VLOOKUP(MID(G72,H72,I72-H72),[5]skilldef!$A:$B,2,FALSE),"-")</f>
        <v>自分自身に / 状態異常耐性</v>
      </c>
      <c r="M72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2" s="47" t="str">
        <f t="shared" si="112"/>
        <v>[effect:tolerance, target:myself, turn:-1, tolerance_effect:virus, count:-1]</v>
      </c>
      <c r="O72" s="62">
        <f t="shared" si="103"/>
        <v>9</v>
      </c>
      <c r="P72" s="62">
        <f t="shared" si="104"/>
        <v>18</v>
      </c>
      <c r="Q72" s="62">
        <f t="shared" si="105"/>
        <v>27</v>
      </c>
      <c r="R72" s="62">
        <f t="shared" si="106"/>
        <v>33</v>
      </c>
      <c r="S72" s="62" t="str">
        <f>IFERROR(VLOOKUP(MID(N72,Q72,R72-Q72),[5]skilldef!$C:$D,2,FALSE),"-") &amp; " / " &amp; IFERROR(VLOOKUP(MID(N72,O72,P72-O72),[5]skilldef!$A:$B,2,FALSE),"-")</f>
        <v>自分自身に / 状態異常耐性</v>
      </c>
      <c r="T72" s="47" t="str">
        <f t="shared" si="107"/>
        <v>[effect:tolerance, target:myself, turn:-1, tolerance_effect:sleep, count:-1, animation:enemy_tolerance],[effect:enhance_fever, val:100.0, animation:fevergauge_up04]</v>
      </c>
      <c r="U72" s="62">
        <f t="shared" si="108"/>
        <v>9</v>
      </c>
      <c r="V72" s="62">
        <f t="shared" si="109"/>
        <v>18</v>
      </c>
      <c r="W72" s="62">
        <f t="shared" si="110"/>
        <v>27</v>
      </c>
      <c r="X72" s="62">
        <f t="shared" si="111"/>
        <v>33</v>
      </c>
      <c r="Y72" s="62" t="str">
        <f>IFERROR(VLOOKUP(MID(T72,W72,X72-W72),[5]skilldef!$C:$D,2,FALSE),"-") &amp; " / " &amp; IFERROR(VLOOKUP(MID(T72,U72,V72-U72),[5]skilldef!$A:$B,2,FALSE),"-")</f>
        <v>自分自身に / 状態異常耐性</v>
      </c>
      <c r="Z72" s="49" t="s">
        <v>212</v>
      </c>
      <c r="AA72" s="51">
        <f t="shared" ca="1" si="1"/>
        <v>42527</v>
      </c>
      <c r="AB72" s="50" t="s">
        <v>202</v>
      </c>
    </row>
    <row r="73" spans="1:28" ht="21" customHeight="1" outlineLevel="1" x14ac:dyDescent="0.15">
      <c r="A73" s="46">
        <v>49005081</v>
      </c>
      <c r="B73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3" s="49">
        <v>3</v>
      </c>
      <c r="D73" s="49" t="s">
        <v>125</v>
      </c>
      <c r="E73" s="50" t="s">
        <v>246</v>
      </c>
      <c r="F73" s="50" t="s">
        <v>364</v>
      </c>
      <c r="G73" s="62" t="str">
        <f t="shared" si="97"/>
        <v>[effect:tolerance, target:myself, turn:-1, tolerance_effect:hungup, count:-1]</v>
      </c>
      <c r="H73" s="62">
        <f t="shared" si="98"/>
        <v>9</v>
      </c>
      <c r="I73" s="62">
        <f t="shared" si="99"/>
        <v>18</v>
      </c>
      <c r="J73" s="62">
        <f t="shared" si="100"/>
        <v>27</v>
      </c>
      <c r="K73" s="62">
        <f t="shared" si="101"/>
        <v>33</v>
      </c>
      <c r="L73" s="62" t="str">
        <f>IFERROR(VLOOKUP(MID(G73,J73,K73-J73),[5]skilldef!$C:$D,2,FALSE),"-") &amp; " / " &amp; IFERROR(VLOOKUP(MID(G73,H73,I73-H73),[5]skilldef!$A:$B,2,FALSE),"-")</f>
        <v>自分自身に / 状態異常耐性</v>
      </c>
      <c r="M73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3" s="47" t="str">
        <f t="shared" si="112"/>
        <v>[effect:tolerance, target:myself, turn:-1, tolerance_effect:virus, count:-1]</v>
      </c>
      <c r="O73" s="62">
        <f t="shared" si="103"/>
        <v>9</v>
      </c>
      <c r="P73" s="62">
        <f t="shared" si="104"/>
        <v>18</v>
      </c>
      <c r="Q73" s="62">
        <f t="shared" si="105"/>
        <v>27</v>
      </c>
      <c r="R73" s="62">
        <f t="shared" si="106"/>
        <v>33</v>
      </c>
      <c r="S73" s="62" t="str">
        <f>IFERROR(VLOOKUP(MID(N73,Q73,R73-Q73),[5]skilldef!$C:$D,2,FALSE),"-") &amp; " / " &amp; IFERROR(VLOOKUP(MID(N73,O73,P73-O73),[5]skilldef!$A:$B,2,FALSE),"-")</f>
        <v>自分自身に / 状態異常耐性</v>
      </c>
      <c r="T73" s="47" t="str">
        <f t="shared" si="107"/>
        <v>[effect:tolerance, target:myself, turn:-1, tolerance_effect:sleep, count:-1, animation:enemy_tolerance],[effect:enhance_fever, val:100.0, animation:fevergauge_up04]</v>
      </c>
      <c r="U73" s="62">
        <f t="shared" si="108"/>
        <v>9</v>
      </c>
      <c r="V73" s="62">
        <f t="shared" si="109"/>
        <v>18</v>
      </c>
      <c r="W73" s="62">
        <f t="shared" si="110"/>
        <v>27</v>
      </c>
      <c r="X73" s="62">
        <f t="shared" si="111"/>
        <v>33</v>
      </c>
      <c r="Y73" s="62" t="str">
        <f>IFERROR(VLOOKUP(MID(T73,W73,X73-W73),[5]skilldef!$C:$D,2,FALSE),"-") &amp; " / " &amp; IFERROR(VLOOKUP(MID(T73,U73,V73-U73),[5]skilldef!$A:$B,2,FALSE),"-")</f>
        <v>自分自身に / 状態異常耐性</v>
      </c>
      <c r="Z73" s="49" t="s">
        <v>212</v>
      </c>
      <c r="AA73" s="51">
        <f t="shared" ca="1" si="1"/>
        <v>42527</v>
      </c>
      <c r="AB73" s="50" t="s">
        <v>202</v>
      </c>
    </row>
    <row r="74" spans="1:28" ht="21" customHeight="1" outlineLevel="1" x14ac:dyDescent="0.15">
      <c r="A74" s="46">
        <v>49005082</v>
      </c>
      <c r="B74" s="46" t="str">
        <f t="shared" si="96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4" s="49">
        <v>3</v>
      </c>
      <c r="D74" s="49" t="s">
        <v>125</v>
      </c>
      <c r="E74" s="50" t="s">
        <v>246</v>
      </c>
      <c r="F74" s="50" t="s">
        <v>364</v>
      </c>
      <c r="G74" s="62" t="str">
        <f t="shared" si="97"/>
        <v>[effect:tolerance, target:myself, turn:-1, tolerance_effect:hungup, count:-1]</v>
      </c>
      <c r="H74" s="62">
        <f t="shared" si="98"/>
        <v>9</v>
      </c>
      <c r="I74" s="62">
        <f t="shared" si="99"/>
        <v>18</v>
      </c>
      <c r="J74" s="62">
        <f t="shared" si="100"/>
        <v>27</v>
      </c>
      <c r="K74" s="62">
        <f t="shared" si="101"/>
        <v>33</v>
      </c>
      <c r="L74" s="62" t="str">
        <f>IFERROR(VLOOKUP(MID(G74,J74,K74-J74),[5]skilldef!$C:$D,2,FALSE),"-") &amp; " / " &amp; IFERROR(VLOOKUP(MID(G74,H74,I74-H74),[5]skilldef!$A:$B,2,FALSE),"-")</f>
        <v>自分自身に / 状態異常耐性</v>
      </c>
      <c r="M74" s="62" t="str">
        <f t="shared" si="10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4" s="47" t="str">
        <f t="shared" si="112"/>
        <v>[effect:tolerance, target:myself, turn:-1, tolerance_effect:virus, count:-1]</v>
      </c>
      <c r="O74" s="62">
        <f t="shared" si="103"/>
        <v>9</v>
      </c>
      <c r="P74" s="62">
        <f t="shared" si="104"/>
        <v>18</v>
      </c>
      <c r="Q74" s="62">
        <f t="shared" si="105"/>
        <v>27</v>
      </c>
      <c r="R74" s="62">
        <f t="shared" si="106"/>
        <v>33</v>
      </c>
      <c r="S74" s="62" t="str">
        <f>IFERROR(VLOOKUP(MID(N74,Q74,R74-Q74),[5]skilldef!$C:$D,2,FALSE),"-") &amp; " / " &amp; IFERROR(VLOOKUP(MID(N74,O74,P74-O74),[5]skilldef!$A:$B,2,FALSE),"-")</f>
        <v>自分自身に / 状態異常耐性</v>
      </c>
      <c r="T74" s="47" t="str">
        <f t="shared" si="107"/>
        <v>[effect:tolerance, target:myself, turn:-1, tolerance_effect:sleep, count:-1, animation:enemy_tolerance],[effect:enhance_fever, val:100.0, animation:fevergauge_up04]</v>
      </c>
      <c r="U74" s="62">
        <f t="shared" si="108"/>
        <v>9</v>
      </c>
      <c r="V74" s="62">
        <f t="shared" si="109"/>
        <v>18</v>
      </c>
      <c r="W74" s="62">
        <f t="shared" si="110"/>
        <v>27</v>
      </c>
      <c r="X74" s="62">
        <f t="shared" si="111"/>
        <v>33</v>
      </c>
      <c r="Y74" s="62" t="str">
        <f>IFERROR(VLOOKUP(MID(T74,W74,X74-W74),[5]skilldef!$C:$D,2,FALSE),"-") &amp; " / " &amp; IFERROR(VLOOKUP(MID(T74,U74,V74-U74),[5]skilldef!$A:$B,2,FALSE),"-")</f>
        <v>自分自身に / 状態異常耐性</v>
      </c>
      <c r="Z74" s="49" t="s">
        <v>212</v>
      </c>
      <c r="AA74" s="51">
        <f t="shared" ca="1" si="1"/>
        <v>42527</v>
      </c>
      <c r="AB74" s="50" t="s">
        <v>202</v>
      </c>
    </row>
    <row r="75" spans="1:28" ht="21" customHeight="1" x14ac:dyDescent="0.15">
      <c r="A75" s="46">
        <v>49005090</v>
      </c>
      <c r="B75" s="46" t="s">
        <v>396</v>
      </c>
      <c r="C75" s="49">
        <v>3</v>
      </c>
      <c r="D75" s="49" t="s">
        <v>125</v>
      </c>
      <c r="E75" s="50" t="s">
        <v>264</v>
      </c>
      <c r="F75" s="50" t="s">
        <v>295</v>
      </c>
      <c r="G75" s="62" t="str">
        <f t="shared" si="65"/>
        <v>[effect:enhance_enemy, target:myself, turn:2, status:defense, val:800, calc:add, animation:enemy_enhance_defense]</v>
      </c>
      <c r="H75" s="62">
        <f t="shared" si="66"/>
        <v>9</v>
      </c>
      <c r="I75" s="62">
        <f t="shared" si="67"/>
        <v>22</v>
      </c>
      <c r="J75" s="62">
        <f t="shared" si="68"/>
        <v>31</v>
      </c>
      <c r="K75" s="62">
        <f t="shared" si="69"/>
        <v>37</v>
      </c>
      <c r="L75" s="62" t="str">
        <f>IFERROR(VLOOKUP(MID(G75,J75,K75-J75),[5]skilldef!$C:$D,2,FALSE),"-") &amp; " / " &amp; IFERROR(VLOOKUP(MID(G75,H75,I75-H75),[5]skilldef!$A:$B,2,FALSE),"-")</f>
        <v>自分自身に / ステータス強化</v>
      </c>
      <c r="M75" s="62" t="str">
        <f t="shared" si="70"/>
        <v>[effect:critical, val:1]</v>
      </c>
      <c r="N75" s="47" t="str">
        <f>IFERROR(LEFT(M75,FIND("],",M75)+S104),M75)</f>
        <v>[effect:critical, val:1]</v>
      </c>
      <c r="O75" s="62">
        <f t="shared" si="71"/>
        <v>9</v>
      </c>
      <c r="P75" s="62">
        <f t="shared" si="72"/>
        <v>17</v>
      </c>
      <c r="Q75" s="62" t="e">
        <f t="shared" si="73"/>
        <v>#VALUE!</v>
      </c>
      <c r="R75" s="62" t="e">
        <f t="shared" si="74"/>
        <v>#VALUE!</v>
      </c>
      <c r="S75" s="62" t="str">
        <f>IFERROR(VLOOKUP(MID(N75,Q75,R75-Q75),[5]skilldef!$C:$D,2,FALSE),"-") &amp; " / " &amp; IFERROR(VLOOKUP(MID(N75,O75,P75-O75),[5]skilldef!$A:$B,2,FALSE),"-")</f>
        <v>- / 大攻撃</v>
      </c>
      <c r="T75" s="47" t="str">
        <f t="shared" si="75"/>
        <v>none</v>
      </c>
      <c r="U75" s="62" t="e">
        <f t="shared" si="76"/>
        <v>#VALUE!</v>
      </c>
      <c r="V75" s="62">
        <f t="shared" si="77"/>
        <v>4</v>
      </c>
      <c r="W75" s="62" t="e">
        <f t="shared" si="78"/>
        <v>#VALUE!</v>
      </c>
      <c r="X75" s="62" t="e">
        <f t="shared" si="79"/>
        <v>#VALUE!</v>
      </c>
      <c r="Y75" s="62" t="str">
        <f>IFERROR(VLOOKUP(MID(T75,W75,X75-W75),[5]skilldef!$C:$D,2,FALSE),"-") &amp; " / " &amp; IFERROR(VLOOKUP(MID(T75,U75,V75-U75),[5]skilldef!$A:$B,2,FALSE),"-")</f>
        <v>- / -</v>
      </c>
      <c r="Z75" s="49" t="s">
        <v>212</v>
      </c>
      <c r="AA75" s="51">
        <f t="shared" ca="1" si="1"/>
        <v>42527</v>
      </c>
      <c r="AB75" s="50" t="s">
        <v>202</v>
      </c>
    </row>
    <row r="76" spans="1:28" ht="21" customHeight="1" x14ac:dyDescent="0.15">
      <c r="A76" s="46">
        <v>49005091</v>
      </c>
      <c r="B76" s="46" t="s">
        <v>397</v>
      </c>
      <c r="C76" s="49">
        <v>3</v>
      </c>
      <c r="D76" s="49" t="s">
        <v>125</v>
      </c>
      <c r="E76" s="50" t="s">
        <v>265</v>
      </c>
      <c r="F76" s="50" t="s">
        <v>296</v>
      </c>
      <c r="G76" s="62" t="str">
        <f t="shared" si="65"/>
        <v>[effect:enhance_enemy, target:myself, turn:2, status:defense, val:1400, calc:add, animation:enemy_enhance_defense]</v>
      </c>
      <c r="H76" s="62">
        <f t="shared" si="66"/>
        <v>9</v>
      </c>
      <c r="I76" s="62">
        <f t="shared" si="67"/>
        <v>22</v>
      </c>
      <c r="J76" s="62">
        <f t="shared" si="68"/>
        <v>31</v>
      </c>
      <c r="K76" s="62">
        <f t="shared" si="69"/>
        <v>37</v>
      </c>
      <c r="L76" s="62" t="str">
        <f>IFERROR(VLOOKUP(MID(G76,J76,K76-J76),[5]skilldef!$C:$D,2,FALSE),"-") &amp; " / " &amp; IFERROR(VLOOKUP(MID(G76,H76,I76-H76),[5]skilldef!$A:$B,2,FALSE),"-")</f>
        <v>自分自身に / ステータス強化</v>
      </c>
      <c r="M76" s="62" t="str">
        <f t="shared" si="70"/>
        <v>[effect:critical, val:1.1]</v>
      </c>
      <c r="N76" s="47" t="str">
        <f>IFERROR(LEFT(M76,FIND("],",M76)+S105),M76)</f>
        <v>[effect:critical, val:1.1]</v>
      </c>
      <c r="O76" s="62">
        <f t="shared" si="71"/>
        <v>9</v>
      </c>
      <c r="P76" s="62">
        <f t="shared" si="72"/>
        <v>17</v>
      </c>
      <c r="Q76" s="62" t="e">
        <f t="shared" si="73"/>
        <v>#VALUE!</v>
      </c>
      <c r="R76" s="62" t="e">
        <f t="shared" si="74"/>
        <v>#VALUE!</v>
      </c>
      <c r="S76" s="62" t="str">
        <f>IFERROR(VLOOKUP(MID(N76,Q76,R76-Q76),[5]skilldef!$C:$D,2,FALSE),"-") &amp; " / " &amp; IFERROR(VLOOKUP(MID(N76,O76,P76-O76),[5]skilldef!$A:$B,2,FALSE),"-")</f>
        <v>- / 大攻撃</v>
      </c>
      <c r="T76" s="47" t="str">
        <f t="shared" si="75"/>
        <v>none</v>
      </c>
      <c r="U76" s="62" t="e">
        <f t="shared" si="76"/>
        <v>#VALUE!</v>
      </c>
      <c r="V76" s="62">
        <f t="shared" si="77"/>
        <v>4</v>
      </c>
      <c r="W76" s="62" t="e">
        <f t="shared" si="78"/>
        <v>#VALUE!</v>
      </c>
      <c r="X76" s="62" t="e">
        <f t="shared" si="79"/>
        <v>#VALUE!</v>
      </c>
      <c r="Y76" s="62" t="str">
        <f>IFERROR(VLOOKUP(MID(T76,W76,X76-W76),[5]skilldef!$C:$D,2,FALSE),"-") &amp; " / " &amp; IFERROR(VLOOKUP(MID(T76,U76,V76-U76),[5]skilldef!$A:$B,2,FALSE),"-")</f>
        <v>- / -</v>
      </c>
      <c r="Z76" s="49" t="s">
        <v>212</v>
      </c>
      <c r="AA76" s="51">
        <f t="shared" ca="1" si="1"/>
        <v>42527</v>
      </c>
      <c r="AB76" s="50" t="s">
        <v>202</v>
      </c>
    </row>
    <row r="77" spans="1:28" ht="21" customHeight="1" x14ac:dyDescent="0.15">
      <c r="A77" s="46">
        <v>49005092</v>
      </c>
      <c r="B77" s="46" t="s">
        <v>400</v>
      </c>
      <c r="C77" s="49">
        <v>3</v>
      </c>
      <c r="D77" s="49" t="s">
        <v>125</v>
      </c>
      <c r="E77" s="50" t="s">
        <v>266</v>
      </c>
      <c r="F77" s="50" t="s">
        <v>297</v>
      </c>
      <c r="G77" s="62" t="str">
        <f t="shared" si="65"/>
        <v>[effect:enhance_enemy, target:myself, turn:2, status:defense, val:2000, calc:add, animation:enemy_enhance_defense]</v>
      </c>
      <c r="H77" s="62">
        <f t="shared" si="66"/>
        <v>9</v>
      </c>
      <c r="I77" s="62">
        <f t="shared" si="67"/>
        <v>22</v>
      </c>
      <c r="J77" s="62">
        <f t="shared" si="68"/>
        <v>31</v>
      </c>
      <c r="K77" s="62">
        <f t="shared" si="69"/>
        <v>37</v>
      </c>
      <c r="L77" s="62" t="str">
        <f>IFERROR(VLOOKUP(MID(G77,J77,K77-J77),[5]skilldef!$C:$D,2,FALSE),"-") &amp; " / " &amp; IFERROR(VLOOKUP(MID(G77,H77,I77-H77),[5]skilldef!$A:$B,2,FALSE),"-")</f>
        <v>自分自身に / ステータス強化</v>
      </c>
      <c r="M77" s="62" t="str">
        <f t="shared" si="70"/>
        <v>[effect:critical, val:1.2]</v>
      </c>
      <c r="N77" s="47" t="str">
        <f>IFERROR(LEFT(M77,FIND("],",M77)+S85),M77)</f>
        <v>[effect:critical, val:1.2]</v>
      </c>
      <c r="O77" s="62">
        <f t="shared" si="71"/>
        <v>9</v>
      </c>
      <c r="P77" s="62">
        <f t="shared" si="72"/>
        <v>17</v>
      </c>
      <c r="Q77" s="62" t="e">
        <f t="shared" si="73"/>
        <v>#VALUE!</v>
      </c>
      <c r="R77" s="62" t="e">
        <f t="shared" si="74"/>
        <v>#VALUE!</v>
      </c>
      <c r="S77" s="62" t="str">
        <f>IFERROR(VLOOKUP(MID(N77,Q77,R77-Q77),[5]skilldef!$C:$D,2,FALSE),"-") &amp; " / " &amp; IFERROR(VLOOKUP(MID(N77,O77,P77-O77),[5]skilldef!$A:$B,2,FALSE),"-")</f>
        <v>- / 大攻撃</v>
      </c>
      <c r="T77" s="47" t="str">
        <f t="shared" si="75"/>
        <v>none</v>
      </c>
      <c r="U77" s="62" t="e">
        <f t="shared" si="76"/>
        <v>#VALUE!</v>
      </c>
      <c r="V77" s="62">
        <f t="shared" si="77"/>
        <v>4</v>
      </c>
      <c r="W77" s="62" t="e">
        <f t="shared" si="78"/>
        <v>#VALUE!</v>
      </c>
      <c r="X77" s="62" t="e">
        <f t="shared" si="79"/>
        <v>#VALUE!</v>
      </c>
      <c r="Y77" s="62" t="str">
        <f>IFERROR(VLOOKUP(MID(T77,W77,X77-W77),[5]skilldef!$C:$D,2,FALSE),"-") &amp; " / " &amp; IFERROR(VLOOKUP(MID(T77,U77,V77-U77),[5]skilldef!$A:$B,2,FALSE),"-")</f>
        <v>- / -</v>
      </c>
      <c r="Z77" s="49" t="s">
        <v>212</v>
      </c>
      <c r="AA77" s="51">
        <f t="shared" ca="1" si="1"/>
        <v>42527</v>
      </c>
      <c r="AB77" s="50" t="s">
        <v>202</v>
      </c>
    </row>
    <row r="78" spans="1:28" ht="21" customHeight="1" x14ac:dyDescent="0.15">
      <c r="A78" s="46">
        <v>49005093</v>
      </c>
      <c r="B78" s="46" t="s">
        <v>398</v>
      </c>
      <c r="C78" s="49">
        <v>3</v>
      </c>
      <c r="D78" s="49" t="s">
        <v>125</v>
      </c>
      <c r="E78" s="50" t="s">
        <v>257</v>
      </c>
      <c r="F78" s="50" t="s">
        <v>399</v>
      </c>
      <c r="G78" s="62" t="str">
        <f t="shared" ref="G78" si="113">IFERROR(LEFT(B78,FIND("],",B78)),B78)</f>
        <v>[effect:spread, val:0.2]</v>
      </c>
      <c r="H78" s="62">
        <f t="shared" ref="H78" si="114">FIND("effect:",G78)+7</f>
        <v>9</v>
      </c>
      <c r="I78" s="62">
        <f t="shared" ref="I78" si="115">IFERROR(FIND(",",G78),LEN(G78))</f>
        <v>15</v>
      </c>
      <c r="J78" s="62" t="e">
        <f t="shared" ref="J78" si="116">FIND("target:",G78)+7</f>
        <v>#VALUE!</v>
      </c>
      <c r="K78" s="62" t="e">
        <f t="shared" ref="K78" si="117">FIND(",",G78,I78+1)</f>
        <v>#VALUE!</v>
      </c>
      <c r="L78" s="62" t="str">
        <f>IFERROR(VLOOKUP(MID(G78,J78,K78-J78),[5]skilldef!$C:$D,2,FALSE),"-") &amp; " / " &amp; IFERROR(VLOOKUP(MID(G78,H78,I78-H78),[5]skilldef!$A:$B,2,FALSE),"-")</f>
        <v>- / 全体攻撃</v>
      </c>
      <c r="M78" s="62" t="str">
        <f t="shared" ref="M78" si="118">IFERROR(RIGHT(B78,LEN(B78)-FIND("],",B78)-1),"none")</f>
        <v>[effect:spread, val:0.2]</v>
      </c>
      <c r="N78" s="47" t="str">
        <f>IFERROR(LEFT(M78,FIND("],",M78)+#REF!),M78)</f>
        <v>[effect:spread, val:0.2]</v>
      </c>
      <c r="O78" s="62">
        <f t="shared" ref="O78" si="119">FIND("effect:",N78)+7</f>
        <v>9</v>
      </c>
      <c r="P78" s="62">
        <f t="shared" ref="P78" si="120">IFERROR(FIND(",",N78),LEN(N78))</f>
        <v>15</v>
      </c>
      <c r="Q78" s="62" t="e">
        <f t="shared" ref="Q78" si="121">FIND("target:",N78)+7</f>
        <v>#VALUE!</v>
      </c>
      <c r="R78" s="62" t="e">
        <f t="shared" ref="R78" si="122">FIND(",",N78,P78+1)</f>
        <v>#VALUE!</v>
      </c>
      <c r="S78" s="62" t="str">
        <f>IFERROR(VLOOKUP(MID(N78,Q78,R78-Q78),[5]skilldef!$C:$D,2,FALSE),"-") &amp; " / " &amp; IFERROR(VLOOKUP(MID(N78,O78,P78-O78),[5]skilldef!$A:$B,2,FALSE),"-")</f>
        <v>- / 全体攻撃</v>
      </c>
      <c r="T78" s="47" t="str">
        <f t="shared" ref="T78" si="123">IFERROR(RIGHT(M78,LEN(M78)-FIND("],",M78)-1),"none")</f>
        <v>none</v>
      </c>
      <c r="U78" s="62" t="e">
        <f t="shared" ref="U78" si="124">FIND("effect:",T78)+7</f>
        <v>#VALUE!</v>
      </c>
      <c r="V78" s="62">
        <f t="shared" ref="V78" si="125">IFERROR(FIND(",",T78),LEN(T78))</f>
        <v>4</v>
      </c>
      <c r="W78" s="62" t="e">
        <f t="shared" ref="W78" si="126">FIND("target:",T78)+7</f>
        <v>#VALUE!</v>
      </c>
      <c r="X78" s="62" t="e">
        <f t="shared" ref="X78" si="127">FIND(",",T78,V78+1)</f>
        <v>#VALUE!</v>
      </c>
      <c r="Y78" s="62" t="str">
        <f>IFERROR(VLOOKUP(MID(T78,W78,X78-W78),[5]skilldef!$C:$D,2,FALSE),"-") &amp; " / " &amp; IFERROR(VLOOKUP(MID(T78,U78,V78-U78),[5]skilldef!$A:$B,2,FALSE),"-")</f>
        <v>- / -</v>
      </c>
      <c r="Z78" s="49" t="s">
        <v>212</v>
      </c>
      <c r="AA78" s="51">
        <f t="shared" ca="1" si="1"/>
        <v>42527</v>
      </c>
      <c r="AB78" s="50" t="s">
        <v>204</v>
      </c>
    </row>
    <row r="79" spans="1:28" ht="21" customHeight="1" x14ac:dyDescent="0.15">
      <c r="A79" s="46">
        <v>49005094</v>
      </c>
      <c r="B79" s="46" t="s">
        <v>402</v>
      </c>
      <c r="C79" s="49">
        <v>3</v>
      </c>
      <c r="D79" s="49" t="s">
        <v>125</v>
      </c>
      <c r="E79" s="50" t="s">
        <v>267</v>
      </c>
      <c r="F79" s="50" t="s">
        <v>365</v>
      </c>
      <c r="G79" s="62" t="str">
        <f t="shared" si="65"/>
        <v>[effect:critical, val:1.2]</v>
      </c>
      <c r="H79" s="62">
        <f t="shared" si="66"/>
        <v>9</v>
      </c>
      <c r="I79" s="62">
        <f t="shared" si="67"/>
        <v>17</v>
      </c>
      <c r="J79" s="62" t="e">
        <f t="shared" si="68"/>
        <v>#VALUE!</v>
      </c>
      <c r="K79" s="62" t="e">
        <f t="shared" si="69"/>
        <v>#VALUE!</v>
      </c>
      <c r="L79" s="62" t="str">
        <f>IFERROR(VLOOKUP(MID(G79,J79,K79-J79),[5]skilldef!$C:$D,2,FALSE),"-") &amp; " / " &amp; IFERROR(VLOOKUP(MID(G79,H79,I79-H79),[5]skilldef!$A:$B,2,FALSE),"-")</f>
        <v>- / 大攻撃</v>
      </c>
      <c r="M79" s="62" t="str">
        <f t="shared" si="70"/>
        <v>[effect:enhance_enemy, target:myself, turn:2, status:defense, val:1600, calc:add, animation:enemy_enhance_defense],[effect:force_change_block, new_block:jammer, target:block_all, count:2, val:0, animation:change_block]</v>
      </c>
      <c r="N79" s="47" t="str">
        <f>IFERROR(LEFT(M79,FIND("],",M79)+S103),M79)</f>
        <v>[effect:enhance_enemy, target:myself, turn:2, status:defense, val:1600, calc:add, animation:enemy_enhance_defense],[effect:force_change_block, new_block:jammer, target:block_all, count:2, val:0, animation:change_block]</v>
      </c>
      <c r="O79" s="62">
        <f t="shared" si="71"/>
        <v>9</v>
      </c>
      <c r="P79" s="62">
        <f t="shared" si="72"/>
        <v>22</v>
      </c>
      <c r="Q79" s="62">
        <f t="shared" si="73"/>
        <v>31</v>
      </c>
      <c r="R79" s="62">
        <f t="shared" si="74"/>
        <v>37</v>
      </c>
      <c r="S79" s="62" t="str">
        <f>IFERROR(VLOOKUP(MID(N79,Q79,R79-Q79),[5]skilldef!$C:$D,2,FALSE),"-") &amp; " / " &amp; IFERROR(VLOOKUP(MID(N79,O79,P79-O79),[5]skilldef!$A:$B,2,FALSE),"-")</f>
        <v>自分自身に / ステータス強化</v>
      </c>
      <c r="T79" s="47" t="str">
        <f t="shared" si="75"/>
        <v>[effect:force_change_block, new_block:jammer, target:block_all, count:2, val:0, animation:change_block]</v>
      </c>
      <c r="U79" s="62">
        <f t="shared" si="76"/>
        <v>9</v>
      </c>
      <c r="V79" s="62">
        <f t="shared" si="77"/>
        <v>27</v>
      </c>
      <c r="W79" s="62">
        <f t="shared" si="78"/>
        <v>54</v>
      </c>
      <c r="X79" s="62">
        <f t="shared" si="79"/>
        <v>45</v>
      </c>
      <c r="Y79" s="62" t="str">
        <f>IFERROR(VLOOKUP(MID(T79,W79,X79-W79),[5]skilldef!$C:$D,2,FALSE),"-") &amp; " / " &amp; IFERROR(VLOOKUP(MID(T79,U79,V79-U79),[5]skilldef!$A:$B,2,FALSE),"-")</f>
        <v>- / -</v>
      </c>
      <c r="Z79" s="49" t="s">
        <v>212</v>
      </c>
      <c r="AA79" s="51">
        <f t="shared" ca="1" si="1"/>
        <v>42527</v>
      </c>
      <c r="AB79" s="50" t="s">
        <v>202</v>
      </c>
    </row>
    <row r="80" spans="1:28" ht="21" customHeight="1" x14ac:dyDescent="0.15">
      <c r="A80" s="46">
        <v>49005095</v>
      </c>
      <c r="B80" s="46" t="s">
        <v>403</v>
      </c>
      <c r="C80" s="49">
        <v>3</v>
      </c>
      <c r="D80" s="49" t="s">
        <v>125</v>
      </c>
      <c r="E80" s="50" t="s">
        <v>287</v>
      </c>
      <c r="F80" s="50" t="s">
        <v>366</v>
      </c>
      <c r="G80" s="62" t="str">
        <f t="shared" si="65"/>
        <v>[effect:critical, val:1.3]</v>
      </c>
      <c r="H80" s="62">
        <f t="shared" si="66"/>
        <v>9</v>
      </c>
      <c r="I80" s="62">
        <f t="shared" si="67"/>
        <v>17</v>
      </c>
      <c r="J80" s="62" t="e">
        <f t="shared" si="68"/>
        <v>#VALUE!</v>
      </c>
      <c r="K80" s="62" t="e">
        <f t="shared" si="69"/>
        <v>#VALUE!</v>
      </c>
      <c r="L80" s="62" t="str">
        <f>IFERROR(VLOOKUP(MID(G80,J80,K80-J80),[5]skilldef!$C:$D,2,FALSE),"-") &amp; " / " &amp; IFERROR(VLOOKUP(MID(G80,H80,I80-H80),[5]skilldef!$A:$B,2,FALSE),"-")</f>
        <v>- / 大攻撃</v>
      </c>
      <c r="M80" s="62" t="str">
        <f t="shared" si="70"/>
        <v>[effect:enhance_enemy, target:myself, turn:2, status:defense, val:2400, calc:add, animation:enemy_enhance_defense],[effect:force_change_block, new_block:jammer, target:block_all, count:2, val:0, animation:change_block]</v>
      </c>
      <c r="N80" s="47" t="str">
        <f>IFERROR(LEFT(M80,FIND("],",M80)+S104),M80)</f>
        <v>[effect:enhance_enemy, target:myself, turn:2, status:defense, val:2400, calc:add, animation:enemy_enhance_defense],[effect:force_change_block, new_block:jammer, target:block_all, count:2, val:0, animation:change_block]</v>
      </c>
      <c r="O80" s="62">
        <f t="shared" si="71"/>
        <v>9</v>
      </c>
      <c r="P80" s="62">
        <f t="shared" si="72"/>
        <v>22</v>
      </c>
      <c r="Q80" s="62">
        <f t="shared" si="73"/>
        <v>31</v>
      </c>
      <c r="R80" s="62">
        <f t="shared" si="74"/>
        <v>37</v>
      </c>
      <c r="S80" s="62" t="str">
        <f>IFERROR(VLOOKUP(MID(N80,Q80,R80-Q80),[5]skilldef!$C:$D,2,FALSE),"-") &amp; " / " &amp; IFERROR(VLOOKUP(MID(N80,O80,P80-O80),[5]skilldef!$A:$B,2,FALSE),"-")</f>
        <v>自分自身に / ステータス強化</v>
      </c>
      <c r="T80" s="47" t="str">
        <f t="shared" si="75"/>
        <v>[effect:force_change_block, new_block:jammer, target:block_all, count:2, val:0, animation:change_block]</v>
      </c>
      <c r="U80" s="62">
        <f t="shared" si="76"/>
        <v>9</v>
      </c>
      <c r="V80" s="62">
        <f t="shared" si="77"/>
        <v>27</v>
      </c>
      <c r="W80" s="62">
        <f t="shared" si="78"/>
        <v>54</v>
      </c>
      <c r="X80" s="62">
        <f t="shared" si="79"/>
        <v>45</v>
      </c>
      <c r="Y80" s="62" t="str">
        <f>IFERROR(VLOOKUP(MID(T80,W80,X80-W80),[5]skilldef!$C:$D,2,FALSE),"-") &amp; " / " &amp; IFERROR(VLOOKUP(MID(T80,U80,V80-U80),[5]skilldef!$A:$B,2,FALSE),"-")</f>
        <v>- / -</v>
      </c>
      <c r="Z80" s="49" t="s">
        <v>212</v>
      </c>
      <c r="AA80" s="51">
        <f t="shared" ca="1" si="1"/>
        <v>42527</v>
      </c>
      <c r="AB80" s="50" t="s">
        <v>204</v>
      </c>
    </row>
    <row r="81" spans="1:28" ht="21" customHeight="1" x14ac:dyDescent="0.15">
      <c r="A81" s="46">
        <v>49005096</v>
      </c>
      <c r="B81" s="46" t="s">
        <v>404</v>
      </c>
      <c r="C81" s="49">
        <v>3</v>
      </c>
      <c r="D81" s="49" t="s">
        <v>125</v>
      </c>
      <c r="E81" s="50" t="s">
        <v>268</v>
      </c>
      <c r="F81" s="50" t="s">
        <v>367</v>
      </c>
      <c r="G81" s="62" t="str">
        <f t="shared" si="65"/>
        <v>[effect:critical, val:1.4]</v>
      </c>
      <c r="H81" s="62">
        <f t="shared" si="66"/>
        <v>9</v>
      </c>
      <c r="I81" s="62">
        <f t="shared" si="67"/>
        <v>17</v>
      </c>
      <c r="J81" s="62" t="e">
        <f t="shared" si="68"/>
        <v>#VALUE!</v>
      </c>
      <c r="K81" s="62" t="e">
        <f t="shared" si="69"/>
        <v>#VALUE!</v>
      </c>
      <c r="L81" s="62" t="str">
        <f>IFERROR(VLOOKUP(MID(G81,J81,K81-J81),[5]skilldef!$C:$D,2,FALSE),"-") &amp; " / " &amp; IFERROR(VLOOKUP(MID(G81,H81,I81-H81),[5]skilldef!$A:$B,2,FALSE),"-")</f>
        <v>- / 大攻撃</v>
      </c>
      <c r="M81" s="62" t="str">
        <f t="shared" si="70"/>
        <v>[effect:enhance_enemy, target:myself, turn:2, status:defense, val:3200, calc:add, animation:enemy_enhance_defense],[effect:force_change_block, new_block:jammer, target:block_all, count:2, val:0, animation:change_block]</v>
      </c>
      <c r="N81" s="47" t="str">
        <f>IFERROR(LEFT(M81,FIND("],",M81)+S105),M81)</f>
        <v>[effect:enhance_enemy, target:myself, turn:2, status:defense, val:3200, calc:add, animation:enemy_enhance_defense],[effect:force_change_block, new_block:jammer, target:block_all, count:2, val:0, animation:change_block]</v>
      </c>
      <c r="O81" s="62">
        <f t="shared" si="71"/>
        <v>9</v>
      </c>
      <c r="P81" s="62">
        <f t="shared" si="72"/>
        <v>22</v>
      </c>
      <c r="Q81" s="62">
        <f t="shared" si="73"/>
        <v>31</v>
      </c>
      <c r="R81" s="62">
        <f t="shared" si="74"/>
        <v>37</v>
      </c>
      <c r="S81" s="62" t="str">
        <f>IFERROR(VLOOKUP(MID(N81,Q81,R81-Q81),[5]skilldef!$C:$D,2,FALSE),"-") &amp; " / " &amp; IFERROR(VLOOKUP(MID(N81,O81,P81-O81),[5]skilldef!$A:$B,2,FALSE),"-")</f>
        <v>自分自身に / ステータス強化</v>
      </c>
      <c r="T81" s="47" t="str">
        <f t="shared" si="75"/>
        <v>[effect:force_change_block, new_block:jammer, target:block_all, count:2, val:0, animation:change_block]</v>
      </c>
      <c r="U81" s="62">
        <f t="shared" si="76"/>
        <v>9</v>
      </c>
      <c r="V81" s="62">
        <f t="shared" si="77"/>
        <v>27</v>
      </c>
      <c r="W81" s="62">
        <f t="shared" si="78"/>
        <v>54</v>
      </c>
      <c r="X81" s="62">
        <f t="shared" si="79"/>
        <v>45</v>
      </c>
      <c r="Y81" s="62" t="str">
        <f>IFERROR(VLOOKUP(MID(T81,W81,X81-W81),[5]skilldef!$C:$D,2,FALSE),"-") &amp; " / " &amp; IFERROR(VLOOKUP(MID(T81,U81,V81-U81),[5]skilldef!$A:$B,2,FALSE),"-")</f>
        <v>- / -</v>
      </c>
      <c r="Z81" s="49" t="s">
        <v>212</v>
      </c>
      <c r="AA81" s="51">
        <f t="shared" ca="1" si="1"/>
        <v>42527</v>
      </c>
      <c r="AB81" s="50" t="s">
        <v>204</v>
      </c>
    </row>
    <row r="82" spans="1:28" ht="21" customHeight="1" x14ac:dyDescent="0.15">
      <c r="A82" s="46">
        <v>49005097</v>
      </c>
      <c r="B82" s="46" t="s">
        <v>405</v>
      </c>
      <c r="C82" s="49">
        <v>3</v>
      </c>
      <c r="D82" s="49" t="s">
        <v>214</v>
      </c>
      <c r="E82" s="50" t="s">
        <v>269</v>
      </c>
      <c r="F82" s="50" t="s">
        <v>368</v>
      </c>
      <c r="G82" s="62" t="str">
        <f t="shared" si="65"/>
        <v>[effect:critical, val:1.5]</v>
      </c>
      <c r="H82" s="62">
        <f t="shared" si="66"/>
        <v>9</v>
      </c>
      <c r="I82" s="62">
        <f t="shared" si="67"/>
        <v>17</v>
      </c>
      <c r="J82" s="62" t="e">
        <f t="shared" si="68"/>
        <v>#VALUE!</v>
      </c>
      <c r="K82" s="62" t="e">
        <f t="shared" si="69"/>
        <v>#VALUE!</v>
      </c>
      <c r="L82" s="62" t="str">
        <f>IFERROR(VLOOKUP(MID(G82,J82,K82-J82),[5]skilldef!$C:$D,2,FALSE),"-") &amp; " / " &amp; IFERROR(VLOOKUP(MID(G82,H82,I82-H82),[5]skilldef!$A:$B,2,FALSE),"-")</f>
        <v>- / 大攻撃</v>
      </c>
      <c r="M82" s="62" t="str">
        <f t="shared" si="70"/>
        <v>[effect:enhance_enemy, target:myself, turn:2, status:defense, val:4000, calc:add, animation:enemy_enhance_defense],[effect:force_change_block, new_block:jammer, target:block_all, count:2, val:0, animation:change_block]</v>
      </c>
      <c r="N82" s="47" t="str">
        <f>IFERROR(LEFT(M82,FIND("],",M82)+S106),M82)</f>
        <v>[effect:enhance_enemy, target:myself, turn:2, status:defense, val:4000, calc:add, animation:enemy_enhance_defense],[effect:force_change_block, new_block:jammer, target:block_all, count:2, val:0, animation:change_block]</v>
      </c>
      <c r="O82" s="62">
        <f t="shared" si="71"/>
        <v>9</v>
      </c>
      <c r="P82" s="62">
        <f t="shared" si="72"/>
        <v>22</v>
      </c>
      <c r="Q82" s="62">
        <f t="shared" si="73"/>
        <v>31</v>
      </c>
      <c r="R82" s="62">
        <f t="shared" si="74"/>
        <v>37</v>
      </c>
      <c r="S82" s="62" t="str">
        <f>IFERROR(VLOOKUP(MID(N82,Q82,R82-Q82),[5]skilldef!$C:$D,2,FALSE),"-") &amp; " / " &amp; IFERROR(VLOOKUP(MID(N82,O82,P82-O82),[5]skilldef!$A:$B,2,FALSE),"-")</f>
        <v>自分自身に / ステータス強化</v>
      </c>
      <c r="T82" s="47" t="str">
        <f t="shared" si="75"/>
        <v>[effect:force_change_block, new_block:jammer, target:block_all, count:2, val:0, animation:change_block]</v>
      </c>
      <c r="U82" s="62">
        <f t="shared" si="76"/>
        <v>9</v>
      </c>
      <c r="V82" s="62">
        <f t="shared" si="77"/>
        <v>27</v>
      </c>
      <c r="W82" s="62">
        <f t="shared" si="78"/>
        <v>54</v>
      </c>
      <c r="X82" s="62">
        <f t="shared" si="79"/>
        <v>45</v>
      </c>
      <c r="Y82" s="62" t="str">
        <f>IFERROR(VLOOKUP(MID(T82,W82,X82-W82),[5]skilldef!$C:$D,2,FALSE),"-") &amp; " / " &amp; IFERROR(VLOOKUP(MID(T82,U82,V82-U82),[5]skilldef!$A:$B,2,FALSE),"-")</f>
        <v>- / -</v>
      </c>
      <c r="Z82" s="49" t="s">
        <v>212</v>
      </c>
      <c r="AA82" s="51">
        <f t="shared" ca="1" si="1"/>
        <v>42527</v>
      </c>
      <c r="AB82" s="50" t="s">
        <v>204</v>
      </c>
    </row>
    <row r="83" spans="1:28" ht="21" customHeight="1" x14ac:dyDescent="0.15">
      <c r="A83" s="46">
        <v>49005098</v>
      </c>
      <c r="B83" s="46" t="s">
        <v>407</v>
      </c>
      <c r="C83" s="49">
        <v>3</v>
      </c>
      <c r="D83" s="49" t="s">
        <v>125</v>
      </c>
      <c r="E83" s="50" t="s">
        <v>271</v>
      </c>
      <c r="F83" s="50" t="s">
        <v>406</v>
      </c>
      <c r="G83" s="62" t="str">
        <f t="shared" si="65"/>
        <v>[effect:break_attack, val:0.1, lowest_val:1500, count:-1, block:jammer, target:unit_all]</v>
      </c>
      <c r="H83" s="62">
        <f t="shared" si="66"/>
        <v>9</v>
      </c>
      <c r="I83" s="62">
        <f t="shared" si="67"/>
        <v>21</v>
      </c>
      <c r="J83" s="62">
        <f t="shared" si="68"/>
        <v>80</v>
      </c>
      <c r="K83" s="62">
        <f t="shared" si="69"/>
        <v>30</v>
      </c>
      <c r="L83" s="62" t="str">
        <f>IFERROR(VLOOKUP(MID(G83,J83,K83-J83),[5]skilldef!$C:$D,2,FALSE),"-") &amp; " / " &amp; IFERROR(VLOOKUP(MID(G83,H83,I83-H83),[5]skilldef!$A:$B,2,FALSE),"-")</f>
        <v>- / -</v>
      </c>
      <c r="M83" s="62" t="str">
        <f t="shared" si="70"/>
        <v>[effect:degrade_unit, target:unit_all, turn:3, status:attack, val:0.5]</v>
      </c>
      <c r="N83" s="47" t="str">
        <f t="shared" ref="N83:N102" si="128">IFERROR(LEFT(M83,FIND("],",M83)+S108),M83)</f>
        <v>[effect:degrade_unit, target:unit_all, turn:3, status:attack, val:0.5]</v>
      </c>
      <c r="O83" s="62">
        <f t="shared" si="71"/>
        <v>9</v>
      </c>
      <c r="P83" s="62">
        <f t="shared" si="72"/>
        <v>21</v>
      </c>
      <c r="Q83" s="62">
        <f t="shared" si="73"/>
        <v>30</v>
      </c>
      <c r="R83" s="62">
        <f t="shared" si="74"/>
        <v>38</v>
      </c>
      <c r="S83" s="62" t="str">
        <f>IFERROR(VLOOKUP(MID(N83,Q83,R83-Q83),[5]skilldef!$C:$D,2,FALSE),"-") &amp; " / " &amp; IFERROR(VLOOKUP(MID(N83,O83,P83-O83),[5]skilldef!$A:$B,2,FALSE),"-")</f>
        <v>味方全体に / ステータスDOWN</v>
      </c>
      <c r="T83" s="47" t="str">
        <f t="shared" si="75"/>
        <v>none</v>
      </c>
      <c r="U83" s="62" t="e">
        <f t="shared" si="76"/>
        <v>#VALUE!</v>
      </c>
      <c r="V83" s="62">
        <f t="shared" si="77"/>
        <v>4</v>
      </c>
      <c r="W83" s="62" t="e">
        <f t="shared" si="78"/>
        <v>#VALUE!</v>
      </c>
      <c r="X83" s="62" t="e">
        <f t="shared" si="79"/>
        <v>#VALUE!</v>
      </c>
      <c r="Y83" s="62" t="str">
        <f>IFERROR(VLOOKUP(MID(T83,W83,X83-W83),[5]skilldef!$C:$D,2,FALSE),"-") &amp; " / " &amp; IFERROR(VLOOKUP(MID(T83,U83,V83-U83),[5]skilldef!$A:$B,2,FALSE),"-")</f>
        <v>- / -</v>
      </c>
      <c r="Z83" s="49" t="s">
        <v>212</v>
      </c>
      <c r="AA83" s="51">
        <f t="shared" ca="1" si="1"/>
        <v>42527</v>
      </c>
      <c r="AB83" s="50" t="s">
        <v>202</v>
      </c>
    </row>
    <row r="84" spans="1:28" ht="21" customHeight="1" x14ac:dyDescent="0.15">
      <c r="A84" s="46">
        <v>49005099</v>
      </c>
      <c r="B84" s="46" t="s">
        <v>408</v>
      </c>
      <c r="C84" s="49">
        <v>3</v>
      </c>
      <c r="D84" s="49" t="s">
        <v>125</v>
      </c>
      <c r="E84" s="50" t="s">
        <v>247</v>
      </c>
      <c r="F84" s="50" t="s">
        <v>420</v>
      </c>
      <c r="G84" s="62" t="str">
        <f t="shared" ref="G84:G108" si="129">IFERROR(LEFT(B84,FIND("],",B84)),B84)</f>
        <v>[effect:tolerance, target:myself, turn:-1, tolerance_effect:hungup, count:-1]</v>
      </c>
      <c r="H84" s="62">
        <f t="shared" ref="H84:H108" si="130">FIND("effect:",G84)+7</f>
        <v>9</v>
      </c>
      <c r="I84" s="62">
        <f t="shared" ref="I84:I108" si="131">IFERROR(FIND(",",G84),LEN(G84))</f>
        <v>18</v>
      </c>
      <c r="J84" s="62">
        <f t="shared" ref="J84:J108" si="132">FIND("target:",G84)+7</f>
        <v>27</v>
      </c>
      <c r="K84" s="62">
        <f t="shared" ref="K84:K108" si="133">FIND(",",G84,I84+1)</f>
        <v>33</v>
      </c>
      <c r="L84" s="62" t="str">
        <f>IFERROR(VLOOKUP(MID(G84,J84,K84-J84),[5]skilldef!$C:$D,2,FALSE),"-") &amp; " / " &amp; IFERROR(VLOOKUP(MID(G84,H84,I84-H84),[5]skilldef!$A:$B,2,FALSE),"-")</f>
        <v>自分自身に / 状態異常耐性</v>
      </c>
      <c r="M84" s="62" t="str">
        <f t="shared" ref="M84:M108" si="134">IFERROR(RIGHT(B84,LEN(B84)-FIND("],",B84)-1),"none")</f>
        <v>[effect:tolerance, target:myself, turn:-1, tolerance_effect:virus, count:-1],[effect:tolerance, target:myself, turn:-1, tolerance_effect:sleep, count:-1, animation:enemy_tolerance],[effect:freq_turn, target:myself, turn:3, val:1, animation:enemy_freq_turn],[effect:drop_block, block_type:jammer, color:block_green, val:0, rate:0.2, turn:-1]</v>
      </c>
      <c r="N84" s="47" t="str">
        <f t="shared" si="128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animation:enemy_freq_turn],[effect:drop_block, block_type:jammer, color:block_green, val:0, rate:0.2, turn:-1]</v>
      </c>
      <c r="O84" s="62">
        <f t="shared" ref="O84:O108" si="135">FIND("effect:",N84)+7</f>
        <v>9</v>
      </c>
      <c r="P84" s="62">
        <f t="shared" ref="P84:P108" si="136">IFERROR(FIND(",",N84),LEN(N84))</f>
        <v>18</v>
      </c>
      <c r="Q84" s="62">
        <f t="shared" ref="Q84:Q108" si="137">FIND("target:",N84)+7</f>
        <v>27</v>
      </c>
      <c r="R84" s="62">
        <f t="shared" ref="R84:R108" si="138">FIND(",",N84,P84+1)</f>
        <v>33</v>
      </c>
      <c r="S84" s="62" t="str">
        <f>IFERROR(VLOOKUP(MID(N84,Q84,R84-Q84),[5]skilldef!$C:$D,2,FALSE),"-") &amp; " / " &amp; IFERROR(VLOOKUP(MID(N84,O84,P84-O84),[5]skilldef!$A:$B,2,FALSE),"-")</f>
        <v>自分自身に / 状態異常耐性</v>
      </c>
      <c r="T84" s="47" t="str">
        <f t="shared" ref="T84:T108" si="139">IFERROR(RIGHT(M84,LEN(M84)-FIND("],",M84)-1),"none")</f>
        <v>[effect:tolerance, target:myself, turn:-1, tolerance_effect:sleep, count:-1, animation:enemy_tolerance],[effect:freq_turn, target:myself, turn:3, val:1, animation:enemy_freq_turn],[effect:drop_block, block_type:jammer, color:block_green, val:0, rate:0.2, turn:-1]</v>
      </c>
      <c r="U84" s="62">
        <f t="shared" ref="U84:U108" si="140">FIND("effect:",T84)+7</f>
        <v>9</v>
      </c>
      <c r="V84" s="62">
        <f t="shared" ref="V84:V108" si="141">IFERROR(FIND(",",T84),LEN(T84))</f>
        <v>18</v>
      </c>
      <c r="W84" s="62">
        <f t="shared" ref="W84:W108" si="142">FIND("target:",T84)+7</f>
        <v>27</v>
      </c>
      <c r="X84" s="62">
        <f t="shared" ref="X84:X108" si="143">FIND(",",T84,V84+1)</f>
        <v>33</v>
      </c>
      <c r="Y84" s="62" t="str">
        <f>IFERROR(VLOOKUP(MID(T84,W84,X84-W84),[5]skilldef!$C:$D,2,FALSE),"-") &amp; " / " &amp; IFERROR(VLOOKUP(MID(T84,U84,V84-U84),[5]skilldef!$A:$B,2,FALSE),"-")</f>
        <v>自分自身に / 状態異常耐性</v>
      </c>
      <c r="Z84" s="49" t="s">
        <v>212</v>
      </c>
      <c r="AA84" s="51">
        <f t="shared" ca="1" si="1"/>
        <v>42527</v>
      </c>
      <c r="AB84" s="50" t="s">
        <v>205</v>
      </c>
    </row>
    <row r="85" spans="1:28" ht="21" customHeight="1" x14ac:dyDescent="0.15">
      <c r="A85" s="46">
        <v>49005100</v>
      </c>
      <c r="B85" s="46" t="s">
        <v>351</v>
      </c>
      <c r="C85" s="49">
        <v>3</v>
      </c>
      <c r="D85" s="49" t="s">
        <v>125</v>
      </c>
      <c r="E85" s="50" t="s">
        <v>249</v>
      </c>
      <c r="F85" s="50" t="s">
        <v>421</v>
      </c>
      <c r="G85" s="62" t="str">
        <f t="shared" si="129"/>
        <v>[effect:tolerance, target:myself, turn:-1, tolerance_effect:hungup, count:-1]</v>
      </c>
      <c r="H85" s="62">
        <f t="shared" si="130"/>
        <v>9</v>
      </c>
      <c r="I85" s="62">
        <f t="shared" si="131"/>
        <v>18</v>
      </c>
      <c r="J85" s="62">
        <f t="shared" si="132"/>
        <v>27</v>
      </c>
      <c r="K85" s="62">
        <f t="shared" si="133"/>
        <v>33</v>
      </c>
      <c r="L85" s="62" t="str">
        <f>IFERROR(VLOOKUP(MID(G85,J85,K85-J85),[5]skilldef!$C:$D,2,FALSE),"-") &amp; " / " &amp; IFERROR(VLOOKUP(MID(G85,H85,I85-H85),[5]skilldef!$A:$B,2,FALSE),"-")</f>
        <v>自分自身に / 状態異常耐性</v>
      </c>
      <c r="M85" s="62" t="str">
        <f t="shared" si="134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85" s="47" t="str">
        <f t="shared" si="128"/>
        <v>[effect:tolerance, target:myself, turn:-1, tolerance_effect:virus, count:-1]</v>
      </c>
      <c r="O85" s="62">
        <f t="shared" si="135"/>
        <v>9</v>
      </c>
      <c r="P85" s="62">
        <f t="shared" si="136"/>
        <v>18</v>
      </c>
      <c r="Q85" s="62">
        <f t="shared" si="137"/>
        <v>27</v>
      </c>
      <c r="R85" s="62">
        <f t="shared" si="138"/>
        <v>33</v>
      </c>
      <c r="S85" s="62" t="str">
        <f>IFERROR(VLOOKUP(MID(N85,Q85,R85-Q85),[5]skilldef!$C:$D,2,FALSE),"-") &amp; " / " &amp; IFERROR(VLOOKUP(MID(N85,O85,P85-O85),[5]skilldef!$A:$B,2,FALSE),"-")</f>
        <v>自分自身に / 状態異常耐性</v>
      </c>
      <c r="T85" s="47" t="str">
        <f t="shared" si="139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85" s="62">
        <f t="shared" si="140"/>
        <v>9</v>
      </c>
      <c r="V85" s="62">
        <f t="shared" si="141"/>
        <v>18</v>
      </c>
      <c r="W85" s="62">
        <f t="shared" si="142"/>
        <v>27</v>
      </c>
      <c r="X85" s="62">
        <f t="shared" si="143"/>
        <v>33</v>
      </c>
      <c r="Y85" s="62" t="str">
        <f>IFERROR(VLOOKUP(MID(T85,W85,X85-W85),[5]skilldef!$C:$D,2,FALSE),"-") &amp; " / " &amp; IFERROR(VLOOKUP(MID(T85,U85,V85-U85),[5]skilldef!$A:$B,2,FALSE),"-")</f>
        <v>自分自身に / 状態異常耐性</v>
      </c>
      <c r="Z85" s="49" t="s">
        <v>212</v>
      </c>
      <c r="AA85" s="51">
        <f t="shared" ca="1" si="1"/>
        <v>42527</v>
      </c>
      <c r="AB85" s="50" t="s">
        <v>203</v>
      </c>
    </row>
    <row r="86" spans="1:28" ht="21" customHeight="1" outlineLevel="1" x14ac:dyDescent="0.15">
      <c r="A86" s="46">
        <v>49005101</v>
      </c>
      <c r="B86" s="46" t="str">
        <f>B85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86" s="49">
        <v>3</v>
      </c>
      <c r="D86" s="49" t="s">
        <v>125</v>
      </c>
      <c r="E86" s="50" t="s">
        <v>249</v>
      </c>
      <c r="F86" s="50" t="s">
        <v>421</v>
      </c>
      <c r="G86" s="62" t="str">
        <f t="shared" ref="G86:G87" si="144">IFERROR(LEFT(B86,FIND("],",B86)),B86)</f>
        <v>[effect:tolerance, target:myself, turn:-1, tolerance_effect:hungup, count:-1]</v>
      </c>
      <c r="H86" s="62">
        <f t="shared" ref="H86:H87" si="145">FIND("effect:",G86)+7</f>
        <v>9</v>
      </c>
      <c r="I86" s="62">
        <f t="shared" ref="I86:I87" si="146">IFERROR(FIND(",",G86),LEN(G86))</f>
        <v>18</v>
      </c>
      <c r="J86" s="62">
        <f t="shared" ref="J86:J87" si="147">FIND("target:",G86)+7</f>
        <v>27</v>
      </c>
      <c r="K86" s="62">
        <f t="shared" ref="K86:K87" si="148">FIND(",",G86,I86+1)</f>
        <v>33</v>
      </c>
      <c r="L86" s="62" t="str">
        <f>IFERROR(VLOOKUP(MID(G86,J86,K86-J86),[5]skilldef!$C:$D,2,FALSE),"-") &amp; " / " &amp; IFERROR(VLOOKUP(MID(G86,H86,I86-H86),[5]skilldef!$A:$B,2,FALSE),"-")</f>
        <v>自分自身に / 状態異常耐性</v>
      </c>
      <c r="M86" s="62" t="str">
        <f t="shared" ref="M86:M87" si="149">IFERROR(RIGHT(B86,LEN(B86)-FIND("],",B86)-1),"none")</f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86" s="47" t="str">
        <f t="shared" si="128"/>
        <v>[effect:tolerance, target:myself, turn:-1, tolerance_effect:virus, count:-1]</v>
      </c>
      <c r="O86" s="62">
        <f t="shared" ref="O86:O87" si="150">FIND("effect:",N86)+7</f>
        <v>9</v>
      </c>
      <c r="P86" s="62">
        <f t="shared" ref="P86:P87" si="151">IFERROR(FIND(",",N86),LEN(N86))</f>
        <v>18</v>
      </c>
      <c r="Q86" s="62">
        <f t="shared" ref="Q86:Q87" si="152">FIND("target:",N86)+7</f>
        <v>27</v>
      </c>
      <c r="R86" s="62">
        <f t="shared" ref="R86:R87" si="153">FIND(",",N86,P86+1)</f>
        <v>33</v>
      </c>
      <c r="S86" s="62" t="str">
        <f>IFERROR(VLOOKUP(MID(N86,Q86,R86-Q86),[5]skilldef!$C:$D,2,FALSE),"-") &amp; " / " &amp; IFERROR(VLOOKUP(MID(N86,O86,P86-O86),[5]skilldef!$A:$B,2,FALSE),"-")</f>
        <v>自分自身に / 状態異常耐性</v>
      </c>
      <c r="T86" s="47" t="str">
        <f t="shared" ref="T86:T87" si="154">IFERROR(RIGHT(M86,LEN(M86)-FIND("],",M86)-1),"none")</f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86" s="62">
        <f t="shared" ref="U86:U87" si="155">FIND("effect:",T86)+7</f>
        <v>9</v>
      </c>
      <c r="V86" s="62">
        <f t="shared" ref="V86:V87" si="156">IFERROR(FIND(",",T86),LEN(T86))</f>
        <v>18</v>
      </c>
      <c r="W86" s="62">
        <f t="shared" ref="W86:W87" si="157">FIND("target:",T86)+7</f>
        <v>27</v>
      </c>
      <c r="X86" s="62">
        <f t="shared" ref="X86:X87" si="158">FIND(",",T86,V86+1)</f>
        <v>33</v>
      </c>
      <c r="Y86" s="62" t="str">
        <f>IFERROR(VLOOKUP(MID(T86,W86,X86-W86),[5]skilldef!$C:$D,2,FALSE),"-") &amp; " / " &amp; IFERROR(VLOOKUP(MID(T86,U86,V86-U86),[5]skilldef!$A:$B,2,FALSE),"-")</f>
        <v>自分自身に / 状態異常耐性</v>
      </c>
      <c r="Z86" s="49" t="s">
        <v>212</v>
      </c>
      <c r="AA86" s="51">
        <f t="shared" ca="1" si="1"/>
        <v>42527</v>
      </c>
      <c r="AB86" s="50" t="s">
        <v>203</v>
      </c>
    </row>
    <row r="87" spans="1:28" ht="21" customHeight="1" outlineLevel="1" x14ac:dyDescent="0.15">
      <c r="A87" s="46">
        <v>49005102</v>
      </c>
      <c r="B87" s="46" t="str">
        <f t="shared" ref="B87:B102" si="159">B86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87" s="49">
        <v>3</v>
      </c>
      <c r="D87" s="49" t="s">
        <v>125</v>
      </c>
      <c r="E87" s="50" t="s">
        <v>249</v>
      </c>
      <c r="F87" s="50" t="s">
        <v>421</v>
      </c>
      <c r="G87" s="62" t="str">
        <f t="shared" si="144"/>
        <v>[effect:tolerance, target:myself, turn:-1, tolerance_effect:hungup, count:-1]</v>
      </c>
      <c r="H87" s="62">
        <f t="shared" si="145"/>
        <v>9</v>
      </c>
      <c r="I87" s="62">
        <f t="shared" si="146"/>
        <v>18</v>
      </c>
      <c r="J87" s="62">
        <f t="shared" si="147"/>
        <v>27</v>
      </c>
      <c r="K87" s="62">
        <f t="shared" si="148"/>
        <v>33</v>
      </c>
      <c r="L87" s="62" t="str">
        <f>IFERROR(VLOOKUP(MID(G87,J87,K87-J87),[5]skilldef!$C:$D,2,FALSE),"-") &amp; " / " &amp; IFERROR(VLOOKUP(MID(G87,H87,I87-H87),[5]skilldef!$A:$B,2,FALSE),"-")</f>
        <v>自分自身に / 状態異常耐性</v>
      </c>
      <c r="M87" s="62" t="str">
        <f t="shared" si="149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87" s="47" t="str">
        <f t="shared" si="128"/>
        <v>[effect:tolerance, target:myself, turn:-1, tolerance_effect:virus, count:-1]</v>
      </c>
      <c r="O87" s="62">
        <f t="shared" si="150"/>
        <v>9</v>
      </c>
      <c r="P87" s="62">
        <f t="shared" si="151"/>
        <v>18</v>
      </c>
      <c r="Q87" s="62">
        <f t="shared" si="152"/>
        <v>27</v>
      </c>
      <c r="R87" s="62">
        <f t="shared" si="153"/>
        <v>33</v>
      </c>
      <c r="S87" s="62" t="str">
        <f>IFERROR(VLOOKUP(MID(N87,Q87,R87-Q87),[5]skilldef!$C:$D,2,FALSE),"-") &amp; " / " &amp; IFERROR(VLOOKUP(MID(N87,O87,P87-O87),[5]skilldef!$A:$B,2,FALSE),"-")</f>
        <v>自分自身に / 状態異常耐性</v>
      </c>
      <c r="T87" s="47" t="str">
        <f t="shared" si="154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87" s="62">
        <f t="shared" si="155"/>
        <v>9</v>
      </c>
      <c r="V87" s="62">
        <f t="shared" si="156"/>
        <v>18</v>
      </c>
      <c r="W87" s="62">
        <f t="shared" si="157"/>
        <v>27</v>
      </c>
      <c r="X87" s="62">
        <f t="shared" si="158"/>
        <v>33</v>
      </c>
      <c r="Y87" s="62" t="str">
        <f>IFERROR(VLOOKUP(MID(T87,W87,X87-W87),[5]skilldef!$C:$D,2,FALSE),"-") &amp; " / " &amp; IFERROR(VLOOKUP(MID(T87,U87,V87-U87),[5]skilldef!$A:$B,2,FALSE),"-")</f>
        <v>自分自身に / 状態異常耐性</v>
      </c>
      <c r="Z87" s="49" t="s">
        <v>212</v>
      </c>
      <c r="AA87" s="51">
        <f t="shared" ca="1" si="1"/>
        <v>42527</v>
      </c>
      <c r="AB87" s="50" t="s">
        <v>203</v>
      </c>
    </row>
    <row r="88" spans="1:28" ht="21" customHeight="1" outlineLevel="1" x14ac:dyDescent="0.15">
      <c r="A88" s="46">
        <v>49005103</v>
      </c>
      <c r="B88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88" s="49">
        <v>3</v>
      </c>
      <c r="D88" s="49" t="s">
        <v>125</v>
      </c>
      <c r="E88" s="50" t="s">
        <v>249</v>
      </c>
      <c r="F88" s="50" t="s">
        <v>421</v>
      </c>
      <c r="G88" s="62" t="str">
        <f t="shared" ref="G88:G102" si="160">IFERROR(LEFT(B88,FIND("],",B88)),B88)</f>
        <v>[effect:tolerance, target:myself, turn:-1, tolerance_effect:hungup, count:-1]</v>
      </c>
      <c r="H88" s="62">
        <f t="shared" ref="H88:H102" si="161">FIND("effect:",G88)+7</f>
        <v>9</v>
      </c>
      <c r="I88" s="62">
        <f t="shared" ref="I88:I102" si="162">IFERROR(FIND(",",G88),LEN(G88))</f>
        <v>18</v>
      </c>
      <c r="J88" s="62">
        <f t="shared" ref="J88:J102" si="163">FIND("target:",G88)+7</f>
        <v>27</v>
      </c>
      <c r="K88" s="62">
        <f t="shared" ref="K88:K102" si="164">FIND(",",G88,I88+1)</f>
        <v>33</v>
      </c>
      <c r="L88" s="62" t="str">
        <f>IFERROR(VLOOKUP(MID(G88,J88,K88-J88),[5]skilldef!$C:$D,2,FALSE),"-") &amp; " / " &amp; IFERROR(VLOOKUP(MID(G88,H88,I88-H88),[5]skilldef!$A:$B,2,FALSE),"-")</f>
        <v>自分自身に / 状態異常耐性</v>
      </c>
      <c r="M88" s="62" t="str">
        <f t="shared" ref="M88:M102" si="165">IFERROR(RIGHT(B88,LEN(B88)-FIND("],",B88)-1),"none")</f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88" s="47" t="str">
        <f t="shared" si="128"/>
        <v>[effect:tolerance, target:myself, turn:-1, tolerance_effect:virus, count:-1]</v>
      </c>
      <c r="O88" s="62">
        <f t="shared" ref="O88:O102" si="166">FIND("effect:",N88)+7</f>
        <v>9</v>
      </c>
      <c r="P88" s="62">
        <f t="shared" ref="P88:P102" si="167">IFERROR(FIND(",",N88),LEN(N88))</f>
        <v>18</v>
      </c>
      <c r="Q88" s="62">
        <f t="shared" ref="Q88:Q102" si="168">FIND("target:",N88)+7</f>
        <v>27</v>
      </c>
      <c r="R88" s="62">
        <f t="shared" ref="R88:R102" si="169">FIND(",",N88,P88+1)</f>
        <v>33</v>
      </c>
      <c r="S88" s="62" t="str">
        <f>IFERROR(VLOOKUP(MID(N88,Q88,R88-Q88),[5]skilldef!$C:$D,2,FALSE),"-") &amp; " / " &amp; IFERROR(VLOOKUP(MID(N88,O88,P88-O88),[5]skilldef!$A:$B,2,FALSE),"-")</f>
        <v>自分自身に / 状態異常耐性</v>
      </c>
      <c r="T88" s="47" t="str">
        <f t="shared" ref="T88:T102" si="170">IFERROR(RIGHT(M88,LEN(M88)-FIND("],",M88)-1),"none")</f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88" s="62">
        <f t="shared" ref="U88:U102" si="171">FIND("effect:",T88)+7</f>
        <v>9</v>
      </c>
      <c r="V88" s="62">
        <f t="shared" ref="V88:V102" si="172">IFERROR(FIND(",",T88),LEN(T88))</f>
        <v>18</v>
      </c>
      <c r="W88" s="62">
        <f t="shared" ref="W88:W102" si="173">FIND("target:",T88)+7</f>
        <v>27</v>
      </c>
      <c r="X88" s="62">
        <f t="shared" ref="X88:X102" si="174">FIND(",",T88,V88+1)</f>
        <v>33</v>
      </c>
      <c r="Y88" s="62" t="str">
        <f>IFERROR(VLOOKUP(MID(T88,W88,X88-W88),[5]skilldef!$C:$D,2,FALSE),"-") &amp; " / " &amp; IFERROR(VLOOKUP(MID(T88,U88,V88-U88),[5]skilldef!$A:$B,2,FALSE),"-")</f>
        <v>自分自身に / 状態異常耐性</v>
      </c>
      <c r="Z88" s="49" t="s">
        <v>212</v>
      </c>
      <c r="AA88" s="51">
        <f t="shared" ca="1" si="1"/>
        <v>42527</v>
      </c>
      <c r="AB88" s="50" t="s">
        <v>203</v>
      </c>
    </row>
    <row r="89" spans="1:28" ht="21" customHeight="1" outlineLevel="1" x14ac:dyDescent="0.15">
      <c r="A89" s="46">
        <v>49005104</v>
      </c>
      <c r="B89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89" s="49">
        <v>3</v>
      </c>
      <c r="D89" s="49" t="s">
        <v>125</v>
      </c>
      <c r="E89" s="50" t="s">
        <v>249</v>
      </c>
      <c r="F89" s="50" t="s">
        <v>421</v>
      </c>
      <c r="G89" s="62" t="str">
        <f t="shared" si="160"/>
        <v>[effect:tolerance, target:myself, turn:-1, tolerance_effect:hungup, count:-1]</v>
      </c>
      <c r="H89" s="62">
        <f t="shared" si="161"/>
        <v>9</v>
      </c>
      <c r="I89" s="62">
        <f t="shared" si="162"/>
        <v>18</v>
      </c>
      <c r="J89" s="62">
        <f t="shared" si="163"/>
        <v>27</v>
      </c>
      <c r="K89" s="62">
        <f t="shared" si="164"/>
        <v>33</v>
      </c>
      <c r="L89" s="62" t="str">
        <f>IFERROR(VLOOKUP(MID(G89,J89,K89-J89),[5]skilldef!$C:$D,2,FALSE),"-") &amp; " / " &amp; IFERROR(VLOOKUP(MID(G89,H89,I89-H89),[5]skilldef!$A:$B,2,FALSE),"-")</f>
        <v>自分自身に / 状態異常耐性</v>
      </c>
      <c r="M89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89" s="47" t="str">
        <f t="shared" si="128"/>
        <v>[effect:tolerance, target:myself, turn:-1, tolerance_effect:virus, count:-1]</v>
      </c>
      <c r="O89" s="62">
        <f t="shared" si="166"/>
        <v>9</v>
      </c>
      <c r="P89" s="62">
        <f t="shared" si="167"/>
        <v>18</v>
      </c>
      <c r="Q89" s="62">
        <f t="shared" si="168"/>
        <v>27</v>
      </c>
      <c r="R89" s="62">
        <f t="shared" si="169"/>
        <v>33</v>
      </c>
      <c r="S89" s="62" t="str">
        <f>IFERROR(VLOOKUP(MID(N89,Q89,R89-Q89),[5]skilldef!$C:$D,2,FALSE),"-") &amp; " / " &amp; IFERROR(VLOOKUP(MID(N89,O89,P89-O89),[5]skilldef!$A:$B,2,FALSE),"-")</f>
        <v>自分自身に / 状態異常耐性</v>
      </c>
      <c r="T89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89" s="62">
        <f t="shared" si="171"/>
        <v>9</v>
      </c>
      <c r="V89" s="62">
        <f t="shared" si="172"/>
        <v>18</v>
      </c>
      <c r="W89" s="62">
        <f t="shared" si="173"/>
        <v>27</v>
      </c>
      <c r="X89" s="62">
        <f t="shared" si="174"/>
        <v>33</v>
      </c>
      <c r="Y89" s="62" t="str">
        <f>IFERROR(VLOOKUP(MID(T89,W89,X89-W89),[5]skilldef!$C:$D,2,FALSE),"-") &amp; " / " &amp; IFERROR(VLOOKUP(MID(T89,U89,V89-U89),[5]skilldef!$A:$B,2,FALSE),"-")</f>
        <v>自分自身に / 状態異常耐性</v>
      </c>
      <c r="Z89" s="49" t="s">
        <v>212</v>
      </c>
      <c r="AA89" s="51">
        <f t="shared" ca="1" si="1"/>
        <v>42527</v>
      </c>
      <c r="AB89" s="50" t="s">
        <v>203</v>
      </c>
    </row>
    <row r="90" spans="1:28" ht="21" customHeight="1" outlineLevel="1" x14ac:dyDescent="0.15">
      <c r="A90" s="46">
        <v>49005105</v>
      </c>
      <c r="B90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0" s="49">
        <v>3</v>
      </c>
      <c r="D90" s="49" t="s">
        <v>125</v>
      </c>
      <c r="E90" s="50" t="s">
        <v>249</v>
      </c>
      <c r="F90" s="50" t="s">
        <v>421</v>
      </c>
      <c r="G90" s="62" t="str">
        <f t="shared" si="160"/>
        <v>[effect:tolerance, target:myself, turn:-1, tolerance_effect:hungup, count:-1]</v>
      </c>
      <c r="H90" s="62">
        <f t="shared" si="161"/>
        <v>9</v>
      </c>
      <c r="I90" s="62">
        <f t="shared" si="162"/>
        <v>18</v>
      </c>
      <c r="J90" s="62">
        <f t="shared" si="163"/>
        <v>27</v>
      </c>
      <c r="K90" s="62">
        <f t="shared" si="164"/>
        <v>33</v>
      </c>
      <c r="L90" s="62" t="str">
        <f>IFERROR(VLOOKUP(MID(G90,J90,K90-J90),[5]skilldef!$C:$D,2,FALSE),"-") &amp; " / " &amp; IFERROR(VLOOKUP(MID(G90,H90,I90-H90),[5]skilldef!$A:$B,2,FALSE),"-")</f>
        <v>自分自身に / 状態異常耐性</v>
      </c>
      <c r="M90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0" s="47" t="str">
        <f t="shared" si="128"/>
        <v>[effect:tolerance, target:myself, turn:-1, tolerance_effect:virus, count:-1]</v>
      </c>
      <c r="O90" s="62">
        <f t="shared" si="166"/>
        <v>9</v>
      </c>
      <c r="P90" s="62">
        <f t="shared" si="167"/>
        <v>18</v>
      </c>
      <c r="Q90" s="62">
        <f t="shared" si="168"/>
        <v>27</v>
      </c>
      <c r="R90" s="62">
        <f t="shared" si="169"/>
        <v>33</v>
      </c>
      <c r="S90" s="62" t="str">
        <f>IFERROR(VLOOKUP(MID(N90,Q90,R90-Q90),[5]skilldef!$C:$D,2,FALSE),"-") &amp; " / " &amp; IFERROR(VLOOKUP(MID(N90,O90,P90-O90),[5]skilldef!$A:$B,2,FALSE),"-")</f>
        <v>自分自身に / 状態異常耐性</v>
      </c>
      <c r="T90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0" s="62">
        <f t="shared" si="171"/>
        <v>9</v>
      </c>
      <c r="V90" s="62">
        <f t="shared" si="172"/>
        <v>18</v>
      </c>
      <c r="W90" s="62">
        <f t="shared" si="173"/>
        <v>27</v>
      </c>
      <c r="X90" s="62">
        <f t="shared" si="174"/>
        <v>33</v>
      </c>
      <c r="Y90" s="62" t="str">
        <f>IFERROR(VLOOKUP(MID(T90,W90,X90-W90),[5]skilldef!$C:$D,2,FALSE),"-") &amp; " / " &amp; IFERROR(VLOOKUP(MID(T90,U90,V90-U90),[5]skilldef!$A:$B,2,FALSE),"-")</f>
        <v>自分自身に / 状態異常耐性</v>
      </c>
      <c r="Z90" s="49" t="s">
        <v>212</v>
      </c>
      <c r="AA90" s="51">
        <f t="shared" ca="1" si="1"/>
        <v>42527</v>
      </c>
      <c r="AB90" s="50" t="s">
        <v>203</v>
      </c>
    </row>
    <row r="91" spans="1:28" ht="21" customHeight="1" outlineLevel="1" x14ac:dyDescent="0.15">
      <c r="A91" s="46">
        <v>49005106</v>
      </c>
      <c r="B91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1" s="49">
        <v>3</v>
      </c>
      <c r="D91" s="49" t="s">
        <v>125</v>
      </c>
      <c r="E91" s="50" t="s">
        <v>249</v>
      </c>
      <c r="F91" s="50" t="s">
        <v>421</v>
      </c>
      <c r="G91" s="62" t="str">
        <f t="shared" si="160"/>
        <v>[effect:tolerance, target:myself, turn:-1, tolerance_effect:hungup, count:-1]</v>
      </c>
      <c r="H91" s="62">
        <f t="shared" si="161"/>
        <v>9</v>
      </c>
      <c r="I91" s="62">
        <f t="shared" si="162"/>
        <v>18</v>
      </c>
      <c r="J91" s="62">
        <f t="shared" si="163"/>
        <v>27</v>
      </c>
      <c r="K91" s="62">
        <f t="shared" si="164"/>
        <v>33</v>
      </c>
      <c r="L91" s="62" t="str">
        <f>IFERROR(VLOOKUP(MID(G91,J91,K91-J91),[5]skilldef!$C:$D,2,FALSE),"-") &amp; " / " &amp; IFERROR(VLOOKUP(MID(G91,H91,I91-H91),[5]skilldef!$A:$B,2,FALSE),"-")</f>
        <v>自分自身に / 状態異常耐性</v>
      </c>
      <c r="M91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1" s="47" t="str">
        <f t="shared" si="128"/>
        <v>[effect:tolerance, target:myself, turn:-1, tolerance_effect:virus, count:-1]</v>
      </c>
      <c r="O91" s="62">
        <f t="shared" si="166"/>
        <v>9</v>
      </c>
      <c r="P91" s="62">
        <f t="shared" si="167"/>
        <v>18</v>
      </c>
      <c r="Q91" s="62">
        <f t="shared" si="168"/>
        <v>27</v>
      </c>
      <c r="R91" s="62">
        <f t="shared" si="169"/>
        <v>33</v>
      </c>
      <c r="S91" s="62" t="str">
        <f>IFERROR(VLOOKUP(MID(N91,Q91,R91-Q91),[5]skilldef!$C:$D,2,FALSE),"-") &amp; " / " &amp; IFERROR(VLOOKUP(MID(N91,O91,P91-O91),[5]skilldef!$A:$B,2,FALSE),"-")</f>
        <v>自分自身に / 状態異常耐性</v>
      </c>
      <c r="T91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1" s="62">
        <f t="shared" si="171"/>
        <v>9</v>
      </c>
      <c r="V91" s="62">
        <f t="shared" si="172"/>
        <v>18</v>
      </c>
      <c r="W91" s="62">
        <f t="shared" si="173"/>
        <v>27</v>
      </c>
      <c r="X91" s="62">
        <f t="shared" si="174"/>
        <v>33</v>
      </c>
      <c r="Y91" s="62" t="str">
        <f>IFERROR(VLOOKUP(MID(T91,W91,X91-W91),[5]skilldef!$C:$D,2,FALSE),"-") &amp; " / " &amp; IFERROR(VLOOKUP(MID(T91,U91,V91-U91),[5]skilldef!$A:$B,2,FALSE),"-")</f>
        <v>自分自身に / 状態異常耐性</v>
      </c>
      <c r="Z91" s="49" t="s">
        <v>212</v>
      </c>
      <c r="AA91" s="51">
        <f t="shared" ca="1" si="1"/>
        <v>42527</v>
      </c>
      <c r="AB91" s="50" t="s">
        <v>203</v>
      </c>
    </row>
    <row r="92" spans="1:28" ht="21" customHeight="1" outlineLevel="1" x14ac:dyDescent="0.15">
      <c r="A92" s="46">
        <v>49005107</v>
      </c>
      <c r="B92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2" s="49">
        <v>3</v>
      </c>
      <c r="D92" s="49" t="s">
        <v>125</v>
      </c>
      <c r="E92" s="50" t="s">
        <v>249</v>
      </c>
      <c r="F92" s="50" t="s">
        <v>421</v>
      </c>
      <c r="G92" s="62" t="str">
        <f t="shared" si="160"/>
        <v>[effect:tolerance, target:myself, turn:-1, tolerance_effect:hungup, count:-1]</v>
      </c>
      <c r="H92" s="62">
        <f t="shared" si="161"/>
        <v>9</v>
      </c>
      <c r="I92" s="62">
        <f t="shared" si="162"/>
        <v>18</v>
      </c>
      <c r="J92" s="62">
        <f t="shared" si="163"/>
        <v>27</v>
      </c>
      <c r="K92" s="62">
        <f t="shared" si="164"/>
        <v>33</v>
      </c>
      <c r="L92" s="62" t="str">
        <f>IFERROR(VLOOKUP(MID(G92,J92,K92-J92),[5]skilldef!$C:$D,2,FALSE),"-") &amp; " / " &amp; IFERROR(VLOOKUP(MID(G92,H92,I92-H92),[5]skilldef!$A:$B,2,FALSE),"-")</f>
        <v>自分自身に / 状態異常耐性</v>
      </c>
      <c r="M92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2" s="47" t="str">
        <f t="shared" si="128"/>
        <v>[effect:tolerance, target:myself, turn:-1, tolerance_effect:virus, count:-1]</v>
      </c>
      <c r="O92" s="62">
        <f t="shared" si="166"/>
        <v>9</v>
      </c>
      <c r="P92" s="62">
        <f t="shared" si="167"/>
        <v>18</v>
      </c>
      <c r="Q92" s="62">
        <f t="shared" si="168"/>
        <v>27</v>
      </c>
      <c r="R92" s="62">
        <f t="shared" si="169"/>
        <v>33</v>
      </c>
      <c r="S92" s="62" t="str">
        <f>IFERROR(VLOOKUP(MID(N92,Q92,R92-Q92),[5]skilldef!$C:$D,2,FALSE),"-") &amp; " / " &amp; IFERROR(VLOOKUP(MID(N92,O92,P92-O92),[5]skilldef!$A:$B,2,FALSE),"-")</f>
        <v>自分自身に / 状態異常耐性</v>
      </c>
      <c r="T92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2" s="62">
        <f t="shared" si="171"/>
        <v>9</v>
      </c>
      <c r="V92" s="62">
        <f t="shared" si="172"/>
        <v>18</v>
      </c>
      <c r="W92" s="62">
        <f t="shared" si="173"/>
        <v>27</v>
      </c>
      <c r="X92" s="62">
        <f t="shared" si="174"/>
        <v>33</v>
      </c>
      <c r="Y92" s="62" t="str">
        <f>IFERROR(VLOOKUP(MID(T92,W92,X92-W92),[5]skilldef!$C:$D,2,FALSE),"-") &amp; " / " &amp; IFERROR(VLOOKUP(MID(T92,U92,V92-U92),[5]skilldef!$A:$B,2,FALSE),"-")</f>
        <v>自分自身に / 状態異常耐性</v>
      </c>
      <c r="Z92" s="49" t="s">
        <v>212</v>
      </c>
      <c r="AA92" s="51">
        <f t="shared" ca="1" si="1"/>
        <v>42527</v>
      </c>
      <c r="AB92" s="50" t="s">
        <v>203</v>
      </c>
    </row>
    <row r="93" spans="1:28" ht="21" customHeight="1" outlineLevel="1" x14ac:dyDescent="0.15">
      <c r="A93" s="46">
        <v>49005108</v>
      </c>
      <c r="B93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3" s="49">
        <v>3</v>
      </c>
      <c r="D93" s="49" t="s">
        <v>125</v>
      </c>
      <c r="E93" s="50" t="s">
        <v>249</v>
      </c>
      <c r="F93" s="50" t="s">
        <v>421</v>
      </c>
      <c r="G93" s="62" t="str">
        <f t="shared" si="160"/>
        <v>[effect:tolerance, target:myself, turn:-1, tolerance_effect:hungup, count:-1]</v>
      </c>
      <c r="H93" s="62">
        <f t="shared" si="161"/>
        <v>9</v>
      </c>
      <c r="I93" s="62">
        <f t="shared" si="162"/>
        <v>18</v>
      </c>
      <c r="J93" s="62">
        <f t="shared" si="163"/>
        <v>27</v>
      </c>
      <c r="K93" s="62">
        <f t="shared" si="164"/>
        <v>33</v>
      </c>
      <c r="L93" s="62" t="str">
        <f>IFERROR(VLOOKUP(MID(G93,J93,K93-J93),[5]skilldef!$C:$D,2,FALSE),"-") &amp; " / " &amp; IFERROR(VLOOKUP(MID(G93,H93,I93-H93),[5]skilldef!$A:$B,2,FALSE),"-")</f>
        <v>自分自身に / 状態異常耐性</v>
      </c>
      <c r="M93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3" s="47" t="str">
        <f t="shared" si="128"/>
        <v>[effect:tolerance, target:myself, turn:-1, tolerance_effect:virus, count:-1]</v>
      </c>
      <c r="O93" s="62">
        <f t="shared" si="166"/>
        <v>9</v>
      </c>
      <c r="P93" s="62">
        <f t="shared" si="167"/>
        <v>18</v>
      </c>
      <c r="Q93" s="62">
        <f t="shared" si="168"/>
        <v>27</v>
      </c>
      <c r="R93" s="62">
        <f t="shared" si="169"/>
        <v>33</v>
      </c>
      <c r="S93" s="62" t="str">
        <f>IFERROR(VLOOKUP(MID(N93,Q93,R93-Q93),[5]skilldef!$C:$D,2,FALSE),"-") &amp; " / " &amp; IFERROR(VLOOKUP(MID(N93,O93,P93-O93),[5]skilldef!$A:$B,2,FALSE),"-")</f>
        <v>自分自身に / 状態異常耐性</v>
      </c>
      <c r="T93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3" s="62">
        <f t="shared" si="171"/>
        <v>9</v>
      </c>
      <c r="V93" s="62">
        <f t="shared" si="172"/>
        <v>18</v>
      </c>
      <c r="W93" s="62">
        <f t="shared" si="173"/>
        <v>27</v>
      </c>
      <c r="X93" s="62">
        <f t="shared" si="174"/>
        <v>33</v>
      </c>
      <c r="Y93" s="62" t="str">
        <f>IFERROR(VLOOKUP(MID(T93,W93,X93-W93),[5]skilldef!$C:$D,2,FALSE),"-") &amp; " / " &amp; IFERROR(VLOOKUP(MID(T93,U93,V93-U93),[5]skilldef!$A:$B,2,FALSE),"-")</f>
        <v>自分自身に / 状態異常耐性</v>
      </c>
      <c r="Z93" s="49" t="s">
        <v>212</v>
      </c>
      <c r="AA93" s="51">
        <f t="shared" ca="1" si="1"/>
        <v>42527</v>
      </c>
      <c r="AB93" s="50" t="s">
        <v>203</v>
      </c>
    </row>
    <row r="94" spans="1:28" ht="21" customHeight="1" outlineLevel="1" x14ac:dyDescent="0.15">
      <c r="A94" s="46">
        <v>49005109</v>
      </c>
      <c r="B94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4" s="49">
        <v>3</v>
      </c>
      <c r="D94" s="49" t="s">
        <v>125</v>
      </c>
      <c r="E94" s="50" t="s">
        <v>249</v>
      </c>
      <c r="F94" s="50" t="s">
        <v>421</v>
      </c>
      <c r="G94" s="62" t="str">
        <f t="shared" si="160"/>
        <v>[effect:tolerance, target:myself, turn:-1, tolerance_effect:hungup, count:-1]</v>
      </c>
      <c r="H94" s="62">
        <f t="shared" si="161"/>
        <v>9</v>
      </c>
      <c r="I94" s="62">
        <f t="shared" si="162"/>
        <v>18</v>
      </c>
      <c r="J94" s="62">
        <f t="shared" si="163"/>
        <v>27</v>
      </c>
      <c r="K94" s="62">
        <f t="shared" si="164"/>
        <v>33</v>
      </c>
      <c r="L94" s="62" t="str">
        <f>IFERROR(VLOOKUP(MID(G94,J94,K94-J94),[5]skilldef!$C:$D,2,FALSE),"-") &amp; " / " &amp; IFERROR(VLOOKUP(MID(G94,H94,I94-H94),[5]skilldef!$A:$B,2,FALSE),"-")</f>
        <v>自分自身に / 状態異常耐性</v>
      </c>
      <c r="M94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4" s="47" t="str">
        <f t="shared" si="128"/>
        <v>[effect:tolerance, target:myself, turn:-1, tolerance_effect:virus, count:-1]</v>
      </c>
      <c r="O94" s="62">
        <f t="shared" si="166"/>
        <v>9</v>
      </c>
      <c r="P94" s="62">
        <f t="shared" si="167"/>
        <v>18</v>
      </c>
      <c r="Q94" s="62">
        <f t="shared" si="168"/>
        <v>27</v>
      </c>
      <c r="R94" s="62">
        <f t="shared" si="169"/>
        <v>33</v>
      </c>
      <c r="S94" s="62" t="str">
        <f>IFERROR(VLOOKUP(MID(N94,Q94,R94-Q94),[5]skilldef!$C:$D,2,FALSE),"-") &amp; " / " &amp; IFERROR(VLOOKUP(MID(N94,O94,P94-O94),[5]skilldef!$A:$B,2,FALSE),"-")</f>
        <v>自分自身に / 状態異常耐性</v>
      </c>
      <c r="T94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4" s="62">
        <f t="shared" si="171"/>
        <v>9</v>
      </c>
      <c r="V94" s="62">
        <f t="shared" si="172"/>
        <v>18</v>
      </c>
      <c r="W94" s="62">
        <f t="shared" si="173"/>
        <v>27</v>
      </c>
      <c r="X94" s="62">
        <f t="shared" si="174"/>
        <v>33</v>
      </c>
      <c r="Y94" s="62" t="str">
        <f>IFERROR(VLOOKUP(MID(T94,W94,X94-W94),[5]skilldef!$C:$D,2,FALSE),"-") &amp; " / " &amp; IFERROR(VLOOKUP(MID(T94,U94,V94-U94),[5]skilldef!$A:$B,2,FALSE),"-")</f>
        <v>自分自身に / 状態異常耐性</v>
      </c>
      <c r="Z94" s="49" t="s">
        <v>212</v>
      </c>
      <c r="AA94" s="51">
        <f t="shared" ca="1" si="1"/>
        <v>42527</v>
      </c>
      <c r="AB94" s="50" t="s">
        <v>203</v>
      </c>
    </row>
    <row r="95" spans="1:28" ht="21" customHeight="1" outlineLevel="1" x14ac:dyDescent="0.15">
      <c r="A95" s="46">
        <v>49005110</v>
      </c>
      <c r="B95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5" s="49">
        <v>3</v>
      </c>
      <c r="D95" s="49" t="s">
        <v>125</v>
      </c>
      <c r="E95" s="50" t="s">
        <v>249</v>
      </c>
      <c r="F95" s="50" t="s">
        <v>421</v>
      </c>
      <c r="G95" s="62" t="str">
        <f t="shared" si="160"/>
        <v>[effect:tolerance, target:myself, turn:-1, tolerance_effect:hungup, count:-1]</v>
      </c>
      <c r="H95" s="62">
        <f t="shared" si="161"/>
        <v>9</v>
      </c>
      <c r="I95" s="62">
        <f t="shared" si="162"/>
        <v>18</v>
      </c>
      <c r="J95" s="62">
        <f t="shared" si="163"/>
        <v>27</v>
      </c>
      <c r="K95" s="62">
        <f t="shared" si="164"/>
        <v>33</v>
      </c>
      <c r="L95" s="62" t="str">
        <f>IFERROR(VLOOKUP(MID(G95,J95,K95-J95),[5]skilldef!$C:$D,2,FALSE),"-") &amp; " / " &amp; IFERROR(VLOOKUP(MID(G95,H95,I95-H95),[5]skilldef!$A:$B,2,FALSE),"-")</f>
        <v>自分自身に / 状態異常耐性</v>
      </c>
      <c r="M95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5" s="47" t="str">
        <f t="shared" si="128"/>
        <v>[effect:tolerance, target:myself, turn:-1, tolerance_effect:virus, count:-1]</v>
      </c>
      <c r="O95" s="62">
        <f t="shared" si="166"/>
        <v>9</v>
      </c>
      <c r="P95" s="62">
        <f t="shared" si="167"/>
        <v>18</v>
      </c>
      <c r="Q95" s="62">
        <f t="shared" si="168"/>
        <v>27</v>
      </c>
      <c r="R95" s="62">
        <f t="shared" si="169"/>
        <v>33</v>
      </c>
      <c r="S95" s="62" t="str">
        <f>IFERROR(VLOOKUP(MID(N95,Q95,R95-Q95),[5]skilldef!$C:$D,2,FALSE),"-") &amp; " / " &amp; IFERROR(VLOOKUP(MID(N95,O95,P95-O95),[5]skilldef!$A:$B,2,FALSE),"-")</f>
        <v>自分自身に / 状態異常耐性</v>
      </c>
      <c r="T95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5" s="62">
        <f t="shared" si="171"/>
        <v>9</v>
      </c>
      <c r="V95" s="62">
        <f t="shared" si="172"/>
        <v>18</v>
      </c>
      <c r="W95" s="62">
        <f t="shared" si="173"/>
        <v>27</v>
      </c>
      <c r="X95" s="62">
        <f t="shared" si="174"/>
        <v>33</v>
      </c>
      <c r="Y95" s="62" t="str">
        <f>IFERROR(VLOOKUP(MID(T95,W95,X95-W95),[5]skilldef!$C:$D,2,FALSE),"-") &amp; " / " &amp; IFERROR(VLOOKUP(MID(T95,U95,V95-U95),[5]skilldef!$A:$B,2,FALSE),"-")</f>
        <v>自分自身に / 状態異常耐性</v>
      </c>
      <c r="Z95" s="49" t="s">
        <v>212</v>
      </c>
      <c r="AA95" s="51">
        <f t="shared" ca="1" si="1"/>
        <v>42527</v>
      </c>
      <c r="AB95" s="50" t="s">
        <v>203</v>
      </c>
    </row>
    <row r="96" spans="1:28" ht="21" customHeight="1" outlineLevel="1" x14ac:dyDescent="0.15">
      <c r="A96" s="46">
        <v>49005111</v>
      </c>
      <c r="B96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6" s="49">
        <v>3</v>
      </c>
      <c r="D96" s="49" t="s">
        <v>125</v>
      </c>
      <c r="E96" s="50" t="s">
        <v>249</v>
      </c>
      <c r="F96" s="50" t="s">
        <v>421</v>
      </c>
      <c r="G96" s="62" t="str">
        <f t="shared" si="160"/>
        <v>[effect:tolerance, target:myself, turn:-1, tolerance_effect:hungup, count:-1]</v>
      </c>
      <c r="H96" s="62">
        <f t="shared" si="161"/>
        <v>9</v>
      </c>
      <c r="I96" s="62">
        <f t="shared" si="162"/>
        <v>18</v>
      </c>
      <c r="J96" s="62">
        <f t="shared" si="163"/>
        <v>27</v>
      </c>
      <c r="K96" s="62">
        <f t="shared" si="164"/>
        <v>33</v>
      </c>
      <c r="L96" s="62" t="str">
        <f>IFERROR(VLOOKUP(MID(G96,J96,K96-J96),[5]skilldef!$C:$D,2,FALSE),"-") &amp; " / " &amp; IFERROR(VLOOKUP(MID(G96,H96,I96-H96),[5]skilldef!$A:$B,2,FALSE),"-")</f>
        <v>自分自身に / 状態異常耐性</v>
      </c>
      <c r="M96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6" s="47" t="str">
        <f t="shared" si="128"/>
        <v>[effect:tolerance, target:myself, turn:-1, tolerance_effect:virus, count:-1]</v>
      </c>
      <c r="O96" s="62">
        <f t="shared" si="166"/>
        <v>9</v>
      </c>
      <c r="P96" s="62">
        <f t="shared" si="167"/>
        <v>18</v>
      </c>
      <c r="Q96" s="62">
        <f t="shared" si="168"/>
        <v>27</v>
      </c>
      <c r="R96" s="62">
        <f t="shared" si="169"/>
        <v>33</v>
      </c>
      <c r="S96" s="62" t="str">
        <f>IFERROR(VLOOKUP(MID(N96,Q96,R96-Q96),[5]skilldef!$C:$D,2,FALSE),"-") &amp; " / " &amp; IFERROR(VLOOKUP(MID(N96,O96,P96-O96),[5]skilldef!$A:$B,2,FALSE),"-")</f>
        <v>自分自身に / 状態異常耐性</v>
      </c>
      <c r="T96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6" s="62">
        <f t="shared" si="171"/>
        <v>9</v>
      </c>
      <c r="V96" s="62">
        <f t="shared" si="172"/>
        <v>18</v>
      </c>
      <c r="W96" s="62">
        <f t="shared" si="173"/>
        <v>27</v>
      </c>
      <c r="X96" s="62">
        <f t="shared" si="174"/>
        <v>33</v>
      </c>
      <c r="Y96" s="62" t="str">
        <f>IFERROR(VLOOKUP(MID(T96,W96,X96-W96),[5]skilldef!$C:$D,2,FALSE),"-") &amp; " / " &amp; IFERROR(VLOOKUP(MID(T96,U96,V96-U96),[5]skilldef!$A:$B,2,FALSE),"-")</f>
        <v>自分自身に / 状態異常耐性</v>
      </c>
      <c r="Z96" s="49" t="s">
        <v>212</v>
      </c>
      <c r="AA96" s="51">
        <f t="shared" ca="1" si="1"/>
        <v>42527</v>
      </c>
      <c r="AB96" s="50" t="s">
        <v>203</v>
      </c>
    </row>
    <row r="97" spans="1:28" ht="21" customHeight="1" outlineLevel="1" x14ac:dyDescent="0.15">
      <c r="A97" s="46">
        <v>49005112</v>
      </c>
      <c r="B97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7" s="49">
        <v>3</v>
      </c>
      <c r="D97" s="49" t="s">
        <v>125</v>
      </c>
      <c r="E97" s="50" t="s">
        <v>249</v>
      </c>
      <c r="F97" s="50" t="s">
        <v>421</v>
      </c>
      <c r="G97" s="62" t="str">
        <f t="shared" si="160"/>
        <v>[effect:tolerance, target:myself, turn:-1, tolerance_effect:hungup, count:-1]</v>
      </c>
      <c r="H97" s="62">
        <f t="shared" si="161"/>
        <v>9</v>
      </c>
      <c r="I97" s="62">
        <f t="shared" si="162"/>
        <v>18</v>
      </c>
      <c r="J97" s="62">
        <f t="shared" si="163"/>
        <v>27</v>
      </c>
      <c r="K97" s="62">
        <f t="shared" si="164"/>
        <v>33</v>
      </c>
      <c r="L97" s="62" t="str">
        <f>IFERROR(VLOOKUP(MID(G97,J97,K97-J97),[5]skilldef!$C:$D,2,FALSE),"-") &amp; " / " &amp; IFERROR(VLOOKUP(MID(G97,H97,I97-H97),[5]skilldef!$A:$B,2,FALSE),"-")</f>
        <v>自分自身に / 状態異常耐性</v>
      </c>
      <c r="M97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7" s="47" t="str">
        <f t="shared" si="128"/>
        <v>[effect:tolerance, target:myself, turn:-1, tolerance_effect:virus, count:-1]</v>
      </c>
      <c r="O97" s="62">
        <f t="shared" si="166"/>
        <v>9</v>
      </c>
      <c r="P97" s="62">
        <f t="shared" si="167"/>
        <v>18</v>
      </c>
      <c r="Q97" s="62">
        <f t="shared" si="168"/>
        <v>27</v>
      </c>
      <c r="R97" s="62">
        <f t="shared" si="169"/>
        <v>33</v>
      </c>
      <c r="S97" s="62" t="str">
        <f>IFERROR(VLOOKUP(MID(N97,Q97,R97-Q97),[5]skilldef!$C:$D,2,FALSE),"-") &amp; " / " &amp; IFERROR(VLOOKUP(MID(N97,O97,P97-O97),[5]skilldef!$A:$B,2,FALSE),"-")</f>
        <v>自分自身に / 状態異常耐性</v>
      </c>
      <c r="T97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7" s="62">
        <f t="shared" si="171"/>
        <v>9</v>
      </c>
      <c r="V97" s="62">
        <f t="shared" si="172"/>
        <v>18</v>
      </c>
      <c r="W97" s="62">
        <f t="shared" si="173"/>
        <v>27</v>
      </c>
      <c r="X97" s="62">
        <f t="shared" si="174"/>
        <v>33</v>
      </c>
      <c r="Y97" s="62" t="str">
        <f>IFERROR(VLOOKUP(MID(T97,W97,X97-W97),[5]skilldef!$C:$D,2,FALSE),"-") &amp; " / " &amp; IFERROR(VLOOKUP(MID(T97,U97,V97-U97),[5]skilldef!$A:$B,2,FALSE),"-")</f>
        <v>自分自身に / 状態異常耐性</v>
      </c>
      <c r="Z97" s="49" t="s">
        <v>212</v>
      </c>
      <c r="AA97" s="51">
        <f t="shared" ca="1" si="1"/>
        <v>42527</v>
      </c>
      <c r="AB97" s="50" t="s">
        <v>203</v>
      </c>
    </row>
    <row r="98" spans="1:28" ht="21" customHeight="1" outlineLevel="1" x14ac:dyDescent="0.15">
      <c r="A98" s="46">
        <v>49005113</v>
      </c>
      <c r="B98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8" s="49">
        <v>3</v>
      </c>
      <c r="D98" s="49" t="s">
        <v>125</v>
      </c>
      <c r="E98" s="50" t="s">
        <v>249</v>
      </c>
      <c r="F98" s="50" t="s">
        <v>421</v>
      </c>
      <c r="G98" s="62" t="str">
        <f t="shared" si="160"/>
        <v>[effect:tolerance, target:myself, turn:-1, tolerance_effect:hungup, count:-1]</v>
      </c>
      <c r="H98" s="62">
        <f t="shared" si="161"/>
        <v>9</v>
      </c>
      <c r="I98" s="62">
        <f t="shared" si="162"/>
        <v>18</v>
      </c>
      <c r="J98" s="62">
        <f t="shared" si="163"/>
        <v>27</v>
      </c>
      <c r="K98" s="62">
        <f t="shared" si="164"/>
        <v>33</v>
      </c>
      <c r="L98" s="62" t="str">
        <f>IFERROR(VLOOKUP(MID(G98,J98,K98-J98),[5]skilldef!$C:$D,2,FALSE),"-") &amp; " / " &amp; IFERROR(VLOOKUP(MID(G98,H98,I98-H98),[5]skilldef!$A:$B,2,FALSE),"-")</f>
        <v>自分自身に / 状態異常耐性</v>
      </c>
      <c r="M98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8" s="47" t="str">
        <f t="shared" si="128"/>
        <v>[effect:tolerance, target:myself, turn:-1, tolerance_effect:virus, count:-1]</v>
      </c>
      <c r="O98" s="62">
        <f t="shared" si="166"/>
        <v>9</v>
      </c>
      <c r="P98" s="62">
        <f t="shared" si="167"/>
        <v>18</v>
      </c>
      <c r="Q98" s="62">
        <f t="shared" si="168"/>
        <v>27</v>
      </c>
      <c r="R98" s="62">
        <f t="shared" si="169"/>
        <v>33</v>
      </c>
      <c r="S98" s="62" t="str">
        <f>IFERROR(VLOOKUP(MID(N98,Q98,R98-Q98),[5]skilldef!$C:$D,2,FALSE),"-") &amp; " / " &amp; IFERROR(VLOOKUP(MID(N98,O98,P98-O98),[5]skilldef!$A:$B,2,FALSE),"-")</f>
        <v>自分自身に / 状態異常耐性</v>
      </c>
      <c r="T98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8" s="62">
        <f t="shared" si="171"/>
        <v>9</v>
      </c>
      <c r="V98" s="62">
        <f t="shared" si="172"/>
        <v>18</v>
      </c>
      <c r="W98" s="62">
        <f t="shared" si="173"/>
        <v>27</v>
      </c>
      <c r="X98" s="62">
        <f t="shared" si="174"/>
        <v>33</v>
      </c>
      <c r="Y98" s="62" t="str">
        <f>IFERROR(VLOOKUP(MID(T98,W98,X98-W98),[5]skilldef!$C:$D,2,FALSE),"-") &amp; " / " &amp; IFERROR(VLOOKUP(MID(T98,U98,V98-U98),[5]skilldef!$A:$B,2,FALSE),"-")</f>
        <v>自分自身に / 状態異常耐性</v>
      </c>
      <c r="Z98" s="49" t="s">
        <v>212</v>
      </c>
      <c r="AA98" s="51">
        <f t="shared" ca="1" si="1"/>
        <v>42527</v>
      </c>
      <c r="AB98" s="50" t="s">
        <v>203</v>
      </c>
    </row>
    <row r="99" spans="1:28" ht="21" customHeight="1" outlineLevel="1" x14ac:dyDescent="0.15">
      <c r="A99" s="46">
        <v>49005114</v>
      </c>
      <c r="B99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99" s="49">
        <v>3</v>
      </c>
      <c r="D99" s="49" t="s">
        <v>125</v>
      </c>
      <c r="E99" s="50" t="s">
        <v>249</v>
      </c>
      <c r="F99" s="50" t="s">
        <v>421</v>
      </c>
      <c r="G99" s="62" t="str">
        <f t="shared" si="160"/>
        <v>[effect:tolerance, target:myself, turn:-1, tolerance_effect:hungup, count:-1]</v>
      </c>
      <c r="H99" s="62">
        <f t="shared" si="161"/>
        <v>9</v>
      </c>
      <c r="I99" s="62">
        <f t="shared" si="162"/>
        <v>18</v>
      </c>
      <c r="J99" s="62">
        <f t="shared" si="163"/>
        <v>27</v>
      </c>
      <c r="K99" s="62">
        <f t="shared" si="164"/>
        <v>33</v>
      </c>
      <c r="L99" s="62" t="str">
        <f>IFERROR(VLOOKUP(MID(G99,J99,K99-J99),[5]skilldef!$C:$D,2,FALSE),"-") &amp; " / " &amp; IFERROR(VLOOKUP(MID(G99,H99,I99-H99),[5]skilldef!$A:$B,2,FALSE),"-")</f>
        <v>自分自身に / 状態異常耐性</v>
      </c>
      <c r="M99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99" s="47" t="str">
        <f t="shared" si="128"/>
        <v>[effect:tolerance, target:myself, turn:-1, tolerance_effect:virus, count:-1]</v>
      </c>
      <c r="O99" s="62">
        <f t="shared" si="166"/>
        <v>9</v>
      </c>
      <c r="P99" s="62">
        <f t="shared" si="167"/>
        <v>18</v>
      </c>
      <c r="Q99" s="62">
        <f t="shared" si="168"/>
        <v>27</v>
      </c>
      <c r="R99" s="62">
        <f t="shared" si="169"/>
        <v>33</v>
      </c>
      <c r="S99" s="62" t="str">
        <f>IFERROR(VLOOKUP(MID(N99,Q99,R99-Q99),[5]skilldef!$C:$D,2,FALSE),"-") &amp; " / " &amp; IFERROR(VLOOKUP(MID(N99,O99,P99-O99),[5]skilldef!$A:$B,2,FALSE),"-")</f>
        <v>自分自身に / 状態異常耐性</v>
      </c>
      <c r="T99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99" s="62">
        <f t="shared" si="171"/>
        <v>9</v>
      </c>
      <c r="V99" s="62">
        <f t="shared" si="172"/>
        <v>18</v>
      </c>
      <c r="W99" s="62">
        <f t="shared" si="173"/>
        <v>27</v>
      </c>
      <c r="X99" s="62">
        <f t="shared" si="174"/>
        <v>33</v>
      </c>
      <c r="Y99" s="62" t="str">
        <f>IFERROR(VLOOKUP(MID(T99,W99,X99-W99),[5]skilldef!$C:$D,2,FALSE),"-") &amp; " / " &amp; IFERROR(VLOOKUP(MID(T99,U99,V99-U99),[5]skilldef!$A:$B,2,FALSE),"-")</f>
        <v>自分自身に / 状態異常耐性</v>
      </c>
      <c r="Z99" s="49" t="s">
        <v>212</v>
      </c>
      <c r="AA99" s="51">
        <f t="shared" ca="1" si="1"/>
        <v>42527</v>
      </c>
      <c r="AB99" s="50" t="s">
        <v>203</v>
      </c>
    </row>
    <row r="100" spans="1:28" ht="21" customHeight="1" outlineLevel="1" x14ac:dyDescent="0.15">
      <c r="A100" s="46">
        <v>49005115</v>
      </c>
      <c r="B100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0" s="49">
        <v>3</v>
      </c>
      <c r="D100" s="49" t="s">
        <v>125</v>
      </c>
      <c r="E100" s="50" t="s">
        <v>249</v>
      </c>
      <c r="F100" s="50" t="s">
        <v>421</v>
      </c>
      <c r="G100" s="62" t="str">
        <f t="shared" si="160"/>
        <v>[effect:tolerance, target:myself, turn:-1, tolerance_effect:hungup, count:-1]</v>
      </c>
      <c r="H100" s="62">
        <f t="shared" si="161"/>
        <v>9</v>
      </c>
      <c r="I100" s="62">
        <f t="shared" si="162"/>
        <v>18</v>
      </c>
      <c r="J100" s="62">
        <f t="shared" si="163"/>
        <v>27</v>
      </c>
      <c r="K100" s="62">
        <f t="shared" si="164"/>
        <v>33</v>
      </c>
      <c r="L100" s="62" t="str">
        <f>IFERROR(VLOOKUP(MID(G100,J100,K100-J100),[5]skilldef!$C:$D,2,FALSE),"-") &amp; " / " &amp; IFERROR(VLOOKUP(MID(G100,H100,I100-H100),[5]skilldef!$A:$B,2,FALSE),"-")</f>
        <v>自分自身に / 状態異常耐性</v>
      </c>
      <c r="M100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0" s="47" t="str">
        <f t="shared" si="128"/>
        <v>[effect:tolerance, target:myself, turn:-1, tolerance_effect:virus, count:-1]</v>
      </c>
      <c r="O100" s="62">
        <f t="shared" si="166"/>
        <v>9</v>
      </c>
      <c r="P100" s="62">
        <f t="shared" si="167"/>
        <v>18</v>
      </c>
      <c r="Q100" s="62">
        <f t="shared" si="168"/>
        <v>27</v>
      </c>
      <c r="R100" s="62">
        <f t="shared" si="169"/>
        <v>33</v>
      </c>
      <c r="S100" s="62" t="str">
        <f>IFERROR(VLOOKUP(MID(N100,Q100,R100-Q100),[5]skilldef!$C:$D,2,FALSE),"-") &amp; " / " &amp; IFERROR(VLOOKUP(MID(N100,O100,P100-O100),[5]skilldef!$A:$B,2,FALSE),"-")</f>
        <v>自分自身に / 状態異常耐性</v>
      </c>
      <c r="T100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0" s="62">
        <f t="shared" si="171"/>
        <v>9</v>
      </c>
      <c r="V100" s="62">
        <f t="shared" si="172"/>
        <v>18</v>
      </c>
      <c r="W100" s="62">
        <f t="shared" si="173"/>
        <v>27</v>
      </c>
      <c r="X100" s="62">
        <f t="shared" si="174"/>
        <v>33</v>
      </c>
      <c r="Y100" s="62" t="str">
        <f>IFERROR(VLOOKUP(MID(T100,W100,X100-W100),[5]skilldef!$C:$D,2,FALSE),"-") &amp; " / " &amp; IFERROR(VLOOKUP(MID(T100,U100,V100-U100),[5]skilldef!$A:$B,2,FALSE),"-")</f>
        <v>自分自身に / 状態異常耐性</v>
      </c>
      <c r="Z100" s="49" t="s">
        <v>212</v>
      </c>
      <c r="AA100" s="51">
        <f t="shared" ca="1" si="1"/>
        <v>42527</v>
      </c>
      <c r="AB100" s="50" t="s">
        <v>203</v>
      </c>
    </row>
    <row r="101" spans="1:28" ht="21" customHeight="1" outlineLevel="1" x14ac:dyDescent="0.15">
      <c r="A101" s="46">
        <v>49005116</v>
      </c>
      <c r="B101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1" s="49">
        <v>3</v>
      </c>
      <c r="D101" s="49" t="s">
        <v>125</v>
      </c>
      <c r="E101" s="50" t="s">
        <v>249</v>
      </c>
      <c r="F101" s="50" t="s">
        <v>421</v>
      </c>
      <c r="G101" s="62" t="str">
        <f t="shared" si="160"/>
        <v>[effect:tolerance, target:myself, turn:-1, tolerance_effect:hungup, count:-1]</v>
      </c>
      <c r="H101" s="62">
        <f t="shared" si="161"/>
        <v>9</v>
      </c>
      <c r="I101" s="62">
        <f t="shared" si="162"/>
        <v>18</v>
      </c>
      <c r="J101" s="62">
        <f t="shared" si="163"/>
        <v>27</v>
      </c>
      <c r="K101" s="62">
        <f t="shared" si="164"/>
        <v>33</v>
      </c>
      <c r="L101" s="62" t="str">
        <f>IFERROR(VLOOKUP(MID(G101,J101,K101-J101),[5]skilldef!$C:$D,2,FALSE),"-") &amp; " / " &amp; IFERROR(VLOOKUP(MID(G101,H101,I101-H101),[5]skilldef!$A:$B,2,FALSE),"-")</f>
        <v>自分自身に / 状態異常耐性</v>
      </c>
      <c r="M101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1" s="47" t="str">
        <f t="shared" si="128"/>
        <v>[effect:tolerance, target:myself, turn:-1, tolerance_effect:virus, count:-1]</v>
      </c>
      <c r="O101" s="62">
        <f t="shared" si="166"/>
        <v>9</v>
      </c>
      <c r="P101" s="62">
        <f t="shared" si="167"/>
        <v>18</v>
      </c>
      <c r="Q101" s="62">
        <f t="shared" si="168"/>
        <v>27</v>
      </c>
      <c r="R101" s="62">
        <f t="shared" si="169"/>
        <v>33</v>
      </c>
      <c r="S101" s="62" t="str">
        <f>IFERROR(VLOOKUP(MID(N101,Q101,R101-Q101),[5]skilldef!$C:$D,2,FALSE),"-") &amp; " / " &amp; IFERROR(VLOOKUP(MID(N101,O101,P101-O101),[5]skilldef!$A:$B,2,FALSE),"-")</f>
        <v>自分自身に / 状態異常耐性</v>
      </c>
      <c r="T101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1" s="62">
        <f t="shared" si="171"/>
        <v>9</v>
      </c>
      <c r="V101" s="62">
        <f t="shared" si="172"/>
        <v>18</v>
      </c>
      <c r="W101" s="62">
        <f t="shared" si="173"/>
        <v>27</v>
      </c>
      <c r="X101" s="62">
        <f t="shared" si="174"/>
        <v>33</v>
      </c>
      <c r="Y101" s="62" t="str">
        <f>IFERROR(VLOOKUP(MID(T101,W101,X101-W101),[5]skilldef!$C:$D,2,FALSE),"-") &amp; " / " &amp; IFERROR(VLOOKUP(MID(T101,U101,V101-U101),[5]skilldef!$A:$B,2,FALSE),"-")</f>
        <v>自分自身に / 状態異常耐性</v>
      </c>
      <c r="Z101" s="49" t="s">
        <v>212</v>
      </c>
      <c r="AA101" s="51">
        <f t="shared" ca="1" si="1"/>
        <v>42527</v>
      </c>
      <c r="AB101" s="50" t="s">
        <v>203</v>
      </c>
    </row>
    <row r="102" spans="1:28" ht="21" customHeight="1" outlineLevel="1" x14ac:dyDescent="0.15">
      <c r="A102" s="46">
        <v>49005117</v>
      </c>
      <c r="B102" s="46" t="str">
        <f t="shared" si="159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2" s="49">
        <v>3</v>
      </c>
      <c r="D102" s="49" t="s">
        <v>125</v>
      </c>
      <c r="E102" s="50" t="s">
        <v>249</v>
      </c>
      <c r="F102" s="50" t="s">
        <v>421</v>
      </c>
      <c r="G102" s="62" t="str">
        <f t="shared" si="160"/>
        <v>[effect:tolerance, target:myself, turn:-1, tolerance_effect:hungup, count:-1]</v>
      </c>
      <c r="H102" s="62">
        <f t="shared" si="161"/>
        <v>9</v>
      </c>
      <c r="I102" s="62">
        <f t="shared" si="162"/>
        <v>18</v>
      </c>
      <c r="J102" s="62">
        <f t="shared" si="163"/>
        <v>27</v>
      </c>
      <c r="K102" s="62">
        <f t="shared" si="164"/>
        <v>33</v>
      </c>
      <c r="L102" s="62" t="str">
        <f>IFERROR(VLOOKUP(MID(G102,J102,K102-J102),[5]skilldef!$C:$D,2,FALSE),"-") &amp; " / " &amp; IFERROR(VLOOKUP(MID(G102,H102,I102-H102),[5]skilldef!$A:$B,2,FALSE),"-")</f>
        <v>自分自身に / 状態異常耐性</v>
      </c>
      <c r="M102" s="62" t="str">
        <f t="shared" si="165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2" s="47" t="str">
        <f t="shared" si="128"/>
        <v>[effect:tolerance, target:myself, turn:-1, tolerance_effect:virus, count:-1]</v>
      </c>
      <c r="O102" s="62">
        <f t="shared" si="166"/>
        <v>9</v>
      </c>
      <c r="P102" s="62">
        <f t="shared" si="167"/>
        <v>18</v>
      </c>
      <c r="Q102" s="62">
        <f t="shared" si="168"/>
        <v>27</v>
      </c>
      <c r="R102" s="62">
        <f t="shared" si="169"/>
        <v>33</v>
      </c>
      <c r="S102" s="62" t="str">
        <f>IFERROR(VLOOKUP(MID(N102,Q102,R102-Q102),[5]skilldef!$C:$D,2,FALSE),"-") &amp; " / " &amp; IFERROR(VLOOKUP(MID(N102,O102,P102-O102),[5]skilldef!$A:$B,2,FALSE),"-")</f>
        <v>自分自身に / 状態異常耐性</v>
      </c>
      <c r="T102" s="47" t="str">
        <f t="shared" si="170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2" s="62">
        <f t="shared" si="171"/>
        <v>9</v>
      </c>
      <c r="V102" s="62">
        <f t="shared" si="172"/>
        <v>18</v>
      </c>
      <c r="W102" s="62">
        <f t="shared" si="173"/>
        <v>27</v>
      </c>
      <c r="X102" s="62">
        <f t="shared" si="174"/>
        <v>33</v>
      </c>
      <c r="Y102" s="62" t="str">
        <f>IFERROR(VLOOKUP(MID(T102,W102,X102-W102),[5]skilldef!$C:$D,2,FALSE),"-") &amp; " / " &amp; IFERROR(VLOOKUP(MID(T102,U102,V102-U102),[5]skilldef!$A:$B,2,FALSE),"-")</f>
        <v>自分自身に / 状態異常耐性</v>
      </c>
      <c r="Z102" s="49" t="s">
        <v>212</v>
      </c>
      <c r="AA102" s="51">
        <f t="shared" ca="1" si="1"/>
        <v>42527</v>
      </c>
      <c r="AB102" s="50" t="s">
        <v>203</v>
      </c>
    </row>
    <row r="103" spans="1:28" ht="21" customHeight="1" x14ac:dyDescent="0.15">
      <c r="A103" s="46">
        <v>49005125</v>
      </c>
      <c r="B103" s="46" t="s">
        <v>208</v>
      </c>
      <c r="C103" s="49">
        <v>3</v>
      </c>
      <c r="D103" s="49" t="s">
        <v>125</v>
      </c>
      <c r="E103" s="50" t="s">
        <v>252</v>
      </c>
      <c r="F103" s="50" t="s">
        <v>423</v>
      </c>
      <c r="G103" s="62" t="str">
        <f t="shared" si="129"/>
        <v>[effect:rush, count:4, val:0.4]</v>
      </c>
      <c r="H103" s="62">
        <f t="shared" si="130"/>
        <v>9</v>
      </c>
      <c r="I103" s="62">
        <f t="shared" si="131"/>
        <v>13</v>
      </c>
      <c r="J103" s="62" t="e">
        <f t="shared" si="132"/>
        <v>#VALUE!</v>
      </c>
      <c r="K103" s="62">
        <f t="shared" si="133"/>
        <v>22</v>
      </c>
      <c r="L103" s="62" t="str">
        <f>IFERROR(VLOOKUP(MID(G103,J103,K103-J103),[5]skilldef!$C:$D,2,FALSE),"-") &amp; " / " &amp; IFERROR(VLOOKUP(MID(G103,H103,I103-H103),[5]skilldef!$A:$B,2,FALSE),"-")</f>
        <v>- / 連続攻撃</v>
      </c>
      <c r="M103" s="62" t="str">
        <f t="shared" si="134"/>
        <v>none</v>
      </c>
      <c r="N103" s="47" t="str">
        <f t="shared" ref="N103:N108" si="175">IFERROR(LEFT(M103,FIND("],",M103)+S111),M103)</f>
        <v>none</v>
      </c>
      <c r="O103" s="62" t="e">
        <f t="shared" si="135"/>
        <v>#VALUE!</v>
      </c>
      <c r="P103" s="62">
        <f t="shared" si="136"/>
        <v>4</v>
      </c>
      <c r="Q103" s="62" t="e">
        <f t="shared" si="137"/>
        <v>#VALUE!</v>
      </c>
      <c r="R103" s="62" t="e">
        <f t="shared" si="138"/>
        <v>#VALUE!</v>
      </c>
      <c r="S103" s="62" t="str">
        <f>IFERROR(VLOOKUP(MID(N103,Q103,R103-Q103),[5]skilldef!$C:$D,2,FALSE),"-") &amp; " / " &amp; IFERROR(VLOOKUP(MID(N103,O103,P103-O103),[5]skilldef!$A:$B,2,FALSE),"-")</f>
        <v>- / -</v>
      </c>
      <c r="T103" s="47" t="str">
        <f t="shared" si="139"/>
        <v>none</v>
      </c>
      <c r="U103" s="62" t="e">
        <f t="shared" si="140"/>
        <v>#VALUE!</v>
      </c>
      <c r="V103" s="62">
        <f t="shared" si="141"/>
        <v>4</v>
      </c>
      <c r="W103" s="62" t="e">
        <f t="shared" si="142"/>
        <v>#VALUE!</v>
      </c>
      <c r="X103" s="62" t="e">
        <f t="shared" si="143"/>
        <v>#VALUE!</v>
      </c>
      <c r="Y103" s="62" t="str">
        <f>IFERROR(VLOOKUP(MID(T103,W103,X103-W103),[5]skilldef!$C:$D,2,FALSE),"-") &amp; " / " &amp; IFERROR(VLOOKUP(MID(T103,U103,V103-U103),[5]skilldef!$A:$B,2,FALSE),"-")</f>
        <v>- / -</v>
      </c>
      <c r="Z103" s="49" t="s">
        <v>212</v>
      </c>
      <c r="AA103" s="51">
        <f t="shared" ca="1" si="1"/>
        <v>42527</v>
      </c>
      <c r="AB103" s="50" t="s">
        <v>203</v>
      </c>
    </row>
    <row r="104" spans="1:28" ht="21" customHeight="1" x14ac:dyDescent="0.15">
      <c r="A104" s="46">
        <v>49005126</v>
      </c>
      <c r="B104" s="46" t="s">
        <v>410</v>
      </c>
      <c r="C104" s="49">
        <v>3</v>
      </c>
      <c r="D104" s="49" t="s">
        <v>125</v>
      </c>
      <c r="E104" s="50" t="s">
        <v>248</v>
      </c>
      <c r="F104" s="50" t="s">
        <v>409</v>
      </c>
      <c r="G104" s="62" t="str">
        <f t="shared" si="129"/>
        <v>[effect:hungup, target:unit_all, turn:1, rate:1, animation:hungup01]</v>
      </c>
      <c r="H104" s="62">
        <f t="shared" si="130"/>
        <v>9</v>
      </c>
      <c r="I104" s="62">
        <f t="shared" si="131"/>
        <v>15</v>
      </c>
      <c r="J104" s="62">
        <f t="shared" si="132"/>
        <v>24</v>
      </c>
      <c r="K104" s="62">
        <f t="shared" si="133"/>
        <v>32</v>
      </c>
      <c r="L104" s="62" t="str">
        <f>IFERROR(VLOOKUP(MID(G104,J104,K104-J104),[5]skilldef!$C:$D,2,FALSE),"-") &amp; " / " &amp; IFERROR(VLOOKUP(MID(G104,H104,I104-H104),[5]skilldef!$A:$B,2,FALSE),"-")</f>
        <v>味方全体に / ハングアップ</v>
      </c>
      <c r="M104" s="62" t="str">
        <f t="shared" si="134"/>
        <v>[effect:spread, val:0.2]</v>
      </c>
      <c r="N104" s="47" t="str">
        <f t="shared" si="175"/>
        <v>[effect:spread, val:0.2]</v>
      </c>
      <c r="O104" s="62">
        <f t="shared" si="135"/>
        <v>9</v>
      </c>
      <c r="P104" s="62">
        <f t="shared" si="136"/>
        <v>15</v>
      </c>
      <c r="Q104" s="62" t="e">
        <f t="shared" si="137"/>
        <v>#VALUE!</v>
      </c>
      <c r="R104" s="62" t="e">
        <f t="shared" si="138"/>
        <v>#VALUE!</v>
      </c>
      <c r="S104" s="62" t="str">
        <f>IFERROR(VLOOKUP(MID(N104,Q104,R104-Q104),[5]skilldef!$C:$D,2,FALSE),"-") &amp; " / " &amp; IFERROR(VLOOKUP(MID(N104,O104,P104-O104),[5]skilldef!$A:$B,2,FALSE),"-")</f>
        <v>- / 全体攻撃</v>
      </c>
      <c r="T104" s="47" t="str">
        <f t="shared" si="139"/>
        <v>none</v>
      </c>
      <c r="U104" s="62" t="e">
        <f t="shared" si="140"/>
        <v>#VALUE!</v>
      </c>
      <c r="V104" s="62">
        <f t="shared" si="141"/>
        <v>4</v>
      </c>
      <c r="W104" s="62" t="e">
        <f t="shared" si="142"/>
        <v>#VALUE!</v>
      </c>
      <c r="X104" s="62" t="e">
        <f t="shared" si="143"/>
        <v>#VALUE!</v>
      </c>
      <c r="Y104" s="62" t="str">
        <f>IFERROR(VLOOKUP(MID(T104,W104,X104-W104),[5]skilldef!$C:$D,2,FALSE),"-") &amp; " / " &amp; IFERROR(VLOOKUP(MID(T104,U104,V104-U104),[5]skilldef!$A:$B,2,FALSE),"-")</f>
        <v>- / -</v>
      </c>
      <c r="Z104" s="49" t="s">
        <v>212</v>
      </c>
      <c r="AA104" s="51">
        <f t="shared" ca="1" si="1"/>
        <v>42527</v>
      </c>
      <c r="AB104" s="50" t="s">
        <v>203</v>
      </c>
    </row>
    <row r="105" spans="1:28" ht="21" customHeight="1" x14ac:dyDescent="0.15">
      <c r="A105" s="46">
        <v>49005127</v>
      </c>
      <c r="B105" s="46" t="s">
        <v>411</v>
      </c>
      <c r="C105" s="49">
        <v>3</v>
      </c>
      <c r="D105" s="49" t="s">
        <v>125</v>
      </c>
      <c r="E105" s="50" t="s">
        <v>251</v>
      </c>
      <c r="F105" s="50" t="s">
        <v>277</v>
      </c>
      <c r="G105" s="62" t="str">
        <f t="shared" si="129"/>
        <v>[effect:damage_anti_tribe, target:unit_all, tribe:unknown, val1:0.25, val2:0.5]</v>
      </c>
      <c r="H105" s="62">
        <f t="shared" si="130"/>
        <v>9</v>
      </c>
      <c r="I105" s="62">
        <f t="shared" si="131"/>
        <v>26</v>
      </c>
      <c r="J105" s="62">
        <f t="shared" si="132"/>
        <v>35</v>
      </c>
      <c r="K105" s="62">
        <f t="shared" si="133"/>
        <v>43</v>
      </c>
      <c r="L105" s="62" t="str">
        <f>IFERROR(VLOOKUP(MID(G105,J105,K105-J105),[5]skilldef!$C:$D,2,FALSE),"-") &amp; " / " &amp; IFERROR(VLOOKUP(MID(G105,H105,I105-H105),[5]skilldef!$A:$B,2,FALSE),"-")</f>
        <v>味方全体に / 種族キラー</v>
      </c>
      <c r="M105" s="62" t="str">
        <f t="shared" si="134"/>
        <v>none</v>
      </c>
      <c r="N105" s="47" t="str">
        <f t="shared" si="175"/>
        <v>none</v>
      </c>
      <c r="O105" s="62" t="e">
        <f t="shared" si="135"/>
        <v>#VALUE!</v>
      </c>
      <c r="P105" s="62">
        <f t="shared" si="136"/>
        <v>4</v>
      </c>
      <c r="Q105" s="62" t="e">
        <f t="shared" si="137"/>
        <v>#VALUE!</v>
      </c>
      <c r="R105" s="62" t="e">
        <f t="shared" si="138"/>
        <v>#VALUE!</v>
      </c>
      <c r="S105" s="62" t="str">
        <f>IFERROR(VLOOKUP(MID(N105,Q105,R105-Q105),[5]skilldef!$C:$D,2,FALSE),"-") &amp; " / " &amp; IFERROR(VLOOKUP(MID(N105,O105,P105-O105),[5]skilldef!$A:$B,2,FALSE),"-")</f>
        <v>- / -</v>
      </c>
      <c r="T105" s="47" t="str">
        <f t="shared" si="139"/>
        <v>none</v>
      </c>
      <c r="U105" s="62" t="e">
        <f t="shared" si="140"/>
        <v>#VALUE!</v>
      </c>
      <c r="V105" s="62">
        <f t="shared" si="141"/>
        <v>4</v>
      </c>
      <c r="W105" s="62" t="e">
        <f t="shared" si="142"/>
        <v>#VALUE!</v>
      </c>
      <c r="X105" s="62" t="e">
        <f t="shared" si="143"/>
        <v>#VALUE!</v>
      </c>
      <c r="Y105" s="62" t="str">
        <f>IFERROR(VLOOKUP(MID(T105,W105,X105-W105),[5]skilldef!$C:$D,2,FALSE),"-") &amp; " / " &amp; IFERROR(VLOOKUP(MID(T105,U105,V105-U105),[5]skilldef!$A:$B,2,FALSE),"-")</f>
        <v>- / -</v>
      </c>
      <c r="Z105" s="49" t="s">
        <v>212</v>
      </c>
      <c r="AA105" s="51">
        <f t="shared" ca="1" si="1"/>
        <v>42527</v>
      </c>
      <c r="AB105" s="50" t="s">
        <v>203</v>
      </c>
    </row>
    <row r="106" spans="1:28" ht="21" customHeight="1" x14ac:dyDescent="0.15">
      <c r="A106" s="46">
        <v>49005128</v>
      </c>
      <c r="B106" s="46" t="s">
        <v>207</v>
      </c>
      <c r="C106" s="49">
        <v>3</v>
      </c>
      <c r="D106" s="49" t="s">
        <v>125</v>
      </c>
      <c r="E106" s="50" t="s">
        <v>250</v>
      </c>
      <c r="F106" s="50" t="s">
        <v>422</v>
      </c>
      <c r="G106" s="62" t="str">
        <f t="shared" si="129"/>
        <v>[effect:freq_turn, target:myself, turn:3, val:1, animation:enemy_freq_turn]</v>
      </c>
      <c r="H106" s="62">
        <f t="shared" si="130"/>
        <v>9</v>
      </c>
      <c r="I106" s="62">
        <f t="shared" si="131"/>
        <v>18</v>
      </c>
      <c r="J106" s="62">
        <f t="shared" si="132"/>
        <v>27</v>
      </c>
      <c r="K106" s="62">
        <f t="shared" si="133"/>
        <v>33</v>
      </c>
      <c r="L106" s="62" t="str">
        <f>IFERROR(VLOOKUP(MID(G106,J106,K106-J106),[5]skilldef!$C:$D,2,FALSE),"-") &amp; " / " &amp; IFERROR(VLOOKUP(MID(G106,H106,I106-H106),[5]skilldef!$A:$B,2,FALSE),"-")</f>
        <v>自分自身に / 攻撃頻度がUP</v>
      </c>
      <c r="M106" s="62" t="str">
        <f t="shared" si="134"/>
        <v>none</v>
      </c>
      <c r="N106" s="47" t="str">
        <f t="shared" si="175"/>
        <v>none</v>
      </c>
      <c r="O106" s="62" t="e">
        <f t="shared" si="135"/>
        <v>#VALUE!</v>
      </c>
      <c r="P106" s="62">
        <f t="shared" si="136"/>
        <v>4</v>
      </c>
      <c r="Q106" s="62" t="e">
        <f t="shared" si="137"/>
        <v>#VALUE!</v>
      </c>
      <c r="R106" s="62" t="e">
        <f t="shared" si="138"/>
        <v>#VALUE!</v>
      </c>
      <c r="S106" s="62" t="str">
        <f>IFERROR(VLOOKUP(MID(N106,Q106,R106-Q106),[5]skilldef!$C:$D,2,FALSE),"-") &amp; " / " &amp; IFERROR(VLOOKUP(MID(N106,O106,P106-O106),[5]skilldef!$A:$B,2,FALSE),"-")</f>
        <v>- / -</v>
      </c>
      <c r="T106" s="47" t="str">
        <f t="shared" si="139"/>
        <v>none</v>
      </c>
      <c r="U106" s="62" t="e">
        <f t="shared" si="140"/>
        <v>#VALUE!</v>
      </c>
      <c r="V106" s="62">
        <f t="shared" si="141"/>
        <v>4</v>
      </c>
      <c r="W106" s="62" t="e">
        <f t="shared" si="142"/>
        <v>#VALUE!</v>
      </c>
      <c r="X106" s="62" t="e">
        <f t="shared" si="143"/>
        <v>#VALUE!</v>
      </c>
      <c r="Y106" s="62" t="str">
        <f>IFERROR(VLOOKUP(MID(T106,W106,X106-W106),[5]skilldef!$C:$D,2,FALSE),"-") &amp; " / " &amp; IFERROR(VLOOKUP(MID(T106,U106,V106-U106),[5]skilldef!$A:$B,2,FALSE),"-")</f>
        <v>- / -</v>
      </c>
      <c r="Z106" s="49" t="s">
        <v>212</v>
      </c>
      <c r="AA106" s="51">
        <f t="shared" ca="1" si="1"/>
        <v>42527</v>
      </c>
      <c r="AB106" s="50" t="s">
        <v>203</v>
      </c>
    </row>
    <row r="107" spans="1:28" ht="21" customHeight="1" x14ac:dyDescent="0.15">
      <c r="A107" s="46">
        <v>49005129</v>
      </c>
      <c r="B107" s="46" t="s">
        <v>412</v>
      </c>
      <c r="C107" s="49">
        <v>3</v>
      </c>
      <c r="D107" s="49" t="s">
        <v>125</v>
      </c>
      <c r="E107" s="50" t="s">
        <v>272</v>
      </c>
      <c r="F107" s="50" t="s">
        <v>206</v>
      </c>
      <c r="G107" s="62" t="str">
        <f t="shared" si="129"/>
        <v>[effect:critical, val:2]</v>
      </c>
      <c r="H107" s="62">
        <f t="shared" si="130"/>
        <v>9</v>
      </c>
      <c r="I107" s="62">
        <f t="shared" si="131"/>
        <v>17</v>
      </c>
      <c r="J107" s="62" t="e">
        <f t="shared" si="132"/>
        <v>#VALUE!</v>
      </c>
      <c r="K107" s="62" t="e">
        <f t="shared" si="133"/>
        <v>#VALUE!</v>
      </c>
      <c r="L107" s="62" t="str">
        <f>IFERROR(VLOOKUP(MID(G107,J107,K107-J107),[5]skilldef!$C:$D,2,FALSE),"-") &amp; " / " &amp; IFERROR(VLOOKUP(MID(G107,H107,I107-H107),[5]skilldef!$A:$B,2,FALSE),"-")</f>
        <v>- / 大攻撃</v>
      </c>
      <c r="M107" s="62" t="str">
        <f t="shared" si="134"/>
        <v>none</v>
      </c>
      <c r="N107" s="47" t="str">
        <f t="shared" si="175"/>
        <v>none</v>
      </c>
      <c r="O107" s="62" t="e">
        <f t="shared" si="135"/>
        <v>#VALUE!</v>
      </c>
      <c r="P107" s="62">
        <f t="shared" si="136"/>
        <v>4</v>
      </c>
      <c r="Q107" s="62" t="e">
        <f t="shared" si="137"/>
        <v>#VALUE!</v>
      </c>
      <c r="R107" s="62" t="e">
        <f t="shared" si="138"/>
        <v>#VALUE!</v>
      </c>
      <c r="S107" s="62" t="str">
        <f>IFERROR(VLOOKUP(MID(N107,Q107,R107-Q107),[5]skilldef!$C:$D,2,FALSE),"-") &amp; " / " &amp; IFERROR(VLOOKUP(MID(N107,O107,P107-O107),[5]skilldef!$A:$B,2,FALSE),"-")</f>
        <v>- / -</v>
      </c>
      <c r="T107" s="47" t="str">
        <f t="shared" si="139"/>
        <v>none</v>
      </c>
      <c r="U107" s="62" t="e">
        <f t="shared" si="140"/>
        <v>#VALUE!</v>
      </c>
      <c r="V107" s="62">
        <f t="shared" si="141"/>
        <v>4</v>
      </c>
      <c r="W107" s="62" t="e">
        <f t="shared" si="142"/>
        <v>#VALUE!</v>
      </c>
      <c r="X107" s="62" t="e">
        <f t="shared" si="143"/>
        <v>#VALUE!</v>
      </c>
      <c r="Y107" s="62" t="str">
        <f>IFERROR(VLOOKUP(MID(T107,W107,X107-W107),[5]skilldef!$C:$D,2,FALSE),"-") &amp; " / " &amp; IFERROR(VLOOKUP(MID(T107,U107,V107-U107),[5]skilldef!$A:$B,2,FALSE),"-")</f>
        <v>- / -</v>
      </c>
      <c r="Z107" s="49" t="s">
        <v>212</v>
      </c>
      <c r="AA107" s="51">
        <f t="shared" ca="1" si="1"/>
        <v>42527</v>
      </c>
      <c r="AB107" s="50" t="s">
        <v>203</v>
      </c>
    </row>
    <row r="108" spans="1:28" ht="21" customHeight="1" x14ac:dyDescent="0.15">
      <c r="A108" s="46">
        <v>49005130</v>
      </c>
      <c r="B108" s="99" t="s">
        <v>413</v>
      </c>
      <c r="C108" s="49">
        <v>3</v>
      </c>
      <c r="D108" s="49" t="s">
        <v>125</v>
      </c>
      <c r="E108" s="50" t="s">
        <v>254</v>
      </c>
      <c r="F108" s="50" t="s">
        <v>278</v>
      </c>
      <c r="G108" s="62" t="str">
        <f t="shared" si="129"/>
        <v>[effect:change_panel_ratio, turn:3, block_type:heal, val:0, animation:block_incidence04]</v>
      </c>
      <c r="H108" s="62">
        <f t="shared" si="130"/>
        <v>9</v>
      </c>
      <c r="I108" s="62">
        <f t="shared" si="131"/>
        <v>27</v>
      </c>
      <c r="J108" s="62" t="e">
        <f t="shared" si="132"/>
        <v>#VALUE!</v>
      </c>
      <c r="K108" s="62">
        <f t="shared" si="133"/>
        <v>35</v>
      </c>
      <c r="L108" s="62" t="str">
        <f>IFERROR(VLOOKUP(MID(G108,J108,K108-J108),[5]skilldef!$C:$D,2,FALSE),"-") &amp; " / " &amp; IFERROR(VLOOKUP(MID(G108,H108,I108-H108),[5]skilldef!$A:$B,2,FALSE),"-")</f>
        <v>- / -</v>
      </c>
      <c r="M108" s="62" t="str">
        <f t="shared" si="134"/>
        <v>[effect:force_change_block, new_block:time_bomb, target:block_heart, count:0, val:0.2, min_time_count:2, max_time_count:2, animation:change_block]</v>
      </c>
      <c r="N108" s="47" t="str">
        <f t="shared" si="175"/>
        <v>[effect:force_change_block, new_block:time_bomb, target:block_heart, count:0, val:0.2, min_time_count:2, max_time_count:2, animation:change_block]</v>
      </c>
      <c r="O108" s="62">
        <f t="shared" si="135"/>
        <v>9</v>
      </c>
      <c r="P108" s="62">
        <f t="shared" si="136"/>
        <v>27</v>
      </c>
      <c r="Q108" s="62">
        <f t="shared" si="137"/>
        <v>57</v>
      </c>
      <c r="R108" s="62">
        <f t="shared" si="138"/>
        <v>48</v>
      </c>
      <c r="S108" s="62" t="str">
        <f>IFERROR(VLOOKUP(MID(N108,Q108,R108-Q108),[5]skilldef!$C:$D,2,FALSE),"-") &amp; " / " &amp; IFERROR(VLOOKUP(MID(N108,O108,P108-O108),[5]skilldef!$A:$B,2,FALSE),"-")</f>
        <v>- / -</v>
      </c>
      <c r="T108" s="47" t="str">
        <f t="shared" si="139"/>
        <v>none</v>
      </c>
      <c r="U108" s="62" t="e">
        <f t="shared" si="140"/>
        <v>#VALUE!</v>
      </c>
      <c r="V108" s="62">
        <f t="shared" si="141"/>
        <v>4</v>
      </c>
      <c r="W108" s="62" t="e">
        <f t="shared" si="142"/>
        <v>#VALUE!</v>
      </c>
      <c r="X108" s="62" t="e">
        <f t="shared" si="143"/>
        <v>#VALUE!</v>
      </c>
      <c r="Y108" s="62" t="str">
        <f>IFERROR(VLOOKUP(MID(T108,W108,X108-W108),[5]skilldef!$C:$D,2,FALSE),"-") &amp; " / " &amp; IFERROR(VLOOKUP(MID(T108,U108,V108-U108),[5]skilldef!$A:$B,2,FALSE),"-")</f>
        <v>- / -</v>
      </c>
      <c r="Z108" s="49" t="s">
        <v>212</v>
      </c>
      <c r="AA108" s="51">
        <f t="shared" ca="1" si="1"/>
        <v>42527</v>
      </c>
      <c r="AB108" s="50" t="s">
        <v>203</v>
      </c>
    </row>
    <row r="109" spans="1:28" ht="21" customHeight="1" x14ac:dyDescent="0.15">
      <c r="A109" s="46">
        <v>49005131</v>
      </c>
      <c r="B109" s="46" t="s">
        <v>431</v>
      </c>
      <c r="C109" s="49">
        <v>3</v>
      </c>
      <c r="D109" s="49" t="s">
        <v>125</v>
      </c>
      <c r="E109" s="50" t="s">
        <v>230</v>
      </c>
      <c r="F109" s="50" t="s">
        <v>229</v>
      </c>
      <c r="G109" s="62" t="str">
        <f t="shared" ref="G109" si="176">IFERROR(LEFT(B109,FIND("],",B109)),B109)</f>
        <v>[effect:rush, count:1, val:0.8]</v>
      </c>
      <c r="H109" s="62">
        <f t="shared" ref="H109" si="177">FIND("effect:",G109)+7</f>
        <v>9</v>
      </c>
      <c r="I109" s="62">
        <f t="shared" ref="I109" si="178">IFERROR(FIND(",",G109),LEN(G109))</f>
        <v>13</v>
      </c>
      <c r="J109" s="62" t="e">
        <f t="shared" ref="J109" si="179">FIND("target:",G109)+7</f>
        <v>#VALUE!</v>
      </c>
      <c r="K109" s="62">
        <f t="shared" ref="K109" si="180">FIND(",",G109,I109+1)</f>
        <v>22</v>
      </c>
      <c r="L109" s="62" t="str">
        <f>IFERROR(VLOOKUP(MID(G109,J109,K109-J109),[5]skilldef!$C:$D,2,FALSE),"-") &amp; " / " &amp; IFERROR(VLOOKUP(MID(G109,H109,I109-H109),[5]skilldef!$A:$B,2,FALSE),"-")</f>
        <v>- / 連続攻撃</v>
      </c>
      <c r="M109" s="62" t="str">
        <f t="shared" ref="M109" si="181">IFERROR(RIGHT(B109,LEN(B109)-FIND("],",B109)-1),"none")</f>
        <v>none</v>
      </c>
      <c r="N109" s="47" t="str">
        <f t="shared" ref="N109" si="182">IFERROR(LEFT(M109,FIND("],",M109)+S117),M109)</f>
        <v>none</v>
      </c>
      <c r="O109" s="62" t="e">
        <f t="shared" ref="O109" si="183">FIND("effect:",N109)+7</f>
        <v>#VALUE!</v>
      </c>
      <c r="P109" s="62">
        <f t="shared" ref="P109" si="184">IFERROR(FIND(",",N109),LEN(N109))</f>
        <v>4</v>
      </c>
      <c r="Q109" s="62" t="e">
        <f t="shared" ref="Q109" si="185">FIND("target:",N109)+7</f>
        <v>#VALUE!</v>
      </c>
      <c r="R109" s="62" t="e">
        <f t="shared" ref="R109" si="186">FIND(",",N109,P109+1)</f>
        <v>#VALUE!</v>
      </c>
      <c r="S109" s="62" t="str">
        <f>IFERROR(VLOOKUP(MID(N109,Q109,R109-Q109),[5]skilldef!$C:$D,2,FALSE),"-") &amp; " / " &amp; IFERROR(VLOOKUP(MID(N109,O109,P109-O109),[5]skilldef!$A:$B,2,FALSE),"-")</f>
        <v>- / -</v>
      </c>
      <c r="T109" s="47" t="str">
        <f t="shared" ref="T109" si="187">IFERROR(RIGHT(M109,LEN(M109)-FIND("],",M109)-1),"none")</f>
        <v>none</v>
      </c>
      <c r="U109" s="62" t="e">
        <f t="shared" ref="U109" si="188">FIND("effect:",T109)+7</f>
        <v>#VALUE!</v>
      </c>
      <c r="V109" s="62">
        <f t="shared" ref="V109" si="189">IFERROR(FIND(",",T109),LEN(T109))</f>
        <v>4</v>
      </c>
      <c r="W109" s="62" t="e">
        <f t="shared" ref="W109" si="190">FIND("target:",T109)+7</f>
        <v>#VALUE!</v>
      </c>
      <c r="X109" s="62" t="e">
        <f t="shared" ref="X109" si="191">FIND(",",T109,V109+1)</f>
        <v>#VALUE!</v>
      </c>
      <c r="Y109" s="62" t="str">
        <f>IFERROR(VLOOKUP(MID(T109,W109,X109-W109),[5]skilldef!$C:$D,2,FALSE),"-") &amp; " / " &amp; IFERROR(VLOOKUP(MID(T109,U109,V109-U109),[5]skilldef!$A:$B,2,FALSE),"-")</f>
        <v>- / -</v>
      </c>
      <c r="Z109" s="49" t="s">
        <v>212</v>
      </c>
      <c r="AA109" s="51">
        <f t="shared" ca="1" si="1"/>
        <v>42527</v>
      </c>
      <c r="AB109" s="50" t="s">
        <v>255</v>
      </c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11"/>
  <sheetViews>
    <sheetView showGridLines="0" tabSelected="1" workbookViewId="0">
      <pane ySplit="1" topLeftCell="A30" activePane="bottomLeft" state="frozenSplit"/>
      <selection pane="bottomLeft" activeCell="C32" sqref="C3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9" bestFit="1" customWidth="1"/>
    <col min="12" max="16384" width="12.83203125" style="44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87</v>
      </c>
    </row>
    <row r="2" spans="1:11" ht="21" customHeight="1" x14ac:dyDescent="0.15">
      <c r="A2" s="46">
        <v>49005001</v>
      </c>
      <c r="B2" s="93">
        <v>1</v>
      </c>
      <c r="C2" s="93" t="s">
        <v>209</v>
      </c>
      <c r="D2" s="93">
        <v>100</v>
      </c>
      <c r="E2" s="93" t="s">
        <v>210</v>
      </c>
      <c r="F2" s="93" t="s">
        <v>210</v>
      </c>
      <c r="G2" s="93">
        <v>1</v>
      </c>
      <c r="H2" s="93" t="s">
        <v>211</v>
      </c>
      <c r="I2" s="93" t="s">
        <v>210</v>
      </c>
      <c r="J2" s="47">
        <f t="shared" ref="J2" si="0">D2</f>
        <v>100</v>
      </c>
    </row>
    <row r="3" spans="1:11" ht="21" customHeight="1" x14ac:dyDescent="0.15">
      <c r="A3" s="46">
        <v>49005002</v>
      </c>
      <c r="B3" s="93">
        <v>0</v>
      </c>
      <c r="C3" s="93">
        <v>1</v>
      </c>
      <c r="D3" s="93">
        <v>100</v>
      </c>
      <c r="E3" s="93" t="s">
        <v>53</v>
      </c>
      <c r="F3" s="93" t="s">
        <v>53</v>
      </c>
      <c r="G3" s="93" t="s">
        <v>53</v>
      </c>
      <c r="H3" s="93">
        <v>1</v>
      </c>
      <c r="I3" s="93" t="s">
        <v>53</v>
      </c>
      <c r="J3" s="47">
        <f t="shared" ref="J3:J59" si="1">D3</f>
        <v>100</v>
      </c>
    </row>
    <row r="4" spans="1:11" ht="21" customHeight="1" x14ac:dyDescent="0.15">
      <c r="A4" s="46">
        <v>49005003</v>
      </c>
      <c r="B4" s="93">
        <v>0</v>
      </c>
      <c r="C4" s="93">
        <v>2</v>
      </c>
      <c r="D4" s="93">
        <v>100</v>
      </c>
      <c r="E4" s="93" t="s">
        <v>53</v>
      </c>
      <c r="F4" s="93" t="s">
        <v>53</v>
      </c>
      <c r="G4" s="93" t="s">
        <v>53</v>
      </c>
      <c r="H4" s="93">
        <v>2</v>
      </c>
      <c r="I4" s="93" t="s">
        <v>53</v>
      </c>
      <c r="J4" s="47">
        <f t="shared" si="1"/>
        <v>100</v>
      </c>
    </row>
    <row r="5" spans="1:11" ht="21" customHeight="1" x14ac:dyDescent="0.15">
      <c r="A5" s="46">
        <v>49005004</v>
      </c>
      <c r="B5" s="93">
        <v>0</v>
      </c>
      <c r="C5" s="93">
        <v>3</v>
      </c>
      <c r="D5" s="93">
        <v>100</v>
      </c>
      <c r="E5" s="93">
        <v>30</v>
      </c>
      <c r="F5" s="93" t="s">
        <v>53</v>
      </c>
      <c r="G5" s="93">
        <v>1</v>
      </c>
      <c r="H5" s="93">
        <v>1</v>
      </c>
      <c r="I5" s="93" t="s">
        <v>53</v>
      </c>
      <c r="J5" s="47">
        <f t="shared" si="1"/>
        <v>100</v>
      </c>
    </row>
    <row r="6" spans="1:11" ht="21" customHeight="1" x14ac:dyDescent="0.15">
      <c r="A6" s="46">
        <v>49005005</v>
      </c>
      <c r="B6" s="93">
        <v>1</v>
      </c>
      <c r="C6" s="93" t="s">
        <v>53</v>
      </c>
      <c r="D6" s="93">
        <v>100</v>
      </c>
      <c r="E6" s="93" t="s">
        <v>53</v>
      </c>
      <c r="F6" s="93" t="s">
        <v>53</v>
      </c>
      <c r="G6" s="93">
        <v>1</v>
      </c>
      <c r="H6" s="93" t="s">
        <v>53</v>
      </c>
      <c r="I6" s="93" t="s">
        <v>53</v>
      </c>
      <c r="J6" s="47">
        <f t="shared" si="1"/>
        <v>100</v>
      </c>
    </row>
    <row r="7" spans="1:11" ht="21" customHeight="1" x14ac:dyDescent="0.15">
      <c r="A7" s="46">
        <v>49005006</v>
      </c>
      <c r="B7" s="93">
        <v>0</v>
      </c>
      <c r="C7" s="93">
        <v>1</v>
      </c>
      <c r="D7" s="93">
        <v>100</v>
      </c>
      <c r="E7" s="93" t="s">
        <v>53</v>
      </c>
      <c r="F7" s="93" t="s">
        <v>53</v>
      </c>
      <c r="G7" s="93" t="s">
        <v>53</v>
      </c>
      <c r="H7" s="93">
        <v>1</v>
      </c>
      <c r="I7" s="93" t="s">
        <v>53</v>
      </c>
      <c r="J7" s="47">
        <f t="shared" si="1"/>
        <v>100</v>
      </c>
    </row>
    <row r="8" spans="1:11" ht="21" customHeight="1" x14ac:dyDescent="0.15">
      <c r="A8" s="46">
        <v>49005007</v>
      </c>
      <c r="B8" s="93">
        <v>0</v>
      </c>
      <c r="C8" s="93">
        <v>2</v>
      </c>
      <c r="D8" s="93">
        <v>100</v>
      </c>
      <c r="E8" s="93" t="s">
        <v>53</v>
      </c>
      <c r="F8" s="93" t="s">
        <v>53</v>
      </c>
      <c r="G8" s="93" t="s">
        <v>53</v>
      </c>
      <c r="H8" s="93">
        <v>2</v>
      </c>
      <c r="I8" s="93" t="s">
        <v>53</v>
      </c>
      <c r="J8" s="47">
        <f t="shared" si="1"/>
        <v>100</v>
      </c>
    </row>
    <row r="9" spans="1:11" ht="21" customHeight="1" x14ac:dyDescent="0.15">
      <c r="A9" s="46">
        <v>49005008</v>
      </c>
      <c r="B9" s="93">
        <v>0</v>
      </c>
      <c r="C9" s="93">
        <v>3</v>
      </c>
      <c r="D9" s="93">
        <v>100</v>
      </c>
      <c r="E9" s="93">
        <v>40</v>
      </c>
      <c r="F9" s="93" t="s">
        <v>53</v>
      </c>
      <c r="G9" s="93">
        <v>1</v>
      </c>
      <c r="H9" s="93">
        <v>1</v>
      </c>
      <c r="I9" s="93" t="s">
        <v>53</v>
      </c>
      <c r="J9" s="47">
        <f t="shared" si="1"/>
        <v>100</v>
      </c>
    </row>
    <row r="10" spans="1:11" ht="21" customHeight="1" x14ac:dyDescent="0.15">
      <c r="A10" s="46">
        <v>49005009</v>
      </c>
      <c r="B10" s="93">
        <v>1</v>
      </c>
      <c r="C10" s="93" t="s">
        <v>53</v>
      </c>
      <c r="D10" s="93">
        <v>100</v>
      </c>
      <c r="E10" s="93" t="s">
        <v>53</v>
      </c>
      <c r="F10" s="93" t="s">
        <v>53</v>
      </c>
      <c r="G10" s="93">
        <v>1</v>
      </c>
      <c r="H10" s="93" t="s">
        <v>53</v>
      </c>
      <c r="I10" s="93" t="s">
        <v>53</v>
      </c>
      <c r="J10" s="47">
        <f t="shared" si="1"/>
        <v>100</v>
      </c>
    </row>
    <row r="11" spans="1:11" ht="21" customHeight="1" x14ac:dyDescent="0.15">
      <c r="A11" s="46">
        <v>49005010</v>
      </c>
      <c r="B11" s="93">
        <v>0</v>
      </c>
      <c r="C11" s="93" t="s">
        <v>53</v>
      </c>
      <c r="D11" s="93">
        <v>100</v>
      </c>
      <c r="E11" s="93" t="s">
        <v>53</v>
      </c>
      <c r="F11" s="93" t="s">
        <v>53</v>
      </c>
      <c r="G11" s="93">
        <v>5</v>
      </c>
      <c r="H11" s="93" t="s">
        <v>53</v>
      </c>
      <c r="I11" s="93" t="s">
        <v>53</v>
      </c>
      <c r="J11" s="47">
        <f t="shared" si="1"/>
        <v>100</v>
      </c>
    </row>
    <row r="12" spans="1:11" ht="21" customHeight="1" x14ac:dyDescent="0.15">
      <c r="A12" s="46">
        <v>49005011</v>
      </c>
      <c r="B12" s="93">
        <v>0</v>
      </c>
      <c r="C12" s="93">
        <v>1</v>
      </c>
      <c r="D12" s="93">
        <v>100</v>
      </c>
      <c r="E12" s="93" t="s">
        <v>53</v>
      </c>
      <c r="F12" s="93" t="s">
        <v>53</v>
      </c>
      <c r="G12" s="93">
        <v>1</v>
      </c>
      <c r="H12" s="93" t="s">
        <v>53</v>
      </c>
      <c r="I12" s="93">
        <v>8022</v>
      </c>
      <c r="J12" s="47">
        <f t="shared" si="1"/>
        <v>100</v>
      </c>
    </row>
    <row r="13" spans="1:11" ht="21" customHeight="1" x14ac:dyDescent="0.15">
      <c r="A13" s="46">
        <v>49005012</v>
      </c>
      <c r="B13" s="93">
        <v>1</v>
      </c>
      <c r="C13" s="93" t="s">
        <v>53</v>
      </c>
      <c r="D13" s="93">
        <v>100</v>
      </c>
      <c r="E13" s="93" t="s">
        <v>53</v>
      </c>
      <c r="F13" s="93" t="s">
        <v>53</v>
      </c>
      <c r="G13" s="93">
        <v>1</v>
      </c>
      <c r="H13" s="93" t="s">
        <v>53</v>
      </c>
      <c r="I13" s="93" t="s">
        <v>53</v>
      </c>
      <c r="J13" s="47">
        <f t="shared" si="1"/>
        <v>100</v>
      </c>
    </row>
    <row r="14" spans="1:11" ht="21" customHeight="1" x14ac:dyDescent="0.15">
      <c r="A14" s="46">
        <v>49005013</v>
      </c>
      <c r="B14" s="93">
        <v>0</v>
      </c>
      <c r="C14" s="93">
        <v>1</v>
      </c>
      <c r="D14" s="93">
        <v>100</v>
      </c>
      <c r="E14" s="93" t="s">
        <v>53</v>
      </c>
      <c r="F14" s="93" t="s">
        <v>53</v>
      </c>
      <c r="G14" s="93" t="s">
        <v>53</v>
      </c>
      <c r="H14" s="93">
        <v>1</v>
      </c>
      <c r="I14" s="93" t="s">
        <v>53</v>
      </c>
      <c r="J14" s="47">
        <f t="shared" si="1"/>
        <v>100</v>
      </c>
    </row>
    <row r="15" spans="1:11" ht="21" customHeight="1" x14ac:dyDescent="0.15">
      <c r="A15" s="46">
        <v>49005014</v>
      </c>
      <c r="B15" s="93">
        <v>0</v>
      </c>
      <c r="C15" s="93">
        <v>2</v>
      </c>
      <c r="D15" s="93">
        <v>100</v>
      </c>
      <c r="E15" s="93" t="s">
        <v>53</v>
      </c>
      <c r="F15" s="93" t="s">
        <v>53</v>
      </c>
      <c r="G15" s="93" t="s">
        <v>53</v>
      </c>
      <c r="H15" s="93">
        <v>2</v>
      </c>
      <c r="I15" s="93" t="s">
        <v>53</v>
      </c>
      <c r="J15" s="47">
        <f t="shared" si="1"/>
        <v>100</v>
      </c>
    </row>
    <row r="16" spans="1:11" ht="21" customHeight="1" x14ac:dyDescent="0.15">
      <c r="A16" s="46">
        <v>49005015</v>
      </c>
      <c r="B16" s="93">
        <v>0</v>
      </c>
      <c r="C16" s="93">
        <v>3</v>
      </c>
      <c r="D16" s="93">
        <v>100</v>
      </c>
      <c r="E16" s="93">
        <v>30</v>
      </c>
      <c r="F16" s="93" t="s">
        <v>53</v>
      </c>
      <c r="G16" s="93">
        <v>1</v>
      </c>
      <c r="H16" s="93" t="s">
        <v>53</v>
      </c>
      <c r="I16" s="93" t="s">
        <v>53</v>
      </c>
      <c r="J16" s="47">
        <f t="shared" si="1"/>
        <v>100</v>
      </c>
    </row>
    <row r="17" spans="1:10" ht="21" customHeight="1" x14ac:dyDescent="0.15">
      <c r="A17" s="46">
        <v>49005016</v>
      </c>
      <c r="B17" s="93">
        <v>0</v>
      </c>
      <c r="C17" s="93">
        <v>1</v>
      </c>
      <c r="D17" s="93">
        <v>100</v>
      </c>
      <c r="E17" s="93" t="s">
        <v>53</v>
      </c>
      <c r="F17" s="93" t="s">
        <v>53</v>
      </c>
      <c r="G17" s="93">
        <v>1</v>
      </c>
      <c r="H17" s="93" t="s">
        <v>53</v>
      </c>
      <c r="I17" s="93">
        <v>8020</v>
      </c>
      <c r="J17" s="47">
        <f t="shared" si="1"/>
        <v>100</v>
      </c>
    </row>
    <row r="18" spans="1:10" ht="21" customHeight="1" x14ac:dyDescent="0.15">
      <c r="A18" s="46">
        <v>49005017</v>
      </c>
      <c r="B18" s="93">
        <v>1</v>
      </c>
      <c r="C18" s="93" t="s">
        <v>53</v>
      </c>
      <c r="D18" s="93">
        <v>100</v>
      </c>
      <c r="E18" s="93" t="s">
        <v>53</v>
      </c>
      <c r="F18" s="93" t="s">
        <v>53</v>
      </c>
      <c r="G18" s="93">
        <v>1</v>
      </c>
      <c r="H18" s="93" t="s">
        <v>53</v>
      </c>
      <c r="I18" s="93" t="s">
        <v>53</v>
      </c>
      <c r="J18" s="47">
        <f t="shared" si="1"/>
        <v>100</v>
      </c>
    </row>
    <row r="19" spans="1:10" ht="21" customHeight="1" x14ac:dyDescent="0.15">
      <c r="A19" s="46">
        <v>49005018</v>
      </c>
      <c r="B19" s="93">
        <v>0</v>
      </c>
      <c r="C19" s="93">
        <v>1</v>
      </c>
      <c r="D19" s="93">
        <v>100</v>
      </c>
      <c r="E19" s="93">
        <v>100</v>
      </c>
      <c r="F19" s="93">
        <v>80</v>
      </c>
      <c r="G19" s="93" t="s">
        <v>53</v>
      </c>
      <c r="H19" s="93" t="s">
        <v>53</v>
      </c>
      <c r="I19" s="93" t="s">
        <v>53</v>
      </c>
      <c r="J19" s="47">
        <f t="shared" si="1"/>
        <v>100</v>
      </c>
    </row>
    <row r="20" spans="1:10" ht="21" customHeight="1" x14ac:dyDescent="0.15">
      <c r="A20" s="46">
        <v>49005019</v>
      </c>
      <c r="B20" s="93">
        <v>0</v>
      </c>
      <c r="C20" s="93">
        <v>1</v>
      </c>
      <c r="D20" s="93">
        <v>100</v>
      </c>
      <c r="E20" s="93">
        <v>80</v>
      </c>
      <c r="F20" s="93">
        <v>60</v>
      </c>
      <c r="G20" s="93" t="s">
        <v>53</v>
      </c>
      <c r="H20" s="93" t="s">
        <v>53</v>
      </c>
      <c r="I20" s="93" t="s">
        <v>53</v>
      </c>
      <c r="J20" s="47">
        <f t="shared" si="1"/>
        <v>100</v>
      </c>
    </row>
    <row r="21" spans="1:10" ht="21" customHeight="1" x14ac:dyDescent="0.15">
      <c r="A21" s="46">
        <v>49005020</v>
      </c>
      <c r="B21" s="93">
        <v>0</v>
      </c>
      <c r="C21" s="93">
        <v>1</v>
      </c>
      <c r="D21" s="93">
        <v>100</v>
      </c>
      <c r="E21" s="93">
        <v>60</v>
      </c>
      <c r="F21" s="93">
        <v>40</v>
      </c>
      <c r="G21" s="93" t="s">
        <v>53</v>
      </c>
      <c r="H21" s="93" t="s">
        <v>53</v>
      </c>
      <c r="I21" s="93" t="s">
        <v>53</v>
      </c>
      <c r="J21" s="47">
        <f t="shared" si="1"/>
        <v>100</v>
      </c>
    </row>
    <row r="22" spans="1:10" ht="21" customHeight="1" x14ac:dyDescent="0.15">
      <c r="A22" s="46">
        <v>49005021</v>
      </c>
      <c r="B22" s="93">
        <v>0</v>
      </c>
      <c r="C22" s="93">
        <v>1</v>
      </c>
      <c r="D22" s="93">
        <v>100</v>
      </c>
      <c r="E22" s="93">
        <v>40</v>
      </c>
      <c r="F22" s="93">
        <v>20</v>
      </c>
      <c r="G22" s="93" t="s">
        <v>53</v>
      </c>
      <c r="H22" s="93" t="s">
        <v>53</v>
      </c>
      <c r="I22" s="93" t="s">
        <v>53</v>
      </c>
      <c r="J22" s="47">
        <f t="shared" si="1"/>
        <v>100</v>
      </c>
    </row>
    <row r="23" spans="1:10" ht="21" customHeight="1" x14ac:dyDescent="0.15">
      <c r="A23" s="46">
        <v>49005022</v>
      </c>
      <c r="B23" s="93">
        <v>0</v>
      </c>
      <c r="C23" s="93">
        <v>1</v>
      </c>
      <c r="D23" s="93">
        <v>100</v>
      </c>
      <c r="E23" s="93">
        <v>20</v>
      </c>
      <c r="F23" s="93" t="s">
        <v>234</v>
      </c>
      <c r="G23" s="93" t="s">
        <v>53</v>
      </c>
      <c r="H23" s="93" t="s">
        <v>53</v>
      </c>
      <c r="I23" s="93" t="s">
        <v>53</v>
      </c>
      <c r="J23" s="47">
        <f t="shared" si="1"/>
        <v>100</v>
      </c>
    </row>
    <row r="24" spans="1:10" ht="21" customHeight="1" x14ac:dyDescent="0.15">
      <c r="A24" s="46">
        <v>49005023</v>
      </c>
      <c r="B24" s="93">
        <v>0</v>
      </c>
      <c r="C24" s="93">
        <v>1</v>
      </c>
      <c r="D24" s="93">
        <v>100</v>
      </c>
      <c r="E24" s="93">
        <v>20</v>
      </c>
      <c r="F24" s="93" t="s">
        <v>53</v>
      </c>
      <c r="G24" s="93">
        <v>1</v>
      </c>
      <c r="H24" s="93" t="s">
        <v>233</v>
      </c>
      <c r="I24" s="93" t="s">
        <v>53</v>
      </c>
      <c r="J24" s="47">
        <f t="shared" si="1"/>
        <v>100</v>
      </c>
    </row>
    <row r="25" spans="1:10" ht="21" customHeight="1" x14ac:dyDescent="0.15">
      <c r="A25" s="46">
        <v>49005024</v>
      </c>
      <c r="B25" s="93">
        <v>1</v>
      </c>
      <c r="C25" s="93" t="s">
        <v>53</v>
      </c>
      <c r="D25" s="93">
        <v>100</v>
      </c>
      <c r="E25" s="93" t="s">
        <v>53</v>
      </c>
      <c r="F25" s="93" t="s">
        <v>53</v>
      </c>
      <c r="G25" s="93">
        <v>1</v>
      </c>
      <c r="H25" s="93" t="s">
        <v>53</v>
      </c>
      <c r="I25" s="93" t="s">
        <v>53</v>
      </c>
      <c r="J25" s="47">
        <f t="shared" si="1"/>
        <v>100</v>
      </c>
    </row>
    <row r="26" spans="1:10" ht="21" customHeight="1" x14ac:dyDescent="0.15">
      <c r="A26" s="46">
        <v>49005025</v>
      </c>
      <c r="B26" s="93">
        <v>0</v>
      </c>
      <c r="C26" s="93">
        <v>1</v>
      </c>
      <c r="D26" s="93">
        <v>100</v>
      </c>
      <c r="E26" s="93" t="s">
        <v>53</v>
      </c>
      <c r="F26" s="93" t="s">
        <v>53</v>
      </c>
      <c r="G26" s="93" t="s">
        <v>53</v>
      </c>
      <c r="H26" s="93">
        <v>3</v>
      </c>
      <c r="I26" s="93" t="s">
        <v>53</v>
      </c>
      <c r="J26" s="47">
        <f t="shared" si="1"/>
        <v>100</v>
      </c>
    </row>
    <row r="27" spans="1:10" ht="21" customHeight="1" x14ac:dyDescent="0.15">
      <c r="A27" s="46">
        <v>49005026</v>
      </c>
      <c r="B27" s="93">
        <v>0</v>
      </c>
      <c r="C27" s="93" t="s">
        <v>53</v>
      </c>
      <c r="D27" s="93">
        <v>100</v>
      </c>
      <c r="E27" s="93">
        <v>100</v>
      </c>
      <c r="F27" s="93">
        <v>81</v>
      </c>
      <c r="G27" s="93" t="s">
        <v>53</v>
      </c>
      <c r="H27" s="93" t="s">
        <v>53</v>
      </c>
      <c r="I27" s="93" t="s">
        <v>53</v>
      </c>
      <c r="J27" s="47">
        <f t="shared" si="1"/>
        <v>100</v>
      </c>
    </row>
    <row r="28" spans="1:10" ht="21" customHeight="1" x14ac:dyDescent="0.15">
      <c r="A28" s="46">
        <v>49005027</v>
      </c>
      <c r="B28" s="93">
        <v>0</v>
      </c>
      <c r="C28" s="93" t="s">
        <v>53</v>
      </c>
      <c r="D28" s="93">
        <v>100</v>
      </c>
      <c r="E28" s="93">
        <v>80</v>
      </c>
      <c r="F28" s="93">
        <v>61</v>
      </c>
      <c r="G28" s="93" t="s">
        <v>53</v>
      </c>
      <c r="H28" s="93" t="s">
        <v>53</v>
      </c>
      <c r="I28" s="93" t="s">
        <v>53</v>
      </c>
      <c r="J28" s="47">
        <f t="shared" si="1"/>
        <v>100</v>
      </c>
    </row>
    <row r="29" spans="1:10" ht="21" customHeight="1" x14ac:dyDescent="0.15">
      <c r="A29" s="46">
        <v>49005028</v>
      </c>
      <c r="B29" s="93">
        <v>0</v>
      </c>
      <c r="C29" s="93" t="s">
        <v>53</v>
      </c>
      <c r="D29" s="93">
        <v>100</v>
      </c>
      <c r="E29" s="93">
        <v>60</v>
      </c>
      <c r="F29" s="93">
        <v>41</v>
      </c>
      <c r="G29" s="93" t="s">
        <v>53</v>
      </c>
      <c r="H29" s="93" t="s">
        <v>213</v>
      </c>
      <c r="I29" s="93" t="s">
        <v>53</v>
      </c>
      <c r="J29" s="47">
        <f t="shared" si="1"/>
        <v>100</v>
      </c>
    </row>
    <row r="30" spans="1:10" ht="21" customHeight="1" x14ac:dyDescent="0.15">
      <c r="A30" s="46">
        <v>49005029</v>
      </c>
      <c r="B30" s="93">
        <v>0</v>
      </c>
      <c r="C30" s="93" t="s">
        <v>53</v>
      </c>
      <c r="D30" s="93">
        <v>100</v>
      </c>
      <c r="E30" s="93">
        <v>40</v>
      </c>
      <c r="F30" s="93">
        <v>21</v>
      </c>
      <c r="G30" s="93" t="s">
        <v>53</v>
      </c>
      <c r="H30" s="93" t="s">
        <v>53</v>
      </c>
      <c r="I30" s="93" t="s">
        <v>53</v>
      </c>
      <c r="J30" s="47">
        <f t="shared" si="1"/>
        <v>100</v>
      </c>
    </row>
    <row r="31" spans="1:10" ht="21" customHeight="1" x14ac:dyDescent="0.15">
      <c r="A31" s="46">
        <v>49005030</v>
      </c>
      <c r="B31" s="93">
        <v>0</v>
      </c>
      <c r="C31" s="93" t="s">
        <v>53</v>
      </c>
      <c r="D31" s="93">
        <v>100</v>
      </c>
      <c r="E31" s="93">
        <v>20</v>
      </c>
      <c r="F31" s="93" t="s">
        <v>53</v>
      </c>
      <c r="G31" s="93" t="s">
        <v>53</v>
      </c>
      <c r="H31" s="93" t="s">
        <v>53</v>
      </c>
      <c r="I31" s="93" t="s">
        <v>53</v>
      </c>
      <c r="J31" s="47">
        <f t="shared" si="1"/>
        <v>100</v>
      </c>
    </row>
    <row r="32" spans="1:10" ht="21" customHeight="1" x14ac:dyDescent="0.15">
      <c r="A32" s="46">
        <v>49005031</v>
      </c>
      <c r="B32" s="93">
        <v>0</v>
      </c>
      <c r="C32" s="93">
        <v>1</v>
      </c>
      <c r="D32" s="93">
        <v>100</v>
      </c>
      <c r="E32" s="93">
        <v>30</v>
      </c>
      <c r="F32" s="93" t="s">
        <v>53</v>
      </c>
      <c r="G32" s="93">
        <v>1</v>
      </c>
      <c r="H32" s="93" t="s">
        <v>53</v>
      </c>
      <c r="I32" s="93" t="s">
        <v>53</v>
      </c>
      <c r="J32" s="47">
        <f t="shared" si="1"/>
        <v>100</v>
      </c>
    </row>
    <row r="33" spans="1:10" ht="21" customHeight="1" x14ac:dyDescent="0.15">
      <c r="A33" s="46">
        <v>49005032</v>
      </c>
      <c r="B33" s="93">
        <v>1</v>
      </c>
      <c r="C33" s="93" t="s">
        <v>53</v>
      </c>
      <c r="D33" s="93">
        <v>100</v>
      </c>
      <c r="E33" s="93" t="s">
        <v>53</v>
      </c>
      <c r="F33" s="93" t="s">
        <v>53</v>
      </c>
      <c r="G33" s="93" t="s">
        <v>53</v>
      </c>
      <c r="H33" s="93" t="s">
        <v>53</v>
      </c>
      <c r="I33" s="93" t="s">
        <v>53</v>
      </c>
      <c r="J33" s="47">
        <f t="shared" si="1"/>
        <v>100</v>
      </c>
    </row>
    <row r="34" spans="1:10" ht="21" customHeight="1" x14ac:dyDescent="0.15">
      <c r="A34" s="46">
        <v>49005033</v>
      </c>
      <c r="B34" s="93">
        <v>1</v>
      </c>
      <c r="C34" s="93">
        <v>1</v>
      </c>
      <c r="D34" s="93">
        <v>100</v>
      </c>
      <c r="E34" s="93" t="s">
        <v>53</v>
      </c>
      <c r="F34" s="93" t="s">
        <v>53</v>
      </c>
      <c r="G34" s="93">
        <v>1</v>
      </c>
      <c r="H34" s="93" t="s">
        <v>53</v>
      </c>
      <c r="I34" s="93">
        <v>8029</v>
      </c>
      <c r="J34" s="47">
        <f t="shared" si="1"/>
        <v>100</v>
      </c>
    </row>
    <row r="35" spans="1:10" ht="21" customHeight="1" x14ac:dyDescent="0.15">
      <c r="A35" s="46">
        <v>49005034</v>
      </c>
      <c r="B35" s="93">
        <v>1</v>
      </c>
      <c r="C35" s="93">
        <v>1</v>
      </c>
      <c r="D35" s="93">
        <v>100</v>
      </c>
      <c r="E35" s="93" t="s">
        <v>53</v>
      </c>
      <c r="F35" s="93" t="s">
        <v>53</v>
      </c>
      <c r="G35" s="93">
        <v>1</v>
      </c>
      <c r="H35" s="93" t="s">
        <v>53</v>
      </c>
      <c r="I35" s="93">
        <v>8030</v>
      </c>
      <c r="J35" s="47">
        <f t="shared" si="1"/>
        <v>100</v>
      </c>
    </row>
    <row r="36" spans="1:10" ht="21" customHeight="1" x14ac:dyDescent="0.15">
      <c r="A36" s="46">
        <v>49005035</v>
      </c>
      <c r="B36" s="93">
        <v>1</v>
      </c>
      <c r="C36" s="93">
        <v>1</v>
      </c>
      <c r="D36" s="93">
        <v>100</v>
      </c>
      <c r="E36" s="93" t="s">
        <v>53</v>
      </c>
      <c r="F36" s="93" t="s">
        <v>53</v>
      </c>
      <c r="G36" s="93">
        <v>1</v>
      </c>
      <c r="H36" s="93" t="s">
        <v>53</v>
      </c>
      <c r="I36" s="93">
        <v>8013</v>
      </c>
      <c r="J36" s="47">
        <f t="shared" si="1"/>
        <v>100</v>
      </c>
    </row>
    <row r="37" spans="1:10" ht="21" customHeight="1" x14ac:dyDescent="0.15">
      <c r="A37" s="46">
        <v>49005036</v>
      </c>
      <c r="B37" s="93">
        <v>1</v>
      </c>
      <c r="C37" s="93">
        <v>1</v>
      </c>
      <c r="D37" s="93">
        <v>100</v>
      </c>
      <c r="E37" s="93" t="s">
        <v>53</v>
      </c>
      <c r="F37" s="93" t="s">
        <v>53</v>
      </c>
      <c r="G37" s="93">
        <v>1</v>
      </c>
      <c r="H37" s="93" t="s">
        <v>53</v>
      </c>
      <c r="I37" s="93">
        <v>8014</v>
      </c>
      <c r="J37" s="47">
        <f t="shared" si="1"/>
        <v>100</v>
      </c>
    </row>
    <row r="38" spans="1:10" ht="21" customHeight="1" x14ac:dyDescent="0.15">
      <c r="A38" s="46">
        <v>49005037</v>
      </c>
      <c r="B38" s="93">
        <v>1</v>
      </c>
      <c r="C38" s="93">
        <v>1</v>
      </c>
      <c r="D38" s="93">
        <v>100</v>
      </c>
      <c r="E38" s="93" t="s">
        <v>53</v>
      </c>
      <c r="F38" s="93" t="s">
        <v>53</v>
      </c>
      <c r="G38" s="93">
        <v>1</v>
      </c>
      <c r="H38" s="93" t="s">
        <v>53</v>
      </c>
      <c r="I38" s="93">
        <v>8015</v>
      </c>
      <c r="J38" s="47">
        <f t="shared" si="1"/>
        <v>100</v>
      </c>
    </row>
    <row r="39" spans="1:10" ht="21" customHeight="1" x14ac:dyDescent="0.15">
      <c r="A39" s="46">
        <v>49005038</v>
      </c>
      <c r="B39" s="93">
        <v>1</v>
      </c>
      <c r="C39" s="93">
        <v>1</v>
      </c>
      <c r="D39" s="93">
        <v>100</v>
      </c>
      <c r="E39" s="93" t="s">
        <v>53</v>
      </c>
      <c r="F39" s="93" t="s">
        <v>53</v>
      </c>
      <c r="G39" s="93">
        <v>1</v>
      </c>
      <c r="H39" s="93" t="s">
        <v>53</v>
      </c>
      <c r="I39" s="93">
        <v>8016</v>
      </c>
      <c r="J39" s="47">
        <f t="shared" si="1"/>
        <v>100</v>
      </c>
    </row>
    <row r="40" spans="1:10" ht="21" customHeight="1" x14ac:dyDescent="0.15">
      <c r="A40" s="46">
        <v>49005039</v>
      </c>
      <c r="B40" s="93">
        <v>1</v>
      </c>
      <c r="C40" s="93">
        <v>1</v>
      </c>
      <c r="D40" s="93">
        <v>100</v>
      </c>
      <c r="E40" s="93" t="s">
        <v>53</v>
      </c>
      <c r="F40" s="93" t="s">
        <v>53</v>
      </c>
      <c r="G40" s="93">
        <v>1</v>
      </c>
      <c r="H40" s="93" t="s">
        <v>53</v>
      </c>
      <c r="I40" s="93">
        <v>8017</v>
      </c>
      <c r="J40" s="47">
        <f t="shared" si="1"/>
        <v>100</v>
      </c>
    </row>
    <row r="41" spans="1:10" ht="21" customHeight="1" x14ac:dyDescent="0.15">
      <c r="A41" s="46">
        <v>49005040</v>
      </c>
      <c r="B41" s="93">
        <v>1</v>
      </c>
      <c r="C41" s="93">
        <v>1</v>
      </c>
      <c r="D41" s="93">
        <v>100</v>
      </c>
      <c r="E41" s="93" t="s">
        <v>53</v>
      </c>
      <c r="F41" s="93" t="s">
        <v>53</v>
      </c>
      <c r="G41" s="93">
        <v>1</v>
      </c>
      <c r="H41" s="93" t="s">
        <v>53</v>
      </c>
      <c r="I41" s="93">
        <v>8018</v>
      </c>
      <c r="J41" s="47">
        <f t="shared" si="1"/>
        <v>100</v>
      </c>
    </row>
    <row r="42" spans="1:10" ht="21" customHeight="1" x14ac:dyDescent="0.15">
      <c r="A42" s="46">
        <v>49005041</v>
      </c>
      <c r="B42" s="93">
        <v>1</v>
      </c>
      <c r="C42" s="93">
        <v>1</v>
      </c>
      <c r="D42" s="93">
        <v>100</v>
      </c>
      <c r="E42" s="93" t="s">
        <v>53</v>
      </c>
      <c r="F42" s="93" t="s">
        <v>53</v>
      </c>
      <c r="G42" s="93">
        <v>1</v>
      </c>
      <c r="H42" s="93" t="s">
        <v>53</v>
      </c>
      <c r="I42" s="93">
        <v>8019</v>
      </c>
      <c r="J42" s="47">
        <f t="shared" si="1"/>
        <v>100</v>
      </c>
    </row>
    <row r="43" spans="1:10" ht="21" customHeight="1" x14ac:dyDescent="0.15">
      <c r="A43" s="46">
        <v>49005042</v>
      </c>
      <c r="B43" s="93">
        <v>1</v>
      </c>
      <c r="C43" s="93">
        <v>1</v>
      </c>
      <c r="D43" s="93">
        <v>100</v>
      </c>
      <c r="E43" s="93" t="s">
        <v>53</v>
      </c>
      <c r="F43" s="93" t="s">
        <v>53</v>
      </c>
      <c r="G43" s="93">
        <v>1</v>
      </c>
      <c r="H43" s="93" t="s">
        <v>53</v>
      </c>
      <c r="I43" s="93">
        <v>8020</v>
      </c>
      <c r="J43" s="47">
        <f t="shared" si="1"/>
        <v>100</v>
      </c>
    </row>
    <row r="44" spans="1:10" ht="21" customHeight="1" x14ac:dyDescent="0.15">
      <c r="A44" s="46">
        <v>49005043</v>
      </c>
      <c r="B44" s="93">
        <v>1</v>
      </c>
      <c r="C44" s="93">
        <v>1</v>
      </c>
      <c r="D44" s="93">
        <v>100</v>
      </c>
      <c r="E44" s="93" t="s">
        <v>53</v>
      </c>
      <c r="F44" s="93" t="s">
        <v>53</v>
      </c>
      <c r="G44" s="93">
        <v>1</v>
      </c>
      <c r="H44" s="93" t="s">
        <v>53</v>
      </c>
      <c r="I44" s="93">
        <v>8021</v>
      </c>
      <c r="J44" s="47">
        <f t="shared" si="1"/>
        <v>100</v>
      </c>
    </row>
    <row r="45" spans="1:10" ht="21" customHeight="1" x14ac:dyDescent="0.15">
      <c r="A45" s="46">
        <v>49005044</v>
      </c>
      <c r="B45" s="93">
        <v>1</v>
      </c>
      <c r="C45" s="93">
        <v>1</v>
      </c>
      <c r="D45" s="93">
        <v>100</v>
      </c>
      <c r="E45" s="93" t="s">
        <v>53</v>
      </c>
      <c r="F45" s="93" t="s">
        <v>53</v>
      </c>
      <c r="G45" s="93">
        <v>1</v>
      </c>
      <c r="H45" s="93" t="s">
        <v>53</v>
      </c>
      <c r="I45" s="93">
        <v>8022</v>
      </c>
      <c r="J45" s="47">
        <f t="shared" si="1"/>
        <v>100</v>
      </c>
    </row>
    <row r="46" spans="1:10" ht="21" customHeight="1" x14ac:dyDescent="0.15">
      <c r="A46" s="46">
        <v>49005045</v>
      </c>
      <c r="B46" s="93">
        <v>1</v>
      </c>
      <c r="C46" s="93">
        <v>1</v>
      </c>
      <c r="D46" s="93">
        <v>100</v>
      </c>
      <c r="E46" s="93" t="s">
        <v>53</v>
      </c>
      <c r="F46" s="93" t="s">
        <v>53</v>
      </c>
      <c r="G46" s="93">
        <v>1</v>
      </c>
      <c r="H46" s="93" t="s">
        <v>53</v>
      </c>
      <c r="I46" s="93">
        <v>8023</v>
      </c>
      <c r="J46" s="47">
        <f t="shared" si="1"/>
        <v>100</v>
      </c>
    </row>
    <row r="47" spans="1:10" ht="21" customHeight="1" x14ac:dyDescent="0.15">
      <c r="A47" s="46">
        <v>49005046</v>
      </c>
      <c r="B47" s="93">
        <v>1</v>
      </c>
      <c r="C47" s="93">
        <v>1</v>
      </c>
      <c r="D47" s="93">
        <v>100</v>
      </c>
      <c r="E47" s="93" t="s">
        <v>53</v>
      </c>
      <c r="F47" s="93" t="s">
        <v>53</v>
      </c>
      <c r="G47" s="93">
        <v>1</v>
      </c>
      <c r="H47" s="93" t="s">
        <v>53</v>
      </c>
      <c r="I47" s="93">
        <v>8024</v>
      </c>
      <c r="J47" s="47">
        <f t="shared" si="1"/>
        <v>100</v>
      </c>
    </row>
    <row r="48" spans="1:10" ht="21" customHeight="1" x14ac:dyDescent="0.15">
      <c r="A48" s="46">
        <v>49005047</v>
      </c>
      <c r="B48" s="93">
        <v>1</v>
      </c>
      <c r="C48" s="93">
        <v>1</v>
      </c>
      <c r="D48" s="93">
        <v>100</v>
      </c>
      <c r="E48" s="93" t="s">
        <v>53</v>
      </c>
      <c r="F48" s="93" t="s">
        <v>53</v>
      </c>
      <c r="G48" s="93">
        <v>1</v>
      </c>
      <c r="H48" s="93" t="s">
        <v>53</v>
      </c>
      <c r="I48" s="93">
        <v>8025</v>
      </c>
      <c r="J48" s="47">
        <f t="shared" si="1"/>
        <v>100</v>
      </c>
    </row>
    <row r="49" spans="1:10" ht="21" customHeight="1" x14ac:dyDescent="0.15">
      <c r="A49" s="46">
        <v>49005048</v>
      </c>
      <c r="B49" s="93">
        <v>1</v>
      </c>
      <c r="C49" s="93">
        <v>1</v>
      </c>
      <c r="D49" s="93">
        <v>100</v>
      </c>
      <c r="E49" s="93" t="s">
        <v>53</v>
      </c>
      <c r="F49" s="93" t="s">
        <v>53</v>
      </c>
      <c r="G49" s="93">
        <v>1</v>
      </c>
      <c r="H49" s="93" t="s">
        <v>53</v>
      </c>
      <c r="I49" s="93">
        <v>8026</v>
      </c>
      <c r="J49" s="47">
        <f t="shared" si="1"/>
        <v>100</v>
      </c>
    </row>
    <row r="50" spans="1:10" ht="21" customHeight="1" x14ac:dyDescent="0.15">
      <c r="A50" s="46">
        <v>49005049</v>
      </c>
      <c r="B50" s="93">
        <v>1</v>
      </c>
      <c r="C50" s="93">
        <v>1</v>
      </c>
      <c r="D50" s="93">
        <v>100</v>
      </c>
      <c r="E50" s="93" t="s">
        <v>53</v>
      </c>
      <c r="F50" s="93" t="s">
        <v>53</v>
      </c>
      <c r="G50" s="93">
        <v>1</v>
      </c>
      <c r="H50" s="93" t="s">
        <v>53</v>
      </c>
      <c r="I50" s="93">
        <v>8027</v>
      </c>
      <c r="J50" s="47">
        <f t="shared" si="1"/>
        <v>100</v>
      </c>
    </row>
    <row r="51" spans="1:10" ht="21" customHeight="1" x14ac:dyDescent="0.15">
      <c r="A51" s="46">
        <v>49005050</v>
      </c>
      <c r="B51" s="93">
        <v>1</v>
      </c>
      <c r="C51" s="93">
        <v>1</v>
      </c>
      <c r="D51" s="93">
        <v>100</v>
      </c>
      <c r="E51" s="93" t="s">
        <v>53</v>
      </c>
      <c r="F51" s="93" t="s">
        <v>53</v>
      </c>
      <c r="G51" s="93">
        <v>1</v>
      </c>
      <c r="H51" s="93" t="s">
        <v>53</v>
      </c>
      <c r="I51" s="93">
        <v>8028</v>
      </c>
      <c r="J51" s="47">
        <f t="shared" si="1"/>
        <v>100</v>
      </c>
    </row>
    <row r="52" spans="1:10" ht="21" customHeight="1" x14ac:dyDescent="0.15">
      <c r="A52" s="46">
        <v>49005058</v>
      </c>
      <c r="B52" s="93">
        <v>0</v>
      </c>
      <c r="C52" s="93">
        <v>1</v>
      </c>
      <c r="D52" s="93">
        <v>100</v>
      </c>
      <c r="E52" s="93" t="s">
        <v>53</v>
      </c>
      <c r="F52" s="93" t="s">
        <v>53</v>
      </c>
      <c r="G52" s="93" t="s">
        <v>53</v>
      </c>
      <c r="H52" s="93" t="s">
        <v>53</v>
      </c>
      <c r="I52" s="93" t="s">
        <v>53</v>
      </c>
      <c r="J52" s="47">
        <f t="shared" si="1"/>
        <v>100</v>
      </c>
    </row>
    <row r="53" spans="1:10" ht="21" customHeight="1" x14ac:dyDescent="0.15">
      <c r="A53" s="46">
        <v>49005059</v>
      </c>
      <c r="B53" s="93">
        <v>0</v>
      </c>
      <c r="C53" s="93">
        <v>2</v>
      </c>
      <c r="D53" s="93">
        <v>100</v>
      </c>
      <c r="E53" s="93" t="s">
        <v>53</v>
      </c>
      <c r="F53" s="93" t="s">
        <v>53</v>
      </c>
      <c r="G53" s="93" t="s">
        <v>53</v>
      </c>
      <c r="H53" s="93">
        <v>3</v>
      </c>
      <c r="I53" s="93" t="s">
        <v>53</v>
      </c>
      <c r="J53" s="47">
        <f t="shared" si="1"/>
        <v>100</v>
      </c>
    </row>
    <row r="54" spans="1:10" ht="21" customHeight="1" x14ac:dyDescent="0.15">
      <c r="A54" s="46">
        <v>49005060</v>
      </c>
      <c r="B54" s="93">
        <v>0</v>
      </c>
      <c r="C54" s="93">
        <v>1</v>
      </c>
      <c r="D54" s="93">
        <v>75</v>
      </c>
      <c r="E54" s="93" t="s">
        <v>53</v>
      </c>
      <c r="F54" s="93" t="s">
        <v>53</v>
      </c>
      <c r="G54" s="93">
        <v>2</v>
      </c>
      <c r="H54" s="93" t="s">
        <v>53</v>
      </c>
      <c r="I54" s="93" t="s">
        <v>53</v>
      </c>
      <c r="J54" s="47">
        <f t="shared" si="1"/>
        <v>75</v>
      </c>
    </row>
    <row r="55" spans="1:10" ht="21" customHeight="1" x14ac:dyDescent="0.15">
      <c r="A55" s="46">
        <v>49005061</v>
      </c>
      <c r="B55" s="93">
        <v>0</v>
      </c>
      <c r="C55" s="93">
        <v>3</v>
      </c>
      <c r="D55" s="93">
        <v>100</v>
      </c>
      <c r="E55" s="93" t="s">
        <v>53</v>
      </c>
      <c r="F55" s="93" t="s">
        <v>53</v>
      </c>
      <c r="G55" s="93" t="s">
        <v>53</v>
      </c>
      <c r="H55" s="93">
        <v>9</v>
      </c>
      <c r="I55" s="93" t="s">
        <v>53</v>
      </c>
      <c r="J55" s="47">
        <f t="shared" si="1"/>
        <v>100</v>
      </c>
    </row>
    <row r="56" spans="1:10" ht="21" customHeight="1" x14ac:dyDescent="0.15">
      <c r="A56" s="46">
        <v>49005062</v>
      </c>
      <c r="B56" s="93">
        <v>0</v>
      </c>
      <c r="C56" s="93">
        <v>4</v>
      </c>
      <c r="D56" s="93">
        <v>100</v>
      </c>
      <c r="E56" s="93">
        <v>50</v>
      </c>
      <c r="F56" s="93" t="s">
        <v>53</v>
      </c>
      <c r="G56" s="93">
        <v>1</v>
      </c>
      <c r="H56" s="93" t="s">
        <v>53</v>
      </c>
      <c r="I56" s="93" t="s">
        <v>53</v>
      </c>
      <c r="J56" s="47">
        <f t="shared" si="1"/>
        <v>100</v>
      </c>
    </row>
    <row r="57" spans="1:10" ht="21" customHeight="1" x14ac:dyDescent="0.15">
      <c r="A57" s="46">
        <v>49005063</v>
      </c>
      <c r="B57" s="93">
        <v>0</v>
      </c>
      <c r="C57" s="93">
        <v>5</v>
      </c>
      <c r="D57" s="93">
        <v>100</v>
      </c>
      <c r="E57" s="93">
        <v>30</v>
      </c>
      <c r="F57" s="93" t="s">
        <v>53</v>
      </c>
      <c r="G57" s="93">
        <v>1</v>
      </c>
      <c r="H57" s="93" t="s">
        <v>53</v>
      </c>
      <c r="I57" s="93" t="s">
        <v>53</v>
      </c>
      <c r="J57" s="47">
        <f t="shared" si="1"/>
        <v>100</v>
      </c>
    </row>
    <row r="58" spans="1:10" ht="21" customHeight="1" x14ac:dyDescent="0.15">
      <c r="A58" s="46">
        <v>49005064</v>
      </c>
      <c r="B58" s="93">
        <v>1</v>
      </c>
      <c r="C58" s="93" t="s">
        <v>53</v>
      </c>
      <c r="D58" s="93">
        <v>100</v>
      </c>
      <c r="E58" s="93" t="s">
        <v>53</v>
      </c>
      <c r="F58" s="93" t="s">
        <v>53</v>
      </c>
      <c r="G58" s="93">
        <v>1</v>
      </c>
      <c r="H58" s="93" t="s">
        <v>53</v>
      </c>
      <c r="I58" s="93" t="s">
        <v>53</v>
      </c>
      <c r="J58" s="47">
        <f t="shared" si="1"/>
        <v>100</v>
      </c>
    </row>
    <row r="59" spans="1:10" ht="21" customHeight="1" x14ac:dyDescent="0.15">
      <c r="A59" s="46">
        <v>49005065</v>
      </c>
      <c r="B59" s="93">
        <v>1</v>
      </c>
      <c r="C59" s="93">
        <v>1</v>
      </c>
      <c r="D59" s="93">
        <v>100</v>
      </c>
      <c r="E59" s="93" t="s">
        <v>53</v>
      </c>
      <c r="F59" s="93" t="s">
        <v>53</v>
      </c>
      <c r="G59" s="93">
        <v>1</v>
      </c>
      <c r="H59" s="93" t="s">
        <v>53</v>
      </c>
      <c r="I59" s="93">
        <v>8029</v>
      </c>
      <c r="J59" s="47">
        <f t="shared" si="1"/>
        <v>100</v>
      </c>
    </row>
    <row r="60" spans="1:10" ht="21" customHeight="1" x14ac:dyDescent="0.15">
      <c r="A60" s="46">
        <v>49005066</v>
      </c>
      <c r="B60" s="93">
        <v>1</v>
      </c>
      <c r="C60" s="93">
        <v>1</v>
      </c>
      <c r="D60" s="93">
        <v>100</v>
      </c>
      <c r="E60" s="93" t="s">
        <v>53</v>
      </c>
      <c r="F60" s="93" t="s">
        <v>53</v>
      </c>
      <c r="G60" s="93">
        <v>1</v>
      </c>
      <c r="H60" s="93" t="s">
        <v>53</v>
      </c>
      <c r="I60" s="93">
        <v>8030</v>
      </c>
      <c r="J60" s="47">
        <f t="shared" ref="J60:J109" si="2">D60</f>
        <v>100</v>
      </c>
    </row>
    <row r="61" spans="1:10" ht="21" customHeight="1" x14ac:dyDescent="0.15">
      <c r="A61" s="46">
        <v>49005067</v>
      </c>
      <c r="B61" s="93">
        <v>1</v>
      </c>
      <c r="C61" s="93">
        <v>1</v>
      </c>
      <c r="D61" s="93">
        <v>100</v>
      </c>
      <c r="E61" s="93" t="s">
        <v>53</v>
      </c>
      <c r="F61" s="93" t="s">
        <v>53</v>
      </c>
      <c r="G61" s="93">
        <v>1</v>
      </c>
      <c r="H61" s="93" t="s">
        <v>53</v>
      </c>
      <c r="I61" s="93">
        <v>8013</v>
      </c>
      <c r="J61" s="47">
        <f t="shared" si="2"/>
        <v>100</v>
      </c>
    </row>
    <row r="62" spans="1:10" ht="21" customHeight="1" x14ac:dyDescent="0.15">
      <c r="A62" s="46">
        <v>49005068</v>
      </c>
      <c r="B62" s="93">
        <v>1</v>
      </c>
      <c r="C62" s="93">
        <v>1</v>
      </c>
      <c r="D62" s="93">
        <v>100</v>
      </c>
      <c r="E62" s="93" t="s">
        <v>53</v>
      </c>
      <c r="F62" s="93" t="s">
        <v>53</v>
      </c>
      <c r="G62" s="93">
        <v>1</v>
      </c>
      <c r="H62" s="93" t="s">
        <v>53</v>
      </c>
      <c r="I62" s="93">
        <v>8014</v>
      </c>
      <c r="J62" s="47">
        <f t="shared" si="2"/>
        <v>100</v>
      </c>
    </row>
    <row r="63" spans="1:10" ht="21" customHeight="1" x14ac:dyDescent="0.15">
      <c r="A63" s="46">
        <v>49005069</v>
      </c>
      <c r="B63" s="93">
        <v>1</v>
      </c>
      <c r="C63" s="93">
        <v>1</v>
      </c>
      <c r="D63" s="93">
        <v>100</v>
      </c>
      <c r="E63" s="93" t="s">
        <v>53</v>
      </c>
      <c r="F63" s="93" t="s">
        <v>53</v>
      </c>
      <c r="G63" s="93">
        <v>1</v>
      </c>
      <c r="H63" s="93" t="s">
        <v>53</v>
      </c>
      <c r="I63" s="93">
        <v>8015</v>
      </c>
      <c r="J63" s="47">
        <f t="shared" si="2"/>
        <v>100</v>
      </c>
    </row>
    <row r="64" spans="1:10" ht="21" customHeight="1" x14ac:dyDescent="0.15">
      <c r="A64" s="46">
        <v>49005070</v>
      </c>
      <c r="B64" s="93">
        <v>1</v>
      </c>
      <c r="C64" s="93">
        <v>1</v>
      </c>
      <c r="D64" s="93">
        <v>100</v>
      </c>
      <c r="E64" s="93" t="s">
        <v>53</v>
      </c>
      <c r="F64" s="93" t="s">
        <v>53</v>
      </c>
      <c r="G64" s="93">
        <v>1</v>
      </c>
      <c r="H64" s="93" t="s">
        <v>53</v>
      </c>
      <c r="I64" s="93">
        <v>8016</v>
      </c>
      <c r="J64" s="47">
        <f t="shared" si="2"/>
        <v>100</v>
      </c>
    </row>
    <row r="65" spans="1:10" ht="21" customHeight="1" x14ac:dyDescent="0.15">
      <c r="A65" s="46">
        <v>49005071</v>
      </c>
      <c r="B65" s="93">
        <v>1</v>
      </c>
      <c r="C65" s="93">
        <v>1</v>
      </c>
      <c r="D65" s="93">
        <v>100</v>
      </c>
      <c r="E65" s="93" t="s">
        <v>53</v>
      </c>
      <c r="F65" s="93" t="s">
        <v>53</v>
      </c>
      <c r="G65" s="93">
        <v>1</v>
      </c>
      <c r="H65" s="93" t="s">
        <v>53</v>
      </c>
      <c r="I65" s="93">
        <v>8017</v>
      </c>
      <c r="J65" s="47">
        <f t="shared" si="2"/>
        <v>100</v>
      </c>
    </row>
    <row r="66" spans="1:10" ht="21" customHeight="1" x14ac:dyDescent="0.15">
      <c r="A66" s="46">
        <v>49005072</v>
      </c>
      <c r="B66" s="93">
        <v>1</v>
      </c>
      <c r="C66" s="93">
        <v>1</v>
      </c>
      <c r="D66" s="93">
        <v>100</v>
      </c>
      <c r="E66" s="93" t="s">
        <v>53</v>
      </c>
      <c r="F66" s="93" t="s">
        <v>53</v>
      </c>
      <c r="G66" s="93">
        <v>1</v>
      </c>
      <c r="H66" s="93" t="s">
        <v>53</v>
      </c>
      <c r="I66" s="93">
        <v>8018</v>
      </c>
      <c r="J66" s="47">
        <f t="shared" si="2"/>
        <v>100</v>
      </c>
    </row>
    <row r="67" spans="1:10" ht="21" customHeight="1" x14ac:dyDescent="0.15">
      <c r="A67" s="46">
        <v>49005073</v>
      </c>
      <c r="B67" s="93">
        <v>1</v>
      </c>
      <c r="C67" s="93">
        <v>1</v>
      </c>
      <c r="D67" s="93">
        <v>100</v>
      </c>
      <c r="E67" s="93" t="s">
        <v>53</v>
      </c>
      <c r="F67" s="93" t="s">
        <v>53</v>
      </c>
      <c r="G67" s="93">
        <v>1</v>
      </c>
      <c r="H67" s="93" t="s">
        <v>53</v>
      </c>
      <c r="I67" s="93">
        <v>8019</v>
      </c>
      <c r="J67" s="47">
        <f t="shared" si="2"/>
        <v>100</v>
      </c>
    </row>
    <row r="68" spans="1:10" ht="21" customHeight="1" x14ac:dyDescent="0.15">
      <c r="A68" s="46">
        <v>49005074</v>
      </c>
      <c r="B68" s="93">
        <v>1</v>
      </c>
      <c r="C68" s="93">
        <v>1</v>
      </c>
      <c r="D68" s="93">
        <v>100</v>
      </c>
      <c r="E68" s="93" t="s">
        <v>53</v>
      </c>
      <c r="F68" s="93" t="s">
        <v>53</v>
      </c>
      <c r="G68" s="93">
        <v>1</v>
      </c>
      <c r="H68" s="93" t="s">
        <v>53</v>
      </c>
      <c r="I68" s="93">
        <v>8020</v>
      </c>
      <c r="J68" s="47">
        <f t="shared" si="2"/>
        <v>100</v>
      </c>
    </row>
    <row r="69" spans="1:10" ht="21" customHeight="1" x14ac:dyDescent="0.15">
      <c r="A69" s="46">
        <v>49005075</v>
      </c>
      <c r="B69" s="93">
        <v>1</v>
      </c>
      <c r="C69" s="93">
        <v>1</v>
      </c>
      <c r="D69" s="93">
        <v>100</v>
      </c>
      <c r="E69" s="93" t="s">
        <v>53</v>
      </c>
      <c r="F69" s="93" t="s">
        <v>53</v>
      </c>
      <c r="G69" s="93">
        <v>1</v>
      </c>
      <c r="H69" s="93" t="s">
        <v>53</v>
      </c>
      <c r="I69" s="93">
        <v>8021</v>
      </c>
      <c r="J69" s="47">
        <f t="shared" si="2"/>
        <v>100</v>
      </c>
    </row>
    <row r="70" spans="1:10" ht="21" customHeight="1" x14ac:dyDescent="0.15">
      <c r="A70" s="46">
        <v>49005076</v>
      </c>
      <c r="B70" s="93">
        <v>1</v>
      </c>
      <c r="C70" s="93">
        <v>1</v>
      </c>
      <c r="D70" s="93">
        <v>100</v>
      </c>
      <c r="E70" s="93" t="s">
        <v>53</v>
      </c>
      <c r="F70" s="93" t="s">
        <v>53</v>
      </c>
      <c r="G70" s="93">
        <v>1</v>
      </c>
      <c r="H70" s="93" t="s">
        <v>53</v>
      </c>
      <c r="I70" s="93">
        <v>8022</v>
      </c>
      <c r="J70" s="47">
        <f t="shared" si="2"/>
        <v>100</v>
      </c>
    </row>
    <row r="71" spans="1:10" ht="21" customHeight="1" x14ac:dyDescent="0.15">
      <c r="A71" s="46">
        <v>49005077</v>
      </c>
      <c r="B71" s="93">
        <v>1</v>
      </c>
      <c r="C71" s="93">
        <v>1</v>
      </c>
      <c r="D71" s="93">
        <v>100</v>
      </c>
      <c r="E71" s="93" t="s">
        <v>53</v>
      </c>
      <c r="F71" s="93" t="s">
        <v>53</v>
      </c>
      <c r="G71" s="93">
        <v>1</v>
      </c>
      <c r="H71" s="93" t="s">
        <v>53</v>
      </c>
      <c r="I71" s="93">
        <v>8023</v>
      </c>
      <c r="J71" s="47">
        <f t="shared" si="2"/>
        <v>100</v>
      </c>
    </row>
    <row r="72" spans="1:10" ht="21" customHeight="1" x14ac:dyDescent="0.15">
      <c r="A72" s="46">
        <v>49005078</v>
      </c>
      <c r="B72" s="93">
        <v>1</v>
      </c>
      <c r="C72" s="93">
        <v>1</v>
      </c>
      <c r="D72" s="93">
        <v>100</v>
      </c>
      <c r="E72" s="93" t="s">
        <v>53</v>
      </c>
      <c r="F72" s="93" t="s">
        <v>53</v>
      </c>
      <c r="G72" s="93">
        <v>1</v>
      </c>
      <c r="H72" s="93" t="s">
        <v>53</v>
      </c>
      <c r="I72" s="93">
        <v>8024</v>
      </c>
      <c r="J72" s="47">
        <f t="shared" si="2"/>
        <v>100</v>
      </c>
    </row>
    <row r="73" spans="1:10" ht="21" customHeight="1" x14ac:dyDescent="0.15">
      <c r="A73" s="46">
        <v>49005079</v>
      </c>
      <c r="B73" s="93">
        <v>1</v>
      </c>
      <c r="C73" s="93">
        <v>1</v>
      </c>
      <c r="D73" s="93">
        <v>100</v>
      </c>
      <c r="E73" s="93" t="s">
        <v>53</v>
      </c>
      <c r="F73" s="93" t="s">
        <v>53</v>
      </c>
      <c r="G73" s="93">
        <v>1</v>
      </c>
      <c r="H73" s="93" t="s">
        <v>53</v>
      </c>
      <c r="I73" s="93">
        <v>8025</v>
      </c>
      <c r="J73" s="47">
        <f t="shared" si="2"/>
        <v>100</v>
      </c>
    </row>
    <row r="74" spans="1:10" ht="21" customHeight="1" x14ac:dyDescent="0.15">
      <c r="A74" s="46">
        <v>49005080</v>
      </c>
      <c r="B74" s="93">
        <v>1</v>
      </c>
      <c r="C74" s="93">
        <v>1</v>
      </c>
      <c r="D74" s="93">
        <v>100</v>
      </c>
      <c r="E74" s="93" t="s">
        <v>53</v>
      </c>
      <c r="F74" s="93" t="s">
        <v>53</v>
      </c>
      <c r="G74" s="93">
        <v>1</v>
      </c>
      <c r="H74" s="93" t="s">
        <v>53</v>
      </c>
      <c r="I74" s="93">
        <v>8026</v>
      </c>
      <c r="J74" s="47">
        <f t="shared" si="2"/>
        <v>100</v>
      </c>
    </row>
    <row r="75" spans="1:10" ht="21" customHeight="1" x14ac:dyDescent="0.15">
      <c r="A75" s="46">
        <v>49005081</v>
      </c>
      <c r="B75" s="93">
        <v>1</v>
      </c>
      <c r="C75" s="93">
        <v>1</v>
      </c>
      <c r="D75" s="93">
        <v>100</v>
      </c>
      <c r="E75" s="93" t="s">
        <v>53</v>
      </c>
      <c r="F75" s="93" t="s">
        <v>53</v>
      </c>
      <c r="G75" s="93">
        <v>1</v>
      </c>
      <c r="H75" s="93" t="s">
        <v>53</v>
      </c>
      <c r="I75" s="93">
        <v>8027</v>
      </c>
      <c r="J75" s="47">
        <f t="shared" si="2"/>
        <v>100</v>
      </c>
    </row>
    <row r="76" spans="1:10" ht="21" customHeight="1" x14ac:dyDescent="0.15">
      <c r="A76" s="46">
        <v>49005082</v>
      </c>
      <c r="B76" s="93">
        <v>1</v>
      </c>
      <c r="C76" s="93">
        <v>1</v>
      </c>
      <c r="D76" s="93">
        <v>100</v>
      </c>
      <c r="E76" s="93" t="s">
        <v>53</v>
      </c>
      <c r="F76" s="93" t="s">
        <v>53</v>
      </c>
      <c r="G76" s="93">
        <v>1</v>
      </c>
      <c r="H76" s="93" t="s">
        <v>53</v>
      </c>
      <c r="I76" s="93">
        <v>8028</v>
      </c>
      <c r="J76" s="47">
        <f t="shared" si="2"/>
        <v>100</v>
      </c>
    </row>
    <row r="77" spans="1:10" ht="21" customHeight="1" x14ac:dyDescent="0.15">
      <c r="A77" s="46">
        <v>49005090</v>
      </c>
      <c r="B77" s="93">
        <v>0</v>
      </c>
      <c r="C77" s="93">
        <v>1</v>
      </c>
      <c r="D77" s="93">
        <v>100</v>
      </c>
      <c r="E77" s="93" t="s">
        <v>53</v>
      </c>
      <c r="F77" s="93" t="s">
        <v>53</v>
      </c>
      <c r="G77" s="93">
        <v>1</v>
      </c>
      <c r="H77" s="93">
        <v>1</v>
      </c>
      <c r="I77" s="93" t="s">
        <v>53</v>
      </c>
      <c r="J77" s="47">
        <f t="shared" si="2"/>
        <v>100</v>
      </c>
    </row>
    <row r="78" spans="1:10" ht="21" customHeight="1" x14ac:dyDescent="0.15">
      <c r="A78" s="46">
        <v>49005091</v>
      </c>
      <c r="B78" s="93">
        <v>0</v>
      </c>
      <c r="C78" s="93">
        <v>2</v>
      </c>
      <c r="D78" s="93">
        <v>100</v>
      </c>
      <c r="E78" s="93" t="s">
        <v>53</v>
      </c>
      <c r="F78" s="93" t="s">
        <v>53</v>
      </c>
      <c r="G78" s="93">
        <v>1</v>
      </c>
      <c r="H78" s="93">
        <v>2</v>
      </c>
      <c r="I78" s="93" t="s">
        <v>53</v>
      </c>
      <c r="J78" s="47">
        <f t="shared" si="2"/>
        <v>100</v>
      </c>
    </row>
    <row r="79" spans="1:10" ht="21" customHeight="1" x14ac:dyDescent="0.15">
      <c r="A79" s="46">
        <v>49005092</v>
      </c>
      <c r="B79" s="93">
        <v>0</v>
      </c>
      <c r="C79" s="93">
        <v>3</v>
      </c>
      <c r="D79" s="93">
        <v>100</v>
      </c>
      <c r="E79" s="93" t="s">
        <v>53</v>
      </c>
      <c r="F79" s="93" t="s">
        <v>53</v>
      </c>
      <c r="G79" s="93">
        <v>1</v>
      </c>
      <c r="H79" s="93">
        <v>3</v>
      </c>
      <c r="I79" s="93" t="s">
        <v>53</v>
      </c>
      <c r="J79" s="47">
        <f t="shared" si="2"/>
        <v>100</v>
      </c>
    </row>
    <row r="80" spans="1:10" ht="21" customHeight="1" x14ac:dyDescent="0.15">
      <c r="A80" s="46">
        <v>49005093</v>
      </c>
      <c r="B80" s="93">
        <v>0</v>
      </c>
      <c r="C80" s="93">
        <v>4</v>
      </c>
      <c r="D80" s="93">
        <v>100</v>
      </c>
      <c r="E80" s="93" t="s">
        <v>53</v>
      </c>
      <c r="F80" s="93" t="s">
        <v>53</v>
      </c>
      <c r="G80" s="93">
        <v>1</v>
      </c>
      <c r="H80" s="93">
        <v>4</v>
      </c>
      <c r="I80" s="93" t="s">
        <v>53</v>
      </c>
      <c r="J80" s="47">
        <f t="shared" si="2"/>
        <v>100</v>
      </c>
    </row>
    <row r="81" spans="1:10" ht="21" customHeight="1" x14ac:dyDescent="0.15">
      <c r="A81" s="46">
        <v>49005094</v>
      </c>
      <c r="B81" s="93">
        <v>0</v>
      </c>
      <c r="C81" s="93">
        <v>5</v>
      </c>
      <c r="D81" s="93">
        <v>100</v>
      </c>
      <c r="E81" s="93" t="s">
        <v>53</v>
      </c>
      <c r="F81" s="93" t="s">
        <v>53</v>
      </c>
      <c r="G81" s="93">
        <v>1</v>
      </c>
      <c r="H81" s="93">
        <v>5</v>
      </c>
      <c r="I81" s="93" t="s">
        <v>53</v>
      </c>
      <c r="J81" s="47">
        <f t="shared" si="2"/>
        <v>100</v>
      </c>
    </row>
    <row r="82" spans="1:10" ht="21" customHeight="1" x14ac:dyDescent="0.15">
      <c r="A82" s="46">
        <v>49005095</v>
      </c>
      <c r="B82" s="93">
        <v>0</v>
      </c>
      <c r="C82" s="93">
        <v>6</v>
      </c>
      <c r="D82" s="93">
        <v>100</v>
      </c>
      <c r="E82" s="93" t="s">
        <v>53</v>
      </c>
      <c r="F82" s="93" t="s">
        <v>53</v>
      </c>
      <c r="G82" s="93">
        <v>1</v>
      </c>
      <c r="H82" s="93">
        <v>6</v>
      </c>
      <c r="I82" s="93" t="s">
        <v>53</v>
      </c>
      <c r="J82" s="47">
        <f t="shared" si="2"/>
        <v>100</v>
      </c>
    </row>
    <row r="83" spans="1:10" ht="21" customHeight="1" x14ac:dyDescent="0.15">
      <c r="A83" s="46">
        <v>49005096</v>
      </c>
      <c r="B83" s="93">
        <v>0</v>
      </c>
      <c r="C83" s="93">
        <v>7</v>
      </c>
      <c r="D83" s="93">
        <v>100</v>
      </c>
      <c r="E83" s="93" t="s">
        <v>53</v>
      </c>
      <c r="F83" s="93" t="s">
        <v>53</v>
      </c>
      <c r="G83" s="93">
        <v>1</v>
      </c>
      <c r="H83" s="93">
        <v>7</v>
      </c>
      <c r="I83" s="93" t="s">
        <v>53</v>
      </c>
      <c r="J83" s="47">
        <f t="shared" si="2"/>
        <v>100</v>
      </c>
    </row>
    <row r="84" spans="1:10" ht="21" customHeight="1" x14ac:dyDescent="0.15">
      <c r="A84" s="46">
        <v>49005097</v>
      </c>
      <c r="B84" s="93">
        <v>0</v>
      </c>
      <c r="C84" s="93">
        <v>8</v>
      </c>
      <c r="D84" s="93">
        <v>100</v>
      </c>
      <c r="E84" s="93" t="s">
        <v>53</v>
      </c>
      <c r="F84" s="93" t="s">
        <v>53</v>
      </c>
      <c r="G84" s="93">
        <v>1</v>
      </c>
      <c r="H84" s="93">
        <v>8</v>
      </c>
      <c r="I84" s="93" t="s">
        <v>53</v>
      </c>
      <c r="J84" s="47">
        <f t="shared" si="2"/>
        <v>100</v>
      </c>
    </row>
    <row r="85" spans="1:10" ht="21" customHeight="1" x14ac:dyDescent="0.15">
      <c r="A85" s="46">
        <v>49005098</v>
      </c>
      <c r="B85" s="93">
        <v>0</v>
      </c>
      <c r="C85" s="93">
        <v>9</v>
      </c>
      <c r="D85" s="93">
        <v>100</v>
      </c>
      <c r="E85" s="93">
        <v>30</v>
      </c>
      <c r="F85" s="93" t="s">
        <v>53</v>
      </c>
      <c r="G85" s="93">
        <v>1</v>
      </c>
      <c r="H85" s="93" t="s">
        <v>53</v>
      </c>
      <c r="I85" s="93" t="s">
        <v>53</v>
      </c>
      <c r="J85" s="47">
        <f t="shared" si="2"/>
        <v>100</v>
      </c>
    </row>
    <row r="86" spans="1:10" ht="21" customHeight="1" x14ac:dyDescent="0.15">
      <c r="A86" s="46">
        <v>49005099</v>
      </c>
      <c r="B86" s="93">
        <v>1</v>
      </c>
      <c r="C86" s="93" t="s">
        <v>53</v>
      </c>
      <c r="D86" s="93">
        <v>100</v>
      </c>
      <c r="E86" s="93" t="s">
        <v>53</v>
      </c>
      <c r="F86" s="93" t="s">
        <v>53</v>
      </c>
      <c r="G86" s="93">
        <v>1</v>
      </c>
      <c r="H86" s="93" t="s">
        <v>53</v>
      </c>
      <c r="I86" s="93" t="s">
        <v>53</v>
      </c>
      <c r="J86" s="47">
        <f t="shared" si="2"/>
        <v>100</v>
      </c>
    </row>
    <row r="87" spans="1:10" ht="21" customHeight="1" x14ac:dyDescent="0.15">
      <c r="A87" s="46">
        <v>49005100</v>
      </c>
      <c r="B87" s="93">
        <v>1</v>
      </c>
      <c r="C87" s="93">
        <v>1</v>
      </c>
      <c r="D87" s="93">
        <v>100</v>
      </c>
      <c r="E87" s="93" t="s">
        <v>53</v>
      </c>
      <c r="F87" s="93" t="s">
        <v>53</v>
      </c>
      <c r="G87" s="93">
        <v>1</v>
      </c>
      <c r="H87" s="93" t="s">
        <v>53</v>
      </c>
      <c r="I87" s="93">
        <v>8029</v>
      </c>
      <c r="J87" s="47">
        <f t="shared" si="2"/>
        <v>100</v>
      </c>
    </row>
    <row r="88" spans="1:10" ht="21" customHeight="1" x14ac:dyDescent="0.15">
      <c r="A88" s="46">
        <v>49005101</v>
      </c>
      <c r="B88" s="93">
        <v>1</v>
      </c>
      <c r="C88" s="93">
        <v>1</v>
      </c>
      <c r="D88" s="93">
        <v>100</v>
      </c>
      <c r="E88" s="93" t="s">
        <v>53</v>
      </c>
      <c r="F88" s="93" t="s">
        <v>53</v>
      </c>
      <c r="G88" s="93">
        <v>1</v>
      </c>
      <c r="H88" s="93" t="s">
        <v>53</v>
      </c>
      <c r="I88" s="93">
        <v>8030</v>
      </c>
      <c r="J88" s="47">
        <f t="shared" si="2"/>
        <v>100</v>
      </c>
    </row>
    <row r="89" spans="1:10" ht="21" customHeight="1" x14ac:dyDescent="0.15">
      <c r="A89" s="46">
        <v>49005102</v>
      </c>
      <c r="B89" s="93">
        <v>1</v>
      </c>
      <c r="C89" s="93">
        <v>1</v>
      </c>
      <c r="D89" s="93">
        <v>100</v>
      </c>
      <c r="E89" s="93" t="s">
        <v>53</v>
      </c>
      <c r="F89" s="93" t="s">
        <v>53</v>
      </c>
      <c r="G89" s="93">
        <v>1</v>
      </c>
      <c r="H89" s="93" t="s">
        <v>53</v>
      </c>
      <c r="I89" s="93">
        <v>8013</v>
      </c>
      <c r="J89" s="47">
        <f t="shared" si="2"/>
        <v>100</v>
      </c>
    </row>
    <row r="90" spans="1:10" ht="21" customHeight="1" x14ac:dyDescent="0.15">
      <c r="A90" s="46">
        <v>49005103</v>
      </c>
      <c r="B90" s="93">
        <v>1</v>
      </c>
      <c r="C90" s="93">
        <v>1</v>
      </c>
      <c r="D90" s="93">
        <v>100</v>
      </c>
      <c r="E90" s="93" t="s">
        <v>53</v>
      </c>
      <c r="F90" s="93" t="s">
        <v>53</v>
      </c>
      <c r="G90" s="93">
        <v>1</v>
      </c>
      <c r="H90" s="93" t="s">
        <v>53</v>
      </c>
      <c r="I90" s="93">
        <v>8014</v>
      </c>
      <c r="J90" s="47">
        <f t="shared" si="2"/>
        <v>100</v>
      </c>
    </row>
    <row r="91" spans="1:10" ht="21" customHeight="1" x14ac:dyDescent="0.15">
      <c r="A91" s="46">
        <v>49005104</v>
      </c>
      <c r="B91" s="93">
        <v>1</v>
      </c>
      <c r="C91" s="93">
        <v>1</v>
      </c>
      <c r="D91" s="93">
        <v>100</v>
      </c>
      <c r="E91" s="93" t="s">
        <v>53</v>
      </c>
      <c r="F91" s="93" t="s">
        <v>53</v>
      </c>
      <c r="G91" s="93">
        <v>1</v>
      </c>
      <c r="H91" s="93" t="s">
        <v>53</v>
      </c>
      <c r="I91" s="93">
        <v>8015</v>
      </c>
      <c r="J91" s="47">
        <f t="shared" si="2"/>
        <v>100</v>
      </c>
    </row>
    <row r="92" spans="1:10" ht="21" customHeight="1" x14ac:dyDescent="0.15">
      <c r="A92" s="46">
        <v>49005105</v>
      </c>
      <c r="B92" s="93">
        <v>1</v>
      </c>
      <c r="C92" s="93">
        <v>1</v>
      </c>
      <c r="D92" s="93">
        <v>100</v>
      </c>
      <c r="E92" s="93" t="s">
        <v>53</v>
      </c>
      <c r="F92" s="93" t="s">
        <v>53</v>
      </c>
      <c r="G92" s="93">
        <v>1</v>
      </c>
      <c r="H92" s="93" t="s">
        <v>53</v>
      </c>
      <c r="I92" s="93">
        <v>8016</v>
      </c>
      <c r="J92" s="47">
        <f t="shared" si="2"/>
        <v>100</v>
      </c>
    </row>
    <row r="93" spans="1:10" ht="21" customHeight="1" x14ac:dyDescent="0.15">
      <c r="A93" s="46">
        <v>49005106</v>
      </c>
      <c r="B93" s="93">
        <v>1</v>
      </c>
      <c r="C93" s="93">
        <v>1</v>
      </c>
      <c r="D93" s="93">
        <v>100</v>
      </c>
      <c r="E93" s="93" t="s">
        <v>53</v>
      </c>
      <c r="F93" s="93" t="s">
        <v>53</v>
      </c>
      <c r="G93" s="93">
        <v>1</v>
      </c>
      <c r="H93" s="93" t="s">
        <v>53</v>
      </c>
      <c r="I93" s="93">
        <v>8017</v>
      </c>
      <c r="J93" s="47">
        <f t="shared" si="2"/>
        <v>100</v>
      </c>
    </row>
    <row r="94" spans="1:10" ht="21" customHeight="1" x14ac:dyDescent="0.15">
      <c r="A94" s="46">
        <v>49005107</v>
      </c>
      <c r="B94" s="93">
        <v>1</v>
      </c>
      <c r="C94" s="93">
        <v>1</v>
      </c>
      <c r="D94" s="93">
        <v>100</v>
      </c>
      <c r="E94" s="93" t="s">
        <v>53</v>
      </c>
      <c r="F94" s="93" t="s">
        <v>53</v>
      </c>
      <c r="G94" s="93">
        <v>1</v>
      </c>
      <c r="H94" s="93" t="s">
        <v>53</v>
      </c>
      <c r="I94" s="93">
        <v>8018</v>
      </c>
      <c r="J94" s="47">
        <f t="shared" si="2"/>
        <v>100</v>
      </c>
    </row>
    <row r="95" spans="1:10" ht="21" customHeight="1" x14ac:dyDescent="0.15">
      <c r="A95" s="46">
        <v>49005108</v>
      </c>
      <c r="B95" s="93">
        <v>1</v>
      </c>
      <c r="C95" s="93">
        <v>1</v>
      </c>
      <c r="D95" s="93">
        <v>100</v>
      </c>
      <c r="E95" s="93" t="s">
        <v>53</v>
      </c>
      <c r="F95" s="93" t="s">
        <v>53</v>
      </c>
      <c r="G95" s="93">
        <v>1</v>
      </c>
      <c r="H95" s="93" t="s">
        <v>53</v>
      </c>
      <c r="I95" s="93">
        <v>8019</v>
      </c>
      <c r="J95" s="47">
        <f t="shared" si="2"/>
        <v>100</v>
      </c>
    </row>
    <row r="96" spans="1:10" ht="21" customHeight="1" x14ac:dyDescent="0.15">
      <c r="A96" s="46">
        <v>49005109</v>
      </c>
      <c r="B96" s="93">
        <v>1</v>
      </c>
      <c r="C96" s="93">
        <v>1</v>
      </c>
      <c r="D96" s="93">
        <v>100</v>
      </c>
      <c r="E96" s="93" t="s">
        <v>53</v>
      </c>
      <c r="F96" s="93" t="s">
        <v>53</v>
      </c>
      <c r="G96" s="93">
        <v>1</v>
      </c>
      <c r="H96" s="93" t="s">
        <v>53</v>
      </c>
      <c r="I96" s="93">
        <v>8020</v>
      </c>
      <c r="J96" s="47">
        <f t="shared" si="2"/>
        <v>100</v>
      </c>
    </row>
    <row r="97" spans="1:10" ht="21" customHeight="1" x14ac:dyDescent="0.15">
      <c r="A97" s="46">
        <v>49005110</v>
      </c>
      <c r="B97" s="93">
        <v>1</v>
      </c>
      <c r="C97" s="93">
        <v>1</v>
      </c>
      <c r="D97" s="93">
        <v>100</v>
      </c>
      <c r="E97" s="93" t="s">
        <v>53</v>
      </c>
      <c r="F97" s="93" t="s">
        <v>53</v>
      </c>
      <c r="G97" s="93">
        <v>1</v>
      </c>
      <c r="H97" s="93" t="s">
        <v>53</v>
      </c>
      <c r="I97" s="93">
        <v>8021</v>
      </c>
      <c r="J97" s="47">
        <f t="shared" si="2"/>
        <v>100</v>
      </c>
    </row>
    <row r="98" spans="1:10" ht="21" customHeight="1" x14ac:dyDescent="0.15">
      <c r="A98" s="46">
        <v>49005111</v>
      </c>
      <c r="B98" s="93">
        <v>1</v>
      </c>
      <c r="C98" s="93">
        <v>1</v>
      </c>
      <c r="D98" s="93">
        <v>100</v>
      </c>
      <c r="E98" s="93" t="s">
        <v>53</v>
      </c>
      <c r="F98" s="93" t="s">
        <v>53</v>
      </c>
      <c r="G98" s="93">
        <v>1</v>
      </c>
      <c r="H98" s="93" t="s">
        <v>53</v>
      </c>
      <c r="I98" s="93">
        <v>8022</v>
      </c>
      <c r="J98" s="47">
        <f t="shared" si="2"/>
        <v>100</v>
      </c>
    </row>
    <row r="99" spans="1:10" ht="21" customHeight="1" x14ac:dyDescent="0.15">
      <c r="A99" s="46">
        <v>49005112</v>
      </c>
      <c r="B99" s="93">
        <v>1</v>
      </c>
      <c r="C99" s="93">
        <v>1</v>
      </c>
      <c r="D99" s="93">
        <v>100</v>
      </c>
      <c r="E99" s="93" t="s">
        <v>53</v>
      </c>
      <c r="F99" s="93" t="s">
        <v>53</v>
      </c>
      <c r="G99" s="93">
        <v>1</v>
      </c>
      <c r="H99" s="93" t="s">
        <v>53</v>
      </c>
      <c r="I99" s="93">
        <v>8023</v>
      </c>
      <c r="J99" s="47">
        <f t="shared" si="2"/>
        <v>100</v>
      </c>
    </row>
    <row r="100" spans="1:10" ht="21" customHeight="1" x14ac:dyDescent="0.15">
      <c r="A100" s="46">
        <v>49005113</v>
      </c>
      <c r="B100" s="93">
        <v>1</v>
      </c>
      <c r="C100" s="93">
        <v>1</v>
      </c>
      <c r="D100" s="93">
        <v>100</v>
      </c>
      <c r="E100" s="93" t="s">
        <v>53</v>
      </c>
      <c r="F100" s="93" t="s">
        <v>53</v>
      </c>
      <c r="G100" s="93">
        <v>1</v>
      </c>
      <c r="H100" s="93" t="s">
        <v>53</v>
      </c>
      <c r="I100" s="93">
        <v>8024</v>
      </c>
      <c r="J100" s="47">
        <f t="shared" si="2"/>
        <v>100</v>
      </c>
    </row>
    <row r="101" spans="1:10" ht="21" customHeight="1" x14ac:dyDescent="0.15">
      <c r="A101" s="46">
        <v>49005114</v>
      </c>
      <c r="B101" s="93">
        <v>1</v>
      </c>
      <c r="C101" s="93">
        <v>1</v>
      </c>
      <c r="D101" s="93">
        <v>100</v>
      </c>
      <c r="E101" s="93" t="s">
        <v>53</v>
      </c>
      <c r="F101" s="93" t="s">
        <v>53</v>
      </c>
      <c r="G101" s="93">
        <v>1</v>
      </c>
      <c r="H101" s="93" t="s">
        <v>53</v>
      </c>
      <c r="I101" s="93">
        <v>8025</v>
      </c>
      <c r="J101" s="47">
        <f t="shared" si="2"/>
        <v>100</v>
      </c>
    </row>
    <row r="102" spans="1:10" ht="21" customHeight="1" x14ac:dyDescent="0.15">
      <c r="A102" s="46">
        <v>49005115</v>
      </c>
      <c r="B102" s="93">
        <v>1</v>
      </c>
      <c r="C102" s="93">
        <v>1</v>
      </c>
      <c r="D102" s="93">
        <v>100</v>
      </c>
      <c r="E102" s="93" t="s">
        <v>53</v>
      </c>
      <c r="F102" s="93" t="s">
        <v>53</v>
      </c>
      <c r="G102" s="93">
        <v>1</v>
      </c>
      <c r="H102" s="93" t="s">
        <v>53</v>
      </c>
      <c r="I102" s="93">
        <v>8026</v>
      </c>
      <c r="J102" s="47">
        <f t="shared" si="2"/>
        <v>100</v>
      </c>
    </row>
    <row r="103" spans="1:10" ht="21" customHeight="1" x14ac:dyDescent="0.15">
      <c r="A103" s="46">
        <v>49005116</v>
      </c>
      <c r="B103" s="93">
        <v>1</v>
      </c>
      <c r="C103" s="93">
        <v>1</v>
      </c>
      <c r="D103" s="93">
        <v>100</v>
      </c>
      <c r="E103" s="93" t="s">
        <v>53</v>
      </c>
      <c r="F103" s="93" t="s">
        <v>53</v>
      </c>
      <c r="G103" s="93">
        <v>1</v>
      </c>
      <c r="H103" s="93" t="s">
        <v>53</v>
      </c>
      <c r="I103" s="93">
        <v>8027</v>
      </c>
      <c r="J103" s="47">
        <f t="shared" si="2"/>
        <v>100</v>
      </c>
    </row>
    <row r="104" spans="1:10" ht="21" customHeight="1" x14ac:dyDescent="0.15">
      <c r="A104" s="46">
        <v>49005117</v>
      </c>
      <c r="B104" s="93">
        <v>1</v>
      </c>
      <c r="C104" s="93">
        <v>1</v>
      </c>
      <c r="D104" s="93">
        <v>100</v>
      </c>
      <c r="E104" s="93" t="s">
        <v>53</v>
      </c>
      <c r="F104" s="93" t="s">
        <v>53</v>
      </c>
      <c r="G104" s="93">
        <v>1</v>
      </c>
      <c r="H104" s="93" t="s">
        <v>53</v>
      </c>
      <c r="I104" s="93">
        <v>8028</v>
      </c>
      <c r="J104" s="47">
        <f t="shared" si="2"/>
        <v>100</v>
      </c>
    </row>
    <row r="105" spans="1:10" ht="21" customHeight="1" x14ac:dyDescent="0.15">
      <c r="A105" s="46">
        <v>49005125</v>
      </c>
      <c r="B105" s="47">
        <v>0</v>
      </c>
      <c r="C105" s="47">
        <v>1</v>
      </c>
      <c r="D105" s="47">
        <v>100</v>
      </c>
      <c r="E105" s="47" t="s">
        <v>213</v>
      </c>
      <c r="F105" s="47" t="s">
        <v>213</v>
      </c>
      <c r="G105" s="47" t="s">
        <v>213</v>
      </c>
      <c r="H105" s="47">
        <v>1</v>
      </c>
      <c r="I105" s="47" t="s">
        <v>213</v>
      </c>
      <c r="J105" s="47">
        <f t="shared" si="2"/>
        <v>100</v>
      </c>
    </row>
    <row r="106" spans="1:10" ht="21" customHeight="1" x14ac:dyDescent="0.15">
      <c r="A106" s="46">
        <v>49005126</v>
      </c>
      <c r="B106" s="47">
        <v>0</v>
      </c>
      <c r="C106" s="47">
        <v>2</v>
      </c>
      <c r="D106" s="47">
        <v>100</v>
      </c>
      <c r="E106" s="47" t="s">
        <v>213</v>
      </c>
      <c r="F106" s="47" t="s">
        <v>213</v>
      </c>
      <c r="G106" s="47" t="s">
        <v>213</v>
      </c>
      <c r="H106" s="47">
        <v>2</v>
      </c>
      <c r="I106" s="47" t="s">
        <v>213</v>
      </c>
      <c r="J106" s="47">
        <f t="shared" si="2"/>
        <v>100</v>
      </c>
    </row>
    <row r="107" spans="1:10" ht="21" customHeight="1" x14ac:dyDescent="0.15">
      <c r="A107" s="46">
        <v>49005127</v>
      </c>
      <c r="B107" s="47">
        <v>0</v>
      </c>
      <c r="C107" s="47">
        <v>3</v>
      </c>
      <c r="D107" s="47">
        <v>75</v>
      </c>
      <c r="E107" s="47" t="s">
        <v>213</v>
      </c>
      <c r="F107" s="47" t="s">
        <v>213</v>
      </c>
      <c r="G107" s="47">
        <v>1</v>
      </c>
      <c r="H107" s="47">
        <v>1</v>
      </c>
      <c r="I107" s="47" t="s">
        <v>213</v>
      </c>
      <c r="J107" s="47">
        <f t="shared" si="2"/>
        <v>75</v>
      </c>
    </row>
    <row r="108" spans="1:10" ht="21" customHeight="1" x14ac:dyDescent="0.15">
      <c r="A108" s="46">
        <v>49005128</v>
      </c>
      <c r="B108" s="93">
        <v>0</v>
      </c>
      <c r="C108" s="93">
        <v>5</v>
      </c>
      <c r="D108" s="93">
        <v>100</v>
      </c>
      <c r="E108" s="93" t="s">
        <v>53</v>
      </c>
      <c r="F108" s="93" t="s">
        <v>53</v>
      </c>
      <c r="G108" s="93" t="s">
        <v>53</v>
      </c>
      <c r="H108" s="93">
        <v>6</v>
      </c>
      <c r="I108" s="93" t="s">
        <v>53</v>
      </c>
      <c r="J108" s="47">
        <f t="shared" si="2"/>
        <v>100</v>
      </c>
    </row>
    <row r="109" spans="1:10" ht="21" customHeight="1" x14ac:dyDescent="0.15">
      <c r="A109" s="46">
        <v>49005129</v>
      </c>
      <c r="B109" s="93">
        <v>0</v>
      </c>
      <c r="C109" s="93">
        <v>6</v>
      </c>
      <c r="D109" s="93">
        <v>100</v>
      </c>
      <c r="E109" s="93" t="s">
        <v>53</v>
      </c>
      <c r="F109" s="93" t="s">
        <v>53</v>
      </c>
      <c r="G109" s="93">
        <v>1</v>
      </c>
      <c r="H109" s="93">
        <v>18</v>
      </c>
      <c r="I109" s="93" t="s">
        <v>53</v>
      </c>
      <c r="J109" s="47">
        <f t="shared" si="2"/>
        <v>100</v>
      </c>
    </row>
    <row r="110" spans="1:10" ht="21" customHeight="1" x14ac:dyDescent="0.15">
      <c r="A110" s="46">
        <v>49005130</v>
      </c>
      <c r="B110" s="93">
        <v>0</v>
      </c>
      <c r="C110" s="93">
        <v>4</v>
      </c>
      <c r="D110" s="93">
        <v>100</v>
      </c>
      <c r="E110" s="93">
        <v>50</v>
      </c>
      <c r="F110" s="93" t="s">
        <v>53</v>
      </c>
      <c r="G110" s="93">
        <v>1</v>
      </c>
      <c r="H110" s="93">
        <v>1</v>
      </c>
      <c r="I110" s="93" t="s">
        <v>53</v>
      </c>
      <c r="J110" s="47">
        <f t="shared" ref="J110" si="3">D110</f>
        <v>100</v>
      </c>
    </row>
    <row r="111" spans="1:10" ht="21" customHeight="1" x14ac:dyDescent="0.15">
      <c r="A111" s="46">
        <v>49005131</v>
      </c>
      <c r="B111" s="93">
        <v>0</v>
      </c>
      <c r="C111" s="93">
        <v>4</v>
      </c>
      <c r="D111" s="93">
        <v>100</v>
      </c>
      <c r="E111" s="93">
        <v>40</v>
      </c>
      <c r="F111" s="93" t="s">
        <v>53</v>
      </c>
      <c r="G111" s="93">
        <v>1</v>
      </c>
      <c r="H111" s="93">
        <v>1</v>
      </c>
      <c r="I111" s="93" t="s">
        <v>53</v>
      </c>
      <c r="J111" s="47">
        <f t="shared" ref="J111" si="4">D111</f>
        <v>100</v>
      </c>
    </row>
  </sheetData>
  <autoFilter ref="A1:G1"/>
  <phoneticPr fontId="6"/>
  <conditionalFormatting sqref="K112:K1048576 K1:K110">
    <cfRule type="duplicateValues" dxfId="1" priority="2"/>
  </conditionalFormatting>
  <conditionalFormatting sqref="K11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9"/>
  <sheetViews>
    <sheetView showGridLines="0" workbookViewId="0">
      <pane xSplit="5" ySplit="1" topLeftCell="F11" activePane="bottomRight" state="frozen"/>
      <selection pane="topRight"/>
      <selection pane="bottomLeft"/>
      <selection pane="bottomRight" activeCell="H31" sqref="H31"/>
    </sheetView>
  </sheetViews>
  <sheetFormatPr baseColWidth="12" defaultColWidth="12.83203125" defaultRowHeight="21" customHeight="1" outlineLevelRow="1" outlineLevelCol="1" x14ac:dyDescent="0.15"/>
  <cols>
    <col min="1" max="1" width="11.33203125" style="39" bestFit="1" customWidth="1"/>
    <col min="2" max="2" width="12" style="48" customWidth="1"/>
    <col min="3" max="3" width="9.6640625" style="48" customWidth="1"/>
    <col min="4" max="4" width="18.5" style="48" customWidth="1" outlineLevel="1"/>
    <col min="5" max="5" width="43" style="48" customWidth="1" outlineLevel="1"/>
    <col min="6" max="6" width="10.83203125" style="48" bestFit="1" customWidth="1"/>
    <col min="7" max="7" width="12.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9" t="s">
        <v>60</v>
      </c>
      <c r="B1" s="94" t="s">
        <v>61</v>
      </c>
      <c r="C1" s="94" t="s">
        <v>62</v>
      </c>
      <c r="D1" s="95" t="s">
        <v>63</v>
      </c>
      <c r="E1" s="95" t="s">
        <v>64</v>
      </c>
      <c r="F1" s="5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3" t="s">
        <v>71</v>
      </c>
      <c r="L1" s="43" t="s">
        <v>72</v>
      </c>
      <c r="M1" s="43" t="s">
        <v>73</v>
      </c>
      <c r="N1" s="43" t="s">
        <v>74</v>
      </c>
      <c r="O1" s="43" t="s">
        <v>75</v>
      </c>
      <c r="P1" s="95" t="s">
        <v>76</v>
      </c>
      <c r="Q1" s="95" t="s">
        <v>77</v>
      </c>
      <c r="R1" s="95" t="s">
        <v>78</v>
      </c>
    </row>
    <row r="2" spans="1:18" s="97" customFormat="1" ht="21" customHeight="1" x14ac:dyDescent="0.15">
      <c r="A2" s="96" t="str">
        <f t="shared" ref="A2" si="0">B2&amp;"_"&amp;C2</f>
        <v>49005001_49005001</v>
      </c>
      <c r="B2" s="46">
        <v>49005001</v>
      </c>
      <c r="C2" s="46">
        <v>49005001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僕はアイス食べよーっと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2" s="46">
        <v>49005001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s="97" customFormat="1" ht="21" customHeight="1" x14ac:dyDescent="0.15">
      <c r="A3" s="96" t="str">
        <f t="shared" ref="A3:A81" si="1">B3&amp;"_"&amp;C3</f>
        <v>49005001_49005002</v>
      </c>
      <c r="B3" s="46">
        <v>49005001</v>
      </c>
      <c r="C3" s="46">
        <v>49005002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ブルーハワイ(ﾟдﾟ)ｳﾏｰ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6">
        <v>49005002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s="97" customFormat="1" ht="21" customHeight="1" x14ac:dyDescent="0.15">
      <c r="A4" s="96" t="str">
        <f t="shared" si="1"/>
        <v>49005001_49005003</v>
      </c>
      <c r="B4" s="46">
        <v>49005001</v>
      </c>
      <c r="C4" s="46">
        <v>49005003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イチゴソルベ(ﾟдﾟ)ｳﾏｰ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4" s="46">
        <v>49005003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s="97" customFormat="1" ht="21" customHeight="1" x14ac:dyDescent="0.15">
      <c r="A5" s="96" t="str">
        <f t="shared" si="1"/>
        <v>49005001_49005004</v>
      </c>
      <c r="B5" s="46">
        <v>49005001</v>
      </c>
      <c r="C5" s="46">
        <v>49005004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カルーア・オン・アイス♪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全体の攻撃力UP</v>
      </c>
      <c r="F5" s="46">
        <v>49005004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s="97" customFormat="1" ht="21" customHeight="1" x14ac:dyDescent="0.15">
      <c r="A6" s="96" t="str">
        <f t="shared" si="1"/>
        <v>49005002_49005005</v>
      </c>
      <c r="B6" s="46">
        <v>49005002</v>
      </c>
      <c r="C6" s="46">
        <v>49005005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宴の始まりよっ♪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このバトルはHP80%でスタート！</v>
      </c>
      <c r="F6" s="46">
        <v>49005005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s="97" customFormat="1" ht="21" customHeight="1" x14ac:dyDescent="0.15">
      <c r="A7" s="96" t="str">
        <f t="shared" si="1"/>
        <v>49005002_49005006</v>
      </c>
      <c r="B7" s="46">
        <v>49005002</v>
      </c>
      <c r="C7" s="46">
        <v>49005006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キラーカクテル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種族ドラゴンに大ダメージ！</v>
      </c>
      <c r="F7" s="46">
        <v>49005006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s="97" customFormat="1" ht="21" customHeight="1" x14ac:dyDescent="0.15">
      <c r="A8" s="96" t="str">
        <f t="shared" si="1"/>
        <v>49005002_49005007</v>
      </c>
      <c r="B8" s="46">
        <v>49005002</v>
      </c>
      <c r="C8" s="46">
        <v>49005007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オンザロック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4連続攻撃＋お邪魔パネル出現</v>
      </c>
      <c r="F8" s="46">
        <v>49005007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s="97" customFormat="1" ht="21" customHeight="1" x14ac:dyDescent="0.15">
      <c r="A9" s="96" t="str">
        <f t="shared" ref="A9" si="2">B9&amp;"_"&amp;C9</f>
        <v>49005002_49005131</v>
      </c>
      <c r="B9" s="46">
        <v>49005002</v>
      </c>
      <c r="C9" s="46">
        <v>49005131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アレが飲みたいわ(人ﾟ∀ﾟ*)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ちょっと危ない雰囲気だ！</v>
      </c>
      <c r="F9" s="46">
        <v>49005131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s="97" customFormat="1" ht="21" customHeight="1" x14ac:dyDescent="0.15">
      <c r="A10" s="96" t="str">
        <f t="shared" si="1"/>
        <v>49005002_49005008</v>
      </c>
      <c r="B10" s="46">
        <v>49005002</v>
      </c>
      <c r="C10" s="46">
        <v>49005008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テキーラショット！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6">
        <v>49005008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s="97" customFormat="1" ht="21" customHeight="1" x14ac:dyDescent="0.15">
      <c r="A11" s="96" t="str">
        <f t="shared" si="1"/>
        <v>49005003_49005009</v>
      </c>
      <c r="B11" s="46">
        <v>49005003</v>
      </c>
      <c r="C11" s="46">
        <v>49005009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エナジー放出ッッ！！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5ターン黄パネル出現率UP＋リンの攻撃力DOWN</v>
      </c>
      <c r="F11" s="46">
        <v>49005009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s="97" customFormat="1" ht="21" customHeight="1" x14ac:dyDescent="0.15">
      <c r="A12" s="96" t="str">
        <f t="shared" si="1"/>
        <v>49005003_49005010</v>
      </c>
      <c r="B12" s="46">
        <v>49005003</v>
      </c>
      <c r="C12" s="46">
        <v>49005010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ツインチャージ！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連続攻撃＋回復</v>
      </c>
      <c r="F12" s="46">
        <v>49005010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s="97" customFormat="1" ht="21" customHeight="1" x14ac:dyDescent="0.15">
      <c r="A13" s="96" t="str">
        <f t="shared" si="1"/>
        <v>49005003_49005011</v>
      </c>
      <c r="B13" s="46">
        <v>49005003</v>
      </c>
      <c r="C13" s="46">
        <v>49005011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レン、お疲れっ！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攻撃力UP＆行動頻度UP</v>
      </c>
      <c r="F13" s="46">
        <v>49005011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8022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s="97" customFormat="1" ht="21" customHeight="1" x14ac:dyDescent="0.15">
      <c r="A14" s="96" t="str">
        <f t="shared" si="1"/>
        <v>49005004_49005012</v>
      </c>
      <c r="B14" s="46">
        <v>49005004</v>
      </c>
      <c r="C14" s="46">
        <v>49005012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リンに便乗ッ！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5ターン黄パネルがお邪魔パネルになって降る！</v>
      </c>
      <c r="F14" s="46">
        <v>49005012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s="97" customFormat="1" ht="21" customHeight="1" x14ac:dyDescent="0.15">
      <c r="A15" s="96" t="str">
        <f t="shared" si="1"/>
        <v>49005004_49005013</v>
      </c>
      <c r="B15" s="46">
        <v>49005004</v>
      </c>
      <c r="C15" s="46">
        <v>49005013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エナジー放出！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連続攻撃＋時限式ダメージパネル出現</v>
      </c>
      <c r="F15" s="46">
        <v>49005013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s="97" customFormat="1" ht="21" customHeight="1" x14ac:dyDescent="0.15">
      <c r="A16" s="96" t="str">
        <f t="shared" si="1"/>
        <v>49005004_49005014</v>
      </c>
      <c r="B16" s="46">
        <v>49005004</v>
      </c>
      <c r="C16" s="46">
        <v>49005014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スキありっ！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16" s="46">
        <v>49005014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s="97" customFormat="1" ht="21" customHeight="1" x14ac:dyDescent="0.15">
      <c r="A17" s="96" t="str">
        <f t="shared" si="1"/>
        <v>49005004_49005015</v>
      </c>
      <c r="B17" s="46">
        <v>49005004</v>
      </c>
      <c r="C17" s="46">
        <v>49005015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ボクの本気、見せてあげる！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連続攻撃＆次のターン強力な攻撃</v>
      </c>
      <c r="F17" s="46">
        <v>49005015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s="97" customFormat="1" ht="21" customHeight="1" x14ac:dyDescent="0.15">
      <c r="A18" s="96" t="str">
        <f t="shared" si="1"/>
        <v>49005004_49005016</v>
      </c>
      <c r="B18" s="46">
        <v>49005004</v>
      </c>
      <c r="C18" s="46">
        <v>49005016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リンは休んでてっ！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状態変化解除＋行動頻度UP</v>
      </c>
      <c r="F18" s="46">
        <v>49005016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8020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s="97" customFormat="1" ht="21" customHeight="1" x14ac:dyDescent="0.15">
      <c r="A19" s="96" t="str">
        <f t="shared" si="1"/>
        <v>49005005_49005017</v>
      </c>
      <c r="B19" s="46">
        <v>49005005</v>
      </c>
      <c r="C19" s="46">
        <v>49005017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惑わせてあげるわ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5ターン回復力DOWN</v>
      </c>
      <c r="F19" s="46">
        <v>49005017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s="97" customFormat="1" ht="21" customHeight="1" x14ac:dyDescent="0.15">
      <c r="A20" s="96" t="str">
        <f t="shared" si="1"/>
        <v>49005005_49005018</v>
      </c>
      <c r="B20" s="46">
        <v>49005005</v>
      </c>
      <c r="C20" s="46">
        <v>49005018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この歌声で…！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0" s="46">
        <v>49005018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7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s="97" customFormat="1" ht="21" customHeight="1" x14ac:dyDescent="0.15">
      <c r="A21" s="96" t="str">
        <f t="shared" si="1"/>
        <v>49005005_49005019</v>
      </c>
      <c r="B21" s="46">
        <v>49005005</v>
      </c>
      <c r="C21" s="46">
        <v>49005019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あなたに魅せる！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1" s="46">
        <v>49005019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1" s="47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s="97" customFormat="1" ht="21" customHeight="1" x14ac:dyDescent="0.15">
      <c r="A22" s="96" t="str">
        <f t="shared" si="1"/>
        <v>49005005_49005020</v>
      </c>
      <c r="B22" s="46">
        <v>49005005</v>
      </c>
      <c r="C22" s="46">
        <v>49005020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もっと熱狂を！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2" s="46">
        <v>49005020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2" s="47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s="97" customFormat="1" ht="21" customHeight="1" x14ac:dyDescent="0.15">
      <c r="A23" s="96" t="str">
        <f t="shared" si="1"/>
        <v>49005005_49005021</v>
      </c>
      <c r="B23" s="46">
        <v>49005005</v>
      </c>
      <c r="C23" s="46">
        <v>49005021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楽しんでるかしら？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</v>
      </c>
      <c r="F23" s="46">
        <v>49005021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3" s="47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s="97" customFormat="1" ht="21" customHeight="1" x14ac:dyDescent="0.15">
      <c r="A24" s="96" t="str">
        <f t="shared" si="1"/>
        <v>49005005_49005022</v>
      </c>
      <c r="B24" s="46">
        <v>49005005</v>
      </c>
      <c r="C24" s="46">
        <v>49005022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これでどうかしら？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4" s="46">
        <v>49005022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s="97" customFormat="1" ht="21" customHeight="1" x14ac:dyDescent="0.15">
      <c r="A25" s="96" t="str">
        <f t="shared" si="1"/>
        <v>49005006_49005024</v>
      </c>
      <c r="B25" s="46">
        <v>49005006</v>
      </c>
      <c r="C25" s="46">
        <v>49005024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Are you ready？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6ターン行動頻度UP</v>
      </c>
      <c r="F25" s="46">
        <v>49005024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s="97" customFormat="1" ht="21" customHeight="1" x14ac:dyDescent="0.15">
      <c r="A26" s="96" t="str">
        <f t="shared" si="1"/>
        <v>49005006_49005026</v>
      </c>
      <c r="B26" s="46">
        <v>49005006</v>
      </c>
      <c r="C26" s="46">
        <v>49005026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楽しみましょう♪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6" s="46">
        <v>49005026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7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s="97" customFormat="1" ht="21" customHeight="1" x14ac:dyDescent="0.15">
      <c r="A27" s="96" t="str">
        <f t="shared" si="1"/>
        <v>49005006_49005027</v>
      </c>
      <c r="B27" s="46">
        <v>49005006</v>
      </c>
      <c r="C27" s="46">
        <v>49005027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まだまだこれからよ？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7" s="46">
        <v>49005027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7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s="97" customFormat="1" ht="21" customHeight="1" x14ac:dyDescent="0.15">
      <c r="A28" s="96" t="str">
        <f t="shared" si="1"/>
        <v>49005006_49005028</v>
      </c>
      <c r="B28" s="46">
        <v>49005006</v>
      </c>
      <c r="C28" s="46">
        <v>49005028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こんなの序の口でしょ？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8" s="46">
        <v>49005028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8" s="47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s="97" customFormat="1" ht="21" customHeight="1" x14ac:dyDescent="0.15">
      <c r="A29" s="96" t="str">
        <f t="shared" si="1"/>
        <v>49005006_49005029</v>
      </c>
      <c r="B29" s="46">
        <v>49005006</v>
      </c>
      <c r="C29" s="46">
        <v>49005029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響け、私の歌声！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9" s="46">
        <v>49005029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9" s="47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s="97" customFormat="1" ht="21" customHeight="1" x14ac:dyDescent="0.15">
      <c r="A30" s="96" t="str">
        <f t="shared" si="1"/>
        <v>49005006_49005030</v>
      </c>
      <c r="B30" s="46">
        <v>49005006</v>
      </c>
      <c r="C30" s="46">
        <v>49005030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30" s="46">
        <v>49005030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s="97" customFormat="1" ht="21" customHeight="1" x14ac:dyDescent="0.15">
      <c r="A31" s="96" t="str">
        <f t="shared" si="1"/>
        <v>49005006_49005031</v>
      </c>
      <c r="B31" s="46">
        <v>49005006</v>
      </c>
      <c r="C31" s="46">
        <v>49005031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準備はいいかしら？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次のターン強力な攻撃！</v>
      </c>
      <c r="F31" s="46">
        <v>49005031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s="97" customFormat="1" ht="21" customHeight="1" x14ac:dyDescent="0.15">
      <c r="A32" s="96" t="str">
        <f t="shared" si="1"/>
        <v>49005007_49005032</v>
      </c>
      <c r="B32" s="46">
        <v>49005007</v>
      </c>
      <c r="C32" s="46">
        <v>49005032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ここはワタシのステージ！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状態異常無効＋全てのスキル効果を解除_x000D_＋10ターンスキル無効</v>
      </c>
      <c r="F32" s="46">
        <v>49005032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s="97" customFormat="1" ht="21" customHeight="1" x14ac:dyDescent="0.15">
      <c r="A33" s="96" t="str">
        <f t="shared" ref="A33:A34" si="3">B33&amp;"_"&amp;C33</f>
        <v>149005007_49005033</v>
      </c>
      <c r="B33" s="102">
        <v>149005007</v>
      </c>
      <c r="C33" s="46">
        <v>49005033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3" s="46">
        <v>49005033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8029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s="97" customFormat="1" ht="21" customHeight="1" outlineLevel="1" x14ac:dyDescent="0.15">
      <c r="A34" s="96" t="str">
        <f t="shared" si="3"/>
        <v>149005007_49005034</v>
      </c>
      <c r="B34" s="102">
        <v>149005007</v>
      </c>
      <c r="C34" s="46">
        <v>49005034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4" s="46">
        <v>49005034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8030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s="97" customFormat="1" ht="21" customHeight="1" outlineLevel="1" x14ac:dyDescent="0.15">
      <c r="A35" s="96" t="str">
        <f t="shared" ref="A35:A53" si="4">B35&amp;"_"&amp;C35</f>
        <v>149005007_49005035</v>
      </c>
      <c r="B35" s="102">
        <v>149005007</v>
      </c>
      <c r="C35" s="46">
        <v>49005035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5" s="46">
        <v>49005035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8013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s="97" customFormat="1" ht="21" customHeight="1" outlineLevel="1" x14ac:dyDescent="0.15">
      <c r="A36" s="96" t="str">
        <f t="shared" si="4"/>
        <v>149005007_49005036</v>
      </c>
      <c r="B36" s="102">
        <v>149005007</v>
      </c>
      <c r="C36" s="46">
        <v>49005036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6" s="46">
        <v>49005036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8014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s="97" customFormat="1" ht="21" customHeight="1" outlineLevel="1" x14ac:dyDescent="0.15">
      <c r="A37" s="96" t="str">
        <f t="shared" si="4"/>
        <v>149005007_49005037</v>
      </c>
      <c r="B37" s="102">
        <v>149005007</v>
      </c>
      <c r="C37" s="46">
        <v>49005037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7" s="46">
        <v>49005037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8015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s="97" customFormat="1" ht="21" customHeight="1" outlineLevel="1" x14ac:dyDescent="0.15">
      <c r="A38" s="96" t="str">
        <f t="shared" si="4"/>
        <v>49005007_49005038</v>
      </c>
      <c r="B38" s="101">
        <v>49005007</v>
      </c>
      <c r="C38" s="46">
        <v>49005038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8" s="46">
        <v>49005038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8016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s="97" customFormat="1" ht="21" customHeight="1" outlineLevel="1" x14ac:dyDescent="0.15">
      <c r="A39" s="96" t="str">
        <f t="shared" si="4"/>
        <v>149005007_49005039</v>
      </c>
      <c r="B39" s="102">
        <v>149005007</v>
      </c>
      <c r="C39" s="46">
        <v>49005039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39" s="46">
        <v>49005039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8017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s="97" customFormat="1" ht="21" customHeight="1" outlineLevel="1" x14ac:dyDescent="0.15">
      <c r="A40" s="96" t="str">
        <f t="shared" si="4"/>
        <v>49005007_49005040</v>
      </c>
      <c r="B40" s="101">
        <v>49005007</v>
      </c>
      <c r="C40" s="46">
        <v>49005040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0" s="46">
        <v>49005040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8018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s="97" customFormat="1" ht="21" customHeight="1" outlineLevel="1" x14ac:dyDescent="0.15">
      <c r="A41" s="96" t="str">
        <f t="shared" si="4"/>
        <v>149005007_49005041</v>
      </c>
      <c r="B41" s="102">
        <v>149005007</v>
      </c>
      <c r="C41" s="46">
        <v>49005041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1" s="46">
        <v>49005041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8019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s="97" customFormat="1" ht="21" customHeight="1" outlineLevel="1" x14ac:dyDescent="0.15">
      <c r="A42" s="96" t="str">
        <f t="shared" si="4"/>
        <v>149005007_49005042</v>
      </c>
      <c r="B42" s="102">
        <v>149005007</v>
      </c>
      <c r="C42" s="46">
        <v>49005042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2" s="46">
        <v>49005042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8020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s="97" customFormat="1" ht="21" customHeight="1" outlineLevel="1" x14ac:dyDescent="0.15">
      <c r="A43" s="96" t="str">
        <f t="shared" si="4"/>
        <v>149005007_49005043</v>
      </c>
      <c r="B43" s="102">
        <v>149005007</v>
      </c>
      <c r="C43" s="46">
        <v>49005043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3" s="46">
        <v>49005043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8021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s="97" customFormat="1" ht="21" customHeight="1" outlineLevel="1" x14ac:dyDescent="0.15">
      <c r="A44" s="96" t="str">
        <f t="shared" si="4"/>
        <v>149005007_49005044</v>
      </c>
      <c r="B44" s="102">
        <v>149005007</v>
      </c>
      <c r="C44" s="46">
        <v>49005044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4" s="46">
        <v>49005044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8022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s="97" customFormat="1" ht="21" customHeight="1" outlineLevel="1" x14ac:dyDescent="0.15">
      <c r="A45" s="96" t="str">
        <f t="shared" si="4"/>
        <v>149005007_49005045</v>
      </c>
      <c r="B45" s="102">
        <v>149005007</v>
      </c>
      <c r="C45" s="46">
        <v>49005045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5" s="46">
        <v>49005045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8023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s="97" customFormat="1" ht="21" customHeight="1" outlineLevel="1" x14ac:dyDescent="0.15">
      <c r="A46" s="96" t="str">
        <f t="shared" si="4"/>
        <v>149005007_49005046</v>
      </c>
      <c r="B46" s="102">
        <v>149005007</v>
      </c>
      <c r="C46" s="46">
        <v>49005046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6" s="46">
        <v>49005046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8024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s="97" customFormat="1" ht="21" customHeight="1" outlineLevel="1" x14ac:dyDescent="0.15">
      <c r="A47" s="96" t="str">
        <f t="shared" si="4"/>
        <v>149005007_49005047</v>
      </c>
      <c r="B47" s="102">
        <v>149005007</v>
      </c>
      <c r="C47" s="46">
        <v>49005047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7" s="46">
        <v>49005047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8025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s="97" customFormat="1" ht="21" customHeight="1" outlineLevel="1" x14ac:dyDescent="0.15">
      <c r="A48" s="96" t="str">
        <f t="shared" si="4"/>
        <v>149005007_49005048</v>
      </c>
      <c r="B48" s="102">
        <v>149005007</v>
      </c>
      <c r="C48" s="46">
        <v>49005048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8" s="46">
        <v>49005048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8026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s="97" customFormat="1" ht="21" customHeight="1" outlineLevel="1" x14ac:dyDescent="0.15">
      <c r="A49" s="96" t="str">
        <f t="shared" si="4"/>
        <v>149005007_49005049</v>
      </c>
      <c r="B49" s="102">
        <v>149005007</v>
      </c>
      <c r="C49" s="46">
        <v>49005049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49" s="46">
        <v>49005049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8027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s="97" customFormat="1" ht="21" customHeight="1" outlineLevel="1" x14ac:dyDescent="0.15">
      <c r="A50" s="96" t="str">
        <f t="shared" si="4"/>
        <v>149005007_49005050</v>
      </c>
      <c r="B50" s="102">
        <v>149005007</v>
      </c>
      <c r="C50" s="46">
        <v>49005050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状態異常無効＋全てのスキル効果を解除_x000D_＋ボム出現</v>
      </c>
      <c r="F50" s="46">
        <v>49005050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8028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s="97" customFormat="1" ht="21" customHeight="1" x14ac:dyDescent="0.15">
      <c r="A51" s="96" t="str">
        <f t="shared" si="4"/>
        <v>49005007_49005058</v>
      </c>
      <c r="B51" s="46">
        <v>49005007</v>
      </c>
      <c r="C51" s="46">
        <v>49005058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ワタシの声を聴きなさい！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3ターン攻撃力DOWN</v>
      </c>
      <c r="F51" s="46">
        <v>49005058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s="97" customFormat="1" ht="21" customHeight="1" x14ac:dyDescent="0.15">
      <c r="A52" s="96" t="str">
        <f t="shared" si="4"/>
        <v>49005007_49005059</v>
      </c>
      <c r="B52" s="46">
        <v>49005007</v>
      </c>
      <c r="C52" s="46">
        <v>49005059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ダイナミクス・チャージ！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防御系スキル解除＋回復</v>
      </c>
      <c r="F52" s="46">
        <v>49005059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s="97" customFormat="1" ht="21" customHeight="1" x14ac:dyDescent="0.15">
      <c r="A53" s="96" t="str">
        <f t="shared" si="4"/>
        <v>49005007_49005060</v>
      </c>
      <c r="B53" s="46">
        <v>49005007</v>
      </c>
      <c r="C53" s="46">
        <v>49005060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ステージの邪魔はさせない！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種族Unknown以外に大ダメージ！</v>
      </c>
      <c r="F53" s="46">
        <v>49005060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3" s="46"/>
      <c r="Q53" s="46"/>
      <c r="R53" s="46"/>
    </row>
    <row r="54" spans="1:18" s="97" customFormat="1" ht="21" customHeight="1" x14ac:dyDescent="0.15">
      <c r="A54" s="96" t="str">
        <f t="shared" si="1"/>
        <v>49005007_49005061</v>
      </c>
      <c r="B54" s="46">
        <v>49005007</v>
      </c>
      <c r="C54" s="46">
        <v>49005061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ダイナミクス・ドレイン！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防御系スキル解除＋3ターン攻撃力DOWN</v>
      </c>
      <c r="F54" s="46">
        <v>49005061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s="97" customFormat="1" ht="21" customHeight="1" x14ac:dyDescent="0.15">
      <c r="A55" s="96" t="str">
        <f t="shared" si="1"/>
        <v>49005007_49005062</v>
      </c>
      <c r="B55" s="46">
        <v>49005007</v>
      </c>
      <c r="C55" s="46">
        <v>49005062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ディストーション！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5ターン緑パネル出現率低下＆お邪魔パネル出現</v>
      </c>
      <c r="F55" s="46">
        <v>49005062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s="97" customFormat="1" ht="21" customHeight="1" x14ac:dyDescent="0.15">
      <c r="A56" s="96" t="str">
        <f t="shared" si="1"/>
        <v>49005007_49005063</v>
      </c>
      <c r="B56" s="46">
        <v>49005007</v>
      </c>
      <c r="C56" s="46">
        <v>49005063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ハイパーディストーション！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2ターン防御力超大UP＋大量パネル変換！</v>
      </c>
      <c r="F56" s="46">
        <v>49005063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s="97" customFormat="1" ht="21" customHeight="1" x14ac:dyDescent="0.15">
      <c r="A57" s="96" t="str">
        <f t="shared" ref="A57:A75" si="5">B57&amp;"_"&amp;C57</f>
        <v>49005007_49005064</v>
      </c>
      <c r="B57" s="46">
        <v>49005007</v>
      </c>
      <c r="C57" s="46">
        <v>49005064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強い…でもまだ…！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状態異常無効＋フィーバーゲージ減少_x000D_＋時限式パネル出現</v>
      </c>
      <c r="F57" s="46">
        <v>49005064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7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s="97" customFormat="1" ht="21" customHeight="1" x14ac:dyDescent="0.15">
      <c r="A58" s="96" t="str">
        <f t="shared" si="5"/>
        <v>149005008_49005065</v>
      </c>
      <c r="B58" s="102">
        <v>149005008</v>
      </c>
      <c r="C58" s="46">
        <v>49005065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58" s="46">
        <v>49005065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8029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s="97" customFormat="1" ht="21" customHeight="1" outlineLevel="1" x14ac:dyDescent="0.15">
      <c r="A59" s="96" t="str">
        <f t="shared" si="5"/>
        <v>149005008_49005066</v>
      </c>
      <c r="B59" s="102">
        <v>149005008</v>
      </c>
      <c r="C59" s="46">
        <v>49005066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59" s="46">
        <v>49005066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8030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s="97" customFormat="1" ht="21" customHeight="1" outlineLevel="1" x14ac:dyDescent="0.15">
      <c r="A60" s="96" t="str">
        <f t="shared" si="5"/>
        <v>149005008_49005067</v>
      </c>
      <c r="B60" s="102">
        <v>149005008</v>
      </c>
      <c r="C60" s="46">
        <v>49005067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0" s="46">
        <v>49005067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8013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s="97" customFormat="1" ht="21" customHeight="1" outlineLevel="1" x14ac:dyDescent="0.15">
      <c r="A61" s="96" t="str">
        <f t="shared" si="5"/>
        <v>149005008_49005068</v>
      </c>
      <c r="B61" s="102">
        <v>149005008</v>
      </c>
      <c r="C61" s="46">
        <v>49005068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1" s="46">
        <v>49005068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8014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s="97" customFormat="1" ht="21" customHeight="1" outlineLevel="1" x14ac:dyDescent="0.15">
      <c r="A62" s="96" t="str">
        <f t="shared" si="5"/>
        <v>149005008_49005069</v>
      </c>
      <c r="B62" s="102">
        <v>149005008</v>
      </c>
      <c r="C62" s="46">
        <v>49005069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2" s="46">
        <v>49005069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8015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s="97" customFormat="1" ht="21" customHeight="1" outlineLevel="1" x14ac:dyDescent="0.15">
      <c r="A63" s="96" t="str">
        <f t="shared" si="5"/>
        <v>49005008_49005070</v>
      </c>
      <c r="B63" s="101">
        <v>49005008</v>
      </c>
      <c r="C63" s="46">
        <v>49005070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3" s="46">
        <v>49005070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8016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s="97" customFormat="1" ht="21" customHeight="1" outlineLevel="1" x14ac:dyDescent="0.15">
      <c r="A64" s="96" t="str">
        <f t="shared" si="5"/>
        <v>149005008_49005071</v>
      </c>
      <c r="B64" s="102">
        <v>149005008</v>
      </c>
      <c r="C64" s="46">
        <v>49005071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4" s="46">
        <v>49005071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8017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s="97" customFormat="1" ht="21" customHeight="1" outlineLevel="1" x14ac:dyDescent="0.15">
      <c r="A65" s="96" t="str">
        <f t="shared" si="5"/>
        <v>49005008_49005072</v>
      </c>
      <c r="B65" s="101">
        <v>49005008</v>
      </c>
      <c r="C65" s="46">
        <v>49005072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5" s="46">
        <v>49005072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8018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s="97" customFormat="1" ht="21" customHeight="1" outlineLevel="1" x14ac:dyDescent="0.15">
      <c r="A66" s="96" t="str">
        <f t="shared" si="5"/>
        <v>149005008_49005073</v>
      </c>
      <c r="B66" s="102">
        <v>149005008</v>
      </c>
      <c r="C66" s="46">
        <v>49005073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6" s="46">
        <v>49005073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8019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s="97" customFormat="1" ht="21" customHeight="1" outlineLevel="1" x14ac:dyDescent="0.15">
      <c r="A67" s="96" t="str">
        <f t="shared" si="5"/>
        <v>149005008_49005074</v>
      </c>
      <c r="B67" s="102">
        <v>149005008</v>
      </c>
      <c r="C67" s="46">
        <v>49005074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7" s="46">
        <v>49005074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7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8020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s="97" customFormat="1" ht="21" customHeight="1" outlineLevel="1" x14ac:dyDescent="0.15">
      <c r="A68" s="96" t="str">
        <f t="shared" si="5"/>
        <v>149005008_49005075</v>
      </c>
      <c r="B68" s="102">
        <v>149005008</v>
      </c>
      <c r="C68" s="46">
        <v>49005075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8" s="46">
        <v>49005075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8021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s="97" customFormat="1" ht="21" customHeight="1" outlineLevel="1" x14ac:dyDescent="0.15">
      <c r="A69" s="96" t="str">
        <f t="shared" si="5"/>
        <v>149005008_49005076</v>
      </c>
      <c r="B69" s="102">
        <v>149005008</v>
      </c>
      <c r="C69" s="46">
        <v>49005076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69" s="46">
        <v>49005076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8022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s="97" customFormat="1" ht="21" customHeight="1" outlineLevel="1" x14ac:dyDescent="0.15">
      <c r="A70" s="96" t="str">
        <f t="shared" si="5"/>
        <v>149005008_49005077</v>
      </c>
      <c r="B70" s="102">
        <v>149005008</v>
      </c>
      <c r="C70" s="46">
        <v>49005077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70" s="46">
        <v>49005077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8023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s="97" customFormat="1" ht="21" customHeight="1" outlineLevel="1" x14ac:dyDescent="0.15">
      <c r="A71" s="96" t="str">
        <f t="shared" si="5"/>
        <v>149005008_49005078</v>
      </c>
      <c r="B71" s="102">
        <v>149005008</v>
      </c>
      <c r="C71" s="46">
        <v>49005078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71" s="46">
        <v>49005078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7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8024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s="97" customFormat="1" ht="21" customHeight="1" outlineLevel="1" x14ac:dyDescent="0.15">
      <c r="A72" s="96" t="str">
        <f t="shared" si="5"/>
        <v>149005008_49005079</v>
      </c>
      <c r="B72" s="102">
        <v>149005008</v>
      </c>
      <c r="C72" s="46">
        <v>49005079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72" s="46">
        <v>49005079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7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8025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s="97" customFormat="1" ht="21" customHeight="1" outlineLevel="1" x14ac:dyDescent="0.15">
      <c r="A73" s="96" t="str">
        <f t="shared" si="5"/>
        <v>149005008_49005080</v>
      </c>
      <c r="B73" s="102">
        <v>149005008</v>
      </c>
      <c r="C73" s="46">
        <v>49005080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73" s="46">
        <v>49005080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8026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s="97" customFormat="1" ht="21" customHeight="1" outlineLevel="1" x14ac:dyDescent="0.15">
      <c r="A74" s="96" t="str">
        <f t="shared" si="5"/>
        <v>149005008_49005081</v>
      </c>
      <c r="B74" s="102">
        <v>149005008</v>
      </c>
      <c r="C74" s="46">
        <v>49005081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74" s="46">
        <v>49005081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8027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s="97" customFormat="1" ht="21" customHeight="1" outlineLevel="1" x14ac:dyDescent="0.15">
      <c r="A75" s="96" t="str">
        <f t="shared" si="5"/>
        <v>149005008_49005082</v>
      </c>
      <c r="B75" s="102">
        <v>149005008</v>
      </c>
      <c r="C75" s="46">
        <v>49005082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少しだけフィーバーゲージ増加_x000D_＋状態異常無効</v>
      </c>
      <c r="F75" s="46">
        <v>49005082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7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8028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s="97" customFormat="1" ht="21" customHeight="1" x14ac:dyDescent="0.15">
      <c r="A76" s="96" t="str">
        <f t="shared" ref="A76:A79" si="6">B76&amp;"_"&amp;C76</f>
        <v>49005008_49005090</v>
      </c>
      <c r="B76" s="46">
        <v>49005008</v>
      </c>
      <c r="C76" s="46">
        <v>49005090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ロウ・ボリューム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2ターン防御UP_x000D_だんだん強くなる！</v>
      </c>
      <c r="F76" s="46">
        <v>49005090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s="97" customFormat="1" ht="21" customHeight="1" x14ac:dyDescent="0.15">
      <c r="A77" s="96" t="str">
        <f t="shared" si="6"/>
        <v>49005008_49005091</v>
      </c>
      <c r="B77" s="46">
        <v>49005008</v>
      </c>
      <c r="C77" s="46">
        <v>49005091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ミドル・ボリューム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77" s="46">
        <v>49005091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s="97" customFormat="1" ht="21" customHeight="1" x14ac:dyDescent="0.15">
      <c r="A78" s="96" t="str">
        <f t="shared" si="6"/>
        <v>49005008_49005092</v>
      </c>
      <c r="B78" s="46">
        <v>49005008</v>
      </c>
      <c r="C78" s="46">
        <v>49005092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ハイ・ボリューム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78" s="46">
        <v>49005092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s="97" customFormat="1" ht="21" customHeight="1" x14ac:dyDescent="0.15">
      <c r="A79" s="96" t="str">
        <f t="shared" si="6"/>
        <v>49005008_49005093</v>
      </c>
      <c r="B79" s="46">
        <v>49005008</v>
      </c>
      <c r="C79" s="46">
        <v>49005093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超音圧アタック！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2連続全体攻撃</v>
      </c>
      <c r="F79" s="46">
        <v>49005093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7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  <row r="80" spans="1:18" s="97" customFormat="1" ht="21" customHeight="1" x14ac:dyDescent="0.15">
      <c r="A80" s="96" t="str">
        <f t="shared" si="1"/>
        <v>49005008_49005094</v>
      </c>
      <c r="B80" s="46">
        <v>49005008</v>
      </c>
      <c r="C80" s="46">
        <v>49005094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ミドル・ボルテージ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2ターン防御力UP＋お邪魔パネル出現</v>
      </c>
      <c r="F80" s="46">
        <v>49005094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  <row r="81" spans="1:18" s="97" customFormat="1" ht="21" customHeight="1" x14ac:dyDescent="0.15">
      <c r="A81" s="96" t="str">
        <f t="shared" si="1"/>
        <v>49005008_49005095</v>
      </c>
      <c r="B81" s="46">
        <v>49005008</v>
      </c>
      <c r="C81" s="46">
        <v>49005095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ハイ・ボルテージ！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3ターン防御力UP＋お邪魔パネル出現</v>
      </c>
      <c r="F81" s="46">
        <v>49005095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s="97" customFormat="1" ht="21" customHeight="1" x14ac:dyDescent="0.15">
      <c r="A82" s="96" t="str">
        <f t="shared" ref="A82:A93" si="7">B82&amp;"_"&amp;C82</f>
        <v>49005008_49005096</v>
      </c>
      <c r="B82" s="46">
        <v>49005008</v>
      </c>
      <c r="C82" s="46">
        <v>49005096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MAX・ボルテージ！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4ターン防御力UP＋お邪魔パネル出現</v>
      </c>
      <c r="F82" s="46">
        <v>49005096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7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  <row r="83" spans="1:18" s="97" customFormat="1" ht="21" customHeight="1" x14ac:dyDescent="0.15">
      <c r="A83" s="96" t="str">
        <f t="shared" si="7"/>
        <v>49005008_49005097</v>
      </c>
      <c r="B83" s="46">
        <v>49005008</v>
      </c>
      <c r="C83" s="46">
        <v>49005097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限界突破！ボルテージ！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5ターン防御力UP＋お邪魔パネル出現</v>
      </c>
      <c r="F83" s="46">
        <v>49005097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7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83" s="4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6"/>
      <c r="Q83" s="46"/>
      <c r="R83" s="46"/>
    </row>
    <row r="84" spans="1:18" s="97" customFormat="1" ht="21" customHeight="1" x14ac:dyDescent="0.15">
      <c r="A84" s="96" t="str">
        <f t="shared" ref="A84" si="8">B84&amp;"_"&amp;C84</f>
        <v>49005008_49005098</v>
      </c>
      <c r="B84" s="46">
        <v>49005008</v>
      </c>
      <c r="C84" s="46">
        <v>49005098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超爆音シャウト！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3ターン攻撃力DOWN＋お邪魔パネル吸収攻撃</v>
      </c>
      <c r="F84" s="46">
        <v>49005098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6"/>
      <c r="R84" s="46"/>
    </row>
    <row r="85" spans="1:18" s="97" customFormat="1" ht="21" customHeight="1" x14ac:dyDescent="0.15">
      <c r="A85" s="96" t="str">
        <f t="shared" si="7"/>
        <v>49005009_49005099</v>
      </c>
      <c r="B85" s="46">
        <v>49005009</v>
      </c>
      <c r="C85" s="46">
        <v>49005099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どうしよう…負けたくない…！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緑パネルが稀にお邪魔パネルで出現_x000D_＋3ターン行動頻度UP</v>
      </c>
      <c r="F85" s="46">
        <v>49005099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7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6"/>
      <c r="Q85" s="46"/>
      <c r="R85" s="46"/>
    </row>
    <row r="86" spans="1:18" s="97" customFormat="1" ht="21" customHeight="1" x14ac:dyDescent="0.15">
      <c r="A86" s="96" t="str">
        <f t="shared" si="7"/>
        <v>149005009_49005100</v>
      </c>
      <c r="B86" s="102">
        <v>149005009</v>
      </c>
      <c r="C86" s="46">
        <v>49005100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86" s="46">
        <v>49005100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7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8029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6"/>
      <c r="R86" s="46"/>
    </row>
    <row r="87" spans="1:18" s="97" customFormat="1" ht="21" customHeight="1" outlineLevel="1" x14ac:dyDescent="0.15">
      <c r="A87" s="96" t="str">
        <f t="shared" si="7"/>
        <v>149005009_49005101</v>
      </c>
      <c r="B87" s="102">
        <v>149005009</v>
      </c>
      <c r="C87" s="46">
        <v>49005101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87" s="46">
        <v>49005101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7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7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8030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6"/>
      <c r="R87" s="46"/>
    </row>
    <row r="88" spans="1:18" s="97" customFormat="1" ht="21" customHeight="1" outlineLevel="1" x14ac:dyDescent="0.15">
      <c r="A88" s="96" t="str">
        <f t="shared" si="7"/>
        <v>149005009_49005102</v>
      </c>
      <c r="B88" s="102">
        <v>149005009</v>
      </c>
      <c r="C88" s="46">
        <v>49005102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88" s="46">
        <v>49005102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7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8013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6"/>
      <c r="R88" s="46"/>
    </row>
    <row r="89" spans="1:18" s="97" customFormat="1" ht="21" customHeight="1" outlineLevel="1" x14ac:dyDescent="0.15">
      <c r="A89" s="96" t="str">
        <f t="shared" si="7"/>
        <v>149005009_49005103</v>
      </c>
      <c r="B89" s="102">
        <v>149005009</v>
      </c>
      <c r="C89" s="46">
        <v>49005103</v>
      </c>
      <c r="D89" s="4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89" s="4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89" s="46">
        <v>49005103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7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8014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6"/>
      <c r="Q89" s="46"/>
      <c r="R89" s="46"/>
    </row>
    <row r="90" spans="1:18" s="97" customFormat="1" ht="21" customHeight="1" outlineLevel="1" x14ac:dyDescent="0.15">
      <c r="A90" s="96" t="str">
        <f t="shared" si="7"/>
        <v>149005009_49005104</v>
      </c>
      <c r="B90" s="102">
        <v>149005009</v>
      </c>
      <c r="C90" s="46">
        <v>49005104</v>
      </c>
      <c r="D90" s="4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0" s="4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0" s="46">
        <v>49005104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7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8015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6"/>
      <c r="Q90" s="46"/>
      <c r="R90" s="46"/>
    </row>
    <row r="91" spans="1:18" s="97" customFormat="1" ht="21" customHeight="1" outlineLevel="1" x14ac:dyDescent="0.15">
      <c r="A91" s="96" t="str">
        <f t="shared" si="7"/>
        <v>49005009_49005105</v>
      </c>
      <c r="B91" s="101">
        <v>49005009</v>
      </c>
      <c r="C91" s="46">
        <v>49005105</v>
      </c>
      <c r="D91" s="4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1" s="4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1" s="46">
        <v>49005105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7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8016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6"/>
      <c r="R91" s="46"/>
    </row>
    <row r="92" spans="1:18" s="97" customFormat="1" ht="21" customHeight="1" outlineLevel="1" x14ac:dyDescent="0.15">
      <c r="A92" s="96" t="str">
        <f t="shared" si="7"/>
        <v>149005009_49005106</v>
      </c>
      <c r="B92" s="102">
        <v>149005009</v>
      </c>
      <c r="C92" s="46">
        <v>49005106</v>
      </c>
      <c r="D92" s="4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2" s="4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2" s="46">
        <v>49005106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7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7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8017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6"/>
      <c r="Q92" s="46"/>
      <c r="R92" s="46"/>
    </row>
    <row r="93" spans="1:18" s="97" customFormat="1" ht="21" customHeight="1" outlineLevel="1" x14ac:dyDescent="0.15">
      <c r="A93" s="96" t="str">
        <f t="shared" si="7"/>
        <v>49005009_49005107</v>
      </c>
      <c r="B93" s="101">
        <v>49005009</v>
      </c>
      <c r="C93" s="46">
        <v>49005107</v>
      </c>
      <c r="D93" s="4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3" s="4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3" s="46">
        <v>49005107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7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8018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6"/>
      <c r="R93" s="46"/>
    </row>
    <row r="94" spans="1:18" s="97" customFormat="1" ht="21" customHeight="1" outlineLevel="1" x14ac:dyDescent="0.15">
      <c r="A94" s="96" t="str">
        <f t="shared" ref="A94:A98" si="9">B94&amp;"_"&amp;C94</f>
        <v>149005009_49005108</v>
      </c>
      <c r="B94" s="102">
        <v>149005009</v>
      </c>
      <c r="C94" s="46">
        <v>49005108</v>
      </c>
      <c r="D94" s="4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4" s="4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4" s="46">
        <v>49005108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7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7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8019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6"/>
      <c r="R94" s="46"/>
    </row>
    <row r="95" spans="1:18" s="97" customFormat="1" ht="21" customHeight="1" outlineLevel="1" x14ac:dyDescent="0.15">
      <c r="A95" s="96" t="str">
        <f t="shared" si="9"/>
        <v>149005009_49005109</v>
      </c>
      <c r="B95" s="102">
        <v>149005009</v>
      </c>
      <c r="C95" s="46">
        <v>49005109</v>
      </c>
      <c r="D95" s="4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5" s="4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5" s="46">
        <v>49005109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7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7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8020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6"/>
      <c r="Q95" s="46"/>
      <c r="R95" s="46"/>
    </row>
    <row r="96" spans="1:18" s="97" customFormat="1" ht="21" customHeight="1" outlineLevel="1" x14ac:dyDescent="0.15">
      <c r="A96" s="96" t="str">
        <f t="shared" si="9"/>
        <v>149005009_49005110</v>
      </c>
      <c r="B96" s="102">
        <v>149005009</v>
      </c>
      <c r="C96" s="46">
        <v>49005110</v>
      </c>
      <c r="D96" s="4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6" s="4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6" s="46">
        <v>49005110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7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7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8021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6"/>
      <c r="R96" s="46"/>
    </row>
    <row r="97" spans="1:18" s="97" customFormat="1" ht="21" customHeight="1" outlineLevel="1" x14ac:dyDescent="0.15">
      <c r="A97" s="96" t="str">
        <f t="shared" si="9"/>
        <v>149005009_49005111</v>
      </c>
      <c r="B97" s="102">
        <v>149005009</v>
      </c>
      <c r="C97" s="46">
        <v>49005111</v>
      </c>
      <c r="D97" s="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7" s="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7" s="46">
        <v>49005111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7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8022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6"/>
      <c r="R97" s="46"/>
    </row>
    <row r="98" spans="1:18" s="97" customFormat="1" ht="21" customHeight="1" outlineLevel="1" x14ac:dyDescent="0.15">
      <c r="A98" s="96" t="str">
        <f t="shared" si="9"/>
        <v>149005009_49005112</v>
      </c>
      <c r="B98" s="102">
        <v>149005009</v>
      </c>
      <c r="C98" s="46">
        <v>49005112</v>
      </c>
      <c r="D98" s="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8" s="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8" s="46">
        <v>49005112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7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8023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6"/>
      <c r="Q98" s="46"/>
      <c r="R98" s="46"/>
    </row>
    <row r="99" spans="1:18" s="97" customFormat="1" ht="21" customHeight="1" outlineLevel="1" x14ac:dyDescent="0.15">
      <c r="A99" s="96" t="str">
        <f t="shared" ref="A99:A109" si="10">B99&amp;"_"&amp;C99</f>
        <v>149005009_49005113</v>
      </c>
      <c r="B99" s="102">
        <v>149005009</v>
      </c>
      <c r="C99" s="46">
        <v>49005113</v>
      </c>
      <c r="D99" s="45" t="str">
        <f ca="1">VLOOKUP($C99,OFFSET(enemy_skills!$A$1,0,0,COUNTA(enemy_skills!$A:$A),MATCH(D$1,enemy_skills!$1:$1,0)-MATCH("enemy_skill_id",enemy_skills!$1:$1,0)+1),MATCH(D$1,enemy_skills!$1:$1,0)-MATCH("enemy_skill_id",enemy_skills!$1:$1,0)+1,FALSE)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9" s="45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99" s="46">
        <v>49005113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7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7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8024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6"/>
      <c r="Q99" s="46"/>
      <c r="R99" s="46"/>
    </row>
    <row r="100" spans="1:18" s="97" customFormat="1" ht="21" customHeight="1" outlineLevel="1" x14ac:dyDescent="0.15">
      <c r="A100" s="96" t="str">
        <f t="shared" si="10"/>
        <v>149005009_49005114</v>
      </c>
      <c r="B100" s="102">
        <v>149005009</v>
      </c>
      <c r="C100" s="46">
        <v>49005114</v>
      </c>
      <c r="D100" s="4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0" s="4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100" s="46">
        <v>49005114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7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7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7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8025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6"/>
      <c r="Q100" s="46"/>
      <c r="R100" s="46"/>
    </row>
    <row r="101" spans="1:18" s="97" customFormat="1" ht="21" customHeight="1" outlineLevel="1" x14ac:dyDescent="0.15">
      <c r="A101" s="96" t="str">
        <f t="shared" si="10"/>
        <v>149005009_49005115</v>
      </c>
      <c r="B101" s="102">
        <v>149005009</v>
      </c>
      <c r="C101" s="46">
        <v>49005115</v>
      </c>
      <c r="D101" s="45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1" s="45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101" s="46">
        <v>49005115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7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7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7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8026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6"/>
      <c r="R101" s="46"/>
    </row>
    <row r="102" spans="1:18" s="97" customFormat="1" ht="21" customHeight="1" outlineLevel="1" x14ac:dyDescent="0.15">
      <c r="A102" s="96" t="str">
        <f t="shared" si="10"/>
        <v>149005009_49005116</v>
      </c>
      <c r="B102" s="102">
        <v>149005009</v>
      </c>
      <c r="C102" s="46">
        <v>49005116</v>
      </c>
      <c r="D102" s="45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2" s="45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102" s="46">
        <v>49005116</v>
      </c>
      <c r="G102" s="4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2" s="4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7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7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7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8027</v>
      </c>
      <c r="O102" s="4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6"/>
      <c r="Q102" s="46"/>
      <c r="R102" s="46"/>
    </row>
    <row r="103" spans="1:18" s="97" customFormat="1" ht="21" customHeight="1" outlineLevel="1" x14ac:dyDescent="0.15">
      <c r="A103" s="96" t="str">
        <f t="shared" si="10"/>
        <v>149005009_49005117</v>
      </c>
      <c r="B103" s="102">
        <v>149005009</v>
      </c>
      <c r="C103" s="46">
        <v>49005117</v>
      </c>
      <c r="D103" s="45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3" s="45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状態異常無効＋1ターンCパネル生成超短縮_x000D_＋3ターン行動頻度UP</v>
      </c>
      <c r="F103" s="46">
        <v>49005117</v>
      </c>
      <c r="G103" s="4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3" s="4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7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7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7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8028</v>
      </c>
      <c r="O103" s="4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6"/>
      <c r="Q103" s="46"/>
      <c r="R103" s="46"/>
    </row>
    <row r="104" spans="1:18" s="97" customFormat="1" ht="21" customHeight="1" x14ac:dyDescent="0.15">
      <c r="A104" s="96" t="str">
        <f t="shared" si="10"/>
        <v>49005009_49005125</v>
      </c>
      <c r="B104" s="46">
        <v>49005009</v>
      </c>
      <c r="C104" s="46">
        <v>49005125</v>
      </c>
      <c r="D104" s="45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エレクトリックボイス！</v>
      </c>
      <c r="E104" s="45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4連続攻撃</v>
      </c>
      <c r="F104" s="46">
        <v>49005125</v>
      </c>
      <c r="G104" s="4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4" s="4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7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7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7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6"/>
      <c r="Q104" s="46"/>
      <c r="R104" s="46"/>
    </row>
    <row r="105" spans="1:18" s="97" customFormat="1" ht="21" customHeight="1" x14ac:dyDescent="0.15">
      <c r="A105" s="96" t="str">
        <f t="shared" si="10"/>
        <v>49005009_49005126</v>
      </c>
      <c r="B105" s="46">
        <v>49005009</v>
      </c>
      <c r="C105" s="46">
        <v>49005126</v>
      </c>
      <c r="D105" s="45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超高周波ボイス！</v>
      </c>
      <c r="E105" s="45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連続攻撃＋１ターンスキルが使えない！</v>
      </c>
      <c r="F105" s="46">
        <v>49005126</v>
      </c>
      <c r="G105" s="4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5" s="4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7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7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7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5" s="47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6"/>
      <c r="Q105" s="46"/>
      <c r="R105" s="46"/>
    </row>
    <row r="106" spans="1:18" s="97" customFormat="1" ht="21" customHeight="1" x14ac:dyDescent="0.15">
      <c r="A106" s="96" t="str">
        <f t="shared" si="10"/>
        <v>49005009_49005127</v>
      </c>
      <c r="B106" s="46">
        <v>49005009</v>
      </c>
      <c r="C106" s="46">
        <v>49005127</v>
      </c>
      <c r="D106" s="4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まとめて攻撃！</v>
      </c>
      <c r="E106" s="4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種族Unknown以外に大ダメージ！</v>
      </c>
      <c r="F106" s="46">
        <v>49005127</v>
      </c>
      <c r="G106" s="4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6" s="4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06" s="47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7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7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06" s="46"/>
      <c r="Q106" s="46"/>
      <c r="R106" s="46"/>
    </row>
    <row r="107" spans="1:18" s="97" customFormat="1" ht="21" customHeight="1" x14ac:dyDescent="0.15">
      <c r="A107" s="96" t="str">
        <f t="shared" si="10"/>
        <v>49005009_49005128</v>
      </c>
      <c r="B107" s="46">
        <v>49005009</v>
      </c>
      <c r="C107" s="46">
        <v>49005128</v>
      </c>
      <c r="D107" s="45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ここから変拍子！</v>
      </c>
      <c r="E107" s="45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3ターン行動頻度UP</v>
      </c>
      <c r="F107" s="46">
        <v>49005128</v>
      </c>
      <c r="G107" s="4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07" s="4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7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7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07" s="47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6"/>
      <c r="Q107" s="46"/>
      <c r="R107" s="46"/>
    </row>
    <row r="108" spans="1:18" s="97" customFormat="1" ht="21" customHeight="1" x14ac:dyDescent="0.15">
      <c r="A108" s="96" t="str">
        <f t="shared" si="10"/>
        <v>49005009_49005129</v>
      </c>
      <c r="B108" s="46">
        <v>49005009</v>
      </c>
      <c r="C108" s="46">
        <v>49005129</v>
      </c>
      <c r="D108" s="45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ワタシは負けない！</v>
      </c>
      <c r="E108" s="45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8" s="46">
        <v>49005129</v>
      </c>
      <c r="G108" s="4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08" s="4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7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7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18</v>
      </c>
      <c r="N108" s="47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6"/>
      <c r="Q108" s="46"/>
      <c r="R108" s="46"/>
    </row>
    <row r="109" spans="1:18" s="97" customFormat="1" ht="21" customHeight="1" x14ac:dyDescent="0.15">
      <c r="A109" s="96" t="str">
        <f t="shared" si="10"/>
        <v>49005009_49005130</v>
      </c>
      <c r="B109" s="46">
        <v>49005009</v>
      </c>
      <c r="C109" s="46">
        <v>49005130</v>
      </c>
      <c r="D109" s="45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回復なんてさせない！</v>
      </c>
      <c r="E109" s="45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3ターンハートパネルが出現しない＆時限式タメージパネル出現</v>
      </c>
      <c r="F109" s="46">
        <v>49005130</v>
      </c>
      <c r="G109" s="47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7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9" s="4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7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9" s="4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7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7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7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6"/>
      <c r="Q109" s="46"/>
      <c r="R109" s="46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11" sqref="G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148</v>
      </c>
      <c r="B1" s="63" t="s">
        <v>149</v>
      </c>
      <c r="C1" s="64" t="s">
        <v>150</v>
      </c>
      <c r="D1" s="70" t="s">
        <v>151</v>
      </c>
      <c r="E1" s="65" t="s">
        <v>152</v>
      </c>
      <c r="F1" s="63" t="s">
        <v>153</v>
      </c>
      <c r="G1" s="63" t="s">
        <v>154</v>
      </c>
      <c r="H1" s="63" t="s">
        <v>155</v>
      </c>
      <c r="I1" s="63" t="s">
        <v>156</v>
      </c>
      <c r="J1" s="63" t="s">
        <v>157</v>
      </c>
      <c r="K1" s="63" t="s">
        <v>158</v>
      </c>
      <c r="L1" s="63" t="s">
        <v>159</v>
      </c>
      <c r="M1" s="63" t="s">
        <v>160</v>
      </c>
      <c r="N1" s="63" t="s">
        <v>161</v>
      </c>
      <c r="O1" s="63" t="s">
        <v>162</v>
      </c>
      <c r="P1" s="63" t="s">
        <v>163</v>
      </c>
      <c r="Q1" s="63" t="s">
        <v>164</v>
      </c>
      <c r="R1" s="63" t="s">
        <v>165</v>
      </c>
    </row>
    <row r="2" spans="1:18" x14ac:dyDescent="0.15">
      <c r="A2" s="98">
        <v>49005</v>
      </c>
      <c r="B2" s="98">
        <v>1</v>
      </c>
      <c r="C2" s="98" t="str">
        <f t="shared" ref="C2:C11" si="0">A2&amp; "_"&amp;B2</f>
        <v>49005_1</v>
      </c>
      <c r="D2" s="98" t="str">
        <f>VLOOKUP(C2,[2]stages!$A:$AE,31,FALSE)</f>
        <v>everyone</v>
      </c>
      <c r="E2" s="98">
        <v>1</v>
      </c>
      <c r="F2" s="98" t="s">
        <v>166</v>
      </c>
      <c r="G2" s="98">
        <v>40000</v>
      </c>
      <c r="H2" s="98" t="s">
        <v>219</v>
      </c>
      <c r="I2" s="98">
        <v>1</v>
      </c>
      <c r="J2" s="98">
        <v>1</v>
      </c>
      <c r="K2" s="98">
        <v>0</v>
      </c>
      <c r="L2" s="98">
        <v>0</v>
      </c>
      <c r="M2" s="98">
        <v>0</v>
      </c>
      <c r="N2" s="98">
        <v>0</v>
      </c>
      <c r="O2" s="98">
        <v>1</v>
      </c>
      <c r="P2" s="98">
        <v>150</v>
      </c>
      <c r="Q2" s="98" t="s">
        <v>167</v>
      </c>
      <c r="R2" s="98" t="s">
        <v>168</v>
      </c>
    </row>
    <row r="3" spans="1:18" x14ac:dyDescent="0.15">
      <c r="A3" s="98">
        <v>49005</v>
      </c>
      <c r="B3" s="98">
        <v>1</v>
      </c>
      <c r="C3" s="98" t="str">
        <f t="shared" si="0"/>
        <v>49005_1</v>
      </c>
      <c r="D3" s="98" t="str">
        <f>VLOOKUP(C3,[2]stages!$A:$AE,31,FALSE)</f>
        <v>everyone</v>
      </c>
      <c r="E3" s="98">
        <v>2</v>
      </c>
      <c r="F3" s="98" t="s">
        <v>221</v>
      </c>
      <c r="G3" s="98">
        <v>30</v>
      </c>
      <c r="H3" s="98" t="s">
        <v>219</v>
      </c>
      <c r="I3" s="98">
        <v>1</v>
      </c>
      <c r="J3" s="98">
        <v>1</v>
      </c>
      <c r="K3" s="98">
        <v>0</v>
      </c>
      <c r="L3" s="98">
        <v>0</v>
      </c>
      <c r="M3" s="98">
        <v>0</v>
      </c>
      <c r="N3" s="98">
        <v>0</v>
      </c>
      <c r="O3" s="98">
        <v>1</v>
      </c>
      <c r="P3" s="98">
        <v>150</v>
      </c>
      <c r="Q3" s="98" t="s">
        <v>167</v>
      </c>
      <c r="R3" s="98" t="s">
        <v>168</v>
      </c>
    </row>
    <row r="4" spans="1:18" x14ac:dyDescent="0.15">
      <c r="A4" s="98">
        <v>49005</v>
      </c>
      <c r="B4" s="98">
        <v>1</v>
      </c>
      <c r="C4" s="98" t="str">
        <f t="shared" si="0"/>
        <v>49005_1</v>
      </c>
      <c r="D4" s="98" t="str">
        <f>VLOOKUP(C4,[2]stages!$A:$AE,31,FALSE)</f>
        <v>everyone</v>
      </c>
      <c r="E4" s="98">
        <v>3</v>
      </c>
      <c r="F4" s="98" t="s">
        <v>220</v>
      </c>
      <c r="G4" s="98">
        <v>345</v>
      </c>
      <c r="H4" s="98">
        <v>1</v>
      </c>
      <c r="I4" s="98">
        <v>1</v>
      </c>
      <c r="J4" s="98">
        <v>1</v>
      </c>
      <c r="K4" s="98">
        <v>0</v>
      </c>
      <c r="L4" s="98">
        <v>0</v>
      </c>
      <c r="M4" s="98">
        <v>0</v>
      </c>
      <c r="N4" s="98">
        <v>0</v>
      </c>
      <c r="O4" s="98">
        <v>1</v>
      </c>
      <c r="P4" s="98">
        <v>28</v>
      </c>
      <c r="Q4" s="98" t="s">
        <v>167</v>
      </c>
      <c r="R4" s="98" t="s">
        <v>168</v>
      </c>
    </row>
    <row r="5" spans="1:18" x14ac:dyDescent="0.15">
      <c r="A5" s="98">
        <v>49005</v>
      </c>
      <c r="B5" s="98">
        <v>1</v>
      </c>
      <c r="C5" s="98" t="str">
        <f t="shared" si="0"/>
        <v>49005_1</v>
      </c>
      <c r="D5" s="98" t="str">
        <f>VLOOKUP(C5,[2]stages!$A:$AE,31,FALSE)</f>
        <v>everyone</v>
      </c>
      <c r="E5" s="98">
        <v>4</v>
      </c>
      <c r="F5" s="98" t="s">
        <v>220</v>
      </c>
      <c r="G5" s="98">
        <v>346</v>
      </c>
      <c r="H5" s="98">
        <v>1</v>
      </c>
      <c r="I5" s="98">
        <v>1</v>
      </c>
      <c r="J5" s="98">
        <v>1</v>
      </c>
      <c r="K5" s="98">
        <v>0</v>
      </c>
      <c r="L5" s="98">
        <v>0</v>
      </c>
      <c r="M5" s="98">
        <v>0</v>
      </c>
      <c r="N5" s="98">
        <v>0</v>
      </c>
      <c r="O5" s="98">
        <v>1</v>
      </c>
      <c r="P5" s="98">
        <v>112</v>
      </c>
      <c r="Q5" s="98" t="s">
        <v>167</v>
      </c>
      <c r="R5" s="98" t="s">
        <v>168</v>
      </c>
    </row>
    <row r="6" spans="1:18" x14ac:dyDescent="0.15">
      <c r="A6" s="98">
        <v>49005</v>
      </c>
      <c r="B6" s="98">
        <v>1</v>
      </c>
      <c r="C6" s="98" t="str">
        <f t="shared" si="0"/>
        <v>49005_1</v>
      </c>
      <c r="D6" s="98" t="str">
        <f>VLOOKUP(C6,[2]stages!$A:$AE,31,FALSE)</f>
        <v>everyone</v>
      </c>
      <c r="E6" s="98">
        <v>5</v>
      </c>
      <c r="F6" s="98" t="s">
        <v>220</v>
      </c>
      <c r="G6" s="98">
        <v>121</v>
      </c>
      <c r="H6" s="98">
        <v>1</v>
      </c>
      <c r="I6" s="98">
        <v>1</v>
      </c>
      <c r="J6" s="98">
        <v>1</v>
      </c>
      <c r="K6" s="98">
        <v>0</v>
      </c>
      <c r="L6" s="98">
        <v>0</v>
      </c>
      <c r="M6" s="98">
        <v>0</v>
      </c>
      <c r="N6" s="98">
        <v>0</v>
      </c>
      <c r="O6" s="98">
        <v>1</v>
      </c>
      <c r="P6" s="98">
        <v>50</v>
      </c>
      <c r="Q6" s="98" t="s">
        <v>167</v>
      </c>
      <c r="R6" s="98" t="s">
        <v>168</v>
      </c>
    </row>
    <row r="7" spans="1:18" x14ac:dyDescent="0.15">
      <c r="A7" s="98">
        <v>49005</v>
      </c>
      <c r="B7" s="98">
        <v>1</v>
      </c>
      <c r="C7" s="98" t="str">
        <f t="shared" si="0"/>
        <v>49005_1</v>
      </c>
      <c r="D7" s="98" t="str">
        <f>VLOOKUP(C7,[2]stages!$A:$AE,31,FALSE)</f>
        <v>everyone</v>
      </c>
      <c r="E7" s="98">
        <v>6</v>
      </c>
      <c r="F7" s="98" t="s">
        <v>220</v>
      </c>
      <c r="G7" s="98">
        <v>122</v>
      </c>
      <c r="H7" s="98">
        <v>1</v>
      </c>
      <c r="I7" s="98">
        <v>1</v>
      </c>
      <c r="J7" s="98">
        <v>1</v>
      </c>
      <c r="K7" s="98">
        <v>0</v>
      </c>
      <c r="L7" s="98">
        <v>0</v>
      </c>
      <c r="M7" s="98">
        <v>0</v>
      </c>
      <c r="N7" s="98">
        <v>0</v>
      </c>
      <c r="O7" s="98">
        <v>1</v>
      </c>
      <c r="P7" s="98">
        <v>50</v>
      </c>
      <c r="Q7" s="98" t="s">
        <v>167</v>
      </c>
      <c r="R7" s="98" t="s">
        <v>168</v>
      </c>
    </row>
    <row r="8" spans="1:18" x14ac:dyDescent="0.15">
      <c r="A8" s="98">
        <v>49005</v>
      </c>
      <c r="B8" s="98">
        <v>1</v>
      </c>
      <c r="C8" s="98" t="str">
        <f t="shared" si="0"/>
        <v>49005_1</v>
      </c>
      <c r="D8" s="98" t="str">
        <f>VLOOKUP(C8,[2]stages!$A:$AE,31,FALSE)</f>
        <v>everyone</v>
      </c>
      <c r="E8" s="98">
        <v>7</v>
      </c>
      <c r="F8" s="98" t="s">
        <v>220</v>
      </c>
      <c r="G8" s="98">
        <v>123</v>
      </c>
      <c r="H8" s="98">
        <v>1</v>
      </c>
      <c r="I8" s="98">
        <v>1</v>
      </c>
      <c r="J8" s="98">
        <v>1</v>
      </c>
      <c r="K8" s="98">
        <v>0</v>
      </c>
      <c r="L8" s="98">
        <v>0</v>
      </c>
      <c r="M8" s="98">
        <v>0</v>
      </c>
      <c r="N8" s="98">
        <v>0</v>
      </c>
      <c r="O8" s="98">
        <v>1</v>
      </c>
      <c r="P8" s="98">
        <v>50</v>
      </c>
      <c r="Q8" s="98" t="s">
        <v>167</v>
      </c>
      <c r="R8" s="98" t="s">
        <v>168</v>
      </c>
    </row>
    <row r="9" spans="1:18" x14ac:dyDescent="0.15">
      <c r="A9" s="98">
        <v>49005</v>
      </c>
      <c r="B9" s="98">
        <v>1</v>
      </c>
      <c r="C9" s="98" t="str">
        <f t="shared" si="0"/>
        <v>49005_1</v>
      </c>
      <c r="D9" s="98" t="str">
        <f>VLOOKUP(C9,[2]stages!$A:$AE,31,FALSE)</f>
        <v>everyone</v>
      </c>
      <c r="E9" s="98">
        <v>8</v>
      </c>
      <c r="F9" s="98" t="s">
        <v>220</v>
      </c>
      <c r="G9" s="98">
        <v>125</v>
      </c>
      <c r="H9" s="98">
        <v>1</v>
      </c>
      <c r="I9" s="98">
        <v>1</v>
      </c>
      <c r="J9" s="98">
        <v>1</v>
      </c>
      <c r="K9" s="98">
        <v>0</v>
      </c>
      <c r="L9" s="98">
        <v>0</v>
      </c>
      <c r="M9" s="98">
        <v>0</v>
      </c>
      <c r="N9" s="98">
        <v>0</v>
      </c>
      <c r="O9" s="98">
        <v>1</v>
      </c>
      <c r="P9" s="98">
        <v>10</v>
      </c>
      <c r="Q9" s="98" t="s">
        <v>167</v>
      </c>
      <c r="R9" s="98" t="s">
        <v>168</v>
      </c>
    </row>
    <row r="10" spans="1:18" x14ac:dyDescent="0.15">
      <c r="A10" s="98">
        <v>49005</v>
      </c>
      <c r="B10" s="98">
        <v>1</v>
      </c>
      <c r="C10" s="98" t="str">
        <f t="shared" si="0"/>
        <v>49005_1</v>
      </c>
      <c r="D10" s="98" t="str">
        <f>VLOOKUP(C10,[2]stages!$A:$AE,31,FALSE)</f>
        <v>everyone</v>
      </c>
      <c r="E10" s="98">
        <v>9</v>
      </c>
      <c r="F10" s="98" t="s">
        <v>222</v>
      </c>
      <c r="G10" s="98">
        <v>8013</v>
      </c>
      <c r="H10" s="98">
        <v>1</v>
      </c>
      <c r="I10" s="98">
        <v>1</v>
      </c>
      <c r="J10" s="98">
        <v>1</v>
      </c>
      <c r="K10" s="98">
        <v>0</v>
      </c>
      <c r="L10" s="98">
        <v>0</v>
      </c>
      <c r="M10" s="98">
        <v>0</v>
      </c>
      <c r="N10" s="98">
        <v>0</v>
      </c>
      <c r="O10" s="98">
        <v>1</v>
      </c>
      <c r="P10" s="98">
        <v>250</v>
      </c>
      <c r="Q10" s="98" t="s">
        <v>167</v>
      </c>
      <c r="R10" s="98" t="s">
        <v>168</v>
      </c>
    </row>
    <row r="11" spans="1:18" x14ac:dyDescent="0.15">
      <c r="A11" s="98">
        <v>49005</v>
      </c>
      <c r="B11" s="98">
        <v>1</v>
      </c>
      <c r="C11" s="98" t="str">
        <f t="shared" si="0"/>
        <v>49005_1</v>
      </c>
      <c r="D11" s="98" t="str">
        <f>VLOOKUP(C11,[2]stages!$A:$AE,31,FALSE)</f>
        <v>everyone</v>
      </c>
      <c r="E11" s="98">
        <v>10</v>
      </c>
      <c r="F11" s="98" t="s">
        <v>222</v>
      </c>
      <c r="G11" s="98">
        <v>354</v>
      </c>
      <c r="H11" s="98">
        <v>1</v>
      </c>
      <c r="I11" s="98">
        <v>1</v>
      </c>
      <c r="J11" s="98">
        <v>1</v>
      </c>
      <c r="K11" s="98">
        <v>0</v>
      </c>
      <c r="L11" s="98">
        <v>0</v>
      </c>
      <c r="M11" s="98">
        <v>0</v>
      </c>
      <c r="N11" s="98">
        <v>0</v>
      </c>
      <c r="O11" s="98">
        <v>1</v>
      </c>
      <c r="P11" s="98">
        <v>150</v>
      </c>
      <c r="Q11" s="98" t="s">
        <v>167</v>
      </c>
      <c r="R11" s="98" t="s">
        <v>168</v>
      </c>
    </row>
  </sheetData>
  <phoneticPr fontId="6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J15" sqref="J1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175</v>
      </c>
      <c r="B1" s="71" t="s">
        <v>176</v>
      </c>
      <c r="C1" s="76" t="s">
        <v>18</v>
      </c>
      <c r="D1" s="76" t="s">
        <v>33</v>
      </c>
      <c r="E1" s="71" t="s">
        <v>306</v>
      </c>
      <c r="F1" s="76" t="s">
        <v>307</v>
      </c>
      <c r="G1" s="76" t="s">
        <v>33</v>
      </c>
      <c r="H1" s="71" t="s">
        <v>308</v>
      </c>
      <c r="I1" s="90" t="s">
        <v>309</v>
      </c>
      <c r="J1" s="78" t="s">
        <v>310</v>
      </c>
      <c r="K1" s="77" t="s">
        <v>311</v>
      </c>
      <c r="L1" s="91" t="s">
        <v>312</v>
      </c>
      <c r="M1" s="79" t="s">
        <v>313</v>
      </c>
    </row>
    <row r="2" spans="1:13" x14ac:dyDescent="0.15">
      <c r="A2" s="80" t="s">
        <v>188</v>
      </c>
      <c r="B2" s="81">
        <v>49005</v>
      </c>
      <c r="C2" s="82" t="str">
        <f ca="1">VLOOKUP($B2,OFFSET([2]quests!$A$1,0,0,COUNTA([2]quests!$A:$A),MATCH(C$1,[2]quests!$1:$1,0)-MATCH($B$1,[2]quests!$1:$1,0)+1),MATCH(C$1,[2]quests!$1:$1,0)-MATCH($B$1,[2]quests!$1:$1,0)+1,FALSE)</f>
        <v>襲来クエスト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コラボ降臨5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コラボ降臨5</v>
      </c>
      <c r="H2" s="84">
        <v>0</v>
      </c>
      <c r="I2">
        <v>12</v>
      </c>
      <c r="J2" s="83" t="s">
        <v>317</v>
      </c>
      <c r="K2" s="92" t="str">
        <f>VLOOKUP(I2,[6]stage_hints!$A:$C,3,FALSE)</f>
        <v>ユニットのお気に入り登録</v>
      </c>
      <c r="L2" s="104" t="str">
        <f>VLOOKUP(I2,[6]stage_hints!$A:$D,4,FALSE)</f>
        <v>大事なユニットを誤って消さないように_x000D_フォルダから「お気に入り登録」しましょう</v>
      </c>
      <c r="M2" s="56" t="s">
        <v>314</v>
      </c>
    </row>
    <row r="3" spans="1:13" x14ac:dyDescent="0.15">
      <c r="A3" s="80" t="s">
        <v>188</v>
      </c>
      <c r="B3" s="81">
        <v>49005</v>
      </c>
      <c r="C3" s="82" t="str">
        <f ca="1">VLOOKUP($B3,OFFSET([2]quests!$A$1,0,0,COUNTA([2]quests!$A:$A),MATCH(C$1,[2]quests!$1:$1,0)-MATCH($B$1,[2]quests!$1:$1,0)+1),MATCH(C$1,[2]quests!$1:$1,0)-MATCH($B$1,[2]quests!$1:$1,0)+1,FALSE)</f>
        <v>襲来クエスト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コラボ降臨5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コラボ降臨5</v>
      </c>
      <c r="H3" s="84">
        <v>0</v>
      </c>
      <c r="I3">
        <v>17</v>
      </c>
      <c r="J3" s="83" t="s">
        <v>185</v>
      </c>
      <c r="K3" s="92" t="str">
        <f>VLOOKUP(I3,[6]stage_hints!$A:$C,3,FALSE)</f>
        <v>リンクガチャ</v>
      </c>
      <c r="L3" s="104" t="str">
        <f>VLOOKUP(I3,[6]stage_hints!$A:$D,4,FALSE)</f>
        <v>無料のリンクガチャを回して_x000D_経験値素材や売却素材を獲得しましょう</v>
      </c>
      <c r="M3" s="56" t="s">
        <v>318</v>
      </c>
    </row>
    <row r="4" spans="1:13" x14ac:dyDescent="0.15">
      <c r="A4" s="80" t="s">
        <v>188</v>
      </c>
      <c r="B4" s="81">
        <v>49005</v>
      </c>
      <c r="C4" s="82" t="str">
        <f ca="1">VLOOKUP($B4,OFFSET([2]quests!$A$1,0,0,COUNTA([2]quests!$A:$A),MATCH(C$1,[2]quests!$1:$1,0)-MATCH($B$1,[2]quests!$1:$1,0)+1),MATCH(C$1,[2]quests!$1:$1,0)-MATCH($B$1,[2]quests!$1:$1,0)+1,FALSE)</f>
        <v>襲来クエスト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コラボ降臨5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コラボ降臨5</v>
      </c>
      <c r="H4" s="84">
        <v>0</v>
      </c>
      <c r="I4">
        <v>19</v>
      </c>
      <c r="J4" s="83" t="s">
        <v>185</v>
      </c>
      <c r="K4" s="92" t="str">
        <f>VLOOKUP(I4,[6]stage_hints!$A:$C,3,FALSE)</f>
        <v>ソロ専用チャレンジタワー</v>
      </c>
      <c r="L4" s="104" t="str">
        <f>VLOOKUP(I4,[6]stage_hints!$A:$D,4,FALSE)</f>
        <v>ソロ専用の「チャレンジタワー」では_x000D_各フロアごとにクリア報酬がもらえます</v>
      </c>
      <c r="M4" s="56" t="s">
        <v>187</v>
      </c>
    </row>
    <row r="5" spans="1:13" x14ac:dyDescent="0.15">
      <c r="A5" s="80" t="s">
        <v>188</v>
      </c>
      <c r="B5" s="81">
        <v>49005</v>
      </c>
      <c r="C5" s="82" t="str">
        <f ca="1">VLOOKUP($B5,OFFSET([2]quests!$A$1,0,0,COUNTA([2]quests!$A:$A),MATCH(C$1,[2]quests!$1:$1,0)-MATCH($B$1,[2]quests!$1:$1,0)+1),MATCH(C$1,[2]quests!$1:$1,0)-MATCH($B$1,[2]quests!$1:$1,0)+1,FALSE)</f>
        <v>襲来クエスト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コラボ降臨5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コラボ降臨5</v>
      </c>
      <c r="H5" s="84">
        <v>0</v>
      </c>
      <c r="I5">
        <v>21</v>
      </c>
      <c r="J5" s="83" t="s">
        <v>185</v>
      </c>
      <c r="K5" s="92" t="str">
        <f>VLOOKUP(I5,[6]stage_hints!$A:$C,3,FALSE)</f>
        <v>スキルを有効に</v>
      </c>
      <c r="L5" s="104" t="str">
        <f>VLOOKUP(I5,[6]stage_hints!$A:$D,4,FALSE)</f>
        <v>ターン経過でユニットのスキルが使えます_x000D_強力スキルでバトルを有利に進めましょう</v>
      </c>
      <c r="M5" s="56" t="s">
        <v>319</v>
      </c>
    </row>
    <row r="6" spans="1:13" x14ac:dyDescent="0.15">
      <c r="A6" s="80" t="s">
        <v>188</v>
      </c>
      <c r="B6" s="81">
        <v>49005</v>
      </c>
      <c r="C6" s="82" t="str">
        <f ca="1">VLOOKUP($B6,OFFSET([2]quests!$A$1,0,0,COUNTA([2]quests!$A:$A),MATCH(C$1,[2]quests!$1:$1,0)-MATCH($B$1,[2]quests!$1:$1,0)+1),MATCH(C$1,[2]quests!$1:$1,0)-MATCH($B$1,[2]quests!$1:$1,0)+1,FALSE)</f>
        <v>襲来クエスト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コラボ降臨5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コラボ降臨5</v>
      </c>
      <c r="H6" s="84">
        <v>0</v>
      </c>
      <c r="I6">
        <v>29</v>
      </c>
      <c r="J6" s="83" t="s">
        <v>315</v>
      </c>
      <c r="K6" s="92" t="str">
        <f>VLOOKUP(I6,[6]stage_hints!$A:$C,3,FALSE)</f>
        <v>「バグ」のメリット</v>
      </c>
      <c r="L6" s="104" t="str">
        <f>VLOOKUP(I6,[6]stage_hints!$A:$D,4,FALSE)</f>
        <v>ユニットの「バグ」を増やすと_x000D_報酬をもらえる確率がアップします</v>
      </c>
      <c r="M6" s="56" t="s">
        <v>320</v>
      </c>
    </row>
    <row r="7" spans="1:13" x14ac:dyDescent="0.15">
      <c r="A7" s="80" t="s">
        <v>188</v>
      </c>
      <c r="B7" s="81">
        <v>49005</v>
      </c>
      <c r="C7" s="82" t="str">
        <f ca="1">VLOOKUP($B7,OFFSET([2]quests!$A$1,0,0,COUNTA([2]quests!$A:$A),MATCH(C$1,[2]quests!$1:$1,0)-MATCH($B$1,[2]quests!$1:$1,0)+1),MATCH(C$1,[2]quests!$1:$1,0)-MATCH($B$1,[2]quests!$1:$1,0)+1,FALSE)</f>
        <v>襲来クエスト</v>
      </c>
      <c r="D7" s="82" t="str">
        <f ca="1">VLOOKUP($B7,OFFSET([2]quests!$A$1,0,0,COUNTA([2]quests!$A:$A),MATCH(D$1,[2]quests!$1:$1,0)-MATCH($B$1,[2]quests!$1:$1,0)+1),MATCH(D$1,[2]quests!$1:$1,0)-MATCH($B$1,[2]quests!$1:$1,0)+1,FALSE)</f>
        <v>コラボ降臨5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コラボ降臨5</v>
      </c>
      <c r="H7" s="84">
        <v>0</v>
      </c>
      <c r="I7">
        <v>30</v>
      </c>
      <c r="J7" s="83" t="s">
        <v>321</v>
      </c>
      <c r="K7" s="92" t="str">
        <f>VLOOKUP(I7,[6]stage_hints!$A:$C,3,FALSE)</f>
        <v>「バグ」の増やし方</v>
      </c>
      <c r="L7" s="104" t="str">
        <f>VLOOKUP(I7,[6]stage_hints!$A:$D,4,FALSE)</f>
        <v>同じユニット同士を強化で合成すると_x000D_「バグ」を増やすことができます</v>
      </c>
      <c r="M7" s="56" t="s">
        <v>319</v>
      </c>
    </row>
    <row r="8" spans="1:13" x14ac:dyDescent="0.15">
      <c r="A8" s="80" t="s">
        <v>188</v>
      </c>
      <c r="B8" s="81">
        <v>49005</v>
      </c>
      <c r="C8" s="82" t="str">
        <f ca="1">VLOOKUP($B8,OFFSET([2]quests!$A$1,0,0,COUNTA([2]quests!$A:$A),MATCH(C$1,[2]quests!$1:$1,0)-MATCH($B$1,[2]quests!$1:$1,0)+1),MATCH(C$1,[2]quests!$1:$1,0)-MATCH($B$1,[2]quests!$1:$1,0)+1,FALSE)</f>
        <v>襲来クエスト</v>
      </c>
      <c r="D8" s="82" t="str">
        <f ca="1">VLOOKUP($B8,OFFSET([2]quests!$A$1,0,0,COUNTA([2]quests!$A:$A),MATCH(D$1,[2]quests!$1:$1,0)-MATCH($B$1,[2]quests!$1:$1,0)+1),MATCH(D$1,[2]quests!$1:$1,0)-MATCH($B$1,[2]quests!$1:$1,0)+1,FALSE)</f>
        <v>コラボ降臨5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コラボ降臨5</v>
      </c>
      <c r="H8" s="84">
        <v>0</v>
      </c>
      <c r="I8">
        <v>32</v>
      </c>
      <c r="J8" s="83" t="s">
        <v>315</v>
      </c>
      <c r="K8" s="92" t="str">
        <f>VLOOKUP(I8,[6]stage_hints!$A:$C,3,FALSE)</f>
        <v>敵の連続攻撃には</v>
      </c>
      <c r="L8" s="104" t="str">
        <f>VLOOKUP(I8,[6]stage_hints!$A:$D,4,FALSE)</f>
        <v>カウンタースキルを持つユニットがいれば_x000D_ダメージ回数分の反撃ができます</v>
      </c>
      <c r="M8" s="56" t="s">
        <v>320</v>
      </c>
    </row>
    <row r="9" spans="1:13" x14ac:dyDescent="0.15">
      <c r="A9" s="80" t="s">
        <v>188</v>
      </c>
      <c r="B9" s="81">
        <v>49005</v>
      </c>
      <c r="C9" s="82" t="str">
        <f ca="1">VLOOKUP($B9,OFFSET([2]quests!$A$1,0,0,COUNTA([2]quests!$A:$A),MATCH(C$1,[2]quests!$1:$1,0)-MATCH($B$1,[2]quests!$1:$1,0)+1),MATCH(C$1,[2]quests!$1:$1,0)-MATCH($B$1,[2]quests!$1:$1,0)+1,FALSE)</f>
        <v>襲来クエスト</v>
      </c>
      <c r="D9" s="82" t="str">
        <f ca="1">VLOOKUP($B9,OFFSET([2]quests!$A$1,0,0,COUNTA([2]quests!$A:$A),MATCH(D$1,[2]quests!$1:$1,0)-MATCH($B$1,[2]quests!$1:$1,0)+1),MATCH(D$1,[2]quests!$1:$1,0)-MATCH($B$1,[2]quests!$1:$1,0)+1,FALSE)</f>
        <v>コラボ降臨5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コラボ降臨5</v>
      </c>
      <c r="H9" s="84">
        <v>0</v>
      </c>
      <c r="I9">
        <v>33</v>
      </c>
      <c r="J9" s="83" t="s">
        <v>321</v>
      </c>
      <c r="K9" s="92" t="str">
        <f>VLOOKUP(I9,[6]stage_hints!$A:$C,3,FALSE)</f>
        <v>敵のカウンター攻撃には</v>
      </c>
      <c r="L9" s="104" t="str">
        <f>VLOOKUP(I9,[6]stage_hints!$A:$D,4,FALSE)</f>
        <v>カウンターブレイクスキルを持っていれば_x000D_敵のカウンターを解除して攻撃ができます</v>
      </c>
      <c r="M9" s="56" t="s">
        <v>187</v>
      </c>
    </row>
    <row r="10" spans="1:13" x14ac:dyDescent="0.15">
      <c r="A10" s="80" t="s">
        <v>188</v>
      </c>
      <c r="B10" s="81">
        <v>49005</v>
      </c>
      <c r="C10" s="82" t="str">
        <f ca="1">VLOOKUP($B10,OFFSET([2]quests!$A$1,0,0,COUNTA([2]quests!$A:$A),MATCH(C$1,[2]quests!$1:$1,0)-MATCH($B$1,[2]quests!$1:$1,0)+1),MATCH(C$1,[2]quests!$1:$1,0)-MATCH($B$1,[2]quests!$1:$1,0)+1,FALSE)</f>
        <v>襲来クエスト</v>
      </c>
      <c r="D10" s="82" t="str">
        <f ca="1">VLOOKUP($B10,OFFSET([2]quests!$A$1,0,0,COUNTA([2]quests!$A:$A),MATCH(D$1,[2]quests!$1:$1,0)-MATCH($B$1,[2]quests!$1:$1,0)+1),MATCH(D$1,[2]quests!$1:$1,0)-MATCH($B$1,[2]quests!$1:$1,0)+1,FALSE)</f>
        <v>コラボ降臨5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コラボ降臨5</v>
      </c>
      <c r="H10" s="84">
        <v>0</v>
      </c>
      <c r="I10">
        <v>34</v>
      </c>
      <c r="J10" s="83" t="s">
        <v>185</v>
      </c>
      <c r="K10" s="92" t="str">
        <f>VLOOKUP(I10,[6]stage_hints!$A:$C,3,FALSE)</f>
        <v>ステータスをスキルで下げられたら</v>
      </c>
      <c r="L10" s="104" t="str">
        <f>VLOOKUP(I10,[6]stage_hints!$A:$D,4,FALSE)</f>
        <v>ステータスダウンのスキルを受けたら_x000D_ステータスアップスキルで上書きしましょう</v>
      </c>
      <c r="M10" s="56" t="s">
        <v>322</v>
      </c>
    </row>
    <row r="11" spans="1:13" x14ac:dyDescent="0.15">
      <c r="A11" s="80" t="s">
        <v>188</v>
      </c>
      <c r="B11" s="81">
        <v>49005</v>
      </c>
      <c r="C11" s="82" t="str">
        <f ca="1">VLOOKUP($B11,OFFSET([2]quests!$A$1,0,0,COUNTA([2]quests!$A:$A),MATCH(C$1,[2]quests!$1:$1,0)-MATCH($B$1,[2]quests!$1:$1,0)+1),MATCH(C$1,[2]quests!$1:$1,0)-MATCH($B$1,[2]quests!$1:$1,0)+1,FALSE)</f>
        <v>襲来クエスト</v>
      </c>
      <c r="D11" s="82" t="str">
        <f ca="1">VLOOKUP($B11,OFFSET([2]quests!$A$1,0,0,COUNTA([2]quests!$A:$A),MATCH(D$1,[2]quests!$1:$1,0)-MATCH($B$1,[2]quests!$1:$1,0)+1),MATCH(D$1,[2]quests!$1:$1,0)-MATCH($B$1,[2]quests!$1:$1,0)+1,FALSE)</f>
        <v>コラボ降臨5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コラボ降臨5</v>
      </c>
      <c r="H11" s="84">
        <v>0</v>
      </c>
      <c r="I11">
        <v>35</v>
      </c>
      <c r="J11" s="83" t="s">
        <v>315</v>
      </c>
      <c r="K11" s="92" t="str">
        <f>VLOOKUP(I11,[6]stage_hints!$A:$C,3,FALSE)</f>
        <v>敵のステータスがスキルで上がったら</v>
      </c>
      <c r="L11" s="104" t="str">
        <f>VLOOKUP(I11,[6]stage_hints!$A:$D,4,FALSE)</f>
        <v>敵のステータスがスキルでアップしたときは_x000D_ステータスダウンスキルで上書きしましょう</v>
      </c>
      <c r="M11" s="56" t="s">
        <v>322</v>
      </c>
    </row>
    <row r="12" spans="1:13" x14ac:dyDescent="0.15">
      <c r="A12" s="80" t="s">
        <v>188</v>
      </c>
      <c r="B12" s="81">
        <v>49005</v>
      </c>
      <c r="C12" s="82" t="str">
        <f ca="1">VLOOKUP($B12,OFFSET([2]quests!$A$1,0,0,COUNTA([2]quests!$A:$A),MATCH(C$1,[2]quests!$1:$1,0)-MATCH($B$1,[2]quests!$1:$1,0)+1),MATCH(C$1,[2]quests!$1:$1,0)-MATCH($B$1,[2]quests!$1:$1,0)+1,FALSE)</f>
        <v>襲来クエスト</v>
      </c>
      <c r="D12" s="82" t="str">
        <f ca="1">VLOOKUP($B12,OFFSET([2]quests!$A$1,0,0,COUNTA([2]quests!$A:$A),MATCH(D$1,[2]quests!$1:$1,0)-MATCH($B$1,[2]quests!$1:$1,0)+1),MATCH(D$1,[2]quests!$1:$1,0)-MATCH($B$1,[2]quests!$1:$1,0)+1,FALSE)</f>
        <v>コラボ降臨5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コラボ降臨5</v>
      </c>
      <c r="H12" s="84">
        <v>0</v>
      </c>
      <c r="I12">
        <v>36</v>
      </c>
      <c r="J12" s="83" t="s">
        <v>315</v>
      </c>
      <c r="K12" s="92" t="str">
        <f>VLOOKUP(I12,[6]stage_hints!$A:$C,3,FALSE)</f>
        <v>チャレンジタワーのボス</v>
      </c>
      <c r="L12" s="104" t="str">
        <f>VLOOKUP(I12,[6]stage_hints!$A:$D,4,FALSE)</f>
        <v>チャレンジタワーでのみ登場するボスは_x000D_一定確率で獲得することができます</v>
      </c>
      <c r="M12" s="56" t="s">
        <v>314</v>
      </c>
    </row>
    <row r="13" spans="1:13" x14ac:dyDescent="0.15">
      <c r="A13" s="80" t="s">
        <v>188</v>
      </c>
      <c r="B13" s="81">
        <v>49005</v>
      </c>
      <c r="C13" s="82" t="str">
        <f ca="1">VLOOKUP($B13,OFFSET([2]quests!$A$1,0,0,COUNTA([2]quests!$A:$A),MATCH(C$1,[2]quests!$1:$1,0)-MATCH($B$1,[2]quests!$1:$1,0)+1),MATCH(C$1,[2]quests!$1:$1,0)-MATCH($B$1,[2]quests!$1:$1,0)+1,FALSE)</f>
        <v>襲来クエスト</v>
      </c>
      <c r="D13" s="82" t="str">
        <f ca="1">VLOOKUP($B13,OFFSET([2]quests!$A$1,0,0,COUNTA([2]quests!$A:$A),MATCH(D$1,[2]quests!$1:$1,0)-MATCH($B$1,[2]quests!$1:$1,0)+1),MATCH(D$1,[2]quests!$1:$1,0)-MATCH($B$1,[2]quests!$1:$1,0)+1,FALSE)</f>
        <v>コラボ降臨5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コラボ降臨5</v>
      </c>
      <c r="H13" s="84">
        <v>0</v>
      </c>
      <c r="I13">
        <v>37</v>
      </c>
      <c r="J13" s="83" t="s">
        <v>185</v>
      </c>
      <c r="K13" s="92" t="str">
        <f>VLOOKUP(I13,[6]stage_hints!$A:$C,3,FALSE)</f>
        <v>限界突破値の引き継ぎ</v>
      </c>
      <c r="L13" s="104" t="str">
        <f>VLOOKUP(I13,[6]stage_hints!$A:$D,4,FALSE)</f>
        <v>同じユニットを強化で合成すると_x000D_限界突破値を引き継げます（覚醒前後も可）</v>
      </c>
      <c r="M13" s="56" t="s">
        <v>316</v>
      </c>
    </row>
    <row r="14" spans="1:13" x14ac:dyDescent="0.15">
      <c r="A14" s="80" t="s">
        <v>188</v>
      </c>
      <c r="B14" s="81">
        <v>49005</v>
      </c>
      <c r="C14" s="82" t="str">
        <f ca="1">VLOOKUP($B14,OFFSET([2]quests!$A$1,0,0,COUNTA([2]quests!$A:$A),MATCH(C$1,[2]quests!$1:$1,0)-MATCH($B$1,[2]quests!$1:$1,0)+1),MATCH(C$1,[2]quests!$1:$1,0)-MATCH($B$1,[2]quests!$1:$1,0)+1,FALSE)</f>
        <v>襲来クエスト</v>
      </c>
      <c r="D14" s="82" t="str">
        <f ca="1">VLOOKUP($B14,OFFSET([2]quests!$A$1,0,0,COUNTA([2]quests!$A:$A),MATCH(D$1,[2]quests!$1:$1,0)-MATCH($B$1,[2]quests!$1:$1,0)+1),MATCH(D$1,[2]quests!$1:$1,0)-MATCH($B$1,[2]quests!$1:$1,0)+1,FALSE)</f>
        <v>コラボ降臨5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コラボ降臨5</v>
      </c>
      <c r="H14" s="84">
        <v>0</v>
      </c>
      <c r="I14">
        <v>39</v>
      </c>
      <c r="J14" s="83" t="s">
        <v>185</v>
      </c>
      <c r="K14" s="92" t="str">
        <f>VLOOKUP(I14,[6]stage_hints!$A:$C,3,FALSE)</f>
        <v>システム適合者を確認</v>
      </c>
      <c r="L14" s="104" t="str">
        <f>VLOOKUP(I14,[6]stage_hints!$A:$D,4,FALSE)</f>
        <v>ALICEが「アナタ」を呼んでいます</v>
      </c>
      <c r="M14" s="56" t="s">
        <v>316</v>
      </c>
    </row>
  </sheetData>
  <phoneticPr fontId="6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H5" sqref="H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7.1640625" customWidth="1"/>
    <col min="13" max="13" width="42.6640625" customWidth="1"/>
  </cols>
  <sheetData>
    <row r="1" spans="1:14" x14ac:dyDescent="0.15">
      <c r="A1" s="75" t="s">
        <v>175</v>
      </c>
      <c r="B1" s="71" t="s">
        <v>176</v>
      </c>
      <c r="C1" s="76" t="s">
        <v>177</v>
      </c>
      <c r="D1" s="76" t="s">
        <v>33</v>
      </c>
      <c r="E1" s="71" t="s">
        <v>178</v>
      </c>
      <c r="F1" s="76" t="s">
        <v>179</v>
      </c>
      <c r="G1" s="76" t="s">
        <v>33</v>
      </c>
      <c r="H1" s="71" t="s">
        <v>180</v>
      </c>
      <c r="I1" s="88" t="s">
        <v>181</v>
      </c>
      <c r="J1" s="90" t="s">
        <v>182</v>
      </c>
      <c r="K1" s="78" t="s">
        <v>124</v>
      </c>
      <c r="L1" s="77" t="s">
        <v>174</v>
      </c>
      <c r="M1" s="91" t="s">
        <v>173</v>
      </c>
      <c r="N1" s="79" t="s">
        <v>183</v>
      </c>
    </row>
    <row r="2" spans="1:14" ht="42" x14ac:dyDescent="0.15">
      <c r="A2" s="80" t="s">
        <v>184</v>
      </c>
      <c r="B2" s="81">
        <f>floors!$C$2</f>
        <v>49005</v>
      </c>
      <c r="C2" s="82" t="str">
        <f ca="1">VLOOKUP($B2,OFFSET([2]quests!$A$1,0,0,COUNTA([2]quests!$A:$A),MATCH(C$1,[2]quests!$1:$1,0)-MATCH($B$1,[2]quests!$1:$1,0)+1),MATCH(C$1,[2]quests!$1:$1,0)-MATCH($B$1,[2]quests!$1:$1,0)+1,FALSE)</f>
        <v>襲来クエスト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コラボ降臨5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コラボ降臨5</v>
      </c>
      <c r="H2" s="84">
        <v>1</v>
      </c>
      <c r="I2" s="89">
        <f>ROW()-1</f>
        <v>1</v>
      </c>
      <c r="J2" s="85" t="str">
        <f>B2&amp;TEXT(I2,"00")</f>
        <v>4900501</v>
      </c>
      <c r="K2" s="83" t="s">
        <v>185</v>
      </c>
      <c r="L2" s="86" t="s">
        <v>186</v>
      </c>
      <c r="M2" s="103" t="s">
        <v>293</v>
      </c>
      <c r="N2" s="56" t="s">
        <v>187</v>
      </c>
    </row>
    <row r="3" spans="1:14" ht="56" x14ac:dyDescent="0.15">
      <c r="A3" s="80" t="s">
        <v>184</v>
      </c>
      <c r="B3" s="81">
        <f>floors!$C$2</f>
        <v>49005</v>
      </c>
      <c r="C3" s="82" t="str">
        <f ca="1">VLOOKUP($B3,OFFSET([2]quests!$A$1,0,0,COUNTA([2]quests!$A:$A),MATCH(C$1,[2]quests!$1:$1,0)-MATCH($B$1,[2]quests!$1:$1,0)+1),MATCH(C$1,[2]quests!$1:$1,0)-MATCH($B$1,[2]quests!$1:$1,0)+1,FALSE)</f>
        <v>襲来クエスト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コラボ降臨5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コラボ降臨5</v>
      </c>
      <c r="H3" s="84">
        <v>2</v>
      </c>
      <c r="I3" s="89">
        <f t="shared" ref="I3:I6" si="0">ROW()-1</f>
        <v>2</v>
      </c>
      <c r="J3" s="85" t="str">
        <f t="shared" ref="J3:J5" si="1">B3&amp;TEXT(I3,"00")</f>
        <v>4900502</v>
      </c>
      <c r="K3" s="83" t="s">
        <v>185</v>
      </c>
      <c r="L3" s="86" t="s">
        <v>186</v>
      </c>
      <c r="M3" s="103" t="s">
        <v>292</v>
      </c>
      <c r="N3" s="56" t="s">
        <v>187</v>
      </c>
    </row>
    <row r="4" spans="1:14" ht="42" x14ac:dyDescent="0.15">
      <c r="A4" s="80" t="s">
        <v>184</v>
      </c>
      <c r="B4" s="81">
        <f>floors!$C$2</f>
        <v>49005</v>
      </c>
      <c r="C4" s="82" t="str">
        <f ca="1">VLOOKUP($B4,OFFSET([2]quests!$A$1,0,0,COUNTA([2]quests!$A:$A),MATCH(C$1,[2]quests!$1:$1,0)-MATCH($B$1,[2]quests!$1:$1,0)+1),MATCH(C$1,[2]quests!$1:$1,0)-MATCH($B$1,[2]quests!$1:$1,0)+1,FALSE)</f>
        <v>襲来クエスト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コラボ降臨5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コラボ降臨5</v>
      </c>
      <c r="H4" s="84">
        <v>3</v>
      </c>
      <c r="I4" s="89">
        <f t="shared" si="0"/>
        <v>3</v>
      </c>
      <c r="J4" s="85" t="str">
        <f t="shared" si="1"/>
        <v>4900503</v>
      </c>
      <c r="K4" s="83" t="s">
        <v>185</v>
      </c>
      <c r="L4" s="86" t="s">
        <v>186</v>
      </c>
      <c r="M4" s="103" t="s">
        <v>352</v>
      </c>
      <c r="N4" s="56" t="s">
        <v>187</v>
      </c>
    </row>
    <row r="5" spans="1:14" ht="56" x14ac:dyDescent="0.15">
      <c r="A5" s="80" t="s">
        <v>184</v>
      </c>
      <c r="B5" s="81">
        <f>floors!$C$2</f>
        <v>49005</v>
      </c>
      <c r="C5" s="82" t="str">
        <f ca="1">VLOOKUP($B5,OFFSET([2]quests!$A$1,0,0,COUNTA([2]quests!$A:$A),MATCH(C$1,[2]quests!$1:$1,0)-MATCH($B$1,[2]quests!$1:$1,0)+1),MATCH(C$1,[2]quests!$1:$1,0)-MATCH($B$1,[2]quests!$1:$1,0)+1,FALSE)</f>
        <v>襲来クエスト</v>
      </c>
      <c r="D5" s="82" t="str">
        <f ca="1">VLOOKUP($B5,OFFSET([2]quests!$A$1,0,0,COUNTA([2]quests!$A:$A),MATCH(D$1,[2]quests!$1:$1,0)-MATCH($B$1,[2]quests!$1:$1,0)+1),MATCH(D$1,[2]quests!$1:$1,0)-MATCH($B$1,[2]quests!$1:$1,0)+1,FALSE)</f>
        <v>コラボ降臨5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コラボ降臨5</v>
      </c>
      <c r="H5" s="84">
        <v>4</v>
      </c>
      <c r="I5" s="89">
        <f t="shared" si="0"/>
        <v>4</v>
      </c>
      <c r="J5" s="85" t="str">
        <f t="shared" si="1"/>
        <v>4900504</v>
      </c>
      <c r="K5" s="83" t="s">
        <v>185</v>
      </c>
      <c r="L5" s="86" t="s">
        <v>186</v>
      </c>
      <c r="M5" s="103" t="s">
        <v>291</v>
      </c>
      <c r="N5" s="56" t="s">
        <v>187</v>
      </c>
    </row>
    <row r="6" spans="1:14" ht="42" x14ac:dyDescent="0.15">
      <c r="A6" s="80" t="s">
        <v>184</v>
      </c>
      <c r="B6" s="81">
        <f>floors!$C$2</f>
        <v>49005</v>
      </c>
      <c r="C6" s="82" t="str">
        <f ca="1">VLOOKUP($B6,OFFSET([2]quests!$A$1,0,0,COUNTA([2]quests!$A:$A),MATCH(C$1,[2]quests!$1:$1,0)-MATCH($B$1,[2]quests!$1:$1,0)+1),MATCH(C$1,[2]quests!$1:$1,0)-MATCH($B$1,[2]quests!$1:$1,0)+1,FALSE)</f>
        <v>襲来クエスト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コラボ降臨5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【ウィザード級】襲来クエスト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コラボ降臨5</v>
      </c>
      <c r="H6" s="84">
        <v>4</v>
      </c>
      <c r="I6" s="89">
        <f t="shared" si="0"/>
        <v>5</v>
      </c>
      <c r="J6" s="85" t="str">
        <f t="shared" ref="J6" si="2">B6&amp;TEXT(I6,"00")</f>
        <v>4900505</v>
      </c>
      <c r="K6" s="83" t="s">
        <v>185</v>
      </c>
      <c r="L6" s="86" t="s">
        <v>186</v>
      </c>
      <c r="M6" s="103" t="s">
        <v>290</v>
      </c>
      <c r="N6" s="56" t="s">
        <v>187</v>
      </c>
    </row>
  </sheetData>
  <phoneticPr fontId="6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2016-06-06T05:42:29Z</dcterms:modified>
</cp:coreProperties>
</file>