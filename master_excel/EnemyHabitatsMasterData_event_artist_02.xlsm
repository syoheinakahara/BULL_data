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460" windowWidth="30940" windowHeight="186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stage_hints_failure!$B$1:$M$16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1" l="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J17" i="11"/>
  <c r="O37" i="9"/>
  <c r="N37" i="9"/>
  <c r="M37" i="9"/>
  <c r="L37" i="9"/>
  <c r="K37" i="9"/>
  <c r="J37" i="9"/>
  <c r="I37" i="9"/>
  <c r="H37" i="9"/>
  <c r="G37" i="9"/>
  <c r="E37" i="9"/>
  <c r="D37" i="9"/>
  <c r="A37" i="9"/>
  <c r="J1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2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E29" i="9"/>
  <c r="Y10" i="7"/>
  <c r="W10" i="7"/>
  <c r="U10" i="7"/>
  <c r="R10" i="7"/>
  <c r="Q10" i="7"/>
  <c r="P10" i="7"/>
  <c r="O10" i="7"/>
  <c r="N10" i="7"/>
  <c r="H10" i="7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2" i="2"/>
  <c r="A2" i="2"/>
  <c r="G3" i="2"/>
  <c r="A3" i="2"/>
  <c r="G4" i="2"/>
  <c r="A4" i="2"/>
  <c r="G5" i="2"/>
  <c r="A5" i="2"/>
  <c r="J10" i="7"/>
  <c r="I10" i="7"/>
  <c r="D10" i="7"/>
  <c r="F10" i="7"/>
  <c r="E10" i="7"/>
  <c r="A10" i="7"/>
  <c r="E26" i="9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E18" i="9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E13" i="9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9" i="1"/>
  <c r="AF19" i="1"/>
  <c r="AI19" i="1"/>
  <c r="AG19" i="1"/>
  <c r="AE19" i="1"/>
  <c r="E23" i="9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E15" i="9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E6" i="9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E4" i="9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E3" i="9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E2" i="9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H13" i="2"/>
  <c r="E13" i="2"/>
  <c r="D13" i="2"/>
  <c r="H2" i="1"/>
  <c r="H3" i="1"/>
  <c r="H4" i="1"/>
  <c r="H5" i="1"/>
  <c r="H6" i="1"/>
  <c r="H7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12" i="10"/>
  <c r="T12" i="10"/>
  <c r="W12" i="10"/>
  <c r="V12" i="10"/>
  <c r="X12" i="10"/>
  <c r="U12" i="10"/>
  <c r="Y12" i="10"/>
  <c r="M20" i="10"/>
  <c r="M27" i="10"/>
  <c r="N27" i="10"/>
  <c r="Q27" i="10"/>
  <c r="P27" i="10"/>
  <c r="R27" i="10"/>
  <c r="O27" i="10"/>
  <c r="S27" i="10"/>
  <c r="N20" i="10"/>
  <c r="Q20" i="10"/>
  <c r="P20" i="10"/>
  <c r="R20" i="10"/>
  <c r="O20" i="10"/>
  <c r="S20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7" i="10"/>
  <c r="T7" i="10"/>
  <c r="W7" i="10"/>
  <c r="V7" i="10"/>
  <c r="X7" i="10"/>
  <c r="U7" i="10"/>
  <c r="Y7" i="10"/>
  <c r="M19" i="10"/>
  <c r="M26" i="10"/>
  <c r="M33" i="10"/>
  <c r="N33" i="10"/>
  <c r="Q33" i="10"/>
  <c r="P33" i="10"/>
  <c r="R33" i="10"/>
  <c r="O33" i="10"/>
  <c r="S33" i="10"/>
  <c r="N26" i="10"/>
  <c r="Q26" i="10"/>
  <c r="P26" i="10"/>
  <c r="R26" i="10"/>
  <c r="O26" i="10"/>
  <c r="S26" i="10"/>
  <c r="N19" i="10"/>
  <c r="Q19" i="10"/>
  <c r="P19" i="10"/>
  <c r="R19" i="10"/>
  <c r="O19" i="10"/>
  <c r="S19" i="10"/>
  <c r="N7" i="10"/>
  <c r="Q7" i="10"/>
  <c r="P7" i="10"/>
  <c r="R7" i="10"/>
  <c r="O7" i="10"/>
  <c r="S7" i="10"/>
  <c r="G7" i="10"/>
  <c r="J7" i="10"/>
  <c r="I7" i="10"/>
  <c r="K7" i="10"/>
  <c r="H7" i="10"/>
  <c r="L7" i="10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G3" i="9"/>
  <c r="G2" i="9"/>
  <c r="J2" i="11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D29" i="9"/>
  <c r="A29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6" i="11"/>
  <c r="O26" i="9"/>
  <c r="N26" i="9"/>
  <c r="M26" i="9"/>
  <c r="L26" i="9"/>
  <c r="K26" i="9"/>
  <c r="J26" i="9"/>
  <c r="I26" i="9"/>
  <c r="H26" i="9"/>
  <c r="G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2" i="11"/>
  <c r="J23" i="11"/>
  <c r="O23" i="9"/>
  <c r="N23" i="9"/>
  <c r="M23" i="9"/>
  <c r="L23" i="9"/>
  <c r="K23" i="9"/>
  <c r="J23" i="9"/>
  <c r="I23" i="9"/>
  <c r="H23" i="9"/>
  <c r="G23" i="9"/>
  <c r="D23" i="9"/>
  <c r="A23" i="9"/>
  <c r="J21" i="11"/>
  <c r="O22" i="9"/>
  <c r="N22" i="9"/>
  <c r="M22" i="9"/>
  <c r="L22" i="9"/>
  <c r="K22" i="9"/>
  <c r="J22" i="9"/>
  <c r="I22" i="9"/>
  <c r="H22" i="9"/>
  <c r="G22" i="9"/>
  <c r="E22" i="9"/>
  <c r="D22" i="9"/>
  <c r="A22" i="9"/>
  <c r="J20" i="11"/>
  <c r="O21" i="9"/>
  <c r="N21" i="9"/>
  <c r="M21" i="9"/>
  <c r="L21" i="9"/>
  <c r="K21" i="9"/>
  <c r="J21" i="9"/>
  <c r="I21" i="9"/>
  <c r="H21" i="9"/>
  <c r="G21" i="9"/>
  <c r="E21" i="9"/>
  <c r="D21" i="9"/>
  <c r="A21" i="9"/>
  <c r="J19" i="11"/>
  <c r="O20" i="9"/>
  <c r="N20" i="9"/>
  <c r="M20" i="9"/>
  <c r="L20" i="9"/>
  <c r="K20" i="9"/>
  <c r="J20" i="9"/>
  <c r="I20" i="9"/>
  <c r="H20" i="9"/>
  <c r="G20" i="9"/>
  <c r="E20" i="9"/>
  <c r="D20" i="9"/>
  <c r="A20" i="9"/>
  <c r="J18" i="11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6" i="9"/>
  <c r="N16" i="9"/>
  <c r="M16" i="9"/>
  <c r="L16" i="9"/>
  <c r="K16" i="9"/>
  <c r="J16" i="9"/>
  <c r="I16" i="9"/>
  <c r="H16" i="9"/>
  <c r="G16" i="9"/>
  <c r="E16" i="9"/>
  <c r="D16" i="9"/>
  <c r="A16" i="9"/>
  <c r="J14" i="11"/>
  <c r="O15" i="9"/>
  <c r="N15" i="9"/>
  <c r="M15" i="9"/>
  <c r="L15" i="9"/>
  <c r="K15" i="9"/>
  <c r="J15" i="9"/>
  <c r="I15" i="9"/>
  <c r="H15" i="9"/>
  <c r="G15" i="9"/>
  <c r="D15" i="9"/>
  <c r="A15" i="9"/>
  <c r="J13" i="11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D13" i="9"/>
  <c r="A13" i="9"/>
  <c r="J10" i="11"/>
  <c r="J7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D3" i="9"/>
  <c r="A3" i="9"/>
  <c r="T33" i="10"/>
  <c r="W33" i="10"/>
  <c r="V33" i="10"/>
  <c r="X33" i="10"/>
  <c r="U33" i="10"/>
  <c r="Y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H5" i="2"/>
  <c r="E5" i="2"/>
  <c r="D5" i="2"/>
  <c r="B5" i="2"/>
  <c r="H4" i="2"/>
  <c r="E4" i="2"/>
  <c r="D4" i="2"/>
  <c r="B4" i="2"/>
  <c r="H3" i="2"/>
  <c r="E3" i="2"/>
  <c r="D3" i="2"/>
  <c r="B3" i="2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Y2" i="7"/>
  <c r="X3" i="1"/>
  <c r="X2" i="1"/>
  <c r="W2" i="7"/>
  <c r="U2" i="7"/>
  <c r="V3" i="1"/>
  <c r="V2" i="1"/>
  <c r="T3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16" i="21"/>
  <c r="I16" i="21"/>
  <c r="J16" i="21"/>
  <c r="G16" i="21"/>
  <c r="F16" i="21"/>
  <c r="D16" i="21"/>
  <c r="C16" i="21"/>
  <c r="E12" i="16"/>
  <c r="E11" i="16"/>
  <c r="E10" i="16"/>
  <c r="O2" i="9"/>
  <c r="N2" i="9"/>
  <c r="M2" i="9"/>
  <c r="L2" i="9"/>
  <c r="K2" i="9"/>
  <c r="J2" i="9"/>
  <c r="I2" i="9"/>
  <c r="H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<sst xmlns="http://schemas.openxmlformats.org/spreadsheetml/2006/main" count="1131" uniqueCount="345">
  <si>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</si>
  <si>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</si>
  <si>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</si>
  <si>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</si>
  <si>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</si>
  <si>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</si>
  <si>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</si>
  <si>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</si>
  <si>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</si>
  <si>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</si>
  <si>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</si>
  <si>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</si>
  <si>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</si>
  <si>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</si>
  <si>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</si>
  <si>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</si>
  <si>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</si>
  <si>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</si>
  <si>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</si>
  <si>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</si>
  <si>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</si>
  <si>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</si>
  <si>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</si>
  <si>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</si>
  <si>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</si>
  <si>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</si>
  <si>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</si>
  <si>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</si>
  <si>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</si>
  <si>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</si>
  <si>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</si>
  <si>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</si>
  <si>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</si>
  <si>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</si>
  <si>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</si>
  <si>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</si>
  <si>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</si>
  <si>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</si>
  <si>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</si>
  <si>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</si>
  <si>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</si>
  <si>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</si>
  <si>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</si>
  <si>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</si>
  <si>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</si>
  <si>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</si>
  <si>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</si>
  <si>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</si>
  <si>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</si>
  <si>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</si>
  <si>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</si>
  <si>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</si>
  <si>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</si>
  <si>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</si>
  <si>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</si>
  <si>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</si>
  <si>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</si>
  <si>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</si>
  <si>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</si>
  <si>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</si>
  <si>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</si>
  <si>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</si>
  <si>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</si>
  <si>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</si>
  <si>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</si>
  <si>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</si>
  <si>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</si>
  <si>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</si>
  <si>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</si>
  <si>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</si>
  <si>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</si>
  <si>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</si>
  <si>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</si>
  <si>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</si>
  <si>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</si>
  <si>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</si>
  <si>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</si>
  <si>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</si>
  <si>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</si>
  <si>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</si>
  <si>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</si>
  <si>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</si>
  <si>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</si>
  <si>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</si>
  <si>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</si>
  <si>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</si>
  <si>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</si>
  <si>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</si>
  <si>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</si>
  <si>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</si>
  <si>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</si>
  <si>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</si>
  <si>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</si>
  <si>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</si>
  <si>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</si>
  <si>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</si>
  <si>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</si>
  <si>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</si>
  <si>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</si>
  <si>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</si>
  <si>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</si>
  <si>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</si>
  <si>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</si>
  <si>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</si>
  <si>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</si>
  <si>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</si>
  <si>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</si>
  <si>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</si>
  <si>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</si>
  <si>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</si>
  <si>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</si>
  <si>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</si>
  <si>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</si>
  <si>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</si>
  <si>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</si>
  <si>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</si>
  <si>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</si>
  <si>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</si>
  <si>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</si>
  <si>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</si>
  <si>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</si>
  <si>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</si>
  <si>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</si>
  <si>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</si>
  <si>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</si>
  <si>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</si>
  <si>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</si>
  <si>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</si>
  <si>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</si>
  <si>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</si>
  <si>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</si>
  <si>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</si>
  <si>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</si>
  <si>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</si>
  <si>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</si>
  <si>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</si>
  <si>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</si>
  <si>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</si>
  <si>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</si>
  <si>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</si>
  <si>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</si>
  <si>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</si>
  <si>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</si>
  <si>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</si>
  <si>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</si>
  <si>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</si>
  <si>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</si>
  <si>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</si>
  <si>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</si>
  <si>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</si>
  <si>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</si>
  <si>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</si>
  <si>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</si>
  <si>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</si>
  <si>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</si>
  <si>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</si>
  <si>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</si>
  <si>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</si>
  <si>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</si>
  <si>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</si>
  <si>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</si>
  <si>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</si>
  <si>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</si>
  <si>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</si>
  <si>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</si>
  <si>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</si>
  <si>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</si>
  <si>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</si>
  <si>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</si>
  <si>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</si>
  <si>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</si>
  <si>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</si>
  <si>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</si>
  <si>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</si>
  <si>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</si>
  <si>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</si>
  <si>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</si>
  <si>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</si>
  <si>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</si>
  <si>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</si>
  <si>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</si>
  <si>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</si>
  <si>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</si>
  <si>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</si>
  <si>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</si>
  <si>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</si>
  <si>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</si>
  <si>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</si>
  <si>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</si>
  <si>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</si>
  <si>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</si>
  <si>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</si>
  <si>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</si>
  <si>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</si>
  <si>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</si>
  <si>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</si>
  <si>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</si>
  <si>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</si>
  <si>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</si>
  <si>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</si>
  <si>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</si>
  <si>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</si>
  <si>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</si>
  <si>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</si>
  <si>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</si>
  <si>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</si>
  <si>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</si>
  <si>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</si>
  <si>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</si>
  <si>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</si>
  <si>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</si>
  <si>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</si>
  <si>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</si>
  <si>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</si>
  <si>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</si>
  <si>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</si>
  <si>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</si>
  <si>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</si>
  <si>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</si>
  <si>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</si>
  <si>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</si>
  <si>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</si>
  <si>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</si>
  <si>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</si>
  <si>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</si>
  <si>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</si>
  <si>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</si>
  <si>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</si>
  <si>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</si>
  <si>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</si>
  <si>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</si>
  <si>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</si>
  <si>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</si>
  <si>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</si>
  <si>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</si>
  <si>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</si>
  <si>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</si>
  <si>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</si>
  <si>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</si>
  <si>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</si>
  <si>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</si>
  <si>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</si>
  <si>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</si>
  <si>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</si>
  <si>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</si>
  <si>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</si>
  <si>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</si>
  <si>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</si>
  <si>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</si>
  <si>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</si>
  <si>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</si>
  <si>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</si>
  <si>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クリティカル！</t>
    <phoneticPr fontId="5"/>
  </si>
  <si>
    <t>[effect:critical, val:1.3, animation:enemy_critical]</t>
  </si>
  <si>
    <t>[effect:critical, val:1.3, animation:enemy_critical]</t>
    <phoneticPr fontId="5"/>
  </si>
  <si>
    <t xml:space="preserve">[effect:force_change_block, new_block:block_green, target:block_all, ignore01:block_blue, ignore02:block_green, count:5, val:0, animation:change_block] </t>
    <phoneticPr fontId="5"/>
  </si>
  <si>
    <t>コピーペインター</t>
    <phoneticPr fontId="5"/>
  </si>
  <si>
    <t>緑パネルを5個生成</t>
    <phoneticPr fontId="5"/>
  </si>
  <si>
    <t>大爆発</t>
    <phoneticPr fontId="5"/>
  </si>
  <si>
    <t>[effect:spread, val:0.33]</t>
    <phoneticPr fontId="5"/>
  </si>
  <si>
    <t>全体攻撃</t>
    <phoneticPr fontId="5"/>
  </si>
  <si>
    <t>F2の攻撃頻度が変化する！</t>
    <phoneticPr fontId="5"/>
  </si>
  <si>
    <t>遊んでくれる？</t>
    <phoneticPr fontId="5"/>
  </si>
  <si>
    <t>もう逃げられないよ…</t>
    <phoneticPr fontId="5"/>
  </si>
  <si>
    <t>一緒に遊ぼう…</t>
    <phoneticPr fontId="5"/>
  </si>
  <si>
    <t>壊れちゃった…</t>
    <phoneticPr fontId="5"/>
  </si>
  <si>
    <t>[effect:enhance_enemy, target:myself, turn:-1, status:attack, val:0.2, calc:mul, animation:enemy_enhance_attack]</t>
    <phoneticPr fontId="5"/>
  </si>
  <si>
    <t>自身の攻撃力UP</t>
    <phoneticPr fontId="5"/>
  </si>
  <si>
    <t>2回連続攻撃</t>
    <phoneticPr fontId="5"/>
  </si>
  <si>
    <t>自爆攻撃</t>
    <phoneticPr fontId="5"/>
  </si>
  <si>
    <t>[effect:critical, val:1.3, animation:enemy_critical]</t>
    <phoneticPr fontId="5"/>
  </si>
  <si>
    <t>[effect:critical, val:1.5, animation:enemy_critical]</t>
    <phoneticPr fontId="5"/>
  </si>
  <si>
    <t>[effect:critical, val:1.8, animation:enemy_critical]</t>
    <phoneticPr fontId="5"/>
  </si>
  <si>
    <t>[effect:critical, val:2, animation:enemy_critical]</t>
    <phoneticPr fontId="5"/>
  </si>
  <si>
    <t>単体攻撃＋残りHPが少ないほど威力UP</t>
    <phoneticPr fontId="5"/>
  </si>
  <si>
    <t>[effect:damage_anti_tribe, target:unit_all, tribe:unknown, val1:0.75, val2:0.25]</t>
    <phoneticPr fontId="5"/>
  </si>
  <si>
    <t>確率で青時限式ダメージパネルをドロップ</t>
    <phoneticPr fontId="5"/>
  </si>
  <si>
    <t>全体攻撃＋種族Unknownのユニットに大ダメージ</t>
    <phoneticPr fontId="5"/>
  </si>
  <si>
    <t>[effect:rush, count:1, val:1]</t>
    <phoneticPr fontId="5"/>
  </si>
  <si>
    <t>[effect:rush, count:1, val:1],[effect:dark, target:unit_all, turn:1, animation:enemy_dark]</t>
    <phoneticPr fontId="5"/>
  </si>
  <si>
    <t>単体攻撃＋1ターン暗闇</t>
    <phoneticPr fontId="5"/>
  </si>
  <si>
    <t>[effect:damage_anti_tribe, target:unit_all, tribe:unknown, val1:0.75, val2:0.33]</t>
    <phoneticPr fontId="5"/>
  </si>
  <si>
    <t>[effect:critical, val:1.3, animation:enemy_critical],[effect:dark, target:unit_all, turn:1, animation:enemy_dark]</t>
    <phoneticPr fontId="5"/>
  </si>
  <si>
    <t>クリティカル＋1ターン暗闇</t>
    <phoneticPr fontId="5"/>
  </si>
  <si>
    <t>[effect:damage_anti_tribe, target:unit_all, tribe:unknown, val1:1, val2:0.33]</t>
    <phoneticPr fontId="5"/>
  </si>
  <si>
    <t>クリティカル＋3ターン暗闇</t>
    <phoneticPr fontId="5"/>
  </si>
  <si>
    <t>[effect:critical, val:1.3, animation:enemy_critical],[effect:dark, target:unit_all, turn:3, animation:enemy_dark]</t>
    <phoneticPr fontId="5"/>
  </si>
  <si>
    <t>簡単に壊れないでね…？</t>
    <phoneticPr fontId="5"/>
  </si>
  <si>
    <t>2回連続攻撃</t>
    <phoneticPr fontId="5"/>
  </si>
  <si>
    <t>old</t>
    <phoneticPr fontId="5"/>
  </si>
  <si>
    <t>[effect:kamikaze, val:0.5]</t>
    <phoneticPr fontId="5"/>
  </si>
  <si>
    <t>自身の防御力UP</t>
    <phoneticPr fontId="5"/>
  </si>
  <si>
    <t>[effect:suicide, val:0.5, dead_type:suicide, target:myself, animation:enemy_suicide]</t>
    <phoneticPr fontId="5"/>
  </si>
  <si>
    <t>[effect:suicide, val:1, dead_type:suicide, target:myself, animation:enemy_suicide]</t>
    <phoneticPr fontId="5"/>
  </si>
  <si>
    <t>イブのトモダチになってくれる…？</t>
    <phoneticPr fontId="5"/>
  </si>
  <si>
    <t>自身に大ダメージ！</t>
    <phoneticPr fontId="5"/>
  </si>
  <si>
    <t>自身に大ダメージ！</t>
    <phoneticPr fontId="5"/>
  </si>
  <si>
    <t>[effect:rush, count:2, val:0.65]</t>
    <phoneticPr fontId="5"/>
  </si>
  <si>
    <t>[effect:fix_speed, target:myself, turn:2],[effect:drop_block, block_type:time_bomb, block_color:block_blue, color:block_all, val:0.1, rate:0.2, turn:-1, min_time_count:5, max_time_count:5, animation:time_bomb_influence04]</t>
    <phoneticPr fontId="5"/>
  </si>
  <si>
    <t>[effect:fix_speed, target:myself, turn:2],[effect:rush, count:2, val:0.65]</t>
    <phoneticPr fontId="5"/>
  </si>
  <si>
    <t>[effect:drop_block, block_type:time_bomb, color:block_all, val:0.1, rate:0.2, turn:4, min_time_count:3, max_time_count:3, animation:time_bomb_influence04]</t>
    <phoneticPr fontId="5"/>
  </si>
  <si>
    <t>link</t>
  </si>
  <si>
    <t>unit</t>
  </si>
  <si>
    <t>[effect:fix_speed, target:myself, turn:1],[effect:remove_enhancement, target:unit_all, target_effect:drop_freeze],[effect:drop_block, block_type:time_bomb, block_color:block_blue, color:block_all, val:0.1, rate:0.3, turn:-1, min_time_count:5, max_time_count:5, animation:time_bomb_influence04]</t>
    <phoneticPr fontId="5"/>
  </si>
  <si>
    <t>次のトモダチ　作らなきゃ…</t>
    <phoneticPr fontId="5"/>
  </si>
  <si>
    <t>[effect:enemy_message, val1:1, val2:1.8]</t>
    <phoneticPr fontId="5"/>
  </si>
  <si>
    <t>[effect:freq_turn, target:enemy_green, turn:1, val:6, animation:enemy_freq_turn],[effect:fix_speed, target:enemy_green, turn:6]</t>
    <phoneticPr fontId="5"/>
  </si>
  <si>
    <t>[effect:freq_turn, target:enemy_green, turn:1, val:3, animation:enemy_freq_turn],[effect:fix_speed, target:enemy_green, turn:3]</t>
    <phoneticPr fontId="5"/>
  </si>
  <si>
    <t>[effect:freq_turn, target:enemy_green, turn:1, val:1, animation:enemy_freq_turn],[effect:fix_speed, target:enemy_green, turn:1]</t>
    <phoneticPr fontId="5"/>
  </si>
  <si>
    <t>[effect:drop_block, block_type:time_bomb, color:block_all, val:0.1, rate:0.2, turn:4, min_time_count:4, max_time_count:4, animation:time_bomb_influence04]</t>
    <phoneticPr fontId="5"/>
  </si>
  <si>
    <t>爆発するサイエンス</t>
    <phoneticPr fontId="5"/>
  </si>
  <si>
    <t>パラノイアック・クリティック</t>
    <phoneticPr fontId="5"/>
  </si>
  <si>
    <t>爆発するサイエンス</t>
    <phoneticPr fontId="5"/>
  </si>
  <si>
    <t>目標捕捉</t>
    <phoneticPr fontId="5"/>
  </si>
  <si>
    <t>ターンが0になると大爆発する！</t>
    <phoneticPr fontId="5"/>
  </si>
  <si>
    <t>みんなイブの玩具…</t>
    <phoneticPr fontId="5"/>
  </si>
  <si>
    <t>トモダチも遊びたいみたい</t>
    <phoneticPr fontId="5"/>
  </si>
  <si>
    <t>突発するケミカルリアクション</t>
    <phoneticPr fontId="5"/>
  </si>
  <si>
    <t>拡散するブラストウェーブ</t>
  </si>
  <si>
    <t>侵食するブレイクダウン</t>
    <phoneticPr fontId="5"/>
  </si>
  <si>
    <t>私の世界へようこそ</t>
    <phoneticPr fontId="5"/>
  </si>
  <si>
    <t>悩む時も必要だ</t>
    <phoneticPr fontId="5"/>
  </si>
  <si>
    <t>君に恐れを与えよう</t>
    <phoneticPr fontId="5"/>
  </si>
  <si>
    <t>招かれざる客も存在する</t>
    <phoneticPr fontId="5"/>
  </si>
  <si>
    <t>…私は不安なんだ</t>
    <phoneticPr fontId="5"/>
  </si>
  <si>
    <t>柔らかなる世界</t>
    <phoneticPr fontId="5"/>
  </si>
  <si>
    <t>固き記憶</t>
    <phoneticPr fontId="5"/>
  </si>
  <si>
    <t>確率でプロテクト状態の
青時限式ダメージパネルをドロップ</t>
    <phoneticPr fontId="5"/>
  </si>
  <si>
    <t>確率でプロテクト状態の
青時限式ダメージパネルをドロップ</t>
    <phoneticPr fontId="5"/>
  </si>
  <si>
    <t>[effect:fix_speed, target:myself, turn:2],[effect:enemy_message, val1:1, val2:2.3],[effect:drop_block, block_type:time_bomb, block_color:block_blue, color:block_all, val:0.05, rate:0.1, turn:-1, min_time_count:1, max_time_count:2, animation:time_bomb_influence04],[effect:drop_freeze, block_type:time_bomb, rate:1, turn:-1, animation:drop_protect]</t>
    <phoneticPr fontId="5"/>
  </si>
  <si>
    <t>[effect:fix_speed, target:myself, turn:1],[effect:enemy_message, val1:1, val2:2.3],[effect:drop_block, block_type:time_bomb, block_color:block_blue, color:block_all, val:0.05, rate:0.1, turn:-1, min_time_count:1, max_time_count:2, animation:time_bomb_influence04],[effect:drop_freeze, block_type:time_bomb, rate:1, turn:-1, animation:drop_protect]</t>
    <phoneticPr fontId="5"/>
  </si>
  <si>
    <t>達磨落とし</t>
    <phoneticPr fontId="5"/>
  </si>
  <si>
    <t>双極の理</t>
    <phoneticPr fontId="5"/>
  </si>
  <si>
    <t>マグリットは他色のパネルをランダムで
緑パネルに変換して妨害をしてきます
タイチに注意しつつ優先して倒しましょう</t>
    <phoneticPr fontId="5"/>
  </si>
  <si>
    <t>F2は自爆で強力なダメージを与えてきます
F2のターンが来る前に倒しましょう</t>
    <phoneticPr fontId="5"/>
  </si>
  <si>
    <t>イブとトモダチはランダムで
F2の行動頻度を変化させてきます
F2の行動頻度には注意しておきましょう</t>
    <phoneticPr fontId="5"/>
  </si>
  <si>
    <t>サキは一定ターンドロップパネルを
時限式ダメージパネルに変化させます
時限式ダメージパネルを優先して
処理しましょう</t>
    <phoneticPr fontId="5"/>
  </si>
  <si>
    <t>サキは一定ターン経過後に必ず自爆します
自爆のダメージを受ける前に倒しましょう</t>
    <phoneticPr fontId="5"/>
  </si>
  <si>
    <t>プロテクトされた時限式ダメージパネルは
プロテクトを解くまでカウントが進まない
ので処理の準備してから解除しましょう</t>
    <phoneticPr fontId="5"/>
  </si>
  <si>
    <t>ジャ・リダルサは一定確率で
時限式ダメージパネルをドロップさせます
処理が難しいのでボムパネルに巻き込んで
消していきましょう</t>
    <phoneticPr fontId="5"/>
  </si>
  <si>
    <t>ジャ・リダルサがドロップする
時限式ダメージパネルは爆発までの時間が
長いものと短いものの2種類があります</t>
    <phoneticPr fontId="5"/>
  </si>
  <si>
    <t>old</t>
    <phoneticPr fontId="5"/>
  </si>
  <si>
    <t>4ターン確率で時限式ダメージパネルをドロップ</t>
    <phoneticPr fontId="5"/>
  </si>
  <si>
    <t>[effect:fix_speed, target:myself, turn:1],[effect:enhance_enemy, target:myself, turn:-1, status:defense, val:5000, calc:add, animation:enemy_enhance_defense]</t>
    <phoneticPr fontId="5"/>
  </si>
  <si>
    <t>[effect:kamikaze, val:0.75]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</si>
</sst>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0" fillId="32" borderId="7" xfId="0" applyFill="1" applyBorder="1"/>
    <xf numFmtId="0" fontId="6" fillId="33" borderId="7" xfId="0" applyFont="1" applyFill="1" applyBorder="1" applyAlignment="1">
      <alignment vertical="center"/>
    </xf>
    <xf numFmtId="0" fontId="0" fillId="34" borderId="7" xfId="0" applyFill="1" applyBorder="1"/>
    <xf numFmtId="0" fontId="6" fillId="35" borderId="7" xfId="0" applyFont="1" applyFill="1" applyBorder="1" applyAlignment="1">
      <alignment vertical="center"/>
    </xf>
    <xf numFmtId="0" fontId="0" fillId="36" borderId="7" xfId="0" applyFill="1" applyBorder="1"/>
    <xf numFmtId="0" fontId="6" fillId="37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4" sqref="B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289</v>
      </c>
      <c r="B2" s="57" t="s">
        <v>107</v>
      </c>
      <c r="C2" s="63">
        <v>30041</v>
      </c>
      <c r="D2" s="57" t="s">
        <v>108</v>
      </c>
      <c r="E2" s="56" t="str">
        <f>B2&amp;C2&amp;D2</f>
        <v>floors_30041.tmp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289</v>
      </c>
      <c r="B3" s="57" t="s">
        <v>110</v>
      </c>
      <c r="C3" s="63">
        <v>30041</v>
      </c>
      <c r="D3" s="57" t="s">
        <v>108</v>
      </c>
      <c r="E3" s="56" t="str">
        <f>B3&amp;C3&amp;D3</f>
        <v>enemy_habitats_30041.tmp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289</v>
      </c>
      <c r="B4" s="57" t="s">
        <v>112</v>
      </c>
      <c r="C4" s="63">
        <v>30041</v>
      </c>
      <c r="D4" s="57" t="s">
        <v>108</v>
      </c>
      <c r="E4" s="56" t="str">
        <f>B4&amp;C4&amp;D4</f>
        <v>enemy_habitat_S_30041.tmp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289</v>
      </c>
      <c r="B5" s="57" t="s">
        <v>114</v>
      </c>
      <c r="C5" s="63">
        <v>30041</v>
      </c>
      <c r="D5" s="57" t="s">
        <v>108</v>
      </c>
      <c r="E5" s="56" t="str">
        <f>B5&amp;C5&amp;D5</f>
        <v>enemy_skill_sets_30041.tmp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289</v>
      </c>
      <c r="B6" s="57" t="s">
        <v>116</v>
      </c>
      <c r="C6" s="63">
        <v>30041</v>
      </c>
      <c r="D6" s="57" t="s">
        <v>117</v>
      </c>
      <c r="E6" s="56" t="str">
        <f t="shared" ref="E6:E10" si="0">B6&amp;C6&amp;D6</f>
        <v>enemy_skills_tmp_30041.tmp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289</v>
      </c>
      <c r="B7" s="57" t="s">
        <v>118</v>
      </c>
      <c r="C7" s="63">
        <v>30041</v>
      </c>
      <c r="D7" s="57" t="s">
        <v>108</v>
      </c>
      <c r="E7" s="56" t="str">
        <f>B7&amp;C7&amp;D7</f>
        <v>enemy_skills_i18n_30041.tmp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289</v>
      </c>
      <c r="B8" s="57" t="s">
        <v>120</v>
      </c>
      <c r="C8" s="63">
        <v>30041</v>
      </c>
      <c r="D8" s="57" t="s">
        <v>121</v>
      </c>
      <c r="E8" s="56" t="str">
        <f t="shared" si="0"/>
        <v>enemy_skill_triggers_30041.tmp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341</v>
      </c>
      <c r="B9" s="68" t="s">
        <v>178</v>
      </c>
      <c r="C9" s="63">
        <v>30041</v>
      </c>
      <c r="D9" s="68" t="s">
        <v>172</v>
      </c>
      <c r="E9" s="69" t="str">
        <f t="shared" si="0"/>
        <v>stage_bug_bonuses_30041.tmp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341</v>
      </c>
      <c r="B10" s="68" t="s">
        <v>202</v>
      </c>
      <c r="C10" s="63">
        <v>30041</v>
      </c>
      <c r="D10" s="68" t="s">
        <v>181</v>
      </c>
      <c r="E10" s="69" t="str">
        <f t="shared" si="0"/>
        <v>stage_hints_data_c_30041.tmp</v>
      </c>
      <c r="F10" s="68" t="s">
        <v>210</v>
      </c>
      <c r="G10" s="72" t="s">
        <v>182</v>
      </c>
      <c r="H10" s="72" t="s">
        <v>174</v>
      </c>
      <c r="I10" s="73" t="s">
        <v>183</v>
      </c>
      <c r="J10" s="67" t="s">
        <v>184</v>
      </c>
      <c r="K10" s="67" t="s">
        <v>185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341</v>
      </c>
      <c r="B11" s="68" t="s">
        <v>203</v>
      </c>
      <c r="C11" s="63">
        <v>30041</v>
      </c>
      <c r="D11" s="68" t="s">
        <v>172</v>
      </c>
      <c r="E11" s="69" t="str">
        <f t="shared" ref="E11:E13" si="1">B11&amp;C11&amp;D11</f>
        <v>stage_hints_data_f_30041.tmp</v>
      </c>
      <c r="F11" s="68" t="s">
        <v>212</v>
      </c>
      <c r="G11" s="72" t="s">
        <v>182</v>
      </c>
      <c r="H11" s="72" t="s">
        <v>174</v>
      </c>
      <c r="I11" s="73" t="s">
        <v>183</v>
      </c>
      <c r="J11" s="67" t="s">
        <v>184</v>
      </c>
      <c r="K11" s="67" t="s">
        <v>185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112" t="s">
        <v>341</v>
      </c>
      <c r="B12" s="68" t="s">
        <v>204</v>
      </c>
      <c r="C12" s="63">
        <v>30041</v>
      </c>
      <c r="D12" s="68" t="s">
        <v>172</v>
      </c>
      <c r="E12" s="69" t="str">
        <f t="shared" si="1"/>
        <v>stage_hints_i18n_30041.tmp</v>
      </c>
      <c r="F12" s="68" t="s">
        <v>213</v>
      </c>
      <c r="G12" s="73" t="s">
        <v>205</v>
      </c>
      <c r="H12" s="94" t="s">
        <v>206</v>
      </c>
      <c r="I12" s="72" t="s">
        <v>207</v>
      </c>
      <c r="J12" s="99" t="s">
        <v>208</v>
      </c>
      <c r="K12" s="67" t="s">
        <v>209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8" t="s">
        <v>249</v>
      </c>
      <c r="B13" s="68" t="s">
        <v>248</v>
      </c>
      <c r="C13" s="63">
        <v>30041</v>
      </c>
      <c r="D13" s="68" t="s">
        <v>229</v>
      </c>
      <c r="E13" s="69" t="str">
        <f t="shared" si="1"/>
        <v>stage_bonuses_30041.tmp</v>
      </c>
      <c r="F13" s="68" t="s">
        <v>228</v>
      </c>
      <c r="G13" s="72" t="s">
        <v>230</v>
      </c>
      <c r="H13" s="72" t="s">
        <v>231</v>
      </c>
      <c r="I13" s="72" t="s">
        <v>232</v>
      </c>
      <c r="J13" s="72" t="s">
        <v>233</v>
      </c>
      <c r="K13" s="72" t="s">
        <v>234</v>
      </c>
      <c r="L13" s="72" t="s">
        <v>235</v>
      </c>
      <c r="M13" s="72" t="s">
        <v>236</v>
      </c>
      <c r="N13" s="72" t="s">
        <v>237</v>
      </c>
      <c r="O13" s="72" t="s">
        <v>238</v>
      </c>
      <c r="P13" s="72" t="s">
        <v>239</v>
      </c>
      <c r="Q13" s="72" t="s">
        <v>240</v>
      </c>
      <c r="R13" s="72" t="s">
        <v>241</v>
      </c>
      <c r="S13" s="72" t="s">
        <v>242</v>
      </c>
      <c r="T13" s="72" t="s">
        <v>243</v>
      </c>
      <c r="U13" s="72" t="s">
        <v>244</v>
      </c>
      <c r="V13" s="72" t="s">
        <v>245</v>
      </c>
      <c r="W13" s="72" t="s">
        <v>246</v>
      </c>
      <c r="X13" s="72" t="s">
        <v>247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9" sqref="J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30041_1-1</v>
      </c>
      <c r="B2" s="16" t="str">
        <f>IF(COUNTIF(enemy_habitats!$H:$H,A2),"OK","NG")</f>
        <v>OK</v>
      </c>
      <c r="C2" s="7">
        <v>30041</v>
      </c>
      <c r="D2" s="11" t="str">
        <f ca="1">VLOOKUP($C2,OFFSET([2]quests!$A$1,0,0,COUNTA([2]quests!$A:$A),MATCH(D$1,[2]quests!$1:$1,0)-MATCH($C$1,[2]quests!$1:$1,0)+1),MATCH(D$1,[2]quests!$1:$1,0)-MATCH($C$1,[2]quests!$1:$1,0)+1,FALSE)</f>
        <v>パラノイア・アート</v>
      </c>
      <c r="E2" s="18" t="str">
        <f ca="1">VLOOKUP($C2,OFFSET([2]quests!$A$1,0,0,COUNTA([2]quests!$A:$A),MATCH(E$1,[2]quests!$1:$1,0)-MATCH($C$1,[2]quests!$1:$1,0)+1),MATCH(E$1,[2]quests!$1:$1,0)-MATCH($C$1,[2]quests!$1:$1,0)+1,FALSE)</f>
        <v>画家シリーズ超級</v>
      </c>
      <c r="F2" s="21">
        <v>1</v>
      </c>
      <c r="G2" s="23" t="str">
        <f t="shared" ref="G2:G13" si="1">C2&amp;"_"&amp;F2</f>
        <v>30041_1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【中級】パラノイア・アート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30041_1-2</v>
      </c>
      <c r="B3" s="16" t="str">
        <f>IF(COUNTIF(enemy_habitats!$H:$H,A3),"OK","NG")</f>
        <v>OK</v>
      </c>
      <c r="C3" s="7">
        <v>30041</v>
      </c>
      <c r="D3" s="11" t="str">
        <f ca="1">VLOOKUP($C3,OFFSET([2]quests!$A$1,0,0,COUNTA([2]quests!$A:$A),MATCH(D$1,[2]quests!$1:$1,0)-MATCH($C$1,[2]quests!$1:$1,0)+1),MATCH(D$1,[2]quests!$1:$1,0)-MATCH($C$1,[2]quests!$1:$1,0)+1,FALSE)</f>
        <v>パラノイア・アート</v>
      </c>
      <c r="E3" s="18" t="str">
        <f ca="1">VLOOKUP($C3,OFFSET([2]quests!$A$1,0,0,COUNTA([2]quests!$A:$A),MATCH(E$1,[2]quests!$1:$1,0)-MATCH($C$1,[2]quests!$1:$1,0)+1),MATCH(E$1,[2]quests!$1:$1,0)-MATCH($C$1,[2]quests!$1:$1,0)+1,FALSE)</f>
        <v>画家シリーズ超級</v>
      </c>
      <c r="F3" s="21">
        <v>1</v>
      </c>
      <c r="G3" s="23" t="str">
        <f t="shared" si="1"/>
        <v>30041_1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【中級】パラノイア・アート</v>
      </c>
      <c r="I3" s="21">
        <v>2</v>
      </c>
      <c r="J3" s="12">
        <v>50</v>
      </c>
      <c r="K3" s="12">
        <v>50</v>
      </c>
    </row>
    <row r="4" spans="1:11" ht="21" customHeight="1" x14ac:dyDescent="0.15">
      <c r="A4" s="16" t="str">
        <f t="shared" si="0"/>
        <v>30041_1-3</v>
      </c>
      <c r="B4" s="16" t="str">
        <f>IF(COUNTIF(enemy_habitats!$H:$H,A4),"OK","NG")</f>
        <v>OK</v>
      </c>
      <c r="C4" s="7">
        <v>30041</v>
      </c>
      <c r="D4" s="11" t="str">
        <f ca="1">VLOOKUP($C4,OFFSET([2]quests!$A$1,0,0,COUNTA([2]quests!$A:$A),MATCH(D$1,[2]quests!$1:$1,0)-MATCH($C$1,[2]quests!$1:$1,0)+1),MATCH(D$1,[2]quests!$1:$1,0)-MATCH($C$1,[2]quests!$1:$1,0)+1,FALSE)</f>
        <v>パラノイア・アート</v>
      </c>
      <c r="E4" s="18" t="str">
        <f ca="1">VLOOKUP($C4,OFFSET([2]quests!$A$1,0,0,COUNTA([2]quests!$A:$A),MATCH(E$1,[2]quests!$1:$1,0)-MATCH($C$1,[2]quests!$1:$1,0)+1),MATCH(E$1,[2]quests!$1:$1,0)-MATCH($C$1,[2]quests!$1:$1,0)+1,FALSE)</f>
        <v>画家シリーズ超級</v>
      </c>
      <c r="F4" s="21">
        <v>1</v>
      </c>
      <c r="G4" s="23" t="str">
        <f t="shared" si="1"/>
        <v>30041_1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【中級】パラノイア・アート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30041_1-4</v>
      </c>
      <c r="B5" s="16" t="str">
        <f>IF(COUNTIF(enemy_habitats!$H:$H,A5),"OK","NG")</f>
        <v>OK</v>
      </c>
      <c r="C5" s="7">
        <v>30041</v>
      </c>
      <c r="D5" s="11" t="str">
        <f ca="1">VLOOKUP($C5,OFFSET([2]quests!$A$1,0,0,COUNTA([2]quests!$A:$A),MATCH(D$1,[2]quests!$1:$1,0)-MATCH($C$1,[2]quests!$1:$1,0)+1),MATCH(D$1,[2]quests!$1:$1,0)-MATCH($C$1,[2]quests!$1:$1,0)+1,FALSE)</f>
        <v>パラノイア・アート</v>
      </c>
      <c r="E5" s="18" t="str">
        <f ca="1">VLOOKUP($C5,OFFSET([2]quests!$A$1,0,0,COUNTA([2]quests!$A:$A),MATCH(E$1,[2]quests!$1:$1,0)-MATCH($C$1,[2]quests!$1:$1,0)+1),MATCH(E$1,[2]quests!$1:$1,0)-MATCH($C$1,[2]quests!$1:$1,0)+1,FALSE)</f>
        <v>画家シリーズ超級</v>
      </c>
      <c r="F5" s="21">
        <v>1</v>
      </c>
      <c r="G5" s="23" t="str">
        <f t="shared" si="1"/>
        <v>30041_1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【中級】パラノイア・アート</v>
      </c>
      <c r="I5" s="21">
        <v>4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30041_2-1</v>
      </c>
      <c r="B6" s="16" t="str">
        <f>IF(COUNTIF(enemy_habitats!$H:$H,A6),"OK","NG")</f>
        <v>OK</v>
      </c>
      <c r="C6" s="7">
        <v>30041</v>
      </c>
      <c r="D6" s="11" t="str">
        <f ca="1">VLOOKUP($C6,OFFSET([2]quests!$A$1,0,0,COUNTA([2]quests!$A:$A),MATCH(D$1,[2]quests!$1:$1,0)-MATCH($C$1,[2]quests!$1:$1,0)+1),MATCH(D$1,[2]quests!$1:$1,0)-MATCH($C$1,[2]quests!$1:$1,0)+1,FALSE)</f>
        <v>パラノイア・アート</v>
      </c>
      <c r="E6" s="18" t="str">
        <f ca="1">VLOOKUP($C6,OFFSET([2]quests!$A$1,0,0,COUNTA([2]quests!$A:$A),MATCH(E$1,[2]quests!$1:$1,0)-MATCH($C$1,[2]quests!$1:$1,0)+1),MATCH(E$1,[2]quests!$1:$1,0)-MATCH($C$1,[2]quests!$1:$1,0)+1,FALSE)</f>
        <v>画家シリーズ超級</v>
      </c>
      <c r="F6" s="21">
        <v>2</v>
      </c>
      <c r="G6" s="23" t="str">
        <f t="shared" si="1"/>
        <v>30041_2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【上級】パラノイア・アート</v>
      </c>
      <c r="I6" s="2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30041_2-2</v>
      </c>
      <c r="B7" s="16" t="str">
        <f>IF(COUNTIF(enemy_habitats!$H:$H,A7),"OK","NG")</f>
        <v>OK</v>
      </c>
      <c r="C7" s="7">
        <v>30041</v>
      </c>
      <c r="D7" s="11" t="str">
        <f ca="1">VLOOKUP($C7,OFFSET([2]quests!$A$1,0,0,COUNTA([2]quests!$A:$A),MATCH(D$1,[2]quests!$1:$1,0)-MATCH($C$1,[2]quests!$1:$1,0)+1),MATCH(D$1,[2]quests!$1:$1,0)-MATCH($C$1,[2]quests!$1:$1,0)+1,FALSE)</f>
        <v>パラノイア・アート</v>
      </c>
      <c r="E7" s="18" t="str">
        <f ca="1">VLOOKUP($C7,OFFSET([2]quests!$A$1,0,0,COUNTA([2]quests!$A:$A),MATCH(E$1,[2]quests!$1:$1,0)-MATCH($C$1,[2]quests!$1:$1,0)+1),MATCH(E$1,[2]quests!$1:$1,0)-MATCH($C$1,[2]quests!$1:$1,0)+1,FALSE)</f>
        <v>画家シリーズ超級</v>
      </c>
      <c r="F7" s="21">
        <v>2</v>
      </c>
      <c r="G7" s="23" t="str">
        <f t="shared" si="1"/>
        <v>30041_2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【上級】パラノイア・アート</v>
      </c>
      <c r="I7" s="21">
        <v>2</v>
      </c>
      <c r="J7" s="12">
        <v>50</v>
      </c>
      <c r="K7" s="12">
        <v>50</v>
      </c>
    </row>
    <row r="8" spans="1:11" ht="21" customHeight="1" x14ac:dyDescent="0.15">
      <c r="A8" s="16" t="str">
        <f t="shared" si="0"/>
        <v>30041_2-3</v>
      </c>
      <c r="B8" s="16" t="str">
        <f>IF(COUNTIF(enemy_habitats!$H:$H,A8),"OK","NG")</f>
        <v>OK</v>
      </c>
      <c r="C8" s="7">
        <v>30041</v>
      </c>
      <c r="D8" s="11" t="str">
        <f ca="1">VLOOKUP($C8,OFFSET([2]quests!$A$1,0,0,COUNTA([2]quests!$A:$A),MATCH(D$1,[2]quests!$1:$1,0)-MATCH($C$1,[2]quests!$1:$1,0)+1),MATCH(D$1,[2]quests!$1:$1,0)-MATCH($C$1,[2]quests!$1:$1,0)+1,FALSE)</f>
        <v>パラノイア・アート</v>
      </c>
      <c r="E8" s="18" t="str">
        <f ca="1">VLOOKUP($C8,OFFSET([2]quests!$A$1,0,0,COUNTA([2]quests!$A:$A),MATCH(E$1,[2]quests!$1:$1,0)-MATCH($C$1,[2]quests!$1:$1,0)+1),MATCH(E$1,[2]quests!$1:$1,0)-MATCH($C$1,[2]quests!$1:$1,0)+1,FALSE)</f>
        <v>画家シリーズ超級</v>
      </c>
      <c r="F8" s="21">
        <v>2</v>
      </c>
      <c r="G8" s="23" t="str">
        <f t="shared" si="1"/>
        <v>30041_2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【上級】パラノイア・アート</v>
      </c>
      <c r="I8" s="21">
        <v>3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30041_2-4</v>
      </c>
      <c r="B9" s="16" t="str">
        <f>IF(COUNTIF(enemy_habitats!$H:$H,A9),"OK","NG")</f>
        <v>OK</v>
      </c>
      <c r="C9" s="7">
        <v>30041</v>
      </c>
      <c r="D9" s="11" t="str">
        <f ca="1">VLOOKUP($C9,OFFSET([2]quests!$A$1,0,0,COUNTA([2]quests!$A:$A),MATCH(D$1,[2]quests!$1:$1,0)-MATCH($C$1,[2]quests!$1:$1,0)+1),MATCH(D$1,[2]quests!$1:$1,0)-MATCH($C$1,[2]quests!$1:$1,0)+1,FALSE)</f>
        <v>パラノイア・アート</v>
      </c>
      <c r="E9" s="18" t="str">
        <f ca="1">VLOOKUP($C9,OFFSET([2]quests!$A$1,0,0,COUNTA([2]quests!$A:$A),MATCH(E$1,[2]quests!$1:$1,0)-MATCH($C$1,[2]quests!$1:$1,0)+1),MATCH(E$1,[2]quests!$1:$1,0)-MATCH($C$1,[2]quests!$1:$1,0)+1,FALSE)</f>
        <v>画家シリーズ超級</v>
      </c>
      <c r="F9" s="21">
        <v>2</v>
      </c>
      <c r="G9" s="23" t="str">
        <f t="shared" si="1"/>
        <v>30041_2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【上級】パラノイア・アート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30041_3-1</v>
      </c>
      <c r="B10" s="16" t="str">
        <f>IF(COUNTIF(enemy_habitats!$H:$H,A10),"OK","NG")</f>
        <v>OK</v>
      </c>
      <c r="C10" s="7">
        <v>30041</v>
      </c>
      <c r="D10" s="11" t="str">
        <f ca="1">VLOOKUP($C10,OFFSET([2]quests!$A$1,0,0,COUNTA([2]quests!$A:$A),MATCH(D$1,[2]quests!$1:$1,0)-MATCH($C$1,[2]quests!$1:$1,0)+1),MATCH(D$1,[2]quests!$1:$1,0)-MATCH($C$1,[2]quests!$1:$1,0)+1,FALSE)</f>
        <v>パラノイア・アート</v>
      </c>
      <c r="E10" s="18" t="str">
        <f ca="1">VLOOKUP($C10,OFFSET([2]quests!$A$1,0,0,COUNTA([2]quests!$A:$A),MATCH(E$1,[2]quests!$1:$1,0)-MATCH($C$1,[2]quests!$1:$1,0)+1),MATCH(E$1,[2]quests!$1:$1,0)-MATCH($C$1,[2]quests!$1:$1,0)+1,FALSE)</f>
        <v>画家シリーズ超級</v>
      </c>
      <c r="F10" s="21">
        <v>3</v>
      </c>
      <c r="G10" s="23" t="str">
        <f t="shared" si="1"/>
        <v>30041_3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【超級】パラノイア・アート</v>
      </c>
      <c r="I10" s="21">
        <v>1</v>
      </c>
      <c r="J10" s="12">
        <v>50</v>
      </c>
      <c r="K10" s="12">
        <v>50</v>
      </c>
    </row>
    <row r="11" spans="1:11" ht="21" customHeight="1" x14ac:dyDescent="0.15">
      <c r="A11" s="16" t="str">
        <f t="shared" si="0"/>
        <v>30041_3-2</v>
      </c>
      <c r="B11" s="16" t="str">
        <f>IF(COUNTIF(enemy_habitats!$H:$H,A11),"OK","NG")</f>
        <v>OK</v>
      </c>
      <c r="C11" s="7">
        <v>30041</v>
      </c>
      <c r="D11" s="11" t="str">
        <f ca="1">VLOOKUP($C11,OFFSET([2]quests!$A$1,0,0,COUNTA([2]quests!$A:$A),MATCH(D$1,[2]quests!$1:$1,0)-MATCH($C$1,[2]quests!$1:$1,0)+1),MATCH(D$1,[2]quests!$1:$1,0)-MATCH($C$1,[2]quests!$1:$1,0)+1,FALSE)</f>
        <v>パラノイア・アート</v>
      </c>
      <c r="E11" s="18" t="str">
        <f ca="1">VLOOKUP($C11,OFFSET([2]quests!$A$1,0,0,COUNTA([2]quests!$A:$A),MATCH(E$1,[2]quests!$1:$1,0)-MATCH($C$1,[2]quests!$1:$1,0)+1),MATCH(E$1,[2]quests!$1:$1,0)-MATCH($C$1,[2]quests!$1:$1,0)+1,FALSE)</f>
        <v>画家シリーズ超級</v>
      </c>
      <c r="F11" s="21">
        <v>3</v>
      </c>
      <c r="G11" s="23" t="str">
        <f t="shared" si="1"/>
        <v>30041_3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【超級】パラノイア・アート</v>
      </c>
      <c r="I11" s="21">
        <v>2</v>
      </c>
      <c r="J11" s="12">
        <v>50</v>
      </c>
      <c r="K11" s="12">
        <v>50</v>
      </c>
    </row>
    <row r="12" spans="1:11" ht="21" customHeight="1" x14ac:dyDescent="0.15">
      <c r="A12" s="16" t="str">
        <f t="shared" si="0"/>
        <v>30041_3-3</v>
      </c>
      <c r="B12" s="16" t="str">
        <f>IF(COUNTIF(enemy_habitats!$H:$H,A12),"OK","NG")</f>
        <v>OK</v>
      </c>
      <c r="C12" s="7">
        <v>30041</v>
      </c>
      <c r="D12" s="11" t="str">
        <f ca="1">VLOOKUP($C12,OFFSET([2]quests!$A$1,0,0,COUNTA([2]quests!$A:$A),MATCH(D$1,[2]quests!$1:$1,0)-MATCH($C$1,[2]quests!$1:$1,0)+1),MATCH(D$1,[2]quests!$1:$1,0)-MATCH($C$1,[2]quests!$1:$1,0)+1,FALSE)</f>
        <v>パラノイア・アート</v>
      </c>
      <c r="E12" s="18" t="str">
        <f ca="1">VLOOKUP($C12,OFFSET([2]quests!$A$1,0,0,COUNTA([2]quests!$A:$A),MATCH(E$1,[2]quests!$1:$1,0)-MATCH($C$1,[2]quests!$1:$1,0)+1),MATCH(E$1,[2]quests!$1:$1,0)-MATCH($C$1,[2]quests!$1:$1,0)+1,FALSE)</f>
        <v>画家シリーズ超級</v>
      </c>
      <c r="F12" s="21">
        <v>3</v>
      </c>
      <c r="G12" s="23" t="str">
        <f t="shared" si="1"/>
        <v>30041_3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【超級】パラノイア・アート</v>
      </c>
      <c r="I12" s="21">
        <v>3</v>
      </c>
      <c r="J12" s="12">
        <v>30</v>
      </c>
      <c r="K12" s="12">
        <v>30</v>
      </c>
    </row>
    <row r="13" spans="1:11" ht="21" customHeight="1" x14ac:dyDescent="0.15">
      <c r="A13" s="16" t="str">
        <f t="shared" si="0"/>
        <v>30041_3-4</v>
      </c>
      <c r="B13" s="16" t="str">
        <f>IF(COUNTIF(enemy_habitats!$H:$H,A13),"OK","NG")</f>
        <v>OK</v>
      </c>
      <c r="C13" s="7">
        <v>30041</v>
      </c>
      <c r="D13" s="11" t="str">
        <f ca="1">VLOOKUP($C13,OFFSET([2]quests!$A$1,0,0,COUNTA([2]quests!$A:$A),MATCH(D$1,[2]quests!$1:$1,0)-MATCH($C$1,[2]quests!$1:$1,0)+1),MATCH(D$1,[2]quests!$1:$1,0)-MATCH($C$1,[2]quests!$1:$1,0)+1,FALSE)</f>
        <v>パラノイア・アート</v>
      </c>
      <c r="E13" s="18" t="str">
        <f ca="1">VLOOKUP($C13,OFFSET([2]quests!$A$1,0,0,COUNTA([2]quests!$A:$A),MATCH(E$1,[2]quests!$1:$1,0)-MATCH($C$1,[2]quests!$1:$1,0)+1),MATCH(E$1,[2]quests!$1:$1,0)-MATCH($C$1,[2]quests!$1:$1,0)+1,FALSE)</f>
        <v>画家シリーズ超級</v>
      </c>
      <c r="F13" s="21">
        <v>3</v>
      </c>
      <c r="G13" s="23" t="str">
        <f t="shared" si="1"/>
        <v>30041_3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【超級】パラノイア・アート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tabSelected="1" zoomScale="75" zoomScaleNormal="75" zoomScalePageLayoutView="75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J14" sqref="AJ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250</v>
      </c>
      <c r="U1" s="26" t="s">
        <v>50</v>
      </c>
      <c r="V1" s="100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30041_1-1/11&lt;lv30&gt;s1</v>
      </c>
      <c r="B2" s="22">
        <v>30041</v>
      </c>
      <c r="C2" s="21">
        <v>1</v>
      </c>
      <c r="D2" s="2" t="str">
        <f t="shared" ref="D2:D7" si="1">B2&amp;"_"&amp;C2</f>
        <v>30041_1</v>
      </c>
      <c r="E2" s="4" t="str">
        <f ca="1">VLOOKUP($B2,OFFSET([2]quests!$A$1,0,0,COUNTA([2]quests!$A:$A),MATCH(E$1,[2]quests!$1:$1,0)-MATCH($B$1,[2]quests!$1:$1,0)+1),MATCH(E$1,[2]quests!$1:$1,0)-MATCH($B$1,[2]quests!$1:$1,0)+1,FALSE)</f>
        <v>パラノイア・アート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【中級】パラノイア・アート</v>
      </c>
      <c r="G2" s="21">
        <v>1</v>
      </c>
      <c r="H2" s="15" t="str">
        <f t="shared" ref="H2:H7" si="2">B2&amp;"_"&amp;C2&amp;"-"&amp;G2</f>
        <v>30041_1-1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11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マグリット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1.5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7711.5</v>
      </c>
      <c r="U2" s="25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1589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緑パネルを5個生成</v>
      </c>
      <c r="Y2" s="62">
        <v>30041001</v>
      </c>
      <c r="Z2" s="6">
        <v>2</v>
      </c>
      <c r="AA2" s="6">
        <v>100</v>
      </c>
      <c r="AB2" s="6">
        <v>0</v>
      </c>
      <c r="AC2" s="103">
        <v>1</v>
      </c>
      <c r="AD2" s="24">
        <f t="shared" ref="AD2:AD7" si="3">L2</f>
        <v>11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マグリット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4">
        <f t="shared" ref="AI2:AI7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30041_1-1/371&lt;lv30&gt;s2</v>
      </c>
      <c r="B3" s="22">
        <v>30041</v>
      </c>
      <c r="C3" s="21">
        <v>1</v>
      </c>
      <c r="D3" s="2" t="str">
        <f t="shared" si="1"/>
        <v>30041_1</v>
      </c>
      <c r="E3" s="4" t="str">
        <f ca="1">VLOOKUP($B3,OFFSET([2]quests!$A$1,0,0,COUNTA([2]quests!$A:$A),MATCH(E$1,[2]quests!$1:$1,0)-MATCH($B$1,[2]quests!$1:$1,0)+1),MATCH(E$1,[2]quests!$1:$1,0)-MATCH($B$1,[2]quests!$1:$1,0)+1,FALSE)</f>
        <v>パラノイア・アート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【中級】パラノイア・アート</v>
      </c>
      <c r="G3" s="21">
        <v>1</v>
      </c>
      <c r="H3" s="15" t="str">
        <f t="shared" si="2"/>
        <v>30041_1-1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371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行灯達磨 タイチ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30</v>
      </c>
      <c r="S3" s="25">
        <v>2.2000000000000002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15246.000000000002</v>
      </c>
      <c r="U3" s="25">
        <v>1.5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4615.5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62">
        <v>30041002</v>
      </c>
      <c r="Z3" s="6">
        <v>1</v>
      </c>
      <c r="AA3" s="6">
        <v>100</v>
      </c>
      <c r="AB3" s="6">
        <v>1</v>
      </c>
      <c r="AC3" s="103">
        <v>2</v>
      </c>
      <c r="AD3" s="24">
        <f t="shared" si="3"/>
        <v>371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行灯達磨 タイチ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30041_1-2/35&lt;lv30&gt;s7</v>
      </c>
      <c r="B4" s="22">
        <v>30041</v>
      </c>
      <c r="C4" s="21">
        <v>1</v>
      </c>
      <c r="D4" s="2" t="str">
        <f t="shared" si="1"/>
        <v>30041_1</v>
      </c>
      <c r="E4" s="4" t="str">
        <f ca="1">VLOOKUP($B4,OFFSET([2]quests!$A$1,0,0,COUNTA([2]quests!$A:$A),MATCH(E$1,[2]quests!$1:$1,0)-MATCH($B$1,[2]quests!$1:$1,0)+1),MATCH(E$1,[2]quests!$1:$1,0)-MATCH($B$1,[2]quests!$1:$1,0)+1,FALSE)</f>
        <v>パラノイア・アート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【中級】パラノイア・アート</v>
      </c>
      <c r="G4" s="21">
        <v>2</v>
      </c>
      <c r="H4" s="15" t="str">
        <f t="shared" si="2"/>
        <v>30041_1-2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35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F2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25">
        <v>2.7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15614.1</v>
      </c>
      <c r="U4" s="25">
        <v>1.2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2000.3999999999999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ターンが0になると大爆発する！</v>
      </c>
      <c r="Y4" s="62">
        <v>30041003</v>
      </c>
      <c r="Z4" s="6">
        <v>2</v>
      </c>
      <c r="AA4" s="6">
        <v>100</v>
      </c>
      <c r="AB4" s="6">
        <v>0</v>
      </c>
      <c r="AC4" s="103">
        <v>7</v>
      </c>
      <c r="AD4" s="24">
        <f t="shared" si="3"/>
        <v>35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F2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30041_1-2/164&lt;lv30&gt;s1</v>
      </c>
      <c r="B5" s="22">
        <v>30041</v>
      </c>
      <c r="C5" s="21">
        <v>1</v>
      </c>
      <c r="D5" s="2" t="str">
        <f t="shared" si="1"/>
        <v>30041_1</v>
      </c>
      <c r="E5" s="4" t="str">
        <f ca="1">VLOOKUP($B5,OFFSET([2]quests!$A$1,0,0,COUNTA([2]quests!$A:$A),MATCH(E$1,[2]quests!$1:$1,0)-MATCH($B$1,[2]quests!$1:$1,0)+1),MATCH(E$1,[2]quests!$1:$1,0)-MATCH($B$1,[2]quests!$1:$1,0)+1,FALSE)</f>
        <v>パラノイア・アート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【中級】パラノイア・アート</v>
      </c>
      <c r="G5" s="21">
        <v>2</v>
      </c>
      <c r="H5" s="15" t="str">
        <f t="shared" si="2"/>
        <v>30041_1-2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>
        <v>1</v>
      </c>
      <c r="L5" s="20">
        <v>164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イブとトモダチ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30</v>
      </c>
      <c r="S5" s="25">
        <v>0.4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17236.400000000001</v>
      </c>
      <c r="U5" s="25">
        <v>0.7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1428.6999999999998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自身の防御力UP</v>
      </c>
      <c r="Y5" s="62">
        <v>30041004</v>
      </c>
      <c r="Z5" s="6">
        <v>1</v>
      </c>
      <c r="AA5" s="6">
        <v>100</v>
      </c>
      <c r="AB5" s="6">
        <v>1</v>
      </c>
      <c r="AC5" s="103">
        <v>1</v>
      </c>
      <c r="AD5" s="24">
        <f t="shared" si="3"/>
        <v>164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30041_1-3/150&lt;lv30&gt;s1</v>
      </c>
      <c r="B6" s="22">
        <v>30041</v>
      </c>
      <c r="C6" s="21">
        <v>1</v>
      </c>
      <c r="D6" s="2" t="str">
        <f t="shared" si="1"/>
        <v>30041_1</v>
      </c>
      <c r="E6" s="4" t="str">
        <f ca="1">VLOOKUP($B6,OFFSET([2]quests!$A$1,0,0,COUNTA([2]quests!$A:$A),MATCH(E$1,[2]quests!$1:$1,0)-MATCH($B$1,[2]quests!$1:$1,0)+1),MATCH(E$1,[2]quests!$1:$1,0)-MATCH($B$1,[2]quests!$1:$1,0)+1,FALSE)</f>
        <v>パラノイア・アート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【中級】パラノイア・アート</v>
      </c>
      <c r="G6" s="21">
        <v>3</v>
      </c>
      <c r="H6" s="15" t="str">
        <f t="shared" si="2"/>
        <v>30041_1-3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>
        <v>2</v>
      </c>
      <c r="L6" s="20">
        <v>150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ポイズンマスターサキ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30</v>
      </c>
      <c r="S6" s="25">
        <v>0.7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20519.8</v>
      </c>
      <c r="U6" s="25">
        <v>1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2680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4ターン確率で時限式ダメージパネルをドロップ</v>
      </c>
      <c r="Y6" s="62">
        <v>30041011</v>
      </c>
      <c r="Z6" s="6">
        <v>1</v>
      </c>
      <c r="AA6" s="6">
        <v>100</v>
      </c>
      <c r="AB6" s="6">
        <v>1</v>
      </c>
      <c r="AC6" s="103">
        <v>1</v>
      </c>
      <c r="AD6" s="24">
        <f t="shared" si="3"/>
        <v>150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30041_1-4/1096&lt;lv30&gt;s2</v>
      </c>
      <c r="B7" s="22">
        <v>30041</v>
      </c>
      <c r="C7" s="21">
        <v>1</v>
      </c>
      <c r="D7" s="2" t="str">
        <f t="shared" si="1"/>
        <v>30041_1</v>
      </c>
      <c r="E7" s="4" t="str">
        <f ca="1">VLOOKUP($B7,OFFSET([2]quests!$A$1,0,0,COUNTA([2]quests!$A:$A),MATCH(E$1,[2]quests!$1:$1,0)-MATCH($B$1,[2]quests!$1:$1,0)+1),MATCH(E$1,[2]quests!$1:$1,0)-MATCH($B$1,[2]quests!$1:$1,0)+1,FALSE)</f>
        <v>パラノイア・アート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【中級】パラノイア・アート</v>
      </c>
      <c r="G7" s="21">
        <v>4</v>
      </c>
      <c r="H7" s="15" t="str">
        <f t="shared" si="2"/>
        <v>30041_1-4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1096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ジャ・リダルサ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30</v>
      </c>
      <c r="S7" s="25">
        <v>3.1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114250.5</v>
      </c>
      <c r="U7" s="25">
        <v>1.1000000000000001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3225.2000000000003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確率で青時限式ダメージパネルをドロップ</v>
      </c>
      <c r="Y7" s="62">
        <v>30041008</v>
      </c>
      <c r="Z7" s="6">
        <v>1</v>
      </c>
      <c r="AA7" s="6">
        <v>100</v>
      </c>
      <c r="AB7" s="6">
        <v>1</v>
      </c>
      <c r="AC7" s="103">
        <v>2</v>
      </c>
      <c r="AD7" s="24">
        <f t="shared" si="3"/>
        <v>1096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ジャ・リダルサ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ref="A8:A13" si="5">B8&amp;"_"&amp;C8&amp;"-"&amp;G8&amp;"/"&amp;L8&amp;"&lt;lv"&amp;R8&amp;"&gt;s"&amp;AC8</f>
        <v>30041_2-1/11&lt;lv40&gt;s1</v>
      </c>
      <c r="B8" s="22">
        <v>30041</v>
      </c>
      <c r="C8" s="21">
        <v>2</v>
      </c>
      <c r="D8" s="2" t="str">
        <f t="shared" ref="D8:D13" si="6">B8&amp;"_"&amp;C8</f>
        <v>30041_2</v>
      </c>
      <c r="E8" s="4" t="str">
        <f ca="1">VLOOKUP($B8,OFFSET([2]quests!$A$1,0,0,COUNTA([2]quests!$A:$A),MATCH(E$1,[2]quests!$1:$1,0)-MATCH($B$1,[2]quests!$1:$1,0)+1),MATCH(E$1,[2]quests!$1:$1,0)-MATCH($B$1,[2]quests!$1:$1,0)+1,FALSE)</f>
        <v>パラノイア・アート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【上級】パラノイア・アート</v>
      </c>
      <c r="G8" s="21">
        <v>1</v>
      </c>
      <c r="H8" s="15" t="str">
        <f t="shared" ref="H8:H13" si="7">B8&amp;"_"&amp;C8&amp;"-"&amp;G8</f>
        <v>30041_2-1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11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マグリット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40</v>
      </c>
      <c r="S8" s="25">
        <v>1.5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10159.5</v>
      </c>
      <c r="U8" s="25">
        <v>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2094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緑パネルを5個生成</v>
      </c>
      <c r="Y8" s="62">
        <v>30041001</v>
      </c>
      <c r="Z8" s="6">
        <v>2</v>
      </c>
      <c r="AA8" s="6">
        <v>100</v>
      </c>
      <c r="AB8" s="6">
        <v>0</v>
      </c>
      <c r="AC8" s="103">
        <v>1</v>
      </c>
      <c r="AD8" s="24">
        <f t="shared" ref="AD8:AD13" si="8">L8</f>
        <v>11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マグリット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7">
        <v>1</v>
      </c>
      <c r="AI8" s="24">
        <f t="shared" ref="AI8:AI13" ca="1" si="9">AF8</f>
        <v>1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5"/>
        <v>30041_2-1/371&lt;lv40&gt;s2</v>
      </c>
      <c r="B9" s="22">
        <v>30041</v>
      </c>
      <c r="C9" s="21">
        <v>2</v>
      </c>
      <c r="D9" s="2" t="str">
        <f t="shared" si="6"/>
        <v>30041_2</v>
      </c>
      <c r="E9" s="4" t="str">
        <f ca="1">VLOOKUP($B9,OFFSET([2]quests!$A$1,0,0,COUNTA([2]quests!$A:$A),MATCH(E$1,[2]quests!$1:$1,0)-MATCH($B$1,[2]quests!$1:$1,0)+1),MATCH(E$1,[2]quests!$1:$1,0)-MATCH($B$1,[2]quests!$1:$1,0)+1,FALSE)</f>
        <v>パラノイア・アート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【上級】パラノイア・アート</v>
      </c>
      <c r="G9" s="21">
        <v>1</v>
      </c>
      <c r="H9" s="15" t="str">
        <f t="shared" si="7"/>
        <v>30041_2-1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20">
        <v>371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行灯達磨 タイチ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40</v>
      </c>
      <c r="S9" s="25">
        <v>2.2000000000000002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20086</v>
      </c>
      <c r="U9" s="25">
        <v>1.3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5270.2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62">
        <v>30041002</v>
      </c>
      <c r="Z9" s="6">
        <v>1</v>
      </c>
      <c r="AA9" s="6">
        <v>100</v>
      </c>
      <c r="AB9" s="6">
        <v>1</v>
      </c>
      <c r="AC9" s="103">
        <v>2</v>
      </c>
      <c r="AD9" s="24">
        <f t="shared" si="8"/>
        <v>371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行灯達磨 タイチ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9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5"/>
        <v>30041_2-2/35&lt;lv40&gt;s7</v>
      </c>
      <c r="B10" s="22">
        <v>30041</v>
      </c>
      <c r="C10" s="21">
        <v>2</v>
      </c>
      <c r="D10" s="2" t="str">
        <f t="shared" si="6"/>
        <v>30041_2</v>
      </c>
      <c r="E10" s="4" t="str">
        <f ca="1">VLOOKUP($B10,OFFSET([2]quests!$A$1,0,0,COUNTA([2]quests!$A:$A),MATCH(E$1,[2]quests!$1:$1,0)-MATCH($B$1,[2]quests!$1:$1,0)+1),MATCH(E$1,[2]quests!$1:$1,0)-MATCH($B$1,[2]quests!$1:$1,0)+1,FALSE)</f>
        <v>パラノイア・アート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【上級】パラノイア・アート</v>
      </c>
      <c r="G10" s="21">
        <v>2</v>
      </c>
      <c r="H10" s="15" t="str">
        <f t="shared" si="7"/>
        <v>30041_2-2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8" t="s">
        <v>53</v>
      </c>
      <c r="L10" s="20">
        <v>35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F2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25">
        <v>2.7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20571.300000000003</v>
      </c>
      <c r="U10" s="25">
        <v>1.1000000000000001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2415.6000000000004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ターンが0になると大爆発する！</v>
      </c>
      <c r="Y10" s="62">
        <v>30041003</v>
      </c>
      <c r="Z10" s="6">
        <v>2</v>
      </c>
      <c r="AA10" s="6">
        <v>100</v>
      </c>
      <c r="AB10" s="6">
        <v>0</v>
      </c>
      <c r="AC10" s="103">
        <v>7</v>
      </c>
      <c r="AD10" s="24">
        <f t="shared" si="8"/>
        <v>35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F2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9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30041_2-2/164&lt;lv40&gt;s1</v>
      </c>
      <c r="B11" s="22">
        <v>30041</v>
      </c>
      <c r="C11" s="21">
        <v>2</v>
      </c>
      <c r="D11" s="2" t="str">
        <f t="shared" si="6"/>
        <v>30041_2</v>
      </c>
      <c r="E11" s="4" t="str">
        <f ca="1">VLOOKUP($B11,OFFSET([2]quests!$A$1,0,0,COUNTA([2]quests!$A:$A),MATCH(E$1,[2]quests!$1:$1,0)-MATCH($B$1,[2]quests!$1:$1,0)+1),MATCH(E$1,[2]quests!$1:$1,0)-MATCH($B$1,[2]quests!$1:$1,0)+1,FALSE)</f>
        <v>パラノイア・アート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【上級】パラノイア・アート</v>
      </c>
      <c r="G11" s="21">
        <v>2</v>
      </c>
      <c r="H11" s="15" t="str">
        <f t="shared" si="7"/>
        <v>30041_2-2</v>
      </c>
      <c r="I11" s="4">
        <f ca="1">VLOOKUP($H11,OFFSET(floors!$A$1,0,0,COUNTA(floors!$A:$A),MATCH(I$1,floors!$1:$1,0)-MATCH($H$1,floors!$1:$1,0)+1),MATCH(I$1,floors!$1:$1,0)-MATCH($H$1,floors!$1:$1,0)+1,FALSE)</f>
        <v>50</v>
      </c>
      <c r="J11" s="4">
        <f ca="1">VLOOKUP($H11,OFFSET(floors!$A$1,0,0,COUNTA(floors!$A:$A),MATCH(J$1,floors!$1:$1,0)-MATCH($H$1,floors!$1:$1,0)+1),MATCH(J$1,floors!$1:$1,0)-MATCH($H$1,floors!$1:$1,0)+1,FALSE)</f>
        <v>50</v>
      </c>
      <c r="K11" s="38">
        <v>1</v>
      </c>
      <c r="L11" s="20">
        <v>164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イブとトモダチ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40</v>
      </c>
      <c r="S11" s="25">
        <v>0.4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22708.400000000001</v>
      </c>
      <c r="U11" s="25">
        <v>0.7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1882.3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自身の防御力UP</v>
      </c>
      <c r="Y11" s="62">
        <v>30041004</v>
      </c>
      <c r="Z11" s="6">
        <v>1</v>
      </c>
      <c r="AA11" s="6">
        <v>100</v>
      </c>
      <c r="AB11" s="6">
        <v>1</v>
      </c>
      <c r="AC11" s="103">
        <v>1</v>
      </c>
      <c r="AD11" s="24">
        <f t="shared" si="8"/>
        <v>164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9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30041_2-3/150&lt;lv40&gt;s1</v>
      </c>
      <c r="B12" s="22">
        <v>30041</v>
      </c>
      <c r="C12" s="21">
        <v>2</v>
      </c>
      <c r="D12" s="2" t="str">
        <f t="shared" si="6"/>
        <v>30041_2</v>
      </c>
      <c r="E12" s="4" t="str">
        <f ca="1">VLOOKUP($B12,OFFSET([2]quests!$A$1,0,0,COUNTA([2]quests!$A:$A),MATCH(E$1,[2]quests!$1:$1,0)-MATCH($B$1,[2]quests!$1:$1,0)+1),MATCH(E$1,[2]quests!$1:$1,0)-MATCH($B$1,[2]quests!$1:$1,0)+1,FALSE)</f>
        <v>パラノイア・アート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【上級】パラノイア・アート</v>
      </c>
      <c r="G12" s="21">
        <v>3</v>
      </c>
      <c r="H12" s="15" t="str">
        <f t="shared" si="7"/>
        <v>30041_2-3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>
        <v>2</v>
      </c>
      <c r="L12" s="20">
        <v>150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ポイズンマスターサキ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40</v>
      </c>
      <c r="S12" s="25">
        <v>0.7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27034</v>
      </c>
      <c r="U12" s="25">
        <v>1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3530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4ターン確率で時限式ダメージパネルをドロップ</v>
      </c>
      <c r="Y12" s="62">
        <v>30041006</v>
      </c>
      <c r="Z12" s="6">
        <v>1</v>
      </c>
      <c r="AA12" s="6">
        <v>100</v>
      </c>
      <c r="AB12" s="6">
        <v>1</v>
      </c>
      <c r="AC12" s="103">
        <v>1</v>
      </c>
      <c r="AD12" s="24">
        <f t="shared" si="8"/>
        <v>150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9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30041_2-4/1096&lt;lv40&gt;s2</v>
      </c>
      <c r="B13" s="22">
        <v>30041</v>
      </c>
      <c r="C13" s="21">
        <v>2</v>
      </c>
      <c r="D13" s="2" t="str">
        <f t="shared" si="6"/>
        <v>30041_2</v>
      </c>
      <c r="E13" s="4" t="str">
        <f ca="1">VLOOKUP($B13,OFFSET([2]quests!$A$1,0,0,COUNTA([2]quests!$A:$A),MATCH(E$1,[2]quests!$1:$1,0)-MATCH($B$1,[2]quests!$1:$1,0)+1),MATCH(E$1,[2]quests!$1:$1,0)-MATCH($B$1,[2]quests!$1:$1,0)+1,FALSE)</f>
        <v>パラノイア・アート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【上級】パラノイア・アート</v>
      </c>
      <c r="G13" s="21">
        <v>4</v>
      </c>
      <c r="H13" s="15" t="str">
        <f t="shared" si="7"/>
        <v>30041_2-4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3</v>
      </c>
      <c r="L13" s="20">
        <v>1096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ジャ・リダルサ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40</v>
      </c>
      <c r="S13" s="25">
        <v>2.5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121387.5</v>
      </c>
      <c r="U13" s="25">
        <v>1.1000000000000001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4249.3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確率で青時限式ダメージパネルをドロップ</v>
      </c>
      <c r="Y13" s="62">
        <v>30041008</v>
      </c>
      <c r="Z13" s="6">
        <v>1</v>
      </c>
      <c r="AA13" s="6">
        <v>100</v>
      </c>
      <c r="AB13" s="6">
        <v>1</v>
      </c>
      <c r="AC13" s="103">
        <v>2</v>
      </c>
      <c r="AD13" s="24">
        <f t="shared" si="8"/>
        <v>1096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ジャ・リダルサ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9"/>
        <v>4</v>
      </c>
      <c r="AJ13" s="8">
        <v>50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ref="A14:A19" si="10">B14&amp;"_"&amp;C14&amp;"-"&amp;G14&amp;"/"&amp;L14&amp;"&lt;lv"&amp;R14&amp;"&gt;s"&amp;AC14</f>
        <v>30041_3-1/11&lt;lv60&gt;s1</v>
      </c>
      <c r="B14" s="22">
        <v>30041</v>
      </c>
      <c r="C14" s="21">
        <v>3</v>
      </c>
      <c r="D14" s="2" t="str">
        <f t="shared" ref="D14:D19" si="11">B14&amp;"_"&amp;C14</f>
        <v>30041_3</v>
      </c>
      <c r="E14" s="4" t="str">
        <f ca="1">VLOOKUP($B14,OFFSET([2]quests!$A$1,0,0,COUNTA([2]quests!$A:$A),MATCH(E$1,[2]quests!$1:$1,0)-MATCH($B$1,[2]quests!$1:$1,0)+1),MATCH(E$1,[2]quests!$1:$1,0)-MATCH($B$1,[2]quests!$1:$1,0)+1,FALSE)</f>
        <v>パラノイア・アート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【超級】パラノイア・アート</v>
      </c>
      <c r="G14" s="21">
        <v>1</v>
      </c>
      <c r="H14" s="15" t="str">
        <f t="shared" ref="H14:H19" si="12">B14&amp;"_"&amp;C14&amp;"-"&amp;G14</f>
        <v>30041_3-1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8" t="s">
        <v>53</v>
      </c>
      <c r="L14" s="20">
        <v>11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マグリット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25">
        <v>1.5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15055.5</v>
      </c>
      <c r="U14" s="25">
        <v>1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3103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緑パネルを5個生成</v>
      </c>
      <c r="Y14" s="62">
        <v>30041001</v>
      </c>
      <c r="Z14" s="6">
        <v>2</v>
      </c>
      <c r="AA14" s="6">
        <v>100</v>
      </c>
      <c r="AB14" s="6">
        <v>0</v>
      </c>
      <c r="AC14" s="103">
        <v>1</v>
      </c>
      <c r="AD14" s="24">
        <f t="shared" ref="AD14:AD19" si="13">L14</f>
        <v>11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マグリット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Drop1W</v>
      </c>
      <c r="AH14" s="7">
        <v>1</v>
      </c>
      <c r="AI14" s="24">
        <f t="shared" ref="AI14:AI19" ca="1" si="14">AF14</f>
        <v>1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10"/>
        <v>30041_3-1/371&lt;lv60&gt;s2</v>
      </c>
      <c r="B15" s="22">
        <v>30041</v>
      </c>
      <c r="C15" s="21">
        <v>3</v>
      </c>
      <c r="D15" s="2" t="str">
        <f t="shared" si="11"/>
        <v>30041_3</v>
      </c>
      <c r="E15" s="4" t="str">
        <f ca="1">VLOOKUP($B15,OFFSET([2]quests!$A$1,0,0,COUNTA([2]quests!$A:$A),MATCH(E$1,[2]quests!$1:$1,0)-MATCH($B$1,[2]quests!$1:$1,0)+1),MATCH(E$1,[2]quests!$1:$1,0)-MATCH($B$1,[2]quests!$1:$1,0)+1,FALSE)</f>
        <v>パラノイア・アート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【超級】パラノイア・アート</v>
      </c>
      <c r="G15" s="21">
        <v>1</v>
      </c>
      <c r="H15" s="15" t="str">
        <f t="shared" si="12"/>
        <v>30041_3-1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8" t="s">
        <v>53</v>
      </c>
      <c r="L15" s="20">
        <v>371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行灯達磨 タイチ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60</v>
      </c>
      <c r="S15" s="25">
        <v>2.2000000000000002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29766.000000000004</v>
      </c>
      <c r="U15" s="25">
        <v>1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6007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5" s="62">
        <v>30041002</v>
      </c>
      <c r="Z15" s="6">
        <v>1</v>
      </c>
      <c r="AA15" s="6">
        <v>100</v>
      </c>
      <c r="AB15" s="6">
        <v>1</v>
      </c>
      <c r="AC15" s="103">
        <v>2</v>
      </c>
      <c r="AD15" s="24">
        <f t="shared" si="13"/>
        <v>371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行灯達磨 タイチ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Drop1S</v>
      </c>
      <c r="AH15" s="7">
        <v>1</v>
      </c>
      <c r="AI15" s="24">
        <f t="shared" ca="1" si="14"/>
        <v>3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10"/>
        <v>30041_3-2/35&lt;lv60&gt;s7</v>
      </c>
      <c r="B16" s="22">
        <v>30041</v>
      </c>
      <c r="C16" s="21">
        <v>3</v>
      </c>
      <c r="D16" s="2" t="str">
        <f t="shared" si="11"/>
        <v>30041_3</v>
      </c>
      <c r="E16" s="4" t="str">
        <f ca="1">VLOOKUP($B16,OFFSET([2]quests!$A$1,0,0,COUNTA([2]quests!$A:$A),MATCH(E$1,[2]quests!$1:$1,0)-MATCH($B$1,[2]quests!$1:$1,0)+1),MATCH(E$1,[2]quests!$1:$1,0)-MATCH($B$1,[2]quests!$1:$1,0)+1,FALSE)</f>
        <v>パラノイア・アート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【超級】パラノイア・アート</v>
      </c>
      <c r="G16" s="21">
        <v>2</v>
      </c>
      <c r="H16" s="15" t="str">
        <f t="shared" si="12"/>
        <v>30041_3-2</v>
      </c>
      <c r="I16" s="4">
        <f ca="1">VLOOKUP($H16,OFFSET(floors!$A$1,0,0,COUNTA(floors!$A:$A),MATCH(I$1,floors!$1:$1,0)-MATCH($H$1,floors!$1:$1,0)+1),MATCH(I$1,floors!$1:$1,0)-MATCH($H$1,floors!$1:$1,0)+1,FALSE)</f>
        <v>50</v>
      </c>
      <c r="J16" s="4">
        <f ca="1">VLOOKUP($H16,OFFSET(floors!$A$1,0,0,COUNTA(floors!$A:$A),MATCH(J$1,floors!$1:$1,0)-MATCH($H$1,floors!$1:$1,0)+1),MATCH(J$1,floors!$1:$1,0)-MATCH($H$1,floors!$1:$1,0)+1,FALSE)</f>
        <v>50</v>
      </c>
      <c r="K16" s="38" t="s">
        <v>53</v>
      </c>
      <c r="L16" s="20">
        <v>35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F2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60</v>
      </c>
      <c r="S16" s="25">
        <v>2.7</v>
      </c>
      <c r="T16" s="101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30485.7</v>
      </c>
      <c r="U16" s="25">
        <v>1</v>
      </c>
      <c r="V16" s="101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3255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ターンが0になると大爆発する！</v>
      </c>
      <c r="Y16" s="62">
        <v>30041003</v>
      </c>
      <c r="Z16" s="6">
        <v>2</v>
      </c>
      <c r="AA16" s="6">
        <v>100</v>
      </c>
      <c r="AB16" s="6">
        <v>0</v>
      </c>
      <c r="AC16" s="103">
        <v>7</v>
      </c>
      <c r="AD16" s="24">
        <f t="shared" si="13"/>
        <v>35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F2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4">
        <f t="shared" ca="1" si="14"/>
        <v>2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10"/>
        <v>30041_3-2/164&lt;lv60&gt;s1</v>
      </c>
      <c r="B17" s="22">
        <v>30041</v>
      </c>
      <c r="C17" s="21">
        <v>3</v>
      </c>
      <c r="D17" s="2" t="str">
        <f t="shared" si="11"/>
        <v>30041_3</v>
      </c>
      <c r="E17" s="4" t="str">
        <f ca="1">VLOOKUP($B17,OFFSET([2]quests!$A$1,0,0,COUNTA([2]quests!$A:$A),MATCH(E$1,[2]quests!$1:$1,0)-MATCH($B$1,[2]quests!$1:$1,0)+1),MATCH(E$1,[2]quests!$1:$1,0)-MATCH($B$1,[2]quests!$1:$1,0)+1,FALSE)</f>
        <v>パラノイア・アート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【超級】パラノイア・アート</v>
      </c>
      <c r="G17" s="21">
        <v>2</v>
      </c>
      <c r="H17" s="15" t="str">
        <f t="shared" si="12"/>
        <v>30041_3-2</v>
      </c>
      <c r="I17" s="4">
        <f ca="1">VLOOKUP($H17,OFFSET(floors!$A$1,0,0,COUNTA(floors!$A:$A),MATCH(I$1,floors!$1:$1,0)-MATCH($H$1,floors!$1:$1,0)+1),MATCH(I$1,floors!$1:$1,0)-MATCH($H$1,floors!$1:$1,0)+1,FALSE)</f>
        <v>50</v>
      </c>
      <c r="J17" s="4">
        <f ca="1">VLOOKUP($H17,OFFSET(floors!$A$1,0,0,COUNTA(floors!$A:$A),MATCH(J$1,floors!$1:$1,0)-MATCH($H$1,floors!$1:$1,0)+1),MATCH(J$1,floors!$1:$1,0)-MATCH($H$1,floors!$1:$1,0)+1,FALSE)</f>
        <v>50</v>
      </c>
      <c r="K17" s="38">
        <v>1</v>
      </c>
      <c r="L17" s="20">
        <v>164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イブとトモダチ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60</v>
      </c>
      <c r="S17" s="25">
        <v>0.4</v>
      </c>
      <c r="T17" s="101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33652.400000000001</v>
      </c>
      <c r="U17" s="25">
        <v>0.7</v>
      </c>
      <c r="V17" s="101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2789.5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自身の防御力UP</v>
      </c>
      <c r="Y17" s="62">
        <v>30041004</v>
      </c>
      <c r="Z17" s="6">
        <v>1</v>
      </c>
      <c r="AA17" s="6">
        <v>100</v>
      </c>
      <c r="AB17" s="6">
        <v>1</v>
      </c>
      <c r="AC17" s="103">
        <v>1</v>
      </c>
      <c r="AD17" s="24">
        <f t="shared" si="13"/>
        <v>164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イブとトモダチ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7" s="7">
        <v>1</v>
      </c>
      <c r="AI17" s="24">
        <f t="shared" ca="1" si="14"/>
        <v>3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10"/>
        <v>30041_3-3/150&lt;lv60&gt;s1</v>
      </c>
      <c r="B18" s="22">
        <v>30041</v>
      </c>
      <c r="C18" s="21">
        <v>3</v>
      </c>
      <c r="D18" s="2" t="str">
        <f t="shared" si="11"/>
        <v>30041_3</v>
      </c>
      <c r="E18" s="4" t="str">
        <f ca="1">VLOOKUP($B18,OFFSET([2]quests!$A$1,0,0,COUNTA([2]quests!$A:$A),MATCH(E$1,[2]quests!$1:$1,0)-MATCH($B$1,[2]quests!$1:$1,0)+1),MATCH(E$1,[2]quests!$1:$1,0)-MATCH($B$1,[2]quests!$1:$1,0)+1,FALSE)</f>
        <v>パラノイア・アート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【超級】パラノイア・アート</v>
      </c>
      <c r="G18" s="21">
        <v>3</v>
      </c>
      <c r="H18" s="15" t="str">
        <f t="shared" si="12"/>
        <v>30041_3-3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8">
        <v>2</v>
      </c>
      <c r="L18" s="20">
        <v>150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ポイズンマスターサキ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60</v>
      </c>
      <c r="S18" s="25">
        <v>0.7</v>
      </c>
      <c r="T18" s="101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40062.399999999994</v>
      </c>
      <c r="U18" s="25">
        <v>1</v>
      </c>
      <c r="V18" s="101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5232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4ターン確率で時限式ダメージパネルをドロップ</v>
      </c>
      <c r="Y18" s="62">
        <v>30041006</v>
      </c>
      <c r="Z18" s="6">
        <v>1</v>
      </c>
      <c r="AA18" s="6">
        <v>100</v>
      </c>
      <c r="AB18" s="6">
        <v>1</v>
      </c>
      <c r="AC18" s="103">
        <v>1</v>
      </c>
      <c r="AD18" s="24">
        <f t="shared" si="13"/>
        <v>150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8" s="7">
        <v>1</v>
      </c>
      <c r="AI18" s="24">
        <f t="shared" ca="1" si="14"/>
        <v>3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10"/>
        <v>30041_3-4/1096&lt;lv60&gt;s2</v>
      </c>
      <c r="B19" s="22">
        <v>30041</v>
      </c>
      <c r="C19" s="21">
        <v>3</v>
      </c>
      <c r="D19" s="2" t="str">
        <f t="shared" si="11"/>
        <v>30041_3</v>
      </c>
      <c r="E19" s="4" t="str">
        <f ca="1">VLOOKUP($B19,OFFSET([2]quests!$A$1,0,0,COUNTA([2]quests!$A:$A),MATCH(E$1,[2]quests!$1:$1,0)-MATCH($B$1,[2]quests!$1:$1,0)+1),MATCH(E$1,[2]quests!$1:$1,0)-MATCH($B$1,[2]quests!$1:$1,0)+1,FALSE)</f>
        <v>パラノイア・アート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【超級】パラノイア・アート</v>
      </c>
      <c r="G19" s="21">
        <v>4</v>
      </c>
      <c r="H19" s="15" t="str">
        <f t="shared" si="12"/>
        <v>30041_3-4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3</v>
      </c>
      <c r="L19" s="20">
        <v>1096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ジャ・リダルサ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60</v>
      </c>
      <c r="S19" s="25">
        <v>2.1</v>
      </c>
      <c r="T19" s="101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151105.5</v>
      </c>
      <c r="U19" s="25">
        <v>1.1000000000000001</v>
      </c>
      <c r="V19" s="101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6297.5000000000009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確率で青時限式ダメージパネルをドロップ</v>
      </c>
      <c r="Y19" s="62">
        <v>30041008</v>
      </c>
      <c r="Z19" s="6">
        <v>1</v>
      </c>
      <c r="AA19" s="6">
        <v>100</v>
      </c>
      <c r="AB19" s="6">
        <v>1</v>
      </c>
      <c r="AC19" s="103">
        <v>2</v>
      </c>
      <c r="AD19" s="24">
        <f t="shared" si="13"/>
        <v>1096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ジャ・リダルサ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4"/>
        <v>4</v>
      </c>
      <c r="AJ19" s="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0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2" sqref="N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250</v>
      </c>
      <c r="V1" s="26" t="s">
        <v>50</v>
      </c>
      <c r="W1" s="100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10" si="0">B2&amp;"_"&amp;C2&amp;"-"&amp;G2&amp;"/"&amp;M2&amp;"&lt;lv"&amp;S2&amp;"&gt;sq"&amp;K2&amp;"st"&amp;L2</f>
        <v>30041_1-2/164&lt;lv30&gt;sq1st2</v>
      </c>
      <c r="B2" s="22">
        <v>30041</v>
      </c>
      <c r="C2" s="21">
        <v>1</v>
      </c>
      <c r="D2" s="2" t="str">
        <f t="shared" ref="D2:D10" si="1">B2&amp;"_"&amp;C2</f>
        <v>30041_1</v>
      </c>
      <c r="E2" s="4" t="str">
        <f ca="1">VLOOKUP($B2,OFFSET([2]quests!$A$1,0,0,COUNTA([2]quests!$A:$A),MATCH(E$1,[2]quests!$1:$1,0)-MATCH($B$1,[2]quests!$1:$1,0)+1),MATCH(E$1,[2]quests!$1:$1,0)-MATCH($B$1,[2]quests!$1:$1,0)+1,FALSE)</f>
        <v>パラノイア・アート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【中級】パラノイア・アート</v>
      </c>
      <c r="G2" s="21">
        <v>2</v>
      </c>
      <c r="H2" s="15" t="str">
        <f t="shared" ref="H2:H10" si="2">B2&amp;"_"&amp;C2&amp;"-"&amp;G2</f>
        <v>30041_1-2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>
        <v>1</v>
      </c>
      <c r="L2" s="38">
        <v>2</v>
      </c>
      <c r="M2" s="20">
        <v>164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イブとトモダチ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30</v>
      </c>
      <c r="T2" s="25">
        <v>0.5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21545.5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2041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自身の攻撃力UP</v>
      </c>
      <c r="Z2" s="62">
        <v>30041005</v>
      </c>
      <c r="AA2" s="104">
        <v>2</v>
      </c>
    </row>
    <row r="3" spans="1:27" ht="21" customHeight="1" x14ac:dyDescent="0.15">
      <c r="A3" s="16" t="str">
        <f t="shared" si="0"/>
        <v>30041_1-3/151&lt;lv30&gt;sq2st2</v>
      </c>
      <c r="B3" s="22">
        <v>30041</v>
      </c>
      <c r="C3" s="21">
        <v>1</v>
      </c>
      <c r="D3" s="2" t="str">
        <f t="shared" si="1"/>
        <v>30041_1</v>
      </c>
      <c r="E3" s="4" t="str">
        <f ca="1">VLOOKUP($B3,OFFSET([2]quests!$A$1,0,0,COUNTA([2]quests!$A:$A),MATCH(E$1,[2]quests!$1:$1,0)-MATCH($B$1,[2]quests!$1:$1,0)+1),MATCH(E$1,[2]quests!$1:$1,0)-MATCH($B$1,[2]quests!$1:$1,0)+1,FALSE)</f>
        <v>パラノイア・アート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【中級】パラノイア・アート</v>
      </c>
      <c r="G3" s="21">
        <v>3</v>
      </c>
      <c r="H3" s="15" t="str">
        <f t="shared" si="2"/>
        <v>30041_1-3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2</v>
      </c>
      <c r="L3" s="38">
        <v>2</v>
      </c>
      <c r="M3" s="20">
        <v>151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毒煙の処刑人サキ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PremiumW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30</v>
      </c>
      <c r="T3" s="25">
        <v>0.7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24250.799999999999</v>
      </c>
      <c r="V3" s="25">
        <v>1.2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3483.6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単体攻撃＋残りHPが少ないほど威力UP</v>
      </c>
      <c r="Z3" s="62">
        <v>30041007</v>
      </c>
      <c r="AA3" s="104">
        <v>1</v>
      </c>
    </row>
    <row r="4" spans="1:27" ht="21" customHeight="1" x14ac:dyDescent="0.15">
      <c r="A4" s="16" t="str">
        <f t="shared" si="0"/>
        <v>30041_2-2/164&lt;lv40&gt;sq1st2</v>
      </c>
      <c r="B4" s="22">
        <v>30041</v>
      </c>
      <c r="C4" s="21">
        <v>2</v>
      </c>
      <c r="D4" s="2" t="str">
        <f t="shared" si="1"/>
        <v>30041_2</v>
      </c>
      <c r="E4" s="4" t="str">
        <f ca="1">VLOOKUP($B4,OFFSET([2]quests!$A$1,0,0,COUNTA([2]quests!$A:$A),MATCH(E$1,[2]quests!$1:$1,0)-MATCH($B$1,[2]quests!$1:$1,0)+1),MATCH(E$1,[2]quests!$1:$1,0)-MATCH($B$1,[2]quests!$1:$1,0)+1,FALSE)</f>
        <v>パラノイア・アート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【上級】パラノイア・アート</v>
      </c>
      <c r="G4" s="21">
        <v>2</v>
      </c>
      <c r="H4" s="15" t="str">
        <f t="shared" si="2"/>
        <v>30041_2-2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>
        <v>1</v>
      </c>
      <c r="L4" s="38">
        <v>2</v>
      </c>
      <c r="M4" s="20">
        <v>164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イブとトモダチ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PremiumW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40</v>
      </c>
      <c r="T4" s="25">
        <v>0.5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28385.5</v>
      </c>
      <c r="V4" s="25">
        <v>1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2689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自身の攻撃力UP</v>
      </c>
      <c r="Z4" s="62">
        <v>30041005</v>
      </c>
      <c r="AA4" s="104">
        <v>2</v>
      </c>
    </row>
    <row r="5" spans="1:27" ht="21" customHeight="1" x14ac:dyDescent="0.15">
      <c r="A5" s="16" t="str">
        <f t="shared" si="0"/>
        <v>30041_2-3/151&lt;lv40&gt;sq2st2</v>
      </c>
      <c r="B5" s="22">
        <v>30041</v>
      </c>
      <c r="C5" s="21">
        <v>2</v>
      </c>
      <c r="D5" s="2" t="str">
        <f t="shared" si="1"/>
        <v>30041_2</v>
      </c>
      <c r="E5" s="4" t="str">
        <f ca="1">VLOOKUP($B5,OFFSET([2]quests!$A$1,0,0,COUNTA([2]quests!$A:$A),MATCH(E$1,[2]quests!$1:$1,0)-MATCH($B$1,[2]quests!$1:$1,0)+1),MATCH(E$1,[2]quests!$1:$1,0)-MATCH($B$1,[2]quests!$1:$1,0)+1,FALSE)</f>
        <v>パラノイア・アート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【上級】パラノイア・アート</v>
      </c>
      <c r="G5" s="21">
        <v>3</v>
      </c>
      <c r="H5" s="15" t="str">
        <f t="shared" si="2"/>
        <v>30041_2-3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>
        <v>2</v>
      </c>
      <c r="L5" s="38">
        <v>2</v>
      </c>
      <c r="M5" s="20">
        <v>151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毒煙の処刑人サキ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PremiumW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40</v>
      </c>
      <c r="T5" s="25">
        <v>0.7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31949.399999999998</v>
      </c>
      <c r="V5" s="25">
        <v>1.2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4588.8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単体攻撃＋残りHPが少ないほど威力UP</v>
      </c>
      <c r="Z5" s="62">
        <v>30041007</v>
      </c>
      <c r="AA5" s="104">
        <v>1</v>
      </c>
    </row>
    <row r="6" spans="1:27" ht="21" customHeight="1" x14ac:dyDescent="0.15">
      <c r="A6" s="16" t="str">
        <f t="shared" si="0"/>
        <v>30041_2-4/1097&lt;lv40&gt;sq3st2</v>
      </c>
      <c r="B6" s="22">
        <v>30041</v>
      </c>
      <c r="C6" s="21">
        <v>2</v>
      </c>
      <c r="D6" s="2" t="str">
        <f t="shared" si="1"/>
        <v>30041_2</v>
      </c>
      <c r="E6" s="4" t="str">
        <f ca="1">VLOOKUP($B6,OFFSET([2]quests!$A$1,0,0,COUNTA([2]quests!$A:$A),MATCH(E$1,[2]quests!$1:$1,0)-MATCH($B$1,[2]quests!$1:$1,0)+1),MATCH(E$1,[2]quests!$1:$1,0)-MATCH($B$1,[2]quests!$1:$1,0)+1,FALSE)</f>
        <v>パラノイア・アート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【上級】パラノイア・アート</v>
      </c>
      <c r="G6" s="21">
        <v>4</v>
      </c>
      <c r="H6" s="15" t="str">
        <f t="shared" si="2"/>
        <v>30041_2-4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2</v>
      </c>
      <c r="M6" s="20">
        <v>1097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超現実才奇 ジャ・リダルサ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40</v>
      </c>
      <c r="T6" s="25">
        <v>1.9</v>
      </c>
      <c r="U6" s="10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120640.5</v>
      </c>
      <c r="V6" s="25">
        <v>1.2</v>
      </c>
      <c r="W6" s="10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4992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確率でプロテクト状態の_x000D_青時限式ダメージパネルをドロップ</v>
      </c>
      <c r="Z6" s="62">
        <v>30041009</v>
      </c>
      <c r="AA6" s="104">
        <v>2</v>
      </c>
    </row>
    <row r="7" spans="1:27" ht="21" customHeight="1" x14ac:dyDescent="0.15">
      <c r="A7" s="16" t="str">
        <f t="shared" si="0"/>
        <v>30041_3-2/164&lt;lv60&gt;sq1st2</v>
      </c>
      <c r="B7" s="22">
        <v>30041</v>
      </c>
      <c r="C7" s="21">
        <v>3</v>
      </c>
      <c r="D7" s="2" t="str">
        <f t="shared" si="1"/>
        <v>30041_3</v>
      </c>
      <c r="E7" s="4" t="str">
        <f ca="1">VLOOKUP($B7,OFFSET([2]quests!$A$1,0,0,COUNTA([2]quests!$A:$A),MATCH(E$1,[2]quests!$1:$1,0)-MATCH($B$1,[2]quests!$1:$1,0)+1),MATCH(E$1,[2]quests!$1:$1,0)-MATCH($B$1,[2]quests!$1:$1,0)+1,FALSE)</f>
        <v>パラノイア・アート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【超級】パラノイア・アート</v>
      </c>
      <c r="G7" s="21">
        <v>2</v>
      </c>
      <c r="H7" s="15" t="str">
        <f t="shared" si="2"/>
        <v>30041_3-2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>
        <v>1</v>
      </c>
      <c r="L7" s="38">
        <v>2</v>
      </c>
      <c r="M7" s="20">
        <v>164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イブとトモダチ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PremiumW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20</v>
      </c>
      <c r="S7" s="5">
        <v>60</v>
      </c>
      <c r="T7" s="25">
        <v>0.5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42065.5</v>
      </c>
      <c r="V7" s="25">
        <v>1</v>
      </c>
      <c r="W7" s="10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3985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自身の攻撃力UP</v>
      </c>
      <c r="Z7" s="62">
        <v>30041005</v>
      </c>
      <c r="AA7" s="104">
        <v>2</v>
      </c>
    </row>
    <row r="8" spans="1:27" ht="21" customHeight="1" x14ac:dyDescent="0.15">
      <c r="A8" s="16" t="str">
        <f t="shared" si="0"/>
        <v>30041_3-3/151&lt;lv60&gt;sq2st2</v>
      </c>
      <c r="B8" s="22">
        <v>30041</v>
      </c>
      <c r="C8" s="21">
        <v>3</v>
      </c>
      <c r="D8" s="2" t="str">
        <f t="shared" si="1"/>
        <v>30041_3</v>
      </c>
      <c r="E8" s="4" t="str">
        <f ca="1">VLOOKUP($B8,OFFSET([2]quests!$A$1,0,0,COUNTA([2]quests!$A:$A),MATCH(E$1,[2]quests!$1:$1,0)-MATCH($B$1,[2]quests!$1:$1,0)+1),MATCH(E$1,[2]quests!$1:$1,0)-MATCH($B$1,[2]quests!$1:$1,0)+1,FALSE)</f>
        <v>パラノイア・アート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【超級】パラノイア・アート</v>
      </c>
      <c r="G8" s="21">
        <v>3</v>
      </c>
      <c r="H8" s="15" t="str">
        <f t="shared" si="2"/>
        <v>30041_3-3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>
        <v>2</v>
      </c>
      <c r="L8" s="38">
        <v>2</v>
      </c>
      <c r="M8" s="20">
        <v>151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毒煙の処刑人サキ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PremiumW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30</v>
      </c>
      <c r="S8" s="5">
        <v>60</v>
      </c>
      <c r="T8" s="25">
        <v>0.7</v>
      </c>
      <c r="U8" s="101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47346.6</v>
      </c>
      <c r="V8" s="25">
        <v>1.2</v>
      </c>
      <c r="W8" s="101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6800.4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単体攻撃＋残りHPが少ないほど威力UP</v>
      </c>
      <c r="Z8" s="62">
        <v>30041007</v>
      </c>
      <c r="AA8" s="104">
        <v>1</v>
      </c>
    </row>
    <row r="9" spans="1:27" ht="21" customHeight="1" x14ac:dyDescent="0.15">
      <c r="A9" s="16" t="str">
        <f t="shared" si="0"/>
        <v>30041_3-4/1097&lt;lv60&gt;sq3st2</v>
      </c>
      <c r="B9" s="22">
        <v>30041</v>
      </c>
      <c r="C9" s="21">
        <v>3</v>
      </c>
      <c r="D9" s="2" t="str">
        <f t="shared" si="1"/>
        <v>30041_3</v>
      </c>
      <c r="E9" s="4" t="str">
        <f ca="1">VLOOKUP($B9,OFFSET([2]quests!$A$1,0,0,COUNTA([2]quests!$A:$A),MATCH(E$1,[2]quests!$1:$1,0)-MATCH($B$1,[2]quests!$1:$1,0)+1),MATCH(E$1,[2]quests!$1:$1,0)-MATCH($B$1,[2]quests!$1:$1,0)+1,FALSE)</f>
        <v>パラノイア・アート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【超級】パラノイア・アート</v>
      </c>
      <c r="G9" s="21">
        <v>4</v>
      </c>
      <c r="H9" s="15" t="str">
        <f t="shared" si="2"/>
        <v>30041_3-4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3</v>
      </c>
      <c r="L9" s="38">
        <v>2</v>
      </c>
      <c r="M9" s="20">
        <v>1097</v>
      </c>
      <c r="N9" s="17" t="str">
        <f ca="1">VLOOKUP($M9,OFFSET([3]enemies!$A$1,0,0,COUNTA([3]enemies!$A:$A),MATCH(N$1,[3]enemies!$1:$1,0)-MATCH($M$1,[3]enemies!$1:$1,0)+1),MATCH(N$1,[3]enemies!$1:$1,0)-MATCH($M$1,[3]enemies!$1:$1,0)+1,FALSE)</f>
        <v>超現実才奇 ジャ・リダルサ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Drop2N</v>
      </c>
      <c r="Q9" s="17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5">
        <v>2.1</v>
      </c>
      <c r="U9" s="101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197599.5</v>
      </c>
      <c r="V9" s="25">
        <v>1.2</v>
      </c>
      <c r="W9" s="101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7398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確率でプロテクト状態の_x000D_青時限式ダメージパネルをドロップ</v>
      </c>
      <c r="Z9" s="62">
        <v>30041009</v>
      </c>
      <c r="AA9" s="104">
        <v>2</v>
      </c>
    </row>
    <row r="10" spans="1:27" ht="21" customHeight="1" x14ac:dyDescent="0.15">
      <c r="A10" s="16" t="str">
        <f t="shared" si="0"/>
        <v>30041_3-4/1097&lt;lv60&gt;sq3st3</v>
      </c>
      <c r="B10" s="22">
        <v>30041</v>
      </c>
      <c r="C10" s="21">
        <v>3</v>
      </c>
      <c r="D10" s="2" t="str">
        <f t="shared" si="1"/>
        <v>30041_3</v>
      </c>
      <c r="E10" s="4" t="str">
        <f ca="1">VLOOKUP($B10,OFFSET([2]quests!$A$1,0,0,COUNTA([2]quests!$A:$A),MATCH(E$1,[2]quests!$1:$1,0)-MATCH($B$1,[2]quests!$1:$1,0)+1),MATCH(E$1,[2]quests!$1:$1,0)-MATCH($B$1,[2]quests!$1:$1,0)+1,FALSE)</f>
        <v>パラノイア・アート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【超級】パラノイア・アート</v>
      </c>
      <c r="G10" s="21">
        <v>4</v>
      </c>
      <c r="H10" s="15" t="str">
        <f t="shared" si="2"/>
        <v>30041_3-4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38">
        <v>3</v>
      </c>
      <c r="M10" s="20">
        <v>1097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超現実才奇 ジャ・リダルサ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Drop2N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60</v>
      </c>
      <c r="T10" s="25">
        <v>2.1</v>
      </c>
      <c r="U10" s="101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197599.5</v>
      </c>
      <c r="V10" s="25">
        <v>1.3</v>
      </c>
      <c r="W10" s="101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8014.5</v>
      </c>
      <c r="X10" s="5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確率で青時限式ダメージパネルをドロップ</v>
      </c>
      <c r="Z10" s="62">
        <v>30041010</v>
      </c>
      <c r="AA10" s="104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zoomScale="75" zoomScaleNormal="75" zoomScalePageLayoutView="75" workbookViewId="0">
      <pane ySplit="1" topLeftCell="A2" activePane="bottomLeft" state="frozenSplit"/>
      <selection pane="bottomLeft" activeCell="C3" sqref="C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30041001</v>
      </c>
      <c r="B2" s="47" t="s">
        <v>255</v>
      </c>
      <c r="C2" s="50">
        <v>3</v>
      </c>
      <c r="D2" s="50" t="s">
        <v>128</v>
      </c>
      <c r="E2" s="51" t="s">
        <v>256</v>
      </c>
      <c r="F2" s="51" t="s">
        <v>257</v>
      </c>
      <c r="G2" s="64" t="str">
        <f t="shared" ref="G2:G33" si="0">IFERROR(LEFT(B2,FIND("],",B2)),B2)</f>
        <v xml:space="preserve">[effect:force_change_block, new_block:block_green, target:block_all, ignore01:block_blue, ignore02:block_green, count:5, val:0, animation:change_block] </v>
      </c>
      <c r="H2" s="64">
        <f t="shared" ref="H2:H33" si="1">FIND("effect:",G2)+7</f>
        <v>9</v>
      </c>
      <c r="I2" s="64">
        <f t="shared" ref="I2:I33" si="2">IFERROR(FIND(",",G2),LEN(G2))</f>
        <v>27</v>
      </c>
      <c r="J2" s="64">
        <f t="shared" ref="J2:J33" si="3">FIND("target:",G2)+7</f>
        <v>59</v>
      </c>
      <c r="K2" s="64">
        <f t="shared" ref="K2:K33" si="4">FIND(",",G2,I2+1)</f>
        <v>50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33" si="5">IFERROR(RIGHT(B2,LEN(B2)-FIND("],",B2)-1),"none")</f>
        <v>none</v>
      </c>
      <c r="N2" s="48" t="str">
        <f>IFERROR(LEFT(M2,FIND("],",M2)+S13),M2)</f>
        <v>none</v>
      </c>
      <c r="O2" s="64" t="e">
        <f t="shared" ref="O2:O33" si="6">FIND("effect:",N2)+7</f>
        <v>#VALUE!</v>
      </c>
      <c r="P2" s="64">
        <f t="shared" ref="P2:P33" si="7">IFERROR(FIND(",",N2),LEN(N2))</f>
        <v>4</v>
      </c>
      <c r="Q2" s="64" t="e">
        <f t="shared" ref="Q2:Q33" si="8">FIND("target:",N2)+7</f>
        <v>#VALUE!</v>
      </c>
      <c r="R2" s="64" t="e">
        <f t="shared" ref="R2:R33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33" si="10">IFERROR(RIGHT(M2,LEN(M2)-FIND("],",M2)-1),"none")</f>
        <v>none</v>
      </c>
      <c r="U2" s="64" t="e">
        <f t="shared" ref="U2:U33" si="11">FIND("effect:",T2)+7</f>
        <v>#VALUE!</v>
      </c>
      <c r="V2" s="64">
        <f t="shared" ref="V2:V33" si="12">IFERROR(FIND(",",T2),LEN(T2))</f>
        <v>4</v>
      </c>
      <c r="W2" s="64" t="e">
        <f t="shared" ref="W2:W33" si="13">FIND("target:",T2)+7</f>
        <v>#VALUE!</v>
      </c>
      <c r="X2" s="64" t="e">
        <f t="shared" ref="X2:X33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30041002</v>
      </c>
      <c r="B3" s="47" t="s">
        <v>270</v>
      </c>
      <c r="C3" s="50">
        <v>3</v>
      </c>
      <c r="D3" s="50" t="s">
        <v>128</v>
      </c>
      <c r="E3" s="51" t="s">
        <v>331</v>
      </c>
      <c r="F3" s="51" t="s">
        <v>252</v>
      </c>
      <c r="G3" s="64" t="str">
        <f t="shared" si="0"/>
        <v>[effect:critical, val:1.3, animation:enemy_critical]</v>
      </c>
      <c r="H3" s="64">
        <f t="shared" si="1"/>
        <v>9</v>
      </c>
      <c r="I3" s="64">
        <f t="shared" si="2"/>
        <v>17</v>
      </c>
      <c r="J3" s="64" t="e">
        <f t="shared" si="3"/>
        <v>#VALUE!</v>
      </c>
      <c r="K3" s="64">
        <f t="shared" si="4"/>
        <v>26</v>
      </c>
      <c r="L3" s="64" t="str">
        <f>IFERROR(VLOOKUP(MID(G3,J3,K3-J3),[5]skilldef!$C:$D,2,FALSE),"-") &amp; " / " &amp; IFERROR(VLOOKUP(MID(G3,H3,I3-H3),[5]skilldef!$A:$B,2,FALSE),"-")</f>
        <v>- / 大攻撃</v>
      </c>
      <c r="M3" s="64" t="str">
        <f t="shared" si="5"/>
        <v>none</v>
      </c>
      <c r="N3" s="48" t="str">
        <f>IFERROR(LEFT(M3,FIND("],",M3)+S11),M3)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30041003</v>
      </c>
      <c r="B4" s="47" t="s">
        <v>305</v>
      </c>
      <c r="C4" s="50">
        <v>3</v>
      </c>
      <c r="D4" s="50" t="s">
        <v>128</v>
      </c>
      <c r="E4" s="51" t="s">
        <v>313</v>
      </c>
      <c r="F4" s="51" t="s">
        <v>314</v>
      </c>
      <c r="G4" s="64" t="str">
        <f t="shared" si="0"/>
        <v>[effect:enemy_message, val1:1, val2:1.8]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30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none</v>
      </c>
      <c r="N4" s="48" t="str">
        <f>IFERROR(LEFT(M4,FIND("],",M4)+S13),M4)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30041004</v>
      </c>
      <c r="B5" s="47" t="s">
        <v>290</v>
      </c>
      <c r="C5" s="50">
        <v>3</v>
      </c>
      <c r="D5" s="50" t="s">
        <v>128</v>
      </c>
      <c r="E5" s="51" t="s">
        <v>258</v>
      </c>
      <c r="F5" s="51" t="s">
        <v>269</v>
      </c>
      <c r="G5" s="64" t="str">
        <f t="shared" si="0"/>
        <v>[effect:kamikaze, val:0.5]</v>
      </c>
      <c r="H5" s="64">
        <f t="shared" si="1"/>
        <v>9</v>
      </c>
      <c r="I5" s="64">
        <f t="shared" si="2"/>
        <v>17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IFERROR(VLOOKUP(MID(G5,J5,K5-J5),[5]skilldef!$C:$D,2,FALSE),"-") &amp; " / " &amp; IFERROR(VLOOKUP(MID(G5,H5,I5-H5),[5]skilldef!$A:$B,2,FALSE),"-")</f>
        <v>- / 自爆</v>
      </c>
      <c r="M5" s="64" t="str">
        <f t="shared" si="5"/>
        <v>none</v>
      </c>
      <c r="N5" s="48" t="str">
        <f>IFERROR(LEFT(M5,FIND("],",M5)+S14),M5)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30041005</v>
      </c>
      <c r="B6" s="47" t="s">
        <v>343</v>
      </c>
      <c r="C6" s="50">
        <v>3</v>
      </c>
      <c r="D6" s="50" t="s">
        <v>128</v>
      </c>
      <c r="E6" s="51" t="s">
        <v>264</v>
      </c>
      <c r="F6" s="51" t="s">
        <v>291</v>
      </c>
      <c r="G6" s="64" t="str">
        <f t="shared" si="0"/>
        <v>[effect:fix_speed, target:myself, turn:1]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IFERROR(VLOOKUP(MID(G6,J6,K6-J6),[5]skilldef!$C:$D,2,FALSE),"-") &amp; " / " &amp; IFERROR(VLOOKUP(MID(G6,H6,I6-H6),[5]skilldef!$A:$B,2,FALSE),"-")</f>
        <v>自分自身に / 行動値設定</v>
      </c>
      <c r="M6" s="64" t="str">
        <f t="shared" si="5"/>
        <v>[effect:enhance_enemy, target:myself, turn:-1, status:defense, val:5000, calc:add, animation:enemy_enhance_defense]</v>
      </c>
      <c r="N6" s="48" t="str">
        <f>IFERROR(LEFT(M6,FIND("],",M6)+S14),M6)</f>
        <v>[effect:enhance_enemy, target:myself, turn:-1, status:defense, val:5000, calc:add, animation:enemy_enhance_defense]</v>
      </c>
      <c r="O6" s="64">
        <f t="shared" si="6"/>
        <v>9</v>
      </c>
      <c r="P6" s="64">
        <f t="shared" si="7"/>
        <v>22</v>
      </c>
      <c r="Q6" s="64">
        <f t="shared" si="8"/>
        <v>31</v>
      </c>
      <c r="R6" s="64">
        <f t="shared" si="9"/>
        <v>37</v>
      </c>
      <c r="S6" s="64" t="str">
        <f>IFERROR(VLOOKUP(MID(N6,Q6,R6-Q6),[5]skilldef!$C:$D,2,FALSE),"-") &amp; " / " &amp; IFERROR(VLOOKUP(MID(N6,O6,P6-O6),[5]skilldef!$A:$B,2,FALSE),"-")</f>
        <v>自分自身に / ステータス強化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30041006</v>
      </c>
      <c r="B7" s="47" t="s">
        <v>259</v>
      </c>
      <c r="C7" s="50">
        <v>3</v>
      </c>
      <c r="D7" s="50" t="s">
        <v>128</v>
      </c>
      <c r="E7" s="51" t="s">
        <v>315</v>
      </c>
      <c r="F7" s="51" t="s">
        <v>260</v>
      </c>
      <c r="G7" s="64" t="str">
        <f t="shared" ref="G7" si="15">IFERROR(LEFT(B7,FIND("],",B7)),B7)</f>
        <v>[effect:spread, val:0.33]</v>
      </c>
      <c r="H7" s="64">
        <f t="shared" ref="H7" si="16">FIND("effect:",G7)+7</f>
        <v>9</v>
      </c>
      <c r="I7" s="64">
        <f t="shared" ref="I7" si="17">IFERROR(FIND(",",G7),LEN(G7))</f>
        <v>15</v>
      </c>
      <c r="J7" s="64" t="e">
        <f t="shared" ref="J7" si="18">FIND("target:",G7)+7</f>
        <v>#VALUE!</v>
      </c>
      <c r="K7" s="64" t="e">
        <f t="shared" ref="K7" si="19">FIND(",",G7,I7+1)</f>
        <v>#VALUE!</v>
      </c>
      <c r="L7" s="64" t="str">
        <f>IFERROR(VLOOKUP(MID(G7,J7,K7-J7),[5]skilldef!$C:$D,2,FALSE),"-") &amp; " / " &amp; IFERROR(VLOOKUP(MID(G7,H7,I7-H7),[5]skilldef!$A:$B,2,FALSE),"-")</f>
        <v>- / 全体攻撃</v>
      </c>
      <c r="M7" s="64" t="str">
        <f t="shared" ref="M7" si="20">IFERROR(RIGHT(B7,LEN(B7)-FIND("],",B7)-1),"none")</f>
        <v>none</v>
      </c>
      <c r="N7" s="48" t="str">
        <f>IFERROR(LEFT(M7,FIND("],",M7)+S19),M7)</f>
        <v>none</v>
      </c>
      <c r="O7" s="64" t="e">
        <f t="shared" ref="O7" si="21">FIND("effect:",N7)+7</f>
        <v>#VALUE!</v>
      </c>
      <c r="P7" s="64">
        <f t="shared" ref="P7" si="22">IFERROR(FIND(",",N7),LEN(N7))</f>
        <v>4</v>
      </c>
      <c r="Q7" s="64" t="e">
        <f t="shared" ref="Q7" si="23">FIND("target:",N7)+7</f>
        <v>#VALUE!</v>
      </c>
      <c r="R7" s="64" t="e">
        <f t="shared" ref="R7" si="24">FIND(",",N7,P7+1)</f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ref="T7" si="25">IFERROR(RIGHT(M7,LEN(M7)-FIND("],",M7)-1),"none")</f>
        <v>none</v>
      </c>
      <c r="U7" s="64" t="e">
        <f t="shared" ref="U7" si="26">FIND("effect:",T7)+7</f>
        <v>#VALUE!</v>
      </c>
      <c r="V7" s="64">
        <f t="shared" ref="V7" si="27">IFERROR(FIND(",",T7),LEN(T7))</f>
        <v>4</v>
      </c>
      <c r="W7" s="64" t="e">
        <f t="shared" ref="W7" si="28">FIND("target:",T7)+7</f>
        <v>#VALUE!</v>
      </c>
      <c r="X7" s="64" t="e">
        <f t="shared" ref="X7" si="29">FIND(",",T7,V7+1)</f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30041007</v>
      </c>
      <c r="B8" s="47" t="s">
        <v>306</v>
      </c>
      <c r="C8" s="50">
        <v>3</v>
      </c>
      <c r="D8" s="50" t="s">
        <v>128</v>
      </c>
      <c r="E8" s="51" t="s">
        <v>262</v>
      </c>
      <c r="F8" s="51" t="s">
        <v>261</v>
      </c>
      <c r="G8" s="64" t="str">
        <f t="shared" si="0"/>
        <v>[effect:freq_turn, target:enemy_green, turn:1, val:6, animation:enemy_freq_turn]</v>
      </c>
      <c r="H8" s="64">
        <f t="shared" si="1"/>
        <v>9</v>
      </c>
      <c r="I8" s="64">
        <f t="shared" si="2"/>
        <v>18</v>
      </c>
      <c r="J8" s="64">
        <f t="shared" si="3"/>
        <v>27</v>
      </c>
      <c r="K8" s="64">
        <f t="shared" si="4"/>
        <v>38</v>
      </c>
      <c r="L8" s="64" t="str">
        <f>IFERROR(VLOOKUP(MID(G8,J8,K8-J8),[5]skilldef!$C:$D,2,FALSE),"-") &amp; " / " &amp; IFERROR(VLOOKUP(MID(G8,H8,I8-H8),[5]skilldef!$A:$B,2,FALSE),"-")</f>
        <v>緑の敵に / 攻撃頻度がUP</v>
      </c>
      <c r="M8" s="64" t="str">
        <f t="shared" si="5"/>
        <v>[effect:fix_speed, target:enemy_green, turn:6]</v>
      </c>
      <c r="N8" s="48" t="str">
        <f>IFERROR(LEFT(M8,FIND("],",M8)+S16),M8)</f>
        <v>[effect:fix_speed, target:enemy_green, turn:6]</v>
      </c>
      <c r="O8" s="64">
        <f t="shared" si="6"/>
        <v>9</v>
      </c>
      <c r="P8" s="64">
        <f t="shared" si="7"/>
        <v>18</v>
      </c>
      <c r="Q8" s="64">
        <f t="shared" si="8"/>
        <v>27</v>
      </c>
      <c r="R8" s="64">
        <f t="shared" si="9"/>
        <v>38</v>
      </c>
      <c r="S8" s="64" t="str">
        <f>IFERROR(VLOOKUP(MID(N8,Q8,R8-Q8),[5]skilldef!$C:$D,2,FALSE),"-") &amp; " / " &amp; IFERROR(VLOOKUP(MID(N8,O8,P8-O8),[5]skilldef!$A:$B,2,FALSE),"-")</f>
        <v>緑の敵に / 行動値設定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30041008</v>
      </c>
      <c r="B9" s="47" t="s">
        <v>307</v>
      </c>
      <c r="C9" s="50">
        <v>3</v>
      </c>
      <c r="D9" s="50" t="s">
        <v>128</v>
      </c>
      <c r="E9" s="51" t="s">
        <v>316</v>
      </c>
      <c r="F9" s="51" t="s">
        <v>261</v>
      </c>
      <c r="G9" s="64" t="str">
        <f t="shared" si="0"/>
        <v>[effect:freq_turn, target:enemy_green, turn:1, val:3, animation:enemy_freq_turn]</v>
      </c>
      <c r="H9" s="64">
        <f t="shared" si="1"/>
        <v>9</v>
      </c>
      <c r="I9" s="64">
        <f t="shared" si="2"/>
        <v>18</v>
      </c>
      <c r="J9" s="64">
        <f t="shared" si="3"/>
        <v>27</v>
      </c>
      <c r="K9" s="64">
        <f t="shared" si="4"/>
        <v>38</v>
      </c>
      <c r="L9" s="64" t="str">
        <f>IFERROR(VLOOKUP(MID(G9,J9,K9-J9),[5]skilldef!$C:$D,2,FALSE),"-") &amp; " / " &amp; IFERROR(VLOOKUP(MID(G9,H9,I9-H9),[5]skilldef!$A:$B,2,FALSE),"-")</f>
        <v>緑の敵に / 攻撃頻度がUP</v>
      </c>
      <c r="M9" s="64" t="str">
        <f t="shared" si="5"/>
        <v>[effect:fix_speed, target:enemy_green, turn:3]</v>
      </c>
      <c r="N9" s="48" t="str">
        <f>IFERROR(LEFT(M9,FIND("],",M9)+S17),M9)</f>
        <v>[effect:fix_speed, target:enemy_green, turn:3]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38</v>
      </c>
      <c r="S9" s="64" t="str">
        <f>IFERROR(VLOOKUP(MID(N9,Q9,R9-Q9),[5]skilldef!$C:$D,2,FALSE),"-") &amp; " / " &amp; IFERROR(VLOOKUP(MID(N9,O9,P9-O9),[5]skilldef!$A:$B,2,FALSE),"-")</f>
        <v>緑の敵に / 行動値設定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30041009</v>
      </c>
      <c r="B10" s="47" t="s">
        <v>308</v>
      </c>
      <c r="C10" s="50">
        <v>3</v>
      </c>
      <c r="D10" s="50" t="s">
        <v>128</v>
      </c>
      <c r="E10" s="51" t="s">
        <v>263</v>
      </c>
      <c r="F10" s="51" t="s">
        <v>261</v>
      </c>
      <c r="G10" s="64" t="str">
        <f t="shared" si="0"/>
        <v>[effect:freq_turn, target:enemy_green, turn:1, val:1, animation:enemy_freq_turn]</v>
      </c>
      <c r="H10" s="64">
        <f t="shared" si="1"/>
        <v>9</v>
      </c>
      <c r="I10" s="64">
        <f t="shared" si="2"/>
        <v>18</v>
      </c>
      <c r="J10" s="64">
        <f t="shared" si="3"/>
        <v>27</v>
      </c>
      <c r="K10" s="64">
        <f t="shared" si="4"/>
        <v>38</v>
      </c>
      <c r="L10" s="64" t="str">
        <f>IFERROR(VLOOKUP(MID(G10,J10,K10-J10),[5]skilldef!$C:$D,2,FALSE),"-") &amp; " / " &amp; IFERROR(VLOOKUP(MID(G10,H10,I10-H10),[5]skilldef!$A:$B,2,FALSE),"-")</f>
        <v>緑の敵に / 攻撃頻度がUP</v>
      </c>
      <c r="M10" s="64" t="str">
        <f t="shared" si="5"/>
        <v>[effect:fix_speed, target:enemy_green, turn:1]</v>
      </c>
      <c r="N10" s="48" t="str">
        <f>IFERROR(LEFT(M10,FIND("],",M10)+S18),M10)</f>
        <v>[effect:fix_speed, target:enemy_green, turn:1]</v>
      </c>
      <c r="O10" s="64">
        <f t="shared" si="6"/>
        <v>9</v>
      </c>
      <c r="P10" s="64">
        <f t="shared" si="7"/>
        <v>18</v>
      </c>
      <c r="Q10" s="64">
        <f t="shared" si="8"/>
        <v>27</v>
      </c>
      <c r="R10" s="64">
        <f t="shared" si="9"/>
        <v>38</v>
      </c>
      <c r="S10" s="64" t="str">
        <f>IFERROR(VLOOKUP(MID(N10,Q10,R10-Q10),[5]skilldef!$C:$D,2,FALSE),"-") &amp; " / " &amp; IFERROR(VLOOKUP(MID(N10,O10,P10-O10),[5]skilldef!$A:$B,2,FALSE),"-")</f>
        <v>緑の敵に / 行動値設定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30041010</v>
      </c>
      <c r="B11" s="47" t="s">
        <v>292</v>
      </c>
      <c r="C11" s="50">
        <v>3</v>
      </c>
      <c r="D11" s="50" t="s">
        <v>128</v>
      </c>
      <c r="E11" s="51" t="s">
        <v>265</v>
      </c>
      <c r="F11" s="51" t="s">
        <v>295</v>
      </c>
      <c r="G11" s="64" t="str">
        <f t="shared" si="0"/>
        <v>[effect:suicide, val:0.5, dead_type:suicide, target:myself, animation:enemy_suicide]</v>
      </c>
      <c r="H11" s="64">
        <f t="shared" si="1"/>
        <v>9</v>
      </c>
      <c r="I11" s="64">
        <f t="shared" si="2"/>
        <v>16</v>
      </c>
      <c r="J11" s="64">
        <f t="shared" si="3"/>
        <v>53</v>
      </c>
      <c r="K11" s="64">
        <f t="shared" si="4"/>
        <v>25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none</v>
      </c>
      <c r="N11" s="48" t="str">
        <f>IFERROR(LEFT(M11,FIND("],",M11)+S19),M11)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30041011</v>
      </c>
      <c r="B12" s="47" t="s">
        <v>293</v>
      </c>
      <c r="C12" s="50">
        <v>3</v>
      </c>
      <c r="D12" s="50" t="s">
        <v>128</v>
      </c>
      <c r="E12" s="51" t="s">
        <v>304</v>
      </c>
      <c r="F12" s="51" t="s">
        <v>296</v>
      </c>
      <c r="G12" s="64" t="str">
        <f t="shared" ref="G12" si="30">IFERROR(LEFT(B12,FIND("],",B12)),B12)</f>
        <v>[effect:suicide, val:1, dead_type:suicide, target:myself, animation:enemy_suicide]</v>
      </c>
      <c r="H12" s="64">
        <f t="shared" ref="H12" si="31">FIND("effect:",G12)+7</f>
        <v>9</v>
      </c>
      <c r="I12" s="64">
        <f t="shared" ref="I12" si="32">IFERROR(FIND(",",G12),LEN(G12))</f>
        <v>16</v>
      </c>
      <c r="J12" s="64">
        <f t="shared" ref="J12" si="33">FIND("target:",G12)+7</f>
        <v>51</v>
      </c>
      <c r="K12" s="64">
        <f t="shared" ref="K12" si="34">FIND(",",G12,I12+1)</f>
        <v>23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ref="M12" si="35">IFERROR(RIGHT(B12,LEN(B12)-FIND("],",B12)-1),"none")</f>
        <v>none</v>
      </c>
      <c r="N12" s="48" t="str">
        <f>IFERROR(LEFT(M12,FIND("],",M12)+S20),M12)</f>
        <v>none</v>
      </c>
      <c r="O12" s="64" t="e">
        <f t="shared" ref="O12" si="36">FIND("effect:",N12)+7</f>
        <v>#VALUE!</v>
      </c>
      <c r="P12" s="64">
        <f t="shared" ref="P12" si="37">IFERROR(FIND(",",N12),LEN(N12))</f>
        <v>4</v>
      </c>
      <c r="Q12" s="64" t="e">
        <f t="shared" ref="Q12" si="38">FIND("target:",N12)+7</f>
        <v>#VALUE!</v>
      </c>
      <c r="R12" s="64" t="e">
        <f t="shared" ref="R12" si="39">FIND(",",N12,P12+1)</f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ref="T12" si="40">IFERROR(RIGHT(M12,LEN(M12)-FIND("],",M12)-1),"none")</f>
        <v>none</v>
      </c>
      <c r="U12" s="64" t="e">
        <f t="shared" ref="U12" si="41">FIND("effect:",T12)+7</f>
        <v>#VALUE!</v>
      </c>
      <c r="V12" s="64">
        <f t="shared" ref="V12" si="42">IFERROR(FIND(",",T12),LEN(T12))</f>
        <v>4</v>
      </c>
      <c r="W12" s="64" t="e">
        <f t="shared" ref="W12" si="43">FIND("target:",T12)+7</f>
        <v>#VALUE!</v>
      </c>
      <c r="X12" s="64" t="e">
        <f t="shared" ref="X12" si="44">FIND(",",T12,V12+1)</f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30041012</v>
      </c>
      <c r="B13" s="47" t="s">
        <v>266</v>
      </c>
      <c r="C13" s="50">
        <v>3</v>
      </c>
      <c r="D13" s="50" t="s">
        <v>128</v>
      </c>
      <c r="E13" s="51" t="s">
        <v>287</v>
      </c>
      <c r="F13" s="51" t="s">
        <v>267</v>
      </c>
      <c r="G13" s="64" t="str">
        <f t="shared" si="0"/>
        <v>[effect:enhance_enemy, target:myself, turn:-1, status:attack, val:0.2, calc:mul, animation:enemy_enhance_attack]</v>
      </c>
      <c r="H13" s="64">
        <f t="shared" si="1"/>
        <v>9</v>
      </c>
      <c r="I13" s="64">
        <f t="shared" si="2"/>
        <v>22</v>
      </c>
      <c r="J13" s="64">
        <f t="shared" si="3"/>
        <v>31</v>
      </c>
      <c r="K13" s="64">
        <f t="shared" si="4"/>
        <v>37</v>
      </c>
      <c r="L13" s="64" t="str">
        <f>IFERROR(VLOOKUP(MID(G13,J13,K13-J13),[5]skilldef!$C:$D,2,FALSE),"-") &amp; " / " &amp; IFERROR(VLOOKUP(MID(G13,H13,I13-H13),[5]skilldef!$A:$B,2,FALSE),"-")</f>
        <v>自分自身に / ステータス強化</v>
      </c>
      <c r="M13" s="64" t="str">
        <f t="shared" si="5"/>
        <v>none</v>
      </c>
      <c r="N13" s="48" t="str">
        <f t="shared" ref="N13:N33" si="45">IFERROR(LEFT(M13,FIND("],",M13)+S20),M13)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30041013</v>
      </c>
      <c r="B14" s="47" t="s">
        <v>297</v>
      </c>
      <c r="C14" s="50">
        <v>3</v>
      </c>
      <c r="D14" s="50" t="s">
        <v>128</v>
      </c>
      <c r="E14" s="51" t="s">
        <v>294</v>
      </c>
      <c r="F14" s="51" t="s">
        <v>268</v>
      </c>
      <c r="G14" s="64" t="str">
        <f t="shared" si="0"/>
        <v>[effect:rush, count:2, val:0.65]</v>
      </c>
      <c r="H14" s="64">
        <f t="shared" si="1"/>
        <v>9</v>
      </c>
      <c r="I14" s="64">
        <f t="shared" si="2"/>
        <v>13</v>
      </c>
      <c r="J14" s="64" t="e">
        <f t="shared" si="3"/>
        <v>#VALUE!</v>
      </c>
      <c r="K14" s="64">
        <f t="shared" si="4"/>
        <v>22</v>
      </c>
      <c r="L14" s="64" t="str">
        <f>IFERROR(VLOOKUP(MID(G14,J14,K14-J14),[5]skilldef!$C:$D,2,FALSE),"-") &amp; " / " &amp; IFERROR(VLOOKUP(MID(G14,H14,I14-H14),[5]skilldef!$A:$B,2,FALSE),"-")</f>
        <v>- / 連続攻撃</v>
      </c>
      <c r="M14" s="64" t="str">
        <f t="shared" si="5"/>
        <v>none</v>
      </c>
      <c r="N14" s="48" t="str">
        <f t="shared" si="45"/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30041014</v>
      </c>
      <c r="B15" s="47" t="s">
        <v>300</v>
      </c>
      <c r="C15" s="50">
        <v>3</v>
      </c>
      <c r="D15" s="50" t="s">
        <v>128</v>
      </c>
      <c r="E15" s="51" t="s">
        <v>310</v>
      </c>
      <c r="F15" s="51" t="s">
        <v>342</v>
      </c>
      <c r="G15" s="64" t="str">
        <f t="shared" si="0"/>
        <v>[effect:drop_block, block_type:time_bomb, color:block_all, val:0.1, rate:0.2, turn:4, min_time_count:3, max_time_count:3, animation:time_bomb_influence04]</v>
      </c>
      <c r="H15" s="64">
        <f t="shared" si="1"/>
        <v>9</v>
      </c>
      <c r="I15" s="64">
        <f t="shared" si="2"/>
        <v>19</v>
      </c>
      <c r="J15" s="64" t="e">
        <f t="shared" si="3"/>
        <v>#VALUE!</v>
      </c>
      <c r="K15" s="64">
        <f t="shared" si="4"/>
        <v>41</v>
      </c>
      <c r="L15" s="64" t="str">
        <f>IFERROR(VLOOKUP(MID(G15,J15,K15-J15),[5]skilldef!$C:$D,2,FALSE),"-") &amp; " / " &amp; IFERROR(VLOOKUP(MID(G15,H15,I15-H15),[5]skilldef!$A:$B,2,FALSE),"-")</f>
        <v>- / 特定ブロックの割合ドロップ</v>
      </c>
      <c r="M15" s="64" t="str">
        <f t="shared" si="5"/>
        <v>none</v>
      </c>
      <c r="N15" s="48" t="str">
        <f t="shared" si="45"/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30041015</v>
      </c>
      <c r="B16" s="47" t="s">
        <v>254</v>
      </c>
      <c r="C16" s="50">
        <v>3</v>
      </c>
      <c r="D16" s="50" t="s">
        <v>128</v>
      </c>
      <c r="E16" s="51" t="s">
        <v>317</v>
      </c>
      <c r="F16" s="51" t="s">
        <v>252</v>
      </c>
      <c r="G16" s="64" t="str">
        <f t="shared" si="0"/>
        <v>[effect:critical, val:1.3, animation:enemy_critical]</v>
      </c>
      <c r="H16" s="64">
        <f t="shared" si="1"/>
        <v>9</v>
      </c>
      <c r="I16" s="64">
        <f t="shared" si="2"/>
        <v>17</v>
      </c>
      <c r="J16" s="64" t="e">
        <f t="shared" si="3"/>
        <v>#VALUE!</v>
      </c>
      <c r="K16" s="64">
        <f t="shared" si="4"/>
        <v>26</v>
      </c>
      <c r="L16" s="64" t="str">
        <f>IFERROR(VLOOKUP(MID(G16,J16,K16-J16),[5]skilldef!$C:$D,2,FALSE),"-") &amp; " / " &amp; IFERROR(VLOOKUP(MID(G16,H16,I16-H16),[5]skilldef!$A:$B,2,FALSE),"-")</f>
        <v>- / 大攻撃</v>
      </c>
      <c r="M16" s="64" t="str">
        <f t="shared" si="5"/>
        <v>none</v>
      </c>
      <c r="N16" s="48" t="str">
        <f t="shared" si="45"/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30041016</v>
      </c>
      <c r="B17" s="47" t="s">
        <v>344</v>
      </c>
      <c r="C17" s="50">
        <v>3</v>
      </c>
      <c r="D17" s="50" t="s">
        <v>128</v>
      </c>
      <c r="E17" s="51" t="s">
        <v>318</v>
      </c>
      <c r="F17" s="51" t="s">
        <v>269</v>
      </c>
      <c r="G17" s="64" t="str">
        <f t="shared" si="0"/>
        <v>[effect:kamikaze, val:0.75]</v>
      </c>
      <c r="H17" s="64">
        <f t="shared" si="1"/>
        <v>9</v>
      </c>
      <c r="I17" s="64">
        <f t="shared" si="2"/>
        <v>17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IFERROR(VLOOKUP(MID(G17,J17,K17-J17),[5]skilldef!$C:$D,2,FALSE),"-") &amp; " / " &amp; IFERROR(VLOOKUP(MID(G17,H17,I17-H17),[5]skilldef!$A:$B,2,FALSE),"-")</f>
        <v>- / 自爆</v>
      </c>
      <c r="M17" s="64" t="str">
        <f t="shared" si="5"/>
        <v>none</v>
      </c>
      <c r="N17" s="48" t="str">
        <f t="shared" si="45"/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30041017</v>
      </c>
      <c r="B18" s="47" t="s">
        <v>278</v>
      </c>
      <c r="C18" s="50">
        <v>3</v>
      </c>
      <c r="D18" s="50" t="s">
        <v>128</v>
      </c>
      <c r="E18" s="51" t="s">
        <v>319</v>
      </c>
      <c r="F18" s="51" t="s">
        <v>274</v>
      </c>
      <c r="G18" s="64" t="str">
        <f t="shared" si="0"/>
        <v>[effect:rush, count:1, val:1]</v>
      </c>
      <c r="H18" s="64">
        <f t="shared" si="1"/>
        <v>9</v>
      </c>
      <c r="I18" s="64">
        <f t="shared" si="2"/>
        <v>13</v>
      </c>
      <c r="J18" s="64" t="e">
        <f t="shared" si="3"/>
        <v>#VALUE!</v>
      </c>
      <c r="K18" s="64">
        <f t="shared" si="4"/>
        <v>22</v>
      </c>
      <c r="L18" s="64" t="str">
        <f>IFERROR(VLOOKUP(MID(G18,J18,K18-J18),[5]skilldef!$C:$D,2,FALSE),"-") &amp; " / " &amp; IFERROR(VLOOKUP(MID(G18,H18,I18-H18),[5]skilldef!$A:$B,2,FALSE),"-")</f>
        <v>- / 連続攻撃</v>
      </c>
      <c r="M18" s="64" t="str">
        <f t="shared" si="5"/>
        <v>none</v>
      </c>
      <c r="N18" s="48" t="str">
        <f t="shared" si="45"/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30041018</v>
      </c>
      <c r="B19" s="47" t="s">
        <v>253</v>
      </c>
      <c r="C19" s="50">
        <v>3</v>
      </c>
      <c r="D19" s="50" t="s">
        <v>128</v>
      </c>
      <c r="E19" s="51" t="s">
        <v>319</v>
      </c>
      <c r="F19" s="51" t="s">
        <v>274</v>
      </c>
      <c r="G19" s="64" t="str">
        <f t="shared" si="0"/>
        <v>[effect:critical, val:1.3, animation:enemy_critical]</v>
      </c>
      <c r="H19" s="64">
        <f t="shared" si="1"/>
        <v>9</v>
      </c>
      <c r="I19" s="64">
        <f t="shared" si="2"/>
        <v>17</v>
      </c>
      <c r="J19" s="64" t="e">
        <f t="shared" si="3"/>
        <v>#VALUE!</v>
      </c>
      <c r="K19" s="64">
        <f t="shared" si="4"/>
        <v>26</v>
      </c>
      <c r="L19" s="64" t="str">
        <f>IFERROR(VLOOKUP(MID(G19,J19,K19-J19),[5]skilldef!$C:$D,2,FALSE),"-") &amp; " / " &amp; IFERROR(VLOOKUP(MID(G19,H19,I19-H19),[5]skilldef!$A:$B,2,FALSE),"-")</f>
        <v>- / 大攻撃</v>
      </c>
      <c r="M19" s="64" t="str">
        <f t="shared" si="5"/>
        <v>none</v>
      </c>
      <c r="N19" s="48" t="str">
        <f t="shared" si="45"/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30041019</v>
      </c>
      <c r="B20" s="47" t="s">
        <v>271</v>
      </c>
      <c r="C20" s="50">
        <v>3</v>
      </c>
      <c r="D20" s="50" t="s">
        <v>128</v>
      </c>
      <c r="E20" s="51" t="s">
        <v>319</v>
      </c>
      <c r="F20" s="51" t="s">
        <v>274</v>
      </c>
      <c r="G20" s="64" t="str">
        <f t="shared" si="0"/>
        <v>[effect:critical, val:1.5, animation:enemy_critical]</v>
      </c>
      <c r="H20" s="64">
        <f t="shared" si="1"/>
        <v>9</v>
      </c>
      <c r="I20" s="64">
        <f t="shared" si="2"/>
        <v>17</v>
      </c>
      <c r="J20" s="64" t="e">
        <f t="shared" si="3"/>
        <v>#VALUE!</v>
      </c>
      <c r="K20" s="64">
        <f t="shared" si="4"/>
        <v>26</v>
      </c>
      <c r="L20" s="64" t="str">
        <f>IFERROR(VLOOKUP(MID(G20,J20,K20-J20),[5]skilldef!$C:$D,2,FALSE),"-") &amp; " / " &amp; IFERROR(VLOOKUP(MID(G20,H20,I20-H20),[5]skilldef!$A:$B,2,FALSE),"-")</f>
        <v>- / 大攻撃</v>
      </c>
      <c r="M20" s="64" t="str">
        <f t="shared" si="5"/>
        <v>none</v>
      </c>
      <c r="N20" s="48" t="str">
        <f t="shared" si="45"/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30041020</v>
      </c>
      <c r="B21" s="47" t="s">
        <v>272</v>
      </c>
      <c r="C21" s="50">
        <v>3</v>
      </c>
      <c r="D21" s="50" t="s">
        <v>128</v>
      </c>
      <c r="E21" s="51" t="s">
        <v>319</v>
      </c>
      <c r="F21" s="51" t="s">
        <v>274</v>
      </c>
      <c r="G21" s="64" t="str">
        <f t="shared" si="0"/>
        <v>[effect:critical, val:1.8, animation:enemy_critical]</v>
      </c>
      <c r="H21" s="64">
        <f t="shared" si="1"/>
        <v>9</v>
      </c>
      <c r="I21" s="64">
        <f t="shared" si="2"/>
        <v>17</v>
      </c>
      <c r="J21" s="64" t="e">
        <f t="shared" si="3"/>
        <v>#VALUE!</v>
      </c>
      <c r="K21" s="64">
        <f t="shared" si="4"/>
        <v>26</v>
      </c>
      <c r="L21" s="64" t="str">
        <f>IFERROR(VLOOKUP(MID(G21,J21,K21-J21),[5]skilldef!$C:$D,2,FALSE),"-") &amp; " / " &amp; IFERROR(VLOOKUP(MID(G21,H21,I21-H21),[5]skilldef!$A:$B,2,FALSE),"-")</f>
        <v>- / 大攻撃</v>
      </c>
      <c r="M21" s="64" t="str">
        <f t="shared" si="5"/>
        <v>none</v>
      </c>
      <c r="N21" s="48" t="str">
        <f t="shared" si="45"/>
        <v>none</v>
      </c>
      <c r="O21" s="64" t="e">
        <f t="shared" si="6"/>
        <v>#VALUE!</v>
      </c>
      <c r="P21" s="64">
        <f t="shared" si="7"/>
        <v>4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30041021</v>
      </c>
      <c r="B22" s="47" t="s">
        <v>273</v>
      </c>
      <c r="C22" s="50">
        <v>3</v>
      </c>
      <c r="D22" s="50" t="s">
        <v>128</v>
      </c>
      <c r="E22" s="51" t="s">
        <v>319</v>
      </c>
      <c r="F22" s="51" t="s">
        <v>274</v>
      </c>
      <c r="G22" s="64" t="str">
        <f t="shared" si="0"/>
        <v>[effect:critical, val:2, animation:enemy_critical]</v>
      </c>
      <c r="H22" s="64">
        <f t="shared" si="1"/>
        <v>9</v>
      </c>
      <c r="I22" s="64">
        <f t="shared" si="2"/>
        <v>17</v>
      </c>
      <c r="J22" s="64" t="e">
        <f t="shared" si="3"/>
        <v>#VALUE!</v>
      </c>
      <c r="K22" s="64">
        <f t="shared" si="4"/>
        <v>24</v>
      </c>
      <c r="L22" s="64" t="str">
        <f>IFERROR(VLOOKUP(MID(G22,J22,K22-J22),[5]skilldef!$C:$D,2,FALSE),"-") &amp; " / " &amp; IFERROR(VLOOKUP(MID(G22,H22,I22-H22),[5]skilldef!$A:$B,2,FALSE),"-")</f>
        <v>- / 大攻撃</v>
      </c>
      <c r="M22" s="64" t="str">
        <f t="shared" si="5"/>
        <v>none</v>
      </c>
      <c r="N22" s="48" t="str">
        <f t="shared" si="45"/>
        <v>none</v>
      </c>
      <c r="O22" s="64" t="e">
        <f t="shared" si="6"/>
        <v>#VALUE!</v>
      </c>
      <c r="P22" s="64">
        <f t="shared" si="7"/>
        <v>4</v>
      </c>
      <c r="Q22" s="64" t="e">
        <f t="shared" si="8"/>
        <v>#VALUE!</v>
      </c>
      <c r="R22" s="64" t="e">
        <f t="shared" si="9"/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none</v>
      </c>
      <c r="U22" s="64" t="e">
        <f t="shared" si="11"/>
        <v>#VALUE!</v>
      </c>
      <c r="V22" s="64">
        <f t="shared" si="12"/>
        <v>4</v>
      </c>
      <c r="W22" s="64" t="e">
        <f t="shared" si="13"/>
        <v>#VALUE!</v>
      </c>
      <c r="X22" s="64" t="e">
        <f t="shared" si="14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30041022</v>
      </c>
      <c r="B23" s="47" t="s">
        <v>298</v>
      </c>
      <c r="C23" s="50">
        <v>3</v>
      </c>
      <c r="D23" s="50" t="s">
        <v>128</v>
      </c>
      <c r="E23" s="51" t="s">
        <v>320</v>
      </c>
      <c r="F23" s="51" t="s">
        <v>276</v>
      </c>
      <c r="G23" s="64" t="str">
        <f t="shared" si="0"/>
        <v>[effect:fix_speed, target:myself, turn:2]</v>
      </c>
      <c r="H23" s="64">
        <f t="shared" si="1"/>
        <v>9</v>
      </c>
      <c r="I23" s="64">
        <f t="shared" si="2"/>
        <v>18</v>
      </c>
      <c r="J23" s="64">
        <f t="shared" si="3"/>
        <v>27</v>
      </c>
      <c r="K23" s="64">
        <f t="shared" si="4"/>
        <v>33</v>
      </c>
      <c r="L23" s="64" t="str">
        <f>IFERROR(VLOOKUP(MID(G23,J23,K23-J23),[5]skilldef!$C:$D,2,FALSE),"-") &amp; " / " &amp; IFERROR(VLOOKUP(MID(G23,H23,I23-H23),[5]skilldef!$A:$B,2,FALSE),"-")</f>
        <v>自分自身に / 行動値設定</v>
      </c>
      <c r="M23" s="64" t="str">
        <f t="shared" si="5"/>
        <v>[effect:drop_block, block_type:time_bomb, block_color:block_blue, color:block_all, val:0.1, rate:0.2, turn:-1, min_time_count:5, max_time_count:5, animation:time_bomb_influence04]</v>
      </c>
      <c r="N23" s="48" t="str">
        <f t="shared" si="45"/>
        <v>[effect:drop_block, block_type:time_bomb, block_color:block_blue, color:block_all, val:0.1, rate:0.2, turn:-1, min_time_count:5, max_time_count:5, animation:time_bomb_influence04]</v>
      </c>
      <c r="O23" s="64">
        <f t="shared" si="6"/>
        <v>9</v>
      </c>
      <c r="P23" s="64">
        <f t="shared" si="7"/>
        <v>19</v>
      </c>
      <c r="Q23" s="64" t="e">
        <f t="shared" si="8"/>
        <v>#VALUE!</v>
      </c>
      <c r="R23" s="64">
        <f t="shared" si="9"/>
        <v>41</v>
      </c>
      <c r="S23" s="64" t="str">
        <f>IFERROR(VLOOKUP(MID(N23,Q23,R23-Q23),[5]skilldef!$C:$D,2,FALSE),"-") &amp; " / " &amp; IFERROR(VLOOKUP(MID(N23,O23,P23-O23),[5]skilldef!$A:$B,2,FALSE),"-")</f>
        <v>- / 特定ブロックの割合ドロップ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30041023</v>
      </c>
      <c r="B24" s="47" t="s">
        <v>275</v>
      </c>
      <c r="C24" s="50">
        <v>3</v>
      </c>
      <c r="D24" s="50" t="s">
        <v>128</v>
      </c>
      <c r="E24" s="51" t="s">
        <v>323</v>
      </c>
      <c r="F24" s="51" t="s">
        <v>277</v>
      </c>
      <c r="G24" s="64" t="str">
        <f t="shared" si="0"/>
        <v>[effect:damage_anti_tribe, target:unit_all, tribe:unknown, val1:0.75, val2:0.25]</v>
      </c>
      <c r="H24" s="64">
        <f t="shared" si="1"/>
        <v>9</v>
      </c>
      <c r="I24" s="64">
        <f t="shared" si="2"/>
        <v>26</v>
      </c>
      <c r="J24" s="64">
        <f t="shared" si="3"/>
        <v>35</v>
      </c>
      <c r="K24" s="64">
        <f t="shared" si="4"/>
        <v>43</v>
      </c>
      <c r="L24" s="64" t="str">
        <f>IFERROR(VLOOKUP(MID(G24,J24,K24-J24),[5]skilldef!$C:$D,2,FALSE),"-") &amp; " / " &amp; IFERROR(VLOOKUP(MID(G24,H24,I24-H24),[5]skilldef!$A:$B,2,FALSE),"-")</f>
        <v>味方全体に / 種族キラー</v>
      </c>
      <c r="M24" s="64" t="str">
        <f t="shared" si="5"/>
        <v>none</v>
      </c>
      <c r="N24" s="48" t="str">
        <f t="shared" si="45"/>
        <v>none</v>
      </c>
      <c r="O24" s="64" t="e">
        <f t="shared" si="6"/>
        <v>#VALUE!</v>
      </c>
      <c r="P24" s="64">
        <f t="shared" si="7"/>
        <v>4</v>
      </c>
      <c r="Q24" s="64" t="e">
        <f t="shared" si="8"/>
        <v>#VALUE!</v>
      </c>
      <c r="R24" s="64" t="e">
        <f t="shared" si="9"/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30041024</v>
      </c>
      <c r="B25" s="47" t="s">
        <v>279</v>
      </c>
      <c r="C25" s="50">
        <v>3</v>
      </c>
      <c r="D25" s="50" t="s">
        <v>128</v>
      </c>
      <c r="E25" s="51" t="s">
        <v>321</v>
      </c>
      <c r="F25" s="51" t="s">
        <v>280</v>
      </c>
      <c r="G25" s="64" t="str">
        <f t="shared" si="0"/>
        <v>[effect:rush, count:1, val:1]</v>
      </c>
      <c r="H25" s="64">
        <f t="shared" si="1"/>
        <v>9</v>
      </c>
      <c r="I25" s="64">
        <f t="shared" si="2"/>
        <v>13</v>
      </c>
      <c r="J25" s="64" t="e">
        <f t="shared" si="3"/>
        <v>#VALUE!</v>
      </c>
      <c r="K25" s="64">
        <f t="shared" si="4"/>
        <v>22</v>
      </c>
      <c r="L25" s="64" t="str">
        <f>IFERROR(VLOOKUP(MID(G25,J25,K25-J25),[5]skilldef!$C:$D,2,FALSE),"-") &amp; " / " &amp; IFERROR(VLOOKUP(MID(G25,H25,I25-H25),[5]skilldef!$A:$B,2,FALSE),"-")</f>
        <v>- / 連続攻撃</v>
      </c>
      <c r="M25" s="64" t="str">
        <f t="shared" si="5"/>
        <v>[effect:dark, target:unit_all, turn:1, animation:enemy_dark]</v>
      </c>
      <c r="N25" s="48" t="str">
        <f t="shared" si="45"/>
        <v>[effect:dark, target:unit_all, turn:1, animation:enemy_dark]</v>
      </c>
      <c r="O25" s="64">
        <f t="shared" si="6"/>
        <v>9</v>
      </c>
      <c r="P25" s="64">
        <f t="shared" si="7"/>
        <v>13</v>
      </c>
      <c r="Q25" s="64">
        <f t="shared" si="8"/>
        <v>22</v>
      </c>
      <c r="R25" s="64">
        <f t="shared" si="9"/>
        <v>30</v>
      </c>
      <c r="S25" s="64" t="str">
        <f>IFERROR(VLOOKUP(MID(N25,Q25,R25-Q25),[5]skilldef!$C:$D,2,FALSE),"-") &amp; " / " &amp; IFERROR(VLOOKUP(MID(N25,O25,P25-O25),[5]skilldef!$A:$B,2,FALSE),"-")</f>
        <v>味方全体に / 暗黒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30041025</v>
      </c>
      <c r="B26" s="47" t="s">
        <v>329</v>
      </c>
      <c r="C26" s="50">
        <v>3</v>
      </c>
      <c r="D26" s="50" t="s">
        <v>128</v>
      </c>
      <c r="E26" s="51" t="s">
        <v>324</v>
      </c>
      <c r="F26" s="51" t="s">
        <v>327</v>
      </c>
      <c r="G26" s="64" t="str">
        <f t="shared" si="0"/>
        <v>[effect:fix_speed, target:myself, turn:2]</v>
      </c>
      <c r="H26" s="64">
        <f t="shared" si="1"/>
        <v>9</v>
      </c>
      <c r="I26" s="64">
        <f t="shared" si="2"/>
        <v>18</v>
      </c>
      <c r="J26" s="64">
        <f t="shared" si="3"/>
        <v>27</v>
      </c>
      <c r="K26" s="64">
        <f t="shared" si="4"/>
        <v>33</v>
      </c>
      <c r="L26" s="64" t="str">
        <f>IFERROR(VLOOKUP(MID(G26,J26,K26-J26),[5]skilldef!$C:$D,2,FALSE),"-") &amp; " / " &amp; IFERROR(VLOOKUP(MID(G26,H26,I26-H26),[5]skilldef!$A:$B,2,FALSE),"-")</f>
        <v>自分自身に / 行動値設定</v>
      </c>
      <c r="M26" s="64" t="str">
        <f t="shared" si="5"/>
        <v>[effect:enemy_message, val1:1, val2:2.3],[effect:drop_block, block_type:time_bomb, block_color:block_blue, color:block_all, val:0.05, rate:0.1, turn:-1, min_time_count:1, max_time_count:2, animation:time_bomb_influence04],[effect:drop_freeze, block_type:time_bomb, rate:1, turn:-1, animation:drop_protect]</v>
      </c>
      <c r="N26" s="48" t="str">
        <f t="shared" si="45"/>
        <v>[effect:enemy_message, val1:1, val2:2.3],[effect:drop_block, block_type:time_bomb, block_color:block_blue, color:block_all, val:0.05, rate:0.1, turn:-1, min_time_count:1, max_time_count:2, animation:time_bomb_influence04],[effect:drop_freeze, block_type:time_bomb, rate:1, turn:-1, animation:drop_protect]</v>
      </c>
      <c r="O26" s="64">
        <f t="shared" si="6"/>
        <v>9</v>
      </c>
      <c r="P26" s="64">
        <f t="shared" si="7"/>
        <v>22</v>
      </c>
      <c r="Q26" s="64" t="e">
        <f t="shared" si="8"/>
        <v>#VALUE!</v>
      </c>
      <c r="R26" s="64">
        <f t="shared" si="9"/>
        <v>30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[effect:drop_block, block_type:time_bomb, block_color:block_blue, color:block_all, val:0.05, rate:0.1, turn:-1, min_time_count:1, max_time_count:2, animation:time_bomb_influence04],[effect:drop_freeze, block_type:time_bomb, rate:1, turn:-1, animation:drop_protect]</v>
      </c>
      <c r="U26" s="64">
        <f t="shared" si="11"/>
        <v>9</v>
      </c>
      <c r="V26" s="64">
        <f t="shared" si="12"/>
        <v>19</v>
      </c>
      <c r="W26" s="64" t="e">
        <f t="shared" si="13"/>
        <v>#VALUE!</v>
      </c>
      <c r="X26" s="64">
        <f t="shared" si="14"/>
        <v>41</v>
      </c>
      <c r="Y26" s="64" t="str">
        <f>IFERROR(VLOOKUP(MID(T26,W26,X26-W26),[5]skilldef!$C:$D,2,FALSE),"-") &amp; " / " &amp; IFERROR(VLOOKUP(MID(T26,U26,V26-U26),[5]skilldef!$A:$B,2,FALSE),"-")</f>
        <v>- / 特定ブロックの割合ドロップ</v>
      </c>
      <c r="Z26" s="50"/>
      <c r="AA26" s="52"/>
      <c r="AB26" s="50"/>
    </row>
    <row r="27" spans="1:28" ht="21" customHeight="1" x14ac:dyDescent="0.15">
      <c r="A27" s="47">
        <v>30041026</v>
      </c>
      <c r="B27" s="47" t="s">
        <v>281</v>
      </c>
      <c r="C27" s="50">
        <v>3</v>
      </c>
      <c r="D27" s="50" t="s">
        <v>128</v>
      </c>
      <c r="E27" s="51" t="s">
        <v>323</v>
      </c>
      <c r="F27" s="51" t="s">
        <v>277</v>
      </c>
      <c r="G27" s="64" t="str">
        <f t="shared" si="0"/>
        <v>[effect:damage_anti_tribe, target:unit_all, tribe:unknown, val1:0.75, val2:0.33]</v>
      </c>
      <c r="H27" s="64">
        <f t="shared" si="1"/>
        <v>9</v>
      </c>
      <c r="I27" s="64">
        <f t="shared" si="2"/>
        <v>26</v>
      </c>
      <c r="J27" s="64">
        <f t="shared" si="3"/>
        <v>35</v>
      </c>
      <c r="K27" s="64">
        <f t="shared" si="4"/>
        <v>43</v>
      </c>
      <c r="L27" s="64" t="str">
        <f>IFERROR(VLOOKUP(MID(G27,J27,K27-J27),[5]skilldef!$C:$D,2,FALSE),"-") &amp; " / " &amp; IFERROR(VLOOKUP(MID(G27,H27,I27-H27),[5]skilldef!$A:$B,2,FALSE),"-")</f>
        <v>味方全体に / 種族キラー</v>
      </c>
      <c r="M27" s="64" t="str">
        <f t="shared" si="5"/>
        <v>none</v>
      </c>
      <c r="N27" s="48" t="str">
        <f t="shared" si="45"/>
        <v>none</v>
      </c>
      <c r="O27" s="64" t="e">
        <f t="shared" si="6"/>
        <v>#VALUE!</v>
      </c>
      <c r="P27" s="64">
        <f t="shared" si="7"/>
        <v>4</v>
      </c>
      <c r="Q27" s="64" t="e">
        <f t="shared" si="8"/>
        <v>#VALUE!</v>
      </c>
      <c r="R27" s="64" t="e">
        <f t="shared" si="9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4" t="e">
        <f t="shared" si="11"/>
        <v>#VALUE!</v>
      </c>
      <c r="V27" s="64">
        <f t="shared" si="12"/>
        <v>4</v>
      </c>
      <c r="W27" s="64" t="e">
        <f t="shared" si="13"/>
        <v>#VALUE!</v>
      </c>
      <c r="X27" s="64" t="e">
        <f t="shared" si="1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30041027</v>
      </c>
      <c r="B28" s="47" t="s">
        <v>282</v>
      </c>
      <c r="C28" s="50">
        <v>3</v>
      </c>
      <c r="D28" s="50" t="s">
        <v>128</v>
      </c>
      <c r="E28" s="51" t="s">
        <v>322</v>
      </c>
      <c r="F28" s="51" t="s">
        <v>283</v>
      </c>
      <c r="G28" s="64" t="str">
        <f t="shared" si="0"/>
        <v>[effect:critical, val:1.3, animation:enemy_critical]</v>
      </c>
      <c r="H28" s="64">
        <f t="shared" si="1"/>
        <v>9</v>
      </c>
      <c r="I28" s="64">
        <f t="shared" si="2"/>
        <v>17</v>
      </c>
      <c r="J28" s="64" t="e">
        <f t="shared" si="3"/>
        <v>#VALUE!</v>
      </c>
      <c r="K28" s="64">
        <f t="shared" si="4"/>
        <v>26</v>
      </c>
      <c r="L28" s="64" t="str">
        <f>IFERROR(VLOOKUP(MID(G28,J28,K28-J28),[5]skilldef!$C:$D,2,FALSE),"-") &amp; " / " &amp; IFERROR(VLOOKUP(MID(G28,H28,I28-H28),[5]skilldef!$A:$B,2,FALSE),"-")</f>
        <v>- / 大攻撃</v>
      </c>
      <c r="M28" s="64" t="str">
        <f t="shared" si="5"/>
        <v>[effect:dark, target:unit_all, turn:1, animation:enemy_dark]</v>
      </c>
      <c r="N28" s="48" t="str">
        <f t="shared" si="45"/>
        <v>[effect:dark, target:unit_all, turn:1, animation:enemy_dark]</v>
      </c>
      <c r="O28" s="64">
        <f t="shared" si="6"/>
        <v>9</v>
      </c>
      <c r="P28" s="64">
        <f t="shared" si="7"/>
        <v>13</v>
      </c>
      <c r="Q28" s="64">
        <f t="shared" si="8"/>
        <v>22</v>
      </c>
      <c r="R28" s="64">
        <f t="shared" si="9"/>
        <v>30</v>
      </c>
      <c r="S28" s="64" t="str">
        <f>IFERROR(VLOOKUP(MID(N28,Q28,R28-Q28),[5]skilldef!$C:$D,2,FALSE),"-") &amp; " / " &amp; IFERROR(VLOOKUP(MID(N28,O28,P28-O28),[5]skilldef!$A:$B,2,FALSE),"-")</f>
        <v>味方全体に / 暗黒</v>
      </c>
      <c r="T28" s="48" t="str">
        <f t="shared" si="10"/>
        <v>none</v>
      </c>
      <c r="U28" s="64" t="e">
        <f t="shared" si="11"/>
        <v>#VALUE!</v>
      </c>
      <c r="V28" s="64">
        <f t="shared" si="12"/>
        <v>4</v>
      </c>
      <c r="W28" s="64" t="e">
        <f t="shared" si="13"/>
        <v>#VALUE!</v>
      </c>
      <c r="X28" s="64" t="e">
        <f t="shared" si="1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30041028</v>
      </c>
      <c r="B29" s="47" t="s">
        <v>303</v>
      </c>
      <c r="C29" s="50">
        <v>3</v>
      </c>
      <c r="D29" s="50" t="s">
        <v>128</v>
      </c>
      <c r="E29" s="51" t="s">
        <v>325</v>
      </c>
      <c r="F29" s="51" t="s">
        <v>276</v>
      </c>
      <c r="G29" s="64" t="str">
        <f t="shared" si="0"/>
        <v>[effect:fix_speed, target:myself, turn:1]</v>
      </c>
      <c r="H29" s="64">
        <f t="shared" si="1"/>
        <v>9</v>
      </c>
      <c r="I29" s="64">
        <f t="shared" si="2"/>
        <v>18</v>
      </c>
      <c r="J29" s="64">
        <f t="shared" si="3"/>
        <v>27</v>
      </c>
      <c r="K29" s="64">
        <f t="shared" si="4"/>
        <v>33</v>
      </c>
      <c r="L29" s="64" t="str">
        <f>IFERROR(VLOOKUP(MID(G29,J29,K29-J29),[5]skilldef!$C:$D,2,FALSE),"-") &amp; " / " &amp; IFERROR(VLOOKUP(MID(G29,H29,I29-H29),[5]skilldef!$A:$B,2,FALSE),"-")</f>
        <v>自分自身に / 行動値設定</v>
      </c>
      <c r="M29" s="64" t="str">
        <f t="shared" si="5"/>
        <v>[effect:remove_enhancement, target:unit_all, target_effect:drop_freeze],[effect:drop_block, block_type:time_bomb, block_color:block_blue, color:block_all, val:0.1, rate:0.3, turn:-1, min_time_count:5, max_time_count:5, animation:time_bomb_influence04]</v>
      </c>
      <c r="N29" s="48" t="str">
        <f t="shared" si="45"/>
        <v>[effect:remove_enhancement, target:unit_all, target_effect:drop_freeze]</v>
      </c>
      <c r="O29" s="64">
        <f t="shared" si="6"/>
        <v>9</v>
      </c>
      <c r="P29" s="64">
        <f t="shared" si="7"/>
        <v>27</v>
      </c>
      <c r="Q29" s="64">
        <f t="shared" si="8"/>
        <v>36</v>
      </c>
      <c r="R29" s="64">
        <f t="shared" si="9"/>
        <v>44</v>
      </c>
      <c r="S29" s="64" t="str">
        <f>IFERROR(VLOOKUP(MID(N29,Q29,R29-Q29),[5]skilldef!$C:$D,2,FALSE),"-") &amp; " / " &amp; IFERROR(VLOOKUP(MID(N29,O29,P29-O29),[5]skilldef!$A:$B,2,FALSE),"-")</f>
        <v>味方全体に / -</v>
      </c>
      <c r="T29" s="48" t="str">
        <f t="shared" si="10"/>
        <v>[effect:drop_block, block_type:time_bomb, block_color:block_blue, color:block_all, val:0.1, rate:0.3, turn:-1, min_time_count:5, max_time_count:5, animation:time_bomb_influence04]</v>
      </c>
      <c r="U29" s="64">
        <f t="shared" si="11"/>
        <v>9</v>
      </c>
      <c r="V29" s="64">
        <f t="shared" si="12"/>
        <v>19</v>
      </c>
      <c r="W29" s="64" t="e">
        <f t="shared" si="13"/>
        <v>#VALUE!</v>
      </c>
      <c r="X29" s="64">
        <f t="shared" si="14"/>
        <v>41</v>
      </c>
      <c r="Y29" s="64" t="str">
        <f>IFERROR(VLOOKUP(MID(T29,W29,X29-W29),[5]skilldef!$C:$D,2,FALSE),"-") &amp; " / " &amp; IFERROR(VLOOKUP(MID(T29,U29,V29-U29),[5]skilldef!$A:$B,2,FALSE),"-")</f>
        <v>- / 特定ブロックの割合ドロップ</v>
      </c>
      <c r="Z29" s="50"/>
      <c r="AA29" s="52"/>
      <c r="AB29" s="50"/>
    </row>
    <row r="30" spans="1:28" ht="21" customHeight="1" x14ac:dyDescent="0.15">
      <c r="A30" s="47">
        <v>30041029</v>
      </c>
      <c r="B30" s="47" t="s">
        <v>330</v>
      </c>
      <c r="C30" s="50">
        <v>3</v>
      </c>
      <c r="D30" s="50" t="s">
        <v>128</v>
      </c>
      <c r="E30" s="51" t="s">
        <v>326</v>
      </c>
      <c r="F30" s="51" t="s">
        <v>328</v>
      </c>
      <c r="G30" s="64" t="str">
        <f t="shared" si="0"/>
        <v>[effect:fix_speed, target:myself, turn:1]</v>
      </c>
      <c r="H30" s="64">
        <f t="shared" si="1"/>
        <v>9</v>
      </c>
      <c r="I30" s="64">
        <f t="shared" si="2"/>
        <v>18</v>
      </c>
      <c r="J30" s="64">
        <f t="shared" si="3"/>
        <v>27</v>
      </c>
      <c r="K30" s="64">
        <f t="shared" si="4"/>
        <v>33</v>
      </c>
      <c r="L30" s="64" t="str">
        <f>IFERROR(VLOOKUP(MID(G30,J30,K30-J30),[5]skilldef!$C:$D,2,FALSE),"-") &amp; " / " &amp; IFERROR(VLOOKUP(MID(G30,H30,I30-H30),[5]skilldef!$A:$B,2,FALSE),"-")</f>
        <v>自分自身に / 行動値設定</v>
      </c>
      <c r="M30" s="64" t="str">
        <f t="shared" si="5"/>
        <v>[effect:enemy_message, val1:1, val2:2.3],[effect:drop_block, block_type:time_bomb, block_color:block_blue, color:block_all, val:0.05, rate:0.1, turn:-1, min_time_count:1, max_time_count:2, animation:time_bomb_influence04],[effect:drop_freeze, block_type:time_bomb, rate:1, turn:-1, animation:drop_protect]</v>
      </c>
      <c r="N30" s="48" t="str">
        <f t="shared" si="45"/>
        <v>[effect:enemy_message, val1:1, val2:2.3]</v>
      </c>
      <c r="O30" s="64">
        <f t="shared" si="6"/>
        <v>9</v>
      </c>
      <c r="P30" s="64">
        <f t="shared" si="7"/>
        <v>22</v>
      </c>
      <c r="Q30" s="64" t="e">
        <f t="shared" si="8"/>
        <v>#VALUE!</v>
      </c>
      <c r="R30" s="64">
        <f t="shared" si="9"/>
        <v>30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si="10"/>
        <v>[effect:drop_block, block_type:time_bomb, block_color:block_blue, color:block_all, val:0.05, rate:0.1, turn:-1, min_time_count:1, max_time_count:2, animation:time_bomb_influence04],[effect:drop_freeze, block_type:time_bomb, rate:1, turn:-1, animation:drop_protect]</v>
      </c>
      <c r="U30" s="64">
        <f t="shared" si="11"/>
        <v>9</v>
      </c>
      <c r="V30" s="64">
        <f t="shared" si="12"/>
        <v>19</v>
      </c>
      <c r="W30" s="64" t="e">
        <f t="shared" si="13"/>
        <v>#VALUE!</v>
      </c>
      <c r="X30" s="64">
        <f t="shared" si="14"/>
        <v>41</v>
      </c>
      <c r="Y30" s="64" t="str">
        <f>IFERROR(VLOOKUP(MID(T30,W30,X30-W30),[5]skilldef!$C:$D,2,FALSE),"-") &amp; " / " &amp; IFERROR(VLOOKUP(MID(T30,U30,V30-U30),[5]skilldef!$A:$B,2,FALSE),"-")</f>
        <v>- / 特定ブロックの割合ドロップ</v>
      </c>
      <c r="Z30" s="50"/>
      <c r="AA30" s="52"/>
      <c r="AB30" s="50"/>
    </row>
    <row r="31" spans="1:28" ht="21" customHeight="1" x14ac:dyDescent="0.15">
      <c r="A31" s="47">
        <v>30041030</v>
      </c>
      <c r="B31" s="47" t="s">
        <v>284</v>
      </c>
      <c r="C31" s="50">
        <v>3</v>
      </c>
      <c r="D31" s="50" t="s">
        <v>128</v>
      </c>
      <c r="E31" s="51" t="s">
        <v>323</v>
      </c>
      <c r="F31" s="51" t="s">
        <v>277</v>
      </c>
      <c r="G31" s="64" t="str">
        <f t="shared" si="0"/>
        <v>[effect:damage_anti_tribe, target:unit_all, tribe:unknown, val1:1, val2:0.33]</v>
      </c>
      <c r="H31" s="64">
        <f t="shared" si="1"/>
        <v>9</v>
      </c>
      <c r="I31" s="64">
        <f t="shared" si="2"/>
        <v>26</v>
      </c>
      <c r="J31" s="64">
        <f t="shared" si="3"/>
        <v>35</v>
      </c>
      <c r="K31" s="64">
        <f t="shared" si="4"/>
        <v>43</v>
      </c>
      <c r="L31" s="64" t="str">
        <f>IFERROR(VLOOKUP(MID(G31,J31,K31-J31),[5]skilldef!$C:$D,2,FALSE),"-") &amp; " / " &amp; IFERROR(VLOOKUP(MID(G31,H31,I31-H31),[5]skilldef!$A:$B,2,FALSE),"-")</f>
        <v>味方全体に / 種族キラー</v>
      </c>
      <c r="M31" s="64" t="str">
        <f t="shared" si="5"/>
        <v>none</v>
      </c>
      <c r="N31" s="48" t="str">
        <f t="shared" si="45"/>
        <v>none</v>
      </c>
      <c r="O31" s="64" t="e">
        <f t="shared" si="6"/>
        <v>#VALUE!</v>
      </c>
      <c r="P31" s="64">
        <f t="shared" si="7"/>
        <v>4</v>
      </c>
      <c r="Q31" s="64" t="e">
        <f t="shared" si="8"/>
        <v>#VALUE!</v>
      </c>
      <c r="R31" s="64" t="e">
        <f t="shared" si="9"/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si="10"/>
        <v>none</v>
      </c>
      <c r="U31" s="64" t="e">
        <f t="shared" si="11"/>
        <v>#VALUE!</v>
      </c>
      <c r="V31" s="64">
        <f t="shared" si="12"/>
        <v>4</v>
      </c>
      <c r="W31" s="64" t="e">
        <f t="shared" si="13"/>
        <v>#VALUE!</v>
      </c>
      <c r="X31" s="64" t="e">
        <f t="shared" si="14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30041031</v>
      </c>
      <c r="B32" s="47" t="s">
        <v>299</v>
      </c>
      <c r="C32" s="50">
        <v>3</v>
      </c>
      <c r="D32" s="50" t="s">
        <v>128</v>
      </c>
      <c r="E32" s="51" t="s">
        <v>332</v>
      </c>
      <c r="F32" s="51" t="s">
        <v>288</v>
      </c>
      <c r="G32" s="64" t="str">
        <f t="shared" si="0"/>
        <v>[effect:fix_speed, target:myself, turn:2]</v>
      </c>
      <c r="H32" s="64">
        <f t="shared" si="1"/>
        <v>9</v>
      </c>
      <c r="I32" s="64">
        <f t="shared" si="2"/>
        <v>18</v>
      </c>
      <c r="J32" s="64">
        <f t="shared" si="3"/>
        <v>27</v>
      </c>
      <c r="K32" s="64">
        <f t="shared" si="4"/>
        <v>33</v>
      </c>
      <c r="L32" s="64" t="str">
        <f>IFERROR(VLOOKUP(MID(G32,J32,K32-J32),[5]skilldef!$C:$D,2,FALSE),"-") &amp; " / " &amp; IFERROR(VLOOKUP(MID(G32,H32,I32-H32),[5]skilldef!$A:$B,2,FALSE),"-")</f>
        <v>自分自身に / 行動値設定</v>
      </c>
      <c r="M32" s="64" t="str">
        <f t="shared" si="5"/>
        <v>[effect:rush, count:2, val:0.65]</v>
      </c>
      <c r="N32" s="48" t="str">
        <f t="shared" si="45"/>
        <v>[effect:rush, count:2, val:0.65]</v>
      </c>
      <c r="O32" s="64">
        <f t="shared" si="6"/>
        <v>9</v>
      </c>
      <c r="P32" s="64">
        <f t="shared" si="7"/>
        <v>13</v>
      </c>
      <c r="Q32" s="64" t="e">
        <f t="shared" si="8"/>
        <v>#VALUE!</v>
      </c>
      <c r="R32" s="64">
        <f t="shared" si="9"/>
        <v>22</v>
      </c>
      <c r="S32" s="64" t="str">
        <f>IFERROR(VLOOKUP(MID(N32,Q32,R32-Q32),[5]skilldef!$C:$D,2,FALSE),"-") &amp; " / " &amp; IFERROR(VLOOKUP(MID(N32,O32,P32-O32),[5]skilldef!$A:$B,2,FALSE),"-")</f>
        <v>- / 連続攻撃</v>
      </c>
      <c r="T32" s="48" t="str">
        <f t="shared" si="10"/>
        <v>none</v>
      </c>
      <c r="U32" s="64" t="e">
        <f t="shared" si="11"/>
        <v>#VALUE!</v>
      </c>
      <c r="V32" s="64">
        <f t="shared" si="12"/>
        <v>4</v>
      </c>
      <c r="W32" s="64" t="e">
        <f t="shared" si="13"/>
        <v>#VALUE!</v>
      </c>
      <c r="X32" s="64" t="e">
        <f t="shared" si="14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30041032</v>
      </c>
      <c r="B33" s="47" t="s">
        <v>286</v>
      </c>
      <c r="C33" s="50">
        <v>3</v>
      </c>
      <c r="D33" s="50" t="s">
        <v>128</v>
      </c>
      <c r="E33" s="51" t="s">
        <v>311</v>
      </c>
      <c r="F33" s="51" t="s">
        <v>285</v>
      </c>
      <c r="G33" s="64" t="str">
        <f t="shared" si="0"/>
        <v>[effect:critical, val:1.3, animation:enemy_critical]</v>
      </c>
      <c r="H33" s="64">
        <f t="shared" si="1"/>
        <v>9</v>
      </c>
      <c r="I33" s="64">
        <f t="shared" si="2"/>
        <v>17</v>
      </c>
      <c r="J33" s="64" t="e">
        <f t="shared" si="3"/>
        <v>#VALUE!</v>
      </c>
      <c r="K33" s="64">
        <f t="shared" si="4"/>
        <v>26</v>
      </c>
      <c r="L33" s="64" t="str">
        <f>IFERROR(VLOOKUP(MID(G33,J33,K33-J33),[5]skilldef!$C:$D,2,FALSE),"-") &amp; " / " &amp; IFERROR(VLOOKUP(MID(G33,H33,I33-H33),[5]skilldef!$A:$B,2,FALSE),"-")</f>
        <v>- / 大攻撃</v>
      </c>
      <c r="M33" s="64" t="str">
        <f t="shared" si="5"/>
        <v>[effect:dark, target:unit_all, turn:3, animation:enemy_dark]</v>
      </c>
      <c r="N33" s="48" t="str">
        <f t="shared" si="45"/>
        <v>[effect:dark, target:unit_all, turn:3, animation:enemy_dark]</v>
      </c>
      <c r="O33" s="64">
        <f t="shared" si="6"/>
        <v>9</v>
      </c>
      <c r="P33" s="64">
        <f t="shared" si="7"/>
        <v>13</v>
      </c>
      <c r="Q33" s="64">
        <f t="shared" si="8"/>
        <v>22</v>
      </c>
      <c r="R33" s="64">
        <f t="shared" si="9"/>
        <v>30</v>
      </c>
      <c r="S33" s="64" t="str">
        <f>IFERROR(VLOOKUP(MID(N33,Q33,R33-Q33),[5]skilldef!$C:$D,2,FALSE),"-") &amp; " / " &amp; IFERROR(VLOOKUP(MID(N33,O33,P33-O33),[5]skilldef!$A:$B,2,FALSE),"-")</f>
        <v>味方全体に / 暗黒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30041033</v>
      </c>
      <c r="B34" s="47" t="s">
        <v>309</v>
      </c>
      <c r="C34" s="50">
        <v>3</v>
      </c>
      <c r="D34" s="50" t="s">
        <v>128</v>
      </c>
      <c r="E34" s="51" t="s">
        <v>312</v>
      </c>
      <c r="F34" s="51" t="s">
        <v>342</v>
      </c>
      <c r="G34" s="64" t="str">
        <f t="shared" ref="G34" si="46">IFERROR(LEFT(B34,FIND("],",B34)),B34)</f>
        <v>[effect:drop_block, block_type:time_bomb, color:block_all, val:0.1, rate:0.2, turn:4, min_time_count:4, max_time_count:4, animation:time_bomb_influence04]</v>
      </c>
      <c r="H34" s="64">
        <f t="shared" ref="H34" si="47">FIND("effect:",G34)+7</f>
        <v>9</v>
      </c>
      <c r="I34" s="64">
        <f t="shared" ref="I34" si="48">IFERROR(FIND(",",G34),LEN(G34))</f>
        <v>19</v>
      </c>
      <c r="J34" s="64" t="e">
        <f t="shared" ref="J34" si="49">FIND("target:",G34)+7</f>
        <v>#VALUE!</v>
      </c>
      <c r="K34" s="64">
        <f t="shared" ref="K34" si="50">FIND(",",G34,I34+1)</f>
        <v>41</v>
      </c>
      <c r="L34" s="64" t="str">
        <f>IFERROR(VLOOKUP(MID(G34,J34,K34-J34),[5]skilldef!$C:$D,2,FALSE),"-") &amp; " / " &amp; IFERROR(VLOOKUP(MID(G34,H34,I34-H34),[5]skilldef!$A:$B,2,FALSE),"-")</f>
        <v>- / 特定ブロックの割合ドロップ</v>
      </c>
      <c r="M34" s="64" t="str">
        <f t="shared" ref="M34" si="51">IFERROR(RIGHT(B34,LEN(B34)-FIND("],",B34)-1),"none")</f>
        <v>none</v>
      </c>
      <c r="N34" s="48" t="str">
        <f t="shared" ref="N34" si="52">IFERROR(LEFT(M34,FIND("],",M34)+S41),M34)</f>
        <v>none</v>
      </c>
      <c r="O34" s="64" t="e">
        <f t="shared" ref="O34" si="53">FIND("effect:",N34)+7</f>
        <v>#VALUE!</v>
      </c>
      <c r="P34" s="64">
        <f t="shared" ref="P34" si="54">IFERROR(FIND(",",N34),LEN(N34))</f>
        <v>4</v>
      </c>
      <c r="Q34" s="64" t="e">
        <f t="shared" ref="Q34" si="55">FIND("target:",N34)+7</f>
        <v>#VALUE!</v>
      </c>
      <c r="R34" s="64" t="e">
        <f t="shared" ref="R34" si="56">FIND(",",N34,P34+1)</f>
        <v>#VALUE!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57">IFERROR(RIGHT(M34,LEN(M34)-FIND("],",M34)-1),"none")</f>
        <v>none</v>
      </c>
      <c r="U34" s="64" t="e">
        <f t="shared" ref="U34" si="58">FIND("effect:",T34)+7</f>
        <v>#VALUE!</v>
      </c>
      <c r="V34" s="64">
        <f t="shared" ref="V34" si="59">IFERROR(FIND(",",T34),LEN(T34))</f>
        <v>4</v>
      </c>
      <c r="W34" s="64" t="e">
        <f t="shared" ref="W34" si="60">FIND("target:",T34)+7</f>
        <v>#VALUE!</v>
      </c>
      <c r="X34" s="64" t="e">
        <f t="shared" ref="X34" si="61"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5"/>
  <sheetViews>
    <sheetView showGridLines="0" zoomScale="75" zoomScaleNormal="75" zoomScalePageLayoutView="75" workbookViewId="0">
      <pane ySplit="1" topLeftCell="A2" activePane="bottomLeft" state="frozenSplit"/>
      <selection pane="bottomLeft" activeCell="B7" sqref="B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30041001</v>
      </c>
      <c r="B2" s="47">
        <v>0</v>
      </c>
      <c r="C2" s="47" t="s">
        <v>89</v>
      </c>
      <c r="D2" s="47">
        <v>50</v>
      </c>
      <c r="E2" s="47" t="s">
        <v>89</v>
      </c>
      <c r="F2" s="47" t="s">
        <v>90</v>
      </c>
      <c r="G2" s="47" t="s">
        <v>89</v>
      </c>
      <c r="H2" s="47" t="s">
        <v>90</v>
      </c>
      <c r="I2" s="47" t="s">
        <v>90</v>
      </c>
      <c r="J2" s="48">
        <f t="shared" ref="J2" si="0">D2</f>
        <v>50</v>
      </c>
    </row>
    <row r="3" spans="1:11" ht="21" customHeight="1" x14ac:dyDescent="0.15">
      <c r="A3" s="47">
        <v>30041002</v>
      </c>
      <c r="B3" s="47">
        <v>0</v>
      </c>
      <c r="C3" s="47" t="s">
        <v>89</v>
      </c>
      <c r="D3" s="47">
        <v>35</v>
      </c>
      <c r="E3" s="47" t="s">
        <v>89</v>
      </c>
      <c r="F3" s="47" t="s">
        <v>90</v>
      </c>
      <c r="G3" s="47" t="s">
        <v>89</v>
      </c>
      <c r="H3" s="47" t="s">
        <v>90</v>
      </c>
      <c r="I3" s="47" t="s">
        <v>90</v>
      </c>
      <c r="J3" s="48">
        <f t="shared" ref="J3:J8" si="1">D3</f>
        <v>35</v>
      </c>
    </row>
    <row r="4" spans="1:11" ht="21" customHeight="1" x14ac:dyDescent="0.15">
      <c r="A4" s="47">
        <v>30041003</v>
      </c>
      <c r="B4" s="47">
        <v>1</v>
      </c>
      <c r="C4" s="47" t="s">
        <v>89</v>
      </c>
      <c r="D4" s="47">
        <v>100</v>
      </c>
      <c r="E4" s="47" t="s">
        <v>89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30041004</v>
      </c>
      <c r="B5" s="47">
        <v>0</v>
      </c>
      <c r="C5" s="47" t="s">
        <v>89</v>
      </c>
      <c r="D5" s="47">
        <v>100</v>
      </c>
      <c r="E5" s="47" t="s">
        <v>89</v>
      </c>
      <c r="F5" s="47" t="s">
        <v>90</v>
      </c>
      <c r="G5" s="47" t="s">
        <v>89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30041005</v>
      </c>
      <c r="B6" s="47">
        <v>1</v>
      </c>
      <c r="C6" s="47" t="s">
        <v>89</v>
      </c>
      <c r="D6" s="47">
        <v>100</v>
      </c>
      <c r="E6" s="47" t="s">
        <v>89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30041006</v>
      </c>
      <c r="B7" s="47">
        <v>0</v>
      </c>
      <c r="C7" s="47">
        <v>4</v>
      </c>
      <c r="D7" s="47">
        <v>35</v>
      </c>
      <c r="E7" s="47" t="s">
        <v>89</v>
      </c>
      <c r="F7" s="47" t="s">
        <v>90</v>
      </c>
      <c r="G7" s="47" t="s">
        <v>89</v>
      </c>
      <c r="H7" s="47" t="s">
        <v>90</v>
      </c>
      <c r="I7" s="47" t="s">
        <v>90</v>
      </c>
      <c r="J7" s="48">
        <f>D7</f>
        <v>35</v>
      </c>
    </row>
    <row r="8" spans="1:11" ht="21" customHeight="1" x14ac:dyDescent="0.15">
      <c r="A8" s="47">
        <v>30041007</v>
      </c>
      <c r="B8" s="47">
        <v>0</v>
      </c>
      <c r="C8" s="47">
        <v>3</v>
      </c>
      <c r="D8" s="47">
        <v>50</v>
      </c>
      <c r="E8" s="47" t="s">
        <v>89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1"/>
        <v>50</v>
      </c>
    </row>
    <row r="9" spans="1:11" ht="21" customHeight="1" x14ac:dyDescent="0.15">
      <c r="A9" s="47">
        <v>30041008</v>
      </c>
      <c r="B9" s="47">
        <v>0</v>
      </c>
      <c r="C9" s="47">
        <v>2</v>
      </c>
      <c r="D9" s="47">
        <v>50</v>
      </c>
      <c r="E9" s="47" t="s">
        <v>89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ref="J9:J18" si="2">D9</f>
        <v>50</v>
      </c>
    </row>
    <row r="10" spans="1:11" ht="21" customHeight="1" x14ac:dyDescent="0.15">
      <c r="A10" s="47">
        <v>30041009</v>
      </c>
      <c r="B10" s="47">
        <v>0</v>
      </c>
      <c r="C10" s="47">
        <v>1</v>
      </c>
      <c r="D10" s="47">
        <v>50</v>
      </c>
      <c r="E10" s="47" t="s">
        <v>89</v>
      </c>
      <c r="F10" s="47" t="s">
        <v>90</v>
      </c>
      <c r="G10" s="47">
        <v>1</v>
      </c>
      <c r="H10" s="47" t="s">
        <v>90</v>
      </c>
      <c r="I10" s="47" t="s">
        <v>90</v>
      </c>
      <c r="J10" s="48">
        <f t="shared" si="2"/>
        <v>50</v>
      </c>
    </row>
    <row r="11" spans="1:11" ht="21" customHeight="1" x14ac:dyDescent="0.15">
      <c r="A11" s="47">
        <v>30041010</v>
      </c>
      <c r="B11" s="47">
        <v>0</v>
      </c>
      <c r="C11" s="47" t="s">
        <v>89</v>
      </c>
      <c r="D11" s="47">
        <v>100</v>
      </c>
      <c r="E11" s="47" t="s">
        <v>89</v>
      </c>
      <c r="F11" s="47" t="s">
        <v>90</v>
      </c>
      <c r="G11" s="47">
        <v>1</v>
      </c>
      <c r="H11" s="47" t="s">
        <v>90</v>
      </c>
      <c r="I11" s="47">
        <v>35</v>
      </c>
      <c r="J11" s="48">
        <f t="shared" si="2"/>
        <v>100</v>
      </c>
    </row>
    <row r="12" spans="1:11" ht="21" customHeight="1" x14ac:dyDescent="0.15">
      <c r="A12" s="47">
        <v>30041011</v>
      </c>
      <c r="B12" s="47">
        <v>0</v>
      </c>
      <c r="C12" s="47" t="s">
        <v>89</v>
      </c>
      <c r="D12" s="47">
        <v>100</v>
      </c>
      <c r="E12" s="47">
        <v>50</v>
      </c>
      <c r="F12" s="47" t="s">
        <v>90</v>
      </c>
      <c r="G12" s="47">
        <v>1</v>
      </c>
      <c r="H12" s="47" t="s">
        <v>90</v>
      </c>
      <c r="I12" s="47">
        <v>35</v>
      </c>
      <c r="J12" s="48">
        <f t="shared" ref="J12" si="3">D12</f>
        <v>100</v>
      </c>
    </row>
    <row r="13" spans="1:11" ht="21" customHeight="1" x14ac:dyDescent="0.15">
      <c r="A13" s="47">
        <v>30041012</v>
      </c>
      <c r="B13" s="47">
        <v>1</v>
      </c>
      <c r="C13" s="47" t="s">
        <v>89</v>
      </c>
      <c r="D13" s="47">
        <v>100</v>
      </c>
      <c r="E13" s="47" t="s">
        <v>89</v>
      </c>
      <c r="F13" s="47" t="s">
        <v>90</v>
      </c>
      <c r="G13" s="47">
        <v>1</v>
      </c>
      <c r="H13" s="47" t="s">
        <v>90</v>
      </c>
      <c r="I13" s="47" t="s">
        <v>90</v>
      </c>
      <c r="J13" s="48">
        <f t="shared" si="2"/>
        <v>100</v>
      </c>
    </row>
    <row r="14" spans="1:11" ht="21" customHeight="1" x14ac:dyDescent="0.15">
      <c r="A14" s="47">
        <v>30041013</v>
      </c>
      <c r="B14" s="47">
        <v>0</v>
      </c>
      <c r="C14" s="47" t="s">
        <v>89</v>
      </c>
      <c r="D14" s="47">
        <v>50</v>
      </c>
      <c r="E14" s="47" t="s">
        <v>89</v>
      </c>
      <c r="F14" s="47" t="s">
        <v>90</v>
      </c>
      <c r="G14" s="47" t="s">
        <v>89</v>
      </c>
      <c r="H14" s="47" t="s">
        <v>90</v>
      </c>
      <c r="I14" s="47" t="s">
        <v>90</v>
      </c>
      <c r="J14" s="48">
        <f t="shared" si="2"/>
        <v>50</v>
      </c>
    </row>
    <row r="15" spans="1:11" ht="21" customHeight="1" x14ac:dyDescent="0.15">
      <c r="A15" s="47">
        <v>30041014</v>
      </c>
      <c r="B15" s="47">
        <v>1</v>
      </c>
      <c r="C15" s="47" t="s">
        <v>89</v>
      </c>
      <c r="D15" s="47">
        <v>100</v>
      </c>
      <c r="E15" s="47" t="s">
        <v>89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2"/>
        <v>100</v>
      </c>
    </row>
    <row r="16" spans="1:11" ht="21" customHeight="1" x14ac:dyDescent="0.15">
      <c r="A16" s="47">
        <v>30041015</v>
      </c>
      <c r="B16" s="47">
        <v>0</v>
      </c>
      <c r="C16" s="47" t="s">
        <v>89</v>
      </c>
      <c r="D16" s="47">
        <v>35</v>
      </c>
      <c r="E16" s="47" t="s">
        <v>89</v>
      </c>
      <c r="F16" s="47" t="s">
        <v>90</v>
      </c>
      <c r="G16" s="47" t="s">
        <v>89</v>
      </c>
      <c r="H16" s="47" t="s">
        <v>90</v>
      </c>
      <c r="I16" s="47" t="s">
        <v>90</v>
      </c>
      <c r="J16" s="48">
        <f t="shared" si="2"/>
        <v>35</v>
      </c>
    </row>
    <row r="17" spans="1:10" ht="21" customHeight="1" x14ac:dyDescent="0.15">
      <c r="A17" s="47">
        <v>30041016</v>
      </c>
      <c r="B17" s="47">
        <v>0</v>
      </c>
      <c r="C17" s="47" t="s">
        <v>89</v>
      </c>
      <c r="D17" s="47">
        <v>100</v>
      </c>
      <c r="E17" s="47" t="s">
        <v>89</v>
      </c>
      <c r="F17" s="47" t="s">
        <v>90</v>
      </c>
      <c r="G17" s="47">
        <v>1</v>
      </c>
      <c r="H17" s="47">
        <v>4</v>
      </c>
      <c r="I17" s="47" t="s">
        <v>90</v>
      </c>
      <c r="J17" s="48">
        <f t="shared" si="2"/>
        <v>100</v>
      </c>
    </row>
    <row r="18" spans="1:10" ht="21" customHeight="1" x14ac:dyDescent="0.15">
      <c r="A18" s="47">
        <v>30041017</v>
      </c>
      <c r="B18" s="47">
        <v>0</v>
      </c>
      <c r="C18" s="47" t="s">
        <v>89</v>
      </c>
      <c r="D18" s="47">
        <v>100</v>
      </c>
      <c r="E18" s="47">
        <v>100</v>
      </c>
      <c r="F18" s="47">
        <v>85</v>
      </c>
      <c r="G18" s="47" t="s">
        <v>89</v>
      </c>
      <c r="H18" s="47" t="s">
        <v>90</v>
      </c>
      <c r="I18" s="47" t="s">
        <v>90</v>
      </c>
      <c r="J18" s="48">
        <f t="shared" si="2"/>
        <v>100</v>
      </c>
    </row>
    <row r="19" spans="1:10" ht="21" customHeight="1" x14ac:dyDescent="0.15">
      <c r="A19" s="47">
        <v>30041018</v>
      </c>
      <c r="B19" s="47">
        <v>0</v>
      </c>
      <c r="C19" s="47" t="s">
        <v>89</v>
      </c>
      <c r="D19" s="47">
        <v>100</v>
      </c>
      <c r="E19" s="47">
        <v>85</v>
      </c>
      <c r="F19" s="47">
        <v>70</v>
      </c>
      <c r="G19" s="47" t="s">
        <v>89</v>
      </c>
      <c r="H19" s="47" t="s">
        <v>90</v>
      </c>
      <c r="I19" s="47" t="s">
        <v>90</v>
      </c>
      <c r="J19" s="48">
        <f t="shared" ref="J19:J33" si="4">D19</f>
        <v>100</v>
      </c>
    </row>
    <row r="20" spans="1:10" ht="21" customHeight="1" x14ac:dyDescent="0.15">
      <c r="A20" s="47">
        <v>30041019</v>
      </c>
      <c r="B20" s="47">
        <v>0</v>
      </c>
      <c r="C20" s="47" t="s">
        <v>89</v>
      </c>
      <c r="D20" s="47">
        <v>100</v>
      </c>
      <c r="E20" s="47">
        <v>70</v>
      </c>
      <c r="F20" s="47">
        <v>50</v>
      </c>
      <c r="G20" s="47" t="s">
        <v>89</v>
      </c>
      <c r="H20" s="47" t="s">
        <v>90</v>
      </c>
      <c r="I20" s="47" t="s">
        <v>90</v>
      </c>
      <c r="J20" s="48">
        <f t="shared" si="4"/>
        <v>100</v>
      </c>
    </row>
    <row r="21" spans="1:10" ht="21" customHeight="1" x14ac:dyDescent="0.15">
      <c r="A21" s="47">
        <v>30041020</v>
      </c>
      <c r="B21" s="47">
        <v>0</v>
      </c>
      <c r="C21" s="47" t="s">
        <v>89</v>
      </c>
      <c r="D21" s="47">
        <v>100</v>
      </c>
      <c r="E21" s="47">
        <v>50</v>
      </c>
      <c r="F21" s="47">
        <v>30</v>
      </c>
      <c r="G21" s="47" t="s">
        <v>89</v>
      </c>
      <c r="H21" s="47" t="s">
        <v>90</v>
      </c>
      <c r="I21" s="47" t="s">
        <v>90</v>
      </c>
      <c r="J21" s="48">
        <f t="shared" si="4"/>
        <v>100</v>
      </c>
    </row>
    <row r="22" spans="1:10" ht="21" customHeight="1" x14ac:dyDescent="0.15">
      <c r="A22" s="47">
        <v>30041021</v>
      </c>
      <c r="B22" s="47">
        <v>0</v>
      </c>
      <c r="C22" s="47" t="s">
        <v>89</v>
      </c>
      <c r="D22" s="47">
        <v>100</v>
      </c>
      <c r="E22" s="47">
        <v>30</v>
      </c>
      <c r="F22" s="47" t="s">
        <v>90</v>
      </c>
      <c r="G22" s="47" t="s">
        <v>89</v>
      </c>
      <c r="H22" s="47" t="s">
        <v>90</v>
      </c>
      <c r="I22" s="47" t="s">
        <v>90</v>
      </c>
      <c r="J22" s="48">
        <f t="shared" si="4"/>
        <v>100</v>
      </c>
    </row>
    <row r="23" spans="1:10" ht="21" customHeight="1" x14ac:dyDescent="0.15">
      <c r="A23" s="47">
        <v>30041022</v>
      </c>
      <c r="B23" s="47">
        <v>1</v>
      </c>
      <c r="C23" s="47" t="s">
        <v>89</v>
      </c>
      <c r="D23" s="47">
        <v>100</v>
      </c>
      <c r="E23" s="47" t="s">
        <v>89</v>
      </c>
      <c r="F23" s="47" t="s">
        <v>90</v>
      </c>
      <c r="G23" s="47">
        <v>1</v>
      </c>
      <c r="H23" s="47" t="s">
        <v>90</v>
      </c>
      <c r="I23" s="47" t="s">
        <v>90</v>
      </c>
      <c r="J23" s="48">
        <f t="shared" si="4"/>
        <v>100</v>
      </c>
    </row>
    <row r="24" spans="1:10" ht="21" customHeight="1" x14ac:dyDescent="0.15">
      <c r="A24" s="47">
        <v>30041023</v>
      </c>
      <c r="B24" s="47">
        <v>0</v>
      </c>
      <c r="C24" s="47" t="s">
        <v>89</v>
      </c>
      <c r="D24" s="47">
        <v>50</v>
      </c>
      <c r="E24" s="47" t="s">
        <v>89</v>
      </c>
      <c r="F24" s="47" t="s">
        <v>90</v>
      </c>
      <c r="G24" s="47" t="s">
        <v>89</v>
      </c>
      <c r="H24" s="47" t="s">
        <v>90</v>
      </c>
      <c r="I24" s="47" t="s">
        <v>90</v>
      </c>
      <c r="J24" s="48">
        <f t="shared" si="4"/>
        <v>50</v>
      </c>
    </row>
    <row r="25" spans="1:10" ht="21" customHeight="1" x14ac:dyDescent="0.15">
      <c r="A25" s="47">
        <v>30041024</v>
      </c>
      <c r="B25" s="47">
        <v>0</v>
      </c>
      <c r="C25" s="47" t="s">
        <v>89</v>
      </c>
      <c r="D25" s="47">
        <v>100</v>
      </c>
      <c r="E25" s="47" t="s">
        <v>89</v>
      </c>
      <c r="F25" s="47" t="s">
        <v>90</v>
      </c>
      <c r="G25" s="47" t="s">
        <v>89</v>
      </c>
      <c r="H25" s="47">
        <v>3</v>
      </c>
      <c r="I25" s="47" t="s">
        <v>90</v>
      </c>
      <c r="J25" s="48">
        <f t="shared" si="4"/>
        <v>100</v>
      </c>
    </row>
    <row r="26" spans="1:10" ht="21" customHeight="1" x14ac:dyDescent="0.15">
      <c r="A26" s="47">
        <v>30041025</v>
      </c>
      <c r="B26" s="47">
        <v>1</v>
      </c>
      <c r="C26" s="47" t="s">
        <v>89</v>
      </c>
      <c r="D26" s="47">
        <v>100</v>
      </c>
      <c r="E26" s="47" t="s">
        <v>89</v>
      </c>
      <c r="F26" s="47" t="s">
        <v>90</v>
      </c>
      <c r="G26" s="47">
        <v>1</v>
      </c>
      <c r="H26" s="47" t="s">
        <v>90</v>
      </c>
      <c r="I26" s="47" t="s">
        <v>90</v>
      </c>
      <c r="J26" s="48">
        <f t="shared" si="4"/>
        <v>100</v>
      </c>
    </row>
    <row r="27" spans="1:10" ht="21" customHeight="1" x14ac:dyDescent="0.15">
      <c r="A27" s="47">
        <v>30041026</v>
      </c>
      <c r="B27" s="47">
        <v>0</v>
      </c>
      <c r="C27" s="47" t="s">
        <v>89</v>
      </c>
      <c r="D27" s="47">
        <v>50</v>
      </c>
      <c r="E27" s="47" t="s">
        <v>89</v>
      </c>
      <c r="F27" s="47" t="s">
        <v>90</v>
      </c>
      <c r="G27" s="47" t="s">
        <v>89</v>
      </c>
      <c r="H27" s="47" t="s">
        <v>90</v>
      </c>
      <c r="I27" s="47" t="s">
        <v>90</v>
      </c>
      <c r="J27" s="48">
        <f t="shared" si="4"/>
        <v>50</v>
      </c>
    </row>
    <row r="28" spans="1:10" ht="21" customHeight="1" x14ac:dyDescent="0.15">
      <c r="A28" s="47">
        <v>30041027</v>
      </c>
      <c r="B28" s="47">
        <v>0</v>
      </c>
      <c r="C28" s="47" t="s">
        <v>89</v>
      </c>
      <c r="D28" s="47">
        <v>100</v>
      </c>
      <c r="E28" s="47" t="s">
        <v>89</v>
      </c>
      <c r="F28" s="47" t="s">
        <v>90</v>
      </c>
      <c r="G28" s="47" t="s">
        <v>89</v>
      </c>
      <c r="H28" s="47">
        <v>3</v>
      </c>
      <c r="I28" s="47" t="s">
        <v>90</v>
      </c>
      <c r="J28" s="48">
        <f t="shared" si="4"/>
        <v>100</v>
      </c>
    </row>
    <row r="29" spans="1:10" ht="21" customHeight="1" x14ac:dyDescent="0.15">
      <c r="A29" s="47">
        <v>30041028</v>
      </c>
      <c r="B29" s="47">
        <v>1</v>
      </c>
      <c r="C29" s="47" t="s">
        <v>89</v>
      </c>
      <c r="D29" s="47">
        <v>100</v>
      </c>
      <c r="E29" s="47" t="s">
        <v>89</v>
      </c>
      <c r="F29" s="47" t="s">
        <v>90</v>
      </c>
      <c r="G29" s="47">
        <v>1</v>
      </c>
      <c r="H29" s="47" t="s">
        <v>90</v>
      </c>
      <c r="I29" s="47" t="s">
        <v>90</v>
      </c>
      <c r="J29" s="48">
        <f t="shared" si="4"/>
        <v>100</v>
      </c>
    </row>
    <row r="30" spans="1:10" ht="21" customHeight="1" x14ac:dyDescent="0.15">
      <c r="A30" s="47">
        <v>30041029</v>
      </c>
      <c r="B30" s="47">
        <v>0</v>
      </c>
      <c r="C30" s="47">
        <v>4</v>
      </c>
      <c r="D30" s="47">
        <v>35</v>
      </c>
      <c r="E30" s="47" t="s">
        <v>89</v>
      </c>
      <c r="F30" s="47" t="s">
        <v>90</v>
      </c>
      <c r="G30" s="47" t="s">
        <v>89</v>
      </c>
      <c r="H30" s="47">
        <v>2</v>
      </c>
      <c r="I30" s="47" t="s">
        <v>90</v>
      </c>
      <c r="J30" s="48">
        <f t="shared" si="4"/>
        <v>35</v>
      </c>
    </row>
    <row r="31" spans="1:10" ht="21" customHeight="1" x14ac:dyDescent="0.15">
      <c r="A31" s="47">
        <v>30041030</v>
      </c>
      <c r="B31" s="47">
        <v>0</v>
      </c>
      <c r="C31" s="47">
        <v>3</v>
      </c>
      <c r="D31" s="47">
        <v>35</v>
      </c>
      <c r="E31" s="47" t="s">
        <v>89</v>
      </c>
      <c r="F31" s="47" t="s">
        <v>90</v>
      </c>
      <c r="G31" s="47" t="s">
        <v>89</v>
      </c>
      <c r="H31" s="47">
        <v>1</v>
      </c>
      <c r="I31" s="47" t="s">
        <v>90</v>
      </c>
      <c r="J31" s="48">
        <f t="shared" si="4"/>
        <v>35</v>
      </c>
    </row>
    <row r="32" spans="1:10" ht="21" customHeight="1" x14ac:dyDescent="0.15">
      <c r="A32" s="47">
        <v>30041031</v>
      </c>
      <c r="B32" s="47">
        <v>0</v>
      </c>
      <c r="C32" s="47">
        <v>2</v>
      </c>
      <c r="D32" s="47">
        <v>50</v>
      </c>
      <c r="E32" s="47" t="s">
        <v>89</v>
      </c>
      <c r="F32" s="47" t="s">
        <v>90</v>
      </c>
      <c r="G32" s="47" t="s">
        <v>89</v>
      </c>
      <c r="H32" s="47" t="s">
        <v>90</v>
      </c>
      <c r="I32" s="47" t="s">
        <v>90</v>
      </c>
      <c r="J32" s="48">
        <f t="shared" si="4"/>
        <v>50</v>
      </c>
    </row>
    <row r="33" spans="1:10" ht="21" customHeight="1" x14ac:dyDescent="0.15">
      <c r="A33" s="47">
        <v>30041032</v>
      </c>
      <c r="B33" s="47">
        <v>0</v>
      </c>
      <c r="C33" s="47">
        <v>1</v>
      </c>
      <c r="D33" s="47">
        <v>50</v>
      </c>
      <c r="E33" s="47" t="s">
        <v>89</v>
      </c>
      <c r="F33" s="47" t="s">
        <v>90</v>
      </c>
      <c r="G33" s="47" t="s">
        <v>89</v>
      </c>
      <c r="H33" s="47" t="s">
        <v>90</v>
      </c>
      <c r="I33" s="47" t="s">
        <v>90</v>
      </c>
      <c r="J33" s="48">
        <f t="shared" si="4"/>
        <v>50</v>
      </c>
    </row>
    <row r="34" spans="1:10" ht="21" customHeight="1" x14ac:dyDescent="0.15">
      <c r="A34" s="47">
        <v>30041033</v>
      </c>
      <c r="B34" s="47">
        <v>0</v>
      </c>
      <c r="C34" s="47" t="s">
        <v>89</v>
      </c>
      <c r="D34" s="47">
        <v>100</v>
      </c>
      <c r="E34" s="47">
        <v>30</v>
      </c>
      <c r="F34" s="47" t="s">
        <v>90</v>
      </c>
      <c r="G34" s="47">
        <v>1</v>
      </c>
      <c r="H34" s="47">
        <v>1</v>
      </c>
      <c r="I34" s="47" t="s">
        <v>90</v>
      </c>
      <c r="J34" s="48">
        <f t="shared" ref="J34:J35" si="5">D34</f>
        <v>100</v>
      </c>
    </row>
    <row r="35" spans="1:10" ht="21" customHeight="1" x14ac:dyDescent="0.15">
      <c r="A35" s="47">
        <v>30041034</v>
      </c>
      <c r="B35" s="47">
        <v>1</v>
      </c>
      <c r="C35" s="47" t="s">
        <v>89</v>
      </c>
      <c r="D35" s="47">
        <v>100</v>
      </c>
      <c r="E35" s="47" t="s">
        <v>89</v>
      </c>
      <c r="F35" s="47" t="s">
        <v>53</v>
      </c>
      <c r="G35" s="47">
        <v>1</v>
      </c>
      <c r="H35" s="47" t="s">
        <v>53</v>
      </c>
      <c r="I35" s="47" t="s">
        <v>53</v>
      </c>
      <c r="J35" s="48">
        <f t="shared" si="5"/>
        <v>100</v>
      </c>
    </row>
  </sheetData>
  <autoFilter ref="A1:G1"/>
  <phoneticPr fontId="5"/>
  <conditionalFormatting sqref="K36:K1048576 K1:K2">
    <cfRule type="duplicateValues" dxfId="33" priority="35"/>
  </conditionalFormatting>
  <conditionalFormatting sqref="K3">
    <cfRule type="duplicateValues" dxfId="32" priority="34"/>
  </conditionalFormatting>
  <conditionalFormatting sqref="K4">
    <cfRule type="duplicateValues" dxfId="31" priority="33"/>
  </conditionalFormatting>
  <conditionalFormatting sqref="K5">
    <cfRule type="duplicateValues" dxfId="30" priority="32"/>
  </conditionalFormatting>
  <conditionalFormatting sqref="K6">
    <cfRule type="duplicateValues" dxfId="29" priority="31"/>
  </conditionalFormatting>
  <conditionalFormatting sqref="K7">
    <cfRule type="duplicateValues" dxfId="28" priority="30"/>
  </conditionalFormatting>
  <conditionalFormatting sqref="K8">
    <cfRule type="duplicateValues" dxfId="27" priority="29"/>
  </conditionalFormatting>
  <conditionalFormatting sqref="K9">
    <cfRule type="duplicateValues" dxfId="26" priority="28"/>
  </conditionalFormatting>
  <conditionalFormatting sqref="K10">
    <cfRule type="duplicateValues" dxfId="25" priority="27"/>
  </conditionalFormatting>
  <conditionalFormatting sqref="K11">
    <cfRule type="duplicateValues" dxfId="24" priority="26"/>
  </conditionalFormatting>
  <conditionalFormatting sqref="K13">
    <cfRule type="duplicateValues" dxfId="23" priority="25"/>
  </conditionalFormatting>
  <conditionalFormatting sqref="K14">
    <cfRule type="duplicateValues" dxfId="22" priority="24"/>
  </conditionalFormatting>
  <conditionalFormatting sqref="K15">
    <cfRule type="duplicateValues" dxfId="21" priority="23"/>
  </conditionalFormatting>
  <conditionalFormatting sqref="K16">
    <cfRule type="duplicateValues" dxfId="20" priority="22"/>
  </conditionalFormatting>
  <conditionalFormatting sqref="K17">
    <cfRule type="duplicateValues" dxfId="19" priority="21"/>
  </conditionalFormatting>
  <conditionalFormatting sqref="K19">
    <cfRule type="duplicateValues" dxfId="18" priority="20"/>
  </conditionalFormatting>
  <conditionalFormatting sqref="K18">
    <cfRule type="duplicateValues" dxfId="17" priority="19"/>
  </conditionalFormatting>
  <conditionalFormatting sqref="K20">
    <cfRule type="duplicateValues" dxfId="16" priority="18"/>
  </conditionalFormatting>
  <conditionalFormatting sqref="K21">
    <cfRule type="duplicateValues" dxfId="15" priority="17"/>
  </conditionalFormatting>
  <conditionalFormatting sqref="K22">
    <cfRule type="duplicateValues" dxfId="14" priority="16"/>
  </conditionalFormatting>
  <conditionalFormatting sqref="K23">
    <cfRule type="duplicateValues" dxfId="13" priority="15"/>
  </conditionalFormatting>
  <conditionalFormatting sqref="K24">
    <cfRule type="duplicateValues" dxfId="12" priority="14"/>
  </conditionalFormatting>
  <conditionalFormatting sqref="K25">
    <cfRule type="duplicateValues" dxfId="11" priority="13"/>
  </conditionalFormatting>
  <conditionalFormatting sqref="K26">
    <cfRule type="duplicateValues" dxfId="10" priority="12"/>
  </conditionalFormatting>
  <conditionalFormatting sqref="K27">
    <cfRule type="duplicateValues" dxfId="9" priority="11"/>
  </conditionalFormatting>
  <conditionalFormatting sqref="K28">
    <cfRule type="duplicateValues" dxfId="8" priority="10"/>
  </conditionalFormatting>
  <conditionalFormatting sqref="K29">
    <cfRule type="duplicateValues" dxfId="7" priority="9"/>
  </conditionalFormatting>
  <conditionalFormatting sqref="K30">
    <cfRule type="duplicateValues" dxfId="6" priority="8"/>
  </conditionalFormatting>
  <conditionalFormatting sqref="K31">
    <cfRule type="duplicateValues" dxfId="5" priority="7"/>
  </conditionalFormatting>
  <conditionalFormatting sqref="K32">
    <cfRule type="duplicateValues" dxfId="4" priority="6"/>
  </conditionalFormatting>
  <conditionalFormatting sqref="K33">
    <cfRule type="duplicateValues" dxfId="3" priority="5"/>
  </conditionalFormatting>
  <conditionalFormatting sqref="K34">
    <cfRule type="duplicateValues" dxfId="2" priority="3"/>
  </conditionalFormatting>
  <conditionalFormatting sqref="K12">
    <cfRule type="duplicateValues" dxfId="1" priority="2"/>
  </conditionalFormatting>
  <conditionalFormatting sqref="K3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7" sqref="F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30041001_30041001</v>
      </c>
      <c r="B2" s="47">
        <v>30041001</v>
      </c>
      <c r="C2" s="47">
        <v>30041001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コピーペインター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緑パネルを5個生成</v>
      </c>
      <c r="F2" s="47">
        <v>30041001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27" si="1">B3&amp;"_"&amp;C3</f>
        <v>30041002_30041002</v>
      </c>
      <c r="B3" s="47">
        <v>30041002</v>
      </c>
      <c r="C3" s="47">
        <v>30041002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達磨落とし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30041002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" s="47"/>
      <c r="Q3" s="47"/>
      <c r="R3" s="47"/>
    </row>
    <row r="4" spans="1:18" ht="21" customHeight="1" x14ac:dyDescent="0.15">
      <c r="A4" s="39" t="str">
        <f t="shared" si="1"/>
        <v>30041003_30041003</v>
      </c>
      <c r="B4" s="47">
        <v>30041003</v>
      </c>
      <c r="C4" s="47">
        <v>30041003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目標捕捉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ターンが0になると大爆発する！</v>
      </c>
      <c r="F4" s="47">
        <v>30041003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30041003_30041004</v>
      </c>
      <c r="B5" s="47">
        <v>30041003</v>
      </c>
      <c r="C5" s="47">
        <v>30041004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大爆発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自爆攻撃</v>
      </c>
      <c r="F5" s="47">
        <v>30041004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30041004_30041005</v>
      </c>
      <c r="B6" s="47">
        <v>30041004</v>
      </c>
      <c r="C6" s="47">
        <v>30041005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一緒に遊ぼう…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自身の防御力UP</v>
      </c>
      <c r="F6" s="47">
        <v>30041005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30041004_30041006</v>
      </c>
      <c r="B7" s="47">
        <v>30041004</v>
      </c>
      <c r="C7" s="47">
        <v>30041006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みんなイブの玩具…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30041006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" s="47"/>
      <c r="Q7" s="47"/>
      <c r="R7" s="47"/>
    </row>
    <row r="8" spans="1:18" ht="21" customHeight="1" x14ac:dyDescent="0.15">
      <c r="A8" s="39" t="str">
        <f t="shared" si="1"/>
        <v>30041004_30041007</v>
      </c>
      <c r="B8" s="47">
        <v>30041004</v>
      </c>
      <c r="C8" s="47">
        <v>30041007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遊んでくれる？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F2の攻撃頻度が変化する！</v>
      </c>
      <c r="F8" s="47">
        <v>30041007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1"/>
        <v>30041004_30041008</v>
      </c>
      <c r="B9" s="47">
        <v>30041004</v>
      </c>
      <c r="C9" s="47">
        <v>30041008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トモダチも遊びたいみたい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F2の攻撃頻度が変化する！</v>
      </c>
      <c r="F9" s="47">
        <v>30041008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7"/>
      <c r="Q9" s="47"/>
      <c r="R9" s="47"/>
    </row>
    <row r="10" spans="1:18" ht="21" customHeight="1" x14ac:dyDescent="0.15">
      <c r="A10" s="39" t="str">
        <f t="shared" si="1"/>
        <v>30041004_30041009</v>
      </c>
      <c r="B10" s="47">
        <v>30041004</v>
      </c>
      <c r="C10" s="47">
        <v>30041009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もう逃げられないよ…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F2の攻撃頻度が変化する！</v>
      </c>
      <c r="F10" s="47">
        <v>30041009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7"/>
      <c r="Q10" s="47"/>
      <c r="R10" s="47"/>
    </row>
    <row r="11" spans="1:18" ht="21" customHeight="1" x14ac:dyDescent="0.15">
      <c r="A11" s="39" t="str">
        <f t="shared" si="1"/>
        <v>30041004_30041010</v>
      </c>
      <c r="B11" s="47">
        <v>30041004</v>
      </c>
      <c r="C11" s="47">
        <v>30041010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壊れちゃった…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自身に大ダメージ！</v>
      </c>
      <c r="F11" s="47">
        <v>30041010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35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2">B12&amp;"_"&amp;C12</f>
        <v>30041004_30041011</v>
      </c>
      <c r="B12" s="47">
        <v>30041004</v>
      </c>
      <c r="C12" s="47">
        <v>30041011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次のトモダチ　作らなきゃ…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自身に大ダメージ！</v>
      </c>
      <c r="F12" s="47">
        <v>30041011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35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30041005_30041012</v>
      </c>
      <c r="B13" s="47">
        <v>30041005</v>
      </c>
      <c r="C13" s="47">
        <v>30041012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簡単に壊れないでね…？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3" s="47">
        <v>30041012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30041005_30041013</v>
      </c>
      <c r="B14" s="47">
        <v>30041005</v>
      </c>
      <c r="C14" s="47">
        <v>30041013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イブのトモダチになってくれる…？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4" s="47">
        <v>30041013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si="1"/>
        <v>30041006_30041014</v>
      </c>
      <c r="B15" s="47">
        <v>30041006</v>
      </c>
      <c r="C15" s="47">
        <v>30041014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爆発するサイエンス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4ターン確率で時限式ダメージパネルをドロップ</v>
      </c>
      <c r="F15" s="47">
        <v>30041014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30041006_30041015</v>
      </c>
      <c r="B16" s="47">
        <v>30041006</v>
      </c>
      <c r="C16" s="47">
        <v>30041015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突発するケミカルリアクション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47">
        <v>30041015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6" s="47"/>
      <c r="Q16" s="47"/>
      <c r="R16" s="47"/>
    </row>
    <row r="17" spans="1:18" ht="21" customHeight="1" x14ac:dyDescent="0.15">
      <c r="A17" s="39" t="str">
        <f t="shared" si="1"/>
        <v>30041006_30041016</v>
      </c>
      <c r="B17" s="47">
        <v>30041006</v>
      </c>
      <c r="C17" s="47">
        <v>30041016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拡散するブラストウェーブ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17" s="47">
        <v>30041016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30041007_30041017</v>
      </c>
      <c r="B18" s="47">
        <v>30041007</v>
      </c>
      <c r="C18" s="47">
        <v>30041017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侵食するブレイクダウン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単体攻撃＋残りHPが少ないほど威力UP</v>
      </c>
      <c r="F18" s="47">
        <v>30041017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85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30041007_30041018</v>
      </c>
      <c r="B19" s="47">
        <v>30041007</v>
      </c>
      <c r="C19" s="47">
        <v>30041018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侵食するブレイクダウン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単体攻撃＋残りHPが少ないほど威力UP</v>
      </c>
      <c r="F19" s="47">
        <v>30041018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9" s="48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30041007_30041019</v>
      </c>
      <c r="B20" s="47">
        <v>30041007</v>
      </c>
      <c r="C20" s="47">
        <v>30041019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侵食するブレイクダウン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単体攻撃＋残りHPが少ないほど威力UP</v>
      </c>
      <c r="F20" s="47">
        <v>30041019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30041007_30041020</v>
      </c>
      <c r="B21" s="47">
        <v>30041007</v>
      </c>
      <c r="C21" s="47">
        <v>30041020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侵食するブレイクダウン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単体攻撃＋残りHPが少ないほど威力UP</v>
      </c>
      <c r="F21" s="47">
        <v>30041020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30041007_30041021</v>
      </c>
      <c r="B22" s="47">
        <v>30041007</v>
      </c>
      <c r="C22" s="47">
        <v>30041021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侵食するブレイクダウン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単体攻撃＋残りHPが少ないほど威力UP</v>
      </c>
      <c r="F22" s="47">
        <v>30041021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30041008_30041022</v>
      </c>
      <c r="B23" s="47">
        <v>30041008</v>
      </c>
      <c r="C23" s="47">
        <v>30041022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私の世界へようこそ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確率で青時限式ダメージパネルをドロップ</v>
      </c>
      <c r="F23" s="47">
        <v>30041022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30041008_30041023</v>
      </c>
      <c r="B24" s="47">
        <v>30041008</v>
      </c>
      <c r="C24" s="47">
        <v>30041023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招かれざる客も存在する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全体攻撃＋種族Unknownのユニットに大ダメージ</v>
      </c>
      <c r="F24" s="47">
        <v>30041023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47"/>
    </row>
    <row r="25" spans="1:18" ht="21" customHeight="1" x14ac:dyDescent="0.15">
      <c r="A25" s="39" t="str">
        <f t="shared" si="1"/>
        <v>30041008_30041024</v>
      </c>
      <c r="B25" s="47">
        <v>30041008</v>
      </c>
      <c r="C25" s="47">
        <v>30041024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悩む時も必要だ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単体攻撃＋1ターン暗闇</v>
      </c>
      <c r="F25" s="47">
        <v>30041024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30041009_30041025</v>
      </c>
      <c r="B26" s="47">
        <v>30041009</v>
      </c>
      <c r="C26" s="47">
        <v>30041025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…私は不安なんだ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確率でプロテクト状態の_x000D_青時限式ダメージパネルをドロップ</v>
      </c>
      <c r="F26" s="47">
        <v>30041025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30041009_30041026</v>
      </c>
      <c r="B27" s="47">
        <v>30041009</v>
      </c>
      <c r="C27" s="47">
        <v>30041026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招かれざる客も存在する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全体攻撃＋種族Unknownのユニットに大ダメージ</v>
      </c>
      <c r="F27" s="47">
        <v>30041026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ref="A28:A31" si="3">B28&amp;"_"&amp;C28</f>
        <v>30041009_30041027</v>
      </c>
      <c r="B28" s="47">
        <v>30041009</v>
      </c>
      <c r="C28" s="47">
        <v>30041027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君に恐れを与えよう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クリティカル＋1ターン暗闇</v>
      </c>
      <c r="F28" s="47">
        <v>30041027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3"/>
        <v>30041010_30041028</v>
      </c>
      <c r="B29" s="47">
        <v>30041010</v>
      </c>
      <c r="C29" s="47">
        <v>30041028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柔らかなる世界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確率で青時限式ダメージパネルをドロップ</v>
      </c>
      <c r="F29" s="47">
        <v>30041028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3"/>
        <v>30041010_30041028</v>
      </c>
      <c r="B30" s="47">
        <v>30041010</v>
      </c>
      <c r="C30" s="47">
        <v>30041028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柔らかなる世界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確率で青時限式ダメージパネルをドロップ</v>
      </c>
      <c r="F30" s="47">
        <v>30041029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0" s="47"/>
      <c r="Q30" s="47"/>
      <c r="R30" s="47"/>
    </row>
    <row r="31" spans="1:18" ht="21" customHeight="1" x14ac:dyDescent="0.15">
      <c r="A31" s="39" t="str">
        <f t="shared" si="3"/>
        <v>30041010_30041029</v>
      </c>
      <c r="B31" s="47">
        <v>30041010</v>
      </c>
      <c r="C31" s="47">
        <v>30041029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固き記憶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確率でプロテクト状態の_x000D_青時限式ダメージパネルをドロップ</v>
      </c>
      <c r="F31" s="47">
        <v>30041030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1" s="47"/>
      <c r="Q31" s="47"/>
      <c r="R31" s="47"/>
    </row>
    <row r="32" spans="1:18" ht="21" customHeight="1" x14ac:dyDescent="0.15">
      <c r="A32" s="39" t="str">
        <f t="shared" ref="A32:A33" si="4">B32&amp;"_"&amp;C32</f>
        <v>30041010_30041030</v>
      </c>
      <c r="B32" s="47">
        <v>30041010</v>
      </c>
      <c r="C32" s="47">
        <v>30041030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招かれざる客も存在する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全体攻撃＋種族Unknownのユニットに大ダメージ</v>
      </c>
      <c r="F32" s="47">
        <v>30041031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" s="47"/>
      <c r="Q32" s="47"/>
      <c r="R32" s="47"/>
    </row>
    <row r="33" spans="1:18" ht="21" customHeight="1" x14ac:dyDescent="0.15">
      <c r="A33" s="39" t="str">
        <f t="shared" si="4"/>
        <v>30041010_30041031</v>
      </c>
      <c r="B33" s="47">
        <v>30041010</v>
      </c>
      <c r="C33" s="47">
        <v>30041031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双極の理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3" s="47">
        <v>30041032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7"/>
      <c r="Q33" s="47"/>
      <c r="R33" s="47"/>
    </row>
    <row r="34" spans="1:18" ht="21" customHeight="1" x14ac:dyDescent="0.15">
      <c r="A34" s="39" t="str">
        <f t="shared" ref="A34:A37" si="5">B34&amp;"_"&amp;C34</f>
        <v>30041010_30041032</v>
      </c>
      <c r="B34" s="47">
        <v>30041010</v>
      </c>
      <c r="C34" s="47">
        <v>30041032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パラノイアック・クリティック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クリティカル＋3ターン暗闇</v>
      </c>
      <c r="F34" s="47">
        <v>30041033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30041011_30041033</v>
      </c>
      <c r="B35" s="47">
        <v>30041011</v>
      </c>
      <c r="C35" s="47">
        <v>30041033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爆発するサイエンス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4ターン確率で時限式ダメージパネルをドロップ</v>
      </c>
      <c r="F35" s="47">
        <v>30041034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30041011_30041015</v>
      </c>
      <c r="B36" s="47">
        <v>30041011</v>
      </c>
      <c r="C36" s="47">
        <v>30041015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突発するケミカルリアクション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6" s="47">
        <v>30041015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6" s="47"/>
      <c r="Q36" s="47"/>
      <c r="R36" s="47"/>
    </row>
    <row r="37" spans="1:18" ht="21" customHeight="1" x14ac:dyDescent="0.15">
      <c r="A37" s="39" t="str">
        <f t="shared" si="5"/>
        <v>30041011_30041016</v>
      </c>
      <c r="B37" s="47">
        <v>30041011</v>
      </c>
      <c r="C37" s="47">
        <v>30041016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拡散するブラストウェーブ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自爆攻撃</v>
      </c>
      <c r="F37" s="47">
        <v>30041016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4" sqref="P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1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05">
        <f>floors!C$2</f>
        <v>30041</v>
      </c>
      <c r="B2" s="105">
        <v>1</v>
      </c>
      <c r="C2" s="105" t="str">
        <f>A2&amp; "_"&amp;B2</f>
        <v>30041_1</v>
      </c>
      <c r="D2" s="10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5">
        <v>1</v>
      </c>
      <c r="F2" s="105" t="s">
        <v>169</v>
      </c>
      <c r="G2" s="105">
        <v>3200</v>
      </c>
      <c r="H2" s="105" t="s">
        <v>53</v>
      </c>
      <c r="I2" s="105">
        <v>1</v>
      </c>
      <c r="J2" s="105">
        <v>1</v>
      </c>
      <c r="K2" s="105">
        <v>0</v>
      </c>
      <c r="L2" s="105">
        <v>0</v>
      </c>
      <c r="M2" s="105">
        <v>0</v>
      </c>
      <c r="N2" s="105">
        <v>0</v>
      </c>
      <c r="O2" s="105">
        <v>1</v>
      </c>
      <c r="P2" s="105">
        <v>200</v>
      </c>
      <c r="Q2" s="105" t="s">
        <v>170</v>
      </c>
      <c r="R2" s="105" t="s">
        <v>171</v>
      </c>
    </row>
    <row r="3" spans="1:18" x14ac:dyDescent="0.15">
      <c r="A3" s="105">
        <f>floors!C$2</f>
        <v>30041</v>
      </c>
      <c r="B3" s="105">
        <v>1</v>
      </c>
      <c r="C3" s="105" t="str">
        <f t="shared" ref="C3:C33" si="0">A3&amp; "_"&amp;B3</f>
        <v>30041_1</v>
      </c>
      <c r="D3" s="10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05">
        <v>2</v>
      </c>
      <c r="F3" s="105" t="s">
        <v>301</v>
      </c>
      <c r="G3" s="105">
        <v>20</v>
      </c>
      <c r="H3" s="105" t="s">
        <v>53</v>
      </c>
      <c r="I3" s="105">
        <v>1</v>
      </c>
      <c r="J3" s="105">
        <v>1</v>
      </c>
      <c r="K3" s="105">
        <v>0</v>
      </c>
      <c r="L3" s="105">
        <v>0</v>
      </c>
      <c r="M3" s="105">
        <v>0</v>
      </c>
      <c r="N3" s="105">
        <v>0</v>
      </c>
      <c r="O3" s="105">
        <v>1</v>
      </c>
      <c r="P3" s="105">
        <v>200</v>
      </c>
      <c r="Q3" s="105" t="s">
        <v>170</v>
      </c>
      <c r="R3" s="105" t="s">
        <v>171</v>
      </c>
    </row>
    <row r="4" spans="1:18" x14ac:dyDescent="0.15">
      <c r="A4" s="105">
        <f>floors!C$2</f>
        <v>30041</v>
      </c>
      <c r="B4" s="105">
        <v>1</v>
      </c>
      <c r="C4" s="105" t="str">
        <f t="shared" si="0"/>
        <v>30041_1</v>
      </c>
      <c r="D4" s="10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05">
        <v>3</v>
      </c>
      <c r="F4" s="105" t="s">
        <v>302</v>
      </c>
      <c r="G4" s="105">
        <v>332</v>
      </c>
      <c r="H4" s="105">
        <v>1</v>
      </c>
      <c r="I4" s="105">
        <v>1</v>
      </c>
      <c r="J4" s="105">
        <v>1</v>
      </c>
      <c r="K4" s="105">
        <v>0</v>
      </c>
      <c r="L4" s="105">
        <v>0</v>
      </c>
      <c r="M4" s="105">
        <v>0</v>
      </c>
      <c r="N4" s="105">
        <v>0</v>
      </c>
      <c r="O4" s="105">
        <v>1</v>
      </c>
      <c r="P4" s="105">
        <v>70</v>
      </c>
      <c r="Q4" s="105" t="s">
        <v>170</v>
      </c>
      <c r="R4" s="105" t="s">
        <v>171</v>
      </c>
    </row>
    <row r="5" spans="1:18" x14ac:dyDescent="0.15">
      <c r="A5" s="105">
        <f>floors!C$2</f>
        <v>30041</v>
      </c>
      <c r="B5" s="105">
        <v>1</v>
      </c>
      <c r="C5" s="105" t="str">
        <f t="shared" si="0"/>
        <v>30041_1</v>
      </c>
      <c r="D5" s="10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05">
        <v>4</v>
      </c>
      <c r="F5" s="105" t="s">
        <v>302</v>
      </c>
      <c r="G5" s="105">
        <v>333</v>
      </c>
      <c r="H5" s="105">
        <v>1</v>
      </c>
      <c r="I5" s="105">
        <v>1</v>
      </c>
      <c r="J5" s="105">
        <v>1</v>
      </c>
      <c r="K5" s="105">
        <v>0</v>
      </c>
      <c r="L5" s="105">
        <v>0</v>
      </c>
      <c r="M5" s="105">
        <v>0</v>
      </c>
      <c r="N5" s="105">
        <v>0</v>
      </c>
      <c r="O5" s="105">
        <v>1</v>
      </c>
      <c r="P5" s="105">
        <v>70</v>
      </c>
      <c r="Q5" s="105" t="s">
        <v>170</v>
      </c>
      <c r="R5" s="105" t="s">
        <v>171</v>
      </c>
    </row>
    <row r="6" spans="1:18" x14ac:dyDescent="0.15">
      <c r="A6" s="105">
        <f>floors!C$2</f>
        <v>30041</v>
      </c>
      <c r="B6" s="105">
        <v>1</v>
      </c>
      <c r="C6" s="105" t="str">
        <f t="shared" si="0"/>
        <v>30041_1</v>
      </c>
      <c r="D6" s="10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05">
        <v>5</v>
      </c>
      <c r="F6" s="105" t="s">
        <v>302</v>
      </c>
      <c r="G6" s="105">
        <v>121</v>
      </c>
      <c r="H6" s="105">
        <v>1</v>
      </c>
      <c r="I6" s="105">
        <v>1</v>
      </c>
      <c r="J6" s="105">
        <v>1</v>
      </c>
      <c r="K6" s="105">
        <v>0</v>
      </c>
      <c r="L6" s="105">
        <v>0</v>
      </c>
      <c r="M6" s="105">
        <v>0</v>
      </c>
      <c r="N6" s="105">
        <v>0</v>
      </c>
      <c r="O6" s="105">
        <v>1</v>
      </c>
      <c r="P6" s="105">
        <v>50</v>
      </c>
      <c r="Q6" s="105" t="s">
        <v>170</v>
      </c>
      <c r="R6" s="105" t="s">
        <v>171</v>
      </c>
    </row>
    <row r="7" spans="1:18" x14ac:dyDescent="0.15">
      <c r="A7" s="105">
        <f>floors!C$2</f>
        <v>30041</v>
      </c>
      <c r="B7" s="105">
        <v>1</v>
      </c>
      <c r="C7" s="105" t="str">
        <f t="shared" si="0"/>
        <v>30041_1</v>
      </c>
      <c r="D7" s="10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05">
        <v>6</v>
      </c>
      <c r="F7" s="105" t="s">
        <v>302</v>
      </c>
      <c r="G7" s="105">
        <v>122</v>
      </c>
      <c r="H7" s="105">
        <v>1</v>
      </c>
      <c r="I7" s="105">
        <v>1</v>
      </c>
      <c r="J7" s="105">
        <v>1</v>
      </c>
      <c r="K7" s="105">
        <v>0</v>
      </c>
      <c r="L7" s="105">
        <v>0</v>
      </c>
      <c r="M7" s="105">
        <v>0</v>
      </c>
      <c r="N7" s="105">
        <v>0</v>
      </c>
      <c r="O7" s="105">
        <v>1</v>
      </c>
      <c r="P7" s="105">
        <v>50</v>
      </c>
      <c r="Q7" s="105" t="s">
        <v>170</v>
      </c>
      <c r="R7" s="105" t="s">
        <v>171</v>
      </c>
    </row>
    <row r="8" spans="1:18" x14ac:dyDescent="0.15">
      <c r="A8" s="105">
        <f>floors!C$2</f>
        <v>30041</v>
      </c>
      <c r="B8" s="105">
        <v>1</v>
      </c>
      <c r="C8" s="105" t="str">
        <f t="shared" si="0"/>
        <v>30041_1</v>
      </c>
      <c r="D8" s="10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05">
        <v>7</v>
      </c>
      <c r="F8" s="105" t="s">
        <v>302</v>
      </c>
      <c r="G8" s="105">
        <v>123</v>
      </c>
      <c r="H8" s="105">
        <v>1</v>
      </c>
      <c r="I8" s="105">
        <v>1</v>
      </c>
      <c r="J8" s="105">
        <v>1</v>
      </c>
      <c r="K8" s="105">
        <v>0</v>
      </c>
      <c r="L8" s="105">
        <v>0</v>
      </c>
      <c r="M8" s="105">
        <v>0</v>
      </c>
      <c r="N8" s="105">
        <v>0</v>
      </c>
      <c r="O8" s="105">
        <v>1</v>
      </c>
      <c r="P8" s="105">
        <v>50</v>
      </c>
      <c r="Q8" s="105" t="s">
        <v>170</v>
      </c>
      <c r="R8" s="105" t="s">
        <v>171</v>
      </c>
    </row>
    <row r="9" spans="1:18" x14ac:dyDescent="0.15">
      <c r="A9" s="105">
        <f>floors!C$2</f>
        <v>30041</v>
      </c>
      <c r="B9" s="105">
        <v>1</v>
      </c>
      <c r="C9" s="105" t="str">
        <f t="shared" si="0"/>
        <v>30041_1</v>
      </c>
      <c r="D9" s="10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05">
        <v>8</v>
      </c>
      <c r="F9" s="105" t="s">
        <v>302</v>
      </c>
      <c r="G9" s="105">
        <v>125</v>
      </c>
      <c r="H9" s="105">
        <v>1</v>
      </c>
      <c r="I9" s="105">
        <v>1</v>
      </c>
      <c r="J9" s="105">
        <v>1</v>
      </c>
      <c r="K9" s="105">
        <v>0</v>
      </c>
      <c r="L9" s="105">
        <v>0</v>
      </c>
      <c r="M9" s="105">
        <v>0</v>
      </c>
      <c r="N9" s="105">
        <v>0</v>
      </c>
      <c r="O9" s="105">
        <v>1</v>
      </c>
      <c r="P9" s="105">
        <v>10</v>
      </c>
      <c r="Q9" s="105" t="s">
        <v>170</v>
      </c>
      <c r="R9" s="105" t="s">
        <v>171</v>
      </c>
    </row>
    <row r="10" spans="1:18" x14ac:dyDescent="0.15">
      <c r="A10" s="105">
        <f>floors!C$2</f>
        <v>30041</v>
      </c>
      <c r="B10" s="105">
        <v>1</v>
      </c>
      <c r="C10" s="105" t="str">
        <f t="shared" si="0"/>
        <v>30041_1</v>
      </c>
      <c r="D10" s="10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05">
        <v>9</v>
      </c>
      <c r="F10" s="105" t="s">
        <v>302</v>
      </c>
      <c r="G10" s="105">
        <v>1096</v>
      </c>
      <c r="H10" s="105">
        <v>1</v>
      </c>
      <c r="I10" s="105">
        <v>1</v>
      </c>
      <c r="J10" s="105">
        <v>1</v>
      </c>
      <c r="K10" s="105">
        <v>0</v>
      </c>
      <c r="L10" s="105">
        <v>0</v>
      </c>
      <c r="M10" s="105">
        <v>0</v>
      </c>
      <c r="N10" s="105">
        <v>0</v>
      </c>
      <c r="O10" s="105">
        <v>1</v>
      </c>
      <c r="P10" s="105">
        <v>200</v>
      </c>
      <c r="Q10" s="105" t="s">
        <v>170</v>
      </c>
      <c r="R10" s="105" t="s">
        <v>171</v>
      </c>
    </row>
    <row r="11" spans="1:18" x14ac:dyDescent="0.15">
      <c r="A11" s="105">
        <f>floors!C$2</f>
        <v>30041</v>
      </c>
      <c r="B11" s="105">
        <v>1</v>
      </c>
      <c r="C11" s="105" t="str">
        <f t="shared" si="0"/>
        <v>30041_1</v>
      </c>
      <c r="D11" s="10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5">
        <v>10</v>
      </c>
      <c r="F11" s="105" t="s">
        <v>302</v>
      </c>
      <c r="G11" s="105">
        <v>348</v>
      </c>
      <c r="H11" s="105">
        <v>1</v>
      </c>
      <c r="I11" s="105">
        <v>1</v>
      </c>
      <c r="J11" s="105">
        <v>1</v>
      </c>
      <c r="K11" s="105">
        <v>0</v>
      </c>
      <c r="L11" s="105">
        <v>0</v>
      </c>
      <c r="M11" s="105">
        <v>0</v>
      </c>
      <c r="N11" s="105">
        <v>0</v>
      </c>
      <c r="O11" s="105">
        <v>1</v>
      </c>
      <c r="P11" s="105">
        <v>100</v>
      </c>
      <c r="Q11" s="105" t="s">
        <v>170</v>
      </c>
      <c r="R11" s="105" t="s">
        <v>171</v>
      </c>
    </row>
    <row r="12" spans="1:18" x14ac:dyDescent="0.15">
      <c r="A12" s="107">
        <f>floors!C$2</f>
        <v>30041</v>
      </c>
      <c r="B12" s="107">
        <v>2</v>
      </c>
      <c r="C12" s="107" t="str">
        <f t="shared" si="0"/>
        <v>30041_2</v>
      </c>
      <c r="D12" s="10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7">
        <v>11</v>
      </c>
      <c r="F12" s="107" t="s">
        <v>169</v>
      </c>
      <c r="G12" s="107">
        <v>5000</v>
      </c>
      <c r="H12" s="107" t="s">
        <v>53</v>
      </c>
      <c r="I12" s="107">
        <v>1</v>
      </c>
      <c r="J12" s="107">
        <v>1</v>
      </c>
      <c r="K12" s="107">
        <v>0</v>
      </c>
      <c r="L12" s="107">
        <v>0</v>
      </c>
      <c r="M12" s="107">
        <v>0</v>
      </c>
      <c r="N12" s="107">
        <v>0</v>
      </c>
      <c r="O12" s="107">
        <v>1</v>
      </c>
      <c r="P12" s="107">
        <v>200</v>
      </c>
      <c r="Q12" s="107" t="s">
        <v>170</v>
      </c>
      <c r="R12" s="107" t="s">
        <v>171</v>
      </c>
    </row>
    <row r="13" spans="1:18" x14ac:dyDescent="0.15">
      <c r="A13" s="107">
        <f>floors!C$2</f>
        <v>30041</v>
      </c>
      <c r="B13" s="107">
        <v>2</v>
      </c>
      <c r="C13" s="107" t="str">
        <f t="shared" si="0"/>
        <v>30041_2</v>
      </c>
      <c r="D13" s="10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07">
        <v>12</v>
      </c>
      <c r="F13" s="107" t="s">
        <v>301</v>
      </c>
      <c r="G13" s="107">
        <v>25</v>
      </c>
      <c r="H13" s="107" t="s">
        <v>53</v>
      </c>
      <c r="I13" s="107">
        <v>1</v>
      </c>
      <c r="J13" s="107">
        <v>1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107">
        <v>150</v>
      </c>
      <c r="Q13" s="107" t="s">
        <v>170</v>
      </c>
      <c r="R13" s="107" t="s">
        <v>171</v>
      </c>
    </row>
    <row r="14" spans="1:18" x14ac:dyDescent="0.15">
      <c r="A14" s="107">
        <f>floors!C$2</f>
        <v>30041</v>
      </c>
      <c r="B14" s="107">
        <v>2</v>
      </c>
      <c r="C14" s="107" t="str">
        <f t="shared" si="0"/>
        <v>30041_2</v>
      </c>
      <c r="D14" s="10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07">
        <v>13</v>
      </c>
      <c r="F14" s="107" t="s">
        <v>302</v>
      </c>
      <c r="G14" s="107">
        <v>332</v>
      </c>
      <c r="H14" s="107">
        <v>1</v>
      </c>
      <c r="I14" s="107">
        <v>1</v>
      </c>
      <c r="J14" s="107">
        <v>1</v>
      </c>
      <c r="K14" s="107">
        <v>0</v>
      </c>
      <c r="L14" s="107">
        <v>0</v>
      </c>
      <c r="M14" s="107">
        <v>0</v>
      </c>
      <c r="N14" s="107">
        <v>0</v>
      </c>
      <c r="O14" s="107">
        <v>1</v>
      </c>
      <c r="P14" s="107">
        <v>56</v>
      </c>
      <c r="Q14" s="107" t="s">
        <v>170</v>
      </c>
      <c r="R14" s="107" t="s">
        <v>171</v>
      </c>
    </row>
    <row r="15" spans="1:18" x14ac:dyDescent="0.15">
      <c r="A15" s="107">
        <f>floors!C$2</f>
        <v>30041</v>
      </c>
      <c r="B15" s="107">
        <v>2</v>
      </c>
      <c r="C15" s="107" t="str">
        <f t="shared" si="0"/>
        <v>30041_2</v>
      </c>
      <c r="D15" s="10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07">
        <v>14</v>
      </c>
      <c r="F15" s="107" t="s">
        <v>302</v>
      </c>
      <c r="G15" s="107">
        <v>333</v>
      </c>
      <c r="H15" s="107">
        <v>1</v>
      </c>
      <c r="I15" s="107">
        <v>1</v>
      </c>
      <c r="J15" s="107">
        <v>1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107">
        <v>56</v>
      </c>
      <c r="Q15" s="107" t="s">
        <v>170</v>
      </c>
      <c r="R15" s="107" t="s">
        <v>171</v>
      </c>
    </row>
    <row r="16" spans="1:18" x14ac:dyDescent="0.15">
      <c r="A16" s="107">
        <f>floors!C$2</f>
        <v>30041</v>
      </c>
      <c r="B16" s="107">
        <v>2</v>
      </c>
      <c r="C16" s="107" t="str">
        <f t="shared" si="0"/>
        <v>30041_2</v>
      </c>
      <c r="D16" s="10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07">
        <v>15</v>
      </c>
      <c r="F16" s="107" t="s">
        <v>302</v>
      </c>
      <c r="G16" s="107">
        <v>334</v>
      </c>
      <c r="H16" s="107">
        <v>1</v>
      </c>
      <c r="I16" s="107">
        <v>1</v>
      </c>
      <c r="J16" s="107">
        <v>1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107">
        <v>28</v>
      </c>
      <c r="Q16" s="107" t="s">
        <v>170</v>
      </c>
      <c r="R16" s="107" t="s">
        <v>171</v>
      </c>
    </row>
    <row r="17" spans="1:18" x14ac:dyDescent="0.15">
      <c r="A17" s="107">
        <f>floors!C$2</f>
        <v>30041</v>
      </c>
      <c r="B17" s="107">
        <v>2</v>
      </c>
      <c r="C17" s="107" t="str">
        <f t="shared" si="0"/>
        <v>30041_2</v>
      </c>
      <c r="D17" s="10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07">
        <v>16</v>
      </c>
      <c r="F17" s="107" t="s">
        <v>302</v>
      </c>
      <c r="G17" s="107">
        <v>121</v>
      </c>
      <c r="H17" s="107">
        <v>1</v>
      </c>
      <c r="I17" s="107">
        <v>1</v>
      </c>
      <c r="J17" s="107">
        <v>1</v>
      </c>
      <c r="K17" s="107">
        <v>0</v>
      </c>
      <c r="L17" s="107">
        <v>0</v>
      </c>
      <c r="M17" s="107">
        <v>0</v>
      </c>
      <c r="N17" s="107">
        <v>0</v>
      </c>
      <c r="O17" s="107">
        <v>1</v>
      </c>
      <c r="P17" s="107">
        <v>50</v>
      </c>
      <c r="Q17" s="107" t="s">
        <v>170</v>
      </c>
      <c r="R17" s="107" t="s">
        <v>171</v>
      </c>
    </row>
    <row r="18" spans="1:18" x14ac:dyDescent="0.15">
      <c r="A18" s="107">
        <f>floors!C$2</f>
        <v>30041</v>
      </c>
      <c r="B18" s="107">
        <v>2</v>
      </c>
      <c r="C18" s="107" t="str">
        <f t="shared" si="0"/>
        <v>30041_2</v>
      </c>
      <c r="D18" s="10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07">
        <v>17</v>
      </c>
      <c r="F18" s="107" t="s">
        <v>302</v>
      </c>
      <c r="G18" s="107">
        <v>122</v>
      </c>
      <c r="H18" s="107">
        <v>1</v>
      </c>
      <c r="I18" s="107">
        <v>1</v>
      </c>
      <c r="J18" s="107">
        <v>1</v>
      </c>
      <c r="K18" s="107">
        <v>0</v>
      </c>
      <c r="L18" s="107">
        <v>0</v>
      </c>
      <c r="M18" s="107">
        <v>0</v>
      </c>
      <c r="N18" s="107">
        <v>0</v>
      </c>
      <c r="O18" s="107">
        <v>1</v>
      </c>
      <c r="P18" s="107">
        <v>50</v>
      </c>
      <c r="Q18" s="107" t="s">
        <v>170</v>
      </c>
      <c r="R18" s="107" t="s">
        <v>171</v>
      </c>
    </row>
    <row r="19" spans="1:18" x14ac:dyDescent="0.15">
      <c r="A19" s="107">
        <f>floors!C$2</f>
        <v>30041</v>
      </c>
      <c r="B19" s="107">
        <v>2</v>
      </c>
      <c r="C19" s="107" t="str">
        <f t="shared" si="0"/>
        <v>30041_2</v>
      </c>
      <c r="D19" s="10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07">
        <v>18</v>
      </c>
      <c r="F19" s="107" t="s">
        <v>302</v>
      </c>
      <c r="G19" s="107">
        <v>123</v>
      </c>
      <c r="H19" s="107">
        <v>1</v>
      </c>
      <c r="I19" s="107">
        <v>1</v>
      </c>
      <c r="J19" s="107">
        <v>1</v>
      </c>
      <c r="K19" s="107">
        <v>0</v>
      </c>
      <c r="L19" s="107">
        <v>0</v>
      </c>
      <c r="M19" s="107">
        <v>0</v>
      </c>
      <c r="N19" s="107">
        <v>0</v>
      </c>
      <c r="O19" s="107">
        <v>1</v>
      </c>
      <c r="P19" s="107">
        <v>50</v>
      </c>
      <c r="Q19" s="107" t="s">
        <v>170</v>
      </c>
      <c r="R19" s="107" t="s">
        <v>171</v>
      </c>
    </row>
    <row r="20" spans="1:18" x14ac:dyDescent="0.15">
      <c r="A20" s="107">
        <f>floors!C$2</f>
        <v>30041</v>
      </c>
      <c r="B20" s="107">
        <v>2</v>
      </c>
      <c r="C20" s="107" t="str">
        <f t="shared" si="0"/>
        <v>30041_2</v>
      </c>
      <c r="D20" s="10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07">
        <v>19</v>
      </c>
      <c r="F20" s="107" t="s">
        <v>302</v>
      </c>
      <c r="G20" s="107">
        <v>125</v>
      </c>
      <c r="H20" s="107">
        <v>1</v>
      </c>
      <c r="I20" s="107">
        <v>1</v>
      </c>
      <c r="J20" s="107">
        <v>1</v>
      </c>
      <c r="K20" s="107">
        <v>0</v>
      </c>
      <c r="L20" s="107">
        <v>0</v>
      </c>
      <c r="M20" s="107">
        <v>0</v>
      </c>
      <c r="N20" s="107">
        <v>0</v>
      </c>
      <c r="O20" s="107">
        <v>1</v>
      </c>
      <c r="P20" s="107">
        <v>10</v>
      </c>
      <c r="Q20" s="107" t="s">
        <v>170</v>
      </c>
      <c r="R20" s="107" t="s">
        <v>171</v>
      </c>
    </row>
    <row r="21" spans="1:18" x14ac:dyDescent="0.15">
      <c r="A21" s="107">
        <f>floors!C$2</f>
        <v>30041</v>
      </c>
      <c r="B21" s="107">
        <v>2</v>
      </c>
      <c r="C21" s="107" t="str">
        <f t="shared" si="0"/>
        <v>30041_2</v>
      </c>
      <c r="D21" s="10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07">
        <v>20</v>
      </c>
      <c r="F21" s="107" t="s">
        <v>302</v>
      </c>
      <c r="G21" s="107">
        <v>1096</v>
      </c>
      <c r="H21" s="107">
        <v>1</v>
      </c>
      <c r="I21" s="107">
        <v>1</v>
      </c>
      <c r="J21" s="107">
        <v>1</v>
      </c>
      <c r="K21" s="107">
        <v>0</v>
      </c>
      <c r="L21" s="107">
        <v>0</v>
      </c>
      <c r="M21" s="107">
        <v>0</v>
      </c>
      <c r="N21" s="107">
        <v>0</v>
      </c>
      <c r="O21" s="107">
        <v>1</v>
      </c>
      <c r="P21" s="107">
        <v>250</v>
      </c>
      <c r="Q21" s="107" t="s">
        <v>170</v>
      </c>
      <c r="R21" s="107" t="s">
        <v>171</v>
      </c>
    </row>
    <row r="22" spans="1:18" x14ac:dyDescent="0.15">
      <c r="A22" s="107">
        <f>floors!C$2</f>
        <v>30041</v>
      </c>
      <c r="B22" s="107">
        <v>2</v>
      </c>
      <c r="C22" s="107" t="str">
        <f t="shared" si="0"/>
        <v>30041_2</v>
      </c>
      <c r="D22" s="10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07">
        <v>21</v>
      </c>
      <c r="F22" s="107" t="s">
        <v>302</v>
      </c>
      <c r="G22" s="107">
        <v>348</v>
      </c>
      <c r="H22" s="107">
        <v>1</v>
      </c>
      <c r="I22" s="107">
        <v>1</v>
      </c>
      <c r="J22" s="107">
        <v>1</v>
      </c>
      <c r="K22" s="107">
        <v>0</v>
      </c>
      <c r="L22" s="107">
        <v>0</v>
      </c>
      <c r="M22" s="107">
        <v>0</v>
      </c>
      <c r="N22" s="107">
        <v>0</v>
      </c>
      <c r="O22" s="107">
        <v>1</v>
      </c>
      <c r="P22" s="107">
        <v>100</v>
      </c>
      <c r="Q22" s="107" t="s">
        <v>170</v>
      </c>
      <c r="R22" s="107" t="s">
        <v>171</v>
      </c>
    </row>
    <row r="23" spans="1:18" x14ac:dyDescent="0.15">
      <c r="A23" s="109">
        <f>floors!C$2</f>
        <v>30041</v>
      </c>
      <c r="B23" s="109">
        <v>3</v>
      </c>
      <c r="C23" s="109" t="str">
        <f t="shared" si="0"/>
        <v>30041_3</v>
      </c>
      <c r="D23" s="110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9">
        <v>22</v>
      </c>
      <c r="F23" s="109" t="s">
        <v>169</v>
      </c>
      <c r="G23" s="109">
        <v>6500</v>
      </c>
      <c r="H23" s="109" t="s">
        <v>53</v>
      </c>
      <c r="I23" s="109">
        <v>1</v>
      </c>
      <c r="J23" s="109">
        <v>1</v>
      </c>
      <c r="K23" s="109">
        <v>0</v>
      </c>
      <c r="L23" s="109">
        <v>0</v>
      </c>
      <c r="M23" s="109">
        <v>0</v>
      </c>
      <c r="N23" s="109">
        <v>0</v>
      </c>
      <c r="O23" s="109">
        <v>1</v>
      </c>
      <c r="P23" s="109">
        <v>100</v>
      </c>
      <c r="Q23" s="109" t="s">
        <v>170</v>
      </c>
      <c r="R23" s="109" t="s">
        <v>171</v>
      </c>
    </row>
    <row r="24" spans="1:18" x14ac:dyDescent="0.15">
      <c r="A24" s="109">
        <f>floors!C$2</f>
        <v>30041</v>
      </c>
      <c r="B24" s="109">
        <v>3</v>
      </c>
      <c r="C24" s="109" t="str">
        <f t="shared" si="0"/>
        <v>30041_3</v>
      </c>
      <c r="D24" s="110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09">
        <v>23</v>
      </c>
      <c r="F24" s="109" t="s">
        <v>301</v>
      </c>
      <c r="G24" s="109">
        <v>25</v>
      </c>
      <c r="H24" s="109" t="s">
        <v>53</v>
      </c>
      <c r="I24" s="109">
        <v>1</v>
      </c>
      <c r="J24" s="109">
        <v>1</v>
      </c>
      <c r="K24" s="109">
        <v>0</v>
      </c>
      <c r="L24" s="109">
        <v>0</v>
      </c>
      <c r="M24" s="109">
        <v>0</v>
      </c>
      <c r="N24" s="109">
        <v>0</v>
      </c>
      <c r="O24" s="109">
        <v>1</v>
      </c>
      <c r="P24" s="109">
        <v>100</v>
      </c>
      <c r="Q24" s="109" t="s">
        <v>170</v>
      </c>
      <c r="R24" s="109" t="s">
        <v>171</v>
      </c>
    </row>
    <row r="25" spans="1:18" x14ac:dyDescent="0.15">
      <c r="A25" s="109">
        <f>floors!C$2</f>
        <v>30041</v>
      </c>
      <c r="B25" s="109">
        <v>3</v>
      </c>
      <c r="C25" s="109" t="str">
        <f t="shared" si="0"/>
        <v>30041_3</v>
      </c>
      <c r="D25" s="110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09">
        <v>24</v>
      </c>
      <c r="F25" s="109" t="s">
        <v>302</v>
      </c>
      <c r="G25" s="109">
        <v>332</v>
      </c>
      <c r="H25" s="109">
        <v>1</v>
      </c>
      <c r="I25" s="109">
        <v>1</v>
      </c>
      <c r="J25" s="109">
        <v>1</v>
      </c>
      <c r="K25" s="109">
        <v>0</v>
      </c>
      <c r="L25" s="109">
        <v>0</v>
      </c>
      <c r="M25" s="109">
        <v>0</v>
      </c>
      <c r="N25" s="109">
        <v>0</v>
      </c>
      <c r="O25" s="109">
        <v>1</v>
      </c>
      <c r="P25" s="109">
        <v>28</v>
      </c>
      <c r="Q25" s="109" t="s">
        <v>170</v>
      </c>
      <c r="R25" s="109" t="s">
        <v>171</v>
      </c>
    </row>
    <row r="26" spans="1:18" x14ac:dyDescent="0.15">
      <c r="A26" s="109">
        <f>floors!C$2</f>
        <v>30041</v>
      </c>
      <c r="B26" s="109">
        <v>3</v>
      </c>
      <c r="C26" s="109" t="str">
        <f t="shared" si="0"/>
        <v>30041_3</v>
      </c>
      <c r="D26" s="110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09">
        <v>25</v>
      </c>
      <c r="F26" s="109" t="s">
        <v>302</v>
      </c>
      <c r="G26" s="109">
        <v>333</v>
      </c>
      <c r="H26" s="109">
        <v>1</v>
      </c>
      <c r="I26" s="109">
        <v>1</v>
      </c>
      <c r="J26" s="109">
        <v>1</v>
      </c>
      <c r="K26" s="109">
        <v>0</v>
      </c>
      <c r="L26" s="109">
        <v>0</v>
      </c>
      <c r="M26" s="109">
        <v>0</v>
      </c>
      <c r="N26" s="109">
        <v>0</v>
      </c>
      <c r="O26" s="109">
        <v>1</v>
      </c>
      <c r="P26" s="109">
        <v>56</v>
      </c>
      <c r="Q26" s="109" t="s">
        <v>170</v>
      </c>
      <c r="R26" s="109" t="s">
        <v>171</v>
      </c>
    </row>
    <row r="27" spans="1:18" x14ac:dyDescent="0.15">
      <c r="A27" s="109">
        <f>floors!C$2</f>
        <v>30041</v>
      </c>
      <c r="B27" s="109">
        <v>3</v>
      </c>
      <c r="C27" s="109" t="str">
        <f t="shared" si="0"/>
        <v>30041_3</v>
      </c>
      <c r="D27" s="110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09">
        <v>26</v>
      </c>
      <c r="F27" s="109" t="s">
        <v>302</v>
      </c>
      <c r="G27" s="109">
        <v>334</v>
      </c>
      <c r="H27" s="109">
        <v>1</v>
      </c>
      <c r="I27" s="109">
        <v>1</v>
      </c>
      <c r="J27" s="109">
        <v>1</v>
      </c>
      <c r="K27" s="109">
        <v>0</v>
      </c>
      <c r="L27" s="109">
        <v>0</v>
      </c>
      <c r="M27" s="109">
        <v>0</v>
      </c>
      <c r="N27" s="109">
        <v>0</v>
      </c>
      <c r="O27" s="109">
        <v>1</v>
      </c>
      <c r="P27" s="109">
        <v>56</v>
      </c>
      <c r="Q27" s="109" t="s">
        <v>170</v>
      </c>
      <c r="R27" s="109" t="s">
        <v>171</v>
      </c>
    </row>
    <row r="28" spans="1:18" x14ac:dyDescent="0.15">
      <c r="A28" s="109">
        <f>floors!C$2</f>
        <v>30041</v>
      </c>
      <c r="B28" s="109">
        <v>3</v>
      </c>
      <c r="C28" s="109" t="str">
        <f t="shared" si="0"/>
        <v>30041_3</v>
      </c>
      <c r="D28" s="110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09">
        <v>27</v>
      </c>
      <c r="F28" s="109" t="s">
        <v>302</v>
      </c>
      <c r="G28" s="109">
        <v>121</v>
      </c>
      <c r="H28" s="109">
        <v>1</v>
      </c>
      <c r="I28" s="109">
        <v>1</v>
      </c>
      <c r="J28" s="109">
        <v>1</v>
      </c>
      <c r="K28" s="109">
        <v>0</v>
      </c>
      <c r="L28" s="109">
        <v>0</v>
      </c>
      <c r="M28" s="109">
        <v>0</v>
      </c>
      <c r="N28" s="109">
        <v>0</v>
      </c>
      <c r="O28" s="109">
        <v>1</v>
      </c>
      <c r="P28" s="109">
        <v>50</v>
      </c>
      <c r="Q28" s="109" t="s">
        <v>170</v>
      </c>
      <c r="R28" s="109" t="s">
        <v>171</v>
      </c>
    </row>
    <row r="29" spans="1:18" x14ac:dyDescent="0.15">
      <c r="A29" s="109">
        <f>floors!C$2</f>
        <v>30041</v>
      </c>
      <c r="B29" s="109">
        <v>3</v>
      </c>
      <c r="C29" s="109" t="str">
        <f t="shared" si="0"/>
        <v>30041_3</v>
      </c>
      <c r="D29" s="110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09">
        <v>28</v>
      </c>
      <c r="F29" s="109" t="s">
        <v>302</v>
      </c>
      <c r="G29" s="109">
        <v>122</v>
      </c>
      <c r="H29" s="109">
        <v>1</v>
      </c>
      <c r="I29" s="109">
        <v>1</v>
      </c>
      <c r="J29" s="109">
        <v>1</v>
      </c>
      <c r="K29" s="109">
        <v>0</v>
      </c>
      <c r="L29" s="109">
        <v>0</v>
      </c>
      <c r="M29" s="109">
        <v>0</v>
      </c>
      <c r="N29" s="109">
        <v>0</v>
      </c>
      <c r="O29" s="109">
        <v>1</v>
      </c>
      <c r="P29" s="109">
        <v>50</v>
      </c>
      <c r="Q29" s="109" t="s">
        <v>170</v>
      </c>
      <c r="R29" s="109" t="s">
        <v>171</v>
      </c>
    </row>
    <row r="30" spans="1:18" x14ac:dyDescent="0.15">
      <c r="A30" s="109">
        <f>floors!C$2</f>
        <v>30041</v>
      </c>
      <c r="B30" s="109">
        <v>3</v>
      </c>
      <c r="C30" s="109" t="str">
        <f t="shared" si="0"/>
        <v>30041_3</v>
      </c>
      <c r="D30" s="110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09">
        <v>29</v>
      </c>
      <c r="F30" s="109" t="s">
        <v>302</v>
      </c>
      <c r="G30" s="109">
        <v>123</v>
      </c>
      <c r="H30" s="109">
        <v>1</v>
      </c>
      <c r="I30" s="109">
        <v>1</v>
      </c>
      <c r="J30" s="109">
        <v>1</v>
      </c>
      <c r="K30" s="109">
        <v>0</v>
      </c>
      <c r="L30" s="109">
        <v>0</v>
      </c>
      <c r="M30" s="109">
        <v>0</v>
      </c>
      <c r="N30" s="109">
        <v>0</v>
      </c>
      <c r="O30" s="109">
        <v>1</v>
      </c>
      <c r="P30" s="109">
        <v>50</v>
      </c>
      <c r="Q30" s="109" t="s">
        <v>170</v>
      </c>
      <c r="R30" s="109" t="s">
        <v>171</v>
      </c>
    </row>
    <row r="31" spans="1:18" x14ac:dyDescent="0.15">
      <c r="A31" s="109">
        <f>floors!C$2</f>
        <v>30041</v>
      </c>
      <c r="B31" s="109">
        <v>3</v>
      </c>
      <c r="C31" s="109" t="str">
        <f t="shared" si="0"/>
        <v>30041_3</v>
      </c>
      <c r="D31" s="110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09">
        <v>30</v>
      </c>
      <c r="F31" s="109" t="s">
        <v>302</v>
      </c>
      <c r="G31" s="109">
        <v>125</v>
      </c>
      <c r="H31" s="109">
        <v>1</v>
      </c>
      <c r="I31" s="109">
        <v>1</v>
      </c>
      <c r="J31" s="109">
        <v>1</v>
      </c>
      <c r="K31" s="109">
        <v>0</v>
      </c>
      <c r="L31" s="109">
        <v>0</v>
      </c>
      <c r="M31" s="109">
        <v>0</v>
      </c>
      <c r="N31" s="109">
        <v>0</v>
      </c>
      <c r="O31" s="109">
        <v>1</v>
      </c>
      <c r="P31" s="109">
        <v>10</v>
      </c>
      <c r="Q31" s="109" t="s">
        <v>170</v>
      </c>
      <c r="R31" s="109" t="s">
        <v>171</v>
      </c>
    </row>
    <row r="32" spans="1:18" x14ac:dyDescent="0.15">
      <c r="A32" s="109">
        <f>floors!C$2</f>
        <v>30041</v>
      </c>
      <c r="B32" s="109">
        <v>3</v>
      </c>
      <c r="C32" s="109" t="str">
        <f t="shared" si="0"/>
        <v>30041_3</v>
      </c>
      <c r="D32" s="110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09">
        <v>31</v>
      </c>
      <c r="F32" s="109" t="s">
        <v>302</v>
      </c>
      <c r="G32" s="109">
        <v>1096</v>
      </c>
      <c r="H32" s="109">
        <v>1</v>
      </c>
      <c r="I32" s="109">
        <v>1</v>
      </c>
      <c r="J32" s="109">
        <v>1</v>
      </c>
      <c r="K32" s="109">
        <v>0</v>
      </c>
      <c r="L32" s="109">
        <v>0</v>
      </c>
      <c r="M32" s="109">
        <v>0</v>
      </c>
      <c r="N32" s="109">
        <v>0</v>
      </c>
      <c r="O32" s="109">
        <v>1</v>
      </c>
      <c r="P32" s="109">
        <v>400</v>
      </c>
      <c r="Q32" s="109" t="s">
        <v>170</v>
      </c>
      <c r="R32" s="109" t="s">
        <v>171</v>
      </c>
    </row>
    <row r="33" spans="1:18" x14ac:dyDescent="0.15">
      <c r="A33" s="109">
        <f>floors!C$2</f>
        <v>30041</v>
      </c>
      <c r="B33" s="109">
        <v>3</v>
      </c>
      <c r="C33" s="109" t="str">
        <f t="shared" si="0"/>
        <v>30041_3</v>
      </c>
      <c r="D33" s="110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09">
        <v>32</v>
      </c>
      <c r="F33" s="109" t="s">
        <v>302</v>
      </c>
      <c r="G33" s="109">
        <v>348</v>
      </c>
      <c r="H33" s="109">
        <v>1</v>
      </c>
      <c r="I33" s="109">
        <v>1</v>
      </c>
      <c r="J33" s="109">
        <v>1</v>
      </c>
      <c r="K33" s="109">
        <v>0</v>
      </c>
      <c r="L33" s="109">
        <v>0</v>
      </c>
      <c r="M33" s="109">
        <v>0</v>
      </c>
      <c r="N33" s="109">
        <v>0</v>
      </c>
      <c r="O33" s="109">
        <v>1</v>
      </c>
      <c r="P33" s="109">
        <v>100</v>
      </c>
      <c r="Q33" s="109" t="s">
        <v>170</v>
      </c>
      <c r="R33" s="109" t="s">
        <v>171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E68" sqref="E6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127</v>
      </c>
      <c r="K1" s="77" t="s">
        <v>187</v>
      </c>
      <c r="L1" s="91" t="s">
        <v>186</v>
      </c>
      <c r="M1" s="79" t="s">
        <v>196</v>
      </c>
    </row>
    <row r="2" spans="1:13" x14ac:dyDescent="0.15">
      <c r="A2" s="80" t="s">
        <v>201</v>
      </c>
      <c r="B2" s="81">
        <f>floors!$C$2</f>
        <v>30041</v>
      </c>
      <c r="C2" s="82" t="str">
        <f ca="1">VLOOKUP($B2,OFFSET([2]quests!$A$1,0,0,COUNTA([2]quests!$A:$A),MATCH(C$1,[2]quests!$1:$1,0)-MATCH($B$1,[2]quests!$1:$1,0)+1),MATCH(C$1,[2]quests!$1:$1,0)-MATCH($B$1,[2]quests!$1:$1,0)+1,FALSE)</f>
        <v>パラノイア・アート</v>
      </c>
      <c r="D2" s="82" t="str">
        <f ca="1">VLOOKUP($B2,OFFSET([2]quests!$A$1,0,0,COUNTA([2]quests!$A:$A),MATCH(D$1,[2]quests!$1:$1,0)-MATCH($B$1,[2]quests!$1:$1,0)+1),MATCH(D$1,[2]quests!$1:$1,0)-MATCH($B$1,[2]quests!$1:$1,0)+1,FALSE)</f>
        <v>画家シリーズ超級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画家シリーズ超級</v>
      </c>
      <c r="H2" s="84">
        <v>0</v>
      </c>
      <c r="I2">
        <v>3</v>
      </c>
      <c r="J2" s="83" t="s">
        <v>198</v>
      </c>
      <c r="K2" s="92" t="str">
        <f>VLOOKUP(I2,[6]stage_hints!$A:$C,3,FALSE)</f>
        <v>ターゲット</v>
      </c>
      <c r="L2" s="93" t="str">
        <f>VLOOKUP(I2,[6]stage_hints!$A:$D,4,FALSE)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0" t="s">
        <v>201</v>
      </c>
      <c r="B3" s="81">
        <f>floors!$C$2</f>
        <v>30041</v>
      </c>
      <c r="C3" s="82" t="str">
        <f ca="1">VLOOKUP($B3,OFFSET([2]quests!$A$1,0,0,COUNTA([2]quests!$A:$A),MATCH(C$1,[2]quests!$1:$1,0)-MATCH($B$1,[2]quests!$1:$1,0)+1),MATCH(C$1,[2]quests!$1:$1,0)-MATCH($B$1,[2]quests!$1:$1,0)+1,FALSE)</f>
        <v>パラノイア・アート</v>
      </c>
      <c r="D3" s="82" t="str">
        <f ca="1">VLOOKUP($B3,OFFSET([2]quests!$A$1,0,0,COUNTA([2]quests!$A:$A),MATCH(D$1,[2]quests!$1:$1,0)-MATCH($B$1,[2]quests!$1:$1,0)+1),MATCH(D$1,[2]quests!$1:$1,0)-MATCH($B$1,[2]quests!$1:$1,0)+1,FALSE)</f>
        <v>画家シリーズ超級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画家シリーズ超級</v>
      </c>
      <c r="H3" s="84">
        <v>0</v>
      </c>
      <c r="I3">
        <v>6</v>
      </c>
      <c r="J3" s="83" t="s">
        <v>198</v>
      </c>
      <c r="K3" s="92" t="str">
        <f>VLOOKUP(I3,[6]stage_hints!$A:$C,3,FALSE)</f>
        <v>ユニット強化の属性ボーナス</v>
      </c>
      <c r="L3" s="93" t="str">
        <f>VLOOKUP(I3,[6]stage_hints!$A:$D,4,FALSE)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0" t="s">
        <v>201</v>
      </c>
      <c r="B4" s="81">
        <f>floors!$C$2</f>
        <v>30041</v>
      </c>
      <c r="C4" s="82" t="str">
        <f ca="1">VLOOKUP($B4,OFFSET([2]quests!$A$1,0,0,COUNTA([2]quests!$A:$A),MATCH(C$1,[2]quests!$1:$1,0)-MATCH($B$1,[2]quests!$1:$1,0)+1),MATCH(C$1,[2]quests!$1:$1,0)-MATCH($B$1,[2]quests!$1:$1,0)+1,FALSE)</f>
        <v>パラノイア・アート</v>
      </c>
      <c r="D4" s="82" t="str">
        <f ca="1">VLOOKUP($B4,OFFSET([2]quests!$A$1,0,0,COUNTA([2]quests!$A:$A),MATCH(D$1,[2]quests!$1:$1,0)-MATCH($B$1,[2]quests!$1:$1,0)+1),MATCH(D$1,[2]quests!$1:$1,0)-MATCH($B$1,[2]quests!$1:$1,0)+1,FALSE)</f>
        <v>画家シリーズ超級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画家シリーズ超級</v>
      </c>
      <c r="H4" s="84">
        <v>0</v>
      </c>
      <c r="I4">
        <v>7</v>
      </c>
      <c r="J4" s="83" t="s">
        <v>198</v>
      </c>
      <c r="K4" s="92" t="str">
        <f>VLOOKUP(I4,[6]stage_hints!$A:$C,3,FALSE)</f>
        <v>メタルダックで経験値を獲得</v>
      </c>
      <c r="L4" s="93" t="str">
        <f>VLOOKUP(I4,[6]stage_hints!$A:$D,4,FALSE)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0" t="s">
        <v>201</v>
      </c>
      <c r="B5" s="81">
        <f>floors!$C$2</f>
        <v>30041</v>
      </c>
      <c r="C5" s="82" t="str">
        <f ca="1">VLOOKUP($B5,OFFSET([2]quests!$A$1,0,0,COUNTA([2]quests!$A:$A),MATCH(C$1,[2]quests!$1:$1,0)-MATCH($B$1,[2]quests!$1:$1,0)+1),MATCH(C$1,[2]quests!$1:$1,0)-MATCH($B$1,[2]quests!$1:$1,0)+1,FALSE)</f>
        <v>パラノイア・アート</v>
      </c>
      <c r="D5" s="82" t="str">
        <f ca="1">VLOOKUP($B5,OFFSET([2]quests!$A$1,0,0,COUNTA([2]quests!$A:$A),MATCH(D$1,[2]quests!$1:$1,0)-MATCH($B$1,[2]quests!$1:$1,0)+1),MATCH(D$1,[2]quests!$1:$1,0)-MATCH($B$1,[2]quests!$1:$1,0)+1,FALSE)</f>
        <v>画家シリーズ超級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画家シリーズ超級</v>
      </c>
      <c r="H5" s="84">
        <v>0</v>
      </c>
      <c r="I5">
        <v>8</v>
      </c>
      <c r="J5" s="83" t="s">
        <v>198</v>
      </c>
      <c r="K5" s="92" t="str">
        <f>VLOOKUP(I5,[6]stage_hints!$A:$C,3,FALSE)</f>
        <v>ゲリラクエストは要チェック</v>
      </c>
      <c r="L5" s="93" t="str">
        <f>VLOOKUP(I5,[6]stage_hints!$A:$D,4,FALSE)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0" t="s">
        <v>201</v>
      </c>
      <c r="B6" s="81">
        <f>floors!$C$2</f>
        <v>30041</v>
      </c>
      <c r="C6" s="82" t="str">
        <f ca="1">VLOOKUP($B6,OFFSET([2]quests!$A$1,0,0,COUNTA([2]quests!$A:$A),MATCH(C$1,[2]quests!$1:$1,0)-MATCH($B$1,[2]quests!$1:$1,0)+1),MATCH(C$1,[2]quests!$1:$1,0)-MATCH($B$1,[2]quests!$1:$1,0)+1,FALSE)</f>
        <v>パラノイア・アート</v>
      </c>
      <c r="D6" s="82" t="str">
        <f ca="1">VLOOKUP($B6,OFFSET([2]quests!$A$1,0,0,COUNTA([2]quests!$A:$A),MATCH(D$1,[2]quests!$1:$1,0)-MATCH($B$1,[2]quests!$1:$1,0)+1),MATCH(D$1,[2]quests!$1:$1,0)-MATCH($B$1,[2]quests!$1:$1,0)+1,FALSE)</f>
        <v>画家シリーズ超級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画家シリーズ超級</v>
      </c>
      <c r="H6" s="84">
        <v>0</v>
      </c>
      <c r="I6">
        <v>9</v>
      </c>
      <c r="J6" s="83" t="s">
        <v>198</v>
      </c>
      <c r="K6" s="92" t="str">
        <f>VLOOKUP(I6,[6]stage_hints!$A:$C,3,FALSE)</f>
        <v>ゴールドダックでビットを獲得</v>
      </c>
      <c r="L6" s="93" t="str">
        <f>VLOOKUP(I6,[6]stage_hints!$A:$D,4,FALSE)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0" t="s">
        <v>201</v>
      </c>
      <c r="B7" s="81">
        <f>floors!$C$2</f>
        <v>30041</v>
      </c>
      <c r="C7" s="82" t="str">
        <f ca="1">VLOOKUP($B7,OFFSET([2]quests!$A$1,0,0,COUNTA([2]quests!$A:$A),MATCH(C$1,[2]quests!$1:$1,0)-MATCH($B$1,[2]quests!$1:$1,0)+1),MATCH(C$1,[2]quests!$1:$1,0)-MATCH($B$1,[2]quests!$1:$1,0)+1,FALSE)</f>
        <v>パラノイア・アート</v>
      </c>
      <c r="D7" s="82" t="str">
        <f ca="1">VLOOKUP($B7,OFFSET([2]quests!$A$1,0,0,COUNTA([2]quests!$A:$A),MATCH(D$1,[2]quests!$1:$1,0)-MATCH($B$1,[2]quests!$1:$1,0)+1),MATCH(D$1,[2]quests!$1:$1,0)-MATCH($B$1,[2]quests!$1:$1,0)+1,FALSE)</f>
        <v>画家シリーズ超級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画家シリーズ超級</v>
      </c>
      <c r="H7" s="84">
        <v>0</v>
      </c>
      <c r="I7">
        <v>10</v>
      </c>
      <c r="J7" s="83" t="s">
        <v>198</v>
      </c>
      <c r="K7" s="92" t="str">
        <f>VLOOKUP(I7,[6]stage_hints!$A:$C,3,FALSE)</f>
        <v>土日に大量のビットを獲得</v>
      </c>
      <c r="L7" s="93" t="str">
        <f>VLOOKUP(I7,[6]stage_hints!$A:$D,4,FALSE)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0" t="s">
        <v>201</v>
      </c>
      <c r="B8" s="81">
        <f>floors!$C$2</f>
        <v>30041</v>
      </c>
      <c r="C8" s="82" t="str">
        <f ca="1">VLOOKUP($B8,OFFSET([2]quests!$A$1,0,0,COUNTA([2]quests!$A:$A),MATCH(C$1,[2]quests!$1:$1,0)-MATCH($B$1,[2]quests!$1:$1,0)+1),MATCH(C$1,[2]quests!$1:$1,0)-MATCH($B$1,[2]quests!$1:$1,0)+1,FALSE)</f>
        <v>パラノイア・アート</v>
      </c>
      <c r="D8" s="82" t="str">
        <f ca="1">VLOOKUP($B8,OFFSET([2]quests!$A$1,0,0,COUNTA([2]quests!$A:$A),MATCH(D$1,[2]quests!$1:$1,0)-MATCH($B$1,[2]quests!$1:$1,0)+1),MATCH(D$1,[2]quests!$1:$1,0)-MATCH($B$1,[2]quests!$1:$1,0)+1,FALSE)</f>
        <v>画家シリーズ超級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画家シリーズ超級</v>
      </c>
      <c r="H8" s="84">
        <v>0</v>
      </c>
      <c r="I8">
        <v>11</v>
      </c>
      <c r="J8" s="83" t="s">
        <v>198</v>
      </c>
      <c r="K8" s="92" t="str">
        <f>VLOOKUP(I8,[6]stage_hints!$A:$C,3,FALSE)</f>
        <v>ランク解放クエスト</v>
      </c>
      <c r="L8" s="93" t="str">
        <f>VLOOKUP(I8,[6]stage_hints!$A:$D,4,FALSE)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0" t="s">
        <v>201</v>
      </c>
      <c r="B9" s="81">
        <f>floors!$C$2</f>
        <v>30041</v>
      </c>
      <c r="C9" s="82" t="str">
        <f ca="1">VLOOKUP($B9,OFFSET([2]quests!$A$1,0,0,COUNTA([2]quests!$A:$A),MATCH(C$1,[2]quests!$1:$1,0)-MATCH($B$1,[2]quests!$1:$1,0)+1),MATCH(C$1,[2]quests!$1:$1,0)-MATCH($B$1,[2]quests!$1:$1,0)+1,FALSE)</f>
        <v>パラノイア・アート</v>
      </c>
      <c r="D9" s="82" t="str">
        <f ca="1">VLOOKUP($B9,OFFSET([2]quests!$A$1,0,0,COUNTA([2]quests!$A:$A),MATCH(D$1,[2]quests!$1:$1,0)-MATCH($B$1,[2]quests!$1:$1,0)+1),MATCH(D$1,[2]quests!$1:$1,0)-MATCH($B$1,[2]quests!$1:$1,0)+1,FALSE)</f>
        <v>画家シリーズ超級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画家シリーズ超級</v>
      </c>
      <c r="H9" s="84">
        <v>0</v>
      </c>
      <c r="I9">
        <v>12</v>
      </c>
      <c r="J9" s="83" t="s">
        <v>198</v>
      </c>
      <c r="K9" s="92" t="str">
        <f>VLOOKUP(I9,[6]stage_hints!$A:$C,3,FALSE)</f>
        <v>ユニットのお気に入り登録</v>
      </c>
      <c r="L9" s="93" t="str">
        <f>VLOOKUP(I9,[6]stage_hints!$A:$D,4,FALSE)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0" t="s">
        <v>201</v>
      </c>
      <c r="B10" s="81">
        <f>floors!$C$2</f>
        <v>30041</v>
      </c>
      <c r="C10" s="82" t="str">
        <f ca="1">VLOOKUP($B10,OFFSET([2]quests!$A$1,0,0,COUNTA([2]quests!$A:$A),MATCH(C$1,[2]quests!$1:$1,0)-MATCH($B$1,[2]quests!$1:$1,0)+1),MATCH(C$1,[2]quests!$1:$1,0)-MATCH($B$1,[2]quests!$1:$1,0)+1,FALSE)</f>
        <v>パラノイア・アート</v>
      </c>
      <c r="D10" s="82" t="str">
        <f ca="1">VLOOKUP($B10,OFFSET([2]quests!$A$1,0,0,COUNTA([2]quests!$A:$A),MATCH(D$1,[2]quests!$1:$1,0)-MATCH($B$1,[2]quests!$1:$1,0)+1),MATCH(D$1,[2]quests!$1:$1,0)-MATCH($B$1,[2]quests!$1:$1,0)+1,FALSE)</f>
        <v>画家シリーズ超級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画家シリーズ超級</v>
      </c>
      <c r="H10" s="84">
        <v>0</v>
      </c>
      <c r="I10">
        <v>13</v>
      </c>
      <c r="J10" s="83" t="s">
        <v>198</v>
      </c>
      <c r="K10" s="92" t="str">
        <f>VLOOKUP(I10,[6]stage_hints!$A:$C,3,FALSE)</f>
        <v>ユニットの覚醒</v>
      </c>
      <c r="L10" s="93" t="str">
        <f>VLOOKUP(I10,[6]stage_hints!$A:$D,4,FALSE)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0" t="s">
        <v>201</v>
      </c>
      <c r="B11" s="81">
        <f>floors!$C$2</f>
        <v>30041</v>
      </c>
      <c r="C11" s="82" t="str">
        <f ca="1">VLOOKUP($B11,OFFSET([2]quests!$A$1,0,0,COUNTA([2]quests!$A:$A),MATCH(C$1,[2]quests!$1:$1,0)-MATCH($B$1,[2]quests!$1:$1,0)+1),MATCH(C$1,[2]quests!$1:$1,0)-MATCH($B$1,[2]quests!$1:$1,0)+1,FALSE)</f>
        <v>パラノイア・アート</v>
      </c>
      <c r="D11" s="82" t="str">
        <f ca="1">VLOOKUP($B11,OFFSET([2]quests!$A$1,0,0,COUNTA([2]quests!$A:$A),MATCH(D$1,[2]quests!$1:$1,0)-MATCH($B$1,[2]quests!$1:$1,0)+1),MATCH(D$1,[2]quests!$1:$1,0)-MATCH($B$1,[2]quests!$1:$1,0)+1,FALSE)</f>
        <v>画家シリーズ超級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画家シリーズ超級</v>
      </c>
      <c r="H11" s="84">
        <v>0</v>
      </c>
      <c r="I11">
        <v>14</v>
      </c>
      <c r="J11" s="83" t="s">
        <v>198</v>
      </c>
      <c r="K11" s="92" t="str">
        <f>VLOOKUP(I11,[6]stage_hints!$A:$C,3,FALSE)</f>
        <v>覚醒するにはレベルを最大に</v>
      </c>
      <c r="L11" s="93" t="str">
        <f>VLOOKUP(I11,[6]stage_hints!$A:$D,4,FALSE)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0" t="s">
        <v>201</v>
      </c>
      <c r="B12" s="81">
        <f>floors!$C$2</f>
        <v>30041</v>
      </c>
      <c r="C12" s="82" t="str">
        <f ca="1">VLOOKUP($B12,OFFSET([2]quests!$A$1,0,0,COUNTA([2]quests!$A:$A),MATCH(C$1,[2]quests!$1:$1,0)-MATCH($B$1,[2]quests!$1:$1,0)+1),MATCH(C$1,[2]quests!$1:$1,0)-MATCH($B$1,[2]quests!$1:$1,0)+1,FALSE)</f>
        <v>パラノイア・アート</v>
      </c>
      <c r="D12" s="82" t="str">
        <f ca="1">VLOOKUP($B12,OFFSET([2]quests!$A$1,0,0,COUNTA([2]quests!$A:$A),MATCH(D$1,[2]quests!$1:$1,0)-MATCH($B$1,[2]quests!$1:$1,0)+1),MATCH(D$1,[2]quests!$1:$1,0)-MATCH($B$1,[2]quests!$1:$1,0)+1,FALSE)</f>
        <v>画家シリーズ超級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画家シリーズ超級</v>
      </c>
      <c r="H12" s="84">
        <v>0</v>
      </c>
      <c r="I12">
        <v>15</v>
      </c>
      <c r="J12" s="83" t="s">
        <v>198</v>
      </c>
      <c r="K12" s="92" t="str">
        <f>VLOOKUP(I12,[6]stage_hints!$A:$C,3,FALSE)</f>
        <v>覚醒素材を獲得</v>
      </c>
      <c r="L12" s="93" t="str">
        <f>VLOOKUP(I12,[6]stage_hints!$A:$D,4,FALSE)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0" t="s">
        <v>201</v>
      </c>
      <c r="B13" s="81">
        <f>floors!$C$2</f>
        <v>30041</v>
      </c>
      <c r="C13" s="82" t="str">
        <f ca="1">VLOOKUP($B13,OFFSET([2]quests!$A$1,0,0,COUNTA([2]quests!$A:$A),MATCH(C$1,[2]quests!$1:$1,0)-MATCH($B$1,[2]quests!$1:$1,0)+1),MATCH(C$1,[2]quests!$1:$1,0)-MATCH($B$1,[2]quests!$1:$1,0)+1,FALSE)</f>
        <v>パラノイア・アート</v>
      </c>
      <c r="D13" s="82" t="str">
        <f ca="1">VLOOKUP($B13,OFFSET([2]quests!$A$1,0,0,COUNTA([2]quests!$A:$A),MATCH(D$1,[2]quests!$1:$1,0)-MATCH($B$1,[2]quests!$1:$1,0)+1),MATCH(D$1,[2]quests!$1:$1,0)-MATCH($B$1,[2]quests!$1:$1,0)+1,FALSE)</f>
        <v>画家シリーズ超級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画家シリーズ超級</v>
      </c>
      <c r="H13" s="84">
        <v>0</v>
      </c>
      <c r="I13">
        <v>16</v>
      </c>
      <c r="J13" s="83" t="s">
        <v>198</v>
      </c>
      <c r="K13" s="92" t="str">
        <f>VLOOKUP(I13,[6]stage_hints!$A:$C,3,FALSE)</f>
        <v>マルチプレイのメリット（その1）</v>
      </c>
      <c r="L13" s="93" t="str">
        <f>VLOOKUP(I13,[6]stage_hints!$A:$D,4,FALSE)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0" t="s">
        <v>201</v>
      </c>
      <c r="B14" s="81">
        <f>floors!$C$2</f>
        <v>30041</v>
      </c>
      <c r="C14" s="82" t="str">
        <f ca="1">VLOOKUP($B14,OFFSET([2]quests!$A$1,0,0,COUNTA([2]quests!$A:$A),MATCH(C$1,[2]quests!$1:$1,0)-MATCH($B$1,[2]quests!$1:$1,0)+1),MATCH(C$1,[2]quests!$1:$1,0)-MATCH($B$1,[2]quests!$1:$1,0)+1,FALSE)</f>
        <v>パラノイア・アート</v>
      </c>
      <c r="D14" s="82" t="str">
        <f ca="1">VLOOKUP($B14,OFFSET([2]quests!$A$1,0,0,COUNTA([2]quests!$A:$A),MATCH(D$1,[2]quests!$1:$1,0)-MATCH($B$1,[2]quests!$1:$1,0)+1),MATCH(D$1,[2]quests!$1:$1,0)-MATCH($B$1,[2]quests!$1:$1,0)+1,FALSE)</f>
        <v>画家シリーズ超級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画家シリーズ超級</v>
      </c>
      <c r="H14" s="84">
        <v>0</v>
      </c>
      <c r="I14">
        <v>17</v>
      </c>
      <c r="J14" s="83" t="s">
        <v>198</v>
      </c>
      <c r="K14" s="92" t="str">
        <f>VLOOKUP(I14,[6]stage_hints!$A:$C,3,FALSE)</f>
        <v>リンクガチャ</v>
      </c>
      <c r="L14" s="93" t="str">
        <f>VLOOKUP(I14,[6]stage_hints!$A:$D,4,FALSE)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0" t="s">
        <v>201</v>
      </c>
      <c r="B15" s="81">
        <f>floors!$C$2</f>
        <v>30041</v>
      </c>
      <c r="C15" s="82" t="str">
        <f ca="1">VLOOKUP($B15,OFFSET([2]quests!$A$1,0,0,COUNTA([2]quests!$A:$A),MATCH(C$1,[2]quests!$1:$1,0)-MATCH($B$1,[2]quests!$1:$1,0)+1),MATCH(C$1,[2]quests!$1:$1,0)-MATCH($B$1,[2]quests!$1:$1,0)+1,FALSE)</f>
        <v>パラノイア・アート</v>
      </c>
      <c r="D15" s="82" t="str">
        <f ca="1">VLOOKUP($B15,OFFSET([2]quests!$A$1,0,0,COUNTA([2]quests!$A:$A),MATCH(D$1,[2]quests!$1:$1,0)-MATCH($B$1,[2]quests!$1:$1,0)+1),MATCH(D$1,[2]quests!$1:$1,0)-MATCH($B$1,[2]quests!$1:$1,0)+1,FALSE)</f>
        <v>画家シリーズ超級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画家シリーズ超級</v>
      </c>
      <c r="H15" s="84">
        <v>0</v>
      </c>
      <c r="I15">
        <v>18</v>
      </c>
      <c r="J15" s="83" t="s">
        <v>198</v>
      </c>
      <c r="K15" s="92" t="str">
        <f>VLOOKUP(I15,[6]stage_hints!$A:$C,3,FALSE)</f>
        <v>マルチプレイのメリット（その2）</v>
      </c>
      <c r="L15" s="93" t="str">
        <f>VLOOKUP(I15,[6]stage_hints!$A:$D,4,FALSE)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0" t="s">
        <v>201</v>
      </c>
      <c r="B16" s="81">
        <f>floors!$C$2</f>
        <v>30041</v>
      </c>
      <c r="C16" s="82" t="str">
        <f ca="1">VLOOKUP($B16,OFFSET([2]quests!$A$1,0,0,COUNTA([2]quests!$A:$A),MATCH(C$1,[2]quests!$1:$1,0)-MATCH($B$1,[2]quests!$1:$1,0)+1),MATCH(C$1,[2]quests!$1:$1,0)-MATCH($B$1,[2]quests!$1:$1,0)+1,FALSE)</f>
        <v>パラノイア・アート</v>
      </c>
      <c r="D16" s="82" t="str">
        <f ca="1">VLOOKUP($B16,OFFSET([2]quests!$A$1,0,0,COUNTA([2]quests!$A:$A),MATCH(D$1,[2]quests!$1:$1,0)-MATCH($B$1,[2]quests!$1:$1,0)+1),MATCH(D$1,[2]quests!$1:$1,0)-MATCH($B$1,[2]quests!$1:$1,0)+1,FALSE)</f>
        <v>画家シリーズ超級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画家シリーズ超級</v>
      </c>
      <c r="H16" s="84">
        <v>0</v>
      </c>
      <c r="I16">
        <v>19</v>
      </c>
      <c r="J16" s="83" t="s">
        <v>198</v>
      </c>
      <c r="K16" s="92" t="str">
        <f>VLOOKUP(I16,[6]stage_hints!$A:$C,3,FALSE)</f>
        <v>ソロ専用チャレンジタワー</v>
      </c>
      <c r="L16" s="93" t="str">
        <f>VLOOKUP(I16,[6]stage_hints!$A:$D,4,FALSE)</f>
        <v>ソロ専用の「チャレンジタワー」では_x000D_各フロアごとにクリア報酬がもらえます</v>
      </c>
      <c r="M16" s="57" t="s">
        <v>211</v>
      </c>
    </row>
    <row r="17" spans="1:13" x14ac:dyDescent="0.15">
      <c r="A17" s="80" t="s">
        <v>201</v>
      </c>
      <c r="B17" s="81">
        <f>floors!$C$2</f>
        <v>30041</v>
      </c>
      <c r="C17" s="82" t="str">
        <f ca="1">VLOOKUP($B17,OFFSET([2]quests!$A$1,0,0,COUNTA([2]quests!$A:$A),MATCH(C$1,[2]quests!$1:$1,0)-MATCH($B$1,[2]quests!$1:$1,0)+1),MATCH(C$1,[2]quests!$1:$1,0)-MATCH($B$1,[2]quests!$1:$1,0)+1,FALSE)</f>
        <v>パラノイア・アート</v>
      </c>
      <c r="D17" s="82" t="str">
        <f ca="1">VLOOKUP($B17,OFFSET([2]quests!$A$1,0,0,COUNTA([2]quests!$A:$A),MATCH(D$1,[2]quests!$1:$1,0)-MATCH($B$1,[2]quests!$1:$1,0)+1),MATCH(D$1,[2]quests!$1:$1,0)-MATCH($B$1,[2]quests!$1:$1,0)+1,FALSE)</f>
        <v>画家シリーズ超級</v>
      </c>
      <c r="E17" s="86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画家シリーズ超級</v>
      </c>
      <c r="H17" s="84">
        <v>0</v>
      </c>
      <c r="I17">
        <v>20</v>
      </c>
      <c r="J17" s="83" t="s">
        <v>198</v>
      </c>
      <c r="K17" s="92" t="str">
        <f>VLOOKUP(I17,[6]stage_hints!$A:$C,3,FALSE)</f>
        <v>マルチプレイのメリット（その3）</v>
      </c>
      <c r="L17" s="93" t="str">
        <f>VLOOKUP(I17,[6]stage_hints!$A:$D,4,FALSE)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0" t="s">
        <v>201</v>
      </c>
      <c r="B18" s="81">
        <f>floors!$C$2</f>
        <v>30041</v>
      </c>
      <c r="C18" s="82" t="str">
        <f ca="1">VLOOKUP($B18,OFFSET([2]quests!$A$1,0,0,COUNTA([2]quests!$A:$A),MATCH(C$1,[2]quests!$1:$1,0)-MATCH($B$1,[2]quests!$1:$1,0)+1),MATCH(C$1,[2]quests!$1:$1,0)-MATCH($B$1,[2]quests!$1:$1,0)+1,FALSE)</f>
        <v>パラノイア・アート</v>
      </c>
      <c r="D18" s="82" t="str">
        <f ca="1">VLOOKUP($B18,OFFSET([2]quests!$A$1,0,0,COUNTA([2]quests!$A:$A),MATCH(D$1,[2]quests!$1:$1,0)-MATCH($B$1,[2]quests!$1:$1,0)+1),MATCH(D$1,[2]quests!$1:$1,0)-MATCH($B$1,[2]quests!$1:$1,0)+1,FALSE)</f>
        <v>画家シリーズ超級</v>
      </c>
      <c r="E18" s="86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画家シリーズ超級</v>
      </c>
      <c r="H18" s="84">
        <v>0</v>
      </c>
      <c r="I18">
        <v>21</v>
      </c>
      <c r="J18" s="83" t="s">
        <v>198</v>
      </c>
      <c r="K18" s="92" t="str">
        <f>VLOOKUP(I18,[6]stage_hints!$A:$C,3,FALSE)</f>
        <v>スキルを有効に</v>
      </c>
      <c r="L18" s="93" t="str">
        <f>VLOOKUP(I18,[6]stage_hints!$A:$D,4,FALSE)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0" t="s">
        <v>201</v>
      </c>
      <c r="B19" s="81">
        <f>floors!$C$2</f>
        <v>30041</v>
      </c>
      <c r="C19" s="82" t="str">
        <f ca="1">VLOOKUP($B19,OFFSET([2]quests!$A$1,0,0,COUNTA([2]quests!$A:$A),MATCH(C$1,[2]quests!$1:$1,0)-MATCH($B$1,[2]quests!$1:$1,0)+1),MATCH(C$1,[2]quests!$1:$1,0)-MATCH($B$1,[2]quests!$1:$1,0)+1,FALSE)</f>
        <v>パラノイア・アート</v>
      </c>
      <c r="D19" s="82" t="str">
        <f ca="1">VLOOKUP($B19,OFFSET([2]quests!$A$1,0,0,COUNTA([2]quests!$A:$A),MATCH(D$1,[2]quests!$1:$1,0)-MATCH($B$1,[2]quests!$1:$1,0)+1),MATCH(D$1,[2]quests!$1:$1,0)-MATCH($B$1,[2]quests!$1:$1,0)+1,FALSE)</f>
        <v>画家シリーズ超級</v>
      </c>
      <c r="E19" s="86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画家シリーズ超級</v>
      </c>
      <c r="H19" s="84">
        <v>0</v>
      </c>
      <c r="I19">
        <v>22</v>
      </c>
      <c r="J19" s="83" t="s">
        <v>198</v>
      </c>
      <c r="K19" s="92" t="str">
        <f>VLOOKUP(I19,[6]stage_hints!$A:$C,3,FALSE)</f>
        <v>フィーバーで一発逆転（その1）</v>
      </c>
      <c r="L19" s="93" t="str">
        <f>VLOOKUP(I19,[6]stage_hints!$A:$D,4,FALSE)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0" t="s">
        <v>201</v>
      </c>
      <c r="B20" s="81">
        <f>floors!$C$2</f>
        <v>30041</v>
      </c>
      <c r="C20" s="82" t="str">
        <f ca="1">VLOOKUP($B20,OFFSET([2]quests!$A$1,0,0,COUNTA([2]quests!$A:$A),MATCH(C$1,[2]quests!$1:$1,0)-MATCH($B$1,[2]quests!$1:$1,0)+1),MATCH(C$1,[2]quests!$1:$1,0)-MATCH($B$1,[2]quests!$1:$1,0)+1,FALSE)</f>
        <v>パラノイア・アート</v>
      </c>
      <c r="D20" s="82" t="str">
        <f ca="1">VLOOKUP($B20,OFFSET([2]quests!$A$1,0,0,COUNTA([2]quests!$A:$A),MATCH(D$1,[2]quests!$1:$1,0)-MATCH($B$1,[2]quests!$1:$1,0)+1),MATCH(D$1,[2]quests!$1:$1,0)-MATCH($B$1,[2]quests!$1:$1,0)+1,FALSE)</f>
        <v>画家シリーズ超級</v>
      </c>
      <c r="E20" s="86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画家シリーズ超級</v>
      </c>
      <c r="H20" s="84">
        <v>0</v>
      </c>
      <c r="I20">
        <v>23</v>
      </c>
      <c r="J20" s="83" t="s">
        <v>198</v>
      </c>
      <c r="K20" s="92" t="str">
        <f>VLOOKUP(I20,[6]stage_hints!$A:$C,3,FALSE)</f>
        <v>フィーバーで一発逆転（その2）</v>
      </c>
      <c r="L20" s="93" t="str">
        <f>VLOOKUP(I20,[6]stage_hints!$A:$D,4,FALSE)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0" t="s">
        <v>201</v>
      </c>
      <c r="B21" s="81">
        <f>floors!$C$2</f>
        <v>30041</v>
      </c>
      <c r="C21" s="82" t="str">
        <f ca="1">VLOOKUP($B21,OFFSET([2]quests!$A$1,0,0,COUNTA([2]quests!$A:$A),MATCH(C$1,[2]quests!$1:$1,0)-MATCH($B$1,[2]quests!$1:$1,0)+1),MATCH(C$1,[2]quests!$1:$1,0)-MATCH($B$1,[2]quests!$1:$1,0)+1,FALSE)</f>
        <v>パラノイア・アート</v>
      </c>
      <c r="D21" s="82" t="str">
        <f ca="1">VLOOKUP($B21,OFFSET([2]quests!$A$1,0,0,COUNTA([2]quests!$A:$A),MATCH(D$1,[2]quests!$1:$1,0)-MATCH($B$1,[2]quests!$1:$1,0)+1),MATCH(D$1,[2]quests!$1:$1,0)-MATCH($B$1,[2]quests!$1:$1,0)+1,FALSE)</f>
        <v>画家シリーズ超級</v>
      </c>
      <c r="E21" s="86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画家シリーズ超級</v>
      </c>
      <c r="H21" s="84">
        <v>0</v>
      </c>
      <c r="I21">
        <v>24</v>
      </c>
      <c r="J21" s="83" t="s">
        <v>198</v>
      </c>
      <c r="K21" s="92" t="str">
        <f>VLOOKUP(I21,[6]stage_hints!$A:$C,3,FALSE)</f>
        <v>りんごを使って限界突破</v>
      </c>
      <c r="L21" s="93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7" t="s">
        <v>211</v>
      </c>
    </row>
    <row r="22" spans="1:13" x14ac:dyDescent="0.15">
      <c r="A22" s="80" t="s">
        <v>201</v>
      </c>
      <c r="B22" s="81">
        <f>floors!$C$2</f>
        <v>30041</v>
      </c>
      <c r="C22" s="82" t="str">
        <f ca="1">VLOOKUP($B22,OFFSET([2]quests!$A$1,0,0,COUNTA([2]quests!$A:$A),MATCH(C$1,[2]quests!$1:$1,0)-MATCH($B$1,[2]quests!$1:$1,0)+1),MATCH(C$1,[2]quests!$1:$1,0)-MATCH($B$1,[2]quests!$1:$1,0)+1,FALSE)</f>
        <v>パラノイア・アート</v>
      </c>
      <c r="D22" s="82" t="str">
        <f ca="1">VLOOKUP($B22,OFFSET([2]quests!$A$1,0,0,COUNTA([2]quests!$A:$A),MATCH(D$1,[2]quests!$1:$1,0)-MATCH($B$1,[2]quests!$1:$1,0)+1),MATCH(D$1,[2]quests!$1:$1,0)-MATCH($B$1,[2]quests!$1:$1,0)+1,FALSE)</f>
        <v>画家シリーズ超級</v>
      </c>
      <c r="E22" s="86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画家シリーズ超級</v>
      </c>
      <c r="H22" s="84">
        <v>0</v>
      </c>
      <c r="I22">
        <v>25</v>
      </c>
      <c r="J22" s="83" t="s">
        <v>198</v>
      </c>
      <c r="K22" s="92" t="str">
        <f>VLOOKUP(I22,[6]stage_hints!$A:$C,3,FALSE)</f>
        <v>スキルレベルアップ</v>
      </c>
      <c r="L22" s="93" t="str">
        <f>VLOOKUP(I22,[6]stage_hints!$A:$D,4,FALSE)</f>
        <v>「クリスタルのりんご」を強化に使うと_x000D_スキルレベルを上げることができます</v>
      </c>
      <c r="M22" s="57" t="s">
        <v>211</v>
      </c>
    </row>
    <row r="23" spans="1:13" x14ac:dyDescent="0.15">
      <c r="A23" s="80" t="s">
        <v>201</v>
      </c>
      <c r="B23" s="81">
        <f>floors!$C$2</f>
        <v>30041</v>
      </c>
      <c r="C23" s="82" t="str">
        <f ca="1">VLOOKUP($B23,OFFSET([2]quests!$A$1,0,0,COUNTA([2]quests!$A:$A),MATCH(C$1,[2]quests!$1:$1,0)-MATCH($B$1,[2]quests!$1:$1,0)+1),MATCH(C$1,[2]quests!$1:$1,0)-MATCH($B$1,[2]quests!$1:$1,0)+1,FALSE)</f>
        <v>パラノイア・アート</v>
      </c>
      <c r="D23" s="82" t="str">
        <f ca="1">VLOOKUP($B23,OFFSET([2]quests!$A$1,0,0,COUNTA([2]quests!$A:$A),MATCH(D$1,[2]quests!$1:$1,0)-MATCH($B$1,[2]quests!$1:$1,0)+1),MATCH(D$1,[2]quests!$1:$1,0)-MATCH($B$1,[2]quests!$1:$1,0)+1,FALSE)</f>
        <v>画家シリーズ超級</v>
      </c>
      <c r="E23" s="86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画家シリーズ超級</v>
      </c>
      <c r="H23" s="84">
        <v>0</v>
      </c>
      <c r="I23">
        <v>26</v>
      </c>
      <c r="J23" s="83" t="s">
        <v>198</v>
      </c>
      <c r="K23" s="92" t="str">
        <f>VLOOKUP(I23,[6]stage_hints!$A:$C,3,FALSE)</f>
        <v>スキルレベルの効果</v>
      </c>
      <c r="L23" s="93" t="str">
        <f>VLOOKUP(I23,[6]stage_hints!$A:$D,4,FALSE)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0" t="s">
        <v>201</v>
      </c>
      <c r="B24" s="81">
        <f>floors!$C$2</f>
        <v>30041</v>
      </c>
      <c r="C24" s="82" t="str">
        <f ca="1">VLOOKUP($B24,OFFSET([2]quests!$A$1,0,0,COUNTA([2]quests!$A:$A),MATCH(C$1,[2]quests!$1:$1,0)-MATCH($B$1,[2]quests!$1:$1,0)+1),MATCH(C$1,[2]quests!$1:$1,0)-MATCH($B$1,[2]quests!$1:$1,0)+1,FALSE)</f>
        <v>パラノイア・アート</v>
      </c>
      <c r="D24" s="82" t="str">
        <f ca="1">VLOOKUP($B24,OFFSET([2]quests!$A$1,0,0,COUNTA([2]quests!$A:$A),MATCH(D$1,[2]quests!$1:$1,0)-MATCH($B$1,[2]quests!$1:$1,0)+1),MATCH(D$1,[2]quests!$1:$1,0)-MATCH($B$1,[2]quests!$1:$1,0)+1,FALSE)</f>
        <v>画家シリーズ超級</v>
      </c>
      <c r="E24" s="86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画家シリーズ超級</v>
      </c>
      <c r="H24" s="84">
        <v>0</v>
      </c>
      <c r="I24">
        <v>27</v>
      </c>
      <c r="J24" s="83" t="s">
        <v>198</v>
      </c>
      <c r="K24" s="92" t="str">
        <f>VLOOKUP(I24,[6]stage_hints!$A:$C,3,FALSE)</f>
        <v>ホーム画面からデッキを編成</v>
      </c>
      <c r="L24" s="93" t="str">
        <f>VLOOKUP(I24,[6]stage_hints!$A:$D,4,FALSE)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0" t="s">
        <v>201</v>
      </c>
      <c r="B25" s="81">
        <f>floors!$C$2</f>
        <v>30041</v>
      </c>
      <c r="C25" s="82" t="str">
        <f ca="1">VLOOKUP($B25,OFFSET([2]quests!$A$1,0,0,COUNTA([2]quests!$A:$A),MATCH(C$1,[2]quests!$1:$1,0)-MATCH($B$1,[2]quests!$1:$1,0)+1),MATCH(C$1,[2]quests!$1:$1,0)-MATCH($B$1,[2]quests!$1:$1,0)+1,FALSE)</f>
        <v>パラノイア・アート</v>
      </c>
      <c r="D25" s="82" t="str">
        <f ca="1">VLOOKUP($B25,OFFSET([2]quests!$A$1,0,0,COUNTA([2]quests!$A:$A),MATCH(D$1,[2]quests!$1:$1,0)-MATCH($B$1,[2]quests!$1:$1,0)+1),MATCH(D$1,[2]quests!$1:$1,0)-MATCH($B$1,[2]quests!$1:$1,0)+1,FALSE)</f>
        <v>画家シリーズ超級</v>
      </c>
      <c r="E25" s="86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画家シリーズ超級</v>
      </c>
      <c r="H25" s="84">
        <v>0</v>
      </c>
      <c r="I25">
        <v>28</v>
      </c>
      <c r="J25" s="83" t="s">
        <v>198</v>
      </c>
      <c r="K25" s="92" t="str">
        <f>VLOOKUP(I25,[6]stage_hints!$A:$C,3,FALSE)</f>
        <v>ステータス情報は長押しで</v>
      </c>
      <c r="L25" s="93" t="str">
        <f>VLOOKUP(I25,[6]stage_hints!$A:$D,4,FALSE)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0" t="s">
        <v>201</v>
      </c>
      <c r="B26" s="81">
        <f>floors!$C$2</f>
        <v>30041</v>
      </c>
      <c r="C26" s="82" t="str">
        <f ca="1">VLOOKUP($B26,OFFSET([2]quests!$A$1,0,0,COUNTA([2]quests!$A:$A),MATCH(C$1,[2]quests!$1:$1,0)-MATCH($B$1,[2]quests!$1:$1,0)+1),MATCH(C$1,[2]quests!$1:$1,0)-MATCH($B$1,[2]quests!$1:$1,0)+1,FALSE)</f>
        <v>パラノイア・アート</v>
      </c>
      <c r="D26" s="82" t="str">
        <f ca="1">VLOOKUP($B26,OFFSET([2]quests!$A$1,0,0,COUNTA([2]quests!$A:$A),MATCH(D$1,[2]quests!$1:$1,0)-MATCH($B$1,[2]quests!$1:$1,0)+1),MATCH(D$1,[2]quests!$1:$1,0)-MATCH($B$1,[2]quests!$1:$1,0)+1,FALSE)</f>
        <v>画家シリーズ超級</v>
      </c>
      <c r="E26" s="86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画家シリーズ超級</v>
      </c>
      <c r="H26" s="84">
        <v>0</v>
      </c>
      <c r="I26">
        <v>29</v>
      </c>
      <c r="J26" s="83" t="s">
        <v>198</v>
      </c>
      <c r="K26" s="92" t="str">
        <f>VLOOKUP(I26,[6]stage_hints!$A:$C,3,FALSE)</f>
        <v>「バグ」のメリット</v>
      </c>
      <c r="L26" s="93" t="str">
        <f>VLOOKUP(I26,[6]stage_hints!$A:$D,4,FALSE)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0" t="s">
        <v>201</v>
      </c>
      <c r="B27" s="81">
        <f>floors!$C$2</f>
        <v>30041</v>
      </c>
      <c r="C27" s="82" t="str">
        <f ca="1">VLOOKUP($B27,OFFSET([2]quests!$A$1,0,0,COUNTA([2]quests!$A:$A),MATCH(C$1,[2]quests!$1:$1,0)-MATCH($B$1,[2]quests!$1:$1,0)+1),MATCH(C$1,[2]quests!$1:$1,0)-MATCH($B$1,[2]quests!$1:$1,0)+1,FALSE)</f>
        <v>パラノイア・アート</v>
      </c>
      <c r="D27" s="82" t="str">
        <f ca="1">VLOOKUP($B27,OFFSET([2]quests!$A$1,0,0,COUNTA([2]quests!$A:$A),MATCH(D$1,[2]quests!$1:$1,0)-MATCH($B$1,[2]quests!$1:$1,0)+1),MATCH(D$1,[2]quests!$1:$1,0)-MATCH($B$1,[2]quests!$1:$1,0)+1,FALSE)</f>
        <v>画家シリーズ超級</v>
      </c>
      <c r="E27" s="86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画家シリーズ超級</v>
      </c>
      <c r="H27" s="84">
        <v>0</v>
      </c>
      <c r="I27">
        <v>30</v>
      </c>
      <c r="J27" s="83" t="s">
        <v>198</v>
      </c>
      <c r="K27" s="92" t="str">
        <f>VLOOKUP(I27,[6]stage_hints!$A:$C,3,FALSE)</f>
        <v>「バグ」の増やし方</v>
      </c>
      <c r="L27" s="93" t="str">
        <f>VLOOKUP(I27,[6]stage_hints!$A:$D,4,FALSE)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0" t="s">
        <v>201</v>
      </c>
      <c r="B28" s="81">
        <f>floors!$C$2</f>
        <v>30041</v>
      </c>
      <c r="C28" s="82" t="str">
        <f ca="1">VLOOKUP($B28,OFFSET([2]quests!$A$1,0,0,COUNTA([2]quests!$A:$A),MATCH(C$1,[2]quests!$1:$1,0)-MATCH($B$1,[2]quests!$1:$1,0)+1),MATCH(C$1,[2]quests!$1:$1,0)-MATCH($B$1,[2]quests!$1:$1,0)+1,FALSE)</f>
        <v>パラノイア・アート</v>
      </c>
      <c r="D28" s="82" t="str">
        <f ca="1">VLOOKUP($B28,OFFSET([2]quests!$A$1,0,0,COUNTA([2]quests!$A:$A),MATCH(D$1,[2]quests!$1:$1,0)-MATCH($B$1,[2]quests!$1:$1,0)+1),MATCH(D$1,[2]quests!$1:$1,0)-MATCH($B$1,[2]quests!$1:$1,0)+1,FALSE)</f>
        <v>画家シリーズ超級</v>
      </c>
      <c r="E28" s="86">
        <v>1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画家シリーズ超級</v>
      </c>
      <c r="H28" s="84">
        <v>0</v>
      </c>
      <c r="I28">
        <v>31</v>
      </c>
      <c r="J28" s="83" t="s">
        <v>198</v>
      </c>
      <c r="K28" s="92" t="str">
        <f>VLOOKUP(I28,[6]stage_hints!$A:$C,3,FALSE)</f>
        <v>イベントはお知らせでチェック</v>
      </c>
      <c r="L28" s="93" t="str">
        <f>VLOOKUP(I28,[6]stage_hints!$A:$D,4,FALSE)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0" t="s">
        <v>201</v>
      </c>
      <c r="B29" s="81">
        <f>floors!$C$2</f>
        <v>30041</v>
      </c>
      <c r="C29" s="82" t="str">
        <f ca="1">VLOOKUP($B29,OFFSET([2]quests!$A$1,0,0,COUNTA([2]quests!$A:$A),MATCH(C$1,[2]quests!$1:$1,0)-MATCH($B$1,[2]quests!$1:$1,0)+1),MATCH(C$1,[2]quests!$1:$1,0)-MATCH($B$1,[2]quests!$1:$1,0)+1,FALSE)</f>
        <v>パラノイア・アート</v>
      </c>
      <c r="D29" s="82" t="str">
        <f ca="1">VLOOKUP($B29,OFFSET([2]quests!$A$1,0,0,COUNTA([2]quests!$A:$A),MATCH(D$1,[2]quests!$1:$1,0)-MATCH($B$1,[2]quests!$1:$1,0)+1),MATCH(D$1,[2]quests!$1:$1,0)-MATCH($B$1,[2]quests!$1:$1,0)+1,FALSE)</f>
        <v>画家シリーズ超級</v>
      </c>
      <c r="E29" s="86">
        <v>1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画家シリーズ超級</v>
      </c>
      <c r="H29" s="84">
        <v>0</v>
      </c>
      <c r="I29">
        <v>32</v>
      </c>
      <c r="J29" s="83" t="s">
        <v>198</v>
      </c>
      <c r="K29" s="92" t="str">
        <f>VLOOKUP(I29,[6]stage_hints!$A:$C,3,FALSE)</f>
        <v>敵の連続攻撃には</v>
      </c>
      <c r="L29" s="93" t="str">
        <f>VLOOKUP(I29,[6]stage_hints!$A:$D,4,FALSE)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0" t="s">
        <v>201</v>
      </c>
      <c r="B30" s="81">
        <f>floors!$C$2</f>
        <v>30041</v>
      </c>
      <c r="C30" s="82" t="str">
        <f ca="1">VLOOKUP($B30,OFFSET([2]quests!$A$1,0,0,COUNTA([2]quests!$A:$A),MATCH(C$1,[2]quests!$1:$1,0)-MATCH($B$1,[2]quests!$1:$1,0)+1),MATCH(C$1,[2]quests!$1:$1,0)-MATCH($B$1,[2]quests!$1:$1,0)+1,FALSE)</f>
        <v>パラノイア・アート</v>
      </c>
      <c r="D30" s="82" t="str">
        <f ca="1">VLOOKUP($B30,OFFSET([2]quests!$A$1,0,0,COUNTA([2]quests!$A:$A),MATCH(D$1,[2]quests!$1:$1,0)-MATCH($B$1,[2]quests!$1:$1,0)+1),MATCH(D$1,[2]quests!$1:$1,0)-MATCH($B$1,[2]quests!$1:$1,0)+1,FALSE)</f>
        <v>画家シリーズ超級</v>
      </c>
      <c r="E30" s="86">
        <v>1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画家シリーズ超級</v>
      </c>
      <c r="H30" s="84">
        <v>0</v>
      </c>
      <c r="I30">
        <v>33</v>
      </c>
      <c r="J30" s="83" t="s">
        <v>198</v>
      </c>
      <c r="K30" s="92" t="str">
        <f>VLOOKUP(I30,[6]stage_hints!$A:$C,3,FALSE)</f>
        <v>敵のカウンター攻撃には</v>
      </c>
      <c r="L30" s="93" t="str">
        <f>VLOOKUP(I30,[6]stage_hints!$A:$D,4,FALSE)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0" t="s">
        <v>201</v>
      </c>
      <c r="B31" s="81">
        <f>floors!$C$2</f>
        <v>30041</v>
      </c>
      <c r="C31" s="82" t="str">
        <f ca="1">VLOOKUP($B31,OFFSET([2]quests!$A$1,0,0,COUNTA([2]quests!$A:$A),MATCH(C$1,[2]quests!$1:$1,0)-MATCH($B$1,[2]quests!$1:$1,0)+1),MATCH(C$1,[2]quests!$1:$1,0)-MATCH($B$1,[2]quests!$1:$1,0)+1,FALSE)</f>
        <v>パラノイア・アート</v>
      </c>
      <c r="D31" s="82" t="str">
        <f ca="1">VLOOKUP($B31,OFFSET([2]quests!$A$1,0,0,COUNTA([2]quests!$A:$A),MATCH(D$1,[2]quests!$1:$1,0)-MATCH($B$1,[2]quests!$1:$1,0)+1),MATCH(D$1,[2]quests!$1:$1,0)-MATCH($B$1,[2]quests!$1:$1,0)+1,FALSE)</f>
        <v>画家シリーズ超級</v>
      </c>
      <c r="E31" s="86">
        <v>1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画家シリーズ超級</v>
      </c>
      <c r="H31" s="84">
        <v>0</v>
      </c>
      <c r="I31">
        <v>34</v>
      </c>
      <c r="J31" s="83" t="s">
        <v>198</v>
      </c>
      <c r="K31" s="92" t="str">
        <f>VLOOKUP(I31,[6]stage_hints!$A:$C,3,FALSE)</f>
        <v>ステータスをスキルで下げられたら</v>
      </c>
      <c r="L31" s="93" t="str">
        <f>VLOOKUP(I31,[6]stage_hints!$A:$D,4,FALSE)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0" t="s">
        <v>201</v>
      </c>
      <c r="B32" s="81">
        <f>floors!$C$2</f>
        <v>30041</v>
      </c>
      <c r="C32" s="82" t="str">
        <f ca="1">VLOOKUP($B32,OFFSET([2]quests!$A$1,0,0,COUNTA([2]quests!$A:$A),MATCH(C$1,[2]quests!$1:$1,0)-MATCH($B$1,[2]quests!$1:$1,0)+1),MATCH(C$1,[2]quests!$1:$1,0)-MATCH($B$1,[2]quests!$1:$1,0)+1,FALSE)</f>
        <v>パラノイア・アート</v>
      </c>
      <c r="D32" s="82" t="str">
        <f ca="1">VLOOKUP($B32,OFFSET([2]quests!$A$1,0,0,COUNTA([2]quests!$A:$A),MATCH(D$1,[2]quests!$1:$1,0)-MATCH($B$1,[2]quests!$1:$1,0)+1),MATCH(D$1,[2]quests!$1:$1,0)-MATCH($B$1,[2]quests!$1:$1,0)+1,FALSE)</f>
        <v>画家シリーズ超級</v>
      </c>
      <c r="E32" s="86">
        <v>1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画家シリーズ超級</v>
      </c>
      <c r="H32" s="84">
        <v>0</v>
      </c>
      <c r="I32">
        <v>35</v>
      </c>
      <c r="J32" s="83" t="s">
        <v>198</v>
      </c>
      <c r="K32" s="92" t="str">
        <f>VLOOKUP(I32,[6]stage_hints!$A:$C,3,FALSE)</f>
        <v>敵のステータスがスキルで上がったら</v>
      </c>
      <c r="L32" s="93" t="str">
        <f>VLOOKUP(I32,[6]stage_hints!$A:$D,4,FALSE)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0" t="s">
        <v>201</v>
      </c>
      <c r="B33" s="81">
        <f>floors!$C$2</f>
        <v>30041</v>
      </c>
      <c r="C33" s="82" t="str">
        <f ca="1">VLOOKUP($B33,OFFSET([2]quests!$A$1,0,0,COUNTA([2]quests!$A:$A),MATCH(C$1,[2]quests!$1:$1,0)-MATCH($B$1,[2]quests!$1:$1,0)+1),MATCH(C$1,[2]quests!$1:$1,0)-MATCH($B$1,[2]quests!$1:$1,0)+1,FALSE)</f>
        <v>パラノイア・アート</v>
      </c>
      <c r="D33" s="82" t="str">
        <f ca="1">VLOOKUP($B33,OFFSET([2]quests!$A$1,0,0,COUNTA([2]quests!$A:$A),MATCH(D$1,[2]quests!$1:$1,0)-MATCH($B$1,[2]quests!$1:$1,0)+1),MATCH(D$1,[2]quests!$1:$1,0)-MATCH($B$1,[2]quests!$1:$1,0)+1,FALSE)</f>
        <v>画家シリーズ超級</v>
      </c>
      <c r="E33" s="86">
        <v>1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画家シリーズ超級</v>
      </c>
      <c r="H33" s="84">
        <v>0</v>
      </c>
      <c r="I33">
        <v>39</v>
      </c>
      <c r="J33" s="83" t="s">
        <v>198</v>
      </c>
      <c r="K33" s="92" t="str">
        <f>VLOOKUP(I33,[6]stage_hints!$A:$C,3,FALSE)</f>
        <v>システム適合者を確認</v>
      </c>
      <c r="L33" s="93" t="str">
        <f>VLOOKUP(I33,[6]stage_hints!$A:$D,4,FALSE)</f>
        <v>ALICEが 「アナタ」を呼んでいます</v>
      </c>
      <c r="M33" s="57" t="s">
        <v>211</v>
      </c>
    </row>
    <row r="34" spans="1:13" x14ac:dyDescent="0.15">
      <c r="A34" s="80" t="s">
        <v>201</v>
      </c>
      <c r="B34" s="81">
        <f>floors!$C$2</f>
        <v>30041</v>
      </c>
      <c r="C34" s="82" t="str">
        <f ca="1">VLOOKUP($B34,OFFSET([2]quests!$A$1,0,0,COUNTA([2]quests!$A:$A),MATCH(C$1,[2]quests!$1:$1,0)-MATCH($B$1,[2]quests!$1:$1,0)+1),MATCH(C$1,[2]quests!$1:$1,0)-MATCH($B$1,[2]quests!$1:$1,0)+1,FALSE)</f>
        <v>パラノイア・アート</v>
      </c>
      <c r="D34" s="82" t="str">
        <f ca="1">VLOOKUP($B34,OFFSET([2]quests!$A$1,0,0,COUNTA([2]quests!$A:$A),MATCH(D$1,[2]quests!$1:$1,0)-MATCH($B$1,[2]quests!$1:$1,0)+1),MATCH(D$1,[2]quests!$1:$1,0)-MATCH($B$1,[2]quests!$1:$1,0)+1,FALSE)</f>
        <v>画家シリーズ超級</v>
      </c>
      <c r="E34" s="86">
        <v>2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画家シリーズ超級</v>
      </c>
      <c r="H34" s="84">
        <v>0</v>
      </c>
      <c r="I34" s="95">
        <v>3</v>
      </c>
      <c r="J34" s="83" t="s">
        <v>198</v>
      </c>
      <c r="K34" s="92" t="str">
        <f>VLOOKUP(I34,[6]stage_hints!$A:$C,3,FALSE)</f>
        <v>ターゲット</v>
      </c>
      <c r="L34" s="93" t="str">
        <f>VLOOKUP(I34,[6]stage_hints!$A:$D,4,FALSE)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0" t="s">
        <v>201</v>
      </c>
      <c r="B35" s="81">
        <f>floors!$C$2</f>
        <v>30041</v>
      </c>
      <c r="C35" s="82" t="str">
        <f ca="1">VLOOKUP($B35,OFFSET([2]quests!$A$1,0,0,COUNTA([2]quests!$A:$A),MATCH(C$1,[2]quests!$1:$1,0)-MATCH($B$1,[2]quests!$1:$1,0)+1),MATCH(C$1,[2]quests!$1:$1,0)-MATCH($B$1,[2]quests!$1:$1,0)+1,FALSE)</f>
        <v>パラノイア・アート</v>
      </c>
      <c r="D35" s="82" t="str">
        <f ca="1">VLOOKUP($B35,OFFSET([2]quests!$A$1,0,0,COUNTA([2]quests!$A:$A),MATCH(D$1,[2]quests!$1:$1,0)-MATCH($B$1,[2]quests!$1:$1,0)+1),MATCH(D$1,[2]quests!$1:$1,0)-MATCH($B$1,[2]quests!$1:$1,0)+1,FALSE)</f>
        <v>画家シリーズ超級</v>
      </c>
      <c r="E35" s="86">
        <v>2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画家シリーズ超級</v>
      </c>
      <c r="H35" s="84">
        <v>0</v>
      </c>
      <c r="I35" s="95">
        <v>6</v>
      </c>
      <c r="J35" s="83" t="s">
        <v>198</v>
      </c>
      <c r="K35" s="92" t="str">
        <f>VLOOKUP(I35,[6]stage_hints!$A:$C,3,FALSE)</f>
        <v>ユニット強化の属性ボーナス</v>
      </c>
      <c r="L35" s="93" t="str">
        <f>VLOOKUP(I35,[6]stage_hints!$A:$D,4,FALSE)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0" t="s">
        <v>201</v>
      </c>
      <c r="B36" s="81">
        <f>floors!$C$2</f>
        <v>30041</v>
      </c>
      <c r="C36" s="82" t="str">
        <f ca="1">VLOOKUP($B36,OFFSET([2]quests!$A$1,0,0,COUNTA([2]quests!$A:$A),MATCH(C$1,[2]quests!$1:$1,0)-MATCH($B$1,[2]quests!$1:$1,0)+1),MATCH(C$1,[2]quests!$1:$1,0)-MATCH($B$1,[2]quests!$1:$1,0)+1,FALSE)</f>
        <v>パラノイア・アート</v>
      </c>
      <c r="D36" s="82" t="str">
        <f ca="1">VLOOKUP($B36,OFFSET([2]quests!$A$1,0,0,COUNTA([2]quests!$A:$A),MATCH(D$1,[2]quests!$1:$1,0)-MATCH($B$1,[2]quests!$1:$1,0)+1),MATCH(D$1,[2]quests!$1:$1,0)-MATCH($B$1,[2]quests!$1:$1,0)+1,FALSE)</f>
        <v>画家シリーズ超級</v>
      </c>
      <c r="E36" s="86">
        <v>2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画家シリーズ超級</v>
      </c>
      <c r="H36" s="84">
        <v>0</v>
      </c>
      <c r="I36" s="95">
        <v>7</v>
      </c>
      <c r="J36" s="83" t="s">
        <v>198</v>
      </c>
      <c r="K36" s="92" t="str">
        <f>VLOOKUP(I36,[6]stage_hints!$A:$C,3,FALSE)</f>
        <v>メタルダックで経験値を獲得</v>
      </c>
      <c r="L36" s="93" t="str">
        <f>VLOOKUP(I36,[6]stage_hints!$A:$D,4,FALSE)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0" t="s">
        <v>201</v>
      </c>
      <c r="B37" s="81">
        <f>floors!$C$2</f>
        <v>30041</v>
      </c>
      <c r="C37" s="82" t="str">
        <f ca="1">VLOOKUP($B37,OFFSET([2]quests!$A$1,0,0,COUNTA([2]quests!$A:$A),MATCH(C$1,[2]quests!$1:$1,0)-MATCH($B$1,[2]quests!$1:$1,0)+1),MATCH(C$1,[2]quests!$1:$1,0)-MATCH($B$1,[2]quests!$1:$1,0)+1,FALSE)</f>
        <v>パラノイア・アート</v>
      </c>
      <c r="D37" s="82" t="str">
        <f ca="1">VLOOKUP($B37,OFFSET([2]quests!$A$1,0,0,COUNTA([2]quests!$A:$A),MATCH(D$1,[2]quests!$1:$1,0)-MATCH($B$1,[2]quests!$1:$1,0)+1),MATCH(D$1,[2]quests!$1:$1,0)-MATCH($B$1,[2]quests!$1:$1,0)+1,FALSE)</f>
        <v>画家シリーズ超級</v>
      </c>
      <c r="E37" s="86">
        <v>2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画家シリーズ超級</v>
      </c>
      <c r="H37" s="84">
        <v>0</v>
      </c>
      <c r="I37" s="95">
        <v>8</v>
      </c>
      <c r="J37" s="83" t="s">
        <v>198</v>
      </c>
      <c r="K37" s="92" t="str">
        <f>VLOOKUP(I37,[6]stage_hints!$A:$C,3,FALSE)</f>
        <v>ゲリラクエストは要チェック</v>
      </c>
      <c r="L37" s="93" t="str">
        <f>VLOOKUP(I37,[6]stage_hints!$A:$D,4,FALSE)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0" t="s">
        <v>201</v>
      </c>
      <c r="B38" s="81">
        <f>floors!$C$2</f>
        <v>30041</v>
      </c>
      <c r="C38" s="82" t="str">
        <f ca="1">VLOOKUP($B38,OFFSET([2]quests!$A$1,0,0,COUNTA([2]quests!$A:$A),MATCH(C$1,[2]quests!$1:$1,0)-MATCH($B$1,[2]quests!$1:$1,0)+1),MATCH(C$1,[2]quests!$1:$1,0)-MATCH($B$1,[2]quests!$1:$1,0)+1,FALSE)</f>
        <v>パラノイア・アート</v>
      </c>
      <c r="D38" s="82" t="str">
        <f ca="1">VLOOKUP($B38,OFFSET([2]quests!$A$1,0,0,COUNTA([2]quests!$A:$A),MATCH(D$1,[2]quests!$1:$1,0)-MATCH($B$1,[2]quests!$1:$1,0)+1),MATCH(D$1,[2]quests!$1:$1,0)-MATCH($B$1,[2]quests!$1:$1,0)+1,FALSE)</f>
        <v>画家シリーズ超級</v>
      </c>
      <c r="E38" s="86">
        <v>2</v>
      </c>
      <c r="F38" s="82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8" s="82" t="str">
        <f ca="1">VLOOKUP($B38&amp;"_"&amp;$E38,OFFSET([2]stages!$A$1,0,0,COUNTA([2]stages!$A:$A),MATCH(G$1,[2]stages!$2:$2,0)-MATCH("temp_stage",[2]stages!$2:$2,0)+1),MATCH(G$1,[2]stages!$2:$2,0)-MATCH("temp_stage",[2]stages!$2:$2,0)+1,FALSE)</f>
        <v>画家シリーズ超級</v>
      </c>
      <c r="H38" s="84">
        <v>0</v>
      </c>
      <c r="I38" s="95">
        <v>9</v>
      </c>
      <c r="J38" s="83" t="s">
        <v>198</v>
      </c>
      <c r="K38" s="92" t="str">
        <f>VLOOKUP(I38,[6]stage_hints!$A:$C,3,FALSE)</f>
        <v>ゴールドダックでビットを獲得</v>
      </c>
      <c r="L38" s="93" t="str">
        <f>VLOOKUP(I38,[6]stage_hints!$A:$D,4,FALSE)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0" t="s">
        <v>201</v>
      </c>
      <c r="B39" s="81">
        <f>floors!$C$2</f>
        <v>30041</v>
      </c>
      <c r="C39" s="82" t="str">
        <f ca="1">VLOOKUP($B39,OFFSET([2]quests!$A$1,0,0,COUNTA([2]quests!$A:$A),MATCH(C$1,[2]quests!$1:$1,0)-MATCH($B$1,[2]quests!$1:$1,0)+1),MATCH(C$1,[2]quests!$1:$1,0)-MATCH($B$1,[2]quests!$1:$1,0)+1,FALSE)</f>
        <v>パラノイア・アート</v>
      </c>
      <c r="D39" s="82" t="str">
        <f ca="1">VLOOKUP($B39,OFFSET([2]quests!$A$1,0,0,COUNTA([2]quests!$A:$A),MATCH(D$1,[2]quests!$1:$1,0)-MATCH($B$1,[2]quests!$1:$1,0)+1),MATCH(D$1,[2]quests!$1:$1,0)-MATCH($B$1,[2]quests!$1:$1,0)+1,FALSE)</f>
        <v>画家シリーズ超級</v>
      </c>
      <c r="E39" s="86">
        <v>2</v>
      </c>
      <c r="F39" s="82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39" s="82" t="str">
        <f ca="1">VLOOKUP($B39&amp;"_"&amp;$E39,OFFSET([2]stages!$A$1,0,0,COUNTA([2]stages!$A:$A),MATCH(G$1,[2]stages!$2:$2,0)-MATCH("temp_stage",[2]stages!$2:$2,0)+1),MATCH(G$1,[2]stages!$2:$2,0)-MATCH("temp_stage",[2]stages!$2:$2,0)+1,FALSE)</f>
        <v>画家シリーズ超級</v>
      </c>
      <c r="H39" s="84">
        <v>0</v>
      </c>
      <c r="I39" s="95">
        <v>10</v>
      </c>
      <c r="J39" s="83" t="s">
        <v>198</v>
      </c>
      <c r="K39" s="92" t="str">
        <f>VLOOKUP(I39,[6]stage_hints!$A:$C,3,FALSE)</f>
        <v>土日に大量のビットを獲得</v>
      </c>
      <c r="L39" s="93" t="str">
        <f>VLOOKUP(I39,[6]stage_hints!$A:$D,4,FALSE)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0" t="s">
        <v>201</v>
      </c>
      <c r="B40" s="81">
        <f>floors!$C$2</f>
        <v>30041</v>
      </c>
      <c r="C40" s="82" t="str">
        <f ca="1">VLOOKUP($B40,OFFSET([2]quests!$A$1,0,0,COUNTA([2]quests!$A:$A),MATCH(C$1,[2]quests!$1:$1,0)-MATCH($B$1,[2]quests!$1:$1,0)+1),MATCH(C$1,[2]quests!$1:$1,0)-MATCH($B$1,[2]quests!$1:$1,0)+1,FALSE)</f>
        <v>パラノイア・アート</v>
      </c>
      <c r="D40" s="82" t="str">
        <f ca="1">VLOOKUP($B40,OFFSET([2]quests!$A$1,0,0,COUNTA([2]quests!$A:$A),MATCH(D$1,[2]quests!$1:$1,0)-MATCH($B$1,[2]quests!$1:$1,0)+1),MATCH(D$1,[2]quests!$1:$1,0)-MATCH($B$1,[2]quests!$1:$1,0)+1,FALSE)</f>
        <v>画家シリーズ超級</v>
      </c>
      <c r="E40" s="86">
        <v>2</v>
      </c>
      <c r="F40" s="82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0" s="82" t="str">
        <f ca="1">VLOOKUP($B40&amp;"_"&amp;$E40,OFFSET([2]stages!$A$1,0,0,COUNTA([2]stages!$A:$A),MATCH(G$1,[2]stages!$2:$2,0)-MATCH("temp_stage",[2]stages!$2:$2,0)+1),MATCH(G$1,[2]stages!$2:$2,0)-MATCH("temp_stage",[2]stages!$2:$2,0)+1,FALSE)</f>
        <v>画家シリーズ超級</v>
      </c>
      <c r="H40" s="84">
        <v>0</v>
      </c>
      <c r="I40" s="95">
        <v>11</v>
      </c>
      <c r="J40" s="83" t="s">
        <v>198</v>
      </c>
      <c r="K40" s="92" t="str">
        <f>VLOOKUP(I40,[6]stage_hints!$A:$C,3,FALSE)</f>
        <v>ランク解放クエスト</v>
      </c>
      <c r="L40" s="93" t="str">
        <f>VLOOKUP(I40,[6]stage_hints!$A:$D,4,FALSE)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0" t="s">
        <v>201</v>
      </c>
      <c r="B41" s="81">
        <f>floors!$C$2</f>
        <v>30041</v>
      </c>
      <c r="C41" s="82" t="str">
        <f ca="1">VLOOKUP($B41,OFFSET([2]quests!$A$1,0,0,COUNTA([2]quests!$A:$A),MATCH(C$1,[2]quests!$1:$1,0)-MATCH($B$1,[2]quests!$1:$1,0)+1),MATCH(C$1,[2]quests!$1:$1,0)-MATCH($B$1,[2]quests!$1:$1,0)+1,FALSE)</f>
        <v>パラノイア・アート</v>
      </c>
      <c r="D41" s="82" t="str">
        <f ca="1">VLOOKUP($B41,OFFSET([2]quests!$A$1,0,0,COUNTA([2]quests!$A:$A),MATCH(D$1,[2]quests!$1:$1,0)-MATCH($B$1,[2]quests!$1:$1,0)+1),MATCH(D$1,[2]quests!$1:$1,0)-MATCH($B$1,[2]quests!$1:$1,0)+1,FALSE)</f>
        <v>画家シリーズ超級</v>
      </c>
      <c r="E41" s="86">
        <v>2</v>
      </c>
      <c r="F41" s="82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1" s="82" t="str">
        <f ca="1">VLOOKUP($B41&amp;"_"&amp;$E41,OFFSET([2]stages!$A$1,0,0,COUNTA([2]stages!$A:$A),MATCH(G$1,[2]stages!$2:$2,0)-MATCH("temp_stage",[2]stages!$2:$2,0)+1),MATCH(G$1,[2]stages!$2:$2,0)-MATCH("temp_stage",[2]stages!$2:$2,0)+1,FALSE)</f>
        <v>画家シリーズ超級</v>
      </c>
      <c r="H41" s="84">
        <v>0</v>
      </c>
      <c r="I41" s="95">
        <v>12</v>
      </c>
      <c r="J41" s="83" t="s">
        <v>198</v>
      </c>
      <c r="K41" s="92" t="str">
        <f>VLOOKUP(I41,[6]stage_hints!$A:$C,3,FALSE)</f>
        <v>ユニットのお気に入り登録</v>
      </c>
      <c r="L41" s="93" t="str">
        <f>VLOOKUP(I41,[6]stage_hints!$A:$D,4,FALSE)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0" t="s">
        <v>201</v>
      </c>
      <c r="B42" s="81">
        <f>floors!$C$2</f>
        <v>30041</v>
      </c>
      <c r="C42" s="82" t="str">
        <f ca="1">VLOOKUP($B42,OFFSET([2]quests!$A$1,0,0,COUNTA([2]quests!$A:$A),MATCH(C$1,[2]quests!$1:$1,0)-MATCH($B$1,[2]quests!$1:$1,0)+1),MATCH(C$1,[2]quests!$1:$1,0)-MATCH($B$1,[2]quests!$1:$1,0)+1,FALSE)</f>
        <v>パラノイア・アート</v>
      </c>
      <c r="D42" s="82" t="str">
        <f ca="1">VLOOKUP($B42,OFFSET([2]quests!$A$1,0,0,COUNTA([2]quests!$A:$A),MATCH(D$1,[2]quests!$1:$1,0)-MATCH($B$1,[2]quests!$1:$1,0)+1),MATCH(D$1,[2]quests!$1:$1,0)-MATCH($B$1,[2]quests!$1:$1,0)+1,FALSE)</f>
        <v>画家シリーズ超級</v>
      </c>
      <c r="E42" s="86">
        <v>2</v>
      </c>
      <c r="F42" s="82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2" s="82" t="str">
        <f ca="1">VLOOKUP($B42&amp;"_"&amp;$E42,OFFSET([2]stages!$A$1,0,0,COUNTA([2]stages!$A:$A),MATCH(G$1,[2]stages!$2:$2,0)-MATCH("temp_stage",[2]stages!$2:$2,0)+1),MATCH(G$1,[2]stages!$2:$2,0)-MATCH("temp_stage",[2]stages!$2:$2,0)+1,FALSE)</f>
        <v>画家シリーズ超級</v>
      </c>
      <c r="H42" s="84">
        <v>0</v>
      </c>
      <c r="I42" s="95">
        <v>13</v>
      </c>
      <c r="J42" s="83" t="s">
        <v>198</v>
      </c>
      <c r="K42" s="92" t="str">
        <f>VLOOKUP(I42,[6]stage_hints!$A:$C,3,FALSE)</f>
        <v>ユニットの覚醒</v>
      </c>
      <c r="L42" s="93" t="str">
        <f>VLOOKUP(I42,[6]stage_hints!$A:$D,4,FALSE)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0" t="s">
        <v>201</v>
      </c>
      <c r="B43" s="81">
        <f>floors!$C$2</f>
        <v>30041</v>
      </c>
      <c r="C43" s="82" t="str">
        <f ca="1">VLOOKUP($B43,OFFSET([2]quests!$A$1,0,0,COUNTA([2]quests!$A:$A),MATCH(C$1,[2]quests!$1:$1,0)-MATCH($B$1,[2]quests!$1:$1,0)+1),MATCH(C$1,[2]quests!$1:$1,0)-MATCH($B$1,[2]quests!$1:$1,0)+1,FALSE)</f>
        <v>パラノイア・アート</v>
      </c>
      <c r="D43" s="82" t="str">
        <f ca="1">VLOOKUP($B43,OFFSET([2]quests!$A$1,0,0,COUNTA([2]quests!$A:$A),MATCH(D$1,[2]quests!$1:$1,0)-MATCH($B$1,[2]quests!$1:$1,0)+1),MATCH(D$1,[2]quests!$1:$1,0)-MATCH($B$1,[2]quests!$1:$1,0)+1,FALSE)</f>
        <v>画家シリーズ超級</v>
      </c>
      <c r="E43" s="86">
        <v>2</v>
      </c>
      <c r="F43" s="82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3" s="82" t="str">
        <f ca="1">VLOOKUP($B43&amp;"_"&amp;$E43,OFFSET([2]stages!$A$1,0,0,COUNTA([2]stages!$A:$A),MATCH(G$1,[2]stages!$2:$2,0)-MATCH("temp_stage",[2]stages!$2:$2,0)+1),MATCH(G$1,[2]stages!$2:$2,0)-MATCH("temp_stage",[2]stages!$2:$2,0)+1,FALSE)</f>
        <v>画家シリーズ超級</v>
      </c>
      <c r="H43" s="84">
        <v>0</v>
      </c>
      <c r="I43" s="95">
        <v>14</v>
      </c>
      <c r="J43" s="83" t="s">
        <v>198</v>
      </c>
      <c r="K43" s="92" t="str">
        <f>VLOOKUP(I43,[6]stage_hints!$A:$C,3,FALSE)</f>
        <v>覚醒するにはレベルを最大に</v>
      </c>
      <c r="L43" s="93" t="str">
        <f>VLOOKUP(I43,[6]stage_hints!$A:$D,4,FALSE)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0" t="s">
        <v>201</v>
      </c>
      <c r="B44" s="81">
        <f>floors!$C$2</f>
        <v>30041</v>
      </c>
      <c r="C44" s="82" t="str">
        <f ca="1">VLOOKUP($B44,OFFSET([2]quests!$A$1,0,0,COUNTA([2]quests!$A:$A),MATCH(C$1,[2]quests!$1:$1,0)-MATCH($B$1,[2]quests!$1:$1,0)+1),MATCH(C$1,[2]quests!$1:$1,0)-MATCH($B$1,[2]quests!$1:$1,0)+1,FALSE)</f>
        <v>パラノイア・アート</v>
      </c>
      <c r="D44" s="82" t="str">
        <f ca="1">VLOOKUP($B44,OFFSET([2]quests!$A$1,0,0,COUNTA([2]quests!$A:$A),MATCH(D$1,[2]quests!$1:$1,0)-MATCH($B$1,[2]quests!$1:$1,0)+1),MATCH(D$1,[2]quests!$1:$1,0)-MATCH($B$1,[2]quests!$1:$1,0)+1,FALSE)</f>
        <v>画家シリーズ超級</v>
      </c>
      <c r="E44" s="86">
        <v>2</v>
      </c>
      <c r="F44" s="82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4" s="82" t="str">
        <f ca="1">VLOOKUP($B44&amp;"_"&amp;$E44,OFFSET([2]stages!$A$1,0,0,COUNTA([2]stages!$A:$A),MATCH(G$1,[2]stages!$2:$2,0)-MATCH("temp_stage",[2]stages!$2:$2,0)+1),MATCH(G$1,[2]stages!$2:$2,0)-MATCH("temp_stage",[2]stages!$2:$2,0)+1,FALSE)</f>
        <v>画家シリーズ超級</v>
      </c>
      <c r="H44" s="84">
        <v>0</v>
      </c>
      <c r="I44" s="95">
        <v>15</v>
      </c>
      <c r="J44" s="83" t="s">
        <v>198</v>
      </c>
      <c r="K44" s="92" t="str">
        <f>VLOOKUP(I44,[6]stage_hints!$A:$C,3,FALSE)</f>
        <v>覚醒素材を獲得</v>
      </c>
      <c r="L44" s="93" t="str">
        <f>VLOOKUP(I44,[6]stage_hints!$A:$D,4,FALSE)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0" t="s">
        <v>201</v>
      </c>
      <c r="B45" s="81">
        <f>floors!$C$2</f>
        <v>30041</v>
      </c>
      <c r="C45" s="82" t="str">
        <f ca="1">VLOOKUP($B45,OFFSET([2]quests!$A$1,0,0,COUNTA([2]quests!$A:$A),MATCH(C$1,[2]quests!$1:$1,0)-MATCH($B$1,[2]quests!$1:$1,0)+1),MATCH(C$1,[2]quests!$1:$1,0)-MATCH($B$1,[2]quests!$1:$1,0)+1,FALSE)</f>
        <v>パラノイア・アート</v>
      </c>
      <c r="D45" s="82" t="str">
        <f ca="1">VLOOKUP($B45,OFFSET([2]quests!$A$1,0,0,COUNTA([2]quests!$A:$A),MATCH(D$1,[2]quests!$1:$1,0)-MATCH($B$1,[2]quests!$1:$1,0)+1),MATCH(D$1,[2]quests!$1:$1,0)-MATCH($B$1,[2]quests!$1:$1,0)+1,FALSE)</f>
        <v>画家シリーズ超級</v>
      </c>
      <c r="E45" s="86">
        <v>2</v>
      </c>
      <c r="F45" s="82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5" s="82" t="str">
        <f ca="1">VLOOKUP($B45&amp;"_"&amp;$E45,OFFSET([2]stages!$A$1,0,0,COUNTA([2]stages!$A:$A),MATCH(G$1,[2]stages!$2:$2,0)-MATCH("temp_stage",[2]stages!$2:$2,0)+1),MATCH(G$1,[2]stages!$2:$2,0)-MATCH("temp_stage",[2]stages!$2:$2,0)+1,FALSE)</f>
        <v>画家シリーズ超級</v>
      </c>
      <c r="H45" s="84">
        <v>0</v>
      </c>
      <c r="I45" s="95">
        <v>16</v>
      </c>
      <c r="J45" s="83" t="s">
        <v>198</v>
      </c>
      <c r="K45" s="92" t="str">
        <f>VLOOKUP(I45,[6]stage_hints!$A:$C,3,FALSE)</f>
        <v>マルチプレイのメリット（その1）</v>
      </c>
      <c r="L45" s="93" t="str">
        <f>VLOOKUP(I45,[6]stage_hints!$A:$D,4,FALSE)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0" t="s">
        <v>201</v>
      </c>
      <c r="B46" s="81">
        <f>floors!$C$2</f>
        <v>30041</v>
      </c>
      <c r="C46" s="82" t="str">
        <f ca="1">VLOOKUP($B46,OFFSET([2]quests!$A$1,0,0,COUNTA([2]quests!$A:$A),MATCH(C$1,[2]quests!$1:$1,0)-MATCH($B$1,[2]quests!$1:$1,0)+1),MATCH(C$1,[2]quests!$1:$1,0)-MATCH($B$1,[2]quests!$1:$1,0)+1,FALSE)</f>
        <v>パラノイア・アート</v>
      </c>
      <c r="D46" s="82" t="str">
        <f ca="1">VLOOKUP($B46,OFFSET([2]quests!$A$1,0,0,COUNTA([2]quests!$A:$A),MATCH(D$1,[2]quests!$1:$1,0)-MATCH($B$1,[2]quests!$1:$1,0)+1),MATCH(D$1,[2]quests!$1:$1,0)-MATCH($B$1,[2]quests!$1:$1,0)+1,FALSE)</f>
        <v>画家シリーズ超級</v>
      </c>
      <c r="E46" s="86">
        <v>2</v>
      </c>
      <c r="F46" s="82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6" s="82" t="str">
        <f ca="1">VLOOKUP($B46&amp;"_"&amp;$E46,OFFSET([2]stages!$A$1,0,0,COUNTA([2]stages!$A:$A),MATCH(G$1,[2]stages!$2:$2,0)-MATCH("temp_stage",[2]stages!$2:$2,0)+1),MATCH(G$1,[2]stages!$2:$2,0)-MATCH("temp_stage",[2]stages!$2:$2,0)+1,FALSE)</f>
        <v>画家シリーズ超級</v>
      </c>
      <c r="H46" s="84">
        <v>0</v>
      </c>
      <c r="I46" s="95">
        <v>17</v>
      </c>
      <c r="J46" s="83" t="s">
        <v>198</v>
      </c>
      <c r="K46" s="92" t="str">
        <f>VLOOKUP(I46,[6]stage_hints!$A:$C,3,FALSE)</f>
        <v>リンクガチャ</v>
      </c>
      <c r="L46" s="93" t="str">
        <f>VLOOKUP(I46,[6]stage_hints!$A:$D,4,FALSE)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0" t="s">
        <v>201</v>
      </c>
      <c r="B47" s="81">
        <f>floors!$C$2</f>
        <v>30041</v>
      </c>
      <c r="C47" s="82" t="str">
        <f ca="1">VLOOKUP($B47,OFFSET([2]quests!$A$1,0,0,COUNTA([2]quests!$A:$A),MATCH(C$1,[2]quests!$1:$1,0)-MATCH($B$1,[2]quests!$1:$1,0)+1),MATCH(C$1,[2]quests!$1:$1,0)-MATCH($B$1,[2]quests!$1:$1,0)+1,FALSE)</f>
        <v>パラノイア・アート</v>
      </c>
      <c r="D47" s="82" t="str">
        <f ca="1">VLOOKUP($B47,OFFSET([2]quests!$A$1,0,0,COUNTA([2]quests!$A:$A),MATCH(D$1,[2]quests!$1:$1,0)-MATCH($B$1,[2]quests!$1:$1,0)+1),MATCH(D$1,[2]quests!$1:$1,0)-MATCH($B$1,[2]quests!$1:$1,0)+1,FALSE)</f>
        <v>画家シリーズ超級</v>
      </c>
      <c r="E47" s="86">
        <v>2</v>
      </c>
      <c r="F47" s="82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7" s="82" t="str">
        <f ca="1">VLOOKUP($B47&amp;"_"&amp;$E47,OFFSET([2]stages!$A$1,0,0,COUNTA([2]stages!$A:$A),MATCH(G$1,[2]stages!$2:$2,0)-MATCH("temp_stage",[2]stages!$2:$2,0)+1),MATCH(G$1,[2]stages!$2:$2,0)-MATCH("temp_stage",[2]stages!$2:$2,0)+1,FALSE)</f>
        <v>画家シリーズ超級</v>
      </c>
      <c r="H47" s="84">
        <v>0</v>
      </c>
      <c r="I47" s="95">
        <v>18</v>
      </c>
      <c r="J47" s="83" t="s">
        <v>198</v>
      </c>
      <c r="K47" s="92" t="str">
        <f>VLOOKUP(I47,[6]stage_hints!$A:$C,3,FALSE)</f>
        <v>マルチプレイのメリット（その2）</v>
      </c>
      <c r="L47" s="93" t="str">
        <f>VLOOKUP(I47,[6]stage_hints!$A:$D,4,FALSE)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0" t="s">
        <v>201</v>
      </c>
      <c r="B48" s="81">
        <f>floors!$C$2</f>
        <v>30041</v>
      </c>
      <c r="C48" s="82" t="str">
        <f ca="1">VLOOKUP($B48,OFFSET([2]quests!$A$1,0,0,COUNTA([2]quests!$A:$A),MATCH(C$1,[2]quests!$1:$1,0)-MATCH($B$1,[2]quests!$1:$1,0)+1),MATCH(C$1,[2]quests!$1:$1,0)-MATCH($B$1,[2]quests!$1:$1,0)+1,FALSE)</f>
        <v>パラノイア・アート</v>
      </c>
      <c r="D48" s="82" t="str">
        <f ca="1">VLOOKUP($B48,OFFSET([2]quests!$A$1,0,0,COUNTA([2]quests!$A:$A),MATCH(D$1,[2]quests!$1:$1,0)-MATCH($B$1,[2]quests!$1:$1,0)+1),MATCH(D$1,[2]quests!$1:$1,0)-MATCH($B$1,[2]quests!$1:$1,0)+1,FALSE)</f>
        <v>画家シリーズ超級</v>
      </c>
      <c r="E48" s="86">
        <v>2</v>
      </c>
      <c r="F48" s="82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8" s="82" t="str">
        <f ca="1">VLOOKUP($B48&amp;"_"&amp;$E48,OFFSET([2]stages!$A$1,0,0,COUNTA([2]stages!$A:$A),MATCH(G$1,[2]stages!$2:$2,0)-MATCH("temp_stage",[2]stages!$2:$2,0)+1),MATCH(G$1,[2]stages!$2:$2,0)-MATCH("temp_stage",[2]stages!$2:$2,0)+1,FALSE)</f>
        <v>画家シリーズ超級</v>
      </c>
      <c r="H48" s="84">
        <v>0</v>
      </c>
      <c r="I48" s="95">
        <v>19</v>
      </c>
      <c r="J48" s="83" t="s">
        <v>198</v>
      </c>
      <c r="K48" s="92" t="str">
        <f>VLOOKUP(I48,[6]stage_hints!$A:$C,3,FALSE)</f>
        <v>ソロ専用チャレンジタワー</v>
      </c>
      <c r="L48" s="93" t="str">
        <f>VLOOKUP(I48,[6]stage_hints!$A:$D,4,FALSE)</f>
        <v>ソロ専用の「チャレンジタワー」では_x000D_各フロアごとにクリア報酬がもらえます</v>
      </c>
      <c r="M48" s="57" t="s">
        <v>211</v>
      </c>
    </row>
    <row r="49" spans="1:13" x14ac:dyDescent="0.15">
      <c r="A49" s="80" t="s">
        <v>201</v>
      </c>
      <c r="B49" s="81">
        <f>floors!$C$2</f>
        <v>30041</v>
      </c>
      <c r="C49" s="82" t="str">
        <f ca="1">VLOOKUP($B49,OFFSET([2]quests!$A$1,0,0,COUNTA([2]quests!$A:$A),MATCH(C$1,[2]quests!$1:$1,0)-MATCH($B$1,[2]quests!$1:$1,0)+1),MATCH(C$1,[2]quests!$1:$1,0)-MATCH($B$1,[2]quests!$1:$1,0)+1,FALSE)</f>
        <v>パラノイア・アート</v>
      </c>
      <c r="D49" s="82" t="str">
        <f ca="1">VLOOKUP($B49,OFFSET([2]quests!$A$1,0,0,COUNTA([2]quests!$A:$A),MATCH(D$1,[2]quests!$1:$1,0)-MATCH($B$1,[2]quests!$1:$1,0)+1),MATCH(D$1,[2]quests!$1:$1,0)-MATCH($B$1,[2]quests!$1:$1,0)+1,FALSE)</f>
        <v>画家シリーズ超級</v>
      </c>
      <c r="E49" s="86">
        <v>2</v>
      </c>
      <c r="F49" s="82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49" s="82" t="str">
        <f ca="1">VLOOKUP($B49&amp;"_"&amp;$E49,OFFSET([2]stages!$A$1,0,0,COUNTA([2]stages!$A:$A),MATCH(G$1,[2]stages!$2:$2,0)-MATCH("temp_stage",[2]stages!$2:$2,0)+1),MATCH(G$1,[2]stages!$2:$2,0)-MATCH("temp_stage",[2]stages!$2:$2,0)+1,FALSE)</f>
        <v>画家シリーズ超級</v>
      </c>
      <c r="H49" s="84">
        <v>0</v>
      </c>
      <c r="I49" s="95">
        <v>20</v>
      </c>
      <c r="J49" s="83" t="s">
        <v>198</v>
      </c>
      <c r="K49" s="92" t="str">
        <f>VLOOKUP(I49,[6]stage_hints!$A:$C,3,FALSE)</f>
        <v>マルチプレイのメリット（その3）</v>
      </c>
      <c r="L49" s="93" t="str">
        <f>VLOOKUP(I49,[6]stage_hints!$A:$D,4,FALSE)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0" t="s">
        <v>201</v>
      </c>
      <c r="B50" s="81">
        <f>floors!$C$2</f>
        <v>30041</v>
      </c>
      <c r="C50" s="82" t="str">
        <f ca="1">VLOOKUP($B50,OFFSET([2]quests!$A$1,0,0,COUNTA([2]quests!$A:$A),MATCH(C$1,[2]quests!$1:$1,0)-MATCH($B$1,[2]quests!$1:$1,0)+1),MATCH(C$1,[2]quests!$1:$1,0)-MATCH($B$1,[2]quests!$1:$1,0)+1,FALSE)</f>
        <v>パラノイア・アート</v>
      </c>
      <c r="D50" s="82" t="str">
        <f ca="1">VLOOKUP($B50,OFFSET([2]quests!$A$1,0,0,COUNTA([2]quests!$A:$A),MATCH(D$1,[2]quests!$1:$1,0)-MATCH($B$1,[2]quests!$1:$1,0)+1),MATCH(D$1,[2]quests!$1:$1,0)-MATCH($B$1,[2]quests!$1:$1,0)+1,FALSE)</f>
        <v>画家シリーズ超級</v>
      </c>
      <c r="E50" s="86">
        <v>2</v>
      </c>
      <c r="F50" s="82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0" s="82" t="str">
        <f ca="1">VLOOKUP($B50&amp;"_"&amp;$E50,OFFSET([2]stages!$A$1,0,0,COUNTA([2]stages!$A:$A),MATCH(G$1,[2]stages!$2:$2,0)-MATCH("temp_stage",[2]stages!$2:$2,0)+1),MATCH(G$1,[2]stages!$2:$2,0)-MATCH("temp_stage",[2]stages!$2:$2,0)+1,FALSE)</f>
        <v>画家シリーズ超級</v>
      </c>
      <c r="H50" s="84">
        <v>0</v>
      </c>
      <c r="I50" s="95">
        <v>21</v>
      </c>
      <c r="J50" s="83" t="s">
        <v>198</v>
      </c>
      <c r="K50" s="92" t="str">
        <f>VLOOKUP(I50,[6]stage_hints!$A:$C,3,FALSE)</f>
        <v>スキルを有効に</v>
      </c>
      <c r="L50" s="93" t="str">
        <f>VLOOKUP(I50,[6]stage_hints!$A:$D,4,FALSE)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0" t="s">
        <v>201</v>
      </c>
      <c r="B51" s="81">
        <f>floors!$C$2</f>
        <v>30041</v>
      </c>
      <c r="C51" s="82" t="str">
        <f ca="1">VLOOKUP($B51,OFFSET([2]quests!$A$1,0,0,COUNTA([2]quests!$A:$A),MATCH(C$1,[2]quests!$1:$1,0)-MATCH($B$1,[2]quests!$1:$1,0)+1),MATCH(C$1,[2]quests!$1:$1,0)-MATCH($B$1,[2]quests!$1:$1,0)+1,FALSE)</f>
        <v>パラノイア・アート</v>
      </c>
      <c r="D51" s="82" t="str">
        <f ca="1">VLOOKUP($B51,OFFSET([2]quests!$A$1,0,0,COUNTA([2]quests!$A:$A),MATCH(D$1,[2]quests!$1:$1,0)-MATCH($B$1,[2]quests!$1:$1,0)+1),MATCH(D$1,[2]quests!$1:$1,0)-MATCH($B$1,[2]quests!$1:$1,0)+1,FALSE)</f>
        <v>画家シリーズ超級</v>
      </c>
      <c r="E51" s="86">
        <v>2</v>
      </c>
      <c r="F51" s="82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1" s="82" t="str">
        <f ca="1">VLOOKUP($B51&amp;"_"&amp;$E51,OFFSET([2]stages!$A$1,0,0,COUNTA([2]stages!$A:$A),MATCH(G$1,[2]stages!$2:$2,0)-MATCH("temp_stage",[2]stages!$2:$2,0)+1),MATCH(G$1,[2]stages!$2:$2,0)-MATCH("temp_stage",[2]stages!$2:$2,0)+1,FALSE)</f>
        <v>画家シリーズ超級</v>
      </c>
      <c r="H51" s="84">
        <v>0</v>
      </c>
      <c r="I51" s="95">
        <v>22</v>
      </c>
      <c r="J51" s="83" t="s">
        <v>198</v>
      </c>
      <c r="K51" s="92" t="str">
        <f>VLOOKUP(I51,[6]stage_hints!$A:$C,3,FALSE)</f>
        <v>フィーバーで一発逆転（その1）</v>
      </c>
      <c r="L51" s="93" t="str">
        <f>VLOOKUP(I51,[6]stage_hints!$A:$D,4,FALSE)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0" t="s">
        <v>201</v>
      </c>
      <c r="B52" s="81">
        <f>floors!$C$2</f>
        <v>30041</v>
      </c>
      <c r="C52" s="82" t="str">
        <f ca="1">VLOOKUP($B52,OFFSET([2]quests!$A$1,0,0,COUNTA([2]quests!$A:$A),MATCH(C$1,[2]quests!$1:$1,0)-MATCH($B$1,[2]quests!$1:$1,0)+1),MATCH(C$1,[2]quests!$1:$1,0)-MATCH($B$1,[2]quests!$1:$1,0)+1,FALSE)</f>
        <v>パラノイア・アート</v>
      </c>
      <c r="D52" s="82" t="str">
        <f ca="1">VLOOKUP($B52,OFFSET([2]quests!$A$1,0,0,COUNTA([2]quests!$A:$A),MATCH(D$1,[2]quests!$1:$1,0)-MATCH($B$1,[2]quests!$1:$1,0)+1),MATCH(D$1,[2]quests!$1:$1,0)-MATCH($B$1,[2]quests!$1:$1,0)+1,FALSE)</f>
        <v>画家シリーズ超級</v>
      </c>
      <c r="E52" s="86">
        <v>2</v>
      </c>
      <c r="F52" s="82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2" s="82" t="str">
        <f ca="1">VLOOKUP($B52&amp;"_"&amp;$E52,OFFSET([2]stages!$A$1,0,0,COUNTA([2]stages!$A:$A),MATCH(G$1,[2]stages!$2:$2,0)-MATCH("temp_stage",[2]stages!$2:$2,0)+1),MATCH(G$1,[2]stages!$2:$2,0)-MATCH("temp_stage",[2]stages!$2:$2,0)+1,FALSE)</f>
        <v>画家シリーズ超級</v>
      </c>
      <c r="H52" s="84">
        <v>0</v>
      </c>
      <c r="I52" s="95">
        <v>23</v>
      </c>
      <c r="J52" s="83" t="s">
        <v>198</v>
      </c>
      <c r="K52" s="92" t="str">
        <f>VLOOKUP(I52,[6]stage_hints!$A:$C,3,FALSE)</f>
        <v>フィーバーで一発逆転（その2）</v>
      </c>
      <c r="L52" s="93" t="str">
        <f>VLOOKUP(I52,[6]stage_hints!$A:$D,4,FALSE)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0" t="s">
        <v>201</v>
      </c>
      <c r="B53" s="81">
        <f>floors!$C$2</f>
        <v>30041</v>
      </c>
      <c r="C53" s="82" t="str">
        <f ca="1">VLOOKUP($B53,OFFSET([2]quests!$A$1,0,0,COUNTA([2]quests!$A:$A),MATCH(C$1,[2]quests!$1:$1,0)-MATCH($B$1,[2]quests!$1:$1,0)+1),MATCH(C$1,[2]quests!$1:$1,0)-MATCH($B$1,[2]quests!$1:$1,0)+1,FALSE)</f>
        <v>パラノイア・アート</v>
      </c>
      <c r="D53" s="82" t="str">
        <f ca="1">VLOOKUP($B53,OFFSET([2]quests!$A$1,0,0,COUNTA([2]quests!$A:$A),MATCH(D$1,[2]quests!$1:$1,0)-MATCH($B$1,[2]quests!$1:$1,0)+1),MATCH(D$1,[2]quests!$1:$1,0)-MATCH($B$1,[2]quests!$1:$1,0)+1,FALSE)</f>
        <v>画家シリーズ超級</v>
      </c>
      <c r="E53" s="86">
        <v>2</v>
      </c>
      <c r="F53" s="82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3" s="82" t="str">
        <f ca="1">VLOOKUP($B53&amp;"_"&amp;$E53,OFFSET([2]stages!$A$1,0,0,COUNTA([2]stages!$A:$A),MATCH(G$1,[2]stages!$2:$2,0)-MATCH("temp_stage",[2]stages!$2:$2,0)+1),MATCH(G$1,[2]stages!$2:$2,0)-MATCH("temp_stage",[2]stages!$2:$2,0)+1,FALSE)</f>
        <v>画家シリーズ超級</v>
      </c>
      <c r="H53" s="84">
        <v>0</v>
      </c>
      <c r="I53" s="95">
        <v>24</v>
      </c>
      <c r="J53" s="83" t="s">
        <v>198</v>
      </c>
      <c r="K53" s="92" t="str">
        <f>VLOOKUP(I53,[6]stage_hints!$A:$C,3,FALSE)</f>
        <v>りんごを使って限界突破</v>
      </c>
      <c r="L53" s="93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7" t="s">
        <v>211</v>
      </c>
    </row>
    <row r="54" spans="1:13" x14ac:dyDescent="0.15">
      <c r="A54" s="80" t="s">
        <v>201</v>
      </c>
      <c r="B54" s="81">
        <f>floors!$C$2</f>
        <v>30041</v>
      </c>
      <c r="C54" s="82" t="str">
        <f ca="1">VLOOKUP($B54,OFFSET([2]quests!$A$1,0,0,COUNTA([2]quests!$A:$A),MATCH(C$1,[2]quests!$1:$1,0)-MATCH($B$1,[2]quests!$1:$1,0)+1),MATCH(C$1,[2]quests!$1:$1,0)-MATCH($B$1,[2]quests!$1:$1,0)+1,FALSE)</f>
        <v>パラノイア・アート</v>
      </c>
      <c r="D54" s="82" t="str">
        <f ca="1">VLOOKUP($B54,OFFSET([2]quests!$A$1,0,0,COUNTA([2]quests!$A:$A),MATCH(D$1,[2]quests!$1:$1,0)-MATCH($B$1,[2]quests!$1:$1,0)+1),MATCH(D$1,[2]quests!$1:$1,0)-MATCH($B$1,[2]quests!$1:$1,0)+1,FALSE)</f>
        <v>画家シリーズ超級</v>
      </c>
      <c r="E54" s="86">
        <v>2</v>
      </c>
      <c r="F54" s="82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4" s="82" t="str">
        <f ca="1">VLOOKUP($B54&amp;"_"&amp;$E54,OFFSET([2]stages!$A$1,0,0,COUNTA([2]stages!$A:$A),MATCH(G$1,[2]stages!$2:$2,0)-MATCH("temp_stage",[2]stages!$2:$2,0)+1),MATCH(G$1,[2]stages!$2:$2,0)-MATCH("temp_stage",[2]stages!$2:$2,0)+1,FALSE)</f>
        <v>画家シリーズ超級</v>
      </c>
      <c r="H54" s="84">
        <v>0</v>
      </c>
      <c r="I54" s="95">
        <v>25</v>
      </c>
      <c r="J54" s="83" t="s">
        <v>198</v>
      </c>
      <c r="K54" s="92" t="str">
        <f>VLOOKUP(I54,[6]stage_hints!$A:$C,3,FALSE)</f>
        <v>スキルレベルアップ</v>
      </c>
      <c r="L54" s="93" t="str">
        <f>VLOOKUP(I54,[6]stage_hints!$A:$D,4,FALSE)</f>
        <v>「クリスタルのりんご」を強化に使うと_x000D_スキルレベルを上げることができます</v>
      </c>
      <c r="M54" s="57" t="s">
        <v>211</v>
      </c>
    </row>
    <row r="55" spans="1:13" x14ac:dyDescent="0.15">
      <c r="A55" s="80" t="s">
        <v>201</v>
      </c>
      <c r="B55" s="81">
        <f>floors!$C$2</f>
        <v>30041</v>
      </c>
      <c r="C55" s="82" t="str">
        <f ca="1">VLOOKUP($B55,OFFSET([2]quests!$A$1,0,0,COUNTA([2]quests!$A:$A),MATCH(C$1,[2]quests!$1:$1,0)-MATCH($B$1,[2]quests!$1:$1,0)+1),MATCH(C$1,[2]quests!$1:$1,0)-MATCH($B$1,[2]quests!$1:$1,0)+1,FALSE)</f>
        <v>パラノイア・アート</v>
      </c>
      <c r="D55" s="82" t="str">
        <f ca="1">VLOOKUP($B55,OFFSET([2]quests!$A$1,0,0,COUNTA([2]quests!$A:$A),MATCH(D$1,[2]quests!$1:$1,0)-MATCH($B$1,[2]quests!$1:$1,0)+1),MATCH(D$1,[2]quests!$1:$1,0)-MATCH($B$1,[2]quests!$1:$1,0)+1,FALSE)</f>
        <v>画家シリーズ超級</v>
      </c>
      <c r="E55" s="86">
        <v>2</v>
      </c>
      <c r="F55" s="82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5" s="82" t="str">
        <f ca="1">VLOOKUP($B55&amp;"_"&amp;$E55,OFFSET([2]stages!$A$1,0,0,COUNTA([2]stages!$A:$A),MATCH(G$1,[2]stages!$2:$2,0)-MATCH("temp_stage",[2]stages!$2:$2,0)+1),MATCH(G$1,[2]stages!$2:$2,0)-MATCH("temp_stage",[2]stages!$2:$2,0)+1,FALSE)</f>
        <v>画家シリーズ超級</v>
      </c>
      <c r="H55" s="84">
        <v>0</v>
      </c>
      <c r="I55" s="95">
        <v>26</v>
      </c>
      <c r="J55" s="83" t="s">
        <v>198</v>
      </c>
      <c r="K55" s="92" t="str">
        <f>VLOOKUP(I55,[6]stage_hints!$A:$C,3,FALSE)</f>
        <v>スキルレベルの効果</v>
      </c>
      <c r="L55" s="93" t="str">
        <f>VLOOKUP(I55,[6]stage_hints!$A:$D,4,FALSE)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0" t="s">
        <v>201</v>
      </c>
      <c r="B56" s="81">
        <f>floors!$C$2</f>
        <v>30041</v>
      </c>
      <c r="C56" s="82" t="str">
        <f ca="1">VLOOKUP($B56,OFFSET([2]quests!$A$1,0,0,COUNTA([2]quests!$A:$A),MATCH(C$1,[2]quests!$1:$1,0)-MATCH($B$1,[2]quests!$1:$1,0)+1),MATCH(C$1,[2]quests!$1:$1,0)-MATCH($B$1,[2]quests!$1:$1,0)+1,FALSE)</f>
        <v>パラノイア・アート</v>
      </c>
      <c r="D56" s="82" t="str">
        <f ca="1">VLOOKUP($B56,OFFSET([2]quests!$A$1,0,0,COUNTA([2]quests!$A:$A),MATCH(D$1,[2]quests!$1:$1,0)-MATCH($B$1,[2]quests!$1:$1,0)+1),MATCH(D$1,[2]quests!$1:$1,0)-MATCH($B$1,[2]quests!$1:$1,0)+1,FALSE)</f>
        <v>画家シリーズ超級</v>
      </c>
      <c r="E56" s="86">
        <v>2</v>
      </c>
      <c r="F56" s="82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6" s="82" t="str">
        <f ca="1">VLOOKUP($B56&amp;"_"&amp;$E56,OFFSET([2]stages!$A$1,0,0,COUNTA([2]stages!$A:$A),MATCH(G$1,[2]stages!$2:$2,0)-MATCH("temp_stage",[2]stages!$2:$2,0)+1),MATCH(G$1,[2]stages!$2:$2,0)-MATCH("temp_stage",[2]stages!$2:$2,0)+1,FALSE)</f>
        <v>画家シリーズ超級</v>
      </c>
      <c r="H56" s="84">
        <v>0</v>
      </c>
      <c r="I56" s="95">
        <v>27</v>
      </c>
      <c r="J56" s="83" t="s">
        <v>198</v>
      </c>
      <c r="K56" s="92" t="str">
        <f>VLOOKUP(I56,[6]stage_hints!$A:$C,3,FALSE)</f>
        <v>ホーム画面からデッキを編成</v>
      </c>
      <c r="L56" s="93" t="str">
        <f>VLOOKUP(I56,[6]stage_hints!$A:$D,4,FALSE)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0" t="s">
        <v>201</v>
      </c>
      <c r="B57" s="81">
        <f>floors!$C$2</f>
        <v>30041</v>
      </c>
      <c r="C57" s="82" t="str">
        <f ca="1">VLOOKUP($B57,OFFSET([2]quests!$A$1,0,0,COUNTA([2]quests!$A:$A),MATCH(C$1,[2]quests!$1:$1,0)-MATCH($B$1,[2]quests!$1:$1,0)+1),MATCH(C$1,[2]quests!$1:$1,0)-MATCH($B$1,[2]quests!$1:$1,0)+1,FALSE)</f>
        <v>パラノイア・アート</v>
      </c>
      <c r="D57" s="82" t="str">
        <f ca="1">VLOOKUP($B57,OFFSET([2]quests!$A$1,0,0,COUNTA([2]quests!$A:$A),MATCH(D$1,[2]quests!$1:$1,0)-MATCH($B$1,[2]quests!$1:$1,0)+1),MATCH(D$1,[2]quests!$1:$1,0)-MATCH($B$1,[2]quests!$1:$1,0)+1,FALSE)</f>
        <v>画家シリーズ超級</v>
      </c>
      <c r="E57" s="86">
        <v>2</v>
      </c>
      <c r="F57" s="82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7" s="82" t="str">
        <f ca="1">VLOOKUP($B57&amp;"_"&amp;$E57,OFFSET([2]stages!$A$1,0,0,COUNTA([2]stages!$A:$A),MATCH(G$1,[2]stages!$2:$2,0)-MATCH("temp_stage",[2]stages!$2:$2,0)+1),MATCH(G$1,[2]stages!$2:$2,0)-MATCH("temp_stage",[2]stages!$2:$2,0)+1,FALSE)</f>
        <v>画家シリーズ超級</v>
      </c>
      <c r="H57" s="84">
        <v>0</v>
      </c>
      <c r="I57" s="95">
        <v>28</v>
      </c>
      <c r="J57" s="83" t="s">
        <v>198</v>
      </c>
      <c r="K57" s="92" t="str">
        <f>VLOOKUP(I57,[6]stage_hints!$A:$C,3,FALSE)</f>
        <v>ステータス情報は長押しで</v>
      </c>
      <c r="L57" s="93" t="str">
        <f>VLOOKUP(I57,[6]stage_hints!$A:$D,4,FALSE)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0" t="s">
        <v>201</v>
      </c>
      <c r="B58" s="81">
        <f>floors!$C$2</f>
        <v>30041</v>
      </c>
      <c r="C58" s="82" t="str">
        <f ca="1">VLOOKUP($B58,OFFSET([2]quests!$A$1,0,0,COUNTA([2]quests!$A:$A),MATCH(C$1,[2]quests!$1:$1,0)-MATCH($B$1,[2]quests!$1:$1,0)+1),MATCH(C$1,[2]quests!$1:$1,0)-MATCH($B$1,[2]quests!$1:$1,0)+1,FALSE)</f>
        <v>パラノイア・アート</v>
      </c>
      <c r="D58" s="82" t="str">
        <f ca="1">VLOOKUP($B58,OFFSET([2]quests!$A$1,0,0,COUNTA([2]quests!$A:$A),MATCH(D$1,[2]quests!$1:$1,0)-MATCH($B$1,[2]quests!$1:$1,0)+1),MATCH(D$1,[2]quests!$1:$1,0)-MATCH($B$1,[2]quests!$1:$1,0)+1,FALSE)</f>
        <v>画家シリーズ超級</v>
      </c>
      <c r="E58" s="86">
        <v>2</v>
      </c>
      <c r="F58" s="82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8" s="82" t="str">
        <f ca="1">VLOOKUP($B58&amp;"_"&amp;$E58,OFFSET([2]stages!$A$1,0,0,COUNTA([2]stages!$A:$A),MATCH(G$1,[2]stages!$2:$2,0)-MATCH("temp_stage",[2]stages!$2:$2,0)+1),MATCH(G$1,[2]stages!$2:$2,0)-MATCH("temp_stage",[2]stages!$2:$2,0)+1,FALSE)</f>
        <v>画家シリーズ超級</v>
      </c>
      <c r="H58" s="84">
        <v>0</v>
      </c>
      <c r="I58" s="95">
        <v>29</v>
      </c>
      <c r="J58" s="83" t="s">
        <v>198</v>
      </c>
      <c r="K58" s="92" t="str">
        <f>VLOOKUP(I58,[6]stage_hints!$A:$C,3,FALSE)</f>
        <v>「バグ」のメリット</v>
      </c>
      <c r="L58" s="93" t="str">
        <f>VLOOKUP(I58,[6]stage_hints!$A:$D,4,FALSE)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0" t="s">
        <v>201</v>
      </c>
      <c r="B59" s="81">
        <f>floors!$C$2</f>
        <v>30041</v>
      </c>
      <c r="C59" s="82" t="str">
        <f ca="1">VLOOKUP($B59,OFFSET([2]quests!$A$1,0,0,COUNTA([2]quests!$A:$A),MATCH(C$1,[2]quests!$1:$1,0)-MATCH($B$1,[2]quests!$1:$1,0)+1),MATCH(C$1,[2]quests!$1:$1,0)-MATCH($B$1,[2]quests!$1:$1,0)+1,FALSE)</f>
        <v>パラノイア・アート</v>
      </c>
      <c r="D59" s="82" t="str">
        <f ca="1">VLOOKUP($B59,OFFSET([2]quests!$A$1,0,0,COUNTA([2]quests!$A:$A),MATCH(D$1,[2]quests!$1:$1,0)-MATCH($B$1,[2]quests!$1:$1,0)+1),MATCH(D$1,[2]quests!$1:$1,0)-MATCH($B$1,[2]quests!$1:$1,0)+1,FALSE)</f>
        <v>画家シリーズ超級</v>
      </c>
      <c r="E59" s="86">
        <v>2</v>
      </c>
      <c r="F59" s="82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59" s="82" t="str">
        <f ca="1">VLOOKUP($B59&amp;"_"&amp;$E59,OFFSET([2]stages!$A$1,0,0,COUNTA([2]stages!$A:$A),MATCH(G$1,[2]stages!$2:$2,0)-MATCH("temp_stage",[2]stages!$2:$2,0)+1),MATCH(G$1,[2]stages!$2:$2,0)-MATCH("temp_stage",[2]stages!$2:$2,0)+1,FALSE)</f>
        <v>画家シリーズ超級</v>
      </c>
      <c r="H59" s="84">
        <v>0</v>
      </c>
      <c r="I59" s="95">
        <v>30</v>
      </c>
      <c r="J59" s="83" t="s">
        <v>198</v>
      </c>
      <c r="K59" s="92" t="str">
        <f>VLOOKUP(I59,[6]stage_hints!$A:$C,3,FALSE)</f>
        <v>「バグ」の増やし方</v>
      </c>
      <c r="L59" s="93" t="str">
        <f>VLOOKUP(I59,[6]stage_hints!$A:$D,4,FALSE)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0" t="s">
        <v>201</v>
      </c>
      <c r="B60" s="81">
        <f>floors!$C$2</f>
        <v>30041</v>
      </c>
      <c r="C60" s="82" t="str">
        <f ca="1">VLOOKUP($B60,OFFSET([2]quests!$A$1,0,0,COUNTA([2]quests!$A:$A),MATCH(C$1,[2]quests!$1:$1,0)-MATCH($B$1,[2]quests!$1:$1,0)+1),MATCH(C$1,[2]quests!$1:$1,0)-MATCH($B$1,[2]quests!$1:$1,0)+1,FALSE)</f>
        <v>パラノイア・アート</v>
      </c>
      <c r="D60" s="82" t="str">
        <f ca="1">VLOOKUP($B60,OFFSET([2]quests!$A$1,0,0,COUNTA([2]quests!$A:$A),MATCH(D$1,[2]quests!$1:$1,0)-MATCH($B$1,[2]quests!$1:$1,0)+1),MATCH(D$1,[2]quests!$1:$1,0)-MATCH($B$1,[2]quests!$1:$1,0)+1,FALSE)</f>
        <v>画家シリーズ超級</v>
      </c>
      <c r="E60" s="86">
        <v>2</v>
      </c>
      <c r="F60" s="8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0" s="82" t="str">
        <f ca="1">VLOOKUP($B60&amp;"_"&amp;$E60,OFFSET([2]stages!$A$1,0,0,COUNTA([2]stages!$A:$A),MATCH(G$1,[2]stages!$2:$2,0)-MATCH("temp_stage",[2]stages!$2:$2,0)+1),MATCH(G$1,[2]stages!$2:$2,0)-MATCH("temp_stage",[2]stages!$2:$2,0)+1,FALSE)</f>
        <v>画家シリーズ超級</v>
      </c>
      <c r="H60" s="84">
        <v>0</v>
      </c>
      <c r="I60" s="95">
        <v>31</v>
      </c>
      <c r="J60" s="83" t="s">
        <v>198</v>
      </c>
      <c r="K60" s="92" t="str">
        <f>VLOOKUP(I60,[6]stage_hints!$A:$C,3,FALSE)</f>
        <v>イベントはお知らせでチェック</v>
      </c>
      <c r="L60" s="93" t="str">
        <f>VLOOKUP(I60,[6]stage_hints!$A:$D,4,FALSE)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0" t="s">
        <v>201</v>
      </c>
      <c r="B61" s="81">
        <f>floors!$C$2</f>
        <v>30041</v>
      </c>
      <c r="C61" s="82" t="str">
        <f ca="1">VLOOKUP($B61,OFFSET([2]quests!$A$1,0,0,COUNTA([2]quests!$A:$A),MATCH(C$1,[2]quests!$1:$1,0)-MATCH($B$1,[2]quests!$1:$1,0)+1),MATCH(C$1,[2]quests!$1:$1,0)-MATCH($B$1,[2]quests!$1:$1,0)+1,FALSE)</f>
        <v>パラノイア・アート</v>
      </c>
      <c r="D61" s="82" t="str">
        <f ca="1">VLOOKUP($B61,OFFSET([2]quests!$A$1,0,0,COUNTA([2]quests!$A:$A),MATCH(D$1,[2]quests!$1:$1,0)-MATCH($B$1,[2]quests!$1:$1,0)+1),MATCH(D$1,[2]quests!$1:$1,0)-MATCH($B$1,[2]quests!$1:$1,0)+1,FALSE)</f>
        <v>画家シリーズ超級</v>
      </c>
      <c r="E61" s="86">
        <v>2</v>
      </c>
      <c r="F61" s="8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1" s="82" t="str">
        <f ca="1">VLOOKUP($B61&amp;"_"&amp;$E61,OFFSET([2]stages!$A$1,0,0,COUNTA([2]stages!$A:$A),MATCH(G$1,[2]stages!$2:$2,0)-MATCH("temp_stage",[2]stages!$2:$2,0)+1),MATCH(G$1,[2]stages!$2:$2,0)-MATCH("temp_stage",[2]stages!$2:$2,0)+1,FALSE)</f>
        <v>画家シリーズ超級</v>
      </c>
      <c r="H61" s="84">
        <v>0</v>
      </c>
      <c r="I61" s="95">
        <v>32</v>
      </c>
      <c r="J61" s="83" t="s">
        <v>198</v>
      </c>
      <c r="K61" s="92" t="str">
        <f>VLOOKUP(I61,[6]stage_hints!$A:$C,3,FALSE)</f>
        <v>敵の連続攻撃には</v>
      </c>
      <c r="L61" s="93" t="str">
        <f>VLOOKUP(I61,[6]stage_hints!$A:$D,4,FALSE)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0" t="s">
        <v>201</v>
      </c>
      <c r="B62" s="81">
        <f>floors!$C$2</f>
        <v>30041</v>
      </c>
      <c r="C62" s="82" t="str">
        <f ca="1">VLOOKUP($B62,OFFSET([2]quests!$A$1,0,0,COUNTA([2]quests!$A:$A),MATCH(C$1,[2]quests!$1:$1,0)-MATCH($B$1,[2]quests!$1:$1,0)+1),MATCH(C$1,[2]quests!$1:$1,0)-MATCH($B$1,[2]quests!$1:$1,0)+1,FALSE)</f>
        <v>パラノイア・アート</v>
      </c>
      <c r="D62" s="82" t="str">
        <f ca="1">VLOOKUP($B62,OFFSET([2]quests!$A$1,0,0,COUNTA([2]quests!$A:$A),MATCH(D$1,[2]quests!$1:$1,0)-MATCH($B$1,[2]quests!$1:$1,0)+1),MATCH(D$1,[2]quests!$1:$1,0)-MATCH($B$1,[2]quests!$1:$1,0)+1,FALSE)</f>
        <v>画家シリーズ超級</v>
      </c>
      <c r="E62" s="86">
        <v>2</v>
      </c>
      <c r="F62" s="8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2" s="82" t="str">
        <f ca="1">VLOOKUP($B62&amp;"_"&amp;$E62,OFFSET([2]stages!$A$1,0,0,COUNTA([2]stages!$A:$A),MATCH(G$1,[2]stages!$2:$2,0)-MATCH("temp_stage",[2]stages!$2:$2,0)+1),MATCH(G$1,[2]stages!$2:$2,0)-MATCH("temp_stage",[2]stages!$2:$2,0)+1,FALSE)</f>
        <v>画家シリーズ超級</v>
      </c>
      <c r="H62" s="84">
        <v>0</v>
      </c>
      <c r="I62" s="95">
        <v>33</v>
      </c>
      <c r="J62" s="83" t="s">
        <v>198</v>
      </c>
      <c r="K62" s="92" t="str">
        <f>VLOOKUP(I62,[6]stage_hints!$A:$C,3,FALSE)</f>
        <v>敵のカウンター攻撃には</v>
      </c>
      <c r="L62" s="93" t="str">
        <f>VLOOKUP(I62,[6]stage_hints!$A:$D,4,FALSE)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0" t="s">
        <v>201</v>
      </c>
      <c r="B63" s="81">
        <f>floors!$C$2</f>
        <v>30041</v>
      </c>
      <c r="C63" s="82" t="str">
        <f ca="1">VLOOKUP($B63,OFFSET([2]quests!$A$1,0,0,COUNTA([2]quests!$A:$A),MATCH(C$1,[2]quests!$1:$1,0)-MATCH($B$1,[2]quests!$1:$1,0)+1),MATCH(C$1,[2]quests!$1:$1,0)-MATCH($B$1,[2]quests!$1:$1,0)+1,FALSE)</f>
        <v>パラノイア・アート</v>
      </c>
      <c r="D63" s="82" t="str">
        <f ca="1">VLOOKUP($B63,OFFSET([2]quests!$A$1,0,0,COUNTA([2]quests!$A:$A),MATCH(D$1,[2]quests!$1:$1,0)-MATCH($B$1,[2]quests!$1:$1,0)+1),MATCH(D$1,[2]quests!$1:$1,0)-MATCH($B$1,[2]quests!$1:$1,0)+1,FALSE)</f>
        <v>画家シリーズ超級</v>
      </c>
      <c r="E63" s="86">
        <v>2</v>
      </c>
      <c r="F63" s="8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3" s="82" t="str">
        <f ca="1">VLOOKUP($B63&amp;"_"&amp;$E63,OFFSET([2]stages!$A$1,0,0,COUNTA([2]stages!$A:$A),MATCH(G$1,[2]stages!$2:$2,0)-MATCH("temp_stage",[2]stages!$2:$2,0)+1),MATCH(G$1,[2]stages!$2:$2,0)-MATCH("temp_stage",[2]stages!$2:$2,0)+1,FALSE)</f>
        <v>画家シリーズ超級</v>
      </c>
      <c r="H63" s="84">
        <v>0</v>
      </c>
      <c r="I63" s="95">
        <v>34</v>
      </c>
      <c r="J63" s="83" t="s">
        <v>198</v>
      </c>
      <c r="K63" s="92" t="str">
        <f>VLOOKUP(I63,[6]stage_hints!$A:$C,3,FALSE)</f>
        <v>ステータスをスキルで下げられたら</v>
      </c>
      <c r="L63" s="93" t="str">
        <f>VLOOKUP(I63,[6]stage_hints!$A:$D,4,FALSE)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0" t="s">
        <v>201</v>
      </c>
      <c r="B64" s="81">
        <f>floors!$C$2</f>
        <v>30041</v>
      </c>
      <c r="C64" s="82" t="str">
        <f ca="1">VLOOKUP($B64,OFFSET([2]quests!$A$1,0,0,COUNTA([2]quests!$A:$A),MATCH(C$1,[2]quests!$1:$1,0)-MATCH($B$1,[2]quests!$1:$1,0)+1),MATCH(C$1,[2]quests!$1:$1,0)-MATCH($B$1,[2]quests!$1:$1,0)+1,FALSE)</f>
        <v>パラノイア・アート</v>
      </c>
      <c r="D64" s="82" t="str">
        <f ca="1">VLOOKUP($B64,OFFSET([2]quests!$A$1,0,0,COUNTA([2]quests!$A:$A),MATCH(D$1,[2]quests!$1:$1,0)-MATCH($B$1,[2]quests!$1:$1,0)+1),MATCH(D$1,[2]quests!$1:$1,0)-MATCH($B$1,[2]quests!$1:$1,0)+1,FALSE)</f>
        <v>画家シリーズ超級</v>
      </c>
      <c r="E64" s="86">
        <v>2</v>
      </c>
      <c r="F64" s="8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4" s="82" t="str">
        <f ca="1">VLOOKUP($B64&amp;"_"&amp;$E64,OFFSET([2]stages!$A$1,0,0,COUNTA([2]stages!$A:$A),MATCH(G$1,[2]stages!$2:$2,0)-MATCH("temp_stage",[2]stages!$2:$2,0)+1),MATCH(G$1,[2]stages!$2:$2,0)-MATCH("temp_stage",[2]stages!$2:$2,0)+1,FALSE)</f>
        <v>画家シリーズ超級</v>
      </c>
      <c r="H64" s="84">
        <v>0</v>
      </c>
      <c r="I64" s="95">
        <v>35</v>
      </c>
      <c r="J64" s="83" t="s">
        <v>198</v>
      </c>
      <c r="K64" s="92" t="str">
        <f>VLOOKUP(I64,[6]stage_hints!$A:$C,3,FALSE)</f>
        <v>敵のステータスがスキルで上がったら</v>
      </c>
      <c r="L64" s="93" t="str">
        <f>VLOOKUP(I64,[6]stage_hints!$A:$D,4,FALSE)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0" t="s">
        <v>201</v>
      </c>
      <c r="B65" s="81">
        <f>floors!$C$2</f>
        <v>30041</v>
      </c>
      <c r="C65" s="82" t="str">
        <f ca="1">VLOOKUP($B65,OFFSET([2]quests!$A$1,0,0,COUNTA([2]quests!$A:$A),MATCH(C$1,[2]quests!$1:$1,0)-MATCH($B$1,[2]quests!$1:$1,0)+1),MATCH(C$1,[2]quests!$1:$1,0)-MATCH($B$1,[2]quests!$1:$1,0)+1,FALSE)</f>
        <v>パラノイア・アート</v>
      </c>
      <c r="D65" s="82" t="str">
        <f ca="1">VLOOKUP($B65,OFFSET([2]quests!$A$1,0,0,COUNTA([2]quests!$A:$A),MATCH(D$1,[2]quests!$1:$1,0)-MATCH($B$1,[2]quests!$1:$1,0)+1),MATCH(D$1,[2]quests!$1:$1,0)-MATCH($B$1,[2]quests!$1:$1,0)+1,FALSE)</f>
        <v>画家シリーズ超級</v>
      </c>
      <c r="E65" s="86">
        <v>2</v>
      </c>
      <c r="F65" s="8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5" s="82" t="str">
        <f ca="1">VLOOKUP($B65&amp;"_"&amp;$E65,OFFSET([2]stages!$A$1,0,0,COUNTA([2]stages!$A:$A),MATCH(G$1,[2]stages!$2:$2,0)-MATCH("temp_stage",[2]stages!$2:$2,0)+1),MATCH(G$1,[2]stages!$2:$2,0)-MATCH("temp_stage",[2]stages!$2:$2,0)+1,FALSE)</f>
        <v>画家シリーズ超級</v>
      </c>
      <c r="H65" s="84">
        <v>0</v>
      </c>
      <c r="I65" s="95">
        <v>36</v>
      </c>
      <c r="J65" s="83" t="s">
        <v>198</v>
      </c>
      <c r="K65" s="92" t="str">
        <f>VLOOKUP(I65,[6]stage_hints!$A:$C,3,FALSE)</f>
        <v>チャレンジタワーのボス</v>
      </c>
      <c r="L65" s="93" t="str">
        <f>VLOOKUP(I65,[6]stage_hints!$A:$D,4,FALSE)</f>
        <v>チャレンジタワーでのみ登場するボスは_x000D_一定確率で獲得することができます</v>
      </c>
      <c r="M65" s="57" t="s">
        <v>211</v>
      </c>
    </row>
    <row r="66" spans="1:13" x14ac:dyDescent="0.15">
      <c r="A66" s="80" t="s">
        <v>201</v>
      </c>
      <c r="B66" s="81">
        <f>floors!$C$2</f>
        <v>30041</v>
      </c>
      <c r="C66" s="82" t="str">
        <f ca="1">VLOOKUP($B66,OFFSET([2]quests!$A$1,0,0,COUNTA([2]quests!$A:$A),MATCH(C$1,[2]quests!$1:$1,0)-MATCH($B$1,[2]quests!$1:$1,0)+1),MATCH(C$1,[2]quests!$1:$1,0)-MATCH($B$1,[2]quests!$1:$1,0)+1,FALSE)</f>
        <v>パラノイア・アート</v>
      </c>
      <c r="D66" s="82" t="str">
        <f ca="1">VLOOKUP($B66,OFFSET([2]quests!$A$1,0,0,COUNTA([2]quests!$A:$A),MATCH(D$1,[2]quests!$1:$1,0)-MATCH($B$1,[2]quests!$1:$1,0)+1),MATCH(D$1,[2]quests!$1:$1,0)-MATCH($B$1,[2]quests!$1:$1,0)+1,FALSE)</f>
        <v>画家シリーズ超級</v>
      </c>
      <c r="E66" s="86">
        <v>2</v>
      </c>
      <c r="F66" s="8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6" s="82" t="str">
        <f ca="1">VLOOKUP($B66&amp;"_"&amp;$E66,OFFSET([2]stages!$A$1,0,0,COUNTA([2]stages!$A:$A),MATCH(G$1,[2]stages!$2:$2,0)-MATCH("temp_stage",[2]stages!$2:$2,0)+1),MATCH(G$1,[2]stages!$2:$2,0)-MATCH("temp_stage",[2]stages!$2:$2,0)+1,FALSE)</f>
        <v>画家シリーズ超級</v>
      </c>
      <c r="H66" s="84">
        <v>0</v>
      </c>
      <c r="I66" s="95">
        <v>37</v>
      </c>
      <c r="J66" s="83" t="s">
        <v>198</v>
      </c>
      <c r="K66" s="92" t="str">
        <f>VLOOKUP(I66,[6]stage_hints!$A:$C,3,FALSE)</f>
        <v>限界突破値の引き継ぎ</v>
      </c>
      <c r="L66" s="93" t="str">
        <f>VLOOKUP(I66,[6]stage_hints!$A:$D,4,FALSE)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0" t="s">
        <v>201</v>
      </c>
      <c r="B67" s="81">
        <f>floors!$C$2</f>
        <v>30041</v>
      </c>
      <c r="C67" s="82" t="str">
        <f ca="1">VLOOKUP($B67,OFFSET([2]quests!$A$1,0,0,COUNTA([2]quests!$A:$A),MATCH(C$1,[2]quests!$1:$1,0)-MATCH($B$1,[2]quests!$1:$1,0)+1),MATCH(C$1,[2]quests!$1:$1,0)-MATCH($B$1,[2]quests!$1:$1,0)+1,FALSE)</f>
        <v>パラノイア・アート</v>
      </c>
      <c r="D67" s="82" t="str">
        <f ca="1">VLOOKUP($B67,OFFSET([2]quests!$A$1,0,0,COUNTA([2]quests!$A:$A),MATCH(D$1,[2]quests!$1:$1,0)-MATCH($B$1,[2]quests!$1:$1,0)+1),MATCH(D$1,[2]quests!$1:$1,0)-MATCH($B$1,[2]quests!$1:$1,0)+1,FALSE)</f>
        <v>画家シリーズ超級</v>
      </c>
      <c r="E67" s="86">
        <v>2</v>
      </c>
      <c r="F67" s="8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67" s="82" t="str">
        <f ca="1">VLOOKUP($B67&amp;"_"&amp;$E67,OFFSET([2]stages!$A$1,0,0,COUNTA([2]stages!$A:$A),MATCH(G$1,[2]stages!$2:$2,0)-MATCH("temp_stage",[2]stages!$2:$2,0)+1),MATCH(G$1,[2]stages!$2:$2,0)-MATCH("temp_stage",[2]stages!$2:$2,0)+1,FALSE)</f>
        <v>画家シリーズ超級</v>
      </c>
      <c r="H67" s="84">
        <v>0</v>
      </c>
      <c r="I67" s="95">
        <v>39</v>
      </c>
      <c r="J67" s="83" t="s">
        <v>198</v>
      </c>
      <c r="K67" s="92" t="str">
        <f>VLOOKUP(I67,[6]stage_hints!$A:$C,3,FALSE)</f>
        <v>システム適合者を確認</v>
      </c>
      <c r="L67" s="93" t="str">
        <f>VLOOKUP(I67,[6]stage_hints!$A:$D,4,FALSE)</f>
        <v>ALICEが 「アナタ」を呼んでいます</v>
      </c>
      <c r="M67" s="57" t="s">
        <v>211</v>
      </c>
    </row>
    <row r="68" spans="1:13" x14ac:dyDescent="0.15">
      <c r="A68" s="80" t="s">
        <v>201</v>
      </c>
      <c r="B68" s="81">
        <f>floors!$C$2</f>
        <v>30041</v>
      </c>
      <c r="C68" s="82" t="str">
        <f ca="1">VLOOKUP($B68,OFFSET([2]quests!$A$1,0,0,COUNTA([2]quests!$A:$A),MATCH(C$1,[2]quests!$1:$1,0)-MATCH($B$1,[2]quests!$1:$1,0)+1),MATCH(C$1,[2]quests!$1:$1,0)-MATCH($B$1,[2]quests!$1:$1,0)+1,FALSE)</f>
        <v>パラノイア・アート</v>
      </c>
      <c r="D68" s="82" t="str">
        <f ca="1">VLOOKUP($B68,OFFSET([2]quests!$A$1,0,0,COUNTA([2]quests!$A:$A),MATCH(D$1,[2]quests!$1:$1,0)-MATCH($B$1,[2]quests!$1:$1,0)+1),MATCH(D$1,[2]quests!$1:$1,0)-MATCH($B$1,[2]quests!$1:$1,0)+1,FALSE)</f>
        <v>画家シリーズ超級</v>
      </c>
      <c r="E68" s="86">
        <v>3</v>
      </c>
      <c r="F68" s="82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68" s="82" t="str">
        <f ca="1">VLOOKUP($B68&amp;"_"&amp;$E68,OFFSET([2]stages!$A$1,0,0,COUNTA([2]stages!$A:$A),MATCH(G$1,[2]stages!$2:$2,0)-MATCH("temp_stage",[2]stages!$2:$2,0)+1),MATCH(G$1,[2]stages!$2:$2,0)-MATCH("temp_stage",[2]stages!$2:$2,0)+1,FALSE)</f>
        <v>画家シリーズ超級</v>
      </c>
      <c r="H68" s="84">
        <v>0</v>
      </c>
      <c r="I68">
        <v>12</v>
      </c>
      <c r="J68" s="83" t="s">
        <v>198</v>
      </c>
      <c r="K68" s="92" t="str">
        <f>VLOOKUP(I68,[6]stage_hints!$A:$C,3,FALSE)</f>
        <v>ユニットのお気に入り登録</v>
      </c>
      <c r="L68" s="93" t="str">
        <f>VLOOKUP(I68,[6]stage_hints!$A:$D,4,FALSE)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0" t="s">
        <v>201</v>
      </c>
      <c r="B69" s="81">
        <f>floors!$C$2</f>
        <v>30041</v>
      </c>
      <c r="C69" s="82" t="str">
        <f ca="1">VLOOKUP($B69,OFFSET([2]quests!$A$1,0,0,COUNTA([2]quests!$A:$A),MATCH(C$1,[2]quests!$1:$1,0)-MATCH($B$1,[2]quests!$1:$1,0)+1),MATCH(C$1,[2]quests!$1:$1,0)-MATCH($B$1,[2]quests!$1:$1,0)+1,FALSE)</f>
        <v>パラノイア・アート</v>
      </c>
      <c r="D69" s="82" t="str">
        <f ca="1">VLOOKUP($B69,OFFSET([2]quests!$A$1,0,0,COUNTA([2]quests!$A:$A),MATCH(D$1,[2]quests!$1:$1,0)-MATCH($B$1,[2]quests!$1:$1,0)+1),MATCH(D$1,[2]quests!$1:$1,0)-MATCH($B$1,[2]quests!$1:$1,0)+1,FALSE)</f>
        <v>画家シリーズ超級</v>
      </c>
      <c r="E69" s="86">
        <v>3</v>
      </c>
      <c r="F69" s="82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69" s="82" t="str">
        <f ca="1">VLOOKUP($B69&amp;"_"&amp;$E69,OFFSET([2]stages!$A$1,0,0,COUNTA([2]stages!$A:$A),MATCH(G$1,[2]stages!$2:$2,0)-MATCH("temp_stage",[2]stages!$2:$2,0)+1),MATCH(G$1,[2]stages!$2:$2,0)-MATCH("temp_stage",[2]stages!$2:$2,0)+1,FALSE)</f>
        <v>画家シリーズ超級</v>
      </c>
      <c r="H69" s="84">
        <v>0</v>
      </c>
      <c r="I69">
        <v>17</v>
      </c>
      <c r="J69" s="83" t="s">
        <v>198</v>
      </c>
      <c r="K69" s="92" t="str">
        <f>VLOOKUP(I69,[6]stage_hints!$A:$C,3,FALSE)</f>
        <v>リンクガチャ</v>
      </c>
      <c r="L69" s="93" t="str">
        <f>VLOOKUP(I69,[6]stage_hints!$A:$D,4,FALSE)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0" t="s">
        <v>201</v>
      </c>
      <c r="B70" s="81">
        <f>floors!$C$2</f>
        <v>30041</v>
      </c>
      <c r="C70" s="82" t="str">
        <f ca="1">VLOOKUP($B70,OFFSET([2]quests!$A$1,0,0,COUNTA([2]quests!$A:$A),MATCH(C$1,[2]quests!$1:$1,0)-MATCH($B$1,[2]quests!$1:$1,0)+1),MATCH(C$1,[2]quests!$1:$1,0)-MATCH($B$1,[2]quests!$1:$1,0)+1,FALSE)</f>
        <v>パラノイア・アート</v>
      </c>
      <c r="D70" s="82" t="str">
        <f ca="1">VLOOKUP($B70,OFFSET([2]quests!$A$1,0,0,COUNTA([2]quests!$A:$A),MATCH(D$1,[2]quests!$1:$1,0)-MATCH($B$1,[2]quests!$1:$1,0)+1),MATCH(D$1,[2]quests!$1:$1,0)-MATCH($B$1,[2]quests!$1:$1,0)+1,FALSE)</f>
        <v>画家シリーズ超級</v>
      </c>
      <c r="E70" s="86">
        <v>3</v>
      </c>
      <c r="F70" s="82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0" s="82" t="str">
        <f ca="1">VLOOKUP($B70&amp;"_"&amp;$E70,OFFSET([2]stages!$A$1,0,0,COUNTA([2]stages!$A:$A),MATCH(G$1,[2]stages!$2:$2,0)-MATCH("temp_stage",[2]stages!$2:$2,0)+1),MATCH(G$1,[2]stages!$2:$2,0)-MATCH("temp_stage",[2]stages!$2:$2,0)+1,FALSE)</f>
        <v>画家シリーズ超級</v>
      </c>
      <c r="H70" s="84">
        <v>0</v>
      </c>
      <c r="I70">
        <v>19</v>
      </c>
      <c r="J70" s="83" t="s">
        <v>198</v>
      </c>
      <c r="K70" s="92" t="str">
        <f>VLOOKUP(I70,[6]stage_hints!$A:$C,3,FALSE)</f>
        <v>ソロ専用チャレンジタワー</v>
      </c>
      <c r="L70" s="93" t="str">
        <f>VLOOKUP(I70,[6]stage_hints!$A:$D,4,FALSE)</f>
        <v>ソロ専用の「チャレンジタワー」では_x000D_各フロアごとにクリア報酬がもらえます</v>
      </c>
      <c r="M70" s="57" t="s">
        <v>211</v>
      </c>
    </row>
    <row r="71" spans="1:13" x14ac:dyDescent="0.15">
      <c r="A71" s="80" t="s">
        <v>201</v>
      </c>
      <c r="B71" s="81">
        <f>floors!$C$2</f>
        <v>30041</v>
      </c>
      <c r="C71" s="82" t="str">
        <f ca="1">VLOOKUP($B71,OFFSET([2]quests!$A$1,0,0,COUNTA([2]quests!$A:$A),MATCH(C$1,[2]quests!$1:$1,0)-MATCH($B$1,[2]quests!$1:$1,0)+1),MATCH(C$1,[2]quests!$1:$1,0)-MATCH($B$1,[2]quests!$1:$1,0)+1,FALSE)</f>
        <v>パラノイア・アート</v>
      </c>
      <c r="D71" s="82" t="str">
        <f ca="1">VLOOKUP($B71,OFFSET([2]quests!$A$1,0,0,COUNTA([2]quests!$A:$A),MATCH(D$1,[2]quests!$1:$1,0)-MATCH($B$1,[2]quests!$1:$1,0)+1),MATCH(D$1,[2]quests!$1:$1,0)-MATCH($B$1,[2]quests!$1:$1,0)+1,FALSE)</f>
        <v>画家シリーズ超級</v>
      </c>
      <c r="E71" s="86">
        <v>3</v>
      </c>
      <c r="F71" s="82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1" s="82" t="str">
        <f ca="1">VLOOKUP($B71&amp;"_"&amp;$E71,OFFSET([2]stages!$A$1,0,0,COUNTA([2]stages!$A:$A),MATCH(G$1,[2]stages!$2:$2,0)-MATCH("temp_stage",[2]stages!$2:$2,0)+1),MATCH(G$1,[2]stages!$2:$2,0)-MATCH("temp_stage",[2]stages!$2:$2,0)+1,FALSE)</f>
        <v>画家シリーズ超級</v>
      </c>
      <c r="H71" s="84">
        <v>0</v>
      </c>
      <c r="I71">
        <v>21</v>
      </c>
      <c r="J71" s="83" t="s">
        <v>198</v>
      </c>
      <c r="K71" s="92" t="str">
        <f>VLOOKUP(I71,[6]stage_hints!$A:$C,3,FALSE)</f>
        <v>スキルを有効に</v>
      </c>
      <c r="L71" s="93" t="str">
        <f>VLOOKUP(I71,[6]stage_hints!$A:$D,4,FALSE)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0" t="s">
        <v>201</v>
      </c>
      <c r="B72" s="81">
        <f>floors!$C$2</f>
        <v>30041</v>
      </c>
      <c r="C72" s="82" t="str">
        <f ca="1">VLOOKUP($B72,OFFSET([2]quests!$A$1,0,0,COUNTA([2]quests!$A:$A),MATCH(C$1,[2]quests!$1:$1,0)-MATCH($B$1,[2]quests!$1:$1,0)+1),MATCH(C$1,[2]quests!$1:$1,0)-MATCH($B$1,[2]quests!$1:$1,0)+1,FALSE)</f>
        <v>パラノイア・アート</v>
      </c>
      <c r="D72" s="82" t="str">
        <f ca="1">VLOOKUP($B72,OFFSET([2]quests!$A$1,0,0,COUNTA([2]quests!$A:$A),MATCH(D$1,[2]quests!$1:$1,0)-MATCH($B$1,[2]quests!$1:$1,0)+1),MATCH(D$1,[2]quests!$1:$1,0)-MATCH($B$1,[2]quests!$1:$1,0)+1,FALSE)</f>
        <v>画家シリーズ超級</v>
      </c>
      <c r="E72" s="86">
        <v>3</v>
      </c>
      <c r="F72" s="82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2" s="82" t="str">
        <f ca="1">VLOOKUP($B72&amp;"_"&amp;$E72,OFFSET([2]stages!$A$1,0,0,COUNTA([2]stages!$A:$A),MATCH(G$1,[2]stages!$2:$2,0)-MATCH("temp_stage",[2]stages!$2:$2,0)+1),MATCH(G$1,[2]stages!$2:$2,0)-MATCH("temp_stage",[2]stages!$2:$2,0)+1,FALSE)</f>
        <v>画家シリーズ超級</v>
      </c>
      <c r="H72" s="84">
        <v>0</v>
      </c>
      <c r="I72">
        <v>27</v>
      </c>
      <c r="J72" s="83" t="s">
        <v>198</v>
      </c>
      <c r="K72" s="92" t="str">
        <f>VLOOKUP(I72,[6]stage_hints!$A:$C,3,FALSE)</f>
        <v>ホーム画面からデッキを編成</v>
      </c>
      <c r="L72" s="93" t="str">
        <f>VLOOKUP(I72,[6]stage_hints!$A:$D,4,FALSE)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0" t="s">
        <v>201</v>
      </c>
      <c r="B73" s="81">
        <f>floors!$C$2</f>
        <v>30041</v>
      </c>
      <c r="C73" s="82" t="str">
        <f ca="1">VLOOKUP($B73,OFFSET([2]quests!$A$1,0,0,COUNTA([2]quests!$A:$A),MATCH(C$1,[2]quests!$1:$1,0)-MATCH($B$1,[2]quests!$1:$1,0)+1),MATCH(C$1,[2]quests!$1:$1,0)-MATCH($B$1,[2]quests!$1:$1,0)+1,FALSE)</f>
        <v>パラノイア・アート</v>
      </c>
      <c r="D73" s="82" t="str">
        <f ca="1">VLOOKUP($B73,OFFSET([2]quests!$A$1,0,0,COUNTA([2]quests!$A:$A),MATCH(D$1,[2]quests!$1:$1,0)-MATCH($B$1,[2]quests!$1:$1,0)+1),MATCH(D$1,[2]quests!$1:$1,0)-MATCH($B$1,[2]quests!$1:$1,0)+1,FALSE)</f>
        <v>画家シリーズ超級</v>
      </c>
      <c r="E73" s="86">
        <v>3</v>
      </c>
      <c r="F73" s="82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3" s="82" t="str">
        <f ca="1">VLOOKUP($B73&amp;"_"&amp;$E73,OFFSET([2]stages!$A$1,0,0,COUNTA([2]stages!$A:$A),MATCH(G$1,[2]stages!$2:$2,0)-MATCH("temp_stage",[2]stages!$2:$2,0)+1),MATCH(G$1,[2]stages!$2:$2,0)-MATCH("temp_stage",[2]stages!$2:$2,0)+1,FALSE)</f>
        <v>画家シリーズ超級</v>
      </c>
      <c r="H73" s="84">
        <v>0</v>
      </c>
      <c r="I73">
        <v>28</v>
      </c>
      <c r="J73" s="83" t="s">
        <v>198</v>
      </c>
      <c r="K73" s="92" t="str">
        <f>VLOOKUP(I73,[6]stage_hints!$A:$C,3,FALSE)</f>
        <v>ステータス情報は長押しで</v>
      </c>
      <c r="L73" s="93" t="str">
        <f>VLOOKUP(I73,[6]stage_hints!$A:$D,4,FALSE)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0" t="s">
        <v>201</v>
      </c>
      <c r="B74" s="81">
        <f>floors!$C$2</f>
        <v>30041</v>
      </c>
      <c r="C74" s="82" t="str">
        <f ca="1">VLOOKUP($B74,OFFSET([2]quests!$A$1,0,0,COUNTA([2]quests!$A:$A),MATCH(C$1,[2]quests!$1:$1,0)-MATCH($B$1,[2]quests!$1:$1,0)+1),MATCH(C$1,[2]quests!$1:$1,0)-MATCH($B$1,[2]quests!$1:$1,0)+1,FALSE)</f>
        <v>パラノイア・アート</v>
      </c>
      <c r="D74" s="82" t="str">
        <f ca="1">VLOOKUP($B74,OFFSET([2]quests!$A$1,0,0,COUNTA([2]quests!$A:$A),MATCH(D$1,[2]quests!$1:$1,0)-MATCH($B$1,[2]quests!$1:$1,0)+1),MATCH(D$1,[2]quests!$1:$1,0)-MATCH($B$1,[2]quests!$1:$1,0)+1,FALSE)</f>
        <v>画家シリーズ超級</v>
      </c>
      <c r="E74" s="86">
        <v>3</v>
      </c>
      <c r="F74" s="82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4" s="82" t="str">
        <f ca="1">VLOOKUP($B74&amp;"_"&amp;$E74,OFFSET([2]stages!$A$1,0,0,COUNTA([2]stages!$A:$A),MATCH(G$1,[2]stages!$2:$2,0)-MATCH("temp_stage",[2]stages!$2:$2,0)+1),MATCH(G$1,[2]stages!$2:$2,0)-MATCH("temp_stage",[2]stages!$2:$2,0)+1,FALSE)</f>
        <v>画家シリーズ超級</v>
      </c>
      <c r="H74" s="84">
        <v>0</v>
      </c>
      <c r="I74">
        <v>29</v>
      </c>
      <c r="J74" s="83" t="s">
        <v>198</v>
      </c>
      <c r="K74" s="92" t="str">
        <f>VLOOKUP(I74,[6]stage_hints!$A:$C,3,FALSE)</f>
        <v>「バグ」のメリット</v>
      </c>
      <c r="L74" s="93" t="str">
        <f>VLOOKUP(I74,[6]stage_hints!$A:$D,4,FALSE)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0" t="s">
        <v>201</v>
      </c>
      <c r="B75" s="81">
        <f>floors!$C$2</f>
        <v>30041</v>
      </c>
      <c r="C75" s="82" t="str">
        <f ca="1">VLOOKUP($B75,OFFSET([2]quests!$A$1,0,0,COUNTA([2]quests!$A:$A),MATCH(C$1,[2]quests!$1:$1,0)-MATCH($B$1,[2]quests!$1:$1,0)+1),MATCH(C$1,[2]quests!$1:$1,0)-MATCH($B$1,[2]quests!$1:$1,0)+1,FALSE)</f>
        <v>パラノイア・アート</v>
      </c>
      <c r="D75" s="82" t="str">
        <f ca="1">VLOOKUP($B75,OFFSET([2]quests!$A$1,0,0,COUNTA([2]quests!$A:$A),MATCH(D$1,[2]quests!$1:$1,0)-MATCH($B$1,[2]quests!$1:$1,0)+1),MATCH(D$1,[2]quests!$1:$1,0)-MATCH($B$1,[2]quests!$1:$1,0)+1,FALSE)</f>
        <v>画家シリーズ超級</v>
      </c>
      <c r="E75" s="86">
        <v>3</v>
      </c>
      <c r="F75" s="82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5" s="82" t="str">
        <f ca="1">VLOOKUP($B75&amp;"_"&amp;$E75,OFFSET([2]stages!$A$1,0,0,COUNTA([2]stages!$A:$A),MATCH(G$1,[2]stages!$2:$2,0)-MATCH("temp_stage",[2]stages!$2:$2,0)+1),MATCH(G$1,[2]stages!$2:$2,0)-MATCH("temp_stage",[2]stages!$2:$2,0)+1,FALSE)</f>
        <v>画家シリーズ超級</v>
      </c>
      <c r="H75" s="84">
        <v>0</v>
      </c>
      <c r="I75">
        <v>30</v>
      </c>
      <c r="J75" s="83" t="s">
        <v>198</v>
      </c>
      <c r="K75" s="92" t="str">
        <f>VLOOKUP(I75,[6]stage_hints!$A:$C,3,FALSE)</f>
        <v>「バグ」の増やし方</v>
      </c>
      <c r="L75" s="93" t="str">
        <f>VLOOKUP(I75,[6]stage_hints!$A:$D,4,FALSE)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0" t="s">
        <v>201</v>
      </c>
      <c r="B76" s="81">
        <f>floors!$C$2</f>
        <v>30041</v>
      </c>
      <c r="C76" s="82" t="str">
        <f ca="1">VLOOKUP($B76,OFFSET([2]quests!$A$1,0,0,COUNTA([2]quests!$A:$A),MATCH(C$1,[2]quests!$1:$1,0)-MATCH($B$1,[2]quests!$1:$1,0)+1),MATCH(C$1,[2]quests!$1:$1,0)-MATCH($B$1,[2]quests!$1:$1,0)+1,FALSE)</f>
        <v>パラノイア・アート</v>
      </c>
      <c r="D76" s="82" t="str">
        <f ca="1">VLOOKUP($B76,OFFSET([2]quests!$A$1,0,0,COUNTA([2]quests!$A:$A),MATCH(D$1,[2]quests!$1:$1,0)-MATCH($B$1,[2]quests!$1:$1,0)+1),MATCH(D$1,[2]quests!$1:$1,0)-MATCH($B$1,[2]quests!$1:$1,0)+1,FALSE)</f>
        <v>画家シリーズ超級</v>
      </c>
      <c r="E76" s="86">
        <v>3</v>
      </c>
      <c r="F76" s="82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6" s="82" t="str">
        <f ca="1">VLOOKUP($B76&amp;"_"&amp;$E76,OFFSET([2]stages!$A$1,0,0,COUNTA([2]stages!$A:$A),MATCH(G$1,[2]stages!$2:$2,0)-MATCH("temp_stage",[2]stages!$2:$2,0)+1),MATCH(G$1,[2]stages!$2:$2,0)-MATCH("temp_stage",[2]stages!$2:$2,0)+1,FALSE)</f>
        <v>画家シリーズ超級</v>
      </c>
      <c r="H76" s="84">
        <v>0</v>
      </c>
      <c r="I76">
        <v>32</v>
      </c>
      <c r="J76" s="83" t="s">
        <v>198</v>
      </c>
      <c r="K76" s="92" t="str">
        <f>VLOOKUP(I76,[6]stage_hints!$A:$C,3,FALSE)</f>
        <v>敵の連続攻撃には</v>
      </c>
      <c r="L76" s="93" t="str">
        <f>VLOOKUP(I76,[6]stage_hints!$A:$D,4,FALSE)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0" t="s">
        <v>201</v>
      </c>
      <c r="B77" s="81">
        <f>floors!$C$2</f>
        <v>30041</v>
      </c>
      <c r="C77" s="82" t="str">
        <f ca="1">VLOOKUP($B77,OFFSET([2]quests!$A$1,0,0,COUNTA([2]quests!$A:$A),MATCH(C$1,[2]quests!$1:$1,0)-MATCH($B$1,[2]quests!$1:$1,0)+1),MATCH(C$1,[2]quests!$1:$1,0)-MATCH($B$1,[2]quests!$1:$1,0)+1,FALSE)</f>
        <v>パラノイア・アート</v>
      </c>
      <c r="D77" s="82" t="str">
        <f ca="1">VLOOKUP($B77,OFFSET([2]quests!$A$1,0,0,COUNTA([2]quests!$A:$A),MATCH(D$1,[2]quests!$1:$1,0)-MATCH($B$1,[2]quests!$1:$1,0)+1),MATCH(D$1,[2]quests!$1:$1,0)-MATCH($B$1,[2]quests!$1:$1,0)+1,FALSE)</f>
        <v>画家シリーズ超級</v>
      </c>
      <c r="E77" s="86">
        <v>3</v>
      </c>
      <c r="F77" s="82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7" s="82" t="str">
        <f ca="1">VLOOKUP($B77&amp;"_"&amp;$E77,OFFSET([2]stages!$A$1,0,0,COUNTA([2]stages!$A:$A),MATCH(G$1,[2]stages!$2:$2,0)-MATCH("temp_stage",[2]stages!$2:$2,0)+1),MATCH(G$1,[2]stages!$2:$2,0)-MATCH("temp_stage",[2]stages!$2:$2,0)+1,FALSE)</f>
        <v>画家シリーズ超級</v>
      </c>
      <c r="H77" s="84">
        <v>0</v>
      </c>
      <c r="I77">
        <v>33</v>
      </c>
      <c r="J77" s="83" t="s">
        <v>198</v>
      </c>
      <c r="K77" s="92" t="str">
        <f>VLOOKUP(I77,[6]stage_hints!$A:$C,3,FALSE)</f>
        <v>敵のカウンター攻撃には</v>
      </c>
      <c r="L77" s="93" t="str">
        <f>VLOOKUP(I77,[6]stage_hints!$A:$D,4,FALSE)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0" t="s">
        <v>201</v>
      </c>
      <c r="B78" s="81">
        <f>floors!$C$2</f>
        <v>30041</v>
      </c>
      <c r="C78" s="82" t="str">
        <f ca="1">VLOOKUP($B78,OFFSET([2]quests!$A$1,0,0,COUNTA([2]quests!$A:$A),MATCH(C$1,[2]quests!$1:$1,0)-MATCH($B$1,[2]quests!$1:$1,0)+1),MATCH(C$1,[2]quests!$1:$1,0)-MATCH($B$1,[2]quests!$1:$1,0)+1,FALSE)</f>
        <v>パラノイア・アート</v>
      </c>
      <c r="D78" s="82" t="str">
        <f ca="1">VLOOKUP($B78,OFFSET([2]quests!$A$1,0,0,COUNTA([2]quests!$A:$A),MATCH(D$1,[2]quests!$1:$1,0)-MATCH($B$1,[2]quests!$1:$1,0)+1),MATCH(D$1,[2]quests!$1:$1,0)-MATCH($B$1,[2]quests!$1:$1,0)+1,FALSE)</f>
        <v>画家シリーズ超級</v>
      </c>
      <c r="E78" s="86">
        <v>3</v>
      </c>
      <c r="F78" s="82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8" s="82" t="str">
        <f ca="1">VLOOKUP($B78&amp;"_"&amp;$E78,OFFSET([2]stages!$A$1,0,0,COUNTA([2]stages!$A:$A),MATCH(G$1,[2]stages!$2:$2,0)-MATCH("temp_stage",[2]stages!$2:$2,0)+1),MATCH(G$1,[2]stages!$2:$2,0)-MATCH("temp_stage",[2]stages!$2:$2,0)+1,FALSE)</f>
        <v>画家シリーズ超級</v>
      </c>
      <c r="H78" s="84">
        <v>0</v>
      </c>
      <c r="I78">
        <v>34</v>
      </c>
      <c r="J78" s="83" t="s">
        <v>198</v>
      </c>
      <c r="K78" s="92" t="str">
        <f>VLOOKUP(I78,[6]stage_hints!$A:$C,3,FALSE)</f>
        <v>ステータスをスキルで下げられたら</v>
      </c>
      <c r="L78" s="93" t="str">
        <f>VLOOKUP(I78,[6]stage_hints!$A:$D,4,FALSE)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0" t="s">
        <v>201</v>
      </c>
      <c r="B79" s="81">
        <f>floors!$C$2</f>
        <v>30041</v>
      </c>
      <c r="C79" s="82" t="str">
        <f ca="1">VLOOKUP($B79,OFFSET([2]quests!$A$1,0,0,COUNTA([2]quests!$A:$A),MATCH(C$1,[2]quests!$1:$1,0)-MATCH($B$1,[2]quests!$1:$1,0)+1),MATCH(C$1,[2]quests!$1:$1,0)-MATCH($B$1,[2]quests!$1:$1,0)+1,FALSE)</f>
        <v>パラノイア・アート</v>
      </c>
      <c r="D79" s="82" t="str">
        <f ca="1">VLOOKUP($B79,OFFSET([2]quests!$A$1,0,0,COUNTA([2]quests!$A:$A),MATCH(D$1,[2]quests!$1:$1,0)-MATCH($B$1,[2]quests!$1:$1,0)+1),MATCH(D$1,[2]quests!$1:$1,0)-MATCH($B$1,[2]quests!$1:$1,0)+1,FALSE)</f>
        <v>画家シリーズ超級</v>
      </c>
      <c r="E79" s="86">
        <v>3</v>
      </c>
      <c r="F79" s="82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79" s="82" t="str">
        <f ca="1">VLOOKUP($B79&amp;"_"&amp;$E79,OFFSET([2]stages!$A$1,0,0,COUNTA([2]stages!$A:$A),MATCH(G$1,[2]stages!$2:$2,0)-MATCH("temp_stage",[2]stages!$2:$2,0)+1),MATCH(G$1,[2]stages!$2:$2,0)-MATCH("temp_stage",[2]stages!$2:$2,0)+1,FALSE)</f>
        <v>画家シリーズ超級</v>
      </c>
      <c r="H79" s="84">
        <v>0</v>
      </c>
      <c r="I79">
        <v>35</v>
      </c>
      <c r="J79" s="83" t="s">
        <v>198</v>
      </c>
      <c r="K79" s="92" t="str">
        <f>VLOOKUP(I79,[6]stage_hints!$A:$C,3,FALSE)</f>
        <v>敵のステータスがスキルで上がったら</v>
      </c>
      <c r="L79" s="93" t="str">
        <f>VLOOKUP(I79,[6]stage_hints!$A:$D,4,FALSE)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0" t="s">
        <v>201</v>
      </c>
      <c r="B80" s="81">
        <f>floors!$C$2</f>
        <v>30041</v>
      </c>
      <c r="C80" s="82" t="str">
        <f ca="1">VLOOKUP($B80,OFFSET([2]quests!$A$1,0,0,COUNTA([2]quests!$A:$A),MATCH(C$1,[2]quests!$1:$1,0)-MATCH($B$1,[2]quests!$1:$1,0)+1),MATCH(C$1,[2]quests!$1:$1,0)-MATCH($B$1,[2]quests!$1:$1,0)+1,FALSE)</f>
        <v>パラノイア・アート</v>
      </c>
      <c r="D80" s="82" t="str">
        <f ca="1">VLOOKUP($B80,OFFSET([2]quests!$A$1,0,0,COUNTA([2]quests!$A:$A),MATCH(D$1,[2]quests!$1:$1,0)-MATCH($B$1,[2]quests!$1:$1,0)+1),MATCH(D$1,[2]quests!$1:$1,0)-MATCH($B$1,[2]quests!$1:$1,0)+1,FALSE)</f>
        <v>画家シリーズ超級</v>
      </c>
      <c r="E80" s="86">
        <v>3</v>
      </c>
      <c r="F80" s="82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80" s="82" t="str">
        <f ca="1">VLOOKUP($B80&amp;"_"&amp;$E80,OFFSET([2]stages!$A$1,0,0,COUNTA([2]stages!$A:$A),MATCH(G$1,[2]stages!$2:$2,0)-MATCH("temp_stage",[2]stages!$2:$2,0)+1),MATCH(G$1,[2]stages!$2:$2,0)-MATCH("temp_stage",[2]stages!$2:$2,0)+1,FALSE)</f>
        <v>画家シリーズ超級</v>
      </c>
      <c r="H80" s="84">
        <v>0</v>
      </c>
      <c r="I80">
        <v>36</v>
      </c>
      <c r="J80" s="83" t="s">
        <v>198</v>
      </c>
      <c r="K80" s="92" t="str">
        <f>VLOOKUP(I80,[6]stage_hints!$A:$C,3,FALSE)</f>
        <v>チャレンジタワーのボス</v>
      </c>
      <c r="L80" s="93" t="str">
        <f>VLOOKUP(I80,[6]stage_hints!$A:$D,4,FALSE)</f>
        <v>チャレンジタワーでのみ登場するボスは_x000D_一定確率で獲得することができます</v>
      </c>
      <c r="M80" s="57" t="s">
        <v>211</v>
      </c>
    </row>
    <row r="81" spans="1:13" x14ac:dyDescent="0.15">
      <c r="A81" s="80" t="s">
        <v>201</v>
      </c>
      <c r="B81" s="81">
        <f>floors!$C$2</f>
        <v>30041</v>
      </c>
      <c r="C81" s="82" t="str">
        <f ca="1">VLOOKUP($B81,OFFSET([2]quests!$A$1,0,0,COUNTA([2]quests!$A:$A),MATCH(C$1,[2]quests!$1:$1,0)-MATCH($B$1,[2]quests!$1:$1,0)+1),MATCH(C$1,[2]quests!$1:$1,0)-MATCH($B$1,[2]quests!$1:$1,0)+1,FALSE)</f>
        <v>パラノイア・アート</v>
      </c>
      <c r="D81" s="82" t="str">
        <f ca="1">VLOOKUP($B81,OFFSET([2]quests!$A$1,0,0,COUNTA([2]quests!$A:$A),MATCH(D$1,[2]quests!$1:$1,0)-MATCH($B$1,[2]quests!$1:$1,0)+1),MATCH(D$1,[2]quests!$1:$1,0)-MATCH($B$1,[2]quests!$1:$1,0)+1,FALSE)</f>
        <v>画家シリーズ超級</v>
      </c>
      <c r="E81" s="86">
        <v>3</v>
      </c>
      <c r="F81" s="82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81" s="82" t="str">
        <f ca="1">VLOOKUP($B81&amp;"_"&amp;$E81,OFFSET([2]stages!$A$1,0,0,COUNTA([2]stages!$A:$A),MATCH(G$1,[2]stages!$2:$2,0)-MATCH("temp_stage",[2]stages!$2:$2,0)+1),MATCH(G$1,[2]stages!$2:$2,0)-MATCH("temp_stage",[2]stages!$2:$2,0)+1,FALSE)</f>
        <v>画家シリーズ超級</v>
      </c>
      <c r="H81" s="84">
        <v>0</v>
      </c>
      <c r="I81">
        <v>37</v>
      </c>
      <c r="J81" s="83" t="s">
        <v>198</v>
      </c>
      <c r="K81" s="92" t="str">
        <f>VLOOKUP(I81,[6]stage_hints!$A:$C,3,FALSE)</f>
        <v>限界突破値の引き継ぎ</v>
      </c>
      <c r="L81" s="93" t="str">
        <f>VLOOKUP(I81,[6]stage_hints!$A:$D,4,FALSE)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0" t="s">
        <v>201</v>
      </c>
      <c r="B82" s="81">
        <f>floors!$C$2</f>
        <v>30041</v>
      </c>
      <c r="C82" s="82" t="str">
        <f ca="1">VLOOKUP($B82,OFFSET([2]quests!$A$1,0,0,COUNTA([2]quests!$A:$A),MATCH(C$1,[2]quests!$1:$1,0)-MATCH($B$1,[2]quests!$1:$1,0)+1),MATCH(C$1,[2]quests!$1:$1,0)-MATCH($B$1,[2]quests!$1:$1,0)+1,FALSE)</f>
        <v>パラノイア・アート</v>
      </c>
      <c r="D82" s="82" t="str">
        <f ca="1">VLOOKUP($B82,OFFSET([2]quests!$A$1,0,0,COUNTA([2]quests!$A:$A),MATCH(D$1,[2]quests!$1:$1,0)-MATCH($B$1,[2]quests!$1:$1,0)+1),MATCH(D$1,[2]quests!$1:$1,0)-MATCH($B$1,[2]quests!$1:$1,0)+1,FALSE)</f>
        <v>画家シリーズ超級</v>
      </c>
      <c r="E82" s="86">
        <v>3</v>
      </c>
      <c r="F82" s="82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82" s="82" t="str">
        <f ca="1">VLOOKUP($B82&amp;"_"&amp;$E82,OFFSET([2]stages!$A$1,0,0,COUNTA([2]stages!$A:$A),MATCH(G$1,[2]stages!$2:$2,0)-MATCH("temp_stage",[2]stages!$2:$2,0)+1),MATCH(G$1,[2]stages!$2:$2,0)-MATCH("temp_stage",[2]stages!$2:$2,0)+1,FALSE)</f>
        <v>画家シリーズ超級</v>
      </c>
      <c r="H82" s="84">
        <v>0</v>
      </c>
      <c r="I82">
        <v>39</v>
      </c>
      <c r="J82" s="83" t="s">
        <v>198</v>
      </c>
      <c r="K82" s="92" t="str">
        <f>VLOOKUP(I82,[6]stage_hints!$A:$C,3,FALSE)</f>
        <v>システム適合者を確認</v>
      </c>
      <c r="L82" s="93" t="str">
        <f>VLOOKUP(I82,[6]stage_hints!$A:$D,4,FALSE)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2" activePane="bottomLeft" state="frozen"/>
      <selection pane="bottomLeft" activeCell="H8" sqref="H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2" t="s">
        <v>151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127</v>
      </c>
      <c r="L1" s="77" t="s">
        <v>187</v>
      </c>
      <c r="M1" s="91" t="s">
        <v>186</v>
      </c>
      <c r="N1" s="79" t="s">
        <v>196</v>
      </c>
    </row>
    <row r="2" spans="1:14" ht="42" x14ac:dyDescent="0.15">
      <c r="A2" s="80" t="s">
        <v>197</v>
      </c>
      <c r="B2" s="81">
        <f>floors!$C$2</f>
        <v>30041</v>
      </c>
      <c r="C2" s="82" t="str">
        <f ca="1">VLOOKUP($B2,OFFSET([2]quests!$A$1,0,0,COUNTA([2]quests!$A:$A),MATCH(C$1,[2]quests!$1:$1,0)-MATCH($B$1,[2]quests!$1:$1,0)+1),MATCH(C$1,[2]quests!$1:$1,0)-MATCH($B$1,[2]quests!$1:$1,0)+1,FALSE)</f>
        <v>パラノイア・アート</v>
      </c>
      <c r="D2" s="82" t="str">
        <f ca="1">VLOOKUP($B2,OFFSET([2]quests!$A$1,0,0,COUNTA([2]quests!$A:$A),MATCH(D$1,[2]quests!$1:$1,0)-MATCH($B$1,[2]quests!$1:$1,0)+1),MATCH(D$1,[2]quests!$1:$1,0)-MATCH($B$1,[2]quests!$1:$1,0)+1,FALSE)</f>
        <v>画家シリーズ超級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画家シリーズ超級</v>
      </c>
      <c r="H2" s="84">
        <v>1</v>
      </c>
      <c r="I2" s="89">
        <f t="shared" ref="I2:I23" si="0">ROW()-1</f>
        <v>1</v>
      </c>
      <c r="J2" s="85" t="str">
        <f t="shared" ref="J2:J23" si="1">B2&amp;TEXT(I2,"00")</f>
        <v>3004101</v>
      </c>
      <c r="K2" s="83" t="s">
        <v>198</v>
      </c>
      <c r="L2" s="86" t="s">
        <v>199</v>
      </c>
      <c r="M2" s="111" t="s">
        <v>333</v>
      </c>
      <c r="N2" s="57" t="s">
        <v>200</v>
      </c>
    </row>
    <row r="3" spans="1:14" ht="28" x14ac:dyDescent="0.15">
      <c r="A3" s="80" t="s">
        <v>197</v>
      </c>
      <c r="B3" s="81">
        <f>floors!$C$2</f>
        <v>30041</v>
      </c>
      <c r="C3" s="82" t="str">
        <f ca="1">VLOOKUP($B3,OFFSET([2]quests!$A$1,0,0,COUNTA([2]quests!$A:$A),MATCH(C$1,[2]quests!$1:$1,0)-MATCH($B$1,[2]quests!$1:$1,0)+1),MATCH(C$1,[2]quests!$1:$1,0)-MATCH($B$1,[2]quests!$1:$1,0)+1,FALSE)</f>
        <v>パラノイア・アート</v>
      </c>
      <c r="D3" s="82" t="str">
        <f ca="1">VLOOKUP($B3,OFFSET([2]quests!$A$1,0,0,COUNTA([2]quests!$A:$A),MATCH(D$1,[2]quests!$1:$1,0)-MATCH($B$1,[2]quests!$1:$1,0)+1),MATCH(D$1,[2]quests!$1:$1,0)-MATCH($B$1,[2]quests!$1:$1,0)+1,FALSE)</f>
        <v>画家シリーズ超級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画家シリーズ超級</v>
      </c>
      <c r="H3" s="84">
        <v>2</v>
      </c>
      <c r="I3" s="89">
        <f t="shared" si="0"/>
        <v>2</v>
      </c>
      <c r="J3" s="85" t="str">
        <f t="shared" si="1"/>
        <v>3004102</v>
      </c>
      <c r="K3" s="83" t="s">
        <v>198</v>
      </c>
      <c r="L3" s="86" t="s">
        <v>199</v>
      </c>
      <c r="M3" s="111" t="s">
        <v>334</v>
      </c>
      <c r="N3" s="57" t="s">
        <v>200</v>
      </c>
    </row>
    <row r="4" spans="1:14" ht="42" x14ac:dyDescent="0.15">
      <c r="A4" s="80" t="s">
        <v>197</v>
      </c>
      <c r="B4" s="81">
        <f>floors!$C$2</f>
        <v>30041</v>
      </c>
      <c r="C4" s="82" t="str">
        <f ca="1">VLOOKUP($B4,OFFSET([2]quests!$A$1,0,0,COUNTA([2]quests!$A:$A),MATCH(C$1,[2]quests!$1:$1,0)-MATCH($B$1,[2]quests!$1:$1,0)+1),MATCH(C$1,[2]quests!$1:$1,0)-MATCH($B$1,[2]quests!$1:$1,0)+1,FALSE)</f>
        <v>パラノイア・アート</v>
      </c>
      <c r="D4" s="82" t="str">
        <f ca="1">VLOOKUP($B4,OFFSET([2]quests!$A$1,0,0,COUNTA([2]quests!$A:$A),MATCH(D$1,[2]quests!$1:$1,0)-MATCH($B$1,[2]quests!$1:$1,0)+1),MATCH(D$1,[2]quests!$1:$1,0)-MATCH($B$1,[2]quests!$1:$1,0)+1,FALSE)</f>
        <v>画家シリーズ超級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画家シリーズ超級</v>
      </c>
      <c r="H4" s="84">
        <v>2</v>
      </c>
      <c r="I4" s="89">
        <f t="shared" si="0"/>
        <v>3</v>
      </c>
      <c r="J4" s="85" t="str">
        <f t="shared" si="1"/>
        <v>3004103</v>
      </c>
      <c r="K4" s="83" t="s">
        <v>198</v>
      </c>
      <c r="L4" s="86" t="s">
        <v>199</v>
      </c>
      <c r="M4" s="111" t="s">
        <v>335</v>
      </c>
      <c r="N4" s="57" t="s">
        <v>200</v>
      </c>
    </row>
    <row r="5" spans="1:14" ht="56" x14ac:dyDescent="0.15">
      <c r="A5" s="80" t="s">
        <v>197</v>
      </c>
      <c r="B5" s="81">
        <f>floors!$C$2</f>
        <v>30041</v>
      </c>
      <c r="C5" s="82" t="str">
        <f ca="1">VLOOKUP($B5,OFFSET([2]quests!$A$1,0,0,COUNTA([2]quests!$A:$A),MATCH(C$1,[2]quests!$1:$1,0)-MATCH($B$1,[2]quests!$1:$1,0)+1),MATCH(C$1,[2]quests!$1:$1,0)-MATCH($B$1,[2]quests!$1:$1,0)+1,FALSE)</f>
        <v>パラノイア・アート</v>
      </c>
      <c r="D5" s="82" t="str">
        <f ca="1">VLOOKUP($B5,OFFSET([2]quests!$A$1,0,0,COUNTA([2]quests!$A:$A),MATCH(D$1,[2]quests!$1:$1,0)-MATCH($B$1,[2]quests!$1:$1,0)+1),MATCH(D$1,[2]quests!$1:$1,0)-MATCH($B$1,[2]quests!$1:$1,0)+1,FALSE)</f>
        <v>画家シリーズ超級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画家シリーズ超級</v>
      </c>
      <c r="H5" s="84">
        <v>3</v>
      </c>
      <c r="I5" s="89">
        <f t="shared" si="0"/>
        <v>4</v>
      </c>
      <c r="J5" s="85" t="str">
        <f t="shared" si="1"/>
        <v>3004104</v>
      </c>
      <c r="K5" s="83" t="s">
        <v>198</v>
      </c>
      <c r="L5" s="86" t="s">
        <v>199</v>
      </c>
      <c r="M5" s="111" t="s">
        <v>336</v>
      </c>
      <c r="N5" s="57" t="s">
        <v>200</v>
      </c>
    </row>
    <row r="6" spans="1:14" ht="28" x14ac:dyDescent="0.15">
      <c r="A6" s="80" t="s">
        <v>197</v>
      </c>
      <c r="B6" s="81">
        <f>floors!$C$2</f>
        <v>30041</v>
      </c>
      <c r="C6" s="82" t="str">
        <f ca="1">VLOOKUP($B6,OFFSET([2]quests!$A$1,0,0,COUNTA([2]quests!$A:$A),MATCH(C$1,[2]quests!$1:$1,0)-MATCH($B$1,[2]quests!$1:$1,0)+1),MATCH(C$1,[2]quests!$1:$1,0)-MATCH($B$1,[2]quests!$1:$1,0)+1,FALSE)</f>
        <v>パラノイア・アート</v>
      </c>
      <c r="D6" s="82" t="str">
        <f ca="1">VLOOKUP($B6,OFFSET([2]quests!$A$1,0,0,COUNTA([2]quests!$A:$A),MATCH(D$1,[2]quests!$1:$1,0)-MATCH($B$1,[2]quests!$1:$1,0)+1),MATCH(D$1,[2]quests!$1:$1,0)-MATCH($B$1,[2]quests!$1:$1,0)+1,FALSE)</f>
        <v>画家シリーズ超級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画家シリーズ超級</v>
      </c>
      <c r="H6" s="84">
        <v>3</v>
      </c>
      <c r="I6" s="89">
        <f t="shared" si="0"/>
        <v>5</v>
      </c>
      <c r="J6" s="85" t="str">
        <f t="shared" si="1"/>
        <v>3004105</v>
      </c>
      <c r="K6" s="83" t="s">
        <v>198</v>
      </c>
      <c r="L6" s="86" t="s">
        <v>199</v>
      </c>
      <c r="M6" s="111" t="s">
        <v>337</v>
      </c>
      <c r="N6" s="57" t="s">
        <v>200</v>
      </c>
    </row>
    <row r="7" spans="1:14" ht="56" x14ac:dyDescent="0.15">
      <c r="A7" s="80" t="s">
        <v>197</v>
      </c>
      <c r="B7" s="81">
        <f>floors!$C$2</f>
        <v>30041</v>
      </c>
      <c r="C7" s="82" t="str">
        <f ca="1">VLOOKUP($B7,OFFSET([2]quests!$A$1,0,0,COUNTA([2]quests!$A:$A),MATCH(C$1,[2]quests!$1:$1,0)-MATCH($B$1,[2]quests!$1:$1,0)+1),MATCH(C$1,[2]quests!$1:$1,0)-MATCH($B$1,[2]quests!$1:$1,0)+1,FALSE)</f>
        <v>パラノイア・アート</v>
      </c>
      <c r="D7" s="82" t="str">
        <f ca="1">VLOOKUP($B7,OFFSET([2]quests!$A$1,0,0,COUNTA([2]quests!$A:$A),MATCH(D$1,[2]quests!$1:$1,0)-MATCH($B$1,[2]quests!$1:$1,0)+1),MATCH(D$1,[2]quests!$1:$1,0)-MATCH($B$1,[2]quests!$1:$1,0)+1,FALSE)</f>
        <v>画家シリーズ超級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【中級】パラノイア・アート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画家シリーズ超級</v>
      </c>
      <c r="H7" s="84">
        <v>4</v>
      </c>
      <c r="I7" s="89">
        <f t="shared" si="0"/>
        <v>6</v>
      </c>
      <c r="J7" s="85" t="str">
        <f t="shared" si="1"/>
        <v>3004106</v>
      </c>
      <c r="K7" s="83" t="s">
        <v>198</v>
      </c>
      <c r="L7" s="86" t="s">
        <v>199</v>
      </c>
      <c r="M7" s="111" t="s">
        <v>339</v>
      </c>
      <c r="N7" s="57" t="s">
        <v>200</v>
      </c>
    </row>
    <row r="8" spans="1:14" ht="42" x14ac:dyDescent="0.15">
      <c r="A8" s="80" t="s">
        <v>197</v>
      </c>
      <c r="B8" s="81">
        <f>floors!$C$2</f>
        <v>30041</v>
      </c>
      <c r="C8" s="82" t="str">
        <f ca="1">VLOOKUP($B8,OFFSET([2]quests!$A$1,0,0,COUNTA([2]quests!$A:$A),MATCH(C$1,[2]quests!$1:$1,0)-MATCH($B$1,[2]quests!$1:$1,0)+1),MATCH(C$1,[2]quests!$1:$1,0)-MATCH($B$1,[2]quests!$1:$1,0)+1,FALSE)</f>
        <v>パラノイア・アート</v>
      </c>
      <c r="D8" s="82" t="str">
        <f ca="1">VLOOKUP($B8,OFFSET([2]quests!$A$1,0,0,COUNTA([2]quests!$A:$A),MATCH(D$1,[2]quests!$1:$1,0)-MATCH($B$1,[2]quests!$1:$1,0)+1),MATCH(D$1,[2]quests!$1:$1,0)-MATCH($B$1,[2]quests!$1:$1,0)+1,FALSE)</f>
        <v>画家シリーズ超級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画家シリーズ超級</v>
      </c>
      <c r="H8" s="84">
        <v>1</v>
      </c>
      <c r="I8" s="89">
        <f t="shared" si="0"/>
        <v>7</v>
      </c>
      <c r="J8" s="85" t="str">
        <f t="shared" si="1"/>
        <v>3004107</v>
      </c>
      <c r="K8" s="83" t="s">
        <v>198</v>
      </c>
      <c r="L8" s="86" t="s">
        <v>199</v>
      </c>
      <c r="M8" s="111" t="s">
        <v>333</v>
      </c>
      <c r="N8" s="57" t="s">
        <v>200</v>
      </c>
    </row>
    <row r="9" spans="1:14" ht="28" x14ac:dyDescent="0.15">
      <c r="A9" s="80" t="s">
        <v>197</v>
      </c>
      <c r="B9" s="81">
        <f>floors!$C$2</f>
        <v>30041</v>
      </c>
      <c r="C9" s="82" t="str">
        <f ca="1">VLOOKUP($B9,OFFSET([2]quests!$A$1,0,0,COUNTA([2]quests!$A:$A),MATCH(C$1,[2]quests!$1:$1,0)-MATCH($B$1,[2]quests!$1:$1,0)+1),MATCH(C$1,[2]quests!$1:$1,0)-MATCH($B$1,[2]quests!$1:$1,0)+1,FALSE)</f>
        <v>パラノイア・アート</v>
      </c>
      <c r="D9" s="82" t="str">
        <f ca="1">VLOOKUP($B9,OFFSET([2]quests!$A$1,0,0,COUNTA([2]quests!$A:$A),MATCH(D$1,[2]quests!$1:$1,0)-MATCH($B$1,[2]quests!$1:$1,0)+1),MATCH(D$1,[2]quests!$1:$1,0)-MATCH($B$1,[2]quests!$1:$1,0)+1,FALSE)</f>
        <v>画家シリーズ超級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画家シリーズ超級</v>
      </c>
      <c r="H9" s="84">
        <v>2</v>
      </c>
      <c r="I9" s="89">
        <f t="shared" si="0"/>
        <v>8</v>
      </c>
      <c r="J9" s="85" t="str">
        <f t="shared" si="1"/>
        <v>3004108</v>
      </c>
      <c r="K9" s="83" t="s">
        <v>198</v>
      </c>
      <c r="L9" s="86" t="s">
        <v>199</v>
      </c>
      <c r="M9" s="111" t="s">
        <v>334</v>
      </c>
      <c r="N9" s="57" t="s">
        <v>200</v>
      </c>
    </row>
    <row r="10" spans="1:14" ht="42" x14ac:dyDescent="0.15">
      <c r="A10" s="80" t="s">
        <v>197</v>
      </c>
      <c r="B10" s="81">
        <f>floors!$C$2</f>
        <v>30041</v>
      </c>
      <c r="C10" s="82" t="str">
        <f ca="1">VLOOKUP($B10,OFFSET([2]quests!$A$1,0,0,COUNTA([2]quests!$A:$A),MATCH(C$1,[2]quests!$1:$1,0)-MATCH($B$1,[2]quests!$1:$1,0)+1),MATCH(C$1,[2]quests!$1:$1,0)-MATCH($B$1,[2]quests!$1:$1,0)+1,FALSE)</f>
        <v>パラノイア・アート</v>
      </c>
      <c r="D10" s="82" t="str">
        <f ca="1">VLOOKUP($B10,OFFSET([2]quests!$A$1,0,0,COUNTA([2]quests!$A:$A),MATCH(D$1,[2]quests!$1:$1,0)-MATCH($B$1,[2]quests!$1:$1,0)+1),MATCH(D$1,[2]quests!$1:$1,0)-MATCH($B$1,[2]quests!$1:$1,0)+1,FALSE)</f>
        <v>画家シリーズ超級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画家シリーズ超級</v>
      </c>
      <c r="H10" s="84">
        <v>2</v>
      </c>
      <c r="I10" s="89">
        <f t="shared" si="0"/>
        <v>9</v>
      </c>
      <c r="J10" s="85" t="str">
        <f t="shared" si="1"/>
        <v>3004109</v>
      </c>
      <c r="K10" s="83" t="s">
        <v>198</v>
      </c>
      <c r="L10" s="86" t="s">
        <v>199</v>
      </c>
      <c r="M10" s="111" t="s">
        <v>335</v>
      </c>
      <c r="N10" s="57" t="s">
        <v>200</v>
      </c>
    </row>
    <row r="11" spans="1:14" ht="56" x14ac:dyDescent="0.15">
      <c r="A11" s="80" t="s">
        <v>197</v>
      </c>
      <c r="B11" s="81">
        <f>floors!$C$2</f>
        <v>30041</v>
      </c>
      <c r="C11" s="82" t="str">
        <f ca="1">VLOOKUP($B11,OFFSET([2]quests!$A$1,0,0,COUNTA([2]quests!$A:$A),MATCH(C$1,[2]quests!$1:$1,0)-MATCH($B$1,[2]quests!$1:$1,0)+1),MATCH(C$1,[2]quests!$1:$1,0)-MATCH($B$1,[2]quests!$1:$1,0)+1,FALSE)</f>
        <v>パラノイア・アート</v>
      </c>
      <c r="D11" s="82" t="str">
        <f ca="1">VLOOKUP($B11,OFFSET([2]quests!$A$1,0,0,COUNTA([2]quests!$A:$A),MATCH(D$1,[2]quests!$1:$1,0)-MATCH($B$1,[2]quests!$1:$1,0)+1),MATCH(D$1,[2]quests!$1:$1,0)-MATCH($B$1,[2]quests!$1:$1,0)+1,FALSE)</f>
        <v>画家シリーズ超級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画家シリーズ超級</v>
      </c>
      <c r="H11" s="84">
        <v>3</v>
      </c>
      <c r="I11" s="89">
        <f t="shared" si="0"/>
        <v>10</v>
      </c>
      <c r="J11" s="85" t="str">
        <f t="shared" si="1"/>
        <v>3004110</v>
      </c>
      <c r="K11" s="83" t="s">
        <v>198</v>
      </c>
      <c r="L11" s="86" t="s">
        <v>199</v>
      </c>
      <c r="M11" s="111" t="s">
        <v>336</v>
      </c>
      <c r="N11" s="57" t="s">
        <v>200</v>
      </c>
    </row>
    <row r="12" spans="1:14" ht="28" x14ac:dyDescent="0.15">
      <c r="A12" s="80" t="s">
        <v>197</v>
      </c>
      <c r="B12" s="81">
        <f>floors!$C$2</f>
        <v>30041</v>
      </c>
      <c r="C12" s="82" t="str">
        <f ca="1">VLOOKUP($B12,OFFSET([2]quests!$A$1,0,0,COUNTA([2]quests!$A:$A),MATCH(C$1,[2]quests!$1:$1,0)-MATCH($B$1,[2]quests!$1:$1,0)+1),MATCH(C$1,[2]quests!$1:$1,0)-MATCH($B$1,[2]quests!$1:$1,0)+1,FALSE)</f>
        <v>パラノイア・アート</v>
      </c>
      <c r="D12" s="82" t="str">
        <f ca="1">VLOOKUP($B12,OFFSET([2]quests!$A$1,0,0,COUNTA([2]quests!$A:$A),MATCH(D$1,[2]quests!$1:$1,0)-MATCH($B$1,[2]quests!$1:$1,0)+1),MATCH(D$1,[2]quests!$1:$1,0)-MATCH($B$1,[2]quests!$1:$1,0)+1,FALSE)</f>
        <v>画家シリーズ超級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画家シリーズ超級</v>
      </c>
      <c r="H12" s="84">
        <v>3</v>
      </c>
      <c r="I12" s="89">
        <f t="shared" si="0"/>
        <v>11</v>
      </c>
      <c r="J12" s="85" t="str">
        <f t="shared" si="1"/>
        <v>3004111</v>
      </c>
      <c r="K12" s="83" t="s">
        <v>198</v>
      </c>
      <c r="L12" s="86" t="s">
        <v>199</v>
      </c>
      <c r="M12" s="111" t="s">
        <v>337</v>
      </c>
      <c r="N12" s="57" t="s">
        <v>200</v>
      </c>
    </row>
    <row r="13" spans="1:14" ht="56" x14ac:dyDescent="0.15">
      <c r="A13" s="80" t="s">
        <v>197</v>
      </c>
      <c r="B13" s="81">
        <f>floors!$C$2</f>
        <v>30041</v>
      </c>
      <c r="C13" s="82" t="str">
        <f ca="1">VLOOKUP($B13,OFFSET([2]quests!$A$1,0,0,COUNTA([2]quests!$A:$A),MATCH(C$1,[2]quests!$1:$1,0)-MATCH($B$1,[2]quests!$1:$1,0)+1),MATCH(C$1,[2]quests!$1:$1,0)-MATCH($B$1,[2]quests!$1:$1,0)+1,FALSE)</f>
        <v>パラノイア・アート</v>
      </c>
      <c r="D13" s="82" t="str">
        <f ca="1">VLOOKUP($B13,OFFSET([2]quests!$A$1,0,0,COUNTA([2]quests!$A:$A),MATCH(D$1,[2]quests!$1:$1,0)-MATCH($B$1,[2]quests!$1:$1,0)+1),MATCH(D$1,[2]quests!$1:$1,0)-MATCH($B$1,[2]quests!$1:$1,0)+1,FALSE)</f>
        <v>画家シリーズ超級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画家シリーズ超級</v>
      </c>
      <c r="H13" s="84">
        <v>4</v>
      </c>
      <c r="I13" s="89">
        <f t="shared" si="0"/>
        <v>12</v>
      </c>
      <c r="J13" s="85" t="str">
        <f t="shared" si="1"/>
        <v>3004112</v>
      </c>
      <c r="K13" s="83" t="s">
        <v>198</v>
      </c>
      <c r="L13" s="86" t="s">
        <v>199</v>
      </c>
      <c r="M13" s="111" t="s">
        <v>339</v>
      </c>
      <c r="N13" s="57" t="s">
        <v>200</v>
      </c>
    </row>
    <row r="14" spans="1:14" ht="42" x14ac:dyDescent="0.15">
      <c r="A14" s="80" t="s">
        <v>197</v>
      </c>
      <c r="B14" s="81">
        <f>floors!$C$2</f>
        <v>30041</v>
      </c>
      <c r="C14" s="82" t="str">
        <f ca="1">VLOOKUP($B14,OFFSET([2]quests!$A$1,0,0,COUNTA([2]quests!$A:$A),MATCH(C$1,[2]quests!$1:$1,0)-MATCH($B$1,[2]quests!$1:$1,0)+1),MATCH(C$1,[2]quests!$1:$1,0)-MATCH($B$1,[2]quests!$1:$1,0)+1,FALSE)</f>
        <v>パラノイア・アート</v>
      </c>
      <c r="D14" s="82" t="str">
        <f ca="1">VLOOKUP($B14,OFFSET([2]quests!$A$1,0,0,COUNTA([2]quests!$A:$A),MATCH(D$1,[2]quests!$1:$1,0)-MATCH($B$1,[2]quests!$1:$1,0)+1),MATCH(D$1,[2]quests!$1:$1,0)-MATCH($B$1,[2]quests!$1:$1,0)+1,FALSE)</f>
        <v>画家シリーズ超級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画家シリーズ超級</v>
      </c>
      <c r="H14" s="84">
        <v>4</v>
      </c>
      <c r="I14" s="89">
        <f t="shared" si="0"/>
        <v>13</v>
      </c>
      <c r="J14" s="85" t="str">
        <f t="shared" si="1"/>
        <v>3004113</v>
      </c>
      <c r="K14" s="83" t="s">
        <v>198</v>
      </c>
      <c r="L14" s="86" t="s">
        <v>199</v>
      </c>
      <c r="M14" s="111" t="s">
        <v>340</v>
      </c>
      <c r="N14" s="57" t="s">
        <v>200</v>
      </c>
    </row>
    <row r="15" spans="1:14" ht="42" x14ac:dyDescent="0.15">
      <c r="A15" s="80" t="s">
        <v>197</v>
      </c>
      <c r="B15" s="81">
        <f>floors!$C$2</f>
        <v>30041</v>
      </c>
      <c r="C15" s="82" t="str">
        <f ca="1">VLOOKUP($B15,OFFSET([2]quests!$A$1,0,0,COUNTA([2]quests!$A:$A),MATCH(C$1,[2]quests!$1:$1,0)-MATCH($B$1,[2]quests!$1:$1,0)+1),MATCH(C$1,[2]quests!$1:$1,0)-MATCH($B$1,[2]quests!$1:$1,0)+1,FALSE)</f>
        <v>パラノイア・アート</v>
      </c>
      <c r="D15" s="82" t="str">
        <f ca="1">VLOOKUP($B15,OFFSET([2]quests!$A$1,0,0,COUNTA([2]quests!$A:$A),MATCH(D$1,[2]quests!$1:$1,0)-MATCH($B$1,[2]quests!$1:$1,0)+1),MATCH(D$1,[2]quests!$1:$1,0)-MATCH($B$1,[2]quests!$1:$1,0)+1,FALSE)</f>
        <v>画家シリーズ超級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【上級】パラノイア・アート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画家シリーズ超級</v>
      </c>
      <c r="H15" s="84">
        <v>4</v>
      </c>
      <c r="I15" s="89">
        <f t="shared" si="0"/>
        <v>14</v>
      </c>
      <c r="J15" s="85" t="str">
        <f t="shared" si="1"/>
        <v>3004114</v>
      </c>
      <c r="K15" s="83" t="s">
        <v>198</v>
      </c>
      <c r="L15" s="86" t="s">
        <v>199</v>
      </c>
      <c r="M15" s="111" t="s">
        <v>338</v>
      </c>
      <c r="N15" s="57" t="s">
        <v>200</v>
      </c>
    </row>
    <row r="16" spans="1:14" ht="42" x14ac:dyDescent="0.15">
      <c r="A16" s="80" t="s">
        <v>197</v>
      </c>
      <c r="B16" s="81">
        <f>floors!$C$2</f>
        <v>30041</v>
      </c>
      <c r="C16" s="82" t="str">
        <f ca="1">VLOOKUP($B16,OFFSET([2]quests!$A$1,0,0,COUNTA([2]quests!$A:$A),MATCH(C$1,[2]quests!$1:$1,0)-MATCH($B$1,[2]quests!$1:$1,0)+1),MATCH(C$1,[2]quests!$1:$1,0)-MATCH($B$1,[2]quests!$1:$1,0)+1,FALSE)</f>
        <v>パラノイア・アート</v>
      </c>
      <c r="D16" s="82" t="str">
        <f ca="1">VLOOKUP($B16,OFFSET([2]quests!$A$1,0,0,COUNTA([2]quests!$A:$A),MATCH(D$1,[2]quests!$1:$1,0)-MATCH($B$1,[2]quests!$1:$1,0)+1),MATCH(D$1,[2]quests!$1:$1,0)-MATCH($B$1,[2]quests!$1:$1,0)+1,FALSE)</f>
        <v>画家シリーズ超級</v>
      </c>
      <c r="E16" s="83">
        <v>3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画家シリーズ超級</v>
      </c>
      <c r="H16" s="84">
        <v>1</v>
      </c>
      <c r="I16" s="89">
        <f t="shared" si="0"/>
        <v>15</v>
      </c>
      <c r="J16" s="85" t="str">
        <f t="shared" si="1"/>
        <v>3004115</v>
      </c>
      <c r="K16" s="83" t="s">
        <v>198</v>
      </c>
      <c r="L16" s="86" t="s">
        <v>199</v>
      </c>
      <c r="M16" s="111" t="s">
        <v>333</v>
      </c>
      <c r="N16" s="57" t="s">
        <v>200</v>
      </c>
    </row>
    <row r="17" spans="1:14" ht="28" x14ac:dyDescent="0.15">
      <c r="A17" s="80" t="s">
        <v>197</v>
      </c>
      <c r="B17" s="81">
        <f>floors!$C$2</f>
        <v>30041</v>
      </c>
      <c r="C17" s="82" t="str">
        <f ca="1">VLOOKUP($B17,OFFSET([2]quests!$A$1,0,0,COUNTA([2]quests!$A:$A),MATCH(C$1,[2]quests!$1:$1,0)-MATCH($B$1,[2]quests!$1:$1,0)+1),MATCH(C$1,[2]quests!$1:$1,0)-MATCH($B$1,[2]quests!$1:$1,0)+1,FALSE)</f>
        <v>パラノイア・アート</v>
      </c>
      <c r="D17" s="82" t="str">
        <f ca="1">VLOOKUP($B17,OFFSET([2]quests!$A$1,0,0,COUNTA([2]quests!$A:$A),MATCH(D$1,[2]quests!$1:$1,0)-MATCH($B$1,[2]quests!$1:$1,0)+1),MATCH(D$1,[2]quests!$1:$1,0)-MATCH($B$1,[2]quests!$1:$1,0)+1,FALSE)</f>
        <v>画家シリーズ超級</v>
      </c>
      <c r="E17" s="83">
        <v>3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画家シリーズ超級</v>
      </c>
      <c r="H17" s="84">
        <v>2</v>
      </c>
      <c r="I17" s="89">
        <f t="shared" si="0"/>
        <v>16</v>
      </c>
      <c r="J17" s="85" t="str">
        <f t="shared" si="1"/>
        <v>3004116</v>
      </c>
      <c r="K17" s="83" t="s">
        <v>198</v>
      </c>
      <c r="L17" s="86" t="s">
        <v>199</v>
      </c>
      <c r="M17" s="111" t="s">
        <v>334</v>
      </c>
      <c r="N17" s="57" t="s">
        <v>200</v>
      </c>
    </row>
    <row r="18" spans="1:14" ht="42" x14ac:dyDescent="0.15">
      <c r="A18" s="80" t="s">
        <v>197</v>
      </c>
      <c r="B18" s="81">
        <f>floors!$C$2</f>
        <v>30041</v>
      </c>
      <c r="C18" s="82" t="str">
        <f ca="1">VLOOKUP($B18,OFFSET([2]quests!$A$1,0,0,COUNTA([2]quests!$A:$A),MATCH(C$1,[2]quests!$1:$1,0)-MATCH($B$1,[2]quests!$1:$1,0)+1),MATCH(C$1,[2]quests!$1:$1,0)-MATCH($B$1,[2]quests!$1:$1,0)+1,FALSE)</f>
        <v>パラノイア・アート</v>
      </c>
      <c r="D18" s="82" t="str">
        <f ca="1">VLOOKUP($B18,OFFSET([2]quests!$A$1,0,0,COUNTA([2]quests!$A:$A),MATCH(D$1,[2]quests!$1:$1,0)-MATCH($B$1,[2]quests!$1:$1,0)+1),MATCH(D$1,[2]quests!$1:$1,0)-MATCH($B$1,[2]quests!$1:$1,0)+1,FALSE)</f>
        <v>画家シリーズ超級</v>
      </c>
      <c r="E18" s="83">
        <v>3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画家シリーズ超級</v>
      </c>
      <c r="H18" s="84">
        <v>2</v>
      </c>
      <c r="I18" s="89">
        <f t="shared" si="0"/>
        <v>17</v>
      </c>
      <c r="J18" s="85" t="str">
        <f t="shared" si="1"/>
        <v>3004117</v>
      </c>
      <c r="K18" s="83" t="s">
        <v>198</v>
      </c>
      <c r="L18" s="86" t="s">
        <v>199</v>
      </c>
      <c r="M18" s="111" t="s">
        <v>335</v>
      </c>
      <c r="N18" s="57" t="s">
        <v>200</v>
      </c>
    </row>
    <row r="19" spans="1:14" ht="56" x14ac:dyDescent="0.15">
      <c r="A19" s="80" t="s">
        <v>197</v>
      </c>
      <c r="B19" s="81">
        <f>floors!$C$2</f>
        <v>30041</v>
      </c>
      <c r="C19" s="82" t="str">
        <f ca="1">VLOOKUP($B19,OFFSET([2]quests!$A$1,0,0,COUNTA([2]quests!$A:$A),MATCH(C$1,[2]quests!$1:$1,0)-MATCH($B$1,[2]quests!$1:$1,0)+1),MATCH(C$1,[2]quests!$1:$1,0)-MATCH($B$1,[2]quests!$1:$1,0)+1,FALSE)</f>
        <v>パラノイア・アート</v>
      </c>
      <c r="D19" s="82" t="str">
        <f ca="1">VLOOKUP($B19,OFFSET([2]quests!$A$1,0,0,COUNTA([2]quests!$A:$A),MATCH(D$1,[2]quests!$1:$1,0)-MATCH($B$1,[2]quests!$1:$1,0)+1),MATCH(D$1,[2]quests!$1:$1,0)-MATCH($B$1,[2]quests!$1:$1,0)+1,FALSE)</f>
        <v>画家シリーズ超級</v>
      </c>
      <c r="E19" s="83">
        <v>3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画家シリーズ超級</v>
      </c>
      <c r="H19" s="84">
        <v>3</v>
      </c>
      <c r="I19" s="89">
        <f t="shared" si="0"/>
        <v>18</v>
      </c>
      <c r="J19" s="85" t="str">
        <f t="shared" si="1"/>
        <v>3004118</v>
      </c>
      <c r="K19" s="83" t="s">
        <v>198</v>
      </c>
      <c r="L19" s="86" t="s">
        <v>199</v>
      </c>
      <c r="M19" s="111" t="s">
        <v>336</v>
      </c>
      <c r="N19" s="57" t="s">
        <v>200</v>
      </c>
    </row>
    <row r="20" spans="1:14" ht="28" x14ac:dyDescent="0.15">
      <c r="A20" s="80" t="s">
        <v>197</v>
      </c>
      <c r="B20" s="81">
        <f>floors!$C$2</f>
        <v>30041</v>
      </c>
      <c r="C20" s="82" t="str">
        <f ca="1">VLOOKUP($B20,OFFSET([2]quests!$A$1,0,0,COUNTA([2]quests!$A:$A),MATCH(C$1,[2]quests!$1:$1,0)-MATCH($B$1,[2]quests!$1:$1,0)+1),MATCH(C$1,[2]quests!$1:$1,0)-MATCH($B$1,[2]quests!$1:$1,0)+1,FALSE)</f>
        <v>パラノイア・アート</v>
      </c>
      <c r="D20" s="82" t="str">
        <f ca="1">VLOOKUP($B20,OFFSET([2]quests!$A$1,0,0,COUNTA([2]quests!$A:$A),MATCH(D$1,[2]quests!$1:$1,0)-MATCH($B$1,[2]quests!$1:$1,0)+1),MATCH(D$1,[2]quests!$1:$1,0)-MATCH($B$1,[2]quests!$1:$1,0)+1,FALSE)</f>
        <v>画家シリーズ超級</v>
      </c>
      <c r="E20" s="83">
        <v>3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画家シリーズ超級</v>
      </c>
      <c r="H20" s="84">
        <v>3</v>
      </c>
      <c r="I20" s="89">
        <f t="shared" si="0"/>
        <v>19</v>
      </c>
      <c r="J20" s="85" t="str">
        <f t="shared" si="1"/>
        <v>3004119</v>
      </c>
      <c r="K20" s="83" t="s">
        <v>198</v>
      </c>
      <c r="L20" s="86" t="s">
        <v>199</v>
      </c>
      <c r="M20" s="111" t="s">
        <v>337</v>
      </c>
      <c r="N20" s="57" t="s">
        <v>200</v>
      </c>
    </row>
    <row r="21" spans="1:14" ht="56" x14ac:dyDescent="0.15">
      <c r="A21" s="80" t="s">
        <v>197</v>
      </c>
      <c r="B21" s="81">
        <f>floors!$C$2</f>
        <v>30041</v>
      </c>
      <c r="C21" s="82" t="str">
        <f ca="1">VLOOKUP($B21,OFFSET([2]quests!$A$1,0,0,COUNTA([2]quests!$A:$A),MATCH(C$1,[2]quests!$1:$1,0)-MATCH($B$1,[2]quests!$1:$1,0)+1),MATCH(C$1,[2]quests!$1:$1,0)-MATCH($B$1,[2]quests!$1:$1,0)+1,FALSE)</f>
        <v>パラノイア・アート</v>
      </c>
      <c r="D21" s="82" t="str">
        <f ca="1">VLOOKUP($B21,OFFSET([2]quests!$A$1,0,0,COUNTA([2]quests!$A:$A),MATCH(D$1,[2]quests!$1:$1,0)-MATCH($B$1,[2]quests!$1:$1,0)+1),MATCH(D$1,[2]quests!$1:$1,0)-MATCH($B$1,[2]quests!$1:$1,0)+1,FALSE)</f>
        <v>画家シリーズ超級</v>
      </c>
      <c r="E21" s="83">
        <v>3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画家シリーズ超級</v>
      </c>
      <c r="H21" s="84">
        <v>4</v>
      </c>
      <c r="I21" s="89">
        <f t="shared" si="0"/>
        <v>20</v>
      </c>
      <c r="J21" s="85" t="str">
        <f t="shared" si="1"/>
        <v>3004120</v>
      </c>
      <c r="K21" s="83" t="s">
        <v>198</v>
      </c>
      <c r="L21" s="86" t="s">
        <v>199</v>
      </c>
      <c r="M21" s="111" t="s">
        <v>339</v>
      </c>
      <c r="N21" s="57" t="s">
        <v>200</v>
      </c>
    </row>
    <row r="22" spans="1:14" ht="42" x14ac:dyDescent="0.15">
      <c r="A22" s="80" t="s">
        <v>197</v>
      </c>
      <c r="B22" s="81">
        <f>floors!$C$2</f>
        <v>30041</v>
      </c>
      <c r="C22" s="82" t="str">
        <f ca="1">VLOOKUP($B22,OFFSET([2]quests!$A$1,0,0,COUNTA([2]quests!$A:$A),MATCH(C$1,[2]quests!$1:$1,0)-MATCH($B$1,[2]quests!$1:$1,0)+1),MATCH(C$1,[2]quests!$1:$1,0)-MATCH($B$1,[2]quests!$1:$1,0)+1,FALSE)</f>
        <v>パラノイア・アート</v>
      </c>
      <c r="D22" s="82" t="str">
        <f ca="1">VLOOKUP($B22,OFFSET([2]quests!$A$1,0,0,COUNTA([2]quests!$A:$A),MATCH(D$1,[2]quests!$1:$1,0)-MATCH($B$1,[2]quests!$1:$1,0)+1),MATCH(D$1,[2]quests!$1:$1,0)-MATCH($B$1,[2]quests!$1:$1,0)+1,FALSE)</f>
        <v>画家シリーズ超級</v>
      </c>
      <c r="E22" s="83">
        <v>3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画家シリーズ超級</v>
      </c>
      <c r="H22" s="84">
        <v>4</v>
      </c>
      <c r="I22" s="89">
        <f t="shared" si="0"/>
        <v>21</v>
      </c>
      <c r="J22" s="85" t="str">
        <f t="shared" si="1"/>
        <v>3004121</v>
      </c>
      <c r="K22" s="83" t="s">
        <v>198</v>
      </c>
      <c r="L22" s="86" t="s">
        <v>199</v>
      </c>
      <c r="M22" s="111" t="s">
        <v>340</v>
      </c>
      <c r="N22" s="57" t="s">
        <v>200</v>
      </c>
    </row>
    <row r="23" spans="1:14" ht="42" x14ac:dyDescent="0.15">
      <c r="A23" s="80" t="s">
        <v>197</v>
      </c>
      <c r="B23" s="81">
        <f>floors!$C$2</f>
        <v>30041</v>
      </c>
      <c r="C23" s="82" t="str">
        <f ca="1">VLOOKUP($B23,OFFSET([2]quests!$A$1,0,0,COUNTA([2]quests!$A:$A),MATCH(C$1,[2]quests!$1:$1,0)-MATCH($B$1,[2]quests!$1:$1,0)+1),MATCH(C$1,[2]quests!$1:$1,0)-MATCH($B$1,[2]quests!$1:$1,0)+1,FALSE)</f>
        <v>パラノイア・アート</v>
      </c>
      <c r="D23" s="82" t="str">
        <f ca="1">VLOOKUP($B23,OFFSET([2]quests!$A$1,0,0,COUNTA([2]quests!$A:$A),MATCH(D$1,[2]quests!$1:$1,0)-MATCH($B$1,[2]quests!$1:$1,0)+1),MATCH(D$1,[2]quests!$1:$1,0)-MATCH($B$1,[2]quests!$1:$1,0)+1,FALSE)</f>
        <v>画家シリーズ超級</v>
      </c>
      <c r="E23" s="83">
        <v>3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【超級】パラノイア・アート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画家シリーズ超級</v>
      </c>
      <c r="H23" s="84">
        <v>4</v>
      </c>
      <c r="I23" s="89">
        <f t="shared" si="0"/>
        <v>22</v>
      </c>
      <c r="J23" s="85" t="str">
        <f t="shared" si="1"/>
        <v>3004122</v>
      </c>
      <c r="K23" s="83" t="s">
        <v>198</v>
      </c>
      <c r="L23" s="86" t="s">
        <v>199</v>
      </c>
      <c r="M23" s="111" t="s">
        <v>338</v>
      </c>
      <c r="N23" s="57" t="s">
        <v>200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214</v>
      </c>
      <c r="B1" s="97" t="s">
        <v>215</v>
      </c>
      <c r="C1" s="76" t="s">
        <v>216</v>
      </c>
      <c r="D1" s="76" t="s">
        <v>33</v>
      </c>
      <c r="E1" s="97" t="s">
        <v>217</v>
      </c>
      <c r="F1" s="76" t="s">
        <v>218</v>
      </c>
      <c r="G1" s="76" t="s">
        <v>33</v>
      </c>
      <c r="H1" s="97" t="s">
        <v>219</v>
      </c>
      <c r="I1" s="97" t="s">
        <v>220</v>
      </c>
      <c r="J1" s="97" t="s">
        <v>221</v>
      </c>
      <c r="K1" s="72" t="s">
        <v>222</v>
      </c>
      <c r="L1" s="72" t="s">
        <v>223</v>
      </c>
      <c r="M1" s="72" t="s">
        <v>157</v>
      </c>
      <c r="N1" s="76" t="s">
        <v>16</v>
      </c>
      <c r="O1" s="72" t="s">
        <v>224</v>
      </c>
      <c r="P1" s="72" t="s">
        <v>57</v>
      </c>
      <c r="Q1" s="72" t="s">
        <v>225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226</v>
      </c>
      <c r="X1" s="72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2017-03-08T06:25:58Z</dcterms:modified>
</cp:coreProperties>
</file>