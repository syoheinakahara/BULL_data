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8640" yWindow="460" windowWidth="29760" windowHeight="198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8" l="1"/>
  <c r="D6" i="18"/>
  <c r="C5" i="18"/>
  <c r="D5" i="18"/>
  <c r="C4" i="18"/>
  <c r="D4" i="18"/>
  <c r="C3" i="18"/>
  <c r="D3" i="18"/>
  <c r="C2" i="18"/>
  <c r="D2" i="18"/>
  <c r="C8" i="18"/>
  <c r="D8" i="18"/>
  <c r="C9" i="18"/>
  <c r="D9" i="18"/>
  <c r="C12" i="18"/>
  <c r="D12" i="18"/>
  <c r="C11" i="18"/>
  <c r="D11" i="18"/>
  <c r="C10" i="18"/>
  <c r="D10" i="18"/>
  <c r="C7" i="18"/>
  <c r="D7" i="18"/>
  <c r="N3" i="22"/>
  <c r="G3" i="22"/>
  <c r="F3" i="22"/>
  <c r="D3" i="22"/>
  <c r="C3" i="22"/>
  <c r="A3" i="22"/>
  <c r="N9" i="22"/>
  <c r="G9" i="22"/>
  <c r="F9" i="22"/>
  <c r="D9" i="22"/>
  <c r="C9" i="22"/>
  <c r="A9" i="22"/>
  <c r="N8" i="22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N2" i="22"/>
  <c r="G2" i="22"/>
  <c r="F2" i="22"/>
  <c r="D2" i="22"/>
  <c r="C2" i="22"/>
  <c r="A2" i="22"/>
  <c r="J38" i="11"/>
  <c r="O165" i="9"/>
  <c r="N165" i="9"/>
  <c r="M165" i="9"/>
  <c r="L165" i="9"/>
  <c r="K165" i="9"/>
  <c r="J165" i="9"/>
  <c r="I165" i="9"/>
  <c r="H165" i="9"/>
  <c r="G165" i="9"/>
  <c r="E165" i="9"/>
  <c r="D165" i="9"/>
  <c r="A165" i="9"/>
  <c r="J37" i="11"/>
  <c r="O164" i="9"/>
  <c r="N164" i="9"/>
  <c r="M164" i="9"/>
  <c r="L164" i="9"/>
  <c r="K164" i="9"/>
  <c r="J164" i="9"/>
  <c r="I164" i="9"/>
  <c r="H164" i="9"/>
  <c r="G164" i="9"/>
  <c r="E164" i="9"/>
  <c r="D164" i="9"/>
  <c r="A164" i="9"/>
  <c r="J36" i="11"/>
  <c r="O163" i="9"/>
  <c r="N163" i="9"/>
  <c r="M163" i="9"/>
  <c r="L163" i="9"/>
  <c r="K163" i="9"/>
  <c r="J163" i="9"/>
  <c r="I163" i="9"/>
  <c r="H163" i="9"/>
  <c r="G163" i="9"/>
  <c r="E163" i="9"/>
  <c r="D163" i="9"/>
  <c r="A163" i="9"/>
  <c r="J35" i="11"/>
  <c r="O162" i="9"/>
  <c r="N162" i="9"/>
  <c r="M162" i="9"/>
  <c r="L162" i="9"/>
  <c r="K162" i="9"/>
  <c r="J162" i="9"/>
  <c r="I162" i="9"/>
  <c r="H162" i="9"/>
  <c r="G162" i="9"/>
  <c r="E162" i="9"/>
  <c r="D162" i="9"/>
  <c r="A162" i="9"/>
  <c r="J34" i="11"/>
  <c r="O161" i="9"/>
  <c r="N161" i="9"/>
  <c r="M161" i="9"/>
  <c r="L161" i="9"/>
  <c r="K161" i="9"/>
  <c r="J161" i="9"/>
  <c r="I161" i="9"/>
  <c r="H161" i="9"/>
  <c r="G161" i="9"/>
  <c r="E161" i="9"/>
  <c r="D161" i="9"/>
  <c r="A161" i="9"/>
  <c r="J33" i="11"/>
  <c r="O160" i="9"/>
  <c r="N160" i="9"/>
  <c r="M160" i="9"/>
  <c r="L160" i="9"/>
  <c r="K160" i="9"/>
  <c r="J160" i="9"/>
  <c r="I160" i="9"/>
  <c r="H160" i="9"/>
  <c r="G160" i="9"/>
  <c r="E160" i="9"/>
  <c r="D160" i="9"/>
  <c r="A160" i="9"/>
  <c r="J32" i="11"/>
  <c r="O159" i="9"/>
  <c r="N159" i="9"/>
  <c r="M159" i="9"/>
  <c r="L159" i="9"/>
  <c r="K159" i="9"/>
  <c r="J159" i="9"/>
  <c r="I159" i="9"/>
  <c r="H159" i="9"/>
  <c r="G159" i="9"/>
  <c r="E159" i="9"/>
  <c r="D159" i="9"/>
  <c r="A159" i="9"/>
  <c r="J31" i="11"/>
  <c r="O158" i="9"/>
  <c r="N158" i="9"/>
  <c r="M158" i="9"/>
  <c r="L158" i="9"/>
  <c r="K158" i="9"/>
  <c r="J158" i="9"/>
  <c r="I158" i="9"/>
  <c r="H158" i="9"/>
  <c r="G158" i="9"/>
  <c r="E158" i="9"/>
  <c r="D158" i="9"/>
  <c r="A158" i="9"/>
  <c r="J30" i="11"/>
  <c r="O157" i="9"/>
  <c r="N157" i="9"/>
  <c r="M157" i="9"/>
  <c r="L157" i="9"/>
  <c r="K157" i="9"/>
  <c r="J157" i="9"/>
  <c r="I157" i="9"/>
  <c r="H157" i="9"/>
  <c r="G157" i="9"/>
  <c r="E157" i="9"/>
  <c r="D157" i="9"/>
  <c r="A157" i="9"/>
  <c r="J29" i="11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E39" i="9"/>
  <c r="Y21" i="7"/>
  <c r="W21" i="7"/>
  <c r="U21" i="7"/>
  <c r="R21" i="7"/>
  <c r="Q21" i="7"/>
  <c r="P21" i="7"/>
  <c r="O21" i="7"/>
  <c r="N21" i="7"/>
  <c r="H21" i="7"/>
  <c r="G2" i="2"/>
  <c r="A2" i="2"/>
  <c r="G3" i="2"/>
  <c r="A3" i="2"/>
  <c r="G4" i="2"/>
  <c r="A4" i="2"/>
  <c r="G5" i="2"/>
  <c r="A5" i="2"/>
  <c r="J21" i="7"/>
  <c r="I21" i="7"/>
  <c r="D21" i="7"/>
  <c r="F21" i="7"/>
  <c r="E21" i="7"/>
  <c r="A21" i="7"/>
  <c r="E116" i="9"/>
  <c r="Y20" i="7"/>
  <c r="W20" i="7"/>
  <c r="U20" i="7"/>
  <c r="R20" i="7"/>
  <c r="Q20" i="7"/>
  <c r="P20" i="7"/>
  <c r="O20" i="7"/>
  <c r="N20" i="7"/>
  <c r="H20" i="7"/>
  <c r="J20" i="7"/>
  <c r="I20" i="7"/>
  <c r="D20" i="7"/>
  <c r="F20" i="7"/>
  <c r="E20" i="7"/>
  <c r="A20" i="7"/>
  <c r="Y19" i="7"/>
  <c r="W19" i="7"/>
  <c r="U19" i="7"/>
  <c r="R19" i="7"/>
  <c r="Q19" i="7"/>
  <c r="P19" i="7"/>
  <c r="O19" i="7"/>
  <c r="N19" i="7"/>
  <c r="H19" i="7"/>
  <c r="J19" i="7"/>
  <c r="I19" i="7"/>
  <c r="D19" i="7"/>
  <c r="F19" i="7"/>
  <c r="E19" i="7"/>
  <c r="A19" i="7"/>
  <c r="E106" i="9"/>
  <c r="Y18" i="7"/>
  <c r="W18" i="7"/>
  <c r="U18" i="7"/>
  <c r="R18" i="7"/>
  <c r="Q18" i="7"/>
  <c r="P18" i="7"/>
  <c r="O18" i="7"/>
  <c r="N18" i="7"/>
  <c r="H18" i="7"/>
  <c r="J18" i="7"/>
  <c r="I18" i="7"/>
  <c r="D18" i="7"/>
  <c r="F18" i="7"/>
  <c r="E18" i="7"/>
  <c r="A18" i="7"/>
  <c r="Y17" i="7"/>
  <c r="W17" i="7"/>
  <c r="U17" i="7"/>
  <c r="R17" i="7"/>
  <c r="Q17" i="7"/>
  <c r="P17" i="7"/>
  <c r="O17" i="7"/>
  <c r="N17" i="7"/>
  <c r="H17" i="7"/>
  <c r="J17" i="7"/>
  <c r="I17" i="7"/>
  <c r="D17" i="7"/>
  <c r="F17" i="7"/>
  <c r="E17" i="7"/>
  <c r="A17" i="7"/>
  <c r="E96" i="9"/>
  <c r="Y16" i="7"/>
  <c r="W16" i="7"/>
  <c r="U16" i="7"/>
  <c r="R16" i="7"/>
  <c r="Q16" i="7"/>
  <c r="P16" i="7"/>
  <c r="O16" i="7"/>
  <c r="N16" i="7"/>
  <c r="H16" i="7"/>
  <c r="J16" i="7"/>
  <c r="I16" i="7"/>
  <c r="D16" i="7"/>
  <c r="F16" i="7"/>
  <c r="E16" i="7"/>
  <c r="A16" i="7"/>
  <c r="E74" i="9"/>
  <c r="Y11" i="7"/>
  <c r="W11" i="7"/>
  <c r="U11" i="7"/>
  <c r="R11" i="7"/>
  <c r="Q11" i="7"/>
  <c r="P11" i="7"/>
  <c r="O11" i="7"/>
  <c r="N11" i="7"/>
  <c r="H11" i="7"/>
  <c r="J11" i="7"/>
  <c r="I11" i="7"/>
  <c r="D11" i="7"/>
  <c r="F11" i="7"/>
  <c r="E11" i="7"/>
  <c r="A11" i="7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Y9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AD4" i="1"/>
  <c r="AF4" i="1"/>
  <c r="AI4" i="1"/>
  <c r="AG4" i="1"/>
  <c r="AE4" i="1"/>
  <c r="E62" i="9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E17" i="9"/>
  <c r="X9" i="1"/>
  <c r="AD9" i="1"/>
  <c r="AE9" i="1"/>
  <c r="AF9" i="1"/>
  <c r="AG9" i="1"/>
  <c r="AI9" i="1"/>
  <c r="A10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A11" i="1"/>
  <c r="D11" i="1"/>
  <c r="E11" i="1"/>
  <c r="F11" i="1"/>
  <c r="H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A14" i="7"/>
  <c r="D14" i="7"/>
  <c r="E14" i="7"/>
  <c r="F14" i="7"/>
  <c r="H14" i="7"/>
  <c r="I14" i="7"/>
  <c r="J14" i="7"/>
  <c r="N14" i="7"/>
  <c r="O14" i="7"/>
  <c r="P14" i="7"/>
  <c r="Q14" i="7"/>
  <c r="R14" i="7"/>
  <c r="U14" i="7"/>
  <c r="W14" i="7"/>
  <c r="E29" i="9"/>
  <c r="Y14" i="7"/>
  <c r="A15" i="7"/>
  <c r="D15" i="7"/>
  <c r="E15" i="7"/>
  <c r="F15" i="7"/>
  <c r="H15" i="7"/>
  <c r="I15" i="7"/>
  <c r="J15" i="7"/>
  <c r="N15" i="7"/>
  <c r="O15" i="7"/>
  <c r="P15" i="7"/>
  <c r="Q15" i="7"/>
  <c r="R15" i="7"/>
  <c r="U15" i="7"/>
  <c r="W15" i="7"/>
  <c r="Y15" i="7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D96" i="9"/>
  <c r="A96" i="9"/>
  <c r="J18" i="11"/>
  <c r="O63" i="9"/>
  <c r="N63" i="9"/>
  <c r="M63" i="9"/>
  <c r="L63" i="9"/>
  <c r="K63" i="9"/>
  <c r="J63" i="9"/>
  <c r="I63" i="9"/>
  <c r="H63" i="9"/>
  <c r="G63" i="9"/>
  <c r="E63" i="9"/>
  <c r="D63" i="9"/>
  <c r="A63" i="9"/>
  <c r="O18" i="9"/>
  <c r="N18" i="9"/>
  <c r="M18" i="9"/>
  <c r="L18" i="9"/>
  <c r="K18" i="9"/>
  <c r="J18" i="9"/>
  <c r="I18" i="9"/>
  <c r="H18" i="9"/>
  <c r="G18" i="9"/>
  <c r="E18" i="9"/>
  <c r="D18" i="9"/>
  <c r="A18" i="9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J61" i="11"/>
  <c r="O95" i="9"/>
  <c r="N95" i="9"/>
  <c r="M95" i="9"/>
  <c r="L95" i="9"/>
  <c r="K95" i="9"/>
  <c r="J95" i="9"/>
  <c r="I95" i="9"/>
  <c r="H95" i="9"/>
  <c r="G95" i="9"/>
  <c r="E95" i="9"/>
  <c r="D95" i="9"/>
  <c r="A95" i="9"/>
  <c r="J60" i="11"/>
  <c r="O94" i="9"/>
  <c r="N94" i="9"/>
  <c r="M94" i="9"/>
  <c r="L94" i="9"/>
  <c r="K94" i="9"/>
  <c r="J94" i="9"/>
  <c r="I94" i="9"/>
  <c r="H94" i="9"/>
  <c r="G94" i="9"/>
  <c r="E94" i="9"/>
  <c r="D94" i="9"/>
  <c r="A94" i="9"/>
  <c r="J59" i="11"/>
  <c r="O93" i="9"/>
  <c r="N93" i="9"/>
  <c r="M93" i="9"/>
  <c r="L93" i="9"/>
  <c r="K93" i="9"/>
  <c r="J93" i="9"/>
  <c r="I93" i="9"/>
  <c r="H93" i="9"/>
  <c r="G93" i="9"/>
  <c r="E93" i="9"/>
  <c r="D93" i="9"/>
  <c r="A93" i="9"/>
  <c r="J58" i="11"/>
  <c r="O92" i="9"/>
  <c r="N92" i="9"/>
  <c r="M92" i="9"/>
  <c r="L92" i="9"/>
  <c r="K92" i="9"/>
  <c r="J92" i="9"/>
  <c r="I92" i="9"/>
  <c r="H92" i="9"/>
  <c r="G92" i="9"/>
  <c r="E92" i="9"/>
  <c r="D92" i="9"/>
  <c r="A92" i="9"/>
  <c r="J57" i="11"/>
  <c r="O91" i="9"/>
  <c r="N91" i="9"/>
  <c r="M91" i="9"/>
  <c r="L91" i="9"/>
  <c r="K91" i="9"/>
  <c r="J91" i="9"/>
  <c r="I91" i="9"/>
  <c r="H91" i="9"/>
  <c r="G91" i="9"/>
  <c r="E91" i="9"/>
  <c r="D91" i="9"/>
  <c r="A91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M6" i="10"/>
  <c r="T6" i="10"/>
  <c r="W6" i="10"/>
  <c r="V6" i="10"/>
  <c r="X6" i="10"/>
  <c r="U6" i="10"/>
  <c r="Y6" i="10"/>
  <c r="M19" i="10"/>
  <c r="M27" i="10"/>
  <c r="M35" i="10"/>
  <c r="M44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N27" i="10"/>
  <c r="Q27" i="10"/>
  <c r="P27" i="10"/>
  <c r="R27" i="10"/>
  <c r="O27" i="10"/>
  <c r="S27" i="10"/>
  <c r="N19" i="10"/>
  <c r="Q19" i="10"/>
  <c r="P19" i="10"/>
  <c r="R19" i="10"/>
  <c r="O19" i="10"/>
  <c r="S19" i="10"/>
  <c r="N6" i="10"/>
  <c r="Q6" i="10"/>
  <c r="P6" i="10"/>
  <c r="R6" i="10"/>
  <c r="O6" i="10"/>
  <c r="S6" i="10"/>
  <c r="G6" i="10"/>
  <c r="J6" i="10"/>
  <c r="I6" i="10"/>
  <c r="K6" i="10"/>
  <c r="H6" i="10"/>
  <c r="L6" i="10"/>
  <c r="J56" i="11"/>
  <c r="O90" i="9"/>
  <c r="N90" i="9"/>
  <c r="M90" i="9"/>
  <c r="L90" i="9"/>
  <c r="K90" i="9"/>
  <c r="J90" i="9"/>
  <c r="I90" i="9"/>
  <c r="H90" i="9"/>
  <c r="G90" i="9"/>
  <c r="E90" i="9"/>
  <c r="D90" i="9"/>
  <c r="A90" i="9"/>
  <c r="J55" i="11"/>
  <c r="O89" i="9"/>
  <c r="N89" i="9"/>
  <c r="M89" i="9"/>
  <c r="L89" i="9"/>
  <c r="K89" i="9"/>
  <c r="J89" i="9"/>
  <c r="I89" i="9"/>
  <c r="H89" i="9"/>
  <c r="G89" i="9"/>
  <c r="E89" i="9"/>
  <c r="D89" i="9"/>
  <c r="A89" i="9"/>
  <c r="J54" i="11"/>
  <c r="O88" i="9"/>
  <c r="N88" i="9"/>
  <c r="M88" i="9"/>
  <c r="L88" i="9"/>
  <c r="K88" i="9"/>
  <c r="J88" i="9"/>
  <c r="I88" i="9"/>
  <c r="H88" i="9"/>
  <c r="G88" i="9"/>
  <c r="E88" i="9"/>
  <c r="D88" i="9"/>
  <c r="A88" i="9"/>
  <c r="J53" i="11"/>
  <c r="O87" i="9"/>
  <c r="N87" i="9"/>
  <c r="M87" i="9"/>
  <c r="L87" i="9"/>
  <c r="K87" i="9"/>
  <c r="J87" i="9"/>
  <c r="I87" i="9"/>
  <c r="H87" i="9"/>
  <c r="G87" i="9"/>
  <c r="E87" i="9"/>
  <c r="D87" i="9"/>
  <c r="A87" i="9"/>
  <c r="J52" i="11"/>
  <c r="O86" i="9"/>
  <c r="N86" i="9"/>
  <c r="M86" i="9"/>
  <c r="L86" i="9"/>
  <c r="K86" i="9"/>
  <c r="J86" i="9"/>
  <c r="I86" i="9"/>
  <c r="H86" i="9"/>
  <c r="G86" i="9"/>
  <c r="E86" i="9"/>
  <c r="D86" i="9"/>
  <c r="A86" i="9"/>
  <c r="J51" i="11"/>
  <c r="O85" i="9"/>
  <c r="N85" i="9"/>
  <c r="M85" i="9"/>
  <c r="L85" i="9"/>
  <c r="K85" i="9"/>
  <c r="J85" i="9"/>
  <c r="I85" i="9"/>
  <c r="H85" i="9"/>
  <c r="G85" i="9"/>
  <c r="E85" i="9"/>
  <c r="D85" i="9"/>
  <c r="A85" i="9"/>
  <c r="J50" i="11"/>
  <c r="O84" i="9"/>
  <c r="N84" i="9"/>
  <c r="M84" i="9"/>
  <c r="L84" i="9"/>
  <c r="K84" i="9"/>
  <c r="J84" i="9"/>
  <c r="I84" i="9"/>
  <c r="H84" i="9"/>
  <c r="G84" i="9"/>
  <c r="E84" i="9"/>
  <c r="D84" i="9"/>
  <c r="A84" i="9"/>
  <c r="J49" i="11"/>
  <c r="O83" i="9"/>
  <c r="N83" i="9"/>
  <c r="M83" i="9"/>
  <c r="L83" i="9"/>
  <c r="K83" i="9"/>
  <c r="J83" i="9"/>
  <c r="I83" i="9"/>
  <c r="H83" i="9"/>
  <c r="G83" i="9"/>
  <c r="E83" i="9"/>
  <c r="D83" i="9"/>
  <c r="A83" i="9"/>
  <c r="J48" i="11"/>
  <c r="O82" i="9"/>
  <c r="N82" i="9"/>
  <c r="M82" i="9"/>
  <c r="L82" i="9"/>
  <c r="K82" i="9"/>
  <c r="J82" i="9"/>
  <c r="I82" i="9"/>
  <c r="H82" i="9"/>
  <c r="G82" i="9"/>
  <c r="E82" i="9"/>
  <c r="D82" i="9"/>
  <c r="A82" i="9"/>
  <c r="J47" i="11"/>
  <c r="O81" i="9"/>
  <c r="N81" i="9"/>
  <c r="M81" i="9"/>
  <c r="L81" i="9"/>
  <c r="K81" i="9"/>
  <c r="J81" i="9"/>
  <c r="I81" i="9"/>
  <c r="H81" i="9"/>
  <c r="G81" i="9"/>
  <c r="E81" i="9"/>
  <c r="D81" i="9"/>
  <c r="A81" i="9"/>
  <c r="J46" i="11"/>
  <c r="O80" i="9"/>
  <c r="N80" i="9"/>
  <c r="M80" i="9"/>
  <c r="L80" i="9"/>
  <c r="K80" i="9"/>
  <c r="J80" i="9"/>
  <c r="I80" i="9"/>
  <c r="H80" i="9"/>
  <c r="G80" i="9"/>
  <c r="E80" i="9"/>
  <c r="D80" i="9"/>
  <c r="A80" i="9"/>
  <c r="J45" i="11"/>
  <c r="O79" i="9"/>
  <c r="N79" i="9"/>
  <c r="M79" i="9"/>
  <c r="L79" i="9"/>
  <c r="K79" i="9"/>
  <c r="J79" i="9"/>
  <c r="I79" i="9"/>
  <c r="H79" i="9"/>
  <c r="G79" i="9"/>
  <c r="E79" i="9"/>
  <c r="D79" i="9"/>
  <c r="A79" i="9"/>
  <c r="J44" i="11"/>
  <c r="O78" i="9"/>
  <c r="N78" i="9"/>
  <c r="M78" i="9"/>
  <c r="L78" i="9"/>
  <c r="K78" i="9"/>
  <c r="J78" i="9"/>
  <c r="I78" i="9"/>
  <c r="H78" i="9"/>
  <c r="G78" i="9"/>
  <c r="E78" i="9"/>
  <c r="D78" i="9"/>
  <c r="A78" i="9"/>
  <c r="J42" i="11"/>
  <c r="O77" i="9"/>
  <c r="N77" i="9"/>
  <c r="M77" i="9"/>
  <c r="L77" i="9"/>
  <c r="K77" i="9"/>
  <c r="J77" i="9"/>
  <c r="I77" i="9"/>
  <c r="H77" i="9"/>
  <c r="G77" i="9"/>
  <c r="E77" i="9"/>
  <c r="D77" i="9"/>
  <c r="A77" i="9"/>
  <c r="J41" i="11"/>
  <c r="O76" i="9"/>
  <c r="N76" i="9"/>
  <c r="M76" i="9"/>
  <c r="L76" i="9"/>
  <c r="K76" i="9"/>
  <c r="J76" i="9"/>
  <c r="I76" i="9"/>
  <c r="H76" i="9"/>
  <c r="G76" i="9"/>
  <c r="E76" i="9"/>
  <c r="D76" i="9"/>
  <c r="A76" i="9"/>
  <c r="J40" i="11"/>
  <c r="O75" i="9"/>
  <c r="N75" i="9"/>
  <c r="M75" i="9"/>
  <c r="L75" i="9"/>
  <c r="K75" i="9"/>
  <c r="J75" i="9"/>
  <c r="I75" i="9"/>
  <c r="H75" i="9"/>
  <c r="G75" i="9"/>
  <c r="E75" i="9"/>
  <c r="D75" i="9"/>
  <c r="A75" i="9"/>
  <c r="J39" i="11"/>
  <c r="O74" i="9"/>
  <c r="N74" i="9"/>
  <c r="M74" i="9"/>
  <c r="L74" i="9"/>
  <c r="K74" i="9"/>
  <c r="J74" i="9"/>
  <c r="I74" i="9"/>
  <c r="H74" i="9"/>
  <c r="G74" i="9"/>
  <c r="D74" i="9"/>
  <c r="A74" i="9"/>
  <c r="J28" i="11"/>
  <c r="O73" i="9"/>
  <c r="N73" i="9"/>
  <c r="M73" i="9"/>
  <c r="L73" i="9"/>
  <c r="K73" i="9"/>
  <c r="J73" i="9"/>
  <c r="I73" i="9"/>
  <c r="H73" i="9"/>
  <c r="G73" i="9"/>
  <c r="E73" i="9"/>
  <c r="D73" i="9"/>
  <c r="A73" i="9"/>
  <c r="J27" i="11"/>
  <c r="O72" i="9"/>
  <c r="N72" i="9"/>
  <c r="M72" i="9"/>
  <c r="L72" i="9"/>
  <c r="K72" i="9"/>
  <c r="J72" i="9"/>
  <c r="I72" i="9"/>
  <c r="H72" i="9"/>
  <c r="G72" i="9"/>
  <c r="E72" i="9"/>
  <c r="D72" i="9"/>
  <c r="A72" i="9"/>
  <c r="J26" i="11"/>
  <c r="O71" i="9"/>
  <c r="N71" i="9"/>
  <c r="M71" i="9"/>
  <c r="L71" i="9"/>
  <c r="K71" i="9"/>
  <c r="J71" i="9"/>
  <c r="I71" i="9"/>
  <c r="H71" i="9"/>
  <c r="G71" i="9"/>
  <c r="E71" i="9"/>
  <c r="D71" i="9"/>
  <c r="A71" i="9"/>
  <c r="J25" i="11"/>
  <c r="O70" i="9"/>
  <c r="N70" i="9"/>
  <c r="M70" i="9"/>
  <c r="L70" i="9"/>
  <c r="K70" i="9"/>
  <c r="J70" i="9"/>
  <c r="I70" i="9"/>
  <c r="H70" i="9"/>
  <c r="G70" i="9"/>
  <c r="E70" i="9"/>
  <c r="D70" i="9"/>
  <c r="A70" i="9"/>
  <c r="J24" i="11"/>
  <c r="O69" i="9"/>
  <c r="N69" i="9"/>
  <c r="M69" i="9"/>
  <c r="L69" i="9"/>
  <c r="K69" i="9"/>
  <c r="J69" i="9"/>
  <c r="I69" i="9"/>
  <c r="H69" i="9"/>
  <c r="G69" i="9"/>
  <c r="E69" i="9"/>
  <c r="D69" i="9"/>
  <c r="A69" i="9"/>
  <c r="J23" i="11"/>
  <c r="O68" i="9"/>
  <c r="N68" i="9"/>
  <c r="M68" i="9"/>
  <c r="L68" i="9"/>
  <c r="K68" i="9"/>
  <c r="J68" i="9"/>
  <c r="I68" i="9"/>
  <c r="H68" i="9"/>
  <c r="G68" i="9"/>
  <c r="E68" i="9"/>
  <c r="D68" i="9"/>
  <c r="A68" i="9"/>
  <c r="J22" i="11"/>
  <c r="O67" i="9"/>
  <c r="N67" i="9"/>
  <c r="M67" i="9"/>
  <c r="L67" i="9"/>
  <c r="K67" i="9"/>
  <c r="J67" i="9"/>
  <c r="I67" i="9"/>
  <c r="H67" i="9"/>
  <c r="G67" i="9"/>
  <c r="E67" i="9"/>
  <c r="D67" i="9"/>
  <c r="A67" i="9"/>
  <c r="J21" i="11"/>
  <c r="O66" i="9"/>
  <c r="N66" i="9"/>
  <c r="M66" i="9"/>
  <c r="L66" i="9"/>
  <c r="K66" i="9"/>
  <c r="J66" i="9"/>
  <c r="I66" i="9"/>
  <c r="H66" i="9"/>
  <c r="G66" i="9"/>
  <c r="E66" i="9"/>
  <c r="D66" i="9"/>
  <c r="A66" i="9"/>
  <c r="J20" i="11"/>
  <c r="O65" i="9"/>
  <c r="N65" i="9"/>
  <c r="M65" i="9"/>
  <c r="L65" i="9"/>
  <c r="K65" i="9"/>
  <c r="J65" i="9"/>
  <c r="I65" i="9"/>
  <c r="H65" i="9"/>
  <c r="G65" i="9"/>
  <c r="E65" i="9"/>
  <c r="D65" i="9"/>
  <c r="A65" i="9"/>
  <c r="J19" i="11"/>
  <c r="O64" i="9"/>
  <c r="N64" i="9"/>
  <c r="M64" i="9"/>
  <c r="L64" i="9"/>
  <c r="K64" i="9"/>
  <c r="J64" i="9"/>
  <c r="I64" i="9"/>
  <c r="H64" i="9"/>
  <c r="G64" i="9"/>
  <c r="E64" i="9"/>
  <c r="D64" i="9"/>
  <c r="A64" i="9"/>
  <c r="J17" i="11"/>
  <c r="O62" i="9"/>
  <c r="N62" i="9"/>
  <c r="M62" i="9"/>
  <c r="L62" i="9"/>
  <c r="K62" i="9"/>
  <c r="J62" i="9"/>
  <c r="I62" i="9"/>
  <c r="H62" i="9"/>
  <c r="G62" i="9"/>
  <c r="D62" i="9"/>
  <c r="A62" i="9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J6" i="11"/>
  <c r="J4" i="11"/>
  <c r="O8" i="9"/>
  <c r="N8" i="9"/>
  <c r="M8" i="9"/>
  <c r="L8" i="9"/>
  <c r="K8" i="9"/>
  <c r="J8" i="9"/>
  <c r="I8" i="9"/>
  <c r="H8" i="9"/>
  <c r="G8" i="9"/>
  <c r="E8" i="9"/>
  <c r="D8" i="9"/>
  <c r="A8" i="9"/>
  <c r="A7" i="9"/>
  <c r="D7" i="9"/>
  <c r="E7" i="9"/>
  <c r="G7" i="9"/>
  <c r="H7" i="9"/>
  <c r="I7" i="9"/>
  <c r="J7" i="9"/>
  <c r="K7" i="9"/>
  <c r="L7" i="9"/>
  <c r="M7" i="9"/>
  <c r="N7" i="9"/>
  <c r="J7" i="11"/>
  <c r="O7" i="9"/>
  <c r="O6" i="9"/>
  <c r="N6" i="9"/>
  <c r="M6" i="9"/>
  <c r="L6" i="9"/>
  <c r="K6" i="9"/>
  <c r="J6" i="9"/>
  <c r="I6" i="9"/>
  <c r="H6" i="9"/>
  <c r="G6" i="9"/>
  <c r="E6" i="9"/>
  <c r="D6" i="9"/>
  <c r="A6" i="9"/>
  <c r="O4" i="9"/>
  <c r="N4" i="9"/>
  <c r="M4" i="9"/>
  <c r="L4" i="9"/>
  <c r="K4" i="9"/>
  <c r="J4" i="9"/>
  <c r="I4" i="9"/>
  <c r="H4" i="9"/>
  <c r="G4" i="9"/>
  <c r="E4" i="9"/>
  <c r="D4" i="9"/>
  <c r="A4" i="9"/>
  <c r="A47" i="9"/>
  <c r="D47" i="9"/>
  <c r="E47" i="9"/>
  <c r="G47" i="9"/>
  <c r="H47" i="9"/>
  <c r="I47" i="9"/>
  <c r="J47" i="9"/>
  <c r="K47" i="9"/>
  <c r="L47" i="9"/>
  <c r="M47" i="9"/>
  <c r="N47" i="9"/>
  <c r="O47" i="9"/>
  <c r="J5" i="11"/>
  <c r="M4" i="10"/>
  <c r="T4" i="10"/>
  <c r="W4" i="10"/>
  <c r="V4" i="10"/>
  <c r="X4" i="10"/>
  <c r="U4" i="10"/>
  <c r="Y4" i="10"/>
  <c r="M17" i="10"/>
  <c r="M25" i="10"/>
  <c r="M33" i="10"/>
  <c r="M42" i="10"/>
  <c r="N42" i="10"/>
  <c r="Q42" i="10"/>
  <c r="P42" i="10"/>
  <c r="R42" i="10"/>
  <c r="O42" i="10"/>
  <c r="S42" i="10"/>
  <c r="N33" i="10"/>
  <c r="Q33" i="10"/>
  <c r="P33" i="10"/>
  <c r="R33" i="10"/>
  <c r="O33" i="10"/>
  <c r="S33" i="10"/>
  <c r="N25" i="10"/>
  <c r="Q25" i="10"/>
  <c r="P25" i="10"/>
  <c r="R25" i="10"/>
  <c r="O25" i="10"/>
  <c r="S25" i="10"/>
  <c r="N17" i="10"/>
  <c r="Q17" i="10"/>
  <c r="P17" i="10"/>
  <c r="R17" i="10"/>
  <c r="O17" i="10"/>
  <c r="S17" i="10"/>
  <c r="N4" i="10"/>
  <c r="Q4" i="10"/>
  <c r="P4" i="10"/>
  <c r="R4" i="10"/>
  <c r="O4" i="10"/>
  <c r="S4" i="10"/>
  <c r="G4" i="10"/>
  <c r="J4" i="10"/>
  <c r="I4" i="10"/>
  <c r="K4" i="10"/>
  <c r="H4" i="10"/>
  <c r="L4" i="10"/>
  <c r="J15" i="11"/>
  <c r="M9" i="10"/>
  <c r="T9" i="10"/>
  <c r="W9" i="10"/>
  <c r="V9" i="10"/>
  <c r="X9" i="10"/>
  <c r="U9" i="10"/>
  <c r="Y9" i="10"/>
  <c r="M21" i="10"/>
  <c r="M29" i="10"/>
  <c r="M37" i="10"/>
  <c r="M46" i="10"/>
  <c r="N46" i="10"/>
  <c r="Q46" i="10"/>
  <c r="P46" i="10"/>
  <c r="R46" i="10"/>
  <c r="O46" i="10"/>
  <c r="S46" i="10"/>
  <c r="N37" i="10"/>
  <c r="Q37" i="10"/>
  <c r="P37" i="10"/>
  <c r="R37" i="10"/>
  <c r="O37" i="10"/>
  <c r="S37" i="10"/>
  <c r="N29" i="10"/>
  <c r="Q29" i="10"/>
  <c r="P29" i="10"/>
  <c r="R29" i="10"/>
  <c r="O29" i="10"/>
  <c r="S29" i="10"/>
  <c r="N21" i="10"/>
  <c r="Q21" i="10"/>
  <c r="P21" i="10"/>
  <c r="R21" i="10"/>
  <c r="O21" i="10"/>
  <c r="S21" i="10"/>
  <c r="N9" i="10"/>
  <c r="Q9" i="10"/>
  <c r="P9" i="10"/>
  <c r="R9" i="10"/>
  <c r="O9" i="10"/>
  <c r="S9" i="10"/>
  <c r="G9" i="10"/>
  <c r="J9" i="10"/>
  <c r="I9" i="10"/>
  <c r="K9" i="10"/>
  <c r="H9" i="10"/>
  <c r="L9" i="10"/>
  <c r="J2" i="11"/>
  <c r="J3" i="11"/>
  <c r="J13" i="11"/>
  <c r="J14" i="11"/>
  <c r="J16" i="11"/>
  <c r="J43" i="11"/>
  <c r="A3" i="9"/>
  <c r="D3" i="9"/>
  <c r="E3" i="9"/>
  <c r="G3" i="9"/>
  <c r="H3" i="9"/>
  <c r="I3" i="9"/>
  <c r="J3" i="9"/>
  <c r="K3" i="9"/>
  <c r="L3" i="9"/>
  <c r="M3" i="9"/>
  <c r="N3" i="9"/>
  <c r="O3" i="9"/>
  <c r="A5" i="9"/>
  <c r="D5" i="9"/>
  <c r="E5" i="9"/>
  <c r="G5" i="9"/>
  <c r="H5" i="9"/>
  <c r="I5" i="9"/>
  <c r="J5" i="9"/>
  <c r="K5" i="9"/>
  <c r="L5" i="9"/>
  <c r="M5" i="9"/>
  <c r="N5" i="9"/>
  <c r="O5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G17" i="9"/>
  <c r="H17" i="9"/>
  <c r="I17" i="9"/>
  <c r="J17" i="9"/>
  <c r="K17" i="9"/>
  <c r="L17" i="9"/>
  <c r="M17" i="9"/>
  <c r="N17" i="9"/>
  <c r="O17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E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O54" i="9"/>
  <c r="A55" i="9"/>
  <c r="D55" i="9"/>
  <c r="E55" i="9"/>
  <c r="G55" i="9"/>
  <c r="H55" i="9"/>
  <c r="I55" i="9"/>
  <c r="J55" i="9"/>
  <c r="K55" i="9"/>
  <c r="L55" i="9"/>
  <c r="M55" i="9"/>
  <c r="N55" i="9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5" i="10"/>
  <c r="H5" i="10"/>
  <c r="I5" i="10"/>
  <c r="J5" i="10"/>
  <c r="K5" i="10"/>
  <c r="L5" i="10"/>
  <c r="M5" i="10"/>
  <c r="M18" i="10"/>
  <c r="M26" i="10"/>
  <c r="M34" i="10"/>
  <c r="M43" i="10"/>
  <c r="N43" i="10"/>
  <c r="Q43" i="10"/>
  <c r="P43" i="10"/>
  <c r="R43" i="10"/>
  <c r="O43" i="10"/>
  <c r="S43" i="10"/>
  <c r="N34" i="10"/>
  <c r="Q34" i="10"/>
  <c r="P34" i="10"/>
  <c r="R34" i="10"/>
  <c r="O34" i="10"/>
  <c r="S34" i="10"/>
  <c r="N26" i="10"/>
  <c r="Q26" i="10"/>
  <c r="P26" i="10"/>
  <c r="R26" i="10"/>
  <c r="O26" i="10"/>
  <c r="S26" i="10"/>
  <c r="N18" i="10"/>
  <c r="Q18" i="10"/>
  <c r="P18" i="10"/>
  <c r="R18" i="10"/>
  <c r="O18" i="10"/>
  <c r="S18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0" i="10"/>
  <c r="M28" i="10"/>
  <c r="M36" i="10"/>
  <c r="M45" i="10"/>
  <c r="N45" i="10"/>
  <c r="Q45" i="10"/>
  <c r="P45" i="10"/>
  <c r="R45" i="10"/>
  <c r="O45" i="10"/>
  <c r="S45" i="10"/>
  <c r="N36" i="10"/>
  <c r="Q36" i="10"/>
  <c r="P36" i="10"/>
  <c r="R36" i="10"/>
  <c r="O36" i="10"/>
  <c r="S36" i="10"/>
  <c r="N28" i="10"/>
  <c r="Q28" i="10"/>
  <c r="P28" i="10"/>
  <c r="R28" i="10"/>
  <c r="O28" i="10"/>
  <c r="S28" i="10"/>
  <c r="N20" i="10"/>
  <c r="Q20" i="10"/>
  <c r="P20" i="10"/>
  <c r="R20" i="10"/>
  <c r="O20" i="10"/>
  <c r="S20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30" i="10"/>
  <c r="M39" i="10"/>
  <c r="M47" i="10"/>
  <c r="N47" i="10"/>
  <c r="Q47" i="10"/>
  <c r="P47" i="10"/>
  <c r="R47" i="10"/>
  <c r="O47" i="10"/>
  <c r="S47" i="10"/>
  <c r="N39" i="10"/>
  <c r="Q39" i="10"/>
  <c r="P39" i="10"/>
  <c r="R39" i="10"/>
  <c r="O39" i="10"/>
  <c r="S39" i="10"/>
  <c r="N30" i="10"/>
  <c r="Q30" i="10"/>
  <c r="P30" i="10"/>
  <c r="R30" i="10"/>
  <c r="O30" i="10"/>
  <c r="S30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3" i="10"/>
  <c r="H13" i="10"/>
  <c r="I13" i="10"/>
  <c r="J13" i="10"/>
  <c r="K13" i="10"/>
  <c r="L13" i="10"/>
  <c r="M13" i="10"/>
  <c r="M31" i="10"/>
  <c r="M40" i="10"/>
  <c r="M48" i="10"/>
  <c r="N48" i="10"/>
  <c r="Q48" i="10"/>
  <c r="P48" i="10"/>
  <c r="R48" i="10"/>
  <c r="O48" i="10"/>
  <c r="S48" i="10"/>
  <c r="N40" i="10"/>
  <c r="Q40" i="10"/>
  <c r="P40" i="10"/>
  <c r="R40" i="10"/>
  <c r="O40" i="10"/>
  <c r="S40" i="10"/>
  <c r="N31" i="10"/>
  <c r="Q31" i="10"/>
  <c r="P31" i="10"/>
  <c r="R31" i="10"/>
  <c r="O31" i="10"/>
  <c r="S31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M22" i="10"/>
  <c r="M38" i="10"/>
  <c r="M49" i="10"/>
  <c r="N49" i="10"/>
  <c r="Q49" i="10"/>
  <c r="P49" i="10"/>
  <c r="R49" i="10"/>
  <c r="O49" i="10"/>
  <c r="S49" i="10"/>
  <c r="N38" i="10"/>
  <c r="Q38" i="10"/>
  <c r="P38" i="10"/>
  <c r="R38" i="10"/>
  <c r="O38" i="10"/>
  <c r="S38" i="10"/>
  <c r="N22" i="10"/>
  <c r="Q22" i="10"/>
  <c r="P22" i="10"/>
  <c r="R22" i="10"/>
  <c r="O22" i="10"/>
  <c r="S22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M23" i="10"/>
  <c r="M51" i="10"/>
  <c r="N51" i="10"/>
  <c r="Q51" i="10"/>
  <c r="P51" i="10"/>
  <c r="R51" i="10"/>
  <c r="O51" i="10"/>
  <c r="S51" i="10"/>
  <c r="N23" i="10"/>
  <c r="Q23" i="10"/>
  <c r="P23" i="10"/>
  <c r="R23" i="10"/>
  <c r="O23" i="10"/>
  <c r="S23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M24" i="10"/>
  <c r="M32" i="10"/>
  <c r="M41" i="10"/>
  <c r="N41" i="10"/>
  <c r="Q41" i="10"/>
  <c r="P41" i="10"/>
  <c r="R41" i="10"/>
  <c r="O41" i="10"/>
  <c r="S41" i="10"/>
  <c r="N32" i="10"/>
  <c r="Q32" i="10"/>
  <c r="P32" i="10"/>
  <c r="R32" i="10"/>
  <c r="O32" i="10"/>
  <c r="S32" i="10"/>
  <c r="N24" i="10"/>
  <c r="Q24" i="10"/>
  <c r="P24" i="10"/>
  <c r="R24" i="10"/>
  <c r="O24" i="10"/>
  <c r="S24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E2" i="9"/>
  <c r="Y13" i="7"/>
  <c r="W13" i="7"/>
  <c r="U13" i="7"/>
  <c r="R13" i="7"/>
  <c r="Q13" i="7"/>
  <c r="P13" i="7"/>
  <c r="O13" i="7"/>
  <c r="N13" i="7"/>
  <c r="H13" i="7"/>
  <c r="J13" i="7"/>
  <c r="I13" i="7"/>
  <c r="D13" i="7"/>
  <c r="F13" i="7"/>
  <c r="E13" i="7"/>
  <c r="A13" i="7"/>
  <c r="Y12" i="7"/>
  <c r="W12" i="7"/>
  <c r="U12" i="7"/>
  <c r="R12" i="7"/>
  <c r="Q12" i="7"/>
  <c r="P12" i="7"/>
  <c r="O12" i="7"/>
  <c r="N12" i="7"/>
  <c r="H12" i="7"/>
  <c r="J12" i="7"/>
  <c r="I12" i="7"/>
  <c r="D12" i="7"/>
  <c r="F12" i="7"/>
  <c r="E12" i="7"/>
  <c r="A12" i="7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X2" i="1"/>
  <c r="Y2" i="7"/>
  <c r="H2" i="1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2" i="1"/>
  <c r="T2" i="1"/>
  <c r="E13" i="16"/>
  <c r="B2" i="21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<sst xmlns="http://schemas.openxmlformats.org/spreadsheetml/2006/main" count="1113" uniqueCount="569">
  <si>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</si>
  <si>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</si>
  <si>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</si>
  <si>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</si>
  <si>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</si>
  <si>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</si>
  <si>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</si>
  <si>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</si>
  <si>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</si>
  <si>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</si>
  <si>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</si>
  <si>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</si>
  <si>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</si>
  <si>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</si>
  <si>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</si>
  <si>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</si>
  <si>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</si>
  <si>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</si>
  <si>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</si>
  <si>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</si>
  <si>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</si>
  <si>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</si>
  <si>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</si>
  <si>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</si>
  <si>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</si>
  <si>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</si>
  <si>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</si>
  <si>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</si>
  <si>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</si>
  <si>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</si>
  <si>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</si>
  <si>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</si>
  <si>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</si>
  <si>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</si>
  <si>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</si>
  <si>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</si>
  <si>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</si>
  <si>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</si>
  <si>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</si>
  <si>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</si>
  <si>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</si>
  <si>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</si>
  <si>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</si>
  <si>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</si>
  <si>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</si>
  <si>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</si>
  <si>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</si>
  <si>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</si>
  <si>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</si>
  <si>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</si>
  <si>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</si>
  <si>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</si>
  <si>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</si>
  <si>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</si>
  <si>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</si>
  <si>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</si>
  <si>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</si>
  <si>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</si>
  <si>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</si>
  <si>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</si>
  <si>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</si>
  <si>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</si>
  <si>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</si>
  <si>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</si>
  <si>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</si>
  <si>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</si>
  <si>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</si>
  <si>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</si>
  <si>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</si>
  <si>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</si>
  <si>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</si>
  <si>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</si>
  <si>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</si>
  <si>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</si>
  <si>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</si>
  <si>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</si>
  <si>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</si>
  <si>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</si>
  <si>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</si>
  <si>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</si>
  <si>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</si>
  <si>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</si>
  <si>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</si>
  <si>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</si>
  <si>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</si>
  <si>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</si>
  <si>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</si>
  <si>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</si>
  <si>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</si>
  <si>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</si>
  <si>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</si>
  <si>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</si>
  <si>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</si>
  <si>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</si>
  <si>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</si>
  <si>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</si>
  <si>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</si>
  <si>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</si>
  <si>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</si>
  <si>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</si>
  <si>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</si>
  <si>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</si>
  <si>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</si>
  <si>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</si>
  <si>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</si>
  <si>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</si>
  <si>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</si>
  <si>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</si>
  <si>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</si>
  <si>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</si>
  <si>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</si>
  <si>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</si>
  <si>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</si>
  <si>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</si>
  <si>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</si>
  <si>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</si>
  <si>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</si>
  <si>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</si>
  <si>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</si>
  <si>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</si>
  <si>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</si>
  <si>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</si>
  <si>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</si>
  <si>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</si>
  <si>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</si>
  <si>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</si>
  <si>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</si>
  <si>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</si>
  <si>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</si>
  <si>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</si>
  <si>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</si>
  <si>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</si>
  <si>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</si>
  <si>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</si>
  <si>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</si>
  <si>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</si>
  <si>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</si>
  <si>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</si>
  <si>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</si>
  <si>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</si>
  <si>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</si>
  <si>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</si>
  <si>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</si>
  <si>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</si>
  <si>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</si>
  <si>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</si>
  <si>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</si>
  <si>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</si>
  <si>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</si>
  <si>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</si>
  <si>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</si>
  <si>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</si>
  <si>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</si>
  <si>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</si>
  <si>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</si>
  <si>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</si>
  <si>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</si>
  <si>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</si>
  <si>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</si>
  <si>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</si>
  <si>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</si>
  <si>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</si>
  <si>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</si>
  <si>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</si>
  <si>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</si>
  <si>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</si>
  <si>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</si>
  <si>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</si>
  <si>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</si>
  <si>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</si>
  <si>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</si>
  <si>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</si>
  <si>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</si>
  <si>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</si>
  <si>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</si>
  <si>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</si>
  <si>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</si>
  <si>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</si>
  <si>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</si>
  <si>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</si>
  <si>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</si>
  <si>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</si>
  <si>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</si>
  <si>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</si>
  <si>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</si>
  <si>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</si>
  <si>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</si>
  <si>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</si>
  <si>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</si>
  <si>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</si>
  <si>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</si>
  <si>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</si>
  <si>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</si>
  <si>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</si>
  <si>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</si>
  <si>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</si>
  <si>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</si>
  <si>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</si>
  <si>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</si>
  <si>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</si>
  <si>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</si>
  <si>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</si>
  <si>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</si>
  <si>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</si>
  <si>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</si>
  <si>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</si>
  <si>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</si>
  <si>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</si>
  <si>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</si>
  <si>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</si>
  <si>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</si>
  <si>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</si>
  <si>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</si>
  <si>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</si>
  <si>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</si>
  <si>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</si>
  <si>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</si>
  <si>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</si>
  <si>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</si>
  <si>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</si>
  <si>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</si>
  <si>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</si>
  <si>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</si>
  <si>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</si>
  <si>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</si>
  <si>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</si>
  <si>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</si>
  <si>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</si>
  <si>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</si>
  <si>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</si>
  <si>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</si>
  <si>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</si>
  <si>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</si>
  <si>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</si>
  <si>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</si>
  <si>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</si>
  <si>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</si>
  <si>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</si>
  <si>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</si>
  <si>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</si>
  <si>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</si>
  <si>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</si>
  <si>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</si>
  <si>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</si>
  <si>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</si>
  <si>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</si>
  <si>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</si>
  <si>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</si>
  <si>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</si>
  <si>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</si>
  <si>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きゃあっ！</t>
    <phoneticPr fontId="5"/>
  </si>
  <si>
    <t>探したじゃないか！
こんなところにいたのかい</t>
    <phoneticPr fontId="5"/>
  </si>
  <si>
    <t>（表示しない）</t>
  </si>
  <si>
    <t>撤退</t>
  </si>
  <si>
    <t>【1ターン目】ハートパネル吸収攻撃</t>
  </si>
  <si>
    <t>【5ターン毎】ハートパネル吸収攻撃</t>
  </si>
  <si>
    <t>【★1回のみ】ハート＆青のCBパネル1個生成</t>
  </si>
  <si>
    <t>【HP50％以下】攻撃頻度UP+ハートパネルを吸収して攻撃力UP</t>
  </si>
  <si>
    <t>【★】ハートパネル14個生成+全体攻撃</t>
  </si>
  <si>
    <t>赤パネル吸収攻撃</t>
  </si>
  <si>
    <t>青パネル吸収攻撃</t>
  </si>
  <si>
    <t>【50％以下：1ターン目】ハートパネル以外吸収攻撃</t>
  </si>
  <si>
    <t>【50％以下：3ターン目】全パネルをハートパネルに変換</t>
  </si>
  <si>
    <t>【50％以下：4ターン目】だんだん強くなる全体攻撃</t>
  </si>
  <si>
    <t>【50％以下：5ターン目】だんだん強くなる全体攻撃</t>
  </si>
  <si>
    <t>（ターン飛ばし）</t>
  </si>
  <si>
    <t>（表示しない）</t>
    <phoneticPr fontId="5"/>
  </si>
  <si>
    <t>（表示しない）（自滅）</t>
  </si>
  <si>
    <t>トウカ専用（バフ）</t>
  </si>
  <si>
    <t>レイヴン専用（バフ）</t>
  </si>
  <si>
    <t>【7ターン目】7000固定</t>
  </si>
  <si>
    <t>【★】青パネルをお邪魔パネルに最大6個変換+単体攻撃</t>
  </si>
  <si>
    <t>【50％以下：2ターン目】ハートパネルをお邪魔パネルに変換+残りHP99％グラビティ</t>
  </si>
  <si>
    <t>自滅（8ターン経過）</t>
  </si>
  <si>
    <t>【開幕】背景＆BGM変更状態異常耐性+全パネルをハートに変換+赤パネルドロップ率DOWN</t>
    <phoneticPr fontId="5"/>
  </si>
  <si>
    <t>【3ターン目】青パネルをお邪魔パネルに最大6個変換+単体攻撃</t>
    <phoneticPr fontId="5"/>
  </si>
  <si>
    <t>【★1回のみ】2回連続攻撃（命中したユニットに2ターンスキルバインド）</t>
    <phoneticPr fontId="5"/>
  </si>
  <si>
    <t>【★1回のみ】3回連続攻撃（命中したユニットに2ターン攻撃力30％DOWN）</t>
    <phoneticPr fontId="5"/>
  </si>
  <si>
    <t>状態異常耐性+Cパネル生成延長（生成不可）+アビリティ無効+スキルバインド+パネル出現率変化（赤と青のみドロップ）</t>
    <phoneticPr fontId="5"/>
  </si>
  <si>
    <t>【はい】→　　赤を消そう！【いいえ】→　青を消そう！</t>
    <phoneticPr fontId="5"/>
  </si>
  <si>
    <t>ましろ専用（バフ）</t>
    <phoneticPr fontId="5"/>
  </si>
  <si>
    <t>【50％以下：7ターン目】だんだん強くなる全体攻撃（即死）</t>
  </si>
  <si>
    <t>【50％以下：6ターン目】だんだん強くなる全体攻撃</t>
  </si>
  <si>
    <t>君だけの物語を作ってあげよう！</t>
    <phoneticPr fontId="5"/>
  </si>
  <si>
    <t>そんな…そんなはずは…！</t>
    <phoneticPr fontId="5"/>
  </si>
  <si>
    <t>違う…寂しくなんかない…
僕は寂しくなんか……</t>
    <phoneticPr fontId="5"/>
  </si>
  <si>
    <t>見つけたぞ！</t>
    <phoneticPr fontId="5"/>
  </si>
  <si>
    <t>僕だけのかわいいお人形にしてやろう</t>
    <phoneticPr fontId="5"/>
  </si>
  <si>
    <t>【50％以下：8ターン目】だんだん強くなる全体攻撃</t>
    <phoneticPr fontId="5"/>
  </si>
  <si>
    <t>【50％以下：9ターン目】だんだん強くなる全体攻撃（即死）</t>
    <phoneticPr fontId="5"/>
  </si>
  <si>
    <t>（表示しない）</t>
    <phoneticPr fontId="5"/>
  </si>
  <si>
    <t>友達から、か……
そうか…それもいいな…！うん…！</t>
    <phoneticPr fontId="5"/>
  </si>
  <si>
    <t>えっ…</t>
    <phoneticPr fontId="5"/>
  </si>
  <si>
    <t>そ、それでも…
それでも僕は君が…！君を…！！</t>
    <phoneticPr fontId="5"/>
  </si>
  <si>
    <t>（表示しない）</t>
    <phoneticPr fontId="5"/>
  </si>
  <si>
    <t>この想い…受け止めてくれ！</t>
    <phoneticPr fontId="5"/>
  </si>
  <si>
    <t>2回連続全体攻撃</t>
    <phoneticPr fontId="5"/>
  </si>
  <si>
    <t>ハートパネルを吸収して攻撃</t>
    <phoneticPr fontId="5"/>
  </si>
  <si>
    <t>ハートパネルを吸収して攻撃</t>
    <phoneticPr fontId="5"/>
  </si>
  <si>
    <t>【！】次のターン致命的な攻撃【！】</t>
    <phoneticPr fontId="5"/>
  </si>
  <si>
    <t>状態異常耐性+青パネルが出現しない</t>
    <phoneticPr fontId="5"/>
  </si>
  <si>
    <t>君を一目みたときから…
頭が君でいっぱいなんだ！</t>
    <phoneticPr fontId="5"/>
  </si>
  <si>
    <t>[effect:enemy_message, val1:1.7, val2:2.8],[effect:damage_abnormal, target:unit_one, val:0.51, status:hungup, turn:2, animation:hungup01],[effect:damage_abnormal, target:unit_one, val:0.52, status:hungup, turn:2, animation:hungup01]</t>
    <phoneticPr fontId="5"/>
  </si>
  <si>
    <t>[effect:enemy_message, val1:2.2, val2:3.1],[effect:damage_abnormal, target:unit_one, val:0.41, status:attack, turn:2, val_abnormal:0.3],[effect:damage_abnormal, target:unit_one, val:0.39, status:attack, turn:2, val_abnormal:0.3],[effect:damage_abnormal, target:unit_one, val:0.4, status:attack, turn:2, val_abnormal:0.3]</t>
    <phoneticPr fontId="5"/>
  </si>
  <si>
    <t>[effect:enemy_message, val1:2.2, val2:2.1],[effect:reduction, target:myself, color:all, turn:5, val:0.3, animation:reduction_one01],[effect:spread, val:0.29]</t>
    <phoneticPr fontId="5"/>
  </si>
  <si>
    <t>さあ…行こうか！約束の場所に！</t>
    <phoneticPr fontId="5"/>
  </si>
  <si>
    <t>ランダムでハートパネルに14個変換+全体攻撃</t>
  </si>
  <si>
    <t>えっ…
友達から始めましょう…だって…？</t>
    <phoneticPr fontId="5"/>
  </si>
  <si>
    <t>ああ！この胸の高鳴りはなんだ！
こんなの初めてだ！</t>
    <phoneticPr fontId="5"/>
  </si>
  <si>
    <t>君の欲しいものはなんだってあげよう！</t>
    <phoneticPr fontId="5"/>
  </si>
  <si>
    <t>君の瞳はきらきらしてて…
まるでお人形みたいだ</t>
    <phoneticPr fontId="5"/>
  </si>
  <si>
    <t>状態異常耐性+青パネルが出現しない</t>
  </si>
  <si>
    <t>5ターン全属性ダメージ30%軽減+全体攻撃</t>
  </si>
  <si>
    <t>3回連続攻撃（命中したユニットに2ターン攻撃力50%DOWN）</t>
  </si>
  <si>
    <t>クリティカル！</t>
  </si>
  <si>
    <t>赤パネルをお邪魔パネルに最大6個変換+単体攻撃</t>
  </si>
  <si>
    <t>ランダムで赤パネルに10個変換+2回連続攻撃</t>
  </si>
  <si>
    <t>残りHPの50%ダメージ！</t>
  </si>
  <si>
    <t>残りHPの30%ダメージ！</t>
    <phoneticPr fontId="5"/>
  </si>
  <si>
    <t>クリムト</t>
    <phoneticPr fontId="5"/>
  </si>
  <si>
    <t>ランダムでお邪魔パネルに最大10個変換+
残りHPの50%ダメージ！</t>
    <phoneticPr fontId="5"/>
  </si>
  <si>
    <t>残りHPの40%ダメージ！</t>
    <phoneticPr fontId="5"/>
  </si>
  <si>
    <t>[effect:enemy_message, val1:2.2, val2:2.1],[effect:reduction, target:myself, color:all, turn:5, val:0.5, animation:reduction_one01],[effect:spread, val:0.29]</t>
    <phoneticPr fontId="5"/>
  </si>
  <si>
    <t>だんだん強くなる全体攻撃+
ランダムでお邪魔パネルに最大6個変換</t>
    <phoneticPr fontId="5"/>
  </si>
  <si>
    <t>だんだん強くなる全体攻撃+
ランダムでお邪魔パネルに最大12個変換</t>
    <phoneticPr fontId="5"/>
  </si>
  <si>
    <t>ましろ専用</t>
    <phoneticPr fontId="5"/>
  </si>
  <si>
    <t>レイヴン専用</t>
    <phoneticPr fontId="5"/>
  </si>
  <si>
    <t>僕は…僕は…</t>
    <phoneticPr fontId="5"/>
  </si>
  <si>
    <t>僕にバレンタインチョコを
くれたのは君だろう？</t>
    <phoneticPr fontId="5"/>
  </si>
  <si>
    <t>僕たちの物語を始めよう</t>
    <phoneticPr fontId="5"/>
  </si>
  <si>
    <t>そう…　永遠に！！</t>
    <phoneticPr fontId="5"/>
  </si>
  <si>
    <t>僕には君が…　君がいるから！！</t>
    <phoneticPr fontId="5"/>
  </si>
  <si>
    <t>この気持ち…誰にも止められない！</t>
    <phoneticPr fontId="5"/>
  </si>
  <si>
    <t>恥ずかしがり屋な君も…好きだ！</t>
    <phoneticPr fontId="5"/>
  </si>
  <si>
    <t>君があのチョコの差出人だって…
すぐにわかったよ</t>
    <phoneticPr fontId="5"/>
  </si>
  <si>
    <t>僕からチョコのお返しを
もらいにきたんだろう？</t>
    <phoneticPr fontId="5"/>
  </si>
  <si>
    <t>見てくれ、僕のお人形たちも
祝福してくれている！</t>
    <phoneticPr fontId="5"/>
  </si>
  <si>
    <t>運命には誰も抗えないのさ！</t>
    <phoneticPr fontId="5"/>
  </si>
  <si>
    <t>君の望むものなら
なんだって用意するよ</t>
    <phoneticPr fontId="5"/>
  </si>
  <si>
    <t>僕たちふたりきりの世界…
素敵だと思わないか？</t>
    <phoneticPr fontId="5"/>
  </si>
  <si>
    <t>僕と君は結ばれる運命なのさ</t>
    <phoneticPr fontId="5"/>
  </si>
  <si>
    <t>どんな世界だって作ってみせるよ</t>
    <phoneticPr fontId="5"/>
  </si>
  <si>
    <t>complete</t>
  </si>
  <si>
    <t>グリムのひとめぼれ</t>
    <phoneticPr fontId="5"/>
  </si>
  <si>
    <t>はじめての友達</t>
    <phoneticPr fontId="5"/>
  </si>
  <si>
    <t>1ゲージ目のグリムはハートパネルを吸収し
強力な攻撃を繰り出します
盤面にハートパネルを残しすぎないよう
気をつけましょう</t>
    <phoneticPr fontId="5"/>
  </si>
  <si>
    <t>3ゲージ目のグリムは
HP50％以下になると
だんだん強力になる攻撃を繰り出します
耐えきれなくなる前に倒し切りましょう</t>
    <phoneticPr fontId="5"/>
  </si>
  <si>
    <t>グリムとお人形</t>
    <phoneticPr fontId="5"/>
  </si>
  <si>
    <t>これは運命さ
[player_name]もそう思うだろう？</t>
    <phoneticPr fontId="5"/>
  </si>
  <si>
    <t>やだっ！追いかけてこないで！</t>
    <phoneticPr fontId="5"/>
  </si>
  <si>
    <t>そ、そんな……！
これが君の答えなのかい…？</t>
    <phoneticPr fontId="5"/>
  </si>
  <si>
    <t>なぜ僕から逃げようとする…？
照れているのかい？</t>
  </si>
  <si>
    <t>なぜ僕から逃げようとする…？
照れているのかい？</t>
    <phoneticPr fontId="5"/>
  </si>
  <si>
    <t>僕のこの胸の鼓動…聞こえるかい？</t>
  </si>
  <si>
    <t>僕のこの胸の鼓動…聞こえるかい？</t>
    <phoneticPr fontId="5"/>
  </si>
  <si>
    <t>想いが溢れて…とまらないんだ！</t>
  </si>
  <si>
    <t>想いが溢れて…とまらないんだ！</t>
    <phoneticPr fontId="5"/>
  </si>
  <si>
    <t>僕は…僕は……</t>
  </si>
  <si>
    <t>僕は…僕は……</t>
    <phoneticPr fontId="5"/>
  </si>
  <si>
    <t>僕はただ…ずっとそばにいてくれる…
そんな人が欲しかっただけなんだ……</t>
  </si>
  <si>
    <t>僕はただ…ずっとそばにいてくれる…
そんな人が欲しかっただけなんだ……</t>
    <phoneticPr fontId="5"/>
  </si>
  <si>
    <t>童話に出てくるような
ちいさくかわいい女の子が大好きなグリム
まるで童話の登場人物のようなマシロに
ひとめぼれをしたようです</t>
    <phoneticPr fontId="5"/>
  </si>
  <si>
    <t>自分の操るアバターに囲まれて
日々を過ごしていたグリム
「本当の友達」を知らなかったグリムは
実はとても寂しかったようです</t>
    <phoneticPr fontId="5"/>
  </si>
  <si>
    <t>マシロが怯えた様子でこちらへ走ってくる！</t>
    <phoneticPr fontId="5"/>
  </si>
  <si>
    <t>マシロが怯えた様子でこちらへ走ってくる！</t>
    <phoneticPr fontId="5"/>
  </si>
  <si>
    <t>レイヴンさん…！助けて！
ヘンな人が追いかけてくるのっ！</t>
    <phoneticPr fontId="5"/>
  </si>
  <si>
    <t>さあ！僕と永遠を誓い合おう！</t>
  </si>
  <si>
    <t>さあ！僕と永遠を誓い合おう！</t>
    <phoneticPr fontId="5"/>
  </si>
  <si>
    <t>君のために用意したんだ！
…受け取ってくれるだろう？</t>
  </si>
  <si>
    <t>ランダムでハートパネルに最大14個変換+全体攻撃</t>
  </si>
  <si>
    <t>赤パネルを吸収して全体攻撃</t>
    <phoneticPr fontId="5"/>
  </si>
  <si>
    <t>青パネルを吸収して全体攻撃</t>
    <phoneticPr fontId="5"/>
  </si>
  <si>
    <t>赤パネルを吸収して全体攻撃</t>
    <phoneticPr fontId="5"/>
  </si>
  <si>
    <t>青パネルを吸収して全体攻撃</t>
    <phoneticPr fontId="5"/>
  </si>
  <si>
    <t>ランダムで赤パネルに最大10個変換+4回連続攻撃</t>
  </si>
  <si>
    <t>もういいさ…
どちらにせよ君は僕のものだ</t>
  </si>
  <si>
    <t>もういいさ…
どちらにせよ君は僕のものだ</t>
    <phoneticPr fontId="5"/>
  </si>
  <si>
    <t>ああ！この胸の高鳴りはなんだ！
こんなの初めてだ！</t>
  </si>
  <si>
    <t>ハートパネルを吸収して攻撃</t>
  </si>
  <si>
    <t>君の欲しいものはなんだってあげよう！</t>
  </si>
  <si>
    <t>君を一目みたときから…
頭が君でいっぱいなんだ！</t>
  </si>
  <si>
    <t>僕たちの物語を始めよう</t>
  </si>
  <si>
    <t>僕たちを邪魔するヤツは容赦しない！</t>
  </si>
  <si>
    <t>君の瞳はきらきらしてて…
まるでお人形みたいだ</t>
  </si>
  <si>
    <t>この想い…受け止めてくれ！</t>
  </si>
  <si>
    <t>この気持ち…誰にも止められない！</t>
  </si>
  <si>
    <t>3回連続攻撃
(命中したユニットに2ターン攻撃力30%DOWN)</t>
    <phoneticPr fontId="5"/>
  </si>
  <si>
    <t>2回連続攻撃
（命中したユニットに2ターンスキルバインド）</t>
    <phoneticPr fontId="5"/>
  </si>
  <si>
    <t>攻撃頻度UP+ハートパネルを吸収して攻撃力UP</t>
  </si>
  <si>
    <t>僕からチョコのお返しを
もらいにきたんだろう？</t>
  </si>
  <si>
    <t>君があのチョコの差出人だって…
すぐにわかったよ</t>
  </si>
  <si>
    <t>見てくれ、僕のお人形たちも
祝福してくれている！</t>
  </si>
  <si>
    <t>僕と君は結ばれる運命なのさ</t>
  </si>
  <si>
    <t>そんな…そんなはずは…！</t>
  </si>
  <si>
    <t>そ、それでも…
それでも僕は君が…！君を…！！</t>
  </si>
  <si>
    <t>違う…寂しくなんかない…
僕は寂しくなんか……</t>
  </si>
  <si>
    <t>僕には君が…　君がいるから！！</t>
  </si>
  <si>
    <t>僕と君は…永遠に
一緒にいるべきなんだ！</t>
  </si>
  <si>
    <t>そう…　永遠に！！</t>
  </si>
  <si>
    <t>僕だけのかわいいお人形にしてやろう</t>
  </si>
  <si>
    <t>えっ…
友達から始めましょう…だって…？</t>
  </si>
  <si>
    <t>友達から、か……
そうか…それもいいな…！うん…！</t>
  </si>
  <si>
    <t>2回連続全体攻撃</t>
  </si>
  <si>
    <t>【！】次のターン致命的な攻撃【！】</t>
  </si>
  <si>
    <t>だんだん強くなる全体攻撃</t>
    <phoneticPr fontId="5"/>
  </si>
  <si>
    <t>すべてのパネルをハートパネルに変換</t>
    <phoneticPr fontId="5"/>
  </si>
  <si>
    <t>5ターン全属性ダメージ30%軽減+全体攻撃</t>
    <phoneticPr fontId="5"/>
  </si>
  <si>
    <t>クリティカル！</t>
    <phoneticPr fontId="5"/>
  </si>
  <si>
    <t>[effect:enemy_message, val1:2.3, val2:2.6],[effect:force_change_block, new_block:jammer, target:block_all, ignore01:crash, ignore02:crack_bomb, ignore03:jammer, ignore04:color_break, ignore05:magnet, count:8, val:0, animation:change_block],[effect:critical, val:1.3, animation:enemy_critical]</t>
    <phoneticPr fontId="5"/>
  </si>
  <si>
    <t>[effect:enemy_message, val1:1.5, val2:0],[effect:suicide, target:myself, val:1]</t>
    <phoneticPr fontId="5"/>
  </si>
  <si>
    <t>[effect:enemy_message, val1:1.5, val2:0],[effect:ability_lock, target:unit_all, turn:1],[effect:sleep, target:unit_all, turn:1, rate:1],[effect:fix_speed, target:myself, turn:1]</t>
    <phoneticPr fontId="5"/>
  </si>
  <si>
    <t>[effect:enemy_message, val1:2.4, val2:0],[effect:suicide, target:myself, val:1, dead_type:escape]</t>
    <phoneticPr fontId="5"/>
  </si>
  <si>
    <t>状態異常耐性+
すべてのパネルをハートパネルに変換+
青パネルドロップ率DOWN</t>
    <phoneticPr fontId="5"/>
  </si>
  <si>
    <t>[effect:enemy_message, val1:2.0, val2:2.0],[effect:suicide, target:myself, val:1, dead_type:escape]</t>
    <phoneticPr fontId="5"/>
  </si>
  <si>
    <t>[player_name]…！た、助けてっ！</t>
    <phoneticPr fontId="5"/>
  </si>
  <si>
    <t>[effect:enemy_message, val1:2.3, val2:1.5],[effect:break_attack_fix, target:unit_one, val:500, lowest_val:6000, count:-1, block01:block_heart]</t>
    <phoneticPr fontId="5"/>
  </si>
  <si>
    <t>3回連続攻撃
(命中したユニットに2ターン攻撃力50%DOWN)</t>
    <phoneticPr fontId="5"/>
  </si>
  <si>
    <t>【それもいいかも…】→　赤を消そう！
【そんなのイヤ！】　→　青を消そう！</t>
    <phoneticPr fontId="5"/>
  </si>
  <si>
    <t>5ターン全属性ダメージ50%軽減+全体攻撃</t>
    <phoneticPr fontId="5"/>
  </si>
  <si>
    <t>僕と君は…
永遠に一緒にいるべきなんだ！</t>
    <phoneticPr fontId="5"/>
  </si>
  <si>
    <t>[effect:enemy_message, val1:1.4, val2:2.4],[effect:force_change_block, new_block:block_heart, target:block_all, ignore01:crash, ignore02:crack_bomb, ignore03:jammer, ignore04:color_break, ignore05:magnet, ignore06:block_heart, count:14, val:0],[effect:spread, val:0.32]</t>
    <phoneticPr fontId="5"/>
  </si>
  <si>
    <t>「うぅ…[player_name]…っ！」</t>
    <phoneticPr fontId="5"/>
  </si>
  <si>
    <t>君のために用意したんだ！
…受け取ってくれるだろう？</t>
    <phoneticPr fontId="5"/>
  </si>
  <si>
    <t>[effect:enemy_message, val1:2.3, val2:1.5],[effect:break_attack_fix, target:unit_one, val:300, lowest_val:3000, count:-1, block01:block_heart]</t>
    <phoneticPr fontId="5"/>
  </si>
  <si>
    <t>[effect:enemy_message, val1:2.1, val2:2.9],[effect:fix_speed, target:myself, turn:1]</t>
    <phoneticPr fontId="5"/>
  </si>
  <si>
    <t>[effect:enemy_message, val1:2.1, val2:2.9],[effect:fix_speed, target:myself, turn:1]</t>
    <phoneticPr fontId="5"/>
  </si>
  <si>
    <t>状態異常耐性+
すべてのパネルをハートパネルに変換+
青パネルドロップ率DOWN</t>
    <phoneticPr fontId="5"/>
  </si>
  <si>
    <t>[effect:enemy_message, val1:1.5, val2:3.0],[effect:damage_gravity, val:0.99, animation:fevergauge_down],[effect:suicide, target:myself, val:0.1]</t>
    <phoneticPr fontId="5"/>
  </si>
  <si>
    <t>[effect:enemy_message, val1:2.3, val2:3.1],[effect:damage_abnormal, target:unit_one, val:0.32, status:attack, turn:2, val_abnormal:0.5],[effect:damage_abnormal, target:unit_one, val:0.32, status:attack, turn:2, val_abnormal:0.5],[effect:damage_abnormal, target:unit_one, val:0.32, status:attack, turn:2, val_abnormal:0.5]</t>
    <phoneticPr fontId="5"/>
  </si>
  <si>
    <t>3回連続攻撃
(命中したユニットに2ターン攻撃力50%DOWN)</t>
    <phoneticPr fontId="5"/>
  </si>
  <si>
    <t>[effect:enemy_message, val1:1.6, val2:3.8],[effect:set_background, turn:-1, background_id:979, switching_mode:go_back, duration:1],[effect:tolerance,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t>
    <phoneticPr fontId="5"/>
  </si>
  <si>
    <t>【思わない】→　赤を消そう！
【思う】　　→　青を消そう！</t>
    <phoneticPr fontId="5"/>
  </si>
  <si>
    <t>[effect:enemy_message, val1:1.8, val2:1.5],[effect:break_attack_fix, target:unit_all, val:168, lowest_val:1, count:-1, block01:block_red],[effect:ability_lock, target:unit_all, turn:1],[effect:sleep, target:unit_all, turn:1, rate:1],[effect:regenerate, target:unit_all, turn:1, val:0.25, type:hp_ratio, animation:heal03_unit01]</t>
    <phoneticPr fontId="5"/>
  </si>
  <si>
    <t>【うんっ！】　　→　赤を消そう！
【人違いです！】→　青を消そう！</t>
    <phoneticPr fontId="5"/>
  </si>
  <si>
    <t>[effect:enemy_message, val1:2.2, val2:1.5],[effect:break_attack_fix, target:unit_all, val:90, lowest_val:1, count:-1, block01:block_blue],[effect:ability_lock, target:unit_all, turn:1],[effect:sleep, target:unit_all, turn:1, rate:1],[effect:regenerate, target:unit_all, turn:1, val:0.3, type:hp_ratio, animation:heal03_unit01]</t>
    <phoneticPr fontId="5"/>
  </si>
  <si>
    <t>[effect:enemy_message, val1:1.8, val2:1.5],[effect:break_attack_fix, target:unit_all, val:90, lowest_val:1, count:-1, block01:block_red],[effect:ability_lock, target:unit_all, turn:1],[effect:sleep, target:unit_all, turn:1, rate:1],[effect:regenerate, target:unit_all, turn:1, val:0.3, type:hp_ratio, animation:heal03_unit01]</t>
    <phoneticPr fontId="5"/>
  </si>
  <si>
    <t>マシロが怯えた様子でこちらへ走ってくる！
【青属性ユニットのスキルゲージを2ターン減少】</t>
    <phoneticPr fontId="5"/>
  </si>
  <si>
    <t>3回連続攻撃
(命中したユニットに2ターン攻撃力30%DOWN)+
ランダムでお邪魔パネルに最大6個変換</t>
    <phoneticPr fontId="5"/>
  </si>
  <si>
    <t>僕たちを邪魔するヤツは容赦しない！</t>
    <phoneticPr fontId="5"/>
  </si>
  <si>
    <t>君の欲しいものはなんだってあげよう！</t>
    <phoneticPr fontId="5"/>
  </si>
  <si>
    <t>あのチョコ…
まだ大事にとっておいてあるんだ…</t>
    <phoneticPr fontId="5"/>
  </si>
  <si>
    <t>バレンタインのお返しは何がいいかい？</t>
    <phoneticPr fontId="5"/>
  </si>
  <si>
    <t>ランダムでハートパネルに最大14個変換+全体攻撃</t>
    <phoneticPr fontId="5"/>
  </si>
  <si>
    <t>ランダムでハートパネルに最大14個変換+全体攻撃</t>
    <phoneticPr fontId="5"/>
  </si>
  <si>
    <t>攻撃頻度UP+ハートパネルを吸収して攻撃力UP</t>
    <phoneticPr fontId="5"/>
  </si>
  <si>
    <t>お、お姉ちゃん！助けて！
ヘンな人が追いかけてくるのっ！</t>
    <phoneticPr fontId="5"/>
  </si>
  <si>
    <t>ランダムでお邪魔パネルに最大8個変換+クリティカル！</t>
    <phoneticPr fontId="5"/>
  </si>
  <si>
    <t>ランダムでお邪魔パネルに最大8個変換+単体攻撃</t>
    <phoneticPr fontId="5"/>
  </si>
  <si>
    <t>ランダムで赤パネルに最大10個変換+4回連続攻撃</t>
    <phoneticPr fontId="5"/>
  </si>
  <si>
    <t>ランダムでハートパネルに最大14個変換+全体攻撃</t>
    <phoneticPr fontId="5"/>
  </si>
  <si>
    <t>その後勘違いも解け
すっかり打ち解けたマシロとグリム
いまではマシロもたびたび
グリムのアジトに遊びに訪れているようです</t>
    <phoneticPr fontId="5"/>
  </si>
  <si>
    <t>ピーターパン</t>
    <phoneticPr fontId="5"/>
  </si>
  <si>
    <t>アレス</t>
    <phoneticPr fontId="5"/>
  </si>
  <si>
    <t>[effect:enemy_message, val1:1.6, val2:2.0],[effect:ability_lock, target:unit_all, turn:1],[effect:sleep, target:unit_all, turn:1, rate:1],[effect:fix_speed, target:myself, turn:1]</t>
    <phoneticPr fontId="5"/>
  </si>
  <si>
    <t>マシロが怯えた様子でこちらへ走ってくる！
【緑属性ユニットの攻撃力UP+
　スキルゲージを3ターン減少】</t>
    <phoneticPr fontId="5"/>
  </si>
  <si>
    <t>マシロが怯えた様子でこちらへ走ってくる！
【緑属性ユニットの攻撃力UP+
　スキルゲージを3ターン減少】</t>
    <phoneticPr fontId="5"/>
  </si>
  <si>
    <t>[effect:enemy_message, val1:1.6, val2:2.3],[effect:break_enchance_enemy, target:myself, val:0.01, lowest_val:0, count:-1, status:attack, turn:-1, block01:block_heart, calc:mul, animation:enemy_enhance_attack],[effect:freq_turn, target:myself, turn:-1, val:1, animation:enemy_freq_turn]</t>
    <phoneticPr fontId="5"/>
  </si>
  <si>
    <t>ランダムでお邪魔パネルに最大8個変換+クリティカル！</t>
    <phoneticPr fontId="5"/>
  </si>
  <si>
    <t>ランダムでお邪魔パネルに最大8個変換+クリティカル！</t>
    <phoneticPr fontId="5"/>
  </si>
  <si>
    <t>ランダムで赤パネルに最大6個変換+クリティカル！</t>
    <phoneticPr fontId="5"/>
  </si>
  <si>
    <t>ランダムで赤パネルに最大6個変換+クリティカル！</t>
    <phoneticPr fontId="5"/>
  </si>
  <si>
    <t>マシロは逃げ出し
[player_name]の背後に隠れた！</t>
    <phoneticPr fontId="5"/>
  </si>
  <si>
    <t>マシロを連れて去っていく！</t>
    <phoneticPr fontId="5"/>
  </si>
  <si>
    <t>ランダムでお邪魔パネルに最大8個変換+
残りHPの50%ダメージ！</t>
    <phoneticPr fontId="5"/>
  </si>
  <si>
    <t>僕にバレンタインチョコを
くれたのは君だろう？</t>
    <phoneticPr fontId="5"/>
  </si>
  <si>
    <t>お願いっ！助けて！
ヘンな人が追いかけてくるのっ！</t>
    <phoneticPr fontId="5"/>
  </si>
  <si>
    <t>グリムは
お邪魔パネル変換をたびたび使用します
対応できるユニットを連れて行けば
戦いが有利になります</t>
    <phoneticPr fontId="5"/>
  </si>
  <si>
    <t>2ゲージ目ではあなたの選択によって
受けるダメージが大きく変わります
マシロの気持ちを考えて
慎重に選びましょう</t>
    <phoneticPr fontId="5"/>
  </si>
  <si>
    <t>【受け取らない】　　　　　→　赤を消そう！
【カゴいっぱいのお菓子！】→　青を消そう！</t>
    <phoneticPr fontId="5"/>
  </si>
  <si>
    <t>【受け取らない】　　　　　→　赤を消そう！
【カゴいっぱいのお菓子！】→　青を消そう！</t>
    <phoneticPr fontId="5"/>
  </si>
  <si>
    <t>だんだん強くなる全体攻撃
【！】次のターン致命的な攻撃【！】</t>
    <phoneticPr fontId="5"/>
  </si>
  <si>
    <t>「うぅ…[player_name]…っ！」</t>
    <phoneticPr fontId="5"/>
  </si>
  <si>
    <t>[effect:enemy_message, val1:2.9, val2:5.0],[effect:ability_lock, target:unit_all, turn:1],[effect:sleep, target:unit_all, turn:1, rate:1],[effect:enhance_unit, target:unit_green, turn:-1, status:attack, val:0.05, calc:mul],[effect:sp_boost, target:unit_green, val:3],[effect:fix_speed, target:myself, turn:1]</t>
    <phoneticPr fontId="5"/>
  </si>
  <si>
    <t>[effect:enemy_message, val1:2.9, val2:5.0],[effect:ability_lock, target:unit_all, turn:1],[effect:sleep, target:unit_all, turn:1, rate:1],[effect:enhance_unit, target:unit_green, turn:-1, status:attack, val:0.05, calc:mul],[effect:sp_boost, target:unit_green, val:3],[effect:fix_speed, target:myself, turn:1]</t>
    <phoneticPr fontId="5"/>
  </si>
  <si>
    <t>[effect:enemy_message, val1:2.7, val2:2.0],[effect:ability_lock, target:unit_all, turn:1],[effect:sleep, target:unit_all, turn:1, rate:1],[effect:fix_speed, target:myself, turn:1]</t>
    <phoneticPr fontId="5"/>
  </si>
  <si>
    <t>[effect:enemy_message, val1:2.4, val2:1.5],[effect:break_attack_fix, target:unit_one, val:500, lowest_val:6000, count:-1, block01:block_heart],[effect:fix_speed, target:myself, turn:2]</t>
    <phoneticPr fontId="5"/>
  </si>
  <si>
    <t>[effect:enemy_message, val1:1.8, val2:2.6],[effect:force_change_block, new_block:jammer, target:block_all, ignore01:crash, ignore02:crack_bomb, ignore03:jammer, ignore04:color_break, ignore05:magnet, count:8, val:0, animation:change_block],[effect:critical, val:1.2, animation:enemy_critical]</t>
    <phoneticPr fontId="5"/>
  </si>
  <si>
    <t>[effect:enemy_message, val1:2.3, val2:0],[effect:suicide, target:myself, val:1]</t>
    <phoneticPr fontId="5"/>
  </si>
  <si>
    <t>[effect:enemy_message, val1:2.4, val2:1.8],[effect:tolerance, target:myself, turn:-1, count:-1, tolerance_effect:all, animation:enemy_tolerance],[effect:remove_enhancement, target:unit_all, target_effect:change_panel_ratio, target_type:all],[effect:change_panel_ratio, turn:-1, block_type:blue, val:0],[effect:fix_speed, target:myself, turn:1]</t>
    <phoneticPr fontId="5"/>
  </si>
  <si>
    <t>[effect:enemy_message, val1:1.9, val2:3.1],[effect:spread, val:0.45]</t>
    <phoneticPr fontId="5"/>
  </si>
  <si>
    <t>[effect:enemy_message, val1:1.4, val2:1.6],[effect:spread, val:0.55],[effect:spread, val:0.55]</t>
    <phoneticPr fontId="5"/>
  </si>
  <si>
    <t>[effect:enemy_message, val1:1.9, val2:2.0]</t>
    <phoneticPr fontId="5"/>
  </si>
  <si>
    <t>[effect:enemy_message, val1:1.9, val2:1.6],[effect:spread, val:0.66],[effect:spread, val:0.66],[effect:spread, val:0.66]</t>
    <phoneticPr fontId="5"/>
  </si>
  <si>
    <t>[effect:enemy_message, val1:1.7, val2:3.9]</t>
    <phoneticPr fontId="5"/>
  </si>
  <si>
    <t>[effect:enemy_message, val1:2.4, val2:3.0, dead_type:escape]</t>
    <phoneticPr fontId="5"/>
  </si>
  <si>
    <t>[effect:enemy_message, val1:1.4, val2:1.3],[effect:damage_gravity, val:0.3, animation:fevergauge_down]</t>
    <phoneticPr fontId="5"/>
  </si>
  <si>
    <t>[effect:enemy_message, val1:2.3, val2:1.9],[effect:tolerance, target:myself, turn:-1, count:-1, tolerance_effect:all, animation:enemy_tolerance],[effect:remove_enhancement, target:unit_all, target_effect:change_panel_ratio, target_type:all],[effect:change_panel_ratio, turn:-1, block_type:blue, val:0],[effect:fix_speed, target:myself, turn:1]</t>
    <phoneticPr fontId="5"/>
  </si>
  <si>
    <t>[effect:enemy_message, val1:2.3, val2:1.3],[effect:critical, val:1.32, animation:enemy_critical]</t>
    <phoneticPr fontId="5"/>
  </si>
  <si>
    <t>[effect:enemy_message, val1:1.4, val2:1.3],[effect:damage_gravity, val:0.4, animation:fevergauge_down]</t>
    <phoneticPr fontId="5"/>
  </si>
  <si>
    <t>[effect:enemy_message, val1:2.2, val2:1.4],[effect:spread, val:0.25]</t>
    <phoneticPr fontId="5"/>
  </si>
  <si>
    <t>[effect:enemy_message, val1:1.7, val2:1.4],[effect:spread, val:0.35]</t>
    <phoneticPr fontId="5"/>
  </si>
  <si>
    <t>[effect:enemy_message, val1:2.0, val2:3.0],[effect:spread, val:0.45]</t>
    <phoneticPr fontId="5"/>
  </si>
  <si>
    <t>[effect:enemy_message, val1:1.9, val2:1.6],[effect:spread, val:0.66],[effect:spread, val:0.66],[effect:spread, val:0.66]</t>
    <phoneticPr fontId="5"/>
  </si>
  <si>
    <t>[effect:enemy_message, val1:1.4, val2:1.6],[effect:spread, val:0.55],[effect:spread, val:0.55]</t>
    <phoneticPr fontId="5"/>
  </si>
  <si>
    <t>[effect:enemy_message, val1:1.9, val2:2.0]</t>
    <phoneticPr fontId="5"/>
  </si>
  <si>
    <t>[effect:enemy_message, val1:1.7, val2:3.9]</t>
    <phoneticPr fontId="5"/>
  </si>
  <si>
    <t>[effect:enemy_message, val1:2.4, val2:3.0, dead_type:escape]</t>
    <phoneticPr fontId="5"/>
  </si>
  <si>
    <t>2回連続攻撃
（命中したユニットに2ターンスキルバインド）+
ランダムでお邪魔パネルに最大6個変換</t>
    <phoneticPr fontId="5"/>
  </si>
  <si>
    <t>[effect:enemy_message, val1:1.6, val2:3.2],[effect:spread, val:0.4],[effect:force_change_block, new_block:jammer, target:block_all, ignore01:crash, ignore02:crack_bomb, ignore03:jammer, ignore04:color_break, ignore05:magnet, count:12, val:0, animation:change_block]</t>
    <phoneticPr fontId="5"/>
  </si>
  <si>
    <t>everyone</t>
    <phoneticPr fontId="5"/>
  </si>
  <si>
    <t>clear</t>
    <phoneticPr fontId="5"/>
  </si>
  <si>
    <t>item</t>
    <phoneticPr fontId="5"/>
  </si>
  <si>
    <t>2016-5-27 0:00:00</t>
    <phoneticPr fontId="5"/>
  </si>
  <si>
    <t>2970-01-01 09:00:00</t>
    <phoneticPr fontId="5"/>
  </si>
  <si>
    <t>2016-5-27 0:00:00</t>
    <phoneticPr fontId="5"/>
  </si>
  <si>
    <t>2970-01-01 09:00:00</t>
    <phoneticPr fontId="5"/>
  </si>
  <si>
    <t>everyone</t>
    <phoneticPr fontId="5"/>
  </si>
  <si>
    <t>full_member</t>
    <phoneticPr fontId="5"/>
  </si>
  <si>
    <t>everyone</t>
    <phoneticPr fontId="5"/>
  </si>
  <si>
    <t>no_continue</t>
    <phoneticPr fontId="5"/>
  </si>
  <si>
    <t>item</t>
    <phoneticPr fontId="5"/>
  </si>
  <si>
    <t>2016-5-27 0:00:00</t>
    <phoneticPr fontId="5"/>
  </si>
  <si>
    <t>2970-01-01 09:00:00</t>
    <phoneticPr fontId="5"/>
  </si>
  <si>
    <t>item</t>
    <phoneticPr fontId="5"/>
  </si>
  <si>
    <t>item</t>
    <phoneticPr fontId="5"/>
  </si>
  <si>
    <t>unit</t>
    <phoneticPr fontId="5"/>
  </si>
  <si>
    <t>unit</t>
    <phoneticPr fontId="5"/>
  </si>
  <si>
    <t>unit</t>
    <phoneticPr fontId="5"/>
  </si>
  <si>
    <t>どんな結末を迎えるか…
すべては君の選択次第さ
【マシロの気持ちを伝えて誤解を解こう！】</t>
    <phoneticPr fontId="5"/>
  </si>
  <si>
    <t>ハートパネルをお邪魔パネルに変換+
残りHPの99%ダメージ！+
自身に残りHPの10%のダメージ！</t>
    <phoneticPr fontId="5"/>
  </si>
  <si>
    <t>残りHPの99%ダメージ！+自身に残りHPの10%のダメージ！</t>
    <phoneticPr fontId="5"/>
  </si>
  <si>
    <t>だんだん強くなる全体攻撃
【！】次のターン致命的な攻撃【！】</t>
    <phoneticPr fontId="5"/>
  </si>
  <si>
    <t>[effect:enemy_message, val1:2.4, val2:1.5],[effect:break_attack_fix, target:unit_one, val:300, lowest_val:3000, count:-1, block01:block_heart],[effect:fix_speed, target:myself, turn:2]</t>
    <phoneticPr fontId="5"/>
  </si>
  <si>
    <t>[effect:enemy_message, val1:1.3, val2:2.4],[effect:force_change_block, new_block:block_heart, target:block_all, ignore01:crash, ignore02:crack_bomb, ignore03:color_break, ignore04:magnet, ignore05:block_heart, count:14, val:0],[effect:spread, val:0.32]</t>
    <phoneticPr fontId="5"/>
  </si>
  <si>
    <t>[effect:enemy_message, val1:1.6, val2:2.3],[effect:break_enchance_enemy, target:myself, val:0.01, lowest_val:0, count:-1, status:attack, turn:-1, block01:block_heart, calc:mul, animation:enemy_enhance_attack],[effect:freq_turn, target:myself, turn:-1, val:1, animation:enemy_freq_turn]</t>
    <phoneticPr fontId="5"/>
  </si>
  <si>
    <t>[effect:enemy_message, val1:1.5, val2:2.4],[effect:force_change_block, new_block:block_heart, target:block_all, ignore01:crash, ignore02:crack_bomb, ignore03:color_break, ignore04:magnet, ignore05:block_heart, count:14, val:0],[effect:spread, val:0.34]</t>
    <phoneticPr fontId="5"/>
  </si>
  <si>
    <t>[effect:enemy_message, val1:1.6, val2:2.4],[effect:force_change_block, new_block:block_red, target:block_all, ignore01:crash, ignore02:crack_bomb, ignore03:color_break, ignore04:magnet, ignore05:block_red, count:10, val:0, animation:change_block],[effect:rush, count:4, val:0.21]</t>
    <phoneticPr fontId="5"/>
  </si>
  <si>
    <t>[effect:enemy_message, val1:1.4, val2:3.2],[effect:force_change_block, new_block:jammer, target:block_all, ignore01:crash, ignore02:crack_bomb, ignore03:jammer, ignore04:color_break, ignore05:magnet, count:8, val:0, animation:change_block],[effect:damage_gravity, val:0.5, animation:fevergauge_down]</t>
    <phoneticPr fontId="5"/>
  </si>
  <si>
    <t>[effect:enemy_message, val1:1.7, val2:4.7],[effect:damage_abnormal, target:unit_one, val:0.51, status:hungup, turn:2, animation:hungup01],[effect:damage_abnormal, target:unit_one, val:0.52, status:hungup, turn:2, animation:hungup01],[effect:force_change_block, new_block:jammer, target:block_all, ignore01:crash, ignore02:crack_bomb, ignore03:jammer, ignore04:color_break, ignore05:magnet, count:6, val:0, animation:change_block]</t>
    <phoneticPr fontId="5"/>
  </si>
  <si>
    <t>[effect:enemy_message, val1:2.2, val2:5.0],[effect:damage_abnormal, target:unit_one, val:0.41, status:attack, turn:2, val_abnormal:0.3],[effect:damage_abnormal, target:unit_one, val:0.39, status:attack, turn:2, val_abnormal:0.3],[effect:damage_abnormal, target:unit_one, val:0.4, status:attack, turn:2, val_abnormal:0.3],[effect:force_change_block, new_block:jammer, target:block_all, ignore01:crash, ignore02:crack_bomb, ignore03:jammer, ignore04:color_break, ignore05:magnet, count:6, val:0, animation:change_block]</t>
    <phoneticPr fontId="5"/>
  </si>
  <si>
    <t>[effect:enemy_message, val1:1.5, val2:2.3],[effect:force_change_block, new_block:jammer, target:block_all, ignore01:crash, ignore02:crack_bomb, ignore03:jammer, ignore04:color_break, ignore05:magnet, count:8, val:0, animation:change_block],[effect:rush, count:1, val:1]</t>
    <phoneticPr fontId="5"/>
  </si>
  <si>
    <t>[effect:enemy_message, val1:1.5, val2:2.4],[effect:force_change_block, new_block:block_heart, target:block_all, ignore01:crash, ignore02:crack_bomb, ignore03:jammer, ignore04:color_break, ignore05:magnet, ignore06:block_heart, count:14, val:0],[effect:spread, val:0.34]</t>
    <phoneticPr fontId="5"/>
  </si>
  <si>
    <t>[effect:enemy_message, val1:2.3, val2:3.1],[effect:damage_abnormal, target:unit_one, val:0.32, status:attack, turn:2, val_abnormal:0.5],[effect:damage_abnormal, target:unit_one, val:0.32, status:attack, turn:2, val_abnormal:0.5],[effect:damage_abnormal, target:unit_one, val:0.32, status:attack, turn:2, val_abnormal:0.5]</t>
    <phoneticPr fontId="5"/>
  </si>
  <si>
    <t>[effect:enemy_message, val1:1.4, val2:3.3],[effect:force_change_block, new_block:jammer, target:block_all, ignore01:crash, ignore02:crack_bomb, ignore03:jammer, ignore04:color_break, ignore05:magnet, count:10, val:0, animation:change_block],[effect:damage_gravity, val:0.5, animation:fevergauge_down]</t>
    <phoneticPr fontId="5"/>
  </si>
  <si>
    <t>[effect:enemy_message, val1:1.5, val2:4.7],[effect:force_change_block, new_block:jammer, target:block_heart, count:0, val:0],[effect:damage_gravity, val:0.99, animation:fevergauge_down],[effect:suicide, target:myself, val:0.1]</t>
    <phoneticPr fontId="5"/>
  </si>
  <si>
    <t>[effect:enemy_message, val1:2.2, val2:3.1],[effect:spread, val:0.3],[effect:force_change_block, new_block:jammer, target:block_all, ignore01:crash, ignore02:crack_bomb, ignore03:jammer, ignore04:color_break, ignore05:magnet, count:6, val:0, animation:change_block]</t>
    <phoneticPr fontId="5"/>
  </si>
  <si>
    <t>[effect:enemy_message, val1:1.8, val2:2.4],[effect:force_change_block, new_block:block_red, target:block_all, ignore01:crash, ignore02:crack_bomb, ignore03:color_break, ignore04:magnet, ignore05:block_red, count:6, val:0, animation:change_block],[effect:critical, val:1.3, animation:enemy_critical]</t>
    <phoneticPr fontId="5"/>
  </si>
  <si>
    <t>[effect:enemy_message, val1:1.8, val2:2.4],[effect:force_change_block, new_block:block_red, target:block_all, ignore01:crash, ignore02:crack_bomb, ignore03:color_break, ignore04:magnet, ignore05:block_red, count:6, val:0, animation:change_block],[effect:critical, val:1.3, animation:enemy_critical]</t>
    <phoneticPr fontId="5"/>
  </si>
  <si>
    <t>[effect:enemy_message, val1:2.9, val2:4.3],[effect:ability_lock, target:unit_all, turn:1],[effect:sleep, target:unit_all, turn:1, rate:1],[effect:sp_boost, target:unit_blue, val:2],[effect:fix_speed, target:myself, turn:1]</t>
    <phoneticPr fontId="5"/>
  </si>
  <si>
    <t>[effect:enemy_message, val1:1.8, val2:2.6],[effect:force_change_block, new_block:jammer, target:block_all, ignore01:crash, ignore02:crack_bomb, ignore03:jammer, ignore04:color_break, ignore05:magnet, count:8, val:0, animation:change_block],[effect:critical, val:1.25, animation:enemy_critical]</t>
    <phoneticPr fontId="5"/>
  </si>
  <si>
    <t>[effect:enemy_message, val1:1.5, val2:1.5],[effect:break_attack_fix, target:unit_all, val:168, lowest_val:1, count:-1, block01:block_blue],[effect:ability_lock, target:unit_all, turn:1],[effect:sleep, target:unit_all, turn:1, rate:1],[effect:regenerate, target:unit_all, turn:1, val:0.25, type:hp_ratio, animation:heal03_unit01]</t>
    <phoneticPr fontId="5"/>
  </si>
  <si>
    <t>お邪魔パネル以外のすべてのパネルをハートパネルに変換</t>
    <phoneticPr fontId="5"/>
  </si>
  <si>
    <t>[effect:enemy_message, val1:2.2, val2:2.6],[effect:force_change_block, new_block:block_heart, target:block_all, ignore01:jammer, count:0, val:0]</t>
    <phoneticPr fontId="5"/>
  </si>
  <si>
    <t>[effect:enemy_message, val1:2.2, val2:1.7],[effect:force_change_block, new_block:block_heart, target:block_all, count:0, val:0]</t>
    <phoneticPr fontId="5"/>
  </si>
  <si>
    <t>[effect:enemy_message, val1:1.6, val2:3.8],[effect:set_background, turn:-1, background_id:979, switching_mode:go_back, duration:1],[effect:tolerance,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t>
    <phoneticPr fontId="5"/>
  </si>
  <si>
    <t>3回連続全体攻撃</t>
    <phoneticPr fontId="5"/>
  </si>
  <si>
    <t>3回連続全体攻撃</t>
    <phoneticPr fontId="5"/>
  </si>
  <si>
    <t>[effect:enemy_message, val1:1.6, val2:2.4],[effect:force_change_block, new_block:block_red, target:block_all, ignore01:crash, ignore02:crack_bomb, ignore03:jammer, ignore04:color_break, ignore05:magnet, ignore06:block_red, count:10, val:0, animation:change_block],[effect:rush, count:4, val:0.22]</t>
    <phoneticPr fontId="5"/>
  </si>
  <si>
    <t>ランダムで赤&amp;ハートのCBPに最大1個ずつ変換</t>
    <phoneticPr fontId="5"/>
  </si>
  <si>
    <t>ランダムで赤&amp;ハートのCBPに最大1個ずつ変換</t>
    <phoneticPr fontId="5"/>
  </si>
  <si>
    <t>[effect:enemy_message, val1:2.5, val2:2.3],[effect:force_change_block, new_block:color_break, target:block_all, ignore01:crash, ignore02:crack_bomb, ignore03:color_break, ignore04:magnet, color:block_red, count:1, val:0],[effect:force_change_block, new_block:color_break, target:block_all, ignore01:crash, ignore02:crack_bomb, ignore03:color_break, ignore04:magnet, color:block_heart, count:1, val:0]</t>
    <phoneticPr fontId="5"/>
  </si>
  <si>
    <t>[effect:enemy_message, val1:1.5, val2:5.1],[effect:break_attack_fix, target:unit_all, val:80, lowest_val:1200, count:-1, block01:block_all, ignore01:block_heart, ignore02:crash, ignore03:crack_bomb, ignore04:color_break, ignore05:magnet]</t>
    <phoneticPr fontId="5"/>
  </si>
  <si>
    <t>あれは君からのチョコではなかった…だと…！？
【ハート以外の属性パネルと
　お邪魔パネルを吸収して全体攻撃】</t>
    <phoneticPr fontId="5"/>
  </si>
  <si>
    <t>[effect:enemy_message, val1:1.5, val2:4.4],[effect:break_attack_fix, target:unit_all, val:50, lowest_val:1000, count:-1, block01:block_all, ignore01:block_heart, ignore02:crash, ignore03:crack_bomb, ignore04:color_break, ignore05:magnet, ignore06:jammer]</t>
    <phoneticPr fontId="5"/>
  </si>
  <si>
    <t>あれは君からのチョコではなかった…だと…！？
【ハート以外の属性パネルを吸収して全体攻撃】</t>
    <phoneticPr fontId="5"/>
  </si>
  <si>
    <t>[effect:enemy_message, val1:2.5, val2:2.3],[effect:force_change_block, new_block:color_break, target:block_all, ignore01:crash, ignore02:crack_bomb, ignore03:jammer, ignore04:color_break, ignore05:magnet, color:block_red, count:1, val:0],[effect:force_change_block, new_block:color_break, target:block_all, ignore01:crash, ignore02:crack_bomb, ignore03:jammer, ignore04:color_break, ignore05:magnet, color:block_heart, count:1, val:0]</t>
    <phoneticPr fontId="5"/>
  </si>
  <si>
    <t>[effect:enemy_message, val1:1.5, val2:1.5],[effect:break_attack_fix, target:unit_all, val:90, lowest_val:1, count:-1, block01:block_red],[effect:ability_lock, target:unit_all, turn:1],[effect:sleep, target:unit_all, turn:1, rate:1],[effect:regenerate, target:unit_all, turn:1, val:0.3, type:hp_ratio, animation:heal03_unit01]</t>
    <phoneticPr fontId="5"/>
  </si>
  <si>
    <t>[effect:enemy_message, val1:1.9, val2:4.4],[effect:remove_enhancement, target:unit_all, target_effect:change_panel_ratio, target_type:all],[effect:tolerance, target:myself, turn:-1, count:-1, tolerance_effect:all],[effect:crash_condition, target:unit_all, turn:8, val:99],[effect:ability_lock, target:unit_all, turn:8],[effect:hungup, target:unit_all, turn:8, rate:1],[effect:break_enchance_enemy, target:myself, val:1000, lowest_val:50000, count:-1, status:defense, turn:9, block01:block_all, calc:add],[effect:change_panel_ratio, turn:-1, block_type:green, val:0, animation:block_incidence04],[effect:change_panel_ratio, turn:-1, block_type:yellow, val:0],[effect:change_panel_ratio, turn:-1, block_type:heal, val:0],[effect:ability_lock, target:unit_all, turn:1],[effect:sleep, target:unit_all, turn:1, rate:1],[effect:degrade_fever, val:1000],[effect:fix_speed, target:myself, turn:1]</t>
    <phoneticPr fontId="5"/>
  </si>
  <si>
    <t>[effect:enemy_message, val1:3.5, val2:5.0],[effect:change_panel_ratio,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</si>
  <si>
    <t>[effect:enemy_message, val1:2.2, val2:1.5],[effect:break_attack_fix, target:unit_all, val:168, lowest_val:1, count:-1, block01:block_blue],[effect:ability_lock, target:unit_all, turn:1],[effect:sleep, target:unit_all, turn:1, rate:1],[effect:regenerate, target:unit_all, turn:1, val:0.25, type:hp_ratio, animation:heal03_unit01]</t>
    <phoneticPr fontId="5"/>
  </si>
  <si>
    <t>[effect:enemy_message, val1:3.5, val2:5.0],[effect:change_panel_ratio,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</si>
  <si>
    <t>[effect:enemy_message, val1:1.5, val2:1.5],[effect:break_attack_fix, target:unit_all, val:168, lowest_val:1, count:-1, block01:block_red],[effect:ability_lock, target:unit_all, turn:1],[effect:sleep, target:unit_all, turn:1, rate:1],[effect:regenerate, target:unit_all, turn:1, val:0.25, type:hp_ratio, animation:heal03_unit01]</t>
    <phoneticPr fontId="5"/>
  </si>
  <si>
    <t>[effect:enemy_message, val1:3.0, val2:5.3],[effect:change_panel_ratio,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</si>
  <si>
    <t>[effect:enemy_message, val1:3.5, val2:5.3],[effect:change_panel_ratio,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</si>
  <si>
    <t>[effect:enemy_message, val1:1.5, val2:1.5],[effect:break_attack_fix, target:unit_all, val:90, lowest_val:1, count:-1, block01:block_blue],[effect:ability_lock, target:unit_all, turn:1],[effect:sleep, target:unit_all, turn:1, rate:1],[effect:regenerate, target:unit_all, turn:1, val:0.3, type:hp_ratio, animation:heal03_unit01]</t>
    <phoneticPr fontId="5"/>
  </si>
  <si>
    <t>[effect:enemy_message, val1:3.5, val2:5.0],[effect:change_panel_ratio,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</si>
  <si>
    <t>[effect:enemy_message, val1:3.5, val2:5.0],[effect:change_panel_ratio,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</si>
  <si>
    <t>[effect:enemy_message, val1:3.0, val2:5.3],[effect:change_panel_ratio,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</si>
  <si>
    <t>[effect:enemy_message, val1:3.5, val2:5.3],[effect:change_panel_ratio,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</si>
</sst>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b/>
      <sz val="13"/>
      <color theme="0" tint="-0.34998626667073579"/>
      <name val="Arial"/>
    </font>
  </fonts>
  <fills count="5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FF"/>
        <bgColor rgb="FF63AAF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79998168889431442"/>
        <bgColor rgb="FF63AAFE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2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24"/>
      </patternFill>
    </fill>
    <fill>
      <patternFill patternType="solid">
        <fgColor rgb="FFFFF2CC"/>
        <bgColor rgb="FF000000"/>
      </patternFill>
    </fill>
    <fill>
      <patternFill patternType="solid">
        <fgColor rgb="FFFFC000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5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52" fillId="33" borderId="23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8" fillId="0" borderId="24" xfId="0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5" borderId="28" xfId="0" applyFont="1" applyFill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6" fillId="32" borderId="30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8" fillId="0" borderId="33" xfId="0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6" fillId="32" borderId="34" xfId="0" applyFont="1" applyFill="1" applyBorder="1" applyAlignment="1">
      <alignment vertical="center"/>
    </xf>
    <xf numFmtId="176" fontId="4" fillId="0" borderId="7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6" fillId="32" borderId="7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6" fillId="32" borderId="28" xfId="0" applyFont="1" applyFill="1" applyBorder="1" applyAlignment="1">
      <alignment vertical="center"/>
    </xf>
    <xf numFmtId="0" fontId="24" fillId="34" borderId="7" xfId="434" applyFill="1" applyBorder="1" applyAlignment="1"/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53" fillId="6" borderId="7" xfId="0" applyFont="1" applyFill="1" applyBorder="1"/>
    <xf numFmtId="0" fontId="53" fillId="0" borderId="7" xfId="0" applyFont="1" applyBorder="1"/>
    <xf numFmtId="0" fontId="53" fillId="0" borderId="12" xfId="0" applyFont="1" applyBorder="1"/>
    <xf numFmtId="0" fontId="11" fillId="12" borderId="7" xfId="0" applyFont="1" applyFill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 wrapText="1"/>
    </xf>
    <xf numFmtId="0" fontId="11" fillId="12" borderId="12" xfId="0" applyFont="1" applyFill="1" applyBorder="1" applyAlignment="1">
      <alignment horizontal="left" vertical="center" wrapText="1"/>
    </xf>
    <xf numFmtId="0" fontId="16" fillId="3" borderId="27" xfId="0" applyFont="1" applyFill="1" applyBorder="1" applyAlignment="1">
      <alignment horizontal="left" vertical="center" wrapText="1"/>
    </xf>
    <xf numFmtId="0" fontId="16" fillId="3" borderId="27" xfId="0" applyFont="1" applyFill="1" applyBorder="1" applyAlignment="1">
      <alignment vertical="center"/>
    </xf>
    <xf numFmtId="0" fontId="16" fillId="0" borderId="27" xfId="0" applyFont="1" applyFill="1" applyBorder="1" applyAlignment="1">
      <alignment horizontal="left" vertical="center"/>
    </xf>
    <xf numFmtId="14" fontId="16" fillId="0" borderId="27" xfId="0" applyNumberFormat="1" applyFont="1" applyFill="1" applyBorder="1" applyAlignment="1">
      <alignment horizontal="left" vertical="center"/>
    </xf>
    <xf numFmtId="0" fontId="16" fillId="37" borderId="7" xfId="0" applyFont="1" applyFill="1" applyBorder="1" applyAlignment="1">
      <alignment vertical="center"/>
    </xf>
    <xf numFmtId="0" fontId="53" fillId="37" borderId="7" xfId="0" applyFont="1" applyFill="1" applyBorder="1"/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53" fillId="34" borderId="7" xfId="0" applyFont="1" applyFill="1" applyBorder="1"/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0" fontId="53" fillId="38" borderId="7" xfId="0" applyFont="1" applyFill="1" applyBorder="1"/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vertical="center"/>
    </xf>
    <xf numFmtId="0" fontId="53" fillId="39" borderId="7" xfId="0" applyFont="1" applyFill="1" applyBorder="1"/>
    <xf numFmtId="0" fontId="16" fillId="39" borderId="7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0" fontId="11" fillId="40" borderId="12" xfId="0" applyFont="1" applyFill="1" applyBorder="1" applyAlignment="1">
      <alignment vertical="center"/>
    </xf>
    <xf numFmtId="0" fontId="11" fillId="41" borderId="12" xfId="0" applyFont="1" applyFill="1" applyBorder="1" applyAlignment="1">
      <alignment vertical="center"/>
    </xf>
    <xf numFmtId="0" fontId="11" fillId="42" borderId="7" xfId="0" applyFont="1" applyFill="1" applyBorder="1" applyAlignment="1">
      <alignment vertical="center"/>
    </xf>
    <xf numFmtId="0" fontId="11" fillId="42" borderId="12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7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53" fillId="34" borderId="39" xfId="0" applyFont="1" applyFill="1" applyBorder="1"/>
    <xf numFmtId="0" fontId="16" fillId="34" borderId="39" xfId="0" applyFont="1" applyFill="1" applyBorder="1" applyAlignment="1">
      <alignment horizontal="left" vertical="center"/>
    </xf>
    <xf numFmtId="0" fontId="16" fillId="34" borderId="39" xfId="0" applyFont="1" applyFill="1" applyBorder="1" applyAlignment="1">
      <alignment horizontal="left" vertical="center" wrapText="1"/>
    </xf>
    <xf numFmtId="0" fontId="16" fillId="6" borderId="39" xfId="0" applyFont="1" applyFill="1" applyBorder="1" applyAlignment="1">
      <alignment vertical="center"/>
    </xf>
    <xf numFmtId="0" fontId="16" fillId="3" borderId="39" xfId="0" applyFont="1" applyFill="1" applyBorder="1" applyAlignment="1">
      <alignment horizontal="left" vertical="center"/>
    </xf>
    <xf numFmtId="0" fontId="16" fillId="3" borderId="39" xfId="0" applyFont="1" applyFill="1" applyBorder="1" applyAlignment="1">
      <alignment vertical="center"/>
    </xf>
    <xf numFmtId="0" fontId="16" fillId="34" borderId="27" xfId="0" applyFont="1" applyFill="1" applyBorder="1" applyAlignment="1">
      <alignment vertical="center"/>
    </xf>
    <xf numFmtId="38" fontId="16" fillId="0" borderId="7" xfId="628" applyFont="1" applyFill="1" applyBorder="1" applyAlignment="1">
      <alignment vertical="center"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0" fillId="0" borderId="12" xfId="0" applyBorder="1"/>
    <xf numFmtId="0" fontId="27" fillId="0" borderId="27" xfId="0" applyFont="1" applyFill="1" applyBorder="1"/>
    <xf numFmtId="0" fontId="28" fillId="0" borderId="27" xfId="0" applyFont="1" applyFill="1" applyBorder="1"/>
    <xf numFmtId="0" fontId="29" fillId="3" borderId="27" xfId="0" applyFont="1" applyFill="1" applyBorder="1" applyAlignment="1">
      <alignment vertical="center"/>
    </xf>
    <xf numFmtId="0" fontId="30" fillId="0" borderId="27" xfId="0" applyFont="1" applyFill="1" applyBorder="1"/>
    <xf numFmtId="0" fontId="29" fillId="0" borderId="27" xfId="0" applyFont="1" applyFill="1" applyBorder="1" applyAlignment="1">
      <alignment vertical="center"/>
    </xf>
    <xf numFmtId="0" fontId="30" fillId="30" borderId="27" xfId="0" applyFont="1" applyFill="1" applyBorder="1"/>
    <xf numFmtId="0" fontId="30" fillId="14" borderId="27" xfId="0" applyFont="1" applyFill="1" applyBorder="1"/>
    <xf numFmtId="0" fontId="31" fillId="0" borderId="27" xfId="0" applyFont="1" applyFill="1" applyBorder="1"/>
    <xf numFmtId="38" fontId="16" fillId="0" borderId="27" xfId="628" applyFont="1" applyFill="1" applyBorder="1" applyAlignment="1">
      <alignment vertical="center" wrapText="1"/>
    </xf>
    <xf numFmtId="0" fontId="0" fillId="0" borderId="27" xfId="0" applyBorder="1"/>
    <xf numFmtId="0" fontId="24" fillId="6" borderId="7" xfId="434" applyFill="1" applyBorder="1" applyAlignment="1"/>
    <xf numFmtId="0" fontId="4" fillId="44" borderId="1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horizontal="center" vertical="center"/>
    </xf>
    <xf numFmtId="0" fontId="6" fillId="44" borderId="7" xfId="0" applyFont="1" applyFill="1" applyBorder="1" applyAlignment="1">
      <alignment vertical="center"/>
    </xf>
    <xf numFmtId="176" fontId="4" fillId="44" borderId="31" xfId="0" applyNumberFormat="1" applyFont="1" applyFill="1" applyBorder="1" applyAlignment="1">
      <alignment horizontal="center" vertical="center"/>
    </xf>
    <xf numFmtId="0" fontId="4" fillId="44" borderId="2" xfId="0" applyFont="1" applyFill="1" applyBorder="1" applyAlignment="1">
      <alignment horizontal="center" vertical="center"/>
    </xf>
    <xf numFmtId="0" fontId="6" fillId="45" borderId="31" xfId="0" applyFont="1" applyFill="1" applyBorder="1" applyAlignment="1">
      <alignment vertical="center"/>
    </xf>
    <xf numFmtId="0" fontId="6" fillId="44" borderId="2" xfId="0" applyFont="1" applyFill="1" applyBorder="1" applyAlignment="1">
      <alignment vertical="center"/>
    </xf>
    <xf numFmtId="177" fontId="11" fillId="44" borderId="38" xfId="0" applyNumberFormat="1" applyFont="1" applyFill="1" applyBorder="1" applyAlignment="1">
      <alignment vertical="center"/>
    </xf>
    <xf numFmtId="177" fontId="8" fillId="44" borderId="33" xfId="0" applyNumberFormat="1" applyFont="1" applyFill="1" applyBorder="1" applyAlignment="1">
      <alignment vertical="center"/>
    </xf>
    <xf numFmtId="0" fontId="8" fillId="44" borderId="33" xfId="0" applyFont="1" applyFill="1" applyBorder="1" applyAlignment="1">
      <alignment vertical="center"/>
    </xf>
    <xf numFmtId="0" fontId="16" fillId="47" borderId="7" xfId="0" applyFont="1" applyFill="1" applyBorder="1" applyAlignment="1">
      <alignment vertical="center"/>
    </xf>
    <xf numFmtId="0" fontId="53" fillId="47" borderId="7" xfId="0" applyFont="1" applyFill="1" applyBorder="1"/>
    <xf numFmtId="0" fontId="16" fillId="47" borderId="7" xfId="0" applyFont="1" applyFill="1" applyBorder="1" applyAlignment="1">
      <alignment horizontal="left" vertical="center"/>
    </xf>
    <xf numFmtId="0" fontId="16" fillId="47" borderId="7" xfId="0" applyFont="1" applyFill="1" applyBorder="1" applyAlignment="1">
      <alignment horizontal="left" vertical="center" wrapText="1"/>
    </xf>
    <xf numFmtId="0" fontId="53" fillId="6" borderId="7" xfId="0" applyFont="1" applyFill="1" applyBorder="1" applyAlignment="1">
      <alignment wrapText="1"/>
    </xf>
    <xf numFmtId="0" fontId="16" fillId="48" borderId="7" xfId="0" applyFont="1" applyFill="1" applyBorder="1" applyAlignment="1">
      <alignment vertical="center"/>
    </xf>
    <xf numFmtId="176" fontId="4" fillId="44" borderId="7" xfId="0" applyNumberFormat="1" applyFont="1" applyFill="1" applyBorder="1" applyAlignment="1">
      <alignment horizontal="center" vertical="center"/>
    </xf>
    <xf numFmtId="0" fontId="6" fillId="45" borderId="7" xfId="0" applyFont="1" applyFill="1" applyBorder="1" applyAlignment="1">
      <alignment vertical="center"/>
    </xf>
    <xf numFmtId="176" fontId="4" fillId="46" borderId="7" xfId="0" applyNumberFormat="1" applyFont="1" applyFill="1" applyBorder="1" applyAlignment="1">
      <alignment horizontal="center" vertical="center"/>
    </xf>
    <xf numFmtId="0" fontId="4" fillId="46" borderId="7" xfId="0" applyFont="1" applyFill="1" applyBorder="1" applyAlignment="1">
      <alignment horizontal="center" vertical="center"/>
    </xf>
    <xf numFmtId="0" fontId="6" fillId="49" borderId="7" xfId="0" applyFont="1" applyFill="1" applyBorder="1" applyAlignment="1">
      <alignment vertical="center"/>
    </xf>
    <xf numFmtId="0" fontId="6" fillId="46" borderId="7" xfId="0" applyFont="1" applyFill="1" applyBorder="1" applyAlignment="1">
      <alignment vertical="center"/>
    </xf>
    <xf numFmtId="177" fontId="8" fillId="46" borderId="33" xfId="0" applyNumberFormat="1" applyFont="1" applyFill="1" applyBorder="1" applyAlignment="1">
      <alignment vertical="center"/>
    </xf>
    <xf numFmtId="0" fontId="8" fillId="46" borderId="33" xfId="0" applyFont="1" applyFill="1" applyBorder="1" applyAlignment="1">
      <alignment vertical="center"/>
    </xf>
    <xf numFmtId="177" fontId="8" fillId="46" borderId="7" xfId="0" applyNumberFormat="1" applyFont="1" applyFill="1" applyBorder="1" applyAlignment="1">
      <alignment vertical="center"/>
    </xf>
    <xf numFmtId="0" fontId="8" fillId="46" borderId="7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8" fillId="35" borderId="4" xfId="0" applyFont="1" applyFill="1" applyBorder="1" applyAlignment="1">
      <alignment vertical="center"/>
    </xf>
    <xf numFmtId="177" fontId="8" fillId="35" borderId="24" xfId="0" applyNumberFormat="1" applyFont="1" applyFill="1" applyBorder="1" applyAlignment="1">
      <alignment vertical="center"/>
    </xf>
    <xf numFmtId="0" fontId="4" fillId="35" borderId="12" xfId="0" applyFont="1" applyFill="1" applyBorder="1" applyAlignment="1">
      <alignment horizontal="center" vertical="center"/>
    </xf>
    <xf numFmtId="0" fontId="8" fillId="35" borderId="24" xfId="0" applyFont="1" applyFill="1" applyBorder="1" applyAlignment="1">
      <alignment vertical="center"/>
    </xf>
    <xf numFmtId="0" fontId="11" fillId="44" borderId="7" xfId="0" applyFont="1" applyFill="1" applyBorder="1" applyAlignment="1">
      <alignment horizontal="center" vertical="center"/>
    </xf>
    <xf numFmtId="0" fontId="4" fillId="44" borderId="5" xfId="0" applyFont="1" applyFill="1" applyBorder="1" applyAlignment="1">
      <alignment vertical="center"/>
    </xf>
    <xf numFmtId="0" fontId="6" fillId="32" borderId="32" xfId="0" applyFont="1" applyFill="1" applyBorder="1" applyAlignment="1">
      <alignment vertical="center"/>
    </xf>
    <xf numFmtId="177" fontId="8" fillId="35" borderId="31" xfId="0" applyNumberFormat="1" applyFont="1" applyFill="1" applyBorder="1" applyAlignment="1">
      <alignment vertical="center"/>
    </xf>
    <xf numFmtId="0" fontId="4" fillId="35" borderId="2" xfId="0" applyFont="1" applyFill="1" applyBorder="1" applyAlignment="1">
      <alignment horizontal="center" vertical="center"/>
    </xf>
    <xf numFmtId="0" fontId="8" fillId="35" borderId="33" xfId="0" applyFont="1" applyFill="1" applyBorder="1" applyAlignment="1">
      <alignment vertical="center"/>
    </xf>
    <xf numFmtId="0" fontId="52" fillId="33" borderId="38" xfId="0" applyFont="1" applyFill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9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 vertical="center"/>
    </xf>
    <xf numFmtId="0" fontId="6" fillId="0" borderId="39" xfId="0" applyFont="1" applyFill="1" applyBorder="1" applyAlignment="1">
      <alignment vertical="center"/>
    </xf>
    <xf numFmtId="0" fontId="8" fillId="35" borderId="26" xfId="0" applyFont="1" applyFill="1" applyBorder="1" applyAlignment="1">
      <alignment vertical="center"/>
    </xf>
    <xf numFmtId="1" fontId="32" fillId="31" borderId="39" xfId="0" applyNumberFormat="1" applyFont="1" applyFill="1" applyBorder="1" applyAlignment="1">
      <alignment vertical="center"/>
    </xf>
    <xf numFmtId="177" fontId="8" fillId="35" borderId="43" xfId="0" applyNumberFormat="1" applyFont="1" applyFill="1" applyBorder="1" applyAlignment="1">
      <alignment vertical="center"/>
    </xf>
    <xf numFmtId="0" fontId="8" fillId="0" borderId="26" xfId="0" applyFont="1" applyBorder="1" applyAlignment="1">
      <alignment vertical="center"/>
    </xf>
    <xf numFmtId="0" fontId="52" fillId="43" borderId="26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3" borderId="39" xfId="0" applyFont="1" applyFill="1" applyBorder="1" applyAlignment="1">
      <alignment vertical="center"/>
    </xf>
    <xf numFmtId="0" fontId="4" fillId="0" borderId="39" xfId="0" applyFont="1" applyFill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8" fillId="35" borderId="7" xfId="0" applyFont="1" applyFill="1" applyBorder="1" applyAlignment="1">
      <alignment vertical="center"/>
    </xf>
    <xf numFmtId="177" fontId="8" fillId="35" borderId="7" xfId="0" applyNumberFormat="1" applyFont="1" applyFill="1" applyBorder="1" applyAlignment="1">
      <alignment vertical="center"/>
    </xf>
    <xf numFmtId="0" fontId="52" fillId="4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44" borderId="7" xfId="0" applyFont="1" applyFill="1" applyBorder="1" applyAlignment="1">
      <alignment vertical="center"/>
    </xf>
    <xf numFmtId="0" fontId="4" fillId="44" borderId="26" xfId="0" applyFont="1" applyFill="1" applyBorder="1" applyAlignment="1">
      <alignment vertical="center"/>
    </xf>
    <xf numFmtId="0" fontId="11" fillId="44" borderId="42" xfId="0" applyFont="1" applyFill="1" applyBorder="1" applyAlignment="1">
      <alignment horizontal="center" vertical="center"/>
    </xf>
    <xf numFmtId="176" fontId="4" fillId="35" borderId="3" xfId="0" applyNumberFormat="1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6" fillId="35" borderId="7" xfId="0" applyFont="1" applyFill="1" applyBorder="1" applyAlignment="1">
      <alignment vertical="center"/>
    </xf>
    <xf numFmtId="177" fontId="11" fillId="35" borderId="36" xfId="0" applyNumberFormat="1" applyFont="1" applyFill="1" applyBorder="1" applyAlignment="1">
      <alignment vertical="center"/>
    </xf>
    <xf numFmtId="177" fontId="11" fillId="35" borderId="37" xfId="0" applyNumberFormat="1" applyFont="1" applyFill="1" applyBorder="1" applyAlignment="1">
      <alignment vertical="center"/>
    </xf>
    <xf numFmtId="177" fontId="8" fillId="35" borderId="4" xfId="0" applyNumberFormat="1" applyFont="1" applyFill="1" applyBorder="1" applyAlignment="1">
      <alignment vertical="center"/>
    </xf>
    <xf numFmtId="0" fontId="6" fillId="32" borderId="44" xfId="0" applyFont="1" applyFill="1" applyBorder="1" applyAlignment="1">
      <alignment vertical="center"/>
    </xf>
    <xf numFmtId="0" fontId="4" fillId="46" borderId="12" xfId="0" applyFont="1" applyFill="1" applyBorder="1" applyAlignment="1">
      <alignment horizontal="center" vertical="center"/>
    </xf>
    <xf numFmtId="0" fontId="4" fillId="46" borderId="27" xfId="0" applyFont="1" applyFill="1" applyBorder="1" applyAlignment="1">
      <alignment horizontal="center" vertical="center"/>
    </xf>
    <xf numFmtId="176" fontId="4" fillId="46" borderId="31" xfId="0" applyNumberFormat="1" applyFont="1" applyFill="1" applyBorder="1" applyAlignment="1">
      <alignment horizontal="center" vertical="center"/>
    </xf>
    <xf numFmtId="0" fontId="4" fillId="46" borderId="2" xfId="0" applyFont="1" applyFill="1" applyBorder="1" applyAlignment="1">
      <alignment horizontal="center" vertical="center"/>
    </xf>
    <xf numFmtId="0" fontId="6" fillId="49" borderId="31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4" fillId="49" borderId="7" xfId="0" applyFont="1" applyFill="1" applyBorder="1" applyAlignment="1">
      <alignment vertical="center"/>
    </xf>
    <xf numFmtId="0" fontId="4" fillId="46" borderId="7" xfId="0" applyFont="1" applyFill="1" applyBorder="1" applyAlignment="1">
      <alignment vertical="center"/>
    </xf>
    <xf numFmtId="176" fontId="4" fillId="46" borderId="3" xfId="0" applyNumberFormat="1" applyFont="1" applyFill="1" applyBorder="1" applyAlignment="1">
      <alignment horizontal="center" vertical="center"/>
    </xf>
    <xf numFmtId="0" fontId="6" fillId="49" borderId="3" xfId="0" applyFont="1" applyFill="1" applyBorder="1" applyAlignment="1">
      <alignment vertical="center"/>
    </xf>
    <xf numFmtId="0" fontId="6" fillId="46" borderId="12" xfId="0" applyFont="1" applyFill="1" applyBorder="1" applyAlignment="1">
      <alignment vertical="center"/>
    </xf>
    <xf numFmtId="176" fontId="4" fillId="46" borderId="26" xfId="0" applyNumberFormat="1" applyFont="1" applyFill="1" applyBorder="1" applyAlignment="1">
      <alignment horizontal="center" vertical="center"/>
    </xf>
    <xf numFmtId="0" fontId="6" fillId="49" borderId="26" xfId="0" applyFont="1" applyFill="1" applyBorder="1" applyAlignment="1">
      <alignment vertical="center"/>
    </xf>
    <xf numFmtId="0" fontId="6" fillId="46" borderId="27" xfId="0" applyFont="1" applyFill="1" applyBorder="1" applyAlignment="1">
      <alignment vertical="center"/>
    </xf>
    <xf numFmtId="0" fontId="8" fillId="44" borderId="7" xfId="0" applyFont="1" applyFill="1" applyBorder="1" applyAlignment="1">
      <alignment vertical="center"/>
    </xf>
    <xf numFmtId="177" fontId="11" fillId="44" borderId="7" xfId="0" applyNumberFormat="1" applyFont="1" applyFill="1" applyBorder="1" applyAlignment="1">
      <alignment vertical="center"/>
    </xf>
    <xf numFmtId="177" fontId="11" fillId="46" borderId="7" xfId="0" applyNumberFormat="1" applyFont="1" applyFill="1" applyBorder="1" applyAlignment="1">
      <alignment vertical="center"/>
    </xf>
    <xf numFmtId="0" fontId="8" fillId="46" borderId="24" xfId="0" applyFont="1" applyFill="1" applyBorder="1" applyAlignment="1">
      <alignment vertical="center"/>
    </xf>
    <xf numFmtId="177" fontId="11" fillId="46" borderId="38" xfId="0" applyNumberFormat="1" applyFont="1" applyFill="1" applyBorder="1" applyAlignment="1">
      <alignment vertical="center"/>
    </xf>
    <xf numFmtId="0" fontId="8" fillId="46" borderId="29" xfId="0" applyFont="1" applyFill="1" applyBorder="1" applyAlignment="1">
      <alignment vertical="center"/>
    </xf>
    <xf numFmtId="177" fontId="8" fillId="44" borderId="7" xfId="0" applyNumberFormat="1" applyFont="1" applyFill="1" applyBorder="1" applyAlignment="1">
      <alignment vertical="center"/>
    </xf>
    <xf numFmtId="177" fontId="8" fillId="46" borderId="31" xfId="0" applyNumberFormat="1" applyFont="1" applyFill="1" applyBorder="1" applyAlignment="1">
      <alignment vertical="center"/>
    </xf>
    <xf numFmtId="177" fontId="8" fillId="46" borderId="27" xfId="0" applyNumberFormat="1" applyFont="1" applyFill="1" applyBorder="1" applyAlignment="1">
      <alignment vertical="center"/>
    </xf>
    <xf numFmtId="0" fontId="4" fillId="46" borderId="1" xfId="0" applyFont="1" applyFill="1" applyBorder="1" applyAlignment="1">
      <alignment horizontal="center" vertical="center"/>
    </xf>
    <xf numFmtId="0" fontId="6" fillId="32" borderId="29" xfId="0" applyFont="1" applyFill="1" applyBorder="1" applyAlignment="1">
      <alignment vertical="center"/>
    </xf>
    <xf numFmtId="177" fontId="8" fillId="0" borderId="45" xfId="0" applyNumberFormat="1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0" fontId="16" fillId="48" borderId="27" xfId="0" applyFont="1" applyFill="1" applyBorder="1" applyAlignment="1">
      <alignment vertical="center"/>
    </xf>
    <xf numFmtId="0" fontId="16" fillId="3" borderId="27" xfId="0" applyFont="1" applyFill="1" applyBorder="1" applyAlignment="1">
      <alignment horizontal="left" vertical="center"/>
    </xf>
    <xf numFmtId="0" fontId="16" fillId="35" borderId="27" xfId="0" applyFont="1" applyFill="1" applyBorder="1" applyAlignment="1">
      <alignment vertical="center"/>
    </xf>
    <xf numFmtId="0" fontId="11" fillId="50" borderId="7" xfId="0" applyFont="1" applyFill="1" applyBorder="1" applyAlignment="1">
      <alignment vertical="center"/>
    </xf>
    <xf numFmtId="0" fontId="11" fillId="50" borderId="12" xfId="0" applyFont="1" applyFill="1" applyBorder="1" applyAlignment="1">
      <alignment vertical="center"/>
    </xf>
    <xf numFmtId="0" fontId="4" fillId="31" borderId="35" xfId="0" applyFont="1" applyFill="1" applyBorder="1" applyAlignment="1">
      <alignment vertical="center"/>
    </xf>
    <xf numFmtId="0" fontId="4" fillId="51" borderId="1" xfId="0" applyFont="1" applyFill="1" applyBorder="1" applyAlignment="1">
      <alignment vertical="center"/>
    </xf>
    <xf numFmtId="0" fontId="4" fillId="46" borderId="41" xfId="0" applyFont="1" applyFill="1" applyBorder="1" applyAlignment="1">
      <alignment vertical="center"/>
    </xf>
    <xf numFmtId="0" fontId="4" fillId="46" borderId="42" xfId="0" applyFont="1" applyFill="1" applyBorder="1" applyAlignment="1">
      <alignment vertical="center"/>
    </xf>
    <xf numFmtId="0" fontId="4" fillId="51" borderId="6" xfId="0" applyFont="1" applyFill="1" applyBorder="1" applyAlignment="1">
      <alignment vertical="center"/>
    </xf>
    <xf numFmtId="0" fontId="30" fillId="51" borderId="7" xfId="0" applyFont="1" applyFill="1" applyBorder="1"/>
    <xf numFmtId="0" fontId="30" fillId="35" borderId="12" xfId="0" applyFont="1" applyFill="1" applyBorder="1"/>
    <xf numFmtId="0" fontId="30" fillId="51" borderId="12" xfId="0" applyFont="1" applyFill="1" applyBorder="1"/>
    <xf numFmtId="0" fontId="30" fillId="3" borderId="12" xfId="0" applyFont="1" applyFill="1" applyBorder="1"/>
    <xf numFmtId="22" fontId="30" fillId="0" borderId="12" xfId="0" quotePrefix="1" applyNumberFormat="1" applyFont="1" applyFill="1" applyBorder="1"/>
    <xf numFmtId="0" fontId="30" fillId="0" borderId="12" xfId="0" quotePrefix="1" applyFont="1" applyFill="1" applyBorder="1"/>
    <xf numFmtId="0" fontId="13" fillId="7" borderId="0" xfId="0" applyFont="1" applyFill="1" applyBorder="1" applyAlignment="1">
      <alignment horizontal="left" indent="1"/>
    </xf>
    <xf numFmtId="0" fontId="13" fillId="7" borderId="25" xfId="0" applyFont="1" applyFill="1" applyBorder="1" applyAlignment="1">
      <alignment horizontal="left" indent="1"/>
    </xf>
    <xf numFmtId="0" fontId="29" fillId="3" borderId="39" xfId="0" applyFont="1" applyFill="1" applyBorder="1" applyAlignment="1">
      <alignment vertical="center"/>
    </xf>
    <xf numFmtId="0" fontId="29" fillId="0" borderId="39" xfId="0" applyFont="1" applyFill="1" applyBorder="1" applyAlignment="1">
      <alignment vertical="center"/>
    </xf>
    <xf numFmtId="0" fontId="30" fillId="35" borderId="27" xfId="0" applyFont="1" applyFill="1" applyBorder="1"/>
    <xf numFmtId="0" fontId="30" fillId="51" borderId="27" xfId="0" applyFont="1" applyFill="1" applyBorder="1"/>
    <xf numFmtId="0" fontId="30" fillId="3" borderId="27" xfId="0" applyFont="1" applyFill="1" applyBorder="1"/>
    <xf numFmtId="22" fontId="30" fillId="0" borderId="27" xfId="0" quotePrefix="1" applyNumberFormat="1" applyFont="1" applyFill="1" applyBorder="1"/>
    <xf numFmtId="0" fontId="30" fillId="0" borderId="27" xfId="0" quotePrefix="1" applyFont="1" applyFill="1" applyBorder="1"/>
    <xf numFmtId="0" fontId="0" fillId="0" borderId="7" xfId="0" applyFill="1" applyBorder="1"/>
    <xf numFmtId="0" fontId="0" fillId="35" borderId="7" xfId="0" applyFill="1" applyBorder="1"/>
    <xf numFmtId="0" fontId="0" fillId="0" borderId="12" xfId="0" applyFill="1" applyBorder="1"/>
    <xf numFmtId="0" fontId="0" fillId="35" borderId="27" xfId="0" applyFill="1" applyBorder="1"/>
    <xf numFmtId="0" fontId="0" fillId="3" borderId="27" xfId="0" applyFill="1" applyBorder="1"/>
    <xf numFmtId="0" fontId="6" fillId="5" borderId="27" xfId="0" applyFont="1" applyFill="1" applyBorder="1" applyAlignment="1">
      <alignment vertical="center"/>
    </xf>
    <xf numFmtId="0" fontId="0" fillId="0" borderId="27" xfId="0" applyFill="1" applyBorder="1"/>
    <xf numFmtId="0" fontId="0" fillId="35" borderId="39" xfId="0" applyFill="1" applyBorder="1"/>
    <xf numFmtId="0" fontId="0" fillId="0" borderId="39" xfId="0" applyBorder="1"/>
    <xf numFmtId="0" fontId="0" fillId="3" borderId="39" xfId="0" applyFill="1" applyBorder="1"/>
    <xf numFmtId="0" fontId="6" fillId="5" borderId="39" xfId="0" applyFont="1" applyFill="1" applyBorder="1" applyAlignment="1">
      <alignment vertical="center"/>
    </xf>
    <xf numFmtId="0" fontId="30" fillId="0" borderId="39" xfId="0" applyFont="1" applyFill="1" applyBorder="1"/>
    <xf numFmtId="0" fontId="30" fillId="51" borderId="39" xfId="0" applyFont="1" applyFill="1" applyBorder="1"/>
    <xf numFmtId="0" fontId="16" fillId="51" borderId="7" xfId="0" applyFont="1" applyFill="1" applyBorder="1" applyAlignment="1">
      <alignment horizontal="left" vertical="center"/>
    </xf>
    <xf numFmtId="0" fontId="16" fillId="51" borderId="12" xfId="0" applyFont="1" applyFill="1" applyBorder="1" applyAlignment="1">
      <alignment horizontal="left" vertical="center"/>
    </xf>
    <xf numFmtId="0" fontId="16" fillId="51" borderId="39" xfId="0" applyFont="1" applyFill="1" applyBorder="1" applyAlignment="1">
      <alignment horizontal="left" vertical="center"/>
    </xf>
  </cellXfs>
  <cellStyles count="75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赤字強調" xfId="431"/>
    <cellStyle name="青字強調" xfId="43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7" sqref="C1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130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134" t="s">
        <v>249</v>
      </c>
      <c r="B2" s="55" t="s">
        <v>106</v>
      </c>
      <c r="C2" s="59">
        <v>47010</v>
      </c>
      <c r="D2" s="55" t="s">
        <v>107</v>
      </c>
      <c r="E2" s="54" t="str">
        <f>B2&amp;C2&amp;D2</f>
        <v>floors_47010.tmp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134" t="s">
        <v>249</v>
      </c>
      <c r="B3" s="55" t="s">
        <v>109</v>
      </c>
      <c r="C3" s="59">
        <v>47010</v>
      </c>
      <c r="D3" s="55" t="s">
        <v>107</v>
      </c>
      <c r="E3" s="54" t="str">
        <f>B3&amp;C3&amp;D3</f>
        <v>enemy_habitats_47010.tmp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177</v>
      </c>
    </row>
    <row r="4" spans="1:30" x14ac:dyDescent="0.15">
      <c r="A4" s="134" t="s">
        <v>249</v>
      </c>
      <c r="B4" s="55" t="s">
        <v>111</v>
      </c>
      <c r="C4" s="59">
        <v>47010</v>
      </c>
      <c r="D4" s="55" t="s">
        <v>107</v>
      </c>
      <c r="E4" s="54" t="str">
        <f>B4&amp;C4&amp;D4</f>
        <v>enemy_habitat_S_47010.tmp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134" t="s">
        <v>249</v>
      </c>
      <c r="B5" s="55" t="s">
        <v>113</v>
      </c>
      <c r="C5" s="59">
        <v>47010</v>
      </c>
      <c r="D5" s="55" t="s">
        <v>107</v>
      </c>
      <c r="E5" s="54" t="str">
        <f>B5&amp;C5&amp;D5</f>
        <v>enemy_skill_sets_47010.tmp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134" t="s">
        <v>249</v>
      </c>
      <c r="B6" s="55" t="s">
        <v>115</v>
      </c>
      <c r="C6" s="59">
        <v>47010</v>
      </c>
      <c r="D6" s="55" t="s">
        <v>116</v>
      </c>
      <c r="E6" s="54" t="str">
        <f t="shared" ref="E6:E10" si="0">B6&amp;C6&amp;D6</f>
        <v>enemy_skills_tmp_47010.tmp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134" t="s">
        <v>249</v>
      </c>
      <c r="B7" s="55" t="s">
        <v>117</v>
      </c>
      <c r="C7" s="59">
        <v>47010</v>
      </c>
      <c r="D7" s="55" t="s">
        <v>107</v>
      </c>
      <c r="E7" s="54" t="str">
        <f>B7&amp;C7&amp;D7</f>
        <v>enemy_skills_i18n_47010.tmp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134" t="s">
        <v>249</v>
      </c>
      <c r="B8" s="55" t="s">
        <v>119</v>
      </c>
      <c r="C8" s="59">
        <v>47010</v>
      </c>
      <c r="D8" s="55" t="s">
        <v>120</v>
      </c>
      <c r="E8" s="54" t="str">
        <f t="shared" si="0"/>
        <v>enemy_skill_triggers_47010.tmp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134" t="s">
        <v>249</v>
      </c>
      <c r="B9" s="64" t="s">
        <v>176</v>
      </c>
      <c r="C9" s="59">
        <v>47010</v>
      </c>
      <c r="D9" s="64" t="s">
        <v>170</v>
      </c>
      <c r="E9" s="65" t="str">
        <f t="shared" si="0"/>
        <v>stage_bug_bonuses_47010.tmp</v>
      </c>
      <c r="F9" s="64" t="s">
        <v>171</v>
      </c>
      <c r="G9" s="61" t="s">
        <v>150</v>
      </c>
      <c r="H9" s="61" t="s">
        <v>172</v>
      </c>
      <c r="I9" s="61" t="s">
        <v>173</v>
      </c>
      <c r="J9" s="63" t="s">
        <v>174</v>
      </c>
      <c r="K9" s="61" t="s">
        <v>175</v>
      </c>
      <c r="L9" s="61" t="s">
        <v>156</v>
      </c>
      <c r="M9" s="61" t="s">
        <v>157</v>
      </c>
      <c r="N9" s="61" t="s">
        <v>158</v>
      </c>
      <c r="O9" s="61" t="s">
        <v>159</v>
      </c>
      <c r="P9" s="61" t="s">
        <v>160</v>
      </c>
      <c r="Q9" s="61" t="s">
        <v>161</v>
      </c>
      <c r="R9" s="61" t="s">
        <v>162</v>
      </c>
      <c r="S9" s="61" t="s">
        <v>163</v>
      </c>
      <c r="T9" s="61" t="s">
        <v>164</v>
      </c>
      <c r="U9" s="61" t="s">
        <v>165</v>
      </c>
      <c r="V9" s="61" t="s">
        <v>166</v>
      </c>
      <c r="W9" s="61" t="s">
        <v>167</v>
      </c>
      <c r="X9" s="55"/>
      <c r="Y9" s="55"/>
      <c r="Z9" s="55"/>
      <c r="AA9" s="55"/>
      <c r="AB9" s="55"/>
      <c r="AC9" s="55"/>
      <c r="AD9" s="55"/>
    </row>
    <row r="10" spans="1:30" s="71" customFormat="1" x14ac:dyDescent="0.15">
      <c r="A10" s="204" t="s">
        <v>186</v>
      </c>
      <c r="B10" s="64" t="s">
        <v>199</v>
      </c>
      <c r="C10" s="59">
        <v>47010</v>
      </c>
      <c r="D10" s="64" t="s">
        <v>179</v>
      </c>
      <c r="E10" s="65" t="str">
        <f t="shared" si="0"/>
        <v>stage_hints_data_c_47010.tmp</v>
      </c>
      <c r="F10" s="64" t="s">
        <v>207</v>
      </c>
      <c r="G10" s="69" t="s">
        <v>180</v>
      </c>
      <c r="H10" s="69" t="s">
        <v>172</v>
      </c>
      <c r="I10" s="70" t="s">
        <v>181</v>
      </c>
      <c r="J10" s="63" t="s">
        <v>182</v>
      </c>
      <c r="K10" s="63" t="s">
        <v>183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1" customFormat="1" x14ac:dyDescent="0.15">
      <c r="A11" s="134" t="s">
        <v>249</v>
      </c>
      <c r="B11" s="64" t="s">
        <v>200</v>
      </c>
      <c r="C11" s="59">
        <v>47010</v>
      </c>
      <c r="D11" s="64" t="s">
        <v>170</v>
      </c>
      <c r="E11" s="65" t="str">
        <f t="shared" ref="E11:E13" si="1">B11&amp;C11&amp;D11</f>
        <v>stage_hints_data_f_47010.tmp</v>
      </c>
      <c r="F11" s="64" t="s">
        <v>208</v>
      </c>
      <c r="G11" s="69" t="s">
        <v>180</v>
      </c>
      <c r="H11" s="69" t="s">
        <v>172</v>
      </c>
      <c r="I11" s="70" t="s">
        <v>181</v>
      </c>
      <c r="J11" s="63" t="s">
        <v>182</v>
      </c>
      <c r="K11" s="63" t="s">
        <v>183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1" customFormat="1" x14ac:dyDescent="0.15">
      <c r="A12" s="134" t="s">
        <v>249</v>
      </c>
      <c r="B12" s="64" t="s">
        <v>201</v>
      </c>
      <c r="C12" s="59">
        <v>47010</v>
      </c>
      <c r="D12" s="64" t="s">
        <v>170</v>
      </c>
      <c r="E12" s="65" t="str">
        <f t="shared" si="1"/>
        <v>stage_hints_i18n_47010.tmp</v>
      </c>
      <c r="F12" s="64" t="s">
        <v>209</v>
      </c>
      <c r="G12" s="70" t="s">
        <v>202</v>
      </c>
      <c r="H12" s="89" t="s">
        <v>203</v>
      </c>
      <c r="I12" s="69" t="s">
        <v>204</v>
      </c>
      <c r="J12" s="97" t="s">
        <v>205</v>
      </c>
      <c r="K12" s="63" t="s">
        <v>206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1" customFormat="1" x14ac:dyDescent="0.15">
      <c r="A13" s="134" t="s">
        <v>249</v>
      </c>
      <c r="B13" s="64" t="s">
        <v>244</v>
      </c>
      <c r="C13" s="59">
        <v>47010</v>
      </c>
      <c r="D13" s="64" t="s">
        <v>225</v>
      </c>
      <c r="E13" s="65" t="str">
        <f t="shared" si="1"/>
        <v>stage_bonuses_47010.tmp</v>
      </c>
      <c r="F13" s="64" t="s">
        <v>224</v>
      </c>
      <c r="G13" s="69" t="s">
        <v>226</v>
      </c>
      <c r="H13" s="69" t="s">
        <v>227</v>
      </c>
      <c r="I13" s="69" t="s">
        <v>228</v>
      </c>
      <c r="J13" s="69" t="s">
        <v>229</v>
      </c>
      <c r="K13" s="69" t="s">
        <v>230</v>
      </c>
      <c r="L13" s="69" t="s">
        <v>231</v>
      </c>
      <c r="M13" s="69" t="s">
        <v>232</v>
      </c>
      <c r="N13" s="69" t="s">
        <v>233</v>
      </c>
      <c r="O13" s="69" t="s">
        <v>234</v>
      </c>
      <c r="P13" s="69" t="s">
        <v>235</v>
      </c>
      <c r="Q13" s="69" t="s">
        <v>236</v>
      </c>
      <c r="R13" s="69" t="s">
        <v>237</v>
      </c>
      <c r="S13" s="69" t="s">
        <v>238</v>
      </c>
      <c r="T13" s="69" t="s">
        <v>239</v>
      </c>
      <c r="U13" s="69" t="s">
        <v>240</v>
      </c>
      <c r="V13" s="69" t="s">
        <v>241</v>
      </c>
      <c r="W13" s="69" t="s">
        <v>242</v>
      </c>
      <c r="X13" s="69" t="s">
        <v>243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L28" sqref="L28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9" style="3" customWidth="1"/>
    <col min="4" max="4" width="18.6640625" style="3" customWidth="1" outlineLevel="1"/>
    <col min="5" max="5" width="13.6640625" style="3" customWidth="1" outlineLevel="1"/>
    <col min="6" max="6" width="7" style="3" bestFit="1" customWidth="1"/>
    <col min="7" max="7" width="8.83203125" style="18" customWidth="1" outlineLevel="1"/>
    <col min="8" max="8" width="28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47010_1-1</v>
      </c>
      <c r="B2" s="15" t="str">
        <f>IF(COUNTIF(enemy_habitats!$H:$H,A2),"OK","NG")</f>
        <v>OK</v>
      </c>
      <c r="C2" s="7">
        <v>47010</v>
      </c>
      <c r="D2" s="10" t="str">
        <f ca="1">VLOOKUP($C2,OFFSET([2]quests!$A$1,0,0,COUNTA([2]quests!$A:$A),MATCH(D$1,[2]quests!$1:$1,0)-MATCH($C$1,[2]quests!$1:$1,0)+1),MATCH(D$1,[2]quests!$1:$1,0)-MATCH($C$1,[2]quests!$1:$1,0)+1,FALSE)</f>
        <v>僕の愛よあの子にとどけ！</v>
      </c>
      <c r="E2" s="17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19">
        <v>1</v>
      </c>
      <c r="G2" s="21" t="str">
        <f>C2&amp;"_"&amp;F2</f>
        <v>47010_1</v>
      </c>
      <c r="H2" s="14" t="str">
        <f ca="1">VLOOKUP($G2,OFFSET([2]stages!$A$1,0,0,COUNTA([2]stages!$A:$A),MATCH(H$1,[2]stages!$2:$2,0)-MATCH($G$1,[2]stages!$2:$2,0)+1),MATCH(H$1,[2]stages!$2:$2,0)-MATCH($G$1,[2]stages!$2:$2,0)+1,FALSE)</f>
        <v>【上級】僕の愛よあの子にとどけ！</v>
      </c>
      <c r="I2" s="19">
        <v>1</v>
      </c>
      <c r="J2" s="11">
        <v>60</v>
      </c>
      <c r="K2" s="11">
        <v>60</v>
      </c>
    </row>
    <row r="3" spans="1:11" ht="21" customHeight="1" x14ac:dyDescent="0.15">
      <c r="A3" s="15" t="str">
        <f t="shared" ref="A3:A5" si="0">G3&amp;"-"&amp;I3</f>
        <v>47010_1-2</v>
      </c>
      <c r="B3" s="15" t="str">
        <f>IF(COUNTIF(enemy_habitats!$H:$H,A3),"OK","NG")</f>
        <v>OK</v>
      </c>
      <c r="C3" s="7">
        <v>47010</v>
      </c>
      <c r="D3" s="10" t="str">
        <f ca="1">VLOOKUP($C3,OFFSET([2]quests!$A$1,0,0,COUNTA([2]quests!$A:$A),MATCH(D$1,[2]quests!$1:$1,0)-MATCH($C$1,[2]quests!$1:$1,0)+1),MATCH(D$1,[2]quests!$1:$1,0)-MATCH($C$1,[2]quests!$1:$1,0)+1,FALSE)</f>
        <v>僕の愛よあの子にとどけ！</v>
      </c>
      <c r="E3" s="17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19">
        <v>1</v>
      </c>
      <c r="G3" s="21" t="str">
        <f t="shared" ref="G3:G5" si="1">C3&amp;"_"&amp;F3</f>
        <v>47010_1</v>
      </c>
      <c r="H3" s="14" t="str">
        <f ca="1">VLOOKUP($G3,OFFSET([2]stages!$A$1,0,0,COUNTA([2]stages!$A:$A),MATCH(H$1,[2]stages!$2:$2,0)-MATCH($G$1,[2]stages!$2:$2,0)+1),MATCH(H$1,[2]stages!$2:$2,0)-MATCH($G$1,[2]stages!$2:$2,0)+1,FALSE)</f>
        <v>【上級】僕の愛よあの子にとどけ！</v>
      </c>
      <c r="I3" s="19">
        <v>2</v>
      </c>
      <c r="J3" s="11">
        <v>60</v>
      </c>
      <c r="K3" s="11">
        <v>60</v>
      </c>
    </row>
    <row r="4" spans="1:11" ht="21" customHeight="1" x14ac:dyDescent="0.15">
      <c r="A4" s="15" t="str">
        <f t="shared" si="0"/>
        <v>47010_2-1</v>
      </c>
      <c r="B4" s="15" t="str">
        <f>IF(COUNTIF(enemy_habitats!$H:$H,A4),"OK","NG")</f>
        <v>OK</v>
      </c>
      <c r="C4" s="7">
        <v>47010</v>
      </c>
      <c r="D4" s="10" t="str">
        <f ca="1">VLOOKUP($C4,OFFSET([2]quests!$A$1,0,0,COUNTA([2]quests!$A:$A),MATCH(D$1,[2]quests!$1:$1,0)-MATCH($C$1,[2]quests!$1:$1,0)+1),MATCH(D$1,[2]quests!$1:$1,0)-MATCH($C$1,[2]quests!$1:$1,0)+1,FALSE)</f>
        <v>僕の愛よあの子にとどけ！</v>
      </c>
      <c r="E4" s="17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19">
        <v>2</v>
      </c>
      <c r="G4" s="21" t="str">
        <f t="shared" si="1"/>
        <v>47010_2</v>
      </c>
      <c r="H4" s="14" t="str">
        <f ca="1">VLOOKUP($G4,OFFSET([2]stages!$A$1,0,0,COUNTA([2]stages!$A:$A),MATCH(H$1,[2]stages!$2:$2,0)-MATCH($G$1,[2]stages!$2:$2,0)+1),MATCH(H$1,[2]stages!$2:$2,0)-MATCH($G$1,[2]stages!$2:$2,0)+1,FALSE)</f>
        <v>【ｳｨｻﾞ】僕の愛よあの子にとどけ！</v>
      </c>
      <c r="I4" s="19">
        <v>1</v>
      </c>
      <c r="J4" s="11">
        <v>60</v>
      </c>
      <c r="K4" s="11">
        <v>60</v>
      </c>
    </row>
    <row r="5" spans="1:11" ht="21" customHeight="1" x14ac:dyDescent="0.15">
      <c r="A5" s="15" t="str">
        <f t="shared" si="0"/>
        <v>47010_2-2</v>
      </c>
      <c r="B5" s="15" t="str">
        <f>IF(COUNTIF(enemy_habitats!$H:$H,A5),"OK","NG")</f>
        <v>OK</v>
      </c>
      <c r="C5" s="7">
        <v>47010</v>
      </c>
      <c r="D5" s="10" t="str">
        <f ca="1">VLOOKUP($C5,OFFSET([2]quests!$A$1,0,0,COUNTA([2]quests!$A:$A),MATCH(D$1,[2]quests!$1:$1,0)-MATCH($C$1,[2]quests!$1:$1,0)+1),MATCH(D$1,[2]quests!$1:$1,0)-MATCH($C$1,[2]quests!$1:$1,0)+1,FALSE)</f>
        <v>僕の愛よあの子にとどけ！</v>
      </c>
      <c r="E5" s="17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19">
        <v>2</v>
      </c>
      <c r="G5" s="21" t="str">
        <f t="shared" si="1"/>
        <v>47010_2</v>
      </c>
      <c r="H5" s="14" t="str">
        <f ca="1">VLOOKUP($G5,OFFSET([2]stages!$A$1,0,0,COUNTA([2]stages!$A:$A),MATCH(H$1,[2]stages!$2:$2,0)-MATCH($G$1,[2]stages!$2:$2,0)+1),MATCH(H$1,[2]stages!$2:$2,0)-MATCH($G$1,[2]stages!$2:$2,0)+1,FALSE)</f>
        <v>【ｳｨｻﾞ】僕の愛よあの子にとどけ！</v>
      </c>
      <c r="I5" s="19">
        <v>2</v>
      </c>
      <c r="J5" s="11">
        <v>60</v>
      </c>
      <c r="K5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AB32" sqref="AB32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" style="8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6.1640625" style="3" customWidth="1"/>
    <col min="22" max="22" width="17.5" style="3" customWidth="1"/>
    <col min="23" max="23" width="13.16406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5.83203125" style="12" customWidth="1" outlineLevel="1"/>
    <col min="32" max="32" width="8" style="13" bestFit="1" customWidth="1" outlineLevel="1"/>
    <col min="33" max="33" width="12" style="13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245</v>
      </c>
      <c r="U1" s="24" t="s">
        <v>50</v>
      </c>
      <c r="V1" s="98" t="s">
        <v>246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178</v>
      </c>
    </row>
    <row r="2" spans="1:42" ht="21" customHeight="1" x14ac:dyDescent="0.15">
      <c r="A2" s="15" t="str">
        <f>B2&amp;"_"&amp;C2&amp;"-"&amp;G2&amp;"/"&amp;L2&amp;"&lt;lv"&amp;R2&amp;"&gt;s"&amp;AC2</f>
        <v>47010_1-1/1409&lt;lv40&gt;s1</v>
      </c>
      <c r="B2" s="116">
        <v>47010</v>
      </c>
      <c r="C2" s="117">
        <v>1</v>
      </c>
      <c r="D2" s="118" t="str">
        <f>B2&amp;"_"&amp;C2</f>
        <v>47010_1</v>
      </c>
      <c r="E2" s="119" t="str">
        <f ca="1">VLOOKUP($B2,OFFSET([2]quests!$A$1,0,0,COUNTA([2]quests!$A:$A),MATCH(E$1,[2]quests!$1:$1,0)-MATCH($B$1,[2]quests!$1:$1,0)+1),MATCH(E$1,[2]quests!$1:$1,0)-MATCH($B$1,[2]quests!$1:$1,0)+1,FALSE)</f>
        <v>僕の愛よあの子にとどけ！</v>
      </c>
      <c r="F2" s="119" t="str">
        <f ca="1">VLOOKUP($D2,OFFSET([2]stages!$A$1,0,0,COUNTA([2]stages!$A:$A),MATCH(F$1,[2]stages!$2:$2,0)-MATCH($D$1,[2]stages!$2:$2,0)+1),MATCH(F$1,[2]stages!$2:$2,0)-MATCH($D$1,[2]stages!$2:$2,0)+1,FALSE)</f>
        <v>【上級】僕の愛よあの子にとどけ！</v>
      </c>
      <c r="G2" s="117">
        <v>1</v>
      </c>
      <c r="H2" s="118" t="str">
        <f>B2&amp;"_"&amp;C2&amp;"-"&amp;G2</f>
        <v>47010_1-1</v>
      </c>
      <c r="I2" s="119">
        <f ca="1">VLOOKUP($H2,OFFSET(floors!$A$1,0,0,COUNTA(floors!$A:$A),MATCH(I$1,floors!$1:$1,0)-MATCH($H$1,floors!$1:$1,0)+1),MATCH(I$1,floors!$1:$1,0)-MATCH($H$1,floors!$1:$1,0)+1,FALSE)</f>
        <v>60</v>
      </c>
      <c r="J2" s="119">
        <f ca="1">VLOOKUP($H2,OFFSET(floors!$A$1,0,0,COUNTA(floors!$A:$A),MATCH(J$1,floors!$1:$1,0)-MATCH($H$1,floors!$1:$1,0)+1),MATCH(J$1,floors!$1:$1,0)-MATCH($H$1,floors!$1:$1,0)+1,FALSE)</f>
        <v>60</v>
      </c>
      <c r="K2" s="120">
        <v>1</v>
      </c>
      <c r="L2" s="240">
        <v>1409</v>
      </c>
      <c r="M2" s="238" t="str">
        <f ca="1">VLOOKUP($L2,OFFSET([3]enemies!$A$1,0,0,COUNTA([3]enemies!$A:$A),MATCH(M$1,[3]enemies!$1:$1,0)-MATCH($L$1,[3]enemies!$1:$1,0)+1),MATCH(M$1,[3]enemies!$1:$1,0)-MATCH($L$1,[3]enemies!$1:$1,0)+1,FALSE)</f>
        <v>マシロ</v>
      </c>
      <c r="N2" s="238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238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238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238">
        <f ca="1">VLOOKUP($L2,OFFSET([3]enemies!$A$1,0,0,COUNTA([3]enemies!$A:$A),MATCH(Q$1,[3]enemies!$1:$1,0)-MATCH($L$1,[3]enemies!$1:$1,0)+1),MATCH(Q$1,[3]enemies!$1:$1,0)-MATCH($L$1,[3]enemies!$1:$1,0)+1,FALSE)</f>
        <v>60</v>
      </c>
      <c r="R2" s="241">
        <v>40</v>
      </c>
      <c r="S2" s="239">
        <v>1</v>
      </c>
      <c r="T2" s="12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56440</v>
      </c>
      <c r="U2" s="239">
        <v>1</v>
      </c>
      <c r="V2" s="12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3464</v>
      </c>
      <c r="W2" s="122">
        <v>0</v>
      </c>
      <c r="X2" s="119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マシロが怯えた様子でこちらへ走ってくる！</v>
      </c>
      <c r="Y2" s="242">
        <v>47010001</v>
      </c>
      <c r="Z2" s="243">
        <v>1</v>
      </c>
      <c r="AA2" s="243">
        <v>100</v>
      </c>
      <c r="AB2" s="243">
        <v>1</v>
      </c>
      <c r="AC2" s="238">
        <v>1</v>
      </c>
      <c r="AD2" s="244">
        <f>L2</f>
        <v>1409</v>
      </c>
      <c r="AE2" s="119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マシロ</v>
      </c>
      <c r="AF2" s="119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119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245">
        <v>1</v>
      </c>
      <c r="AI2" s="244">
        <f ca="1">AF2</f>
        <v>5</v>
      </c>
      <c r="AJ2" s="308">
        <v>0</v>
      </c>
      <c r="AK2" s="245">
        <v>0</v>
      </c>
      <c r="AL2" s="245">
        <v>0</v>
      </c>
      <c r="AM2" s="245">
        <v>0</v>
      </c>
      <c r="AN2" s="245">
        <v>0</v>
      </c>
      <c r="AO2" s="245">
        <v>1</v>
      </c>
      <c r="AP2" s="246">
        <v>1</v>
      </c>
    </row>
    <row r="3" spans="1:42" ht="21" customHeight="1" x14ac:dyDescent="0.15">
      <c r="A3" s="15" t="str">
        <f t="shared" ref="A3" si="0">B3&amp;"_"&amp;C3&amp;"-"&amp;G3&amp;"/"&amp;L3&amp;"&lt;lv"&amp;R3&amp;"&gt;s"&amp;AC3</f>
        <v>47010_1-2/1407&lt;lv40&gt;s2</v>
      </c>
      <c r="B3" s="125">
        <v>47010</v>
      </c>
      <c r="C3" s="126">
        <v>1</v>
      </c>
      <c r="D3" s="14" t="str">
        <f t="shared" ref="D3" si="1">B3&amp;"_"&amp;C3</f>
        <v>47010_1</v>
      </c>
      <c r="E3" s="17" t="str">
        <f ca="1">VLOOKUP($B3,OFFSET([2]quests!$A$1,0,0,COUNTA([2]quests!$A:$A),MATCH(E$1,[2]quests!$1:$1,0)-MATCH($B$1,[2]quests!$1:$1,0)+1),MATCH(E$1,[2]quests!$1:$1,0)-MATCH($B$1,[2]quests!$1:$1,0)+1,FALSE)</f>
        <v>僕の愛よあの子にとどけ！</v>
      </c>
      <c r="F3" s="17" t="str">
        <f ca="1">VLOOKUP($D3,OFFSET([2]stages!$A$1,0,0,COUNTA([2]stages!$A:$A),MATCH(F$1,[2]stages!$2:$2,0)-MATCH($D$1,[2]stages!$2:$2,0)+1),MATCH(F$1,[2]stages!$2:$2,0)-MATCH($D$1,[2]stages!$2:$2,0)+1,FALSE)</f>
        <v>【上級】僕の愛よあの子にとどけ！</v>
      </c>
      <c r="G3" s="126">
        <v>2</v>
      </c>
      <c r="H3" s="14" t="str">
        <f t="shared" ref="H3" si="2">B3&amp;"_"&amp;C3&amp;"-"&amp;G3</f>
        <v>47010_1-2</v>
      </c>
      <c r="I3" s="17">
        <f ca="1">VLOOKUP($H3,OFFSET(floors!$A$1,0,0,COUNTA(floors!$A:$A),MATCH(I$1,floors!$1:$1,0)-MATCH($H$1,floors!$1:$1,0)+1),MATCH(I$1,floors!$1:$1,0)-MATCH($H$1,floors!$1:$1,0)+1,FALSE)</f>
        <v>60</v>
      </c>
      <c r="J3" s="17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236">
        <v>1407</v>
      </c>
      <c r="M3" s="128" t="str">
        <f ca="1">VLOOKUP($L3,OFFSET([3]enemies!$A$1,0,0,COUNTA([3]enemies!$A:$A),MATCH(M$1,[3]enemies!$1:$1,0)-MATCH($L$1,[3]enemies!$1:$1,0)+1),MATCH(M$1,[3]enemies!$1:$1,0)-MATCH($L$1,[3]enemies!$1:$1,0)+1,FALSE)</f>
        <v>グリム・ザ・ダンディ</v>
      </c>
      <c r="N3" s="128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28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28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28">
        <f ca="1">VLOOKUP($L3,OFFSET([3]enemies!$A$1,0,0,COUNTA([3]enemies!$A:$A),MATCH(Q$1,[3]enemies!$1:$1,0)-MATCH($L$1,[3]enemies!$1:$1,0)+1),MATCH(Q$1,[3]enemies!$1:$1,0)-MATCH($L$1,[3]enemies!$1:$1,0)+1,FALSE)</f>
        <v>60</v>
      </c>
      <c r="R3" s="259">
        <v>40</v>
      </c>
      <c r="S3" s="299">
        <v>3.1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150520.5</v>
      </c>
      <c r="U3" s="260">
        <v>1.1000000000000001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4083.2000000000003</v>
      </c>
      <c r="W3" s="127">
        <v>0</v>
      </c>
      <c r="X3" s="17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3" s="261">
        <v>47010007</v>
      </c>
      <c r="Z3" s="66">
        <v>0</v>
      </c>
      <c r="AA3" s="264">
        <v>25</v>
      </c>
      <c r="AB3" s="66">
        <v>1</v>
      </c>
      <c r="AC3" s="128">
        <v>2</v>
      </c>
      <c r="AD3" s="262">
        <f t="shared" ref="AD3" si="3">L3</f>
        <v>1407</v>
      </c>
      <c r="AE3" s="17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3" s="17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17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263">
        <v>1</v>
      </c>
      <c r="AI3" s="262">
        <f t="shared" ref="AI3" ca="1" si="4">AF3</f>
        <v>5</v>
      </c>
      <c r="AJ3" s="281">
        <v>0</v>
      </c>
      <c r="AK3" s="263">
        <v>0</v>
      </c>
      <c r="AL3" s="263">
        <v>0</v>
      </c>
      <c r="AM3" s="263">
        <v>0</v>
      </c>
      <c r="AN3" s="263">
        <v>0</v>
      </c>
      <c r="AO3" s="263">
        <v>1</v>
      </c>
      <c r="AP3" s="66">
        <v>1</v>
      </c>
    </row>
    <row r="4" spans="1:42" ht="21" customHeight="1" x14ac:dyDescent="0.15">
      <c r="A4" s="15" t="str">
        <f t="shared" ref="A4" si="5">B4&amp;"_"&amp;C4&amp;"-"&amp;G4&amp;"/"&amp;L4&amp;"&lt;lv"&amp;R4&amp;"&gt;s"&amp;AC4</f>
        <v>47010_1-2/1407&lt;lv41&gt;s2</v>
      </c>
      <c r="B4" s="125">
        <v>47010</v>
      </c>
      <c r="C4" s="126">
        <v>1</v>
      </c>
      <c r="D4" s="14" t="str">
        <f t="shared" ref="D4" si="6">B4&amp;"_"&amp;C4</f>
        <v>47010_1</v>
      </c>
      <c r="E4" s="17" t="str">
        <f ca="1">VLOOKUP($B4,OFFSET([2]quests!$A$1,0,0,COUNTA([2]quests!$A:$A),MATCH(E$1,[2]quests!$1:$1,0)-MATCH($B$1,[2]quests!$1:$1,0)+1),MATCH(E$1,[2]quests!$1:$1,0)-MATCH($B$1,[2]quests!$1:$1,0)+1,FALSE)</f>
        <v>僕の愛よあの子にとどけ！</v>
      </c>
      <c r="F4" s="17" t="str">
        <f ca="1">VLOOKUP($D4,OFFSET([2]stages!$A$1,0,0,COUNTA([2]stages!$A:$A),MATCH(F$1,[2]stages!$2:$2,0)-MATCH($D$1,[2]stages!$2:$2,0)+1),MATCH(F$1,[2]stages!$2:$2,0)-MATCH($D$1,[2]stages!$2:$2,0)+1,FALSE)</f>
        <v>【上級】僕の愛よあの子にとどけ！</v>
      </c>
      <c r="G4" s="126">
        <v>2</v>
      </c>
      <c r="H4" s="14" t="str">
        <f t="shared" ref="H4" si="7">B4&amp;"_"&amp;C4&amp;"-"&amp;G4</f>
        <v>47010_1-2</v>
      </c>
      <c r="I4" s="17">
        <f ca="1">VLOOKUP($H4,OFFSET(floors!$A$1,0,0,COUNTA(floors!$A:$A),MATCH(I$1,floors!$1:$1,0)-MATCH($H$1,floors!$1:$1,0)+1),MATCH(I$1,floors!$1:$1,0)-MATCH($H$1,floors!$1:$1,0)+1,FALSE)</f>
        <v>60</v>
      </c>
      <c r="J4" s="17">
        <f ca="1">VLOOKUP($H4,OFFSET(floors!$A$1,0,0,COUNTA(floors!$A:$A),MATCH(J$1,floors!$1:$1,0)-MATCH($H$1,floors!$1:$1,0)+1),MATCH(J$1,floors!$1:$1,0)-MATCH($H$1,floors!$1:$1,0)+1,FALSE)</f>
        <v>60</v>
      </c>
      <c r="K4" s="36">
        <v>3</v>
      </c>
      <c r="L4" s="236">
        <v>1407</v>
      </c>
      <c r="M4" s="128" t="str">
        <f ca="1">VLOOKUP($L4,OFFSET([3]enemies!$A$1,0,0,COUNTA([3]enemies!$A:$A),MATCH(M$1,[3]enemies!$1:$1,0)-MATCH($L$1,[3]enemies!$1:$1,0)+1),MATCH(M$1,[3]enemies!$1:$1,0)-MATCH($L$1,[3]enemies!$1:$1,0)+1,FALSE)</f>
        <v>グリム・ザ・ダンディ</v>
      </c>
      <c r="N4" s="128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28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28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28">
        <f ca="1">VLOOKUP($L4,OFFSET([3]enemies!$A$1,0,0,COUNTA([3]enemies!$A:$A),MATCH(Q$1,[3]enemies!$1:$1,0)-MATCH($L$1,[3]enemies!$1:$1,0)+1),MATCH(Q$1,[3]enemies!$1:$1,0)-MATCH($L$1,[3]enemies!$1:$1,0)+1,FALSE)</f>
        <v>60</v>
      </c>
      <c r="R4" s="259">
        <v>41</v>
      </c>
      <c r="S4" s="299">
        <v>3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149175</v>
      </c>
      <c r="U4" s="260">
        <v>1.1000000000000001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4181.1000000000004</v>
      </c>
      <c r="W4" s="127">
        <v>0</v>
      </c>
      <c r="X4" s="17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4" s="261">
        <v>47010007</v>
      </c>
      <c r="Z4" s="66">
        <v>0</v>
      </c>
      <c r="AA4" s="264">
        <v>25</v>
      </c>
      <c r="AB4" s="66">
        <v>1</v>
      </c>
      <c r="AC4" s="128">
        <v>2</v>
      </c>
      <c r="AD4" s="262">
        <f t="shared" ref="AD4" si="8">L4</f>
        <v>1407</v>
      </c>
      <c r="AE4" s="17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4" s="17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17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263">
        <v>1</v>
      </c>
      <c r="AI4" s="262">
        <f t="shared" ref="AI4" ca="1" si="9">AF4</f>
        <v>5</v>
      </c>
      <c r="AJ4" s="281">
        <v>0</v>
      </c>
      <c r="AK4" s="263">
        <v>0</v>
      </c>
      <c r="AL4" s="263">
        <v>0</v>
      </c>
      <c r="AM4" s="263">
        <v>0</v>
      </c>
      <c r="AN4" s="263">
        <v>0</v>
      </c>
      <c r="AO4" s="263">
        <v>1</v>
      </c>
      <c r="AP4" s="66">
        <v>1</v>
      </c>
    </row>
    <row r="5" spans="1:42" ht="21" customHeight="1" x14ac:dyDescent="0.15">
      <c r="A5" s="15" t="str">
        <f t="shared" ref="A5" si="10">B5&amp;"_"&amp;C5&amp;"-"&amp;G5&amp;"/"&amp;L5&amp;"&lt;lv"&amp;R5&amp;"&gt;s"&amp;AC5</f>
        <v>47010_1-2/1407&lt;lv42&gt;s2</v>
      </c>
      <c r="B5" s="125">
        <v>47010</v>
      </c>
      <c r="C5" s="126">
        <v>1</v>
      </c>
      <c r="D5" s="14" t="str">
        <f t="shared" ref="D5" si="11">B5&amp;"_"&amp;C5</f>
        <v>47010_1</v>
      </c>
      <c r="E5" s="17" t="str">
        <f ca="1">VLOOKUP($B5,OFFSET([2]quests!$A$1,0,0,COUNTA([2]quests!$A:$A),MATCH(E$1,[2]quests!$1:$1,0)-MATCH($B$1,[2]quests!$1:$1,0)+1),MATCH(E$1,[2]quests!$1:$1,0)-MATCH($B$1,[2]quests!$1:$1,0)+1,FALSE)</f>
        <v>僕の愛よあの子にとどけ！</v>
      </c>
      <c r="F5" s="17" t="str">
        <f ca="1">VLOOKUP($D5,OFFSET([2]stages!$A$1,0,0,COUNTA([2]stages!$A:$A),MATCH(F$1,[2]stages!$2:$2,0)-MATCH($D$1,[2]stages!$2:$2,0)+1),MATCH(F$1,[2]stages!$2:$2,0)-MATCH($D$1,[2]stages!$2:$2,0)+1,FALSE)</f>
        <v>【上級】僕の愛よあの子にとどけ！</v>
      </c>
      <c r="G5" s="126">
        <v>2</v>
      </c>
      <c r="H5" s="14" t="str">
        <f t="shared" ref="H5" si="12">B5&amp;"_"&amp;C5&amp;"-"&amp;G5</f>
        <v>47010_1-2</v>
      </c>
      <c r="I5" s="17">
        <f ca="1">VLOOKUP($H5,OFFSET(floors!$A$1,0,0,COUNTA(floors!$A:$A),MATCH(I$1,floors!$1:$1,0)-MATCH($H$1,floors!$1:$1,0)+1),MATCH(I$1,floors!$1:$1,0)-MATCH($H$1,floors!$1:$1,0)+1,FALSE)</f>
        <v>60</v>
      </c>
      <c r="J5" s="17">
        <f ca="1">VLOOKUP($H5,OFFSET(floors!$A$1,0,0,COUNTA(floors!$A:$A),MATCH(J$1,floors!$1:$1,0)-MATCH($H$1,floors!$1:$1,0)+1),MATCH(J$1,floors!$1:$1,0)-MATCH($H$1,floors!$1:$1,0)+1,FALSE)</f>
        <v>60</v>
      </c>
      <c r="K5" s="36">
        <v>4</v>
      </c>
      <c r="L5" s="236">
        <v>1407</v>
      </c>
      <c r="M5" s="128" t="str">
        <f ca="1">VLOOKUP($L5,OFFSET([3]enemies!$A$1,0,0,COUNTA([3]enemies!$A:$A),MATCH(M$1,[3]enemies!$1:$1,0)-MATCH($L$1,[3]enemies!$1:$1,0)+1),MATCH(M$1,[3]enemies!$1:$1,0)-MATCH($L$1,[3]enemies!$1:$1,0)+1,FALSE)</f>
        <v>グリム・ザ・ダンディ</v>
      </c>
      <c r="N5" s="128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28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28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28">
        <f ca="1">VLOOKUP($L5,OFFSET([3]enemies!$A$1,0,0,COUNTA([3]enemies!$A:$A),MATCH(Q$1,[3]enemies!$1:$1,0)-MATCH($L$1,[3]enemies!$1:$1,0)+1),MATCH(Q$1,[3]enemies!$1:$1,0)-MATCH($L$1,[3]enemies!$1:$1,0)+1,FALSE)</f>
        <v>60</v>
      </c>
      <c r="R5" s="259">
        <v>42</v>
      </c>
      <c r="S5" s="299">
        <v>3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152685</v>
      </c>
      <c r="U5" s="260">
        <v>1.1000000000000001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4279</v>
      </c>
      <c r="W5" s="127">
        <v>0</v>
      </c>
      <c r="X5" s="17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5" s="261">
        <v>47010007</v>
      </c>
      <c r="Z5" s="66">
        <v>0</v>
      </c>
      <c r="AA5" s="264">
        <v>25</v>
      </c>
      <c r="AB5" s="66">
        <v>1</v>
      </c>
      <c r="AC5" s="128">
        <v>2</v>
      </c>
      <c r="AD5" s="262">
        <f t="shared" ref="AD5" si="13">L5</f>
        <v>1407</v>
      </c>
      <c r="AE5" s="17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5" s="17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17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263">
        <v>1</v>
      </c>
      <c r="AI5" s="262">
        <f t="shared" ref="AI5" ca="1" si="14">AF5</f>
        <v>5</v>
      </c>
      <c r="AJ5" s="281">
        <v>0</v>
      </c>
      <c r="AK5" s="263">
        <v>0</v>
      </c>
      <c r="AL5" s="263">
        <v>0</v>
      </c>
      <c r="AM5" s="263">
        <v>0</v>
      </c>
      <c r="AN5" s="263">
        <v>0</v>
      </c>
      <c r="AO5" s="263">
        <v>1</v>
      </c>
      <c r="AP5" s="66">
        <v>1</v>
      </c>
    </row>
    <row r="6" spans="1:42" ht="21" customHeight="1" thickBot="1" x14ac:dyDescent="0.2">
      <c r="A6" s="15" t="str">
        <f t="shared" ref="A6" si="15">B6&amp;"_"&amp;C6&amp;"-"&amp;G6&amp;"/"&amp;L6&amp;"&lt;lv"&amp;R6&amp;"&gt;s"&amp;AC6</f>
        <v>47010_1-2/1407&lt;lv43&gt;s2</v>
      </c>
      <c r="B6" s="111">
        <v>47010</v>
      </c>
      <c r="C6" s="247">
        <v>1</v>
      </c>
      <c r="D6" s="248" t="str">
        <f t="shared" ref="D6" si="16">B6&amp;"_"&amp;C6</f>
        <v>47010_1</v>
      </c>
      <c r="E6" s="112" t="str">
        <f ca="1">VLOOKUP($B6,OFFSET([2]quests!$A$1,0,0,COUNTA([2]quests!$A:$A),MATCH(E$1,[2]quests!$1:$1,0)-MATCH($B$1,[2]quests!$1:$1,0)+1),MATCH(E$1,[2]quests!$1:$1,0)-MATCH($B$1,[2]quests!$1:$1,0)+1,FALSE)</f>
        <v>僕の愛よあの子にとどけ！</v>
      </c>
      <c r="F6" s="112" t="str">
        <f ca="1">VLOOKUP($D6,OFFSET([2]stages!$A$1,0,0,COUNTA([2]stages!$A:$A),MATCH(F$1,[2]stages!$2:$2,0)-MATCH($D$1,[2]stages!$2:$2,0)+1),MATCH(F$1,[2]stages!$2:$2,0)-MATCH($D$1,[2]stages!$2:$2,0)+1,FALSE)</f>
        <v>【上級】僕の愛よあの子にとどけ！</v>
      </c>
      <c r="G6" s="247">
        <v>2</v>
      </c>
      <c r="H6" s="248" t="str">
        <f t="shared" ref="H6" si="17">B6&amp;"_"&amp;C6&amp;"-"&amp;G6</f>
        <v>47010_1-2</v>
      </c>
      <c r="I6" s="112">
        <f ca="1">VLOOKUP($H6,OFFSET(floors!$A$1,0,0,COUNTA(floors!$A:$A),MATCH(I$1,floors!$1:$1,0)-MATCH($H$1,floors!$1:$1,0)+1),MATCH(I$1,floors!$1:$1,0)-MATCH($H$1,floors!$1:$1,0)+1,FALSE)</f>
        <v>60</v>
      </c>
      <c r="J6" s="112">
        <f ca="1">VLOOKUP($H6,OFFSET(floors!$A$1,0,0,COUNTA(floors!$A:$A),MATCH(J$1,floors!$1:$1,0)-MATCH($H$1,floors!$1:$1,0)+1),MATCH(J$1,floors!$1:$1,0)-MATCH($H$1,floors!$1:$1,0)+1,FALSE)</f>
        <v>60</v>
      </c>
      <c r="K6" s="249">
        <v>5</v>
      </c>
      <c r="L6" s="266">
        <v>1407</v>
      </c>
      <c r="M6" s="133" t="str">
        <f ca="1">VLOOKUP($L6,OFFSET([3]enemies!$A$1,0,0,COUNTA([3]enemies!$A:$A),MATCH(M$1,[3]enemies!$1:$1,0)-MATCH($L$1,[3]enemies!$1:$1,0)+1),MATCH(M$1,[3]enemies!$1:$1,0)-MATCH($L$1,[3]enemies!$1:$1,0)+1,FALSE)</f>
        <v>グリム・ザ・ダンディ</v>
      </c>
      <c r="N6" s="133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33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33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33">
        <f ca="1">VLOOKUP($L6,OFFSET([3]enemies!$A$1,0,0,COUNTA([3]enemies!$A:$A),MATCH(Q$1,[3]enemies!$1:$1,0)-MATCH($L$1,[3]enemies!$1:$1,0)+1),MATCH(Q$1,[3]enemies!$1:$1,0)-MATCH($L$1,[3]enemies!$1:$1,0)+1,FALSE)</f>
        <v>60</v>
      </c>
      <c r="R6" s="250">
        <v>43</v>
      </c>
      <c r="S6" s="300">
        <v>2.9</v>
      </c>
      <c r="T6" s="25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150988.5</v>
      </c>
      <c r="U6" s="252">
        <v>1.1000000000000001</v>
      </c>
      <c r="V6" s="25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4378</v>
      </c>
      <c r="W6" s="253">
        <v>0</v>
      </c>
      <c r="X6" s="112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6" s="254">
        <v>47010007</v>
      </c>
      <c r="Z6" s="255">
        <v>0</v>
      </c>
      <c r="AA6" s="265">
        <v>25</v>
      </c>
      <c r="AB6" s="255">
        <v>1</v>
      </c>
      <c r="AC6" s="133">
        <v>2</v>
      </c>
      <c r="AD6" s="256">
        <f t="shared" ref="AD6" si="18">L6</f>
        <v>1407</v>
      </c>
      <c r="AE6" s="11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6" s="112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1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257">
        <v>1</v>
      </c>
      <c r="AI6" s="256">
        <f t="shared" ref="AI6" ca="1" si="19">AF6</f>
        <v>5</v>
      </c>
      <c r="AJ6" s="309">
        <v>0</v>
      </c>
      <c r="AK6" s="257">
        <v>0</v>
      </c>
      <c r="AL6" s="257">
        <v>0</v>
      </c>
      <c r="AM6" s="257">
        <v>0</v>
      </c>
      <c r="AN6" s="257">
        <v>0</v>
      </c>
      <c r="AO6" s="257">
        <v>1</v>
      </c>
      <c r="AP6" s="258">
        <v>1</v>
      </c>
    </row>
    <row r="7" spans="1:42" ht="21" customHeight="1" thickTop="1" x14ac:dyDescent="0.15">
      <c r="A7" s="15" t="str">
        <f>B7&amp;"_"&amp;C7&amp;"-"&amp;G7&amp;"/"&amp;L7&amp;"&lt;lv"&amp;R7&amp;"&gt;s"&amp;AC7</f>
        <v>47010_2-1/1409&lt;lv80&gt;s1</v>
      </c>
      <c r="B7" s="20">
        <v>47010</v>
      </c>
      <c r="C7" s="105">
        <v>2</v>
      </c>
      <c r="D7" s="106" t="str">
        <f>B7&amp;"_"&amp;C7</f>
        <v>47010_2</v>
      </c>
      <c r="E7" s="4" t="str">
        <f ca="1">VLOOKUP($B7,OFFSET([2]quests!$A$1,0,0,COUNTA([2]quests!$A:$A),MATCH(E$1,[2]quests!$1:$1,0)-MATCH($B$1,[2]quests!$1:$1,0)+1),MATCH(E$1,[2]quests!$1:$1,0)-MATCH($B$1,[2]quests!$1:$1,0)+1,FALSE)</f>
        <v>僕の愛よあの子にとどけ！</v>
      </c>
      <c r="F7" s="4" t="str">
        <f ca="1">VLOOKUP($D7,OFFSET([2]stages!$A$1,0,0,COUNTA([2]stages!$A:$A),MATCH(F$1,[2]stages!$2:$2,0)-MATCH($D$1,[2]stages!$2:$2,0)+1),MATCH(F$1,[2]stages!$2:$2,0)-MATCH($D$1,[2]stages!$2:$2,0)+1,FALSE)</f>
        <v>【ｳｨｻﾞ】僕の愛よあの子にとどけ！</v>
      </c>
      <c r="G7" s="105">
        <v>1</v>
      </c>
      <c r="H7" s="106" t="str">
        <f>B7&amp;"_"&amp;C7&amp;"-"&amp;G7</f>
        <v>47010_2-1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07">
        <v>6</v>
      </c>
      <c r="L7" s="234">
        <v>1409</v>
      </c>
      <c r="M7" s="101" t="str">
        <f ca="1">VLOOKUP($L7,OFFSET([3]enemies!$A$1,0,0,COUNTA([3]enemies!$A:$A),MATCH(M$1,[3]enemies!$1:$1,0)-MATCH($L$1,[3]enemies!$1:$1,0)+1),MATCH(M$1,[3]enemies!$1:$1,0)-MATCH($L$1,[3]enemies!$1:$1,0)+1,FALSE)</f>
        <v>マシロ</v>
      </c>
      <c r="N7" s="101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01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01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01">
        <f ca="1">VLOOKUP($L7,OFFSET([3]enemies!$A$1,0,0,COUNTA([3]enemies!$A:$A),MATCH(Q$1,[3]enemies!$1:$1,0)-MATCH($L$1,[3]enemies!$1:$1,0)+1),MATCH(Q$1,[3]enemies!$1:$1,0)-MATCH($L$1,[3]enemies!$1:$1,0)+1,FALSE)</f>
        <v>60</v>
      </c>
      <c r="R7" s="235">
        <v>80</v>
      </c>
      <c r="S7" s="233">
        <v>1</v>
      </c>
      <c r="T7" s="10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110840</v>
      </c>
      <c r="U7" s="233">
        <v>1</v>
      </c>
      <c r="V7" s="10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6803</v>
      </c>
      <c r="W7" s="108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マシロが怯えた様子でこちらへ走ってくる！</v>
      </c>
      <c r="Y7" s="104">
        <v>47010001</v>
      </c>
      <c r="Z7" s="129">
        <v>1</v>
      </c>
      <c r="AA7" s="129">
        <v>100</v>
      </c>
      <c r="AB7" s="129">
        <v>1</v>
      </c>
      <c r="AC7" s="101">
        <v>1</v>
      </c>
      <c r="AD7" s="130">
        <f>L7</f>
        <v>1409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マシロ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7" s="131">
        <v>1</v>
      </c>
      <c r="AI7" s="130">
        <f ca="1">AF7</f>
        <v>5</v>
      </c>
      <c r="AJ7" s="306">
        <v>0</v>
      </c>
      <c r="AK7" s="131">
        <v>0</v>
      </c>
      <c r="AL7" s="131">
        <v>0</v>
      </c>
      <c r="AM7" s="131">
        <v>0</v>
      </c>
      <c r="AN7" s="131">
        <v>0</v>
      </c>
      <c r="AO7" s="131">
        <v>1</v>
      </c>
      <c r="AP7" s="132">
        <v>1</v>
      </c>
    </row>
    <row r="8" spans="1:42" ht="21" customHeight="1" x14ac:dyDescent="0.15">
      <c r="A8" s="15" t="str">
        <f t="shared" ref="A8" si="20">B8&amp;"_"&amp;C8&amp;"-"&amp;G8&amp;"/"&amp;L8&amp;"&lt;lv"&amp;R8&amp;"&gt;s"&amp;AC8</f>
        <v>47010_2-2/1407&lt;lv80&gt;s2</v>
      </c>
      <c r="B8" s="20">
        <v>47010</v>
      </c>
      <c r="C8" s="19">
        <v>2</v>
      </c>
      <c r="D8" s="2" t="str">
        <f t="shared" ref="D8" si="21">B8&amp;"_"&amp;C8</f>
        <v>47010_2</v>
      </c>
      <c r="E8" s="4" t="str">
        <f ca="1">VLOOKUP($B8,OFFSET([2]quests!$A$1,0,0,COUNTA([2]quests!$A:$A),MATCH(E$1,[2]quests!$1:$1,0)-MATCH($B$1,[2]quests!$1:$1,0)+1),MATCH(E$1,[2]quests!$1:$1,0)-MATCH($B$1,[2]quests!$1:$1,0)+1,FALSE)</f>
        <v>僕の愛よあの子にとどけ！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【ｳｨｻﾞ】僕の愛よあの子にとどけ！</v>
      </c>
      <c r="G8" s="19">
        <v>2</v>
      </c>
      <c r="H8" s="14" t="str">
        <f t="shared" ref="H8" si="22">B8&amp;"_"&amp;C8&amp;"-"&amp;G8</f>
        <v>47010_2-2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>
        <v>7</v>
      </c>
      <c r="L8" s="236">
        <v>1407</v>
      </c>
      <c r="M8" s="16" t="str">
        <f ca="1">VLOOKUP($L8,OFFSET([3]enemies!$A$1,0,0,COUNTA([3]enemies!$A:$A),MATCH(M$1,[3]enemies!$1:$1,0)-MATCH($L$1,[3]enemies!$1:$1,0)+1),MATCH(M$1,[3]enemies!$1:$1,0)-MATCH($L$1,[3]enemies!$1:$1,0)+1,FALSE)</f>
        <v>グリム・ザ・ダンディ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3">
        <v>5.8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553059</v>
      </c>
      <c r="U8" s="23">
        <v>1.1000000000000001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8017.9000000000005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8" s="104">
        <v>47010004</v>
      </c>
      <c r="Z8" s="6">
        <v>0</v>
      </c>
      <c r="AA8" s="237">
        <v>25</v>
      </c>
      <c r="AB8" s="6">
        <v>1</v>
      </c>
      <c r="AC8" s="101">
        <v>2</v>
      </c>
      <c r="AD8" s="22">
        <f t="shared" ref="AD8" si="23">L8</f>
        <v>1407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7">
        <v>1</v>
      </c>
      <c r="AI8" s="22">
        <f t="shared" ref="AI8" ca="1" si="24">AF8</f>
        <v>5</v>
      </c>
      <c r="AJ8" s="310">
        <v>88</v>
      </c>
      <c r="AK8" s="7">
        <v>0</v>
      </c>
      <c r="AL8" s="7">
        <v>0</v>
      </c>
      <c r="AM8" s="7">
        <v>0</v>
      </c>
      <c r="AN8" s="7">
        <v>0</v>
      </c>
      <c r="AO8" s="307">
        <v>2</v>
      </c>
      <c r="AP8" s="66">
        <v>1</v>
      </c>
    </row>
    <row r="9" spans="1:42" ht="21" customHeight="1" x14ac:dyDescent="0.15">
      <c r="A9" s="15" t="str">
        <f t="shared" ref="A9:A11" si="25">B9&amp;"_"&amp;C9&amp;"-"&amp;G9&amp;"/"&amp;L9&amp;"&lt;lv"&amp;R9&amp;"&gt;s"&amp;AC9</f>
        <v>47010_2-2/1407&lt;lv81&gt;s2</v>
      </c>
      <c r="B9" s="20">
        <v>47010</v>
      </c>
      <c r="C9" s="19">
        <v>2</v>
      </c>
      <c r="D9" s="2" t="str">
        <f t="shared" ref="D9:D11" si="26">B9&amp;"_"&amp;C9</f>
        <v>47010_2</v>
      </c>
      <c r="E9" s="4" t="str">
        <f ca="1">VLOOKUP($B9,OFFSET([2]quests!$A$1,0,0,COUNTA([2]quests!$A:$A),MATCH(E$1,[2]quests!$1:$1,0)-MATCH($B$1,[2]quests!$1:$1,0)+1),MATCH(E$1,[2]quests!$1:$1,0)-MATCH($B$1,[2]quests!$1:$1,0)+1,FALSE)</f>
        <v>僕の愛よあの子にとどけ！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【ｳｨｻﾞ】僕の愛よあの子にとどけ！</v>
      </c>
      <c r="G9" s="19">
        <v>2</v>
      </c>
      <c r="H9" s="14" t="str">
        <f t="shared" ref="H9:H11" si="27">B9&amp;"_"&amp;C9&amp;"-"&amp;G9</f>
        <v>47010_2-2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>
        <v>8</v>
      </c>
      <c r="L9" s="236">
        <v>1407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グリム・ザ・ダンディ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81</v>
      </c>
      <c r="S9" s="23">
        <v>5.7</v>
      </c>
      <c r="T9" s="9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550192.5</v>
      </c>
      <c r="U9" s="23">
        <v>1.1000000000000001</v>
      </c>
      <c r="V9" s="9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8115.8000000000011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9" s="104">
        <v>47010004</v>
      </c>
      <c r="Z9" s="6">
        <v>0</v>
      </c>
      <c r="AA9" s="237">
        <v>25</v>
      </c>
      <c r="AB9" s="6">
        <v>1</v>
      </c>
      <c r="AC9" s="101">
        <v>2</v>
      </c>
      <c r="AD9" s="22">
        <f t="shared" ref="AD9:AD11" si="28">L9</f>
        <v>1407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2">
        <f t="shared" ref="AI9:AI11" ca="1" si="29">AF9</f>
        <v>5</v>
      </c>
      <c r="AJ9" s="310">
        <v>88</v>
      </c>
      <c r="AK9" s="7">
        <v>0</v>
      </c>
      <c r="AL9" s="7">
        <v>0</v>
      </c>
      <c r="AM9" s="7">
        <v>0</v>
      </c>
      <c r="AN9" s="7">
        <v>0</v>
      </c>
      <c r="AO9" s="307">
        <v>2</v>
      </c>
      <c r="AP9" s="66">
        <v>1</v>
      </c>
    </row>
    <row r="10" spans="1:42" ht="21" customHeight="1" x14ac:dyDescent="0.15">
      <c r="A10" s="15" t="str">
        <f t="shared" si="25"/>
        <v>47010_2-2/1407&lt;lv82&gt;s2</v>
      </c>
      <c r="B10" s="20">
        <v>47010</v>
      </c>
      <c r="C10" s="19">
        <v>2</v>
      </c>
      <c r="D10" s="2" t="str">
        <f t="shared" si="26"/>
        <v>47010_2</v>
      </c>
      <c r="E10" s="4" t="str">
        <f ca="1">VLOOKUP($B10,OFFSET([2]quests!$A$1,0,0,COUNTA([2]quests!$A:$A),MATCH(E$1,[2]quests!$1:$1,0)-MATCH($B$1,[2]quests!$1:$1,0)+1),MATCH(E$1,[2]quests!$1:$1,0)-MATCH($B$1,[2]quests!$1:$1,0)+1,FALSE)</f>
        <v>僕の愛よあの子にとどけ！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0" s="19">
        <v>2</v>
      </c>
      <c r="H10" s="14" t="str">
        <f t="shared" si="27"/>
        <v>47010_2-2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6">
        <v>9</v>
      </c>
      <c r="L10" s="236">
        <v>1407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グリム・ザ・ダンディ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6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82</v>
      </c>
      <c r="S10" s="23">
        <v>5.7</v>
      </c>
      <c r="T10" s="9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556861.5</v>
      </c>
      <c r="U10" s="23">
        <v>1.1000000000000001</v>
      </c>
      <c r="V10" s="9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8214.8000000000011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10" s="104">
        <v>47010004</v>
      </c>
      <c r="Z10" s="6">
        <v>0</v>
      </c>
      <c r="AA10" s="237">
        <v>25</v>
      </c>
      <c r="AB10" s="6">
        <v>1</v>
      </c>
      <c r="AC10" s="101">
        <v>2</v>
      </c>
      <c r="AD10" s="22">
        <f t="shared" si="28"/>
        <v>1407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2">
        <f t="shared" ca="1" si="29"/>
        <v>5</v>
      </c>
      <c r="AJ10" s="310">
        <v>88</v>
      </c>
      <c r="AK10" s="7">
        <v>0</v>
      </c>
      <c r="AL10" s="7">
        <v>0</v>
      </c>
      <c r="AM10" s="7">
        <v>0</v>
      </c>
      <c r="AN10" s="7">
        <v>0</v>
      </c>
      <c r="AO10" s="307">
        <v>2</v>
      </c>
      <c r="AP10" s="66">
        <v>1</v>
      </c>
    </row>
    <row r="11" spans="1:42" ht="21" customHeight="1" x14ac:dyDescent="0.15">
      <c r="A11" s="15" t="str">
        <f t="shared" si="25"/>
        <v>47010_2-2/1407&lt;lv83&gt;s2</v>
      </c>
      <c r="B11" s="20">
        <v>47010</v>
      </c>
      <c r="C11" s="19">
        <v>2</v>
      </c>
      <c r="D11" s="2" t="str">
        <f t="shared" si="26"/>
        <v>47010_2</v>
      </c>
      <c r="E11" s="4" t="str">
        <f ca="1">VLOOKUP($B11,OFFSET([2]quests!$A$1,0,0,COUNTA([2]quests!$A:$A),MATCH(E$1,[2]quests!$1:$1,0)-MATCH($B$1,[2]quests!$1:$1,0)+1),MATCH(E$1,[2]quests!$1:$1,0)-MATCH($B$1,[2]quests!$1:$1,0)+1,FALSE)</f>
        <v>僕の愛よあの子にとどけ！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1" s="19">
        <v>2</v>
      </c>
      <c r="H11" s="14" t="str">
        <f t="shared" si="27"/>
        <v>47010_2-2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6">
        <v>10</v>
      </c>
      <c r="L11" s="236">
        <v>1407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グリム・ザ・ダンディ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83</v>
      </c>
      <c r="S11" s="23">
        <v>5.6</v>
      </c>
      <c r="T11" s="99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553644</v>
      </c>
      <c r="U11" s="23">
        <v>1.1000000000000001</v>
      </c>
      <c r="V11" s="99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8312.7000000000007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状態異常耐性+_x000D_すべてのパネルをハートパネルに変換+_x000D_青パネルドロップ率DOWN</v>
      </c>
      <c r="Y11" s="104">
        <v>47010004</v>
      </c>
      <c r="Z11" s="6">
        <v>0</v>
      </c>
      <c r="AA11" s="237">
        <v>25</v>
      </c>
      <c r="AB11" s="6">
        <v>1</v>
      </c>
      <c r="AC11" s="101">
        <v>2</v>
      </c>
      <c r="AD11" s="22">
        <f t="shared" si="28"/>
        <v>1407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グリム・ザ・ダンディ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2">
        <f t="shared" ca="1" si="29"/>
        <v>5</v>
      </c>
      <c r="AJ11" s="310">
        <v>88</v>
      </c>
      <c r="AK11" s="7">
        <v>0</v>
      </c>
      <c r="AL11" s="7">
        <v>0</v>
      </c>
      <c r="AM11" s="7">
        <v>0</v>
      </c>
      <c r="AN11" s="7">
        <v>0</v>
      </c>
      <c r="AO11" s="307">
        <v>2</v>
      </c>
      <c r="AP11" s="66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2"/>
  <sheetViews>
    <sheetView showGridLines="0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Y20" sqref="Y20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24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245</v>
      </c>
      <c r="V1" s="24" t="s">
        <v>50</v>
      </c>
      <c r="W1" s="98" t="s">
        <v>246</v>
      </c>
      <c r="X1" s="24" t="s">
        <v>52</v>
      </c>
      <c r="Y1" s="26" t="s">
        <v>129</v>
      </c>
      <c r="Z1" s="27" t="s">
        <v>128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47010_1-1/491&lt;lv40&gt;sq1st2</v>
      </c>
      <c r="B2" s="267">
        <v>47010</v>
      </c>
      <c r="C2" s="231">
        <v>1</v>
      </c>
      <c r="D2" s="231" t="str">
        <f>B2&amp;"_"&amp;C2</f>
        <v>47010_1</v>
      </c>
      <c r="E2" s="103" t="str">
        <f ca="1">VLOOKUP($B2,OFFSET([2]quests!$A$1,0,0,COUNTA([2]quests!$A:$A),MATCH(E$1,[2]quests!$1:$1,0)-MATCH($B$1,[2]quests!$1:$1,0)+1),MATCH(E$1,[2]quests!$1:$1,0)-MATCH($B$1,[2]quests!$1:$1,0)+1,FALSE)</f>
        <v>僕の愛よあの子にとどけ！</v>
      </c>
      <c r="F2" s="103" t="str">
        <f ca="1">VLOOKUP($D2,OFFSET([2]stages!$A$1,0,0,COUNTA([2]stages!$A:$A),MATCH(F$1,[2]stages!$2:$2,0)-MATCH($D$1,[2]stages!$2:$2,0)+1),MATCH(F$1,[2]stages!$2:$2,0)-MATCH($D$1,[2]stages!$2:$2,0)+1,FALSE)</f>
        <v>【上級】僕の愛よあの子にとどけ！</v>
      </c>
      <c r="G2" s="231">
        <v>1</v>
      </c>
      <c r="H2" s="268" t="str">
        <f>B2&amp;"_"&amp;C2&amp;"-"&amp;G2</f>
        <v>47010_1-1</v>
      </c>
      <c r="I2" s="103">
        <f ca="1">VLOOKUP($H2,OFFSET(floors!$A$1,0,0,COUNTA(floors!$A:$A),MATCH(I$1,floors!$1:$1,0)-MATCH($H$1,floors!$1:$1,0)+1),MATCH(I$1,floors!$1:$1,0)-MATCH($H$1,floors!$1:$1,0)+1,FALSE)</f>
        <v>60</v>
      </c>
      <c r="J2" s="103">
        <f ca="1">VLOOKUP($H2,OFFSET(floors!$A$1,0,0,COUNTA(floors!$A:$A),MATCH(J$1,floors!$1:$1,0)-MATCH($H$1,floors!$1:$1,0)+1),MATCH(J$1,floors!$1:$1,0)-MATCH($H$1,floors!$1:$1,0)+1,FALSE)</f>
        <v>60</v>
      </c>
      <c r="K2" s="269">
        <v>1</v>
      </c>
      <c r="L2" s="269">
        <v>2</v>
      </c>
      <c r="M2" s="231">
        <v>491</v>
      </c>
      <c r="N2" s="16" t="str">
        <f ca="1">VLOOKUP($M2,OFFSET([3]enemies!$A$1,0,0,COUNTA([3]enemies!$A:$A),MATCH(N$1,[3]enemies!$1:$1,0)-MATCH($M$1,[3]enemies!$1:$1,0)+1),MATCH(N$1,[3]enemies!$1:$1,0)-MATCH($M$1,[3]enemies!$1:$1,0)+1,FALSE)</f>
        <v>収魂の群影 グリム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232">
        <v>40</v>
      </c>
      <c r="T2" s="270">
        <v>1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67643</v>
      </c>
      <c r="V2" s="272">
        <v>1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4397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（表示しない）</v>
      </c>
      <c r="Z2" s="103">
        <v>47010002</v>
      </c>
      <c r="AA2" s="102">
        <v>1</v>
      </c>
    </row>
    <row r="3" spans="1:27" ht="21" customHeight="1" x14ac:dyDescent="0.15">
      <c r="A3" s="15" t="str">
        <f t="shared" ref="A3:A5" si="0">B3&amp;"_"&amp;C3&amp;"-"&amp;G3&amp;"/"&amp;M3&amp;"&lt;lv"&amp;S3&amp;"&gt;sq"&amp;K3&amp;"st"&amp;L3</f>
        <v>47010_1-1/1407&lt;lv40&gt;sq1st3</v>
      </c>
      <c r="B3" s="267">
        <v>47010</v>
      </c>
      <c r="C3" s="231">
        <v>1</v>
      </c>
      <c r="D3" s="231" t="str">
        <f t="shared" ref="D3:D5" si="1">B3&amp;"_"&amp;C3</f>
        <v>47010_1</v>
      </c>
      <c r="E3" s="103" t="str">
        <f ca="1">VLOOKUP($B3,OFFSET([2]quests!$A$1,0,0,COUNTA([2]quests!$A:$A),MATCH(E$1,[2]quests!$1:$1,0)-MATCH($B$1,[2]quests!$1:$1,0)+1),MATCH(E$1,[2]quests!$1:$1,0)-MATCH($B$1,[2]quests!$1:$1,0)+1,FALSE)</f>
        <v>僕の愛よあの子にとどけ！</v>
      </c>
      <c r="F3" s="103" t="str">
        <f ca="1">VLOOKUP($D3,OFFSET([2]stages!$A$1,0,0,COUNTA([2]stages!$A:$A),MATCH(F$1,[2]stages!$2:$2,0)-MATCH($D$1,[2]stages!$2:$2,0)+1),MATCH(F$1,[2]stages!$2:$2,0)-MATCH($D$1,[2]stages!$2:$2,0)+1,FALSE)</f>
        <v>【上級】僕の愛よあの子にとどけ！</v>
      </c>
      <c r="G3" s="231">
        <v>1</v>
      </c>
      <c r="H3" s="268" t="str">
        <f t="shared" ref="H3:H5" si="2">B3&amp;"_"&amp;C3&amp;"-"&amp;G3</f>
        <v>47010_1-1</v>
      </c>
      <c r="I3" s="103">
        <f ca="1">VLOOKUP($H3,OFFSET(floors!$A$1,0,0,COUNTA(floors!$A:$A),MATCH(I$1,floors!$1:$1,0)-MATCH($H$1,floors!$1:$1,0)+1),MATCH(I$1,floors!$1:$1,0)-MATCH($H$1,floors!$1:$1,0)+1,FALSE)</f>
        <v>60</v>
      </c>
      <c r="J3" s="103">
        <f ca="1">VLOOKUP($H3,OFFSET(floors!$A$1,0,0,COUNTA(floors!$A:$A),MATCH(J$1,floors!$1:$1,0)-MATCH($H$1,floors!$1:$1,0)+1),MATCH(J$1,floors!$1:$1,0)-MATCH($H$1,floors!$1:$1,0)+1,FALSE)</f>
        <v>60</v>
      </c>
      <c r="K3" s="269">
        <v>1</v>
      </c>
      <c r="L3" s="269">
        <v>3</v>
      </c>
      <c r="M3" s="231">
        <v>1407</v>
      </c>
      <c r="N3" s="16" t="str">
        <f ca="1">VLOOKUP($M3,OFFSET([3]enemies!$A$1,0,0,COUNTA([3]enemies!$A:$A),MATCH(N$1,[3]enemies!$1:$1,0)-MATCH($M$1,[3]enemies!$1:$1,0)+1),MATCH(N$1,[3]enemies!$1:$1,0)-MATCH($M$1,[3]enemies!$1:$1,0)+1,FALSE)</f>
        <v>グリム・ザ・ダンディ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232">
        <v>40</v>
      </c>
      <c r="T3" s="271">
        <v>1</v>
      </c>
      <c r="U3" s="9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48555</v>
      </c>
      <c r="V3" s="272">
        <v>1</v>
      </c>
      <c r="W3" s="9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3712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マシロを連れて去っていく！</v>
      </c>
      <c r="Z3" s="103">
        <v>47010003</v>
      </c>
      <c r="AA3" s="102">
        <v>1</v>
      </c>
    </row>
    <row r="4" spans="1:27" ht="21" customHeight="1" x14ac:dyDescent="0.15">
      <c r="A4" s="15" t="str">
        <f t="shared" si="0"/>
        <v>47010_1-2/1407&lt;lv40&gt;sq2st2</v>
      </c>
      <c r="B4" s="208">
        <v>47010</v>
      </c>
      <c r="C4" s="209">
        <v>1</v>
      </c>
      <c r="D4" s="209" t="str">
        <f t="shared" si="1"/>
        <v>47010_1</v>
      </c>
      <c r="E4" s="210" t="str">
        <f ca="1">VLOOKUP($B4,OFFSET([2]quests!$A$1,0,0,COUNTA([2]quests!$A:$A),MATCH(E$1,[2]quests!$1:$1,0)-MATCH($B$1,[2]quests!$1:$1,0)+1),MATCH(E$1,[2]quests!$1:$1,0)-MATCH($B$1,[2]quests!$1:$1,0)+1,FALSE)</f>
        <v>僕の愛よあの子にとどけ！</v>
      </c>
      <c r="F4" s="210" t="str">
        <f ca="1">VLOOKUP($D4,OFFSET([2]stages!$A$1,0,0,COUNTA([2]stages!$A:$A),MATCH(F$1,[2]stages!$2:$2,0)-MATCH($D$1,[2]stages!$2:$2,0)+1),MATCH(F$1,[2]stages!$2:$2,0)-MATCH($D$1,[2]stages!$2:$2,0)+1,FALSE)</f>
        <v>【上級】僕の愛よあの子にとどけ！</v>
      </c>
      <c r="G4" s="209">
        <v>2</v>
      </c>
      <c r="H4" s="209" t="str">
        <f t="shared" si="2"/>
        <v>47010_1-2</v>
      </c>
      <c r="I4" s="210">
        <f ca="1">VLOOKUP($H4,OFFSET(floors!$A$1,0,0,COUNTA(floors!$A:$A),MATCH(I$1,floors!$1:$1,0)-MATCH($H$1,floors!$1:$1,0)+1),MATCH(I$1,floors!$1:$1,0)-MATCH($H$1,floors!$1:$1,0)+1,FALSE)</f>
        <v>60</v>
      </c>
      <c r="J4" s="210">
        <f ca="1">VLOOKUP($H4,OFFSET(floors!$A$1,0,0,COUNTA(floors!$A:$A),MATCH(J$1,floors!$1:$1,0)-MATCH($H$1,floors!$1:$1,0)+1),MATCH(J$1,floors!$1:$1,0)-MATCH($H$1,floors!$1:$1,0)+1,FALSE)</f>
        <v>60</v>
      </c>
      <c r="K4" s="211">
        <v>2</v>
      </c>
      <c r="L4" s="211">
        <v>2</v>
      </c>
      <c r="M4" s="209">
        <v>1407</v>
      </c>
      <c r="N4" s="121" t="str">
        <f ca="1">VLOOKUP($M4,OFFSET([3]enemies!$A$1,0,0,COUNTA([3]enemies!$A:$A),MATCH(N$1,[3]enemies!$1:$1,0)-MATCH($M$1,[3]enemies!$1:$1,0)+1),MATCH(N$1,[3]enemies!$1:$1,0)-MATCH($M$1,[3]enemies!$1:$1,0)+1,FALSE)</f>
        <v>グリム・ザ・ダンディ</v>
      </c>
      <c r="O4" s="121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21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21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21">
        <f ca="1">VLOOKUP($M4,OFFSET([3]enemies!$A$1,0,0,COUNTA([3]enemies!$A:$A),MATCH(R$1,[3]enemies!$1:$1,0)-MATCH($M$1,[3]enemies!$1:$1,0)+1),MATCH(R$1,[3]enemies!$1:$1,0)-MATCH($M$1,[3]enemies!$1:$1,0)+1,FALSE)</f>
        <v>60</v>
      </c>
      <c r="S4" s="214">
        <v>40</v>
      </c>
      <c r="T4" s="212">
        <v>8</v>
      </c>
      <c r="U4" s="12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388440</v>
      </c>
      <c r="V4" s="213">
        <v>1</v>
      </c>
      <c r="W4" s="12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3712</v>
      </c>
      <c r="X4" s="214">
        <v>0</v>
      </c>
      <c r="Y4" s="119" t="str">
        <f ca="1">VLOOKUP($Z4,OFFSET(enemy_skill_sets!$B$1,0,0,COUNTA(enemy_skill_sets!$B:$B),MATCH(N$1,enemy_skill_sets!$1:$1,0)-MATCH($Z$1,enemy_skill_sets!$1:$1,0)+2),MATCH(N$1,enemy_skill_sets!$1:$1,0)-MATCH($Z$1,enemy_skill_sets!$1:$1,0)+2,FALSE)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4" s="210">
        <v>47010013</v>
      </c>
      <c r="AA4" s="124">
        <v>1</v>
      </c>
    </row>
    <row r="5" spans="1:27" ht="21" customHeight="1" thickBot="1" x14ac:dyDescent="0.2">
      <c r="A5" s="110" t="str">
        <f t="shared" si="0"/>
        <v>47010_1-2/1408&lt;lv40&gt;sq2st3</v>
      </c>
      <c r="B5" s="221">
        <v>47010</v>
      </c>
      <c r="C5" s="206">
        <v>1</v>
      </c>
      <c r="D5" s="206" t="str">
        <f t="shared" si="1"/>
        <v>47010_1</v>
      </c>
      <c r="E5" s="222" t="str">
        <f ca="1">VLOOKUP($B5,OFFSET([2]quests!$A$1,0,0,COUNTA([2]quests!$A:$A),MATCH(E$1,[2]quests!$1:$1,0)-MATCH($B$1,[2]quests!$1:$1,0)+1),MATCH(E$1,[2]quests!$1:$1,0)-MATCH($B$1,[2]quests!$1:$1,0)+1,FALSE)</f>
        <v>僕の愛よあの子にとどけ！</v>
      </c>
      <c r="F5" s="222" t="str">
        <f ca="1">VLOOKUP($D5,OFFSET([2]stages!$A$1,0,0,COUNTA([2]stages!$A:$A),MATCH(F$1,[2]stages!$2:$2,0)-MATCH($D$1,[2]stages!$2:$2,0)+1),MATCH(F$1,[2]stages!$2:$2,0)-MATCH($D$1,[2]stages!$2:$2,0)+1,FALSE)</f>
        <v>【上級】僕の愛よあの子にとどけ！</v>
      </c>
      <c r="G5" s="206">
        <v>2</v>
      </c>
      <c r="H5" s="206" t="str">
        <f t="shared" si="2"/>
        <v>47010_1-2</v>
      </c>
      <c r="I5" s="222">
        <f ca="1">VLOOKUP($H5,OFFSET(floors!$A$1,0,0,COUNTA(floors!$A:$A),MATCH(I$1,floors!$1:$1,0)-MATCH($H$1,floors!$1:$1,0)+1),MATCH(I$1,floors!$1:$1,0)-MATCH($H$1,floors!$1:$1,0)+1,FALSE)</f>
        <v>60</v>
      </c>
      <c r="J5" s="222">
        <f ca="1">VLOOKUP($H5,OFFSET(floors!$A$1,0,0,COUNTA(floors!$A:$A),MATCH(J$1,floors!$1:$1,0)-MATCH($H$1,floors!$1:$1,0)+1),MATCH(J$1,floors!$1:$1,0)-MATCH($H$1,floors!$1:$1,0)+1,FALSE)</f>
        <v>60</v>
      </c>
      <c r="K5" s="207">
        <v>2</v>
      </c>
      <c r="L5" s="207">
        <v>3</v>
      </c>
      <c r="M5" s="206">
        <v>1408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爽愛の求魂 グリム・ザ・ダンディ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288">
        <v>40</v>
      </c>
      <c r="T5" s="289">
        <v>6.2</v>
      </c>
      <c r="U5" s="99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267592</v>
      </c>
      <c r="V5" s="294">
        <v>1.2</v>
      </c>
      <c r="W5" s="99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3860.3999999999996</v>
      </c>
      <c r="X5" s="288">
        <v>0</v>
      </c>
      <c r="Y5" s="17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5" s="128">
        <v>47010008</v>
      </c>
      <c r="AA5" s="128">
        <v>1</v>
      </c>
    </row>
    <row r="6" spans="1:27" ht="21" customHeight="1" thickTop="1" x14ac:dyDescent="0.15">
      <c r="A6" s="15" t="str">
        <f t="shared" ref="A6:A9" si="3">B6&amp;"_"&amp;C6&amp;"-"&amp;G6&amp;"/"&amp;M6&amp;"&lt;lv"&amp;S6&amp;"&gt;sq"&amp;K6&amp;"st"&amp;L6</f>
        <v>47010_1-2/1407&lt;lv40&gt;sq3st2</v>
      </c>
      <c r="B6" s="223">
        <v>47010</v>
      </c>
      <c r="C6" s="224">
        <v>1</v>
      </c>
      <c r="D6" s="224" t="str">
        <f t="shared" ref="D6:D9" si="4">B6&amp;"_"&amp;C6</f>
        <v>47010_1</v>
      </c>
      <c r="E6" s="280" t="str">
        <f ca="1">VLOOKUP($B6,OFFSET([2]quests!$A$1,0,0,COUNTA([2]quests!$A:$A),MATCH(E$1,[2]quests!$1:$1,0)-MATCH($B$1,[2]quests!$1:$1,0)+1),MATCH(E$1,[2]quests!$1:$1,0)-MATCH($B$1,[2]quests!$1:$1,0)+1,FALSE)</f>
        <v>僕の愛よあの子にとどけ！</v>
      </c>
      <c r="F6" s="280" t="str">
        <f ca="1">VLOOKUP($D6,OFFSET([2]stages!$A$1,0,0,COUNTA([2]stages!$A:$A),MATCH(F$1,[2]stages!$2:$2,0)-MATCH($D$1,[2]stages!$2:$2,0)+1),MATCH(F$1,[2]stages!$2:$2,0)-MATCH($D$1,[2]stages!$2:$2,0)+1,FALSE)</f>
        <v>【上級】僕の愛よあの子にとどけ！</v>
      </c>
      <c r="G6" s="224">
        <v>2</v>
      </c>
      <c r="H6" s="224" t="str">
        <f t="shared" ref="H6:H9" si="5">B6&amp;"_"&amp;C6&amp;"-"&amp;G6</f>
        <v>47010_1-2</v>
      </c>
      <c r="I6" s="280">
        <f ca="1">VLOOKUP($H6,OFFSET(floors!$A$1,0,0,COUNTA(floors!$A:$A),MATCH(I$1,floors!$1:$1,0)-MATCH($H$1,floors!$1:$1,0)+1),MATCH(I$1,floors!$1:$1,0)-MATCH($H$1,floors!$1:$1,0)+1,FALSE)</f>
        <v>60</v>
      </c>
      <c r="J6" s="280">
        <f ca="1">VLOOKUP($H6,OFFSET(floors!$A$1,0,0,COUNTA(floors!$A:$A),MATCH(J$1,floors!$1:$1,0)-MATCH($H$1,floors!$1:$1,0)+1),MATCH(J$1,floors!$1:$1,0)-MATCH($H$1,floors!$1:$1,0)+1,FALSE)</f>
        <v>60</v>
      </c>
      <c r="K6" s="281">
        <v>3</v>
      </c>
      <c r="L6" s="281">
        <v>2</v>
      </c>
      <c r="M6" s="224">
        <v>1407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グリム・ザ・ダンディ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230">
        <v>40</v>
      </c>
      <c r="T6" s="292">
        <v>8</v>
      </c>
      <c r="U6" s="99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388440</v>
      </c>
      <c r="V6" s="229">
        <v>1</v>
      </c>
      <c r="W6" s="99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3712</v>
      </c>
      <c r="X6" s="230">
        <v>0</v>
      </c>
      <c r="Y6" s="17" t="str">
        <f ca="1">VLOOKUP($Z6,OFFSET(enemy_skill_sets!$B$1,0,0,COUNTA(enemy_skill_sets!$B:$B),MATCH(N$1,enemy_skill_sets!$1:$1,0)-MATCH($Z$1,enemy_skill_sets!$1:$1,0)+2),MATCH(N$1,enemy_skill_sets!$1:$1,0)-MATCH($Z$1,enemy_skill_sets!$1:$1,0)+2,FALSE)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6" s="222">
        <v>47010014</v>
      </c>
      <c r="AA6" s="128">
        <v>1</v>
      </c>
    </row>
    <row r="7" spans="1:27" ht="21" customHeight="1" thickBot="1" x14ac:dyDescent="0.2">
      <c r="A7" s="110" t="str">
        <f t="shared" si="3"/>
        <v>47010_1-2/1408&lt;lv40&gt;sq3st3</v>
      </c>
      <c r="B7" s="223">
        <v>47010</v>
      </c>
      <c r="C7" s="224">
        <v>1</v>
      </c>
      <c r="D7" s="224" t="str">
        <f t="shared" si="4"/>
        <v>47010_1</v>
      </c>
      <c r="E7" s="280" t="str">
        <f ca="1">VLOOKUP($B7,OFFSET([2]quests!$A$1,0,0,COUNTA([2]quests!$A:$A),MATCH(E$1,[2]quests!$1:$1,0)-MATCH($B$1,[2]quests!$1:$1,0)+1),MATCH(E$1,[2]quests!$1:$1,0)-MATCH($B$1,[2]quests!$1:$1,0)+1,FALSE)</f>
        <v>僕の愛よあの子にとどけ！</v>
      </c>
      <c r="F7" s="280" t="str">
        <f ca="1">VLOOKUP($D7,OFFSET([2]stages!$A$1,0,0,COUNTA([2]stages!$A:$A),MATCH(F$1,[2]stages!$2:$2,0)-MATCH($D$1,[2]stages!$2:$2,0)+1),MATCH(F$1,[2]stages!$2:$2,0)-MATCH($D$1,[2]stages!$2:$2,0)+1,FALSE)</f>
        <v>【上級】僕の愛よあの子にとどけ！</v>
      </c>
      <c r="G7" s="224">
        <v>2</v>
      </c>
      <c r="H7" s="224" t="str">
        <f t="shared" si="5"/>
        <v>47010_1-2</v>
      </c>
      <c r="I7" s="280">
        <f ca="1">VLOOKUP($H7,OFFSET(floors!$A$1,0,0,COUNTA(floors!$A:$A),MATCH(I$1,floors!$1:$1,0)-MATCH($H$1,floors!$1:$1,0)+1),MATCH(I$1,floors!$1:$1,0)-MATCH($H$1,floors!$1:$1,0)+1,FALSE)</f>
        <v>60</v>
      </c>
      <c r="J7" s="280">
        <f ca="1">VLOOKUP($H7,OFFSET(floors!$A$1,0,0,COUNTA(floors!$A:$A),MATCH(J$1,floors!$1:$1,0)-MATCH($H$1,floors!$1:$1,0)+1),MATCH(J$1,floors!$1:$1,0)-MATCH($H$1,floors!$1:$1,0)+1,FALSE)</f>
        <v>60</v>
      </c>
      <c r="K7" s="281">
        <v>3</v>
      </c>
      <c r="L7" s="281">
        <v>3</v>
      </c>
      <c r="M7" s="224">
        <v>1408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爽愛の求魂 グリム・ザ・ダンディ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230">
        <v>40</v>
      </c>
      <c r="T7" s="290">
        <v>6.2</v>
      </c>
      <c r="U7" s="99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267592</v>
      </c>
      <c r="V7" s="229">
        <v>1.2</v>
      </c>
      <c r="W7" s="99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3860.3999999999996</v>
      </c>
      <c r="X7" s="230">
        <v>0</v>
      </c>
      <c r="Y7" s="17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7" s="128">
        <v>47010008</v>
      </c>
      <c r="AA7" s="128">
        <v>1</v>
      </c>
    </row>
    <row r="8" spans="1:27" ht="21" customHeight="1" thickTop="1" x14ac:dyDescent="0.15">
      <c r="A8" s="15" t="str">
        <f t="shared" si="3"/>
        <v>47010_1-2/1407&lt;lv40&gt;sq4st2</v>
      </c>
      <c r="B8" s="221">
        <v>47010</v>
      </c>
      <c r="C8" s="206">
        <v>1</v>
      </c>
      <c r="D8" s="206" t="str">
        <f t="shared" si="4"/>
        <v>47010_1</v>
      </c>
      <c r="E8" s="222" t="str">
        <f ca="1">VLOOKUP($B8,OFFSET([2]quests!$A$1,0,0,COUNTA([2]quests!$A:$A),MATCH(E$1,[2]quests!$1:$1,0)-MATCH($B$1,[2]quests!$1:$1,0)+1),MATCH(E$1,[2]quests!$1:$1,0)-MATCH($B$1,[2]quests!$1:$1,0)+1,FALSE)</f>
        <v>僕の愛よあの子にとどけ！</v>
      </c>
      <c r="F8" s="222" t="str">
        <f ca="1">VLOOKUP($D8,OFFSET([2]stages!$A$1,0,0,COUNTA([2]stages!$A:$A),MATCH(F$1,[2]stages!$2:$2,0)-MATCH($D$1,[2]stages!$2:$2,0)+1),MATCH(F$1,[2]stages!$2:$2,0)-MATCH($D$1,[2]stages!$2:$2,0)+1,FALSE)</f>
        <v>【上級】僕の愛よあの子にとどけ！</v>
      </c>
      <c r="G8" s="206">
        <v>2</v>
      </c>
      <c r="H8" s="206" t="str">
        <f t="shared" si="5"/>
        <v>47010_1-2</v>
      </c>
      <c r="I8" s="222">
        <f ca="1">VLOOKUP($H8,OFFSET(floors!$A$1,0,0,COUNTA(floors!$A:$A),MATCH(I$1,floors!$1:$1,0)-MATCH($H$1,floors!$1:$1,0)+1),MATCH(I$1,floors!$1:$1,0)-MATCH($H$1,floors!$1:$1,0)+1,FALSE)</f>
        <v>60</v>
      </c>
      <c r="J8" s="222">
        <f ca="1">VLOOKUP($H8,OFFSET(floors!$A$1,0,0,COUNTA(floors!$A:$A),MATCH(J$1,floors!$1:$1,0)-MATCH($H$1,floors!$1:$1,0)+1),MATCH(J$1,floors!$1:$1,0)-MATCH($H$1,floors!$1:$1,0)+1,FALSE)</f>
        <v>60</v>
      </c>
      <c r="K8" s="207">
        <v>4</v>
      </c>
      <c r="L8" s="207">
        <v>2</v>
      </c>
      <c r="M8" s="206">
        <v>1407</v>
      </c>
      <c r="N8" s="17" t="str">
        <f ca="1">VLOOKUP($M8,OFFSET([3]enemies!$A$1,0,0,COUNTA([3]enemies!$A:$A),MATCH(N$1,[3]enemies!$1:$1,0)-MATCH($M$1,[3]enemies!$1:$1,0)+1),MATCH(N$1,[3]enemies!$1:$1,0)-MATCH($M$1,[3]enemies!$1:$1,0)+1,FALSE)</f>
        <v>グリム・ザ・ダンディ</v>
      </c>
      <c r="O8" s="17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288">
        <v>40</v>
      </c>
      <c r="T8" s="212">
        <v>8</v>
      </c>
      <c r="U8" s="99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388440</v>
      </c>
      <c r="V8" s="294">
        <v>1</v>
      </c>
      <c r="W8" s="99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3712</v>
      </c>
      <c r="X8" s="288">
        <v>0</v>
      </c>
      <c r="Y8" s="17" t="str">
        <f ca="1">VLOOKUP($Z8,OFFSET(enemy_skill_sets!$B$1,0,0,COUNTA(enemy_skill_sets!$B:$B),MATCH(N$1,enemy_skill_sets!$1:$1,0)-MATCH($Z$1,enemy_skill_sets!$1:$1,0)+2),MATCH(N$1,enemy_skill_sets!$1:$1,0)-MATCH($Z$1,enemy_skill_sets!$1:$1,0)+2,FALSE)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8" s="222">
        <v>47010015</v>
      </c>
      <c r="AA8" s="128">
        <v>1</v>
      </c>
    </row>
    <row r="9" spans="1:27" ht="21" customHeight="1" thickBot="1" x14ac:dyDescent="0.2">
      <c r="A9" s="110" t="str">
        <f t="shared" si="3"/>
        <v>47010_1-2/1408&lt;lv40&gt;sq4st3</v>
      </c>
      <c r="B9" s="221">
        <v>47010</v>
      </c>
      <c r="C9" s="206">
        <v>1</v>
      </c>
      <c r="D9" s="206" t="str">
        <f t="shared" si="4"/>
        <v>47010_1</v>
      </c>
      <c r="E9" s="222" t="str">
        <f ca="1">VLOOKUP($B9,OFFSET([2]quests!$A$1,0,0,COUNTA([2]quests!$A:$A),MATCH(E$1,[2]quests!$1:$1,0)-MATCH($B$1,[2]quests!$1:$1,0)+1),MATCH(E$1,[2]quests!$1:$1,0)-MATCH($B$1,[2]quests!$1:$1,0)+1,FALSE)</f>
        <v>僕の愛よあの子にとどけ！</v>
      </c>
      <c r="F9" s="222" t="str">
        <f ca="1">VLOOKUP($D9,OFFSET([2]stages!$A$1,0,0,COUNTA([2]stages!$A:$A),MATCH(F$1,[2]stages!$2:$2,0)-MATCH($D$1,[2]stages!$2:$2,0)+1),MATCH(F$1,[2]stages!$2:$2,0)-MATCH($D$1,[2]stages!$2:$2,0)+1,FALSE)</f>
        <v>【上級】僕の愛よあの子にとどけ！</v>
      </c>
      <c r="G9" s="206">
        <v>2</v>
      </c>
      <c r="H9" s="206" t="str">
        <f t="shared" si="5"/>
        <v>47010_1-2</v>
      </c>
      <c r="I9" s="222">
        <f ca="1">VLOOKUP($H9,OFFSET(floors!$A$1,0,0,COUNTA(floors!$A:$A),MATCH(I$1,floors!$1:$1,0)-MATCH($H$1,floors!$1:$1,0)+1),MATCH(I$1,floors!$1:$1,0)-MATCH($H$1,floors!$1:$1,0)+1,FALSE)</f>
        <v>60</v>
      </c>
      <c r="J9" s="222">
        <f ca="1">VLOOKUP($H9,OFFSET(floors!$A$1,0,0,COUNTA(floors!$A:$A),MATCH(J$1,floors!$1:$1,0)-MATCH($H$1,floors!$1:$1,0)+1),MATCH(J$1,floors!$1:$1,0)-MATCH($H$1,floors!$1:$1,0)+1,FALSE)</f>
        <v>60</v>
      </c>
      <c r="K9" s="207">
        <v>4</v>
      </c>
      <c r="L9" s="207">
        <v>3</v>
      </c>
      <c r="M9" s="206">
        <v>1408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爽愛の求魂 グリム・ザ・ダンディ</v>
      </c>
      <c r="O9" s="17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288">
        <v>40</v>
      </c>
      <c r="T9" s="289">
        <v>6.2</v>
      </c>
      <c r="U9" s="99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267592</v>
      </c>
      <c r="V9" s="294">
        <v>1.2</v>
      </c>
      <c r="W9" s="99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3860.3999999999996</v>
      </c>
      <c r="X9" s="288">
        <v>0</v>
      </c>
      <c r="Y9" s="17" t="str">
        <f ca="1">VLOOKUP($Z9,OFFSET(enemy_skill_sets!$B$1,0,0,COUNTA(enemy_skill_sets!$B:$B),MATCH(N$1,enemy_skill_sets!$1:$1,0)-MATCH($Z$1,enemy_skill_sets!$1:$1,0)+2),MATCH(N$1,enemy_skill_sets!$1:$1,0)-MATCH($Z$1,enemy_skill_sets!$1:$1,0)+2,FALSE)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9" s="128">
        <v>47010008</v>
      </c>
      <c r="AA9" s="128">
        <v>1</v>
      </c>
    </row>
    <row r="10" spans="1:27" ht="21" customHeight="1" thickTop="1" x14ac:dyDescent="0.15">
      <c r="A10" s="15" t="str">
        <f t="shared" ref="A10:A11" si="6">B10&amp;"_"&amp;C10&amp;"-"&amp;G10&amp;"/"&amp;M10&amp;"&lt;lv"&amp;S10&amp;"&gt;sq"&amp;K10&amp;"st"&amp;L10</f>
        <v>47010_1-2/1407&lt;lv40&gt;sq5st2</v>
      </c>
      <c r="B10" s="282">
        <v>47010</v>
      </c>
      <c r="C10" s="274">
        <v>1</v>
      </c>
      <c r="D10" s="274" t="str">
        <f t="shared" ref="D10:D11" si="7">B10&amp;"_"&amp;C10</f>
        <v>47010_1</v>
      </c>
      <c r="E10" s="283" t="str">
        <f ca="1">VLOOKUP($B10,OFFSET([2]quests!$A$1,0,0,COUNTA([2]quests!$A:$A),MATCH(E$1,[2]quests!$1:$1,0)-MATCH($B$1,[2]quests!$1:$1,0)+1),MATCH(E$1,[2]quests!$1:$1,0)-MATCH($B$1,[2]quests!$1:$1,0)+1,FALSE)</f>
        <v>僕の愛よあの子にとどけ！</v>
      </c>
      <c r="F10" s="283" t="str">
        <f ca="1">VLOOKUP($D10,OFFSET([2]stages!$A$1,0,0,COUNTA([2]stages!$A:$A),MATCH(F$1,[2]stages!$2:$2,0)-MATCH($D$1,[2]stages!$2:$2,0)+1),MATCH(F$1,[2]stages!$2:$2,0)-MATCH($D$1,[2]stages!$2:$2,0)+1,FALSE)</f>
        <v>【上級】僕の愛よあの子にとどけ！</v>
      </c>
      <c r="G10" s="274">
        <v>2</v>
      </c>
      <c r="H10" s="274" t="str">
        <f t="shared" ref="H10:H11" si="8">B10&amp;"_"&amp;C10&amp;"-"&amp;G10</f>
        <v>47010_1-2</v>
      </c>
      <c r="I10" s="283">
        <f ca="1">VLOOKUP($H10,OFFSET(floors!$A$1,0,0,COUNTA(floors!$A:$A),MATCH(I$1,floors!$1:$1,0)-MATCH($H$1,floors!$1:$1,0)+1),MATCH(I$1,floors!$1:$1,0)-MATCH($H$1,floors!$1:$1,0)+1,FALSE)</f>
        <v>60</v>
      </c>
      <c r="J10" s="283">
        <f ca="1">VLOOKUP($H10,OFFSET(floors!$A$1,0,0,COUNTA(floors!$A:$A),MATCH(J$1,floors!$1:$1,0)-MATCH($H$1,floors!$1:$1,0)+1),MATCH(J$1,floors!$1:$1,0)-MATCH($H$1,floors!$1:$1,0)+1,FALSE)</f>
        <v>60</v>
      </c>
      <c r="K10" s="284">
        <v>5</v>
      </c>
      <c r="L10" s="284">
        <v>2</v>
      </c>
      <c r="M10" s="274">
        <v>1407</v>
      </c>
      <c r="N10" s="16" t="str">
        <f ca="1">VLOOKUP($M10,OFFSET([3]enemies!$A$1,0,0,COUNTA([3]enemies!$A:$A),MATCH(N$1,[3]enemies!$1:$1,0)-MATCH($M$1,[3]enemies!$1:$1,0)+1),MATCH(N$1,[3]enemies!$1:$1,0)-MATCH($M$1,[3]enemies!$1:$1,0)+1,FALSE)</f>
        <v>グリム・ザ・ダンディ</v>
      </c>
      <c r="O10" s="16" t="str">
        <f ca="1">VLOOKUP($M10,OFFSET([3]enemies!$A$1,0,0,COUNTA([3]enemies!$A:$A),MATCH(O$1,[3]enemies!$1:$1,0)-MATCH($M$1,[3]enemies!$1:$1,0)+1),MATCH(O$1,[3]enemies!$1:$1,0)-MATCH($M$1,[3]enemies!$1:$1,0)+1,FALSE)</f>
        <v>yellow</v>
      </c>
      <c r="P10" s="16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6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6">
        <f ca="1">VLOOKUP($M10,OFFSET([3]enemies!$A$1,0,0,COUNTA([3]enemies!$A:$A),MATCH(R$1,[3]enemies!$1:$1,0)-MATCH($M$1,[3]enemies!$1:$1,0)+1),MATCH(R$1,[3]enemies!$1:$1,0)-MATCH($M$1,[3]enemies!$1:$1,0)+1,FALSE)</f>
        <v>60</v>
      </c>
      <c r="S10" s="291">
        <v>40</v>
      </c>
      <c r="T10" s="292">
        <v>8</v>
      </c>
      <c r="U10" s="109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388440</v>
      </c>
      <c r="V10" s="295">
        <v>1</v>
      </c>
      <c r="W10" s="109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3712</v>
      </c>
      <c r="X10" s="291">
        <v>0</v>
      </c>
      <c r="Y10" s="4" t="str">
        <f ca="1">VLOOKUP($Z10,OFFSET(enemy_skill_sets!$B$1,0,0,COUNTA(enemy_skill_sets!$B:$B),MATCH(N$1,enemy_skill_sets!$1:$1,0)-MATCH($Z$1,enemy_skill_sets!$1:$1,0)+2),MATCH(N$1,enemy_skill_sets!$1:$1,0)-MATCH($Z$1,enemy_skill_sets!$1:$1,0)+2,FALSE)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10" s="210">
        <v>47010016</v>
      </c>
      <c r="AA10" s="273">
        <v>1</v>
      </c>
    </row>
    <row r="11" spans="1:27" ht="21" customHeight="1" thickBot="1" x14ac:dyDescent="0.2">
      <c r="A11" s="110" t="str">
        <f t="shared" si="6"/>
        <v>47010_1-2/1408&lt;lv40&gt;sq5st3</v>
      </c>
      <c r="B11" s="285">
        <v>47010</v>
      </c>
      <c r="C11" s="275">
        <v>1</v>
      </c>
      <c r="D11" s="275" t="str">
        <f t="shared" si="7"/>
        <v>47010_1</v>
      </c>
      <c r="E11" s="286" t="str">
        <f ca="1">VLOOKUP($B11,OFFSET([2]quests!$A$1,0,0,COUNTA([2]quests!$A:$A),MATCH(E$1,[2]quests!$1:$1,0)-MATCH($B$1,[2]quests!$1:$1,0)+1),MATCH(E$1,[2]quests!$1:$1,0)-MATCH($B$1,[2]quests!$1:$1,0)+1,FALSE)</f>
        <v>僕の愛よあの子にとどけ！</v>
      </c>
      <c r="F11" s="286" t="str">
        <f ca="1">VLOOKUP($D11,OFFSET([2]stages!$A$1,0,0,COUNTA([2]stages!$A:$A),MATCH(F$1,[2]stages!$2:$2,0)-MATCH($D$1,[2]stages!$2:$2,0)+1),MATCH(F$1,[2]stages!$2:$2,0)-MATCH($D$1,[2]stages!$2:$2,0)+1,FALSE)</f>
        <v>【上級】僕の愛よあの子にとどけ！</v>
      </c>
      <c r="G11" s="275">
        <v>2</v>
      </c>
      <c r="H11" s="275" t="str">
        <f t="shared" si="8"/>
        <v>47010_1-2</v>
      </c>
      <c r="I11" s="286">
        <f ca="1">VLOOKUP($H11,OFFSET(floors!$A$1,0,0,COUNTA(floors!$A:$A),MATCH(I$1,floors!$1:$1,0)-MATCH($H$1,floors!$1:$1,0)+1),MATCH(I$1,floors!$1:$1,0)-MATCH($H$1,floors!$1:$1,0)+1,FALSE)</f>
        <v>60</v>
      </c>
      <c r="J11" s="286">
        <f ca="1">VLOOKUP($H11,OFFSET(floors!$A$1,0,0,COUNTA(floors!$A:$A),MATCH(J$1,floors!$1:$1,0)-MATCH($H$1,floors!$1:$1,0)+1),MATCH(J$1,floors!$1:$1,0)-MATCH($H$1,floors!$1:$1,0)+1,FALSE)</f>
        <v>60</v>
      </c>
      <c r="K11" s="287">
        <v>5</v>
      </c>
      <c r="L11" s="287">
        <v>3</v>
      </c>
      <c r="M11" s="275">
        <v>1408</v>
      </c>
      <c r="N11" s="113" t="str">
        <f ca="1">VLOOKUP($M11,OFFSET([3]enemies!$A$1,0,0,COUNTA([3]enemies!$A:$A),MATCH(N$1,[3]enemies!$1:$1,0)-MATCH($M$1,[3]enemies!$1:$1,0)+1),MATCH(N$1,[3]enemies!$1:$1,0)-MATCH($M$1,[3]enemies!$1:$1,0)+1,FALSE)</f>
        <v>爽愛の求魂 グリム・ザ・ダンディ</v>
      </c>
      <c r="O11" s="113" t="str">
        <f ca="1">VLOOKUP($M11,OFFSET([3]enemies!$A$1,0,0,COUNTA([3]enemies!$A:$A),MATCH(O$1,[3]enemies!$1:$1,0)-MATCH($M$1,[3]enemies!$1:$1,0)+1),MATCH(O$1,[3]enemies!$1:$1,0)-MATCH($M$1,[3]enemies!$1:$1,0)+1,FALSE)</f>
        <v>yellow</v>
      </c>
      <c r="P11" s="113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13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13">
        <f ca="1">VLOOKUP($M11,OFFSET([3]enemies!$A$1,0,0,COUNTA([3]enemies!$A:$A),MATCH(R$1,[3]enemies!$1:$1,0)-MATCH($M$1,[3]enemies!$1:$1,0)+1),MATCH(R$1,[3]enemies!$1:$1,0)-MATCH($M$1,[3]enemies!$1:$1,0)+1,FALSE)</f>
        <v>60</v>
      </c>
      <c r="S11" s="293">
        <v>40</v>
      </c>
      <c r="T11" s="290">
        <v>6.2</v>
      </c>
      <c r="U11" s="114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267592</v>
      </c>
      <c r="V11" s="296">
        <v>1.2</v>
      </c>
      <c r="W11" s="114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3860.3999999999996</v>
      </c>
      <c r="X11" s="293">
        <v>0</v>
      </c>
      <c r="Y11" s="112" t="str">
        <f ca="1">VLOOKUP($Z11,OFFSET(enemy_skill_sets!$B$1,0,0,COUNTA(enemy_skill_sets!$B:$B),MATCH(N$1,enemy_skill_sets!$1:$1,0)-MATCH($Z$1,enemy_skill_sets!$1:$1,0)+2),MATCH(N$1,enemy_skill_sets!$1:$1,0)-MATCH($Z$1,enemy_skill_sets!$1:$1,0)+2,FALSE)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11" s="298">
        <v>47010008</v>
      </c>
      <c r="AA11" s="115">
        <v>1</v>
      </c>
    </row>
    <row r="12" spans="1:27" ht="21" customHeight="1" thickTop="1" x14ac:dyDescent="0.15">
      <c r="A12" s="15" t="str">
        <f>B12&amp;"_"&amp;C12&amp;"-"&amp;G12&amp;"/"&amp;M12&amp;"&lt;lv"&amp;S12&amp;"&gt;sq"&amp;K12&amp;"st"&amp;L12</f>
        <v>47010_2-1/491&lt;lv80&gt;sq6st2</v>
      </c>
      <c r="B12" s="267">
        <v>47010</v>
      </c>
      <c r="C12" s="231">
        <v>2</v>
      </c>
      <c r="D12" s="231" t="str">
        <f>B12&amp;"_"&amp;C12</f>
        <v>47010_2</v>
      </c>
      <c r="E12" s="103" t="str">
        <f ca="1">VLOOKUP($B12,OFFSET([2]quests!$A$1,0,0,COUNTA([2]quests!$A:$A),MATCH(E$1,[2]quests!$1:$1,0)-MATCH($B$1,[2]quests!$1:$1,0)+1),MATCH(E$1,[2]quests!$1:$1,0)-MATCH($B$1,[2]quests!$1:$1,0)+1,FALSE)</f>
        <v>僕の愛よあの子にとどけ！</v>
      </c>
      <c r="F12" s="103" t="str">
        <f ca="1">VLOOKUP($D12,OFFSET([2]stages!$A$1,0,0,COUNTA([2]stages!$A:$A),MATCH(F$1,[2]stages!$2:$2,0)-MATCH($D$1,[2]stages!$2:$2,0)+1),MATCH(F$1,[2]stages!$2:$2,0)-MATCH($D$1,[2]stages!$2:$2,0)+1,FALSE)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2" s="231">
        <v>1</v>
      </c>
      <c r="H12" s="268" t="str">
        <f>B12&amp;"_"&amp;C12&amp;"-"&amp;G12</f>
        <v>47010_2-1</v>
      </c>
      <c r="I12" s="103">
        <f ca="1">VLOOKUP($H12,OFFSET(floors!$A$1,0,0,COUNTA(floors!$A:$A),MATCH(I$1,floors!$1:$1,0)-MATCH($H$1,floors!$1:$1,0)+1),MATCH(I$1,floors!$1:$1,0)-MATCH($H$1,floors!$1:$1,0)+1,FALSE)</f>
        <v>60</v>
      </c>
      <c r="J12" s="103">
        <f ca="1">VLOOKUP($H12,OFFSET(floors!$A$1,0,0,COUNTA(floors!$A:$A),MATCH(J$1,floors!$1:$1,0)-MATCH($H$1,floors!$1:$1,0)+1),MATCH(J$1,floors!$1:$1,0)-MATCH($H$1,floors!$1:$1,0)+1,FALSE)</f>
        <v>60</v>
      </c>
      <c r="K12" s="269">
        <v>6</v>
      </c>
      <c r="L12" s="269">
        <v>2</v>
      </c>
      <c r="M12" s="231">
        <v>491</v>
      </c>
      <c r="N12" s="16" t="str">
        <f ca="1">VLOOKUP($M12,OFFSET([3]enemies!$A$1,0,0,COUNTA([3]enemies!$A:$A),MATCH(N$1,[3]enemies!$1:$1,0)-MATCH($M$1,[3]enemies!$1:$1,0)+1),MATCH(N$1,[3]enemies!$1:$1,0)-MATCH($M$1,[3]enemies!$1:$1,0)+1,FALSE)</f>
        <v>収魂の群影 グリム</v>
      </c>
      <c r="O12" s="16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6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6" t="str">
        <f ca="1">VLOOKUP($M12,OFFSET([3]enemies!$A$1,0,0,COUNTA([3]enemies!$A:$A),MATCH(Q$1,[3]enemies!$1:$1,0)-MATCH($M$1,[3]enemies!$1:$1,0)+1),MATCH(Q$1,[3]enemies!$1:$1,0)-MATCH($M$1,[3]enemies!$1:$1,0)+1,FALSE)</f>
        <v>human</v>
      </c>
      <c r="R12" s="16">
        <f ca="1">VLOOKUP($M12,OFFSET([3]enemies!$A$1,0,0,COUNTA([3]enemies!$A:$A),MATCH(R$1,[3]enemies!$1:$1,0)-MATCH($M$1,[3]enemies!$1:$1,0)+1),MATCH(R$1,[3]enemies!$1:$1,0)-MATCH($M$1,[3]enemies!$1:$1,0)+1,FALSE)</f>
        <v>60</v>
      </c>
      <c r="S12" s="232">
        <v>80</v>
      </c>
      <c r="T12" s="233">
        <v>1</v>
      </c>
      <c r="U12" s="99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132842</v>
      </c>
      <c r="V12" s="233">
        <v>1</v>
      </c>
      <c r="W12" s="99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8635</v>
      </c>
      <c r="X12" s="5">
        <v>0</v>
      </c>
      <c r="Y12" s="4" t="str">
        <f ca="1">VLOOKUP($Z12,OFFSET(enemy_skill_sets!$B$1,0,0,COUNTA(enemy_skill_sets!$B:$B),MATCH(N$1,enemy_skill_sets!$1:$1,0)-MATCH($Z$1,enemy_skill_sets!$1:$1,0)+2),MATCH(N$1,enemy_skill_sets!$1:$1,0)-MATCH($Z$1,enemy_skill_sets!$1:$1,0)+2,FALSE)</f>
        <v>（表示しない）</v>
      </c>
      <c r="Z12" s="103">
        <v>47010002</v>
      </c>
      <c r="AA12" s="102">
        <v>1</v>
      </c>
    </row>
    <row r="13" spans="1:27" ht="21" customHeight="1" x14ac:dyDescent="0.15">
      <c r="A13" s="15" t="str">
        <f t="shared" ref="A13:A15" si="9">B13&amp;"_"&amp;C13&amp;"-"&amp;G13&amp;"/"&amp;M13&amp;"&lt;lv"&amp;S13&amp;"&gt;sq"&amp;K13&amp;"st"&amp;L13</f>
        <v>47010_2-1/1407&lt;lv80&gt;sq6st3</v>
      </c>
      <c r="B13" s="267">
        <v>47010</v>
      </c>
      <c r="C13" s="231">
        <v>2</v>
      </c>
      <c r="D13" s="231" t="str">
        <f t="shared" ref="D13:D15" si="10">B13&amp;"_"&amp;C13</f>
        <v>47010_2</v>
      </c>
      <c r="E13" s="103" t="str">
        <f ca="1">VLOOKUP($B13,OFFSET([2]quests!$A$1,0,0,COUNTA([2]quests!$A:$A),MATCH(E$1,[2]quests!$1:$1,0)-MATCH($B$1,[2]quests!$1:$1,0)+1),MATCH(E$1,[2]quests!$1:$1,0)-MATCH($B$1,[2]quests!$1:$1,0)+1,FALSE)</f>
        <v>僕の愛よあの子にとどけ！</v>
      </c>
      <c r="F13" s="103" t="str">
        <f ca="1">VLOOKUP($D13,OFFSET([2]stages!$A$1,0,0,COUNTA([2]stages!$A:$A),MATCH(F$1,[2]stages!$2:$2,0)-MATCH($D$1,[2]stages!$2:$2,0)+1),MATCH(F$1,[2]stages!$2:$2,0)-MATCH($D$1,[2]stages!$2:$2,0)+1,FALSE)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3" s="231">
        <v>1</v>
      </c>
      <c r="H13" s="268" t="str">
        <f t="shared" ref="H13:H15" si="11">B13&amp;"_"&amp;C13&amp;"-"&amp;G13</f>
        <v>47010_2-1</v>
      </c>
      <c r="I13" s="103">
        <f ca="1">VLOOKUP($H13,OFFSET(floors!$A$1,0,0,COUNTA(floors!$A:$A),MATCH(I$1,floors!$1:$1,0)-MATCH($H$1,floors!$1:$1,0)+1),MATCH(I$1,floors!$1:$1,0)-MATCH($H$1,floors!$1:$1,0)+1,FALSE)</f>
        <v>60</v>
      </c>
      <c r="J13" s="103">
        <f ca="1">VLOOKUP($H13,OFFSET(floors!$A$1,0,0,COUNTA(floors!$A:$A),MATCH(J$1,floors!$1:$1,0)-MATCH($H$1,floors!$1:$1,0)+1),MATCH(J$1,floors!$1:$1,0)-MATCH($H$1,floors!$1:$1,0)+1,FALSE)</f>
        <v>60</v>
      </c>
      <c r="K13" s="269">
        <v>6</v>
      </c>
      <c r="L13" s="269">
        <v>3</v>
      </c>
      <c r="M13" s="231">
        <v>1407</v>
      </c>
      <c r="N13" s="16" t="str">
        <f ca="1">VLOOKUP($M13,OFFSET([3]enemies!$A$1,0,0,COUNTA([3]enemies!$A:$A),MATCH(N$1,[3]enemies!$1:$1,0)-MATCH($M$1,[3]enemies!$1:$1,0)+1),MATCH(N$1,[3]enemies!$1:$1,0)-MATCH($M$1,[3]enemies!$1:$1,0)+1,FALSE)</f>
        <v>グリム・ザ・ダンディ</v>
      </c>
      <c r="O13" s="16" t="str">
        <f ca="1">VLOOKUP($M13,OFFSET([3]enemies!$A$1,0,0,COUNTA([3]enemies!$A:$A),MATCH(O$1,[3]enemies!$1:$1,0)-MATCH($M$1,[3]enemies!$1:$1,0)+1),MATCH(O$1,[3]enemies!$1:$1,0)-MATCH($M$1,[3]enemies!$1:$1,0)+1,FALSE)</f>
        <v>yellow</v>
      </c>
      <c r="P13" s="16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6" t="str">
        <f ca="1">VLOOKUP($M13,OFFSET([3]enemies!$A$1,0,0,COUNTA([3]enemies!$A:$A),MATCH(Q$1,[3]enemies!$1:$1,0)-MATCH($M$1,[3]enemies!$1:$1,0)+1),MATCH(Q$1,[3]enemies!$1:$1,0)-MATCH($M$1,[3]enemies!$1:$1,0)+1,FALSE)</f>
        <v>human</v>
      </c>
      <c r="R13" s="16">
        <f ca="1">VLOOKUP($M13,OFFSET([3]enemies!$A$1,0,0,COUNTA([3]enemies!$A:$A),MATCH(R$1,[3]enemies!$1:$1,0)-MATCH($M$1,[3]enemies!$1:$1,0)+1),MATCH(R$1,[3]enemies!$1:$1,0)-MATCH($M$1,[3]enemies!$1:$1,0)+1,FALSE)</f>
        <v>60</v>
      </c>
      <c r="S13" s="232">
        <v>80</v>
      </c>
      <c r="T13" s="272">
        <v>1</v>
      </c>
      <c r="U13" s="99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95355</v>
      </c>
      <c r="V13" s="272">
        <v>1</v>
      </c>
      <c r="W13" s="99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7289</v>
      </c>
      <c r="X13" s="5">
        <v>0</v>
      </c>
      <c r="Y13" s="4" t="str">
        <f ca="1">VLOOKUP($Z13,OFFSET(enemy_skill_sets!$B$1,0,0,COUNTA(enemy_skill_sets!$B:$B),MATCH(N$1,enemy_skill_sets!$1:$1,0)-MATCH($Z$1,enemy_skill_sets!$1:$1,0)+2),MATCH(N$1,enemy_skill_sets!$1:$1,0)-MATCH($Z$1,enemy_skill_sets!$1:$1,0)+2,FALSE)</f>
        <v>マシロを連れて去っていく！</v>
      </c>
      <c r="Z13" s="103">
        <v>47010003</v>
      </c>
      <c r="AA13" s="102">
        <v>1</v>
      </c>
    </row>
    <row r="14" spans="1:27" ht="21" customHeight="1" x14ac:dyDescent="0.15">
      <c r="A14" s="15" t="str">
        <f t="shared" si="9"/>
        <v>47010_2-2/1407&lt;lv80&gt;sq7st2</v>
      </c>
      <c r="B14" s="208">
        <v>47010</v>
      </c>
      <c r="C14" s="209">
        <v>2</v>
      </c>
      <c r="D14" s="209" t="str">
        <f t="shared" si="10"/>
        <v>47010_2</v>
      </c>
      <c r="E14" s="210" t="str">
        <f ca="1">VLOOKUP($B14,OFFSET([2]quests!$A$1,0,0,COUNTA([2]quests!$A:$A),MATCH(E$1,[2]quests!$1:$1,0)-MATCH($B$1,[2]quests!$1:$1,0)+1),MATCH(E$1,[2]quests!$1:$1,0)-MATCH($B$1,[2]quests!$1:$1,0)+1,FALSE)</f>
        <v>僕の愛よあの子にとどけ！</v>
      </c>
      <c r="F14" s="210" t="str">
        <f ca="1">VLOOKUP($D14,OFFSET([2]stages!$A$1,0,0,COUNTA([2]stages!$A:$A),MATCH(F$1,[2]stages!$2:$2,0)-MATCH($D$1,[2]stages!$2:$2,0)+1),MATCH(F$1,[2]stages!$2:$2,0)-MATCH($D$1,[2]stages!$2:$2,0)+1,FALSE)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4" s="209">
        <v>2</v>
      </c>
      <c r="H14" s="209" t="str">
        <f t="shared" si="11"/>
        <v>47010_2-2</v>
      </c>
      <c r="I14" s="210">
        <f ca="1">VLOOKUP($H14,OFFSET(floors!$A$1,0,0,COUNTA(floors!$A:$A),MATCH(I$1,floors!$1:$1,0)-MATCH($H$1,floors!$1:$1,0)+1),MATCH(I$1,floors!$1:$1,0)-MATCH($H$1,floors!$1:$1,0)+1,FALSE)</f>
        <v>60</v>
      </c>
      <c r="J14" s="210">
        <f ca="1">VLOOKUP($H14,OFFSET(floors!$A$1,0,0,COUNTA(floors!$A:$A),MATCH(J$1,floors!$1:$1,0)-MATCH($H$1,floors!$1:$1,0)+1),MATCH(J$1,floors!$1:$1,0)-MATCH($H$1,floors!$1:$1,0)+1,FALSE)</f>
        <v>60</v>
      </c>
      <c r="K14" s="211">
        <v>7</v>
      </c>
      <c r="L14" s="211">
        <v>2</v>
      </c>
      <c r="M14" s="205">
        <v>1407</v>
      </c>
      <c r="N14" s="121" t="str">
        <f ca="1">VLOOKUP($M14,OFFSET([3]enemies!$A$1,0,0,COUNTA([3]enemies!$A:$A),MATCH(N$1,[3]enemies!$1:$1,0)-MATCH($M$1,[3]enemies!$1:$1,0)+1),MATCH(N$1,[3]enemies!$1:$1,0)-MATCH($M$1,[3]enemies!$1:$1,0)+1,FALSE)</f>
        <v>グリム・ザ・ダンディ</v>
      </c>
      <c r="O14" s="121" t="str">
        <f ca="1">VLOOKUP($M14,OFFSET([3]enemies!$A$1,0,0,COUNTA([3]enemies!$A:$A),MATCH(O$1,[3]enemies!$1:$1,0)-MATCH($M$1,[3]enemies!$1:$1,0)+1),MATCH(O$1,[3]enemies!$1:$1,0)-MATCH($M$1,[3]enemies!$1:$1,0)+1,FALSE)</f>
        <v>yellow</v>
      </c>
      <c r="P14" s="121" t="str">
        <f ca="1">VLOOKUP($M14,OFFSET([4]characters!$A$1,0,0,COUNTA([4]characters!$A:$A),MATCH(P$1,[4]characters!$1:$1,0)-MATCH($M$1,[4]characters!$1:$1,0)+1),MATCH(P$1,[4]characters!$1:$1,0)-MATCH($M$1,[4]characters!$1:$1,0)+1,FALSE)</f>
        <v>DropWizS</v>
      </c>
      <c r="Q14" s="121" t="str">
        <f ca="1">VLOOKUP($M14,OFFSET([3]enemies!$A$1,0,0,COUNTA([3]enemies!$A:$A),MATCH(Q$1,[3]enemies!$1:$1,0)-MATCH($M$1,[3]enemies!$1:$1,0)+1),MATCH(Q$1,[3]enemies!$1:$1,0)-MATCH($M$1,[3]enemies!$1:$1,0)+1,FALSE)</f>
        <v>human</v>
      </c>
      <c r="R14" s="121">
        <f ca="1">VLOOKUP($M14,OFFSET([3]enemies!$A$1,0,0,COUNTA([3]enemies!$A:$A),MATCH(R$1,[3]enemies!$1:$1,0)-MATCH($M$1,[3]enemies!$1:$1,0)+1),MATCH(R$1,[3]enemies!$1:$1,0)-MATCH($M$1,[3]enemies!$1:$1,0)+1,FALSE)</f>
        <v>60</v>
      </c>
      <c r="S14" s="214">
        <v>80</v>
      </c>
      <c r="T14" s="213">
        <v>8</v>
      </c>
      <c r="U14" s="123">
        <f ca="1">ROUND(VLOOKUP(S14,[3]enemy_base_stats!$A:$F,2,FALSE) *INDIRECT("[EnemyMasterData.xlsm]enemies!Y"&amp;(M14+1))*  INDIRECT("[EnemyMasterData.xlsm]enemies!J"&amp;(M14+1))* INDIRECT("[EnemyMasterData.xlsm]enemies!O"&amp;(M14+1))* INDIRECT("[EnemyMasterData.xlsm]enemies!E"&amp;(M14+1))* INDIRECT("[EnemyMasterData.xlsm]enemies!S"&amp;(M14+1))* INDIRECT("[EnemyMasterData.xlsm]enemies!AD"&amp;(M14+1))*[4]ステータス!$B$2,0)*T14</f>
        <v>762840</v>
      </c>
      <c r="V14" s="213">
        <v>1</v>
      </c>
      <c r="W14" s="123">
        <f ca="1">ROUND(VLOOKUP(S14,[3]enemy_base_stats!$A:$F,3,FALSE) *INDIRECT("[EnemyMasterData.xlsm]enemies!Z"&amp;(M14+1))*  INDIRECT("[EnemyMasterData.xlsm]enemies!K"&amp;(M14+1))* INDIRECT("[EnemyMasterData.xlsm]enemies!P"&amp;(M14+1))* INDIRECT("[EnemyMasterData.xlsm]enemies!F"&amp;(M14+1))* INDIRECT("[EnemyMasterData.xlsm]enemies!T"&amp;(M14+1))* INDIRECT("[EnemyMasterData.xlsm]enemies!AE"&amp;(M14+1))*[4]ステータス!$C$2,0)*V14</f>
        <v>7289</v>
      </c>
      <c r="X14" s="214">
        <v>0</v>
      </c>
      <c r="Y14" s="119" t="str">
        <f ca="1">VLOOKUP($Z14,OFFSET(enemy_skill_sets!$B$1,0,0,COUNTA(enemy_skill_sets!$B:$B),MATCH(N$1,enemy_skill_sets!$1:$1,0)-MATCH($Z$1,enemy_skill_sets!$1:$1,0)+2),MATCH(N$1,enemy_skill_sets!$1:$1,0)-MATCH($Z$1,enemy_skill_sets!$1:$1,0)+2,FALSE)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14" s="210">
        <v>47010005</v>
      </c>
      <c r="AA14" s="124">
        <v>1</v>
      </c>
    </row>
    <row r="15" spans="1:27" ht="21" customHeight="1" thickBot="1" x14ac:dyDescent="0.2">
      <c r="A15" s="110" t="str">
        <f t="shared" si="9"/>
        <v>47010_2-2/1408&lt;lv80&gt;sq7st3</v>
      </c>
      <c r="B15" s="221">
        <v>47010</v>
      </c>
      <c r="C15" s="206">
        <v>2</v>
      </c>
      <c r="D15" s="206" t="str">
        <f t="shared" si="10"/>
        <v>47010_2</v>
      </c>
      <c r="E15" s="222" t="str">
        <f ca="1">VLOOKUP($B15,OFFSET([2]quests!$A$1,0,0,COUNTA([2]quests!$A:$A),MATCH(E$1,[2]quests!$1:$1,0)-MATCH($B$1,[2]quests!$1:$1,0)+1),MATCH(E$1,[2]quests!$1:$1,0)-MATCH($B$1,[2]quests!$1:$1,0)+1,FALSE)</f>
        <v>僕の愛よあの子にとどけ！</v>
      </c>
      <c r="F15" s="222" t="str">
        <f ca="1">VLOOKUP($D15,OFFSET([2]stages!$A$1,0,0,COUNTA([2]stages!$A:$A),MATCH(F$1,[2]stages!$2:$2,0)-MATCH($D$1,[2]stages!$2:$2,0)+1),MATCH(F$1,[2]stages!$2:$2,0)-MATCH($D$1,[2]stages!$2:$2,0)+1,FALSE)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5" s="206">
        <v>2</v>
      </c>
      <c r="H15" s="206" t="str">
        <f t="shared" si="11"/>
        <v>47010_2-2</v>
      </c>
      <c r="I15" s="222">
        <f ca="1">VLOOKUP($H15,OFFSET(floors!$A$1,0,0,COUNTA(floors!$A:$A),MATCH(I$1,floors!$1:$1,0)-MATCH($H$1,floors!$1:$1,0)+1),MATCH(I$1,floors!$1:$1,0)-MATCH($H$1,floors!$1:$1,0)+1,FALSE)</f>
        <v>60</v>
      </c>
      <c r="J15" s="222">
        <f ca="1">VLOOKUP($H15,OFFSET(floors!$A$1,0,0,COUNTA(floors!$A:$A),MATCH(J$1,floors!$1:$1,0)-MATCH($H$1,floors!$1:$1,0)+1),MATCH(J$1,floors!$1:$1,0)-MATCH($H$1,floors!$1:$1,0)+1,FALSE)</f>
        <v>60</v>
      </c>
      <c r="K15" s="207">
        <v>7</v>
      </c>
      <c r="L15" s="207">
        <v>3</v>
      </c>
      <c r="M15" s="206">
        <v>1408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爽愛の求魂 グリム・ザ・ダンディ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yellow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DropWizS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human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288">
        <v>80</v>
      </c>
      <c r="T15" s="294">
        <v>10.1</v>
      </c>
      <c r="U15" s="99">
        <f ca="1">ROUND(VLOOKUP(S15,[3]enemy_base_stats!$A:$F,2,FALSE) *INDIRECT("[EnemyMasterData.xlsm]enemies!Y"&amp;(M15+1))*  INDIRECT("[EnemyMasterData.xlsm]enemies!J"&amp;(M15+1))* INDIRECT("[EnemyMasterData.xlsm]enemies!O"&amp;(M15+1))* INDIRECT("[EnemyMasterData.xlsm]enemies!E"&amp;(M15+1))* INDIRECT("[EnemyMasterData.xlsm]enemies!S"&amp;(M15+1))* INDIRECT("[EnemyMasterData.xlsm]enemies!AD"&amp;(M15+1))*[4]ステータス!$B$2,0)*T15</f>
        <v>856076</v>
      </c>
      <c r="V15" s="294">
        <v>1.2</v>
      </c>
      <c r="W15" s="99">
        <f ca="1">ROUND(VLOOKUP(S15,[3]enemy_base_stats!$A:$F,3,FALSE) *INDIRECT("[EnemyMasterData.xlsm]enemies!Z"&amp;(M15+1))*  INDIRECT("[EnemyMasterData.xlsm]enemies!K"&amp;(M15+1))* INDIRECT("[EnemyMasterData.xlsm]enemies!P"&amp;(M15+1))* INDIRECT("[EnemyMasterData.xlsm]enemies!F"&amp;(M15+1))* INDIRECT("[EnemyMasterData.xlsm]enemies!T"&amp;(M15+1))* INDIRECT("[EnemyMasterData.xlsm]enemies!AE"&amp;(M15+1))*[4]ステータス!$C$2,0)*V15</f>
        <v>7580.4</v>
      </c>
      <c r="X15" s="288">
        <v>0</v>
      </c>
      <c r="Y15" s="17" t="str">
        <f ca="1">VLOOKUP($Z15,OFFSET(enemy_skill_sets!$B$1,0,0,COUNTA(enemy_skill_sets!$B:$B),MATCH(N$1,enemy_skill_sets!$1:$1,0)-MATCH($Z$1,enemy_skill_sets!$1:$1,0)+2),MATCH(N$1,enemy_skill_sets!$1:$1,0)-MATCH($Z$1,enemy_skill_sets!$1:$1,0)+2,FALSE)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15" s="128">
        <v>47010006</v>
      </c>
      <c r="AA15" s="128">
        <v>1</v>
      </c>
    </row>
    <row r="16" spans="1:27" ht="21" customHeight="1" thickTop="1" x14ac:dyDescent="0.15">
      <c r="A16" s="15" t="str">
        <f t="shared" ref="A16:A19" si="12">B16&amp;"_"&amp;C16&amp;"-"&amp;G16&amp;"/"&amp;M16&amp;"&lt;lv"&amp;S16&amp;"&gt;sq"&amp;K16&amp;"st"&amp;L16</f>
        <v>47010_2-2/1407&lt;lv80&gt;sq8st2</v>
      </c>
      <c r="B16" s="276">
        <v>47010</v>
      </c>
      <c r="C16" s="277">
        <v>2</v>
      </c>
      <c r="D16" s="277" t="str">
        <f t="shared" ref="D16:D19" si="13">B16&amp;"_"&amp;C16</f>
        <v>47010_2</v>
      </c>
      <c r="E16" s="278" t="str">
        <f ca="1">VLOOKUP($B16,OFFSET([2]quests!$A$1,0,0,COUNTA([2]quests!$A:$A),MATCH(E$1,[2]quests!$1:$1,0)-MATCH($B$1,[2]quests!$1:$1,0)+1),MATCH(E$1,[2]quests!$1:$1,0)-MATCH($B$1,[2]quests!$1:$1,0)+1,FALSE)</f>
        <v>僕の愛よあの子にとどけ！</v>
      </c>
      <c r="F16" s="278" t="str">
        <f ca="1">VLOOKUP($D16,OFFSET([2]stages!$A$1,0,0,COUNTA([2]stages!$A:$A),MATCH(F$1,[2]stages!$2:$2,0)-MATCH($D$1,[2]stages!$2:$2,0)+1),MATCH(F$1,[2]stages!$2:$2,0)-MATCH($D$1,[2]stages!$2:$2,0)+1,FALSE)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6" s="277">
        <v>2</v>
      </c>
      <c r="H16" s="277" t="str">
        <f t="shared" ref="H16:H19" si="14">B16&amp;"_"&amp;C16&amp;"-"&amp;G16</f>
        <v>47010_2-2</v>
      </c>
      <c r="I16" s="278">
        <f ca="1">VLOOKUP($H16,OFFSET(floors!$A$1,0,0,COUNTA(floors!$A:$A),MATCH(I$1,floors!$1:$1,0)-MATCH($H$1,floors!$1:$1,0)+1),MATCH(I$1,floors!$1:$1,0)-MATCH($H$1,floors!$1:$1,0)+1,FALSE)</f>
        <v>60</v>
      </c>
      <c r="J16" s="278">
        <f ca="1">VLOOKUP($H16,OFFSET(floors!$A$1,0,0,COUNTA(floors!$A:$A),MATCH(J$1,floors!$1:$1,0)-MATCH($H$1,floors!$1:$1,0)+1),MATCH(J$1,floors!$1:$1,0)-MATCH($H$1,floors!$1:$1,0)+1,FALSE)</f>
        <v>60</v>
      </c>
      <c r="K16" s="279">
        <v>8</v>
      </c>
      <c r="L16" s="279">
        <v>2</v>
      </c>
      <c r="M16" s="297">
        <v>1407</v>
      </c>
      <c r="N16" s="121" t="str">
        <f ca="1">VLOOKUP($M16,OFFSET([3]enemies!$A$1,0,0,COUNTA([3]enemies!$A:$A),MATCH(N$1,[3]enemies!$1:$1,0)-MATCH($M$1,[3]enemies!$1:$1,0)+1),MATCH(N$1,[3]enemies!$1:$1,0)-MATCH($M$1,[3]enemies!$1:$1,0)+1,FALSE)</f>
        <v>グリム・ザ・ダンディ</v>
      </c>
      <c r="O16" s="121" t="str">
        <f ca="1">VLOOKUP($M16,OFFSET([3]enemies!$A$1,0,0,COUNTA([3]enemies!$A:$A),MATCH(O$1,[3]enemies!$1:$1,0)-MATCH($M$1,[3]enemies!$1:$1,0)+1),MATCH(O$1,[3]enemies!$1:$1,0)-MATCH($M$1,[3]enemies!$1:$1,0)+1,FALSE)</f>
        <v>yellow</v>
      </c>
      <c r="P16" s="121" t="str">
        <f ca="1">VLOOKUP($M16,OFFSET([4]characters!$A$1,0,0,COUNTA([4]characters!$A:$A),MATCH(P$1,[4]characters!$1:$1,0)-MATCH($M$1,[4]characters!$1:$1,0)+1),MATCH(P$1,[4]characters!$1:$1,0)-MATCH($M$1,[4]characters!$1:$1,0)+1,FALSE)</f>
        <v>DropWizS</v>
      </c>
      <c r="Q16" s="121" t="str">
        <f ca="1">VLOOKUP($M16,OFFSET([3]enemies!$A$1,0,0,COUNTA([3]enemies!$A:$A),MATCH(Q$1,[3]enemies!$1:$1,0)-MATCH($M$1,[3]enemies!$1:$1,0)+1),MATCH(Q$1,[3]enemies!$1:$1,0)-MATCH($M$1,[3]enemies!$1:$1,0)+1,FALSE)</f>
        <v>human</v>
      </c>
      <c r="R16" s="121">
        <f ca="1">VLOOKUP($M16,OFFSET([3]enemies!$A$1,0,0,COUNTA([3]enemies!$A:$A),MATCH(R$1,[3]enemies!$1:$1,0)-MATCH($M$1,[3]enemies!$1:$1,0)+1),MATCH(R$1,[3]enemies!$1:$1,0)-MATCH($M$1,[3]enemies!$1:$1,0)+1,FALSE)</f>
        <v>60</v>
      </c>
      <c r="S16" s="228">
        <v>80</v>
      </c>
      <c r="T16" s="227">
        <v>8</v>
      </c>
      <c r="U16" s="123">
        <f ca="1">ROUND(VLOOKUP(S16,[3]enemy_base_stats!$A:$F,2,FALSE) *INDIRECT("[EnemyMasterData.xlsm]enemies!Y"&amp;(M16+1))*  INDIRECT("[EnemyMasterData.xlsm]enemies!J"&amp;(M16+1))* INDIRECT("[EnemyMasterData.xlsm]enemies!O"&amp;(M16+1))* INDIRECT("[EnemyMasterData.xlsm]enemies!E"&amp;(M16+1))* INDIRECT("[EnemyMasterData.xlsm]enemies!S"&amp;(M16+1))* INDIRECT("[EnemyMasterData.xlsm]enemies!AD"&amp;(M16+1))*[4]ステータス!$B$2,0)*T16</f>
        <v>762840</v>
      </c>
      <c r="V16" s="227">
        <v>1</v>
      </c>
      <c r="W16" s="123">
        <f ca="1">ROUND(VLOOKUP(S16,[3]enemy_base_stats!$A:$F,3,FALSE) *INDIRECT("[EnemyMasterData.xlsm]enemies!Z"&amp;(M16+1))*  INDIRECT("[EnemyMasterData.xlsm]enemies!K"&amp;(M16+1))* INDIRECT("[EnemyMasterData.xlsm]enemies!P"&amp;(M16+1))* INDIRECT("[EnemyMasterData.xlsm]enemies!F"&amp;(M16+1))* INDIRECT("[EnemyMasterData.xlsm]enemies!T"&amp;(M16+1))* INDIRECT("[EnemyMasterData.xlsm]enemies!AE"&amp;(M16+1))*[4]ステータス!$C$2,0)*V16</f>
        <v>7289</v>
      </c>
      <c r="X16" s="228">
        <v>0</v>
      </c>
      <c r="Y16" s="119" t="str">
        <f ca="1">VLOOKUP($Z16,OFFSET(enemy_skill_sets!$B$1,0,0,COUNTA(enemy_skill_sets!$B:$B),MATCH(N$1,enemy_skill_sets!$1:$1,0)-MATCH($Z$1,enemy_skill_sets!$1:$1,0)+2),MATCH(N$1,enemy_skill_sets!$1:$1,0)-MATCH($Z$1,enemy_skill_sets!$1:$1,0)+2,FALSE)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16" s="210">
        <v>47010010</v>
      </c>
      <c r="AA16" s="124">
        <v>1</v>
      </c>
    </row>
    <row r="17" spans="1:27" ht="21" customHeight="1" thickBot="1" x14ac:dyDescent="0.2">
      <c r="A17" s="110" t="str">
        <f t="shared" si="12"/>
        <v>47010_2-2/1408&lt;lv80&gt;sq8st3</v>
      </c>
      <c r="B17" s="223">
        <v>47010</v>
      </c>
      <c r="C17" s="224">
        <v>2</v>
      </c>
      <c r="D17" s="224" t="str">
        <f t="shared" si="13"/>
        <v>47010_2</v>
      </c>
      <c r="E17" s="225" t="str">
        <f ca="1">VLOOKUP($B17,OFFSET([2]quests!$A$1,0,0,COUNTA([2]quests!$A:$A),MATCH(E$1,[2]quests!$1:$1,0)-MATCH($B$1,[2]quests!$1:$1,0)+1),MATCH(E$1,[2]quests!$1:$1,0)-MATCH($B$1,[2]quests!$1:$1,0)+1,FALSE)</f>
        <v>僕の愛よあの子にとどけ！</v>
      </c>
      <c r="F17" s="225" t="str">
        <f ca="1">VLOOKUP($D17,OFFSET([2]stages!$A$1,0,0,COUNTA([2]stages!$A:$A),MATCH(F$1,[2]stages!$2:$2,0)-MATCH($D$1,[2]stages!$2:$2,0)+1),MATCH(F$1,[2]stages!$2:$2,0)-MATCH($D$1,[2]stages!$2:$2,0)+1,FALSE)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7" s="224">
        <v>2</v>
      </c>
      <c r="H17" s="224" t="str">
        <f t="shared" si="14"/>
        <v>47010_2-2</v>
      </c>
      <c r="I17" s="225">
        <f ca="1">VLOOKUP($H17,OFFSET(floors!$A$1,0,0,COUNTA(floors!$A:$A),MATCH(I$1,floors!$1:$1,0)-MATCH($H$1,floors!$1:$1,0)+1),MATCH(I$1,floors!$1:$1,0)-MATCH($H$1,floors!$1:$1,0)+1,FALSE)</f>
        <v>60</v>
      </c>
      <c r="J17" s="225">
        <f ca="1">VLOOKUP($H17,OFFSET(floors!$A$1,0,0,COUNTA(floors!$A:$A),MATCH(J$1,floors!$1:$1,0)-MATCH($H$1,floors!$1:$1,0)+1),MATCH(J$1,floors!$1:$1,0)-MATCH($H$1,floors!$1:$1,0)+1,FALSE)</f>
        <v>60</v>
      </c>
      <c r="K17" s="226">
        <v>8</v>
      </c>
      <c r="L17" s="226">
        <v>3</v>
      </c>
      <c r="M17" s="224">
        <v>1408</v>
      </c>
      <c r="N17" s="17" t="str">
        <f ca="1">VLOOKUP($M17,OFFSET([3]enemies!$A$1,0,0,COUNTA([3]enemies!$A:$A),MATCH(N$1,[3]enemies!$1:$1,0)-MATCH($M$1,[3]enemies!$1:$1,0)+1),MATCH(N$1,[3]enemies!$1:$1,0)-MATCH($M$1,[3]enemies!$1:$1,0)+1,FALSE)</f>
        <v>爽愛の求魂 グリム・ザ・ダンディ</v>
      </c>
      <c r="O17" s="17" t="str">
        <f ca="1">VLOOKUP($M17,OFFSET([3]enemies!$A$1,0,0,COUNTA([3]enemies!$A:$A),MATCH(O$1,[3]enemies!$1:$1,0)-MATCH($M$1,[3]enemies!$1:$1,0)+1),MATCH(O$1,[3]enemies!$1:$1,0)-MATCH($M$1,[3]enemies!$1:$1,0)+1,FALSE)</f>
        <v>yellow</v>
      </c>
      <c r="P17" s="17" t="str">
        <f ca="1">VLOOKUP($M17,OFFSET([4]characters!$A$1,0,0,COUNTA([4]characters!$A:$A),MATCH(P$1,[4]characters!$1:$1,0)-MATCH($M$1,[4]characters!$1:$1,0)+1),MATCH(P$1,[4]characters!$1:$1,0)-MATCH($M$1,[4]characters!$1:$1,0)+1,FALSE)</f>
        <v>DropWizS</v>
      </c>
      <c r="Q17" s="17" t="str">
        <f ca="1">VLOOKUP($M17,OFFSET([3]enemies!$A$1,0,0,COUNTA([3]enemies!$A:$A),MATCH(Q$1,[3]enemies!$1:$1,0)-MATCH($M$1,[3]enemies!$1:$1,0)+1),MATCH(Q$1,[3]enemies!$1:$1,0)-MATCH($M$1,[3]enemies!$1:$1,0)+1,FALSE)</f>
        <v>human</v>
      </c>
      <c r="R17" s="17">
        <f ca="1">VLOOKUP($M17,OFFSET([3]enemies!$A$1,0,0,COUNTA([3]enemies!$A:$A),MATCH(R$1,[3]enemies!$1:$1,0)-MATCH($M$1,[3]enemies!$1:$1,0)+1),MATCH(R$1,[3]enemies!$1:$1,0)-MATCH($M$1,[3]enemies!$1:$1,0)+1,FALSE)</f>
        <v>60</v>
      </c>
      <c r="S17" s="230">
        <v>80</v>
      </c>
      <c r="T17" s="229">
        <v>10.1</v>
      </c>
      <c r="U17" s="99">
        <f ca="1">ROUND(VLOOKUP(S17,[3]enemy_base_stats!$A:$F,2,FALSE) *INDIRECT("[EnemyMasterData.xlsm]enemies!Y"&amp;(M17+1))*  INDIRECT("[EnemyMasterData.xlsm]enemies!J"&amp;(M17+1))* INDIRECT("[EnemyMasterData.xlsm]enemies!O"&amp;(M17+1))* INDIRECT("[EnemyMasterData.xlsm]enemies!E"&amp;(M17+1))* INDIRECT("[EnemyMasterData.xlsm]enemies!S"&amp;(M17+1))* INDIRECT("[EnemyMasterData.xlsm]enemies!AD"&amp;(M17+1))*[4]ステータス!$B$2,0)*T17</f>
        <v>856076</v>
      </c>
      <c r="V17" s="229">
        <v>1.2</v>
      </c>
      <c r="W17" s="99">
        <f ca="1">ROUND(VLOOKUP(S17,[3]enemy_base_stats!$A:$F,3,FALSE) *INDIRECT("[EnemyMasterData.xlsm]enemies!Z"&amp;(M17+1))*  INDIRECT("[EnemyMasterData.xlsm]enemies!K"&amp;(M17+1))* INDIRECT("[EnemyMasterData.xlsm]enemies!P"&amp;(M17+1))* INDIRECT("[EnemyMasterData.xlsm]enemies!F"&amp;(M17+1))* INDIRECT("[EnemyMasterData.xlsm]enemies!T"&amp;(M17+1))* INDIRECT("[EnemyMasterData.xlsm]enemies!AE"&amp;(M17+1))*[4]ステータス!$C$2,0)*V17</f>
        <v>7580.4</v>
      </c>
      <c r="X17" s="230">
        <v>0</v>
      </c>
      <c r="Y17" s="17" t="str">
        <f ca="1">VLOOKUP($Z17,OFFSET(enemy_skill_sets!$B$1,0,0,COUNTA(enemy_skill_sets!$B:$B),MATCH(N$1,enemy_skill_sets!$1:$1,0)-MATCH($Z$1,enemy_skill_sets!$1:$1,0)+2),MATCH(N$1,enemy_skill_sets!$1:$1,0)-MATCH($Z$1,enemy_skill_sets!$1:$1,0)+2,FALSE)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17" s="128">
        <v>47010006</v>
      </c>
      <c r="AA17" s="128">
        <v>1</v>
      </c>
    </row>
    <row r="18" spans="1:27" ht="21" customHeight="1" thickTop="1" x14ac:dyDescent="0.15">
      <c r="A18" s="15" t="str">
        <f t="shared" si="12"/>
        <v>47010_2-2/1407&lt;lv80&gt;sq9st2</v>
      </c>
      <c r="B18" s="208">
        <v>47010</v>
      </c>
      <c r="C18" s="209">
        <v>2</v>
      </c>
      <c r="D18" s="209" t="str">
        <f t="shared" si="13"/>
        <v>47010_2</v>
      </c>
      <c r="E18" s="210" t="str">
        <f ca="1">VLOOKUP($B18,OFFSET([2]quests!$A$1,0,0,COUNTA([2]quests!$A:$A),MATCH(E$1,[2]quests!$1:$1,0)-MATCH($B$1,[2]quests!$1:$1,0)+1),MATCH(E$1,[2]quests!$1:$1,0)-MATCH($B$1,[2]quests!$1:$1,0)+1,FALSE)</f>
        <v>僕の愛よあの子にとどけ！</v>
      </c>
      <c r="F18" s="210" t="str">
        <f ca="1">VLOOKUP($D18,OFFSET([2]stages!$A$1,0,0,COUNTA([2]stages!$A:$A),MATCH(F$1,[2]stages!$2:$2,0)-MATCH($D$1,[2]stages!$2:$2,0)+1),MATCH(F$1,[2]stages!$2:$2,0)-MATCH($D$1,[2]stages!$2:$2,0)+1,FALSE)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8" s="209">
        <v>2</v>
      </c>
      <c r="H18" s="209" t="str">
        <f t="shared" si="14"/>
        <v>47010_2-2</v>
      </c>
      <c r="I18" s="210">
        <f ca="1">VLOOKUP($H18,OFFSET(floors!$A$1,0,0,COUNTA(floors!$A:$A),MATCH(I$1,floors!$1:$1,0)-MATCH($H$1,floors!$1:$1,0)+1),MATCH(I$1,floors!$1:$1,0)-MATCH($H$1,floors!$1:$1,0)+1,FALSE)</f>
        <v>60</v>
      </c>
      <c r="J18" s="210">
        <f ca="1">VLOOKUP($H18,OFFSET(floors!$A$1,0,0,COUNTA(floors!$A:$A),MATCH(J$1,floors!$1:$1,0)-MATCH($H$1,floors!$1:$1,0)+1),MATCH(J$1,floors!$1:$1,0)-MATCH($H$1,floors!$1:$1,0)+1,FALSE)</f>
        <v>60</v>
      </c>
      <c r="K18" s="211">
        <v>9</v>
      </c>
      <c r="L18" s="211">
        <v>2</v>
      </c>
      <c r="M18" s="205">
        <v>1407</v>
      </c>
      <c r="N18" s="121" t="str">
        <f ca="1">VLOOKUP($M18,OFFSET([3]enemies!$A$1,0,0,COUNTA([3]enemies!$A:$A),MATCH(N$1,[3]enemies!$1:$1,0)-MATCH($M$1,[3]enemies!$1:$1,0)+1),MATCH(N$1,[3]enemies!$1:$1,0)-MATCH($M$1,[3]enemies!$1:$1,0)+1,FALSE)</f>
        <v>グリム・ザ・ダンディ</v>
      </c>
      <c r="O18" s="121" t="str">
        <f ca="1">VLOOKUP($M18,OFFSET([3]enemies!$A$1,0,0,COUNTA([3]enemies!$A:$A),MATCH(O$1,[3]enemies!$1:$1,0)-MATCH($M$1,[3]enemies!$1:$1,0)+1),MATCH(O$1,[3]enemies!$1:$1,0)-MATCH($M$1,[3]enemies!$1:$1,0)+1,FALSE)</f>
        <v>yellow</v>
      </c>
      <c r="P18" s="121" t="str">
        <f ca="1">VLOOKUP($M18,OFFSET([4]characters!$A$1,0,0,COUNTA([4]characters!$A:$A),MATCH(P$1,[4]characters!$1:$1,0)-MATCH($M$1,[4]characters!$1:$1,0)+1),MATCH(P$1,[4]characters!$1:$1,0)-MATCH($M$1,[4]characters!$1:$1,0)+1,FALSE)</f>
        <v>DropWizS</v>
      </c>
      <c r="Q18" s="121" t="str">
        <f ca="1">VLOOKUP($M18,OFFSET([3]enemies!$A$1,0,0,COUNTA([3]enemies!$A:$A),MATCH(Q$1,[3]enemies!$1:$1,0)-MATCH($M$1,[3]enemies!$1:$1,0)+1),MATCH(Q$1,[3]enemies!$1:$1,0)-MATCH($M$1,[3]enemies!$1:$1,0)+1,FALSE)</f>
        <v>human</v>
      </c>
      <c r="R18" s="121">
        <f ca="1">VLOOKUP($M18,OFFSET([3]enemies!$A$1,0,0,COUNTA([3]enemies!$A:$A),MATCH(R$1,[3]enemies!$1:$1,0)-MATCH($M$1,[3]enemies!$1:$1,0)+1),MATCH(R$1,[3]enemies!$1:$1,0)-MATCH($M$1,[3]enemies!$1:$1,0)+1,FALSE)</f>
        <v>60</v>
      </c>
      <c r="S18" s="214">
        <v>80</v>
      </c>
      <c r="T18" s="213">
        <v>8</v>
      </c>
      <c r="U18" s="123">
        <f ca="1">ROUND(VLOOKUP(S18,[3]enemy_base_stats!$A:$F,2,FALSE) *INDIRECT("[EnemyMasterData.xlsm]enemies!Y"&amp;(M18+1))*  INDIRECT("[EnemyMasterData.xlsm]enemies!J"&amp;(M18+1))* INDIRECT("[EnemyMasterData.xlsm]enemies!O"&amp;(M18+1))* INDIRECT("[EnemyMasterData.xlsm]enemies!E"&amp;(M18+1))* INDIRECT("[EnemyMasterData.xlsm]enemies!S"&amp;(M18+1))* INDIRECT("[EnemyMasterData.xlsm]enemies!AD"&amp;(M18+1))*[4]ステータス!$B$2,0)*T18</f>
        <v>762840</v>
      </c>
      <c r="V18" s="213">
        <v>1</v>
      </c>
      <c r="W18" s="123">
        <f ca="1">ROUND(VLOOKUP(S18,[3]enemy_base_stats!$A:$F,3,FALSE) *INDIRECT("[EnemyMasterData.xlsm]enemies!Z"&amp;(M18+1))*  INDIRECT("[EnemyMasterData.xlsm]enemies!K"&amp;(M18+1))* INDIRECT("[EnemyMasterData.xlsm]enemies!P"&amp;(M18+1))* INDIRECT("[EnemyMasterData.xlsm]enemies!F"&amp;(M18+1))* INDIRECT("[EnemyMasterData.xlsm]enemies!T"&amp;(M18+1))* INDIRECT("[EnemyMasterData.xlsm]enemies!AE"&amp;(M18+1))*[4]ステータス!$C$2,0)*V18</f>
        <v>7289</v>
      </c>
      <c r="X18" s="214">
        <v>0</v>
      </c>
      <c r="Y18" s="119" t="str">
        <f ca="1">VLOOKUP($Z18,OFFSET(enemy_skill_sets!$B$1,0,0,COUNTA(enemy_skill_sets!$B:$B),MATCH(N$1,enemy_skill_sets!$1:$1,0)-MATCH($Z$1,enemy_skill_sets!$1:$1,0)+2),MATCH(N$1,enemy_skill_sets!$1:$1,0)-MATCH($Z$1,enemy_skill_sets!$1:$1,0)+2,FALSE)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18" s="210">
        <v>47010011</v>
      </c>
      <c r="AA18" s="124">
        <v>1</v>
      </c>
    </row>
    <row r="19" spans="1:27" ht="21" customHeight="1" thickBot="1" x14ac:dyDescent="0.2">
      <c r="A19" s="110" t="str">
        <f t="shared" si="12"/>
        <v>47010_2-2/1408&lt;lv80&gt;sq9st3</v>
      </c>
      <c r="B19" s="221">
        <v>47010</v>
      </c>
      <c r="C19" s="206">
        <v>2</v>
      </c>
      <c r="D19" s="206" t="str">
        <f t="shared" si="13"/>
        <v>47010_2</v>
      </c>
      <c r="E19" s="222" t="str">
        <f ca="1">VLOOKUP($B19,OFFSET([2]quests!$A$1,0,0,COUNTA([2]quests!$A:$A),MATCH(E$1,[2]quests!$1:$1,0)-MATCH($B$1,[2]quests!$1:$1,0)+1),MATCH(E$1,[2]quests!$1:$1,0)-MATCH($B$1,[2]quests!$1:$1,0)+1,FALSE)</f>
        <v>僕の愛よあの子にとどけ！</v>
      </c>
      <c r="F19" s="222" t="str">
        <f ca="1">VLOOKUP($D19,OFFSET([2]stages!$A$1,0,0,COUNTA([2]stages!$A:$A),MATCH(F$1,[2]stages!$2:$2,0)-MATCH($D$1,[2]stages!$2:$2,0)+1),MATCH(F$1,[2]stages!$2:$2,0)-MATCH($D$1,[2]stages!$2:$2,0)+1,FALSE)</f>
        <v>【ｳｨｻﾞ】僕の愛よあの子にとどけ！</v>
      </c>
      <c r="G19" s="206">
        <v>2</v>
      </c>
      <c r="H19" s="206" t="str">
        <f t="shared" si="14"/>
        <v>47010_2-2</v>
      </c>
      <c r="I19" s="222">
        <f ca="1">VLOOKUP($H19,OFFSET(floors!$A$1,0,0,COUNTA(floors!$A:$A),MATCH(I$1,floors!$1:$1,0)-MATCH($H$1,floors!$1:$1,0)+1),MATCH(I$1,floors!$1:$1,0)-MATCH($H$1,floors!$1:$1,0)+1,FALSE)</f>
        <v>60</v>
      </c>
      <c r="J19" s="222">
        <f ca="1">VLOOKUP($H19,OFFSET(floors!$A$1,0,0,COUNTA(floors!$A:$A),MATCH(J$1,floors!$1:$1,0)-MATCH($H$1,floors!$1:$1,0)+1),MATCH(J$1,floors!$1:$1,0)-MATCH($H$1,floors!$1:$1,0)+1,FALSE)</f>
        <v>60</v>
      </c>
      <c r="K19" s="207">
        <v>9</v>
      </c>
      <c r="L19" s="207">
        <v>3</v>
      </c>
      <c r="M19" s="206">
        <v>1408</v>
      </c>
      <c r="N19" s="17" t="str">
        <f ca="1">VLOOKUP($M19,OFFSET([3]enemies!$A$1,0,0,COUNTA([3]enemies!$A:$A),MATCH(N$1,[3]enemies!$1:$1,0)-MATCH($M$1,[3]enemies!$1:$1,0)+1),MATCH(N$1,[3]enemies!$1:$1,0)-MATCH($M$1,[3]enemies!$1:$1,0)+1,FALSE)</f>
        <v>爽愛の求魂 グリム・ザ・ダンディ</v>
      </c>
      <c r="O19" s="17" t="str">
        <f ca="1">VLOOKUP($M19,OFFSET([3]enemies!$A$1,0,0,COUNTA([3]enemies!$A:$A),MATCH(O$1,[3]enemies!$1:$1,0)-MATCH($M$1,[3]enemies!$1:$1,0)+1),MATCH(O$1,[3]enemies!$1:$1,0)-MATCH($M$1,[3]enemies!$1:$1,0)+1,FALSE)</f>
        <v>yellow</v>
      </c>
      <c r="P19" s="17" t="str">
        <f ca="1">VLOOKUP($M19,OFFSET([4]characters!$A$1,0,0,COUNTA([4]characters!$A:$A),MATCH(P$1,[4]characters!$1:$1,0)-MATCH($M$1,[4]characters!$1:$1,0)+1),MATCH(P$1,[4]characters!$1:$1,0)-MATCH($M$1,[4]characters!$1:$1,0)+1,FALSE)</f>
        <v>DropWizS</v>
      </c>
      <c r="Q19" s="17" t="str">
        <f ca="1">VLOOKUP($M19,OFFSET([3]enemies!$A$1,0,0,COUNTA([3]enemies!$A:$A),MATCH(Q$1,[3]enemies!$1:$1,0)-MATCH($M$1,[3]enemies!$1:$1,0)+1),MATCH(Q$1,[3]enemies!$1:$1,0)-MATCH($M$1,[3]enemies!$1:$1,0)+1,FALSE)</f>
        <v>human</v>
      </c>
      <c r="R19" s="17">
        <f ca="1">VLOOKUP($M19,OFFSET([3]enemies!$A$1,0,0,COUNTA([3]enemies!$A:$A),MATCH(R$1,[3]enemies!$1:$1,0)-MATCH($M$1,[3]enemies!$1:$1,0)+1),MATCH(R$1,[3]enemies!$1:$1,0)-MATCH($M$1,[3]enemies!$1:$1,0)+1,FALSE)</f>
        <v>60</v>
      </c>
      <c r="S19" s="288">
        <v>80</v>
      </c>
      <c r="T19" s="294">
        <v>10.1</v>
      </c>
      <c r="U19" s="99">
        <f ca="1">ROUND(VLOOKUP(S19,[3]enemy_base_stats!$A:$F,2,FALSE) *INDIRECT("[EnemyMasterData.xlsm]enemies!Y"&amp;(M19+1))*  INDIRECT("[EnemyMasterData.xlsm]enemies!J"&amp;(M19+1))* INDIRECT("[EnemyMasterData.xlsm]enemies!O"&amp;(M19+1))* INDIRECT("[EnemyMasterData.xlsm]enemies!E"&amp;(M19+1))* INDIRECT("[EnemyMasterData.xlsm]enemies!S"&amp;(M19+1))* INDIRECT("[EnemyMasterData.xlsm]enemies!AD"&amp;(M19+1))*[4]ステータス!$B$2,0)*T19</f>
        <v>856076</v>
      </c>
      <c r="V19" s="294">
        <v>1.2</v>
      </c>
      <c r="W19" s="99">
        <f ca="1">ROUND(VLOOKUP(S19,[3]enemy_base_stats!$A:$F,3,FALSE) *INDIRECT("[EnemyMasterData.xlsm]enemies!Z"&amp;(M19+1))*  INDIRECT("[EnemyMasterData.xlsm]enemies!K"&amp;(M19+1))* INDIRECT("[EnemyMasterData.xlsm]enemies!P"&amp;(M19+1))* INDIRECT("[EnemyMasterData.xlsm]enemies!F"&amp;(M19+1))* INDIRECT("[EnemyMasterData.xlsm]enemies!T"&amp;(M19+1))* INDIRECT("[EnemyMasterData.xlsm]enemies!AE"&amp;(M19+1))*[4]ステータス!$C$2,0)*V19</f>
        <v>7580.4</v>
      </c>
      <c r="X19" s="288">
        <v>0</v>
      </c>
      <c r="Y19" s="17" t="str">
        <f ca="1">VLOOKUP($Z19,OFFSET(enemy_skill_sets!$B$1,0,0,COUNTA(enemy_skill_sets!$B:$B),MATCH(N$1,enemy_skill_sets!$1:$1,0)-MATCH($Z$1,enemy_skill_sets!$1:$1,0)+2),MATCH(N$1,enemy_skill_sets!$1:$1,0)-MATCH($Z$1,enemy_skill_sets!$1:$1,0)+2,FALSE)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19" s="128">
        <v>47010006</v>
      </c>
      <c r="AA19" s="128">
        <v>1</v>
      </c>
    </row>
    <row r="20" spans="1:27" ht="21" customHeight="1" thickTop="1" x14ac:dyDescent="0.15">
      <c r="A20" s="15" t="str">
        <f t="shared" ref="A20:A21" si="15">B20&amp;"_"&amp;C20&amp;"-"&amp;G20&amp;"/"&amp;M20&amp;"&lt;lv"&amp;S20&amp;"&gt;sq"&amp;K20&amp;"st"&amp;L20</f>
        <v>47010_2-2/1407&lt;lv80&gt;sq10st2</v>
      </c>
      <c r="B20" s="276">
        <v>47010</v>
      </c>
      <c r="C20" s="277">
        <v>2</v>
      </c>
      <c r="D20" s="277" t="str">
        <f t="shared" ref="D20:D21" si="16">B20&amp;"_"&amp;C20</f>
        <v>47010_2</v>
      </c>
      <c r="E20" s="278" t="str">
        <f ca="1">VLOOKUP($B20,OFFSET([2]quests!$A$1,0,0,COUNTA([2]quests!$A:$A),MATCH(E$1,[2]quests!$1:$1,0)-MATCH($B$1,[2]quests!$1:$1,0)+1),MATCH(E$1,[2]quests!$1:$1,0)-MATCH($B$1,[2]quests!$1:$1,0)+1,FALSE)</f>
        <v>僕の愛よあの子にとどけ！</v>
      </c>
      <c r="F20" s="278" t="str">
        <f ca="1">VLOOKUP($D20,OFFSET([2]stages!$A$1,0,0,COUNTA([2]stages!$A:$A),MATCH(F$1,[2]stages!$2:$2,0)-MATCH($D$1,[2]stages!$2:$2,0)+1),MATCH(F$1,[2]stages!$2:$2,0)-MATCH($D$1,[2]stages!$2:$2,0)+1,FALSE)</f>
        <v>【ｳｨｻﾞ】僕の愛よあの子にとどけ！</v>
      </c>
      <c r="G20" s="277">
        <v>2</v>
      </c>
      <c r="H20" s="277" t="str">
        <f t="shared" ref="H20:H21" si="17">B20&amp;"_"&amp;C20&amp;"-"&amp;G20</f>
        <v>47010_2-2</v>
      </c>
      <c r="I20" s="278">
        <f ca="1">VLOOKUP($H20,OFFSET(floors!$A$1,0,0,COUNTA(floors!$A:$A),MATCH(I$1,floors!$1:$1,0)-MATCH($H$1,floors!$1:$1,0)+1),MATCH(I$1,floors!$1:$1,0)-MATCH($H$1,floors!$1:$1,0)+1,FALSE)</f>
        <v>60</v>
      </c>
      <c r="J20" s="278">
        <f ca="1">VLOOKUP($H20,OFFSET(floors!$A$1,0,0,COUNTA(floors!$A:$A),MATCH(J$1,floors!$1:$1,0)-MATCH($H$1,floors!$1:$1,0)+1),MATCH(J$1,floors!$1:$1,0)-MATCH($H$1,floors!$1:$1,0)+1,FALSE)</f>
        <v>60</v>
      </c>
      <c r="K20" s="279">
        <v>10</v>
      </c>
      <c r="L20" s="279">
        <v>2</v>
      </c>
      <c r="M20" s="297">
        <v>1407</v>
      </c>
      <c r="N20" s="121" t="str">
        <f ca="1">VLOOKUP($M20,OFFSET([3]enemies!$A$1,0,0,COUNTA([3]enemies!$A:$A),MATCH(N$1,[3]enemies!$1:$1,0)-MATCH($M$1,[3]enemies!$1:$1,0)+1),MATCH(N$1,[3]enemies!$1:$1,0)-MATCH($M$1,[3]enemies!$1:$1,0)+1,FALSE)</f>
        <v>グリム・ザ・ダンディ</v>
      </c>
      <c r="O20" s="121" t="str">
        <f ca="1">VLOOKUP($M20,OFFSET([3]enemies!$A$1,0,0,COUNTA([3]enemies!$A:$A),MATCH(O$1,[3]enemies!$1:$1,0)-MATCH($M$1,[3]enemies!$1:$1,0)+1),MATCH(O$1,[3]enemies!$1:$1,0)-MATCH($M$1,[3]enemies!$1:$1,0)+1,FALSE)</f>
        <v>yellow</v>
      </c>
      <c r="P20" s="121" t="str">
        <f ca="1">VLOOKUP($M20,OFFSET([4]characters!$A$1,0,0,COUNTA([4]characters!$A:$A),MATCH(P$1,[4]characters!$1:$1,0)-MATCH($M$1,[4]characters!$1:$1,0)+1),MATCH(P$1,[4]characters!$1:$1,0)-MATCH($M$1,[4]characters!$1:$1,0)+1,FALSE)</f>
        <v>DropWizS</v>
      </c>
      <c r="Q20" s="121" t="str">
        <f ca="1">VLOOKUP($M20,OFFSET([3]enemies!$A$1,0,0,COUNTA([3]enemies!$A:$A),MATCH(Q$1,[3]enemies!$1:$1,0)-MATCH($M$1,[3]enemies!$1:$1,0)+1),MATCH(Q$1,[3]enemies!$1:$1,0)-MATCH($M$1,[3]enemies!$1:$1,0)+1,FALSE)</f>
        <v>human</v>
      </c>
      <c r="R20" s="121">
        <f ca="1">VLOOKUP($M20,OFFSET([3]enemies!$A$1,0,0,COUNTA([3]enemies!$A:$A),MATCH(R$1,[3]enemies!$1:$1,0)-MATCH($M$1,[3]enemies!$1:$1,0)+1),MATCH(R$1,[3]enemies!$1:$1,0)-MATCH($M$1,[3]enemies!$1:$1,0)+1,FALSE)</f>
        <v>60</v>
      </c>
      <c r="S20" s="228">
        <v>80</v>
      </c>
      <c r="T20" s="227">
        <v>8</v>
      </c>
      <c r="U20" s="123">
        <f ca="1">ROUND(VLOOKUP(S20,[3]enemy_base_stats!$A:$F,2,FALSE) *INDIRECT("[EnemyMasterData.xlsm]enemies!Y"&amp;(M20+1))*  INDIRECT("[EnemyMasterData.xlsm]enemies!J"&amp;(M20+1))* INDIRECT("[EnemyMasterData.xlsm]enemies!O"&amp;(M20+1))* INDIRECT("[EnemyMasterData.xlsm]enemies!E"&amp;(M20+1))* INDIRECT("[EnemyMasterData.xlsm]enemies!S"&amp;(M20+1))* INDIRECT("[EnemyMasterData.xlsm]enemies!AD"&amp;(M20+1))*[4]ステータス!$B$2,0)*T20</f>
        <v>762840</v>
      </c>
      <c r="V20" s="227">
        <v>1</v>
      </c>
      <c r="W20" s="123">
        <f ca="1">ROUND(VLOOKUP(S20,[3]enemy_base_stats!$A:$F,3,FALSE) *INDIRECT("[EnemyMasterData.xlsm]enemies!Z"&amp;(M20+1))*  INDIRECT("[EnemyMasterData.xlsm]enemies!K"&amp;(M20+1))* INDIRECT("[EnemyMasterData.xlsm]enemies!P"&amp;(M20+1))* INDIRECT("[EnemyMasterData.xlsm]enemies!F"&amp;(M20+1))* INDIRECT("[EnemyMasterData.xlsm]enemies!T"&amp;(M20+1))* INDIRECT("[EnemyMasterData.xlsm]enemies!AE"&amp;(M20+1))*[4]ステータス!$C$2,0)*V20</f>
        <v>7289</v>
      </c>
      <c r="X20" s="228">
        <v>0</v>
      </c>
      <c r="Y20" s="119" t="str">
        <f ca="1">VLOOKUP($Z20,OFFSET(enemy_skill_sets!$B$1,0,0,COUNTA(enemy_skill_sets!$B:$B),MATCH(N$1,enemy_skill_sets!$1:$1,0)-MATCH($Z$1,enemy_skill_sets!$1:$1,0)+2),MATCH(N$1,enemy_skill_sets!$1:$1,0)-MATCH($Z$1,enemy_skill_sets!$1:$1,0)+2,FALSE)</f>
        <v>どんな結末を迎えるか…_x000D_すべては君の選択次第さ_x000D_【マシロの気持ちを伝えて誤解を解こう！】</v>
      </c>
      <c r="Z20" s="210">
        <v>47010012</v>
      </c>
      <c r="AA20" s="124">
        <v>1</v>
      </c>
    </row>
    <row r="21" spans="1:27" ht="21" customHeight="1" thickBot="1" x14ac:dyDescent="0.2">
      <c r="A21" s="110" t="str">
        <f t="shared" si="15"/>
        <v>47010_2-2/1408&lt;lv80&gt;sq10st3</v>
      </c>
      <c r="B21" s="223">
        <v>47010</v>
      </c>
      <c r="C21" s="224">
        <v>2</v>
      </c>
      <c r="D21" s="224" t="str">
        <f t="shared" si="16"/>
        <v>47010_2</v>
      </c>
      <c r="E21" s="225" t="str">
        <f ca="1">VLOOKUP($B21,OFFSET([2]quests!$A$1,0,0,COUNTA([2]quests!$A:$A),MATCH(E$1,[2]quests!$1:$1,0)-MATCH($B$1,[2]quests!$1:$1,0)+1),MATCH(E$1,[2]quests!$1:$1,0)-MATCH($B$1,[2]quests!$1:$1,0)+1,FALSE)</f>
        <v>僕の愛よあの子にとどけ！</v>
      </c>
      <c r="F21" s="225" t="str">
        <f ca="1">VLOOKUP($D21,OFFSET([2]stages!$A$1,0,0,COUNTA([2]stages!$A:$A),MATCH(F$1,[2]stages!$2:$2,0)-MATCH($D$1,[2]stages!$2:$2,0)+1),MATCH(F$1,[2]stages!$2:$2,0)-MATCH($D$1,[2]stages!$2:$2,0)+1,FALSE)</f>
        <v>【ｳｨｻﾞ】僕の愛よあの子にとどけ！</v>
      </c>
      <c r="G21" s="224">
        <v>2</v>
      </c>
      <c r="H21" s="224" t="str">
        <f t="shared" si="17"/>
        <v>47010_2-2</v>
      </c>
      <c r="I21" s="225">
        <f ca="1">VLOOKUP($H21,OFFSET(floors!$A$1,0,0,COUNTA(floors!$A:$A),MATCH(I$1,floors!$1:$1,0)-MATCH($H$1,floors!$1:$1,0)+1),MATCH(I$1,floors!$1:$1,0)-MATCH($H$1,floors!$1:$1,0)+1,FALSE)</f>
        <v>60</v>
      </c>
      <c r="J21" s="225">
        <f ca="1">VLOOKUP($H21,OFFSET(floors!$A$1,0,0,COUNTA(floors!$A:$A),MATCH(J$1,floors!$1:$1,0)-MATCH($H$1,floors!$1:$1,0)+1),MATCH(J$1,floors!$1:$1,0)-MATCH($H$1,floors!$1:$1,0)+1,FALSE)</f>
        <v>60</v>
      </c>
      <c r="K21" s="226">
        <v>10</v>
      </c>
      <c r="L21" s="226">
        <v>3</v>
      </c>
      <c r="M21" s="224">
        <v>1408</v>
      </c>
      <c r="N21" s="17" t="str">
        <f ca="1">VLOOKUP($M21,OFFSET([3]enemies!$A$1,0,0,COUNTA([3]enemies!$A:$A),MATCH(N$1,[3]enemies!$1:$1,0)-MATCH($M$1,[3]enemies!$1:$1,0)+1),MATCH(N$1,[3]enemies!$1:$1,0)-MATCH($M$1,[3]enemies!$1:$1,0)+1,FALSE)</f>
        <v>爽愛の求魂 グリム・ザ・ダンディ</v>
      </c>
      <c r="O21" s="17" t="str">
        <f ca="1">VLOOKUP($M21,OFFSET([3]enemies!$A$1,0,0,COUNTA([3]enemies!$A:$A),MATCH(O$1,[3]enemies!$1:$1,0)-MATCH($M$1,[3]enemies!$1:$1,0)+1),MATCH(O$1,[3]enemies!$1:$1,0)-MATCH($M$1,[3]enemies!$1:$1,0)+1,FALSE)</f>
        <v>yellow</v>
      </c>
      <c r="P21" s="17" t="str">
        <f ca="1">VLOOKUP($M21,OFFSET([4]characters!$A$1,0,0,COUNTA([4]characters!$A:$A),MATCH(P$1,[4]characters!$1:$1,0)-MATCH($M$1,[4]characters!$1:$1,0)+1),MATCH(P$1,[4]characters!$1:$1,0)-MATCH($M$1,[4]characters!$1:$1,0)+1,FALSE)</f>
        <v>DropWizS</v>
      </c>
      <c r="Q21" s="17" t="str">
        <f ca="1">VLOOKUP($M21,OFFSET([3]enemies!$A$1,0,0,COUNTA([3]enemies!$A:$A),MATCH(Q$1,[3]enemies!$1:$1,0)-MATCH($M$1,[3]enemies!$1:$1,0)+1),MATCH(Q$1,[3]enemies!$1:$1,0)-MATCH($M$1,[3]enemies!$1:$1,0)+1,FALSE)</f>
        <v>human</v>
      </c>
      <c r="R21" s="17">
        <f ca="1">VLOOKUP($M21,OFFSET([3]enemies!$A$1,0,0,COUNTA([3]enemies!$A:$A),MATCH(R$1,[3]enemies!$1:$1,0)-MATCH($M$1,[3]enemies!$1:$1,0)+1),MATCH(R$1,[3]enemies!$1:$1,0)-MATCH($M$1,[3]enemies!$1:$1,0)+1,FALSE)</f>
        <v>60</v>
      </c>
      <c r="S21" s="230">
        <v>80</v>
      </c>
      <c r="T21" s="229">
        <v>10.1</v>
      </c>
      <c r="U21" s="99">
        <f ca="1">ROUND(VLOOKUP(S21,[3]enemy_base_stats!$A:$F,2,FALSE) *INDIRECT("[EnemyMasterData.xlsm]enemies!Y"&amp;(M21+1))*  INDIRECT("[EnemyMasterData.xlsm]enemies!J"&amp;(M21+1))* INDIRECT("[EnemyMasterData.xlsm]enemies!O"&amp;(M21+1))* INDIRECT("[EnemyMasterData.xlsm]enemies!E"&amp;(M21+1))* INDIRECT("[EnemyMasterData.xlsm]enemies!S"&amp;(M21+1))* INDIRECT("[EnemyMasterData.xlsm]enemies!AD"&amp;(M21+1))*[4]ステータス!$B$2,0)*T21</f>
        <v>856076</v>
      </c>
      <c r="V21" s="229">
        <v>1.2</v>
      </c>
      <c r="W21" s="99">
        <f ca="1">ROUND(VLOOKUP(S21,[3]enemy_base_stats!$A:$F,3,FALSE) *INDIRECT("[EnemyMasterData.xlsm]enemies!Z"&amp;(M21+1))*  INDIRECT("[EnemyMasterData.xlsm]enemies!K"&amp;(M21+1))* INDIRECT("[EnemyMasterData.xlsm]enemies!P"&amp;(M21+1))* INDIRECT("[EnemyMasterData.xlsm]enemies!F"&amp;(M21+1))* INDIRECT("[EnemyMasterData.xlsm]enemies!T"&amp;(M21+1))* INDIRECT("[EnemyMasterData.xlsm]enemies!AE"&amp;(M21+1))*[4]ステータス!$C$2,0)*V21</f>
        <v>7580.4</v>
      </c>
      <c r="X21" s="230">
        <v>0</v>
      </c>
      <c r="Y21" s="17" t="str">
        <f ca="1">VLOOKUP($Z21,OFFSET(enemy_skill_sets!$B$1,0,0,COUNTA(enemy_skill_sets!$B:$B),MATCH(N$1,enemy_skill_sets!$1:$1,0)-MATCH($Z$1,enemy_skill_sets!$1:$1,0)+2),MATCH(N$1,enemy_skill_sets!$1:$1,0)-MATCH($Z$1,enemy_skill_sets!$1:$1,0)+2,FALSE)</f>
        <v>状態異常耐性+青パネルが出現しない</v>
      </c>
      <c r="Z21" s="128">
        <v>47010006</v>
      </c>
      <c r="AA21" s="128">
        <v>1</v>
      </c>
    </row>
    <row r="22" spans="1:27" ht="21" customHeight="1" thickTop="1" x14ac:dyDescent="0.15"/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66"/>
  <sheetViews>
    <sheetView showGridLines="0" workbookViewId="0">
      <pane xSplit="5" ySplit="1" topLeftCell="F141" activePane="bottomRight" state="frozen"/>
      <selection pane="topRight"/>
      <selection pane="bottomLeft"/>
      <selection pane="bottomRight" activeCell="J167" sqref="J167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47010001_47010001</v>
      </c>
      <c r="B2" s="140">
        <v>47010001</v>
      </c>
      <c r="C2" s="45">
        <v>47010001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やだっ！追いかけてこないで！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</v>
      </c>
      <c r="F2" s="45">
        <v>47010001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56" si="1">B3&amp;"_"&amp;C3</f>
        <v>47010001_47010002</v>
      </c>
      <c r="B3" s="140">
        <v>47010001</v>
      </c>
      <c r="C3" s="146">
        <v>47010002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お、お姉ちゃん！助けて！_x000D_ヘンな人が追いかけてくるのっ！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マシロが怯えた様子でこちらへ走ってくる！_x000D_【青属性ユニットのスキルゲージを2ターン減少】</v>
      </c>
      <c r="F3" s="146">
        <v>47010002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ref="A4" si="2">B4&amp;"_"&amp;C4</f>
        <v>47010001_47010002</v>
      </c>
      <c r="B4" s="140">
        <v>47010001</v>
      </c>
      <c r="C4" s="146">
        <v>47010002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お、お姉ちゃん！助けて！_x000D_ヘンな人が追いかけてくるのっ！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マシロが怯えた様子でこちらへ走ってくる！_x000D_【青属性ユニットのスキルゲージを2ターン減少】</v>
      </c>
      <c r="F4" s="146">
        <v>47010003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47010001_47010003</v>
      </c>
      <c r="B5" s="140">
        <v>47010001</v>
      </c>
      <c r="C5" s="146">
        <v>47010003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[player_name]…！た、助けてっ！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マシロが怯えた様子でこちらへ走ってくる！_x000D_【緑属性ユニットの攻撃力UP+_x000D_　スキルゲージを3ターン減少】</v>
      </c>
      <c r="F5" s="146">
        <v>47010004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1410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ref="A6" si="3">B6&amp;"_"&amp;C6</f>
        <v>47010001_47010003</v>
      </c>
      <c r="B6" s="140">
        <v>47010001</v>
      </c>
      <c r="C6" s="146">
        <v>47010003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[player_name]…！た、助けてっ！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マシロが怯えた様子でこちらへ走ってくる！_x000D_【緑属性ユニットの攻撃力UP+_x000D_　スキルゲージを3ターン減少】</v>
      </c>
      <c r="F6" s="146">
        <v>47010005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1409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47010001_47010004</v>
      </c>
      <c r="B7" s="140">
        <v>47010001</v>
      </c>
      <c r="C7" s="146">
        <v>47010004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レイヴンさん…！助けて！_x000D_ヘンな人が追いかけてくるのっ！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マシロが怯えた様子でこちらへ走ってくる！_x000D_【緑属性ユニットの攻撃力UP+_x000D_　スキルゲージを3ターン減少】</v>
      </c>
      <c r="F7" s="146">
        <v>47010006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720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1092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ref="A8" si="4">B8&amp;"_"&amp;C8</f>
        <v>47010001_47010004</v>
      </c>
      <c r="B8" s="140">
        <v>47010001</v>
      </c>
      <c r="C8" s="146">
        <v>47010004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レイヴンさん…！助けて！_x000D_ヘンな人が追いかけてくるのっ！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マシロが怯えた様子でこちらへ走ってくる！_x000D_【緑属性ユニットの攻撃力UP+_x000D_　スキルゲージを3ターン減少】</v>
      </c>
      <c r="F8" s="146">
        <v>47010007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710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679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ref="A9:A11" si="5">B9&amp;"_"&amp;C9</f>
        <v>47010001_47010004</v>
      </c>
      <c r="B9" s="140">
        <v>47010001</v>
      </c>
      <c r="C9" s="146">
        <v>47010004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レイヴンさん…！助けて！_x000D_ヘンな人が追いかけてくるのっ！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マシロが怯えた様子でこちらへ走ってくる！_x000D_【緑属性ユニットの攻撃力UP+_x000D_　スキルゲージを3ターン減少】</v>
      </c>
      <c r="F9" s="146">
        <v>47010008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678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5"/>
        <v>47010001_47010005</v>
      </c>
      <c r="B10" s="140">
        <v>47010001</v>
      </c>
      <c r="C10" s="146">
        <v>47010005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お願いっ！助けて！_x000D_ヘンな人が追いかけてくるのっ！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</v>
      </c>
      <c r="F10" s="146">
        <v>47010009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1413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5"/>
        <v>47010001_47010005</v>
      </c>
      <c r="B11" s="140">
        <v>47010001</v>
      </c>
      <c r="C11" s="146">
        <v>47010005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お願いっ！助けて！_x000D_ヘンな人が追いかけてくるのっ！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</v>
      </c>
      <c r="F11" s="146">
        <v>47010010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1412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ref="A12" si="6">B12&amp;"_"&amp;C12</f>
        <v>47010001_47010005</v>
      </c>
      <c r="B12" s="140">
        <v>47010001</v>
      </c>
      <c r="C12" s="146">
        <v>47010005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お願いっ！助けて！_x000D_ヘンな人が追いかけてくるのっ！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マシロが怯えた様子でこちらへ走ってくる！</v>
      </c>
      <c r="F12" s="146">
        <v>47010011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1411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1"/>
        <v>47010001_47010006</v>
      </c>
      <c r="B13" s="140">
        <v>47010001</v>
      </c>
      <c r="C13" s="45">
        <v>47010006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きゃあっ！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3" s="45">
        <v>47010012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1"/>
        <v>47010002_47010007</v>
      </c>
      <c r="B14" s="137">
        <v>47010002</v>
      </c>
      <c r="C14" s="45">
        <v>47010007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見つけたぞ！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4" s="45">
        <v>47010013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1"/>
        <v>47010002_47010008</v>
      </c>
      <c r="B15" s="137">
        <v>47010002</v>
      </c>
      <c r="C15" s="45">
        <v>47010008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探したじゃないか！_x000D_こんなところにいたのかい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5" s="45">
        <v>47010014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1"/>
        <v>47010003_47010009</v>
      </c>
      <c r="B16" s="140">
        <v>47010003</v>
      </c>
      <c r="C16" s="45">
        <v>47010009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さあ…行こうか！約束の場所に！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マシロを連れて去っていく！</v>
      </c>
      <c r="F16" s="45">
        <v>47010015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1"/>
        <v>47010004_47010010</v>
      </c>
      <c r="B17" s="137">
        <v>47010004</v>
      </c>
      <c r="C17" s="45">
        <v>47010010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さあ！僕と永遠を誓い合おう！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状態異常耐性+_x000D_すべてのパネルをハートパネルに変換+_x000D_青パネルドロップ率DOWN</v>
      </c>
      <c r="F17" s="137">
        <v>47010016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ref="A18" si="7">B18&amp;"_"&amp;C18</f>
        <v>47010004_47010090</v>
      </c>
      <c r="B18" s="137">
        <v>47010004</v>
      </c>
      <c r="C18" s="215">
        <v>47010090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「うぅ…[player_name]…っ！」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マシロは逃げ出し_x000D_[player_name]の背後に隠れた！</v>
      </c>
      <c r="F18" s="215">
        <v>47010090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1"/>
        <v>47010004_47010011</v>
      </c>
      <c r="B19" s="137">
        <v>47010004</v>
      </c>
      <c r="C19" s="45">
        <v>47010011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ああ！この胸の高鳴りはなんだ！_x000D_こんなの初めてだ！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9" s="137">
        <v>47010017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47010004_47010012</v>
      </c>
      <c r="B20" s="137">
        <v>47010004</v>
      </c>
      <c r="C20" s="45">
        <v>47010012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君の欲しいものはなんだってあげよう！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ランダムでお邪魔パネルに最大8個変換+クリティカル！</v>
      </c>
      <c r="F20" s="137">
        <v>47010018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1"/>
        <v>47010004_47010013</v>
      </c>
      <c r="B21" s="137">
        <v>47010004</v>
      </c>
      <c r="C21" s="45">
        <v>47010013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君を一目みたときから…_x000D_頭が君でいっぱいなんだ！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21" s="137">
        <v>47010019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1"/>
        <v>47010004_47010014</v>
      </c>
      <c r="B22" s="137">
        <v>47010004</v>
      </c>
      <c r="C22" s="45">
        <v>47010014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僕たちの物語を始めよう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ランダムでお邪魔パネルに最大8個変換+_x000D_残りHPの50%ダメージ！</v>
      </c>
      <c r="F22" s="137">
        <v>47010020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1"/>
        <v>47010004_47010015</v>
      </c>
      <c r="B23" s="137">
        <v>47010004</v>
      </c>
      <c r="C23" s="45">
        <v>47010015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君のために用意したんだ！_x000D_…受け取ってくれるだろう？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ランダムで赤&amp;ハートのCBPに最大1個ずつ変換</v>
      </c>
      <c r="F23" s="137">
        <v>47010021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5"/>
      <c r="Q23" s="45"/>
      <c r="R23" s="45"/>
    </row>
    <row r="24" spans="1:18" ht="21" customHeight="1" x14ac:dyDescent="0.15">
      <c r="A24" s="37" t="str">
        <f t="shared" si="1"/>
        <v>47010004_47010016</v>
      </c>
      <c r="B24" s="137">
        <v>47010004</v>
      </c>
      <c r="C24" s="45">
        <v>47010016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僕たちを邪魔するヤツは容赦しない！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2回連続攻撃_x000D_（命中したユニットに2ターンスキルバインド）+_x000D_ランダムでお邪魔パネルに最大6個変換</v>
      </c>
      <c r="F24" s="137">
        <v>47010022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24" s="45"/>
      <c r="Q24" s="45"/>
      <c r="R24" s="45"/>
    </row>
    <row r="25" spans="1:18" ht="21" customHeight="1" x14ac:dyDescent="0.15">
      <c r="A25" s="37" t="str">
        <f t="shared" si="1"/>
        <v>47010004_47010017</v>
      </c>
      <c r="B25" s="137">
        <v>47010004</v>
      </c>
      <c r="C25" s="45">
        <v>47010017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君の瞳はきらきらしてて…_x000D_まるでお人形みたいだ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3回連続攻撃_x000D_(命中したユニットに2ターン攻撃力30%DOWN)+_x000D_ランダムでお邪魔パネルに最大6個変換</v>
      </c>
      <c r="F25" s="137">
        <v>47010023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1"/>
        <v>47010004_47010018</v>
      </c>
      <c r="B26" s="137">
        <v>47010004</v>
      </c>
      <c r="C26" s="45">
        <v>47010018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この想い…受け止めてくれ！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ランダムでハートパネルに最大14個変換+全体攻撃</v>
      </c>
      <c r="F26" s="137">
        <v>47010024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45"/>
      <c r="Q26" s="45"/>
      <c r="R26" s="45"/>
    </row>
    <row r="27" spans="1:18" ht="21" customHeight="1" x14ac:dyDescent="0.15">
      <c r="A27" s="37" t="str">
        <f t="shared" si="1"/>
        <v>47010004_47010019</v>
      </c>
      <c r="B27" s="137">
        <v>47010004</v>
      </c>
      <c r="C27" s="45">
        <v>47010019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君の欲しいものはなんだってあげよう！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ランダムでお邪魔パネルに最大8個変換+クリティカル！</v>
      </c>
      <c r="F27" s="137">
        <v>47010025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1"/>
        <v>47010004_47010020</v>
      </c>
      <c r="B28" s="137">
        <v>47010004</v>
      </c>
      <c r="C28" s="45">
        <v>47010020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この気持ち…誰にも止められない！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攻撃頻度UP+ハートパネルを吸収して攻撃力UP</v>
      </c>
      <c r="F28" s="137">
        <v>47010026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1"/>
        <v>47010005_47010021</v>
      </c>
      <c r="B29" s="140">
        <v>47010005</v>
      </c>
      <c r="C29" s="45">
        <v>47010021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29" s="45">
        <v>47010027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1"/>
        <v>47010005_47010022</v>
      </c>
      <c r="B30" s="140">
        <v>47010005</v>
      </c>
      <c r="C30" s="45">
        <v>47010022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30" s="45">
        <v>47010028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si="1"/>
        <v>47010005_47010023</v>
      </c>
      <c r="B31" s="140">
        <v>47010005</v>
      </c>
      <c r="C31" s="45">
        <v>47010023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31" s="45">
        <v>47010029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si="1"/>
        <v>47010005_47010024</v>
      </c>
      <c r="B32" s="140">
        <v>47010005</v>
      </c>
      <c r="C32" s="45">
        <v>47010024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32" s="45">
        <v>47010030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1"/>
        <v>47010005_47010025</v>
      </c>
      <c r="B33" s="140">
        <v>47010005</v>
      </c>
      <c r="C33" s="45">
        <v>47010025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33" s="45">
        <v>47010031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ht="21" customHeight="1" x14ac:dyDescent="0.15">
      <c r="A34" s="37" t="str">
        <f t="shared" si="1"/>
        <v>47010005_47010026</v>
      </c>
      <c r="B34" s="140">
        <v>47010005</v>
      </c>
      <c r="C34" s="45">
        <v>47010026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34" s="45">
        <v>47010032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si="1"/>
        <v>47010005_47010027</v>
      </c>
      <c r="B35" s="140">
        <v>47010005</v>
      </c>
      <c r="C35" s="45">
        <v>47010027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35" s="45">
        <v>47010033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ht="21" customHeight="1" x14ac:dyDescent="0.15">
      <c r="A36" s="37" t="str">
        <f t="shared" si="1"/>
        <v>47010005_47010028</v>
      </c>
      <c r="B36" s="140">
        <v>47010005</v>
      </c>
      <c r="C36" s="45">
        <v>47010028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36" s="45">
        <v>47010034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ht="21" customHeight="1" x14ac:dyDescent="0.15">
      <c r="A37" s="37" t="str">
        <f t="shared" si="1"/>
        <v>47010005_47010029</v>
      </c>
      <c r="B37" s="140">
        <v>47010005</v>
      </c>
      <c r="C37" s="45">
        <v>47010029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37" s="45">
        <v>47010035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1"/>
        <v>47010005_47010030</v>
      </c>
      <c r="B38" s="140">
        <v>47010005</v>
      </c>
      <c r="C38" s="45">
        <v>47010030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8" s="45">
        <v>47010036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6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1"/>
        <v>47010006_47010031</v>
      </c>
      <c r="B39" s="137">
        <v>47010006</v>
      </c>
      <c r="C39" s="45">
        <v>47010031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なぜ僕から逃げようとする…？_x000D_照れているのかい？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状態異常耐性+青パネルが出現しない</v>
      </c>
      <c r="F39" s="137">
        <v>47010037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x14ac:dyDescent="0.15">
      <c r="A40" s="37" t="str">
        <f t="shared" si="1"/>
        <v>47010006_47010032</v>
      </c>
      <c r="B40" s="137">
        <v>47010006</v>
      </c>
      <c r="C40" s="45">
        <v>47010032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僕からチョコのお返しを_x000D_もらいにきたんだろう？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5ターン全属性ダメージ50%軽減+全体攻撃</v>
      </c>
      <c r="F40" s="137">
        <v>47010038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si="1"/>
        <v>47010006_47010033</v>
      </c>
      <c r="B41" s="137">
        <v>47010006</v>
      </c>
      <c r="C41" s="45">
        <v>47010033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君があのチョコの差出人だって…_x000D_すぐにわかったよ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3回連続攻撃_x000D_(命中したユニットに2ターン攻撃力50%DOWN)</v>
      </c>
      <c r="F41" s="137">
        <v>47010039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1" s="4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6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ht="21" customHeight="1" x14ac:dyDescent="0.15">
      <c r="A42" s="37" t="str">
        <f t="shared" si="1"/>
        <v>47010006_47010034</v>
      </c>
      <c r="B42" s="137">
        <v>47010006</v>
      </c>
      <c r="C42" s="45">
        <v>47010034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見てくれ、僕のお人形たちも_x000D_祝福してくれている！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ランダムでお邪魔パネルに最大8個変換+クリティカル！</v>
      </c>
      <c r="F42" s="137">
        <v>47010040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2" s="4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6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ht="21" customHeight="1" x14ac:dyDescent="0.15">
      <c r="A43" s="37" t="str">
        <f t="shared" si="1"/>
        <v>47010006_47010035</v>
      </c>
      <c r="B43" s="137">
        <v>47010006</v>
      </c>
      <c r="C43" s="45">
        <v>47010035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恥ずかしがり屋な君も…好きだ！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ランダムでお邪魔パネルに最大8個変換+単体攻撃</v>
      </c>
      <c r="F43" s="137">
        <v>47010041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3" s="46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3" s="45"/>
      <c r="Q43" s="45"/>
      <c r="R43" s="45"/>
    </row>
    <row r="44" spans="1:18" ht="21" customHeight="1" x14ac:dyDescent="0.15">
      <c r="A44" s="37" t="str">
        <f t="shared" si="1"/>
        <v>47010006_47010036</v>
      </c>
      <c r="B44" s="137">
        <v>47010006</v>
      </c>
      <c r="C44" s="45">
        <v>47010036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僕のこの胸の鼓動…聞こえるかい？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ランダムで赤パネルに最大10個変換+4回連続攻撃</v>
      </c>
      <c r="F44" s="137">
        <v>47010042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44" s="4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6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4" s="46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44" s="45"/>
      <c r="Q44" s="45"/>
      <c r="R44" s="45"/>
    </row>
    <row r="45" spans="1:18" ht="21" customHeight="1" x14ac:dyDescent="0.15">
      <c r="A45" s="37" t="str">
        <f t="shared" si="1"/>
        <v>47010006_47010037</v>
      </c>
      <c r="B45" s="137">
        <v>47010006</v>
      </c>
      <c r="C45" s="45">
        <v>47010037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想いが溢れて…とまらないんだ！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ランダムでハートパネルに最大14個変換+全体攻撃</v>
      </c>
      <c r="F45" s="137">
        <v>47010043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5" s="46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5" s="45"/>
      <c r="Q45" s="45"/>
      <c r="R45" s="45"/>
    </row>
    <row r="46" spans="1:18" ht="21" customHeight="1" x14ac:dyDescent="0.15">
      <c r="A46" s="37" t="str">
        <f t="shared" si="1"/>
        <v>47010006_47010038</v>
      </c>
      <c r="B46" s="137">
        <v>47010006</v>
      </c>
      <c r="C46" s="45">
        <v>47010038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僕と君は結ばれる運命なのさ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ランダムでお邪魔パネルに最大10個変換+_x000D_残りHPの50%ダメージ！</v>
      </c>
      <c r="F46" s="137">
        <v>47010044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6" s="46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ht="21" customHeight="1" x14ac:dyDescent="0.15">
      <c r="A47" s="37" t="str">
        <f t="shared" si="1"/>
        <v>47010006_47010039</v>
      </c>
      <c r="B47" s="137">
        <v>47010006</v>
      </c>
      <c r="C47" s="45">
        <v>47010039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えっ…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あれは君からのチョコではなかった…だと…！？_x000D_【ハート以外の属性パネルと_x000D_　お邪魔パネルを吸収して全体攻撃】</v>
      </c>
      <c r="F47" s="137">
        <v>47010045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ht="21" customHeight="1" x14ac:dyDescent="0.15">
      <c r="A48" s="37" t="str">
        <f t="shared" si="1"/>
        <v>47010006_47010040</v>
      </c>
      <c r="B48" s="137">
        <v>47010006</v>
      </c>
      <c r="C48" s="45">
        <v>47010040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そんな…そんなはずは…！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ハートパネルをお邪魔パネルに変換+_x000D_残りHPの99%ダメージ！+_x000D_自身に残りHPの10%のダメージ！</v>
      </c>
      <c r="F48" s="137">
        <v>47010046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6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ht="21" customHeight="1" x14ac:dyDescent="0.15">
      <c r="A49" s="37" t="str">
        <f t="shared" si="1"/>
        <v>47010006_47010041</v>
      </c>
      <c r="B49" s="137">
        <v>47010006</v>
      </c>
      <c r="C49" s="45">
        <v>47010041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そ、それでも…_x000D_それでも僕は君が…！君を…！！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お邪魔パネル以外のすべてのパネルをハートパネルに変換</v>
      </c>
      <c r="F49" s="137">
        <v>47010047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6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ht="21" customHeight="1" x14ac:dyDescent="0.15">
      <c r="A50" s="37" t="str">
        <f t="shared" si="1"/>
        <v>47010006_47010042</v>
      </c>
      <c r="B50" s="137">
        <v>47010006</v>
      </c>
      <c r="C50" s="45">
        <v>47010042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違う…寂しくなんかない…_x000D_僕は寂しくなんか……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だんだん強くなる全体攻撃+_x000D_ランダムでお邪魔パネルに最大6個変換</v>
      </c>
      <c r="F50" s="137">
        <v>47010048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6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6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6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5"/>
      <c r="Q50" s="45"/>
      <c r="R50" s="45"/>
    </row>
    <row r="51" spans="1:18" ht="21" customHeight="1" x14ac:dyDescent="0.15">
      <c r="A51" s="37" t="str">
        <f t="shared" si="1"/>
        <v>47010006_47010043</v>
      </c>
      <c r="B51" s="137">
        <v>47010006</v>
      </c>
      <c r="C51" s="45">
        <v>47010043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僕には君が…　君がいるから！！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だんだん強くなる全体攻撃+_x000D_ランダムでお邪魔パネルに最大12個変換</v>
      </c>
      <c r="F51" s="137">
        <v>47010049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6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6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ht="21" customHeight="1" x14ac:dyDescent="0.15">
      <c r="A52" s="37" t="str">
        <f t="shared" si="1"/>
        <v>47010006_47010044</v>
      </c>
      <c r="B52" s="137">
        <v>47010006</v>
      </c>
      <c r="C52" s="45">
        <v>47010044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僕と君は…_x000D_永遠に一緒にいるべきなんだ！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だんだん強くなる全体攻撃_x000D_【！】次のターン致命的な攻撃【！】</v>
      </c>
      <c r="F52" s="137">
        <v>47010050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6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6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6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5"/>
      <c r="Q52" s="45"/>
      <c r="R52" s="45"/>
    </row>
    <row r="53" spans="1:18" ht="21" customHeight="1" x14ac:dyDescent="0.15">
      <c r="A53" s="37" t="str">
        <f t="shared" si="1"/>
        <v>47010006_47010045</v>
      </c>
      <c r="B53" s="137">
        <v>47010006</v>
      </c>
      <c r="C53" s="45">
        <v>47010045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そう…　永遠に！！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53" s="137">
        <v>47010051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6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6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ht="21" customHeight="1" x14ac:dyDescent="0.15">
      <c r="A54" s="37" t="str">
        <f t="shared" si="1"/>
        <v>47010006_47010046</v>
      </c>
      <c r="B54" s="137">
        <v>47010006</v>
      </c>
      <c r="C54" s="45">
        <v>47010046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もういいさ…_x000D_どちらにせよ君は僕のものだ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【！】次のターン致命的な攻撃【！】</v>
      </c>
      <c r="F54" s="137">
        <v>47010052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6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6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ht="21" customHeight="1" x14ac:dyDescent="0.15">
      <c r="A55" s="37" t="str">
        <f t="shared" si="1"/>
        <v>47010006_47010047</v>
      </c>
      <c r="B55" s="137">
        <v>47010006</v>
      </c>
      <c r="C55" s="45">
        <v>47010047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僕だけのかわいいお人形にしてやろう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3回連続全体攻撃</v>
      </c>
      <c r="F55" s="137">
        <v>47010053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6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6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ht="21" customHeight="1" thickBot="1" x14ac:dyDescent="0.2">
      <c r="A56" s="177" t="str">
        <f t="shared" si="1"/>
        <v>47010006_47010048</v>
      </c>
      <c r="B56" s="137">
        <v>47010006</v>
      </c>
      <c r="C56" s="45">
        <v>47010048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僕は…僕は……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僕はただ…ずっとそばにいてくれる…_x000D_そんな人が欲しかっただけなんだ……</v>
      </c>
      <c r="F56" s="137">
        <v>47010054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6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ht="21" customHeight="1" thickTop="1" thickBot="1" x14ac:dyDescent="0.2">
      <c r="A57" s="177" t="str">
        <f t="shared" ref="A57:A58" si="8">B57&amp;"_"&amp;C57</f>
        <v>47010006_47010049</v>
      </c>
      <c r="B57" s="137">
        <v>47010006</v>
      </c>
      <c r="C57" s="45">
        <v>47010049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57" s="146">
        <v>47010055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6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6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1410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ht="21" customHeight="1" thickTop="1" thickBot="1" x14ac:dyDescent="0.2">
      <c r="A58" s="177" t="str">
        <f t="shared" si="8"/>
        <v>47010006_47010049</v>
      </c>
      <c r="B58" s="137">
        <v>47010006</v>
      </c>
      <c r="C58" s="45">
        <v>47010049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58" s="146">
        <v>47010056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1409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ht="21" customHeight="1" thickTop="1" thickBot="1" x14ac:dyDescent="0.2">
      <c r="A59" s="177" t="str">
        <f t="shared" ref="A59:A60" si="9">B59&amp;"_"&amp;C59</f>
        <v>47010006_47010049</v>
      </c>
      <c r="B59" s="137">
        <v>47010006</v>
      </c>
      <c r="C59" s="45">
        <v>47010049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59" s="146">
        <v>47010057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720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6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1092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ht="21" customHeight="1" thickTop="1" thickBot="1" x14ac:dyDescent="0.2">
      <c r="A60" s="177" t="str">
        <f t="shared" si="9"/>
        <v>47010006_47010049</v>
      </c>
      <c r="B60" s="137">
        <v>47010006</v>
      </c>
      <c r="C60" s="45">
        <v>47010049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60" s="146">
        <v>47010058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710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6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679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5"/>
      <c r="Q60" s="45"/>
      <c r="R60" s="45"/>
    </row>
    <row r="61" spans="1:18" ht="21" customHeight="1" thickTop="1" thickBot="1" x14ac:dyDescent="0.2">
      <c r="A61" s="177" t="str">
        <f t="shared" ref="A61" si="10">B61&amp;"_"&amp;C61</f>
        <v>47010006_47010049</v>
      </c>
      <c r="B61" s="182">
        <v>47010006</v>
      </c>
      <c r="C61" s="178">
        <v>47010049</v>
      </c>
      <c r="D61" s="183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61" s="183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61" s="185">
        <v>47010059</v>
      </c>
      <c r="G61" s="184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184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61" s="184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184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184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184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184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184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678</v>
      </c>
      <c r="O61" s="184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ht="21" customHeight="1" thickTop="1" x14ac:dyDescent="0.15">
      <c r="A62" s="37" t="str">
        <f t="shared" ref="A62:A105" si="11">B62&amp;"_"&amp;C62</f>
        <v>47010007_47010060</v>
      </c>
      <c r="B62" s="174">
        <v>47010007</v>
      </c>
      <c r="C62" s="169">
        <v>47010060</v>
      </c>
      <c r="D62" s="17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さあ！僕と永遠を誓い合おう！</v>
      </c>
      <c r="E62" s="17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状態異常耐性+_x000D_すべてのパネルをハートパネルに変換+_x000D_青パネルドロップ率DOWN</v>
      </c>
      <c r="F62" s="174">
        <v>47010016</v>
      </c>
      <c r="G62" s="17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17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2" s="17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7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7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7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17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176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17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ht="21" customHeight="1" x14ac:dyDescent="0.15">
      <c r="A63" s="37" t="str">
        <f t="shared" si="11"/>
        <v>47010007_47010091</v>
      </c>
      <c r="B63" s="154">
        <v>47010007</v>
      </c>
      <c r="C63" s="215">
        <v>47010091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「うぅ…[player_name]…っ！」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マシロは逃げ出し_x000D_[player_name]の背後に隠れた！</v>
      </c>
      <c r="F63" s="215">
        <v>47010090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6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6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ht="21" customHeight="1" x14ac:dyDescent="0.15">
      <c r="A64" s="37" t="str">
        <f t="shared" si="11"/>
        <v>47010007_47010061</v>
      </c>
      <c r="B64" s="154">
        <v>47010007</v>
      </c>
      <c r="C64" s="169">
        <v>47010061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ああ！この胸の高鳴りはなんだ！_x000D_こんなの初めてだ！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64" s="154">
        <v>47010017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6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4" s="46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ht="21" customHeight="1" x14ac:dyDescent="0.15">
      <c r="A65" s="37" t="str">
        <f t="shared" si="11"/>
        <v>47010007_47010062</v>
      </c>
      <c r="B65" s="154">
        <v>47010007</v>
      </c>
      <c r="C65" s="170">
        <v>47010062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君の欲しいものはなんだってあげよう！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ランダムで赤パネルに最大6個変換+クリティカル！</v>
      </c>
      <c r="F65" s="154">
        <v>47010018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6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5" s="46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ht="21" customHeight="1" x14ac:dyDescent="0.15">
      <c r="A66" s="37" t="str">
        <f t="shared" si="11"/>
        <v>47010007_47010063</v>
      </c>
      <c r="B66" s="154">
        <v>47010007</v>
      </c>
      <c r="C66" s="169">
        <v>47010063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君を一目みたときから…_x000D_頭が君でいっぱいなんだ！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66" s="154">
        <v>47010019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6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6" s="46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ht="21" customHeight="1" x14ac:dyDescent="0.15">
      <c r="A67" s="37" t="str">
        <f t="shared" si="11"/>
        <v>47010007_47010064</v>
      </c>
      <c r="B67" s="154">
        <v>47010007</v>
      </c>
      <c r="C67" s="169">
        <v>47010064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僕たちの物語を始めよう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67" s="154">
        <v>47010020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6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67" s="46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5"/>
      <c r="Q67" s="45"/>
      <c r="R67" s="45"/>
    </row>
    <row r="68" spans="1:18" ht="21" customHeight="1" x14ac:dyDescent="0.15">
      <c r="A68" s="37" t="str">
        <f t="shared" si="11"/>
        <v>47010007_47010065</v>
      </c>
      <c r="B68" s="154">
        <v>47010007</v>
      </c>
      <c r="C68" s="169">
        <v>47010065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君のために用意したんだ！_x000D_…受け取ってくれるだろう？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ランダムで赤&amp;ハートのCBPに最大1個ずつ変換</v>
      </c>
      <c r="F68" s="154">
        <v>47010021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6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8" s="4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6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8" s="45"/>
      <c r="Q68" s="45"/>
      <c r="R68" s="45"/>
    </row>
    <row r="69" spans="1:18" ht="21" customHeight="1" x14ac:dyDescent="0.15">
      <c r="A69" s="37" t="str">
        <f t="shared" si="11"/>
        <v>47010007_47010066</v>
      </c>
      <c r="B69" s="154">
        <v>47010007</v>
      </c>
      <c r="C69" s="169">
        <v>47010066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僕たちを邪魔するヤツは容赦しない！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2回連続攻撃_x000D_（命中したユニットに2ターンスキルバインド）</v>
      </c>
      <c r="F69" s="154">
        <v>47010022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6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6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69" s="45"/>
      <c r="Q69" s="45"/>
      <c r="R69" s="45"/>
    </row>
    <row r="70" spans="1:18" ht="21" customHeight="1" x14ac:dyDescent="0.15">
      <c r="A70" s="37" t="str">
        <f t="shared" si="11"/>
        <v>47010007_47010067</v>
      </c>
      <c r="B70" s="154">
        <v>47010007</v>
      </c>
      <c r="C70" s="169">
        <v>47010067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君の瞳はきらきらしてて…_x000D_まるでお人形みたいだ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3回連続攻撃_x000D_(命中したユニットに2ターン攻撃力30%DOWN)</v>
      </c>
      <c r="F70" s="154">
        <v>47010023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6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ht="21" customHeight="1" x14ac:dyDescent="0.15">
      <c r="A71" s="37" t="str">
        <f t="shared" si="11"/>
        <v>47010007_47010068</v>
      </c>
      <c r="B71" s="154">
        <v>47010007</v>
      </c>
      <c r="C71" s="169">
        <v>47010068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この想い…受け止めてくれ！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ランダムでハートパネルに最大14個変換+全体攻撃</v>
      </c>
      <c r="F71" s="154">
        <v>47010024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1" s="4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6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6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1" s="45"/>
      <c r="Q71" s="45"/>
      <c r="R71" s="45"/>
    </row>
    <row r="72" spans="1:18" ht="21" customHeight="1" x14ac:dyDescent="0.15">
      <c r="A72" s="37" t="str">
        <f t="shared" si="11"/>
        <v>47010007_47010069</v>
      </c>
      <c r="B72" s="154">
        <v>47010007</v>
      </c>
      <c r="C72" s="170">
        <v>47010069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君の欲しいものはなんだってあげよう！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ランダムで赤パネルに最大6個変換+クリティカル！</v>
      </c>
      <c r="F72" s="154">
        <v>47010025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6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ht="21" customHeight="1" x14ac:dyDescent="0.15">
      <c r="A73" s="37" t="str">
        <f t="shared" si="11"/>
        <v>47010007_47010070</v>
      </c>
      <c r="B73" s="154">
        <v>47010007</v>
      </c>
      <c r="C73" s="169">
        <v>47010070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この気持ち…誰にも止められない！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攻撃頻度UP+ハートパネルを吸収して攻撃力UP</v>
      </c>
      <c r="F73" s="154">
        <v>47010026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6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ht="21" customHeight="1" x14ac:dyDescent="0.15">
      <c r="A74" s="37" t="str">
        <f t="shared" si="11"/>
        <v>47010008_47010071</v>
      </c>
      <c r="B74" s="161">
        <v>47010008</v>
      </c>
      <c r="C74" s="171">
        <v>47010071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なぜ僕から逃げようとする…？_x000D_照れているのかい？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状態異常耐性+青パネルが出現しない</v>
      </c>
      <c r="F74" s="45">
        <v>47010037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6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6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ht="21" customHeight="1" x14ac:dyDescent="0.15">
      <c r="A75" s="37" t="str">
        <f t="shared" si="11"/>
        <v>47010008_47010072</v>
      </c>
      <c r="B75" s="161">
        <v>47010008</v>
      </c>
      <c r="C75" s="172">
        <v>47010072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僕からチョコのお返しを_x000D_もらいにきたんだろう？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5ターン全属性ダメージ30%軽減+全体攻撃</v>
      </c>
      <c r="F75" s="45">
        <v>47010038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5" s="46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6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6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ht="21" customHeight="1" x14ac:dyDescent="0.15">
      <c r="A76" s="37" t="str">
        <f t="shared" si="11"/>
        <v>47010008_47010073</v>
      </c>
      <c r="B76" s="161">
        <v>47010008</v>
      </c>
      <c r="C76" s="172">
        <v>47010073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君があのチョコの差出人だって…_x000D_すぐにわかったよ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3回連続攻撃_x000D_(命中したユニットに2ターン攻撃力50%DOWN)</v>
      </c>
      <c r="F76" s="45">
        <v>47010039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6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6" s="46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6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6" s="46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ht="21" customHeight="1" x14ac:dyDescent="0.15">
      <c r="A77" s="37" t="str">
        <f t="shared" si="11"/>
        <v>47010008_47010074</v>
      </c>
      <c r="B77" s="161">
        <v>47010008</v>
      </c>
      <c r="C77" s="172">
        <v>47010074</v>
      </c>
      <c r="D77" s="4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見てくれ、僕のお人形たちも_x000D_祝福してくれている！</v>
      </c>
      <c r="E77" s="4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7" s="45">
        <v>47010040</v>
      </c>
      <c r="G77" s="4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77" s="4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6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7" s="46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6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7" s="46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5"/>
      <c r="Q77" s="45"/>
      <c r="R77" s="45"/>
    </row>
    <row r="78" spans="1:18" ht="21" customHeight="1" x14ac:dyDescent="0.15">
      <c r="A78" s="37" t="str">
        <f t="shared" si="11"/>
        <v>47010008_47010075</v>
      </c>
      <c r="B78" s="161">
        <v>47010008</v>
      </c>
      <c r="C78" s="172">
        <v>47010075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僕のこの胸の鼓動…聞こえるかい？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ランダムで赤パネルに最大10個変換+4回連続攻撃</v>
      </c>
      <c r="F78" s="45">
        <v>47010042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6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78" s="46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6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8" s="46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6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6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78" s="45"/>
      <c r="Q78" s="45"/>
      <c r="R78" s="45"/>
    </row>
    <row r="79" spans="1:18" ht="21" customHeight="1" x14ac:dyDescent="0.15">
      <c r="A79" s="37" t="str">
        <f t="shared" si="11"/>
        <v>47010008_47010076</v>
      </c>
      <c r="B79" s="161">
        <v>47010008</v>
      </c>
      <c r="C79" s="172">
        <v>47010076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想いが溢れて…とまらないんだ！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ランダムでハートパネルに最大14個変換+全体攻撃</v>
      </c>
      <c r="F79" s="45">
        <v>47010043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6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9" s="46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6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6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9" s="45"/>
      <c r="Q79" s="45"/>
      <c r="R79" s="45"/>
    </row>
    <row r="80" spans="1:18" ht="21" customHeight="1" x14ac:dyDescent="0.15">
      <c r="A80" s="37" t="str">
        <f t="shared" si="11"/>
        <v>47010008_47010077</v>
      </c>
      <c r="B80" s="161">
        <v>47010008</v>
      </c>
      <c r="C80" s="172">
        <v>47010077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僕と君は結ばれる運命なのさ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80" s="45">
        <v>47010044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0" s="46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6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ht="21" customHeight="1" x14ac:dyDescent="0.15">
      <c r="A81" s="37" t="str">
        <f t="shared" si="11"/>
        <v>47010008_47010078</v>
      </c>
      <c r="B81" s="161">
        <v>47010008</v>
      </c>
      <c r="C81" s="172">
        <v>47010078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えっ…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あれは君からのチョコではなかった…だと…！？_x000D_【ハート以外の属性パネルを吸収して全体攻撃】</v>
      </c>
      <c r="F81" s="45">
        <v>47010045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ht="21" customHeight="1" x14ac:dyDescent="0.15">
      <c r="A82" s="37" t="str">
        <f t="shared" si="11"/>
        <v>47010008_47010079</v>
      </c>
      <c r="B82" s="161">
        <v>47010008</v>
      </c>
      <c r="C82" s="170">
        <v>47010079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そんな…そんなはずは…！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残りHPの99%ダメージ！+自身に残りHPの10%のダメージ！</v>
      </c>
      <c r="F82" s="45">
        <v>47010046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6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6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/>
    </row>
    <row r="83" spans="1:18" ht="21" customHeight="1" x14ac:dyDescent="0.15">
      <c r="A83" s="37" t="str">
        <f t="shared" si="11"/>
        <v>47010008_47010080</v>
      </c>
      <c r="B83" s="161">
        <v>47010008</v>
      </c>
      <c r="C83" s="172">
        <v>47010080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そ、それでも…_x000D_それでも僕は君が…！君を…！！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すべてのパネルをハートパネルに変換</v>
      </c>
      <c r="F83" s="45">
        <v>47010047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6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6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6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6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5"/>
      <c r="Q83" s="45"/>
      <c r="R83" s="45"/>
    </row>
    <row r="84" spans="1:18" ht="21" customHeight="1" x14ac:dyDescent="0.15">
      <c r="A84" s="37" t="str">
        <f t="shared" si="11"/>
        <v>47010008_47010081</v>
      </c>
      <c r="B84" s="161">
        <v>47010008</v>
      </c>
      <c r="C84" s="172">
        <v>47010081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違う…寂しくなんかない…_x000D_僕は寂しくなんか……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だんだん強くなる全体攻撃</v>
      </c>
      <c r="F84" s="45">
        <v>47010048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6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6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6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6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5"/>
      <c r="Q84" s="45"/>
      <c r="R84" s="45"/>
    </row>
    <row r="85" spans="1:18" ht="21" customHeight="1" x14ac:dyDescent="0.15">
      <c r="A85" s="37" t="str">
        <f t="shared" si="11"/>
        <v>47010008_47010082</v>
      </c>
      <c r="B85" s="161">
        <v>47010008</v>
      </c>
      <c r="C85" s="172">
        <v>47010082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僕には君が…　君がいるから！！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だんだん強くなる全体攻撃</v>
      </c>
      <c r="F85" s="45">
        <v>47010049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6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6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6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5"/>
      <c r="Q85" s="45"/>
      <c r="R85" s="45"/>
    </row>
    <row r="86" spans="1:18" ht="21" customHeight="1" x14ac:dyDescent="0.15">
      <c r="A86" s="37" t="str">
        <f t="shared" si="11"/>
        <v>47010008_47010083</v>
      </c>
      <c r="B86" s="161">
        <v>47010008</v>
      </c>
      <c r="C86" s="172">
        <v>47010083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僕と君は…永遠に_x000D_一緒にいるべきなんだ！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だんだん強くなる全体攻撃_x000D_【！】次のターン致命的な攻撃【！】</v>
      </c>
      <c r="F86" s="45">
        <v>47010050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6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6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6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5"/>
      <c r="Q86" s="45"/>
      <c r="R86" s="45"/>
    </row>
    <row r="87" spans="1:18" ht="21" customHeight="1" x14ac:dyDescent="0.15">
      <c r="A87" s="37" t="str">
        <f t="shared" si="11"/>
        <v>47010008_47010084</v>
      </c>
      <c r="B87" s="161">
        <v>47010008</v>
      </c>
      <c r="C87" s="172">
        <v>47010084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そう…　永遠に！！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87" s="45">
        <v>47010051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6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46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/>
    </row>
    <row r="88" spans="1:18" ht="21" customHeight="1" x14ac:dyDescent="0.15">
      <c r="A88" s="37" t="str">
        <f t="shared" si="11"/>
        <v>47010008_47010085</v>
      </c>
      <c r="B88" s="161">
        <v>47010008</v>
      </c>
      <c r="C88" s="172">
        <v>47010085</v>
      </c>
      <c r="D88" s="4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もういいさ…_x000D_どちらにせよ君は僕のものだ</v>
      </c>
      <c r="E88" s="4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【！】次のターン致命的な攻撃【！】</v>
      </c>
      <c r="F88" s="45">
        <v>47010052</v>
      </c>
      <c r="G88" s="4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88" s="4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6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8" s="4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6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6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5"/>
      <c r="Q88" s="45"/>
      <c r="R88" s="45"/>
    </row>
    <row r="89" spans="1:18" ht="21" customHeight="1" x14ac:dyDescent="0.15">
      <c r="A89" s="37" t="str">
        <f t="shared" si="11"/>
        <v>47010008_47010086</v>
      </c>
      <c r="B89" s="161">
        <v>47010008</v>
      </c>
      <c r="C89" s="172">
        <v>47010086</v>
      </c>
      <c r="D89" s="4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僕だけのかわいいお人形にしてやろう</v>
      </c>
      <c r="E89" s="4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3回連続全体攻撃</v>
      </c>
      <c r="F89" s="45">
        <v>47010053</v>
      </c>
      <c r="G89" s="4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6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89" s="4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6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6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6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6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5"/>
      <c r="Q89" s="45"/>
      <c r="R89" s="45"/>
    </row>
    <row r="90" spans="1:18" ht="21" customHeight="1" x14ac:dyDescent="0.15">
      <c r="A90" s="37" t="str">
        <f t="shared" si="11"/>
        <v>47010008_47010087</v>
      </c>
      <c r="B90" s="161">
        <v>47010008</v>
      </c>
      <c r="C90" s="172">
        <v>47010087</v>
      </c>
      <c r="D90" s="4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僕は…僕は……</v>
      </c>
      <c r="E90" s="4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僕はただ…ずっとそばにいてくれる…_x000D_そんな人が欲しかっただけなんだ……</v>
      </c>
      <c r="F90" s="45">
        <v>47010054</v>
      </c>
      <c r="G90" s="4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6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0" s="4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6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6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6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6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0" s="4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5"/>
      <c r="Q90" s="45"/>
      <c r="R90" s="45"/>
    </row>
    <row r="91" spans="1:18" ht="21" customHeight="1" thickBot="1" x14ac:dyDescent="0.2">
      <c r="A91" s="177" t="str">
        <f t="shared" si="11"/>
        <v>47010008_47010088</v>
      </c>
      <c r="B91" s="161">
        <v>47010008</v>
      </c>
      <c r="C91" s="45">
        <v>47010088</v>
      </c>
      <c r="D91" s="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91" s="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91" s="146">
        <v>47010055</v>
      </c>
      <c r="G91" s="4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91" s="4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6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6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6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1410</v>
      </c>
      <c r="O91" s="4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5"/>
      <c r="Q91" s="45"/>
      <c r="R91" s="45"/>
    </row>
    <row r="92" spans="1:18" ht="21" customHeight="1" thickTop="1" thickBot="1" x14ac:dyDescent="0.2">
      <c r="A92" s="177" t="str">
        <f t="shared" si="11"/>
        <v>47010008_47010088</v>
      </c>
      <c r="B92" s="161">
        <v>47010008</v>
      </c>
      <c r="C92" s="45">
        <v>47010088</v>
      </c>
      <c r="D92" s="4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92" s="4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92" s="146">
        <v>47010056</v>
      </c>
      <c r="G92" s="4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6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92" s="4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6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6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6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6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1409</v>
      </c>
      <c r="O92" s="4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5"/>
      <c r="Q92" s="45"/>
      <c r="R92" s="45"/>
    </row>
    <row r="93" spans="1:18" ht="21" customHeight="1" thickTop="1" thickBot="1" x14ac:dyDescent="0.2">
      <c r="A93" s="177" t="str">
        <f t="shared" si="11"/>
        <v>47010008_47010088</v>
      </c>
      <c r="B93" s="161">
        <v>47010008</v>
      </c>
      <c r="C93" s="45">
        <v>47010088</v>
      </c>
      <c r="D93" s="4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93" s="4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93" s="146">
        <v>47010057</v>
      </c>
      <c r="G93" s="4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6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720</v>
      </c>
      <c r="I93" s="4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6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6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6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6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1092</v>
      </c>
      <c r="O93" s="4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5"/>
      <c r="Q93" s="45"/>
      <c r="R93" s="45"/>
    </row>
    <row r="94" spans="1:18" ht="21" customHeight="1" thickTop="1" thickBot="1" x14ac:dyDescent="0.2">
      <c r="A94" s="177" t="str">
        <f t="shared" si="11"/>
        <v>47010008_47010088</v>
      </c>
      <c r="B94" s="161">
        <v>47010008</v>
      </c>
      <c r="C94" s="45">
        <v>47010088</v>
      </c>
      <c r="D94" s="4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94" s="4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94" s="146">
        <v>47010058</v>
      </c>
      <c r="G94" s="4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6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710</v>
      </c>
      <c r="I94" s="4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6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6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6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679</v>
      </c>
      <c r="O94" s="4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5"/>
      <c r="Q94" s="45"/>
      <c r="R94" s="45"/>
    </row>
    <row r="95" spans="1:18" ht="21" customHeight="1" thickTop="1" thickBot="1" x14ac:dyDescent="0.2">
      <c r="A95" s="177" t="str">
        <f t="shared" si="11"/>
        <v>47010008_47010088</v>
      </c>
      <c r="B95" s="161">
        <v>47010008</v>
      </c>
      <c r="C95" s="45">
        <v>47010088</v>
      </c>
      <c r="D95" s="183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えっ…_x000D_友達から始めましょう…だって…？</v>
      </c>
      <c r="E95" s="183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友達から、か……_x000D_そうか…それもいいな…！うん…！</v>
      </c>
      <c r="F95" s="185">
        <v>47010059</v>
      </c>
      <c r="G95" s="184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184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95" s="184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184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184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184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184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184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678</v>
      </c>
      <c r="O95" s="184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5"/>
      <c r="Q95" s="45"/>
      <c r="R95" s="45"/>
    </row>
    <row r="96" spans="1:18" ht="21" customHeight="1" thickTop="1" x14ac:dyDescent="0.15">
      <c r="A96" s="37" t="str">
        <f t="shared" si="11"/>
        <v>47010010_47010021</v>
      </c>
      <c r="B96" s="220">
        <v>47010010</v>
      </c>
      <c r="C96" s="220">
        <v>47010021</v>
      </c>
      <c r="D96" s="4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96" s="4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96" s="220">
        <v>47010027</v>
      </c>
      <c r="G96" s="4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6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6" s="4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6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6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6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6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5"/>
      <c r="Q96" s="45"/>
      <c r="R96" s="45"/>
    </row>
    <row r="97" spans="1:18" ht="21" customHeight="1" x14ac:dyDescent="0.15">
      <c r="A97" s="37" t="str">
        <f t="shared" si="11"/>
        <v>47010010_47010024</v>
      </c>
      <c r="B97" s="220">
        <v>47010010</v>
      </c>
      <c r="C97" s="137">
        <v>47010024</v>
      </c>
      <c r="D97" s="4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97" s="4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97" s="220">
        <v>47010028</v>
      </c>
      <c r="G97" s="4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6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97" s="4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6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6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6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5"/>
      <c r="Q97" s="45"/>
      <c r="R97" s="45"/>
    </row>
    <row r="98" spans="1:18" ht="21" customHeight="1" x14ac:dyDescent="0.15">
      <c r="A98" s="37" t="str">
        <f t="shared" si="11"/>
        <v>47010010_47010025</v>
      </c>
      <c r="B98" s="220">
        <v>47010010</v>
      </c>
      <c r="C98" s="137">
        <v>47010025</v>
      </c>
      <c r="D98" s="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98" s="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98" s="220">
        <v>47010029</v>
      </c>
      <c r="G98" s="4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98" s="4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6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6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6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8" s="46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5"/>
      <c r="Q98" s="45"/>
      <c r="R98" s="45"/>
    </row>
    <row r="99" spans="1:18" ht="21" customHeight="1" x14ac:dyDescent="0.15">
      <c r="A99" s="37" t="str">
        <f t="shared" si="11"/>
        <v>47010010_47010028</v>
      </c>
      <c r="B99" s="220">
        <v>47010010</v>
      </c>
      <c r="C99" s="137">
        <v>47010028</v>
      </c>
      <c r="D99" s="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99" s="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99" s="220">
        <v>47010030</v>
      </c>
      <c r="G99" s="4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6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99" s="4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6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6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9" s="46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5"/>
      <c r="Q99" s="45"/>
      <c r="R99" s="45"/>
    </row>
    <row r="100" spans="1:18" ht="21" customHeight="1" x14ac:dyDescent="0.15">
      <c r="A100" s="37" t="str">
        <f t="shared" si="11"/>
        <v>47010010_47010029</v>
      </c>
      <c r="B100" s="220">
        <v>47010010</v>
      </c>
      <c r="C100" s="137">
        <v>47010029</v>
      </c>
      <c r="D100" s="4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100" s="4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00" s="220">
        <v>47010031</v>
      </c>
      <c r="G100" s="4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00" s="4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6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6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6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0" s="46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5"/>
      <c r="Q100" s="45"/>
      <c r="R100" s="45"/>
    </row>
    <row r="101" spans="1:18" ht="21" customHeight="1" x14ac:dyDescent="0.15">
      <c r="A101" s="37" t="str">
        <f t="shared" si="11"/>
        <v>47010010_47010022</v>
      </c>
      <c r="B101" s="220">
        <v>47010010</v>
      </c>
      <c r="C101" s="137">
        <v>47010022</v>
      </c>
      <c r="D101" s="4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101" s="4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101" s="220">
        <v>47010032</v>
      </c>
      <c r="G101" s="4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01" s="4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6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6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1" s="46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5"/>
      <c r="Q101" s="45"/>
      <c r="R101" s="45"/>
    </row>
    <row r="102" spans="1:18" ht="21" customHeight="1" x14ac:dyDescent="0.15">
      <c r="A102" s="37" t="str">
        <f t="shared" si="11"/>
        <v>47010010_47010023</v>
      </c>
      <c r="B102" s="220">
        <v>47010010</v>
      </c>
      <c r="C102" s="137">
        <v>47010023</v>
      </c>
      <c r="D102" s="4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102" s="4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02" s="220">
        <v>47010033</v>
      </c>
      <c r="G102" s="4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02" s="4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6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6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02" s="46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5"/>
      <c r="Q102" s="45"/>
      <c r="R102" s="45"/>
    </row>
    <row r="103" spans="1:18" ht="21" customHeight="1" x14ac:dyDescent="0.15">
      <c r="A103" s="37" t="str">
        <f t="shared" si="11"/>
        <v>47010010_47010026</v>
      </c>
      <c r="B103" s="220">
        <v>47010010</v>
      </c>
      <c r="C103" s="137">
        <v>47010026</v>
      </c>
      <c r="D103" s="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103" s="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103" s="220">
        <v>47010034</v>
      </c>
      <c r="G103" s="4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6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3" s="4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6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03" s="46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5"/>
      <c r="Q103" s="45"/>
      <c r="R103" s="45"/>
    </row>
    <row r="104" spans="1:18" ht="21" customHeight="1" x14ac:dyDescent="0.15">
      <c r="A104" s="37" t="str">
        <f t="shared" si="11"/>
        <v>47010010_47010027</v>
      </c>
      <c r="B104" s="220">
        <v>47010010</v>
      </c>
      <c r="C104" s="137">
        <v>47010027</v>
      </c>
      <c r="D104" s="44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104" s="44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04" s="220">
        <v>47010035</v>
      </c>
      <c r="G104" s="46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6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4" s="46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6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6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6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6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04" s="46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6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5"/>
      <c r="Q104" s="45"/>
      <c r="R104" s="45"/>
    </row>
    <row r="105" spans="1:18" ht="21" customHeight="1" x14ac:dyDescent="0.15">
      <c r="A105" s="37" t="str">
        <f t="shared" si="11"/>
        <v>47010010_47010030</v>
      </c>
      <c r="B105" s="220">
        <v>47010010</v>
      </c>
      <c r="C105" s="220">
        <v>47010030</v>
      </c>
      <c r="D105" s="44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105" s="44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05" s="220">
        <v>47010036</v>
      </c>
      <c r="G105" s="46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6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5" s="46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6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6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6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6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05" s="46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6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5"/>
      <c r="Q105" s="45"/>
      <c r="R105" s="45"/>
    </row>
    <row r="106" spans="1:18" ht="21" customHeight="1" x14ac:dyDescent="0.15">
      <c r="A106" s="37" t="str">
        <f t="shared" ref="A106:A115" si="12">B106&amp;"_"&amp;C106</f>
        <v>47010011_47010021</v>
      </c>
      <c r="B106" s="140">
        <v>47010011</v>
      </c>
      <c r="C106" s="140">
        <v>47010021</v>
      </c>
      <c r="D106" s="44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106" s="44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106" s="140">
        <v>47010027</v>
      </c>
      <c r="G106" s="46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6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6" s="46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6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6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6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6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6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6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5"/>
      <c r="Q106" s="45"/>
      <c r="R106" s="45"/>
    </row>
    <row r="107" spans="1:18" ht="21" customHeight="1" x14ac:dyDescent="0.15">
      <c r="A107" s="37" t="str">
        <f t="shared" si="12"/>
        <v>47010011_47010026</v>
      </c>
      <c r="B107" s="140">
        <v>47010011</v>
      </c>
      <c r="C107" s="137">
        <v>47010026</v>
      </c>
      <c r="D107" s="44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107" s="44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107" s="140">
        <v>47010028</v>
      </c>
      <c r="G107" s="46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6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07" s="46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6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6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6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6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7" s="46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6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5"/>
      <c r="Q107" s="45"/>
      <c r="R107" s="45"/>
    </row>
    <row r="108" spans="1:18" ht="21" customHeight="1" x14ac:dyDescent="0.15">
      <c r="A108" s="37" t="str">
        <f t="shared" si="12"/>
        <v>47010011_47010027</v>
      </c>
      <c r="B108" s="140">
        <v>47010011</v>
      </c>
      <c r="C108" s="137">
        <v>47010027</v>
      </c>
      <c r="D108" s="44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108" s="44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08" s="140">
        <v>47010029</v>
      </c>
      <c r="G108" s="46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6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08" s="46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6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6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6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6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8" s="46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6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5"/>
      <c r="Q108" s="45"/>
      <c r="R108" s="45"/>
    </row>
    <row r="109" spans="1:18" ht="21" customHeight="1" x14ac:dyDescent="0.15">
      <c r="A109" s="37" t="str">
        <f t="shared" si="12"/>
        <v>47010011_47010028</v>
      </c>
      <c r="B109" s="140">
        <v>47010011</v>
      </c>
      <c r="C109" s="137">
        <v>47010028</v>
      </c>
      <c r="D109" s="44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109" s="44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109" s="140">
        <v>47010030</v>
      </c>
      <c r="G109" s="46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6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09" s="46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6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6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6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6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9" s="46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6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5"/>
      <c r="Q109" s="45"/>
      <c r="R109" s="45"/>
    </row>
    <row r="110" spans="1:18" ht="21" customHeight="1" x14ac:dyDescent="0.15">
      <c r="A110" s="37" t="str">
        <f t="shared" si="12"/>
        <v>47010011_47010029</v>
      </c>
      <c r="B110" s="140">
        <v>47010011</v>
      </c>
      <c r="C110" s="137">
        <v>47010029</v>
      </c>
      <c r="D110" s="44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110" s="44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10" s="140">
        <v>47010031</v>
      </c>
      <c r="G110" s="46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6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10" s="46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6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6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6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6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0" s="46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6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5"/>
      <c r="Q110" s="45"/>
      <c r="R110" s="45"/>
    </row>
    <row r="111" spans="1:18" ht="21" customHeight="1" x14ac:dyDescent="0.15">
      <c r="A111" s="37" t="str">
        <f t="shared" si="12"/>
        <v>47010011_47010022</v>
      </c>
      <c r="B111" s="140">
        <v>47010011</v>
      </c>
      <c r="C111" s="137">
        <v>47010022</v>
      </c>
      <c r="D111" s="44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111" s="44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111" s="140">
        <v>47010032</v>
      </c>
      <c r="G111" s="46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6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1" s="46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6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6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6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6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1" s="46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6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5"/>
      <c r="Q111" s="45"/>
      <c r="R111" s="45"/>
    </row>
    <row r="112" spans="1:18" ht="21" customHeight="1" x14ac:dyDescent="0.15">
      <c r="A112" s="37" t="str">
        <f t="shared" si="12"/>
        <v>47010011_47010023</v>
      </c>
      <c r="B112" s="140">
        <v>47010011</v>
      </c>
      <c r="C112" s="137">
        <v>47010023</v>
      </c>
      <c r="D112" s="44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112" s="44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12" s="140">
        <v>47010033</v>
      </c>
      <c r="G112" s="46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6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2" s="46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6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6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6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6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12" s="46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6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5"/>
      <c r="Q112" s="45"/>
      <c r="R112" s="45"/>
    </row>
    <row r="113" spans="1:18" ht="21" customHeight="1" x14ac:dyDescent="0.15">
      <c r="A113" s="37" t="str">
        <f t="shared" si="12"/>
        <v>47010011_47010024</v>
      </c>
      <c r="B113" s="140">
        <v>47010011</v>
      </c>
      <c r="C113" s="137">
        <v>47010024</v>
      </c>
      <c r="D113" s="44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113" s="44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113" s="140">
        <v>47010034</v>
      </c>
      <c r="G113" s="46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6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3" s="46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6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6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6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6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13" s="46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6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5"/>
      <c r="Q113" s="45"/>
      <c r="R113" s="45"/>
    </row>
    <row r="114" spans="1:18" ht="21" customHeight="1" x14ac:dyDescent="0.15">
      <c r="A114" s="37" t="str">
        <f t="shared" si="12"/>
        <v>47010011_47010025</v>
      </c>
      <c r="B114" s="140">
        <v>47010011</v>
      </c>
      <c r="C114" s="137">
        <v>47010025</v>
      </c>
      <c r="D114" s="44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114" s="44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14" s="140">
        <v>47010035</v>
      </c>
      <c r="G114" s="46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6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4" s="46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6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6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6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6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14" s="46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6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5"/>
      <c r="Q114" s="45"/>
      <c r="R114" s="45"/>
    </row>
    <row r="115" spans="1:18" ht="21" customHeight="1" x14ac:dyDescent="0.15">
      <c r="A115" s="37" t="str">
        <f t="shared" si="12"/>
        <v>47010011_47010030</v>
      </c>
      <c r="B115" s="140">
        <v>47010011</v>
      </c>
      <c r="C115" s="140">
        <v>47010030</v>
      </c>
      <c r="D115" s="44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115" s="44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15" s="140">
        <v>47010036</v>
      </c>
      <c r="G115" s="46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6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5" s="46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6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6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6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6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15" s="46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6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5"/>
      <c r="Q115" s="45"/>
      <c r="R115" s="45"/>
    </row>
    <row r="116" spans="1:18" ht="21" customHeight="1" x14ac:dyDescent="0.15">
      <c r="A116" s="37" t="str">
        <f t="shared" ref="A116:A155" si="13">B116&amp;"_"&amp;C116</f>
        <v>47010012_47010021</v>
      </c>
      <c r="B116" s="220">
        <v>47010012</v>
      </c>
      <c r="C116" s="220">
        <v>47010021</v>
      </c>
      <c r="D116" s="44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116" s="44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116" s="220">
        <v>47010027</v>
      </c>
      <c r="G116" s="46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6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6" s="46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6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6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6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6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6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6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5"/>
      <c r="Q116" s="45"/>
      <c r="R116" s="45"/>
    </row>
    <row r="117" spans="1:18" ht="21" customHeight="1" x14ac:dyDescent="0.15">
      <c r="A117" s="37" t="str">
        <f t="shared" si="13"/>
        <v>47010012_47010028</v>
      </c>
      <c r="B117" s="220">
        <v>47010012</v>
      </c>
      <c r="C117" s="137">
        <v>47010028</v>
      </c>
      <c r="D117" s="44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117" s="44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117" s="220">
        <v>47010028</v>
      </c>
      <c r="G117" s="46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6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17" s="46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6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6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6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6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46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6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5"/>
      <c r="Q117" s="45"/>
      <c r="R117" s="45"/>
    </row>
    <row r="118" spans="1:18" ht="21" customHeight="1" x14ac:dyDescent="0.15">
      <c r="A118" s="37" t="str">
        <f t="shared" si="13"/>
        <v>47010012_47010029</v>
      </c>
      <c r="B118" s="220">
        <v>47010012</v>
      </c>
      <c r="C118" s="137">
        <v>47010029</v>
      </c>
      <c r="D118" s="44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118" s="44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18" s="220">
        <v>47010029</v>
      </c>
      <c r="G118" s="46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6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18" s="46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6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6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6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6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8" s="46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6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5"/>
      <c r="Q118" s="45"/>
      <c r="R118" s="45"/>
    </row>
    <row r="119" spans="1:18" ht="21" customHeight="1" x14ac:dyDescent="0.15">
      <c r="A119" s="37" t="str">
        <f t="shared" si="13"/>
        <v>47010012_47010022</v>
      </c>
      <c r="B119" s="220">
        <v>47010012</v>
      </c>
      <c r="C119" s="137">
        <v>47010022</v>
      </c>
      <c r="D119" s="44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119" s="44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119" s="220">
        <v>47010030</v>
      </c>
      <c r="G119" s="46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6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19" s="46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6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6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6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6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9" s="46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6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5"/>
      <c r="Q119" s="45"/>
      <c r="R119" s="45"/>
    </row>
    <row r="120" spans="1:18" ht="21" customHeight="1" x14ac:dyDescent="0.15">
      <c r="A120" s="37" t="str">
        <f t="shared" si="13"/>
        <v>47010012_47010023</v>
      </c>
      <c r="B120" s="220">
        <v>47010012</v>
      </c>
      <c r="C120" s="137">
        <v>47010023</v>
      </c>
      <c r="D120" s="44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120" s="44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20" s="220">
        <v>47010031</v>
      </c>
      <c r="G120" s="46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6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20" s="46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6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6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6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6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0" s="46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6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5"/>
      <c r="Q120" s="45"/>
      <c r="R120" s="45"/>
    </row>
    <row r="121" spans="1:18" ht="21" customHeight="1" x14ac:dyDescent="0.15">
      <c r="A121" s="37" t="str">
        <f t="shared" si="13"/>
        <v>47010012_47010026</v>
      </c>
      <c r="B121" s="220">
        <v>47010012</v>
      </c>
      <c r="C121" s="137">
        <v>47010026</v>
      </c>
      <c r="D121" s="44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121" s="44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121" s="220">
        <v>47010032</v>
      </c>
      <c r="G121" s="46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6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1" s="46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6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6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6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6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21" s="46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6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5"/>
      <c r="Q121" s="45"/>
      <c r="R121" s="45"/>
    </row>
    <row r="122" spans="1:18" ht="21" customHeight="1" x14ac:dyDescent="0.15">
      <c r="A122" s="37" t="str">
        <f t="shared" si="13"/>
        <v>47010012_47010027</v>
      </c>
      <c r="B122" s="220">
        <v>47010012</v>
      </c>
      <c r="C122" s="137">
        <v>47010027</v>
      </c>
      <c r="D122" s="44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122" s="44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22" s="220">
        <v>47010033</v>
      </c>
      <c r="G122" s="46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6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22" s="46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6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6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6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6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22" s="46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6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5"/>
      <c r="Q122" s="45"/>
      <c r="R122" s="45"/>
    </row>
    <row r="123" spans="1:18" ht="21" customHeight="1" x14ac:dyDescent="0.15">
      <c r="A123" s="37" t="str">
        <f t="shared" si="13"/>
        <v>47010012_47010024</v>
      </c>
      <c r="B123" s="220">
        <v>47010012</v>
      </c>
      <c r="C123" s="137">
        <v>47010024</v>
      </c>
      <c r="D123" s="44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123" s="44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123" s="220">
        <v>47010034</v>
      </c>
      <c r="G123" s="46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6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3" s="46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6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6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6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6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23" s="46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6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5"/>
      <c r="Q123" s="45"/>
      <c r="R123" s="45"/>
    </row>
    <row r="124" spans="1:18" ht="21" customHeight="1" x14ac:dyDescent="0.15">
      <c r="A124" s="37" t="str">
        <f t="shared" si="13"/>
        <v>47010012_47010025</v>
      </c>
      <c r="B124" s="220">
        <v>47010012</v>
      </c>
      <c r="C124" s="137">
        <v>47010025</v>
      </c>
      <c r="D124" s="44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124" s="44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24" s="220">
        <v>47010035</v>
      </c>
      <c r="G124" s="46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6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4" s="46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6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6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6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6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24" s="46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6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5"/>
      <c r="Q124" s="45"/>
      <c r="R124" s="45"/>
    </row>
    <row r="125" spans="1:18" ht="21" customHeight="1" thickBot="1" x14ac:dyDescent="0.2">
      <c r="A125" s="37" t="str">
        <f t="shared" si="13"/>
        <v>47010012_47010030</v>
      </c>
      <c r="B125" s="301">
        <v>47010012</v>
      </c>
      <c r="C125" s="301">
        <v>47010030</v>
      </c>
      <c r="D125" s="302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125" s="302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25" s="301">
        <v>47010036</v>
      </c>
      <c r="G125" s="151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151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5" s="151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151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151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151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151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25" s="151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151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5"/>
      <c r="Q125" s="45"/>
      <c r="R125" s="45"/>
    </row>
    <row r="126" spans="1:18" ht="21" customHeight="1" thickTop="1" x14ac:dyDescent="0.15">
      <c r="A126" s="37" t="str">
        <f t="shared" si="13"/>
        <v>47010013_47010021</v>
      </c>
      <c r="B126" s="154">
        <v>47010013</v>
      </c>
      <c r="C126" s="45">
        <v>47010021</v>
      </c>
      <c r="D126" s="44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126" s="44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126" s="45">
        <v>47010027</v>
      </c>
      <c r="G126" s="46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6" s="46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6" s="46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6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6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6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46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6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6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5"/>
      <c r="Q126" s="45"/>
      <c r="R126" s="45"/>
    </row>
    <row r="127" spans="1:18" ht="21" customHeight="1" x14ac:dyDescent="0.15">
      <c r="A127" s="37" t="str">
        <f t="shared" si="13"/>
        <v>47010013_47010101</v>
      </c>
      <c r="B127" s="154">
        <v>47010013</v>
      </c>
      <c r="C127" s="137">
        <v>47010101</v>
      </c>
      <c r="D127" s="44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127" s="44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127" s="45">
        <v>47010028</v>
      </c>
      <c r="G127" s="46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6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27" s="46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6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6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6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46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46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6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5"/>
      <c r="Q127" s="45"/>
      <c r="R127" s="45"/>
    </row>
    <row r="128" spans="1:18" ht="21" customHeight="1" x14ac:dyDescent="0.15">
      <c r="A128" s="37" t="str">
        <f t="shared" si="13"/>
        <v>47010013_47010102</v>
      </c>
      <c r="B128" s="154">
        <v>47010013</v>
      </c>
      <c r="C128" s="137">
        <v>47010102</v>
      </c>
      <c r="D128" s="44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128" s="44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28" s="45">
        <v>47010029</v>
      </c>
      <c r="G128" s="46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6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28" s="46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6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6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6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46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8" s="46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6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5"/>
      <c r="Q128" s="45"/>
      <c r="R128" s="45"/>
    </row>
    <row r="129" spans="1:18" ht="21" customHeight="1" x14ac:dyDescent="0.15">
      <c r="A129" s="37" t="str">
        <f t="shared" si="13"/>
        <v>47010013_47010103</v>
      </c>
      <c r="B129" s="154">
        <v>47010013</v>
      </c>
      <c r="C129" s="137">
        <v>47010103</v>
      </c>
      <c r="D129" s="44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129" s="44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129" s="45">
        <v>47010030</v>
      </c>
      <c r="G129" s="46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6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29" s="46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6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6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6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6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9" s="46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6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5"/>
      <c r="Q129" s="45"/>
      <c r="R129" s="45"/>
    </row>
    <row r="130" spans="1:18" ht="21" customHeight="1" x14ac:dyDescent="0.15">
      <c r="A130" s="37" t="str">
        <f t="shared" si="13"/>
        <v>47010013_47010104</v>
      </c>
      <c r="B130" s="154">
        <v>47010013</v>
      </c>
      <c r="C130" s="137">
        <v>47010104</v>
      </c>
      <c r="D130" s="44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130" s="44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30" s="45">
        <v>47010031</v>
      </c>
      <c r="G130" s="46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6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30" s="46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6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6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6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46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0" s="46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6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5"/>
      <c r="Q130" s="45"/>
      <c r="R130" s="45"/>
    </row>
    <row r="131" spans="1:18" ht="21" customHeight="1" x14ac:dyDescent="0.15">
      <c r="A131" s="37" t="str">
        <f t="shared" si="13"/>
        <v>47010013_47010105</v>
      </c>
      <c r="B131" s="154">
        <v>47010013</v>
      </c>
      <c r="C131" s="137">
        <v>47010105</v>
      </c>
      <c r="D131" s="44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131" s="44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131" s="45">
        <v>47010032</v>
      </c>
      <c r="G131" s="46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6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31" s="46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6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6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6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1" s="46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31" s="46" t="str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1" s="46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5"/>
      <c r="Q131" s="45"/>
      <c r="R131" s="45"/>
    </row>
    <row r="132" spans="1:18" ht="21" customHeight="1" x14ac:dyDescent="0.15">
      <c r="A132" s="37" t="str">
        <f t="shared" si="13"/>
        <v>47010013_47010106</v>
      </c>
      <c r="B132" s="154">
        <v>47010013</v>
      </c>
      <c r="C132" s="137">
        <v>47010106</v>
      </c>
      <c r="D132" s="44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132" s="44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32" s="45">
        <v>47010033</v>
      </c>
      <c r="G132" s="46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6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32" s="46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6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6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6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6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32" s="46" t="str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2" s="46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5"/>
      <c r="Q132" s="45"/>
      <c r="R132" s="45"/>
    </row>
    <row r="133" spans="1:18" ht="21" customHeight="1" x14ac:dyDescent="0.15">
      <c r="A133" s="37" t="str">
        <f t="shared" si="13"/>
        <v>47010013_47010107</v>
      </c>
      <c r="B133" s="154">
        <v>47010013</v>
      </c>
      <c r="C133" s="137">
        <v>47010107</v>
      </c>
      <c r="D133" s="44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133" s="44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133" s="45">
        <v>47010034</v>
      </c>
      <c r="G133" s="46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6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33" s="46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6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6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6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6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33" s="46" t="str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3" s="46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5"/>
      <c r="Q133" s="45"/>
      <c r="R133" s="45"/>
    </row>
    <row r="134" spans="1:18" ht="21" customHeight="1" x14ac:dyDescent="0.15">
      <c r="A134" s="37" t="str">
        <f t="shared" si="13"/>
        <v>47010013_47010108</v>
      </c>
      <c r="B134" s="154">
        <v>47010013</v>
      </c>
      <c r="C134" s="137">
        <v>47010108</v>
      </c>
      <c r="D134" s="44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134" s="44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34" s="45">
        <v>47010035</v>
      </c>
      <c r="G134" s="46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6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4" s="46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6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6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6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6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34" s="46" t="str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4" s="46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5"/>
      <c r="Q134" s="45"/>
      <c r="R134" s="45"/>
    </row>
    <row r="135" spans="1:18" ht="21" customHeight="1" x14ac:dyDescent="0.15">
      <c r="A135" s="37" t="str">
        <f t="shared" si="13"/>
        <v>47010013_47010030</v>
      </c>
      <c r="B135" s="154">
        <v>47010013</v>
      </c>
      <c r="C135" s="45">
        <v>47010030</v>
      </c>
      <c r="D135" s="44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135" s="44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35" s="45">
        <v>47010036</v>
      </c>
      <c r="G135" s="46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6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5" s="46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6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6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6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6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35" s="46" t="str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5" s="46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5"/>
      <c r="Q135" s="45"/>
      <c r="R135" s="45"/>
    </row>
    <row r="136" spans="1:18" ht="21" customHeight="1" x14ac:dyDescent="0.15">
      <c r="A136" s="37" t="str">
        <f t="shared" si="13"/>
        <v>47010014_47010021</v>
      </c>
      <c r="B136" s="140">
        <v>47010014</v>
      </c>
      <c r="C136" s="140">
        <v>47010021</v>
      </c>
      <c r="D136" s="44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136" s="44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136" s="220">
        <v>47010027</v>
      </c>
      <c r="G136" s="46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6" s="46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6" s="46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6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6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6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6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6" t="str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6" s="46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5"/>
      <c r="Q136" s="45"/>
      <c r="R136" s="45"/>
    </row>
    <row r="137" spans="1:18" ht="21" customHeight="1" x14ac:dyDescent="0.15">
      <c r="A137" s="37" t="str">
        <f t="shared" si="13"/>
        <v>47010014_47010103</v>
      </c>
      <c r="B137" s="140">
        <v>47010014</v>
      </c>
      <c r="C137" s="137">
        <v>47010103</v>
      </c>
      <c r="D137" s="44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137" s="44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137" s="220">
        <v>47010028</v>
      </c>
      <c r="G137" s="46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6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37" s="46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6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6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6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6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7" s="46" t="str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7" s="46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5"/>
      <c r="Q137" s="45"/>
      <c r="R137" s="45"/>
    </row>
    <row r="138" spans="1:18" ht="21" customHeight="1" x14ac:dyDescent="0.15">
      <c r="A138" s="37" t="str">
        <f t="shared" si="13"/>
        <v>47010014_47010104</v>
      </c>
      <c r="B138" s="140">
        <v>47010014</v>
      </c>
      <c r="C138" s="137">
        <v>47010104</v>
      </c>
      <c r="D138" s="44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138" s="44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38" s="220">
        <v>47010029</v>
      </c>
      <c r="G138" s="46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6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38" s="46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6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6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6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6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8" s="46" t="str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8" s="46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5"/>
      <c r="Q138" s="45"/>
      <c r="R138" s="45"/>
    </row>
    <row r="139" spans="1:18" ht="21" customHeight="1" x14ac:dyDescent="0.15">
      <c r="A139" s="37" t="str">
        <f t="shared" si="13"/>
        <v>47010014_47010107</v>
      </c>
      <c r="B139" s="140">
        <v>47010014</v>
      </c>
      <c r="C139" s="137">
        <v>47010107</v>
      </c>
      <c r="D139" s="44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139" s="44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139" s="220">
        <v>47010030</v>
      </c>
      <c r="G139" s="46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6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39" s="46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6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6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6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9" s="46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9" s="46" t="str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9" s="46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5"/>
      <c r="Q139" s="45"/>
      <c r="R139" s="45"/>
    </row>
    <row r="140" spans="1:18" ht="21" customHeight="1" x14ac:dyDescent="0.15">
      <c r="A140" s="37" t="str">
        <f t="shared" si="13"/>
        <v>47010014_47010108</v>
      </c>
      <c r="B140" s="140">
        <v>47010014</v>
      </c>
      <c r="C140" s="137">
        <v>47010108</v>
      </c>
      <c r="D140" s="44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140" s="44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40" s="220">
        <v>47010031</v>
      </c>
      <c r="G140" s="46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6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40" s="46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6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6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6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6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0" s="46" t="str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0" s="46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5"/>
      <c r="Q140" s="45"/>
      <c r="R140" s="45"/>
    </row>
    <row r="141" spans="1:18" ht="21" customHeight="1" x14ac:dyDescent="0.15">
      <c r="A141" s="37" t="str">
        <f t="shared" si="13"/>
        <v>47010014_47010101</v>
      </c>
      <c r="B141" s="140">
        <v>47010014</v>
      </c>
      <c r="C141" s="137">
        <v>47010101</v>
      </c>
      <c r="D141" s="44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141" s="44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141" s="220">
        <v>47010032</v>
      </c>
      <c r="G141" s="46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6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41" s="46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6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6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6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6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41" s="46" t="str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1" s="46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5"/>
      <c r="Q141" s="45"/>
      <c r="R141" s="45"/>
    </row>
    <row r="142" spans="1:18" ht="21" customHeight="1" x14ac:dyDescent="0.15">
      <c r="A142" s="37" t="str">
        <f t="shared" si="13"/>
        <v>47010014_47010102</v>
      </c>
      <c r="B142" s="140">
        <v>47010014</v>
      </c>
      <c r="C142" s="137">
        <v>47010102</v>
      </c>
      <c r="D142" s="44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142" s="44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42" s="220">
        <v>47010033</v>
      </c>
      <c r="G142" s="46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6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42" s="46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6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6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6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6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42" s="46" t="str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2" s="46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5"/>
      <c r="Q142" s="45"/>
      <c r="R142" s="45"/>
    </row>
    <row r="143" spans="1:18" ht="21" customHeight="1" x14ac:dyDescent="0.15">
      <c r="A143" s="37" t="str">
        <f t="shared" si="13"/>
        <v>47010014_47010105</v>
      </c>
      <c r="B143" s="140">
        <v>47010014</v>
      </c>
      <c r="C143" s="137">
        <v>47010105</v>
      </c>
      <c r="D143" s="44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143" s="44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143" s="220">
        <v>47010034</v>
      </c>
      <c r="G143" s="46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6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43" s="46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6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6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6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6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43" s="46" t="str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3" s="46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5"/>
      <c r="Q143" s="45"/>
      <c r="R143" s="45"/>
    </row>
    <row r="144" spans="1:18" ht="21" customHeight="1" x14ac:dyDescent="0.15">
      <c r="A144" s="37" t="str">
        <f t="shared" si="13"/>
        <v>47010014_47010106</v>
      </c>
      <c r="B144" s="140">
        <v>47010014</v>
      </c>
      <c r="C144" s="137">
        <v>47010106</v>
      </c>
      <c r="D144" s="44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144" s="44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44" s="220">
        <v>47010035</v>
      </c>
      <c r="G144" s="46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6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44" s="46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6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6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6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46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44" s="46" t="str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4" s="46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5"/>
      <c r="Q144" s="45"/>
      <c r="R144" s="45"/>
    </row>
    <row r="145" spans="1:18" ht="21" customHeight="1" x14ac:dyDescent="0.15">
      <c r="A145" s="37" t="str">
        <f t="shared" si="13"/>
        <v>47010014_47010030</v>
      </c>
      <c r="B145" s="140">
        <v>47010014</v>
      </c>
      <c r="C145" s="140">
        <v>47010030</v>
      </c>
      <c r="D145" s="44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145" s="44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45" s="220">
        <v>47010036</v>
      </c>
      <c r="G145" s="46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6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45" s="46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6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6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6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5" s="46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45" s="46" t="str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5" s="46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5"/>
      <c r="Q145" s="45"/>
      <c r="R145" s="45"/>
    </row>
    <row r="146" spans="1:18" ht="21" customHeight="1" x14ac:dyDescent="0.15">
      <c r="A146" s="37" t="str">
        <f t="shared" si="13"/>
        <v>47010015_47010021</v>
      </c>
      <c r="B146" s="154">
        <v>47010015</v>
      </c>
      <c r="C146" s="140">
        <v>47010021</v>
      </c>
      <c r="D146" s="44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146" s="44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146" s="140">
        <v>47010027</v>
      </c>
      <c r="G146" s="46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6" s="46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46" s="46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6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6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6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6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6" t="str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6" s="46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5"/>
      <c r="Q146" s="45"/>
      <c r="R146" s="45"/>
    </row>
    <row r="147" spans="1:18" ht="21" customHeight="1" x14ac:dyDescent="0.15">
      <c r="A147" s="37" t="str">
        <f t="shared" si="13"/>
        <v>47010015_47010105</v>
      </c>
      <c r="B147" s="154">
        <v>47010015</v>
      </c>
      <c r="C147" s="137">
        <v>47010105</v>
      </c>
      <c r="D147" s="44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147" s="44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147" s="140">
        <v>47010028</v>
      </c>
      <c r="G147" s="46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6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47" s="46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6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6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6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7" s="46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7" s="46" t="str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7" s="46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5"/>
      <c r="Q147" s="45"/>
      <c r="R147" s="45"/>
    </row>
    <row r="148" spans="1:18" ht="21" customHeight="1" x14ac:dyDescent="0.15">
      <c r="A148" s="37" t="str">
        <f t="shared" si="13"/>
        <v>47010015_47010106</v>
      </c>
      <c r="B148" s="154">
        <v>47010015</v>
      </c>
      <c r="C148" s="137">
        <v>47010106</v>
      </c>
      <c r="D148" s="44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148" s="44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48" s="140">
        <v>47010029</v>
      </c>
      <c r="G148" s="46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6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48" s="46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6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6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6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8" s="46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8" s="46" t="str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8" s="46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5"/>
      <c r="Q148" s="45"/>
      <c r="R148" s="45"/>
    </row>
    <row r="149" spans="1:18" ht="21" customHeight="1" x14ac:dyDescent="0.15">
      <c r="A149" s="37" t="str">
        <f t="shared" si="13"/>
        <v>47010015_47010107</v>
      </c>
      <c r="B149" s="154">
        <v>47010015</v>
      </c>
      <c r="C149" s="137">
        <v>47010107</v>
      </c>
      <c r="D149" s="44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149" s="44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149" s="140">
        <v>47010030</v>
      </c>
      <c r="G149" s="46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6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49" s="46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6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6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6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9" s="46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9" s="46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46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5"/>
      <c r="Q149" s="45"/>
      <c r="R149" s="45"/>
    </row>
    <row r="150" spans="1:18" ht="21" customHeight="1" x14ac:dyDescent="0.15">
      <c r="A150" s="37" t="str">
        <f t="shared" si="13"/>
        <v>47010015_47010108</v>
      </c>
      <c r="B150" s="154">
        <v>47010015</v>
      </c>
      <c r="C150" s="137">
        <v>47010108</v>
      </c>
      <c r="D150" s="44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150" s="44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50" s="140">
        <v>47010031</v>
      </c>
      <c r="G150" s="46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6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50" s="46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6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6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6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0" s="46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0" s="46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46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5"/>
      <c r="Q150" s="45"/>
      <c r="R150" s="45"/>
    </row>
    <row r="151" spans="1:18" ht="21" customHeight="1" x14ac:dyDescent="0.15">
      <c r="A151" s="37" t="str">
        <f t="shared" si="13"/>
        <v>47010015_47010103</v>
      </c>
      <c r="B151" s="154">
        <v>47010015</v>
      </c>
      <c r="C151" s="137">
        <v>47010103</v>
      </c>
      <c r="D151" s="44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151" s="44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151" s="140">
        <v>47010032</v>
      </c>
      <c r="G151" s="46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6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51" s="46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6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6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6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1" s="46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51" s="46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46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5"/>
      <c r="Q151" s="45"/>
      <c r="R151" s="45"/>
    </row>
    <row r="152" spans="1:18" ht="21" customHeight="1" x14ac:dyDescent="0.15">
      <c r="A152" s="37" t="str">
        <f t="shared" si="13"/>
        <v>47010015_47010104</v>
      </c>
      <c r="B152" s="154">
        <v>47010015</v>
      </c>
      <c r="C152" s="137">
        <v>47010104</v>
      </c>
      <c r="D152" s="44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152" s="44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52" s="140">
        <v>47010033</v>
      </c>
      <c r="G152" s="46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6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52" s="46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6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6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6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6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52" s="46" t="str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2" s="46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5"/>
      <c r="Q152" s="45"/>
      <c r="R152" s="45"/>
    </row>
    <row r="153" spans="1:18" ht="21" customHeight="1" x14ac:dyDescent="0.15">
      <c r="A153" s="37" t="str">
        <f t="shared" si="13"/>
        <v>47010015_47010101</v>
      </c>
      <c r="B153" s="154">
        <v>47010015</v>
      </c>
      <c r="C153" s="137">
        <v>47010101</v>
      </c>
      <c r="D153" s="44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153" s="44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153" s="140">
        <v>47010034</v>
      </c>
      <c r="G153" s="46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6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53" s="46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6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6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6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46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53" s="46" t="str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3" s="46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5"/>
      <c r="Q153" s="45"/>
      <c r="R153" s="45"/>
    </row>
    <row r="154" spans="1:18" ht="21" customHeight="1" x14ac:dyDescent="0.15">
      <c r="A154" s="37" t="str">
        <f t="shared" si="13"/>
        <v>47010015_47010102</v>
      </c>
      <c r="B154" s="154">
        <v>47010015</v>
      </c>
      <c r="C154" s="137">
        <v>47010102</v>
      </c>
      <c r="D154" s="44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154" s="44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54" s="140">
        <v>47010035</v>
      </c>
      <c r="G154" s="46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6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4" s="46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6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6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6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46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54" s="46" t="str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4" s="46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5"/>
      <c r="Q154" s="45"/>
      <c r="R154" s="45"/>
    </row>
    <row r="155" spans="1:18" ht="21" customHeight="1" x14ac:dyDescent="0.15">
      <c r="A155" s="37" t="str">
        <f t="shared" si="13"/>
        <v>47010015_47010030</v>
      </c>
      <c r="B155" s="154">
        <v>47010015</v>
      </c>
      <c r="C155" s="140">
        <v>47010030</v>
      </c>
      <c r="D155" s="44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155" s="44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55" s="140">
        <v>47010036</v>
      </c>
      <c r="G155" s="46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6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55" s="46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6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6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6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46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55" s="46" t="str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5" s="46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5"/>
      <c r="Q155" s="45"/>
      <c r="R155" s="45"/>
    </row>
    <row r="156" spans="1:18" ht="21" customHeight="1" x14ac:dyDescent="0.15">
      <c r="A156" s="37" t="str">
        <f t="shared" ref="A156:A165" si="14">B156&amp;"_"&amp;C156</f>
        <v>47010016_47010021</v>
      </c>
      <c r="B156" s="140">
        <v>47010016</v>
      </c>
      <c r="C156" s="140">
        <v>47010021</v>
      </c>
      <c r="D156" s="44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君だけの物語を作ってあげよう！</v>
      </c>
      <c r="E156" s="44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どんな結末を迎えるか…_x000D_すべては君の選択次第さ_x000D_【マシロの気持ちを伝えて誤解を解こう！】</v>
      </c>
      <c r="F156" s="220">
        <v>47010027</v>
      </c>
      <c r="G156" s="46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6" s="46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56" s="46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6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6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6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6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6" t="str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6" s="46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5"/>
      <c r="Q156" s="45"/>
      <c r="R156" s="45"/>
    </row>
    <row r="157" spans="1:18" ht="21" customHeight="1" x14ac:dyDescent="0.15">
      <c r="A157" s="37" t="str">
        <f t="shared" si="14"/>
        <v>47010016_47010107</v>
      </c>
      <c r="B157" s="140">
        <v>47010016</v>
      </c>
      <c r="C157" s="137">
        <v>47010107</v>
      </c>
      <c r="D157" s="44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僕たちふたりきりの世界…_x000D_素敵だと思わないか？</v>
      </c>
      <c r="E157" s="44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【それもいいかも…】→　赤を消そう！_x000D_【そんなのイヤ！】　→　青を消そう！</v>
      </c>
      <c r="F157" s="220">
        <v>47010028</v>
      </c>
      <c r="G157" s="46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6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57" s="46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6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6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6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46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7" s="46" t="str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7" s="46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5"/>
      <c r="Q157" s="45"/>
      <c r="R157" s="45"/>
    </row>
    <row r="158" spans="1:18" ht="21" customHeight="1" x14ac:dyDescent="0.15">
      <c r="A158" s="37" t="str">
        <f t="shared" si="14"/>
        <v>47010016_47010108</v>
      </c>
      <c r="B158" s="140">
        <v>47010016</v>
      </c>
      <c r="C158" s="137">
        <v>47010108</v>
      </c>
      <c r="D158" s="44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どんな世界だって作ってみせるよ</v>
      </c>
      <c r="E158" s="44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58" s="220">
        <v>47010029</v>
      </c>
      <c r="G158" s="46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6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58" s="46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6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6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6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8" s="46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8" s="46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46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5"/>
      <c r="Q158" s="45"/>
      <c r="R158" s="45"/>
    </row>
    <row r="159" spans="1:18" ht="21" customHeight="1" x14ac:dyDescent="0.15">
      <c r="A159" s="37" t="str">
        <f t="shared" si="14"/>
        <v>47010016_47010101</v>
      </c>
      <c r="B159" s="140">
        <v>47010016</v>
      </c>
      <c r="C159" s="137">
        <v>47010101</v>
      </c>
      <c r="D159" s="44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これは運命さ_x000D_[player_name]もそう思うだろう？</v>
      </c>
      <c r="E159" s="44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【思わない】→　赤を消そう！_x000D_【思う】　　→　青を消そう！</v>
      </c>
      <c r="F159" s="220">
        <v>47010030</v>
      </c>
      <c r="G159" s="46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6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59" s="46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6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6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6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6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9" s="46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6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5"/>
      <c r="Q159" s="45"/>
      <c r="R159" s="45"/>
    </row>
    <row r="160" spans="1:18" ht="21" customHeight="1" x14ac:dyDescent="0.15">
      <c r="A160" s="37" t="str">
        <f t="shared" si="14"/>
        <v>47010016_47010102</v>
      </c>
      <c r="B160" s="140">
        <v>47010016</v>
      </c>
      <c r="C160" s="137">
        <v>47010102</v>
      </c>
      <c r="D160" s="44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運命には誰も抗えないのさ！</v>
      </c>
      <c r="E160" s="44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60" s="220">
        <v>47010031</v>
      </c>
      <c r="G160" s="46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6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60" s="46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6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6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6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0" s="46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60" s="46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6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5"/>
      <c r="Q160" s="45"/>
      <c r="R160" s="45"/>
    </row>
    <row r="161" spans="1:18" ht="21" customHeight="1" x14ac:dyDescent="0.15">
      <c r="A161" s="37" t="str">
        <f t="shared" si="14"/>
        <v>47010016_47010105</v>
      </c>
      <c r="B161" s="140">
        <v>47010016</v>
      </c>
      <c r="C161" s="137">
        <v>47010105</v>
      </c>
      <c r="D161" s="44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バレンタインのお返しは何がいいかい？</v>
      </c>
      <c r="E161" s="44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【受け取らない】　　　　　→　赤を消そう！_x000D_【カゴいっぱいのお菓子！】→　青を消そう！</v>
      </c>
      <c r="F161" s="220">
        <v>47010032</v>
      </c>
      <c r="G161" s="46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6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61" s="46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6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6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6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46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61" s="46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6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5"/>
      <c r="Q161" s="45"/>
      <c r="R161" s="45"/>
    </row>
    <row r="162" spans="1:18" ht="21" customHeight="1" x14ac:dyDescent="0.15">
      <c r="A162" s="37" t="str">
        <f t="shared" si="14"/>
        <v>47010016_47010106</v>
      </c>
      <c r="B162" s="140">
        <v>47010016</v>
      </c>
      <c r="C162" s="137">
        <v>47010106</v>
      </c>
      <c r="D162" s="44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君の望むものなら_x000D_なんだって用意するよ</v>
      </c>
      <c r="E162" s="44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62" s="220">
        <v>47010033</v>
      </c>
      <c r="G162" s="46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6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62" s="46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6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6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6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2" s="46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62" s="46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46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5"/>
      <c r="Q162" s="45"/>
      <c r="R162" s="45"/>
    </row>
    <row r="163" spans="1:18" ht="21" customHeight="1" x14ac:dyDescent="0.15">
      <c r="A163" s="37" t="str">
        <f t="shared" si="14"/>
        <v>47010016_47010103</v>
      </c>
      <c r="B163" s="140">
        <v>47010016</v>
      </c>
      <c r="C163" s="137">
        <v>47010103</v>
      </c>
      <c r="D163" s="44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僕にバレンタインチョコを_x000D_くれたのは君だろう？</v>
      </c>
      <c r="E163" s="44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【うんっ！】　　→　赤を消そう！_x000D_【人違いです！】→　青を消そう！</v>
      </c>
      <c r="F163" s="220">
        <v>47010034</v>
      </c>
      <c r="G163" s="46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6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63" s="46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6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6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6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6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63" s="46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46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5"/>
      <c r="Q163" s="45"/>
      <c r="R163" s="45"/>
    </row>
    <row r="164" spans="1:18" ht="21" customHeight="1" x14ac:dyDescent="0.15">
      <c r="A164" s="37" t="str">
        <f t="shared" si="14"/>
        <v>47010016_47010104</v>
      </c>
      <c r="B164" s="140">
        <v>47010016</v>
      </c>
      <c r="C164" s="137">
        <v>47010104</v>
      </c>
      <c r="D164" s="44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あのチョコ…_x000D_まだ大事にとっておいてあるんだ…</v>
      </c>
      <c r="E164" s="44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64" s="220">
        <v>47010035</v>
      </c>
      <c r="G164" s="46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6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4" s="46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6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6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6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4" s="46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64" s="46" t="str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4" s="46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5"/>
      <c r="Q164" s="45"/>
      <c r="R164" s="45"/>
    </row>
    <row r="165" spans="1:18" ht="21" customHeight="1" thickBot="1" x14ac:dyDescent="0.2">
      <c r="A165" s="37" t="str">
        <f t="shared" si="14"/>
        <v>47010016_47010030</v>
      </c>
      <c r="B165" s="140">
        <v>47010016</v>
      </c>
      <c r="C165" s="303">
        <v>47010030</v>
      </c>
      <c r="D165" s="302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そ、そんな……！_x000D_これが君の答えなのかい…？</v>
      </c>
      <c r="E165" s="302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65" s="301">
        <v>47010036</v>
      </c>
      <c r="G165" s="151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151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65" s="151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151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151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151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151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65" s="151" t="str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5" s="151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5"/>
      <c r="Q165" s="45"/>
      <c r="R165" s="45"/>
    </row>
    <row r="166" spans="1:18" ht="21" customHeight="1" thickTop="1" x14ac:dyDescent="0.15">
      <c r="F16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9"/>
  <sheetViews>
    <sheetView showGridLines="0" tabSelected="1" workbookViewId="0">
      <pane ySplit="1" topLeftCell="A75" activePane="bottomLeft" state="frozenSplit"/>
      <selection pane="bottomLeft" activeCell="B91" sqref="B91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130.1640625" style="47" customWidth="1"/>
    <col min="3" max="3" width="8.5" style="47" customWidth="1"/>
    <col min="4" max="4" width="9.33203125" style="47" customWidth="1"/>
    <col min="5" max="5" width="29" style="47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132</v>
      </c>
      <c r="H1" s="39" t="s">
        <v>138</v>
      </c>
      <c r="I1" s="39" t="s">
        <v>140</v>
      </c>
      <c r="J1" s="39" t="s">
        <v>139</v>
      </c>
      <c r="K1" s="39" t="s">
        <v>141</v>
      </c>
      <c r="L1" s="39" t="s">
        <v>133</v>
      </c>
      <c r="M1" s="39" t="s">
        <v>131</v>
      </c>
      <c r="N1" s="39" t="s">
        <v>134</v>
      </c>
      <c r="O1" s="39" t="s">
        <v>142</v>
      </c>
      <c r="P1" s="39" t="s">
        <v>143</v>
      </c>
      <c r="Q1" s="39" t="s">
        <v>144</v>
      </c>
      <c r="R1" s="39" t="s">
        <v>145</v>
      </c>
      <c r="S1" s="39" t="s">
        <v>135</v>
      </c>
      <c r="T1" s="39" t="s">
        <v>136</v>
      </c>
      <c r="U1" s="39" t="s">
        <v>146</v>
      </c>
      <c r="V1" s="39" t="s">
        <v>147</v>
      </c>
      <c r="W1" s="39" t="s">
        <v>148</v>
      </c>
      <c r="X1" s="39" t="s">
        <v>149</v>
      </c>
      <c r="Y1" s="39" t="s">
        <v>137</v>
      </c>
      <c r="Z1" s="39" t="s">
        <v>76</v>
      </c>
      <c r="AA1" s="39" t="s">
        <v>77</v>
      </c>
      <c r="AB1" s="39" t="s">
        <v>78</v>
      </c>
    </row>
    <row r="2" spans="1:28" ht="21" customHeight="1" x14ac:dyDescent="0.2">
      <c r="A2" s="137">
        <v>47010001</v>
      </c>
      <c r="B2" s="141" t="s">
        <v>453</v>
      </c>
      <c r="C2" s="339">
        <v>3</v>
      </c>
      <c r="D2" s="138" t="s">
        <v>127</v>
      </c>
      <c r="E2" s="139" t="s">
        <v>349</v>
      </c>
      <c r="F2" s="139" t="s">
        <v>363</v>
      </c>
      <c r="G2" s="60" t="str">
        <f>IFERROR(LEFT(B2,FIND("],",B2)),B2)</f>
        <v>[effect:enemy_message, val1:1.6, val2:2.0]</v>
      </c>
      <c r="H2" s="60">
        <f>FIND("effect:",G2)+7</f>
        <v>9</v>
      </c>
      <c r="I2" s="60">
        <f>IFERROR(FIND(",",G2),LEN(G2))</f>
        <v>22</v>
      </c>
      <c r="J2" s="60" t="e">
        <f>FIND("target:",G2)+7</f>
        <v>#VALUE!</v>
      </c>
      <c r="K2" s="60">
        <f>FIND(",",G2,I2+1)</f>
        <v>32</v>
      </c>
      <c r="L2" s="60" t="str">
        <f>IFERROR(VLOOKUP(MID(G2,J2,K2-J2),[5]skilldef!$C:$D,2,FALSE),"-") &amp; " / " &amp; IFERROR(VLOOKUP(MID(G2,H2,I2-H2),[5]skilldef!$A:$B,2,FALSE),"-")</f>
        <v>- / -</v>
      </c>
      <c r="M2" s="60" t="str">
        <f>IFERROR(RIGHT(B2,LEN(B2)-FIND("],",B2)-1),"none")</f>
        <v>[effect:ability_lock, target:unit_all, turn:1],[effect:sleep, target:unit_all, turn:1, rate:1],[effect:fix_speed, target:myself, turn:1]</v>
      </c>
      <c r="N2" s="46" t="str">
        <f>IFERROR(LEFT(M2,FIND("],",M2)+S16),M2)</f>
        <v>[effect:ability_lock, target:unit_all, turn:1],[effect:sleep, target:unit_all, turn:1, rate:1],[effect:fix_speed, target:myself, turn:1]</v>
      </c>
      <c r="O2" s="60">
        <f>FIND("effect:",N2)+7</f>
        <v>9</v>
      </c>
      <c r="P2" s="60">
        <f>IFERROR(FIND(",",N2),LEN(N2))</f>
        <v>21</v>
      </c>
      <c r="Q2" s="60">
        <f>FIND("target:",N2)+7</f>
        <v>30</v>
      </c>
      <c r="R2" s="60">
        <f>FIND(",",N2,P2+1)</f>
        <v>38</v>
      </c>
      <c r="S2" s="60" t="str">
        <f>IFERROR(VLOOKUP(MID(N2,Q2,R2-Q2),[5]skilldef!$C:$D,2,FALSE),"-") &amp; " / " &amp; IFERROR(VLOOKUP(MID(N2,O2,P2-O2),[5]skilldef!$A:$B,2,FALSE),"-")</f>
        <v>味方全体に / -</v>
      </c>
      <c r="T2" s="46" t="str">
        <f>IFERROR(RIGHT(M2,LEN(M2)-FIND("],",M2)-1),"none")</f>
        <v>[effect:sleep, target:unit_all, turn:1, rate:1],[effect:fix_speed, target:myself, turn:1]</v>
      </c>
      <c r="U2" s="60">
        <f>FIND("effect:",T2)+7</f>
        <v>9</v>
      </c>
      <c r="V2" s="60">
        <f>IFERROR(FIND(",",T2),LEN(T2))</f>
        <v>14</v>
      </c>
      <c r="W2" s="60">
        <f>FIND("target:",T2)+7</f>
        <v>23</v>
      </c>
      <c r="X2" s="60">
        <f>FIND(",",T2,V2+1)</f>
        <v>31</v>
      </c>
      <c r="Y2" s="60" t="str">
        <f>IFERROR(VLOOKUP(MID(T2,W2,X2-W2),[5]skilldef!$C:$D,2,FALSE),"-") &amp; " / " &amp; IFERROR(VLOOKUP(MID(T2,U2,V2-U2),[5]skilldef!$A:$B,2,FALSE),"-")</f>
        <v>味方全体に / スリープ</v>
      </c>
      <c r="Z2" s="48"/>
      <c r="AA2" s="50"/>
      <c r="AB2" s="48"/>
    </row>
    <row r="3" spans="1:28" ht="29" customHeight="1" x14ac:dyDescent="0.2">
      <c r="A3" s="146">
        <v>47010002</v>
      </c>
      <c r="B3" s="158" t="s">
        <v>538</v>
      </c>
      <c r="C3" s="339">
        <v>3</v>
      </c>
      <c r="D3" s="159" t="s">
        <v>127</v>
      </c>
      <c r="E3" s="160" t="s">
        <v>445</v>
      </c>
      <c r="F3" s="160" t="s">
        <v>436</v>
      </c>
      <c r="G3" s="60" t="str">
        <f t="shared" ref="G3:G51" si="0">IFERROR(LEFT(B3,FIND("],",B3)),B3)</f>
        <v>[effect:enemy_message, val1:2.9, val2:4.3]</v>
      </c>
      <c r="H3" s="60">
        <f t="shared" ref="H3:H51" si="1">FIND("effect:",G3)+7</f>
        <v>9</v>
      </c>
      <c r="I3" s="60">
        <f t="shared" ref="I3:I51" si="2">IFERROR(FIND(",",G3),LEN(G3))</f>
        <v>22</v>
      </c>
      <c r="J3" s="60" t="e">
        <f t="shared" ref="J3:J51" si="3">FIND("target:",G3)+7</f>
        <v>#VALUE!</v>
      </c>
      <c r="K3" s="60">
        <f t="shared" ref="K3:K51" si="4">FIND(",",G3,I3+1)</f>
        <v>32</v>
      </c>
      <c r="L3" s="60" t="str">
        <f>IFERROR(VLOOKUP(MID(G3,J3,K3-J3),[5]skilldef!$C:$D,2,FALSE),"-") &amp; " / " &amp; IFERROR(VLOOKUP(MID(G3,H3,I3-H3),[5]skilldef!$A:$B,2,FALSE),"-")</f>
        <v>- / -</v>
      </c>
      <c r="M3" s="60" t="str">
        <f t="shared" ref="M3:M51" si="5">IFERROR(RIGHT(B3,LEN(B3)-FIND("],",B3)-1),"none")</f>
        <v>[effect:ability_lock, target:unit_all, turn:1],[effect:sleep, target:unit_all, turn:1, rate:1],[effect:sp_boost, target:unit_blue, val:2],[effect:fix_speed, target:myself, turn:1]</v>
      </c>
      <c r="N3" s="46" t="str">
        <f>IFERROR(LEFT(M3,FIND("],",M3)+S17),M3)</f>
        <v>[effect:ability_lock, target:unit_all, turn:1],[effect:sleep, target:unit_all, turn:1, rate:1],[effect:sp_boost, target:unit_blue, val:2],[effect:fix_speed, target:myself, turn:1]</v>
      </c>
      <c r="O3" s="60">
        <f t="shared" ref="O3:O51" si="6">FIND("effect:",N3)+7</f>
        <v>9</v>
      </c>
      <c r="P3" s="60">
        <f t="shared" ref="P3:P51" si="7">IFERROR(FIND(",",N3),LEN(N3))</f>
        <v>21</v>
      </c>
      <c r="Q3" s="60">
        <f t="shared" ref="Q3:Q51" si="8">FIND("target:",N3)+7</f>
        <v>30</v>
      </c>
      <c r="R3" s="60">
        <f t="shared" ref="R3:R51" si="9">FIND(",",N3,P3+1)</f>
        <v>38</v>
      </c>
      <c r="S3" s="60" t="str">
        <f>IFERROR(VLOOKUP(MID(N3,Q3,R3-Q3),[5]skilldef!$C:$D,2,FALSE),"-") &amp; " / " &amp; IFERROR(VLOOKUP(MID(N3,O3,P3-O3),[5]skilldef!$A:$B,2,FALSE),"-")</f>
        <v>味方全体に / -</v>
      </c>
      <c r="T3" s="46" t="str">
        <f t="shared" ref="T3:T51" si="10">IFERROR(RIGHT(M3,LEN(M3)-FIND("],",M3)-1),"none")</f>
        <v>[effect:sleep, target:unit_all, turn:1, rate:1],[effect:sp_boost, target:unit_blue, val:2],[effect:fix_speed, target:myself, turn:1]</v>
      </c>
      <c r="U3" s="60">
        <f t="shared" ref="U3:U51" si="11">FIND("effect:",T3)+7</f>
        <v>9</v>
      </c>
      <c r="V3" s="60">
        <f t="shared" ref="V3:V51" si="12">IFERROR(FIND(",",T3),LEN(T3))</f>
        <v>14</v>
      </c>
      <c r="W3" s="60">
        <f t="shared" ref="W3:W51" si="13">FIND("target:",T3)+7</f>
        <v>23</v>
      </c>
      <c r="X3" s="60">
        <f t="shared" ref="X3:X51" si="14">FIND(",",T3,V3+1)</f>
        <v>31</v>
      </c>
      <c r="Y3" s="60" t="str">
        <f>IFERROR(VLOOKUP(MID(T3,W3,X3-W3),[5]skilldef!$C:$D,2,FALSE),"-") &amp; " / " &amp; IFERROR(VLOOKUP(MID(T3,U3,V3-U3),[5]skilldef!$A:$B,2,FALSE),"-")</f>
        <v>味方全体に / スリープ</v>
      </c>
      <c r="Z3" s="48"/>
      <c r="AA3" s="50"/>
      <c r="AB3" s="48"/>
    </row>
    <row r="4" spans="1:28" ht="47" customHeight="1" x14ac:dyDescent="0.2">
      <c r="A4" s="146">
        <v>47010003</v>
      </c>
      <c r="B4" s="158" t="s">
        <v>473</v>
      </c>
      <c r="C4" s="339">
        <v>3</v>
      </c>
      <c r="D4" s="159" t="s">
        <v>127</v>
      </c>
      <c r="E4" s="160" t="s">
        <v>414</v>
      </c>
      <c r="F4" s="160" t="s">
        <v>454</v>
      </c>
      <c r="G4" s="60" t="str">
        <f t="shared" ref="G4" si="15">IFERROR(LEFT(B4,FIND("],",B4)),B4)</f>
        <v>[effect:enemy_message, val1:2.9, val2:5.0]</v>
      </c>
      <c r="H4" s="60">
        <f t="shared" ref="H4" si="16">FIND("effect:",G4)+7</f>
        <v>9</v>
      </c>
      <c r="I4" s="60">
        <f t="shared" ref="I4" si="17">IFERROR(FIND(",",G4),LEN(G4))</f>
        <v>22</v>
      </c>
      <c r="J4" s="60" t="e">
        <f t="shared" ref="J4" si="18">FIND("target:",G4)+7</f>
        <v>#VALUE!</v>
      </c>
      <c r="K4" s="60">
        <f t="shared" ref="K4" si="19">FIND(",",G4,I4+1)</f>
        <v>32</v>
      </c>
      <c r="L4" s="60" t="str">
        <f>IFERROR(VLOOKUP(MID(G4,J4,K4-J4),[5]skilldef!$C:$D,2,FALSE),"-") &amp; " / " &amp; IFERROR(VLOOKUP(MID(G4,H4,I4-H4),[5]skilldef!$A:$B,2,FALSE),"-")</f>
        <v>- / -</v>
      </c>
      <c r="M4" s="60" t="str">
        <f t="shared" ref="M4" si="20">IFERROR(RIGHT(B4,LEN(B4)-FIND("],",B4)-1),"none")</f>
        <v>[effect:ability_lock, target:unit_all, turn:1],[effect:sleep, target:unit_all, turn:1, rate:1],[effect:enhance_unit, target:unit_green, turn:-1, status:attack, val:0.05, calc:mul],[effect:sp_boost, target:unit_green, val:3],[effect:fix_speed, target:myself, turn:1]</v>
      </c>
      <c r="N4" s="46" t="str">
        <f>IFERROR(LEFT(M4,FIND("],",M4)+S17),M4)</f>
        <v>[effect:ability_lock, target:unit_all, turn:1],[effect:sleep, target:unit_all, turn:1, rate:1],[effect:enhance_unit, target:unit_green, turn:-1, status:attack, val:0.05, calc:mul],[effect:sp_boost, target:unit_green, val:3],[effect:fix_speed, target:myself, turn:1]</v>
      </c>
      <c r="O4" s="60">
        <f t="shared" ref="O4" si="21">FIND("effect:",N4)+7</f>
        <v>9</v>
      </c>
      <c r="P4" s="60">
        <f t="shared" ref="P4" si="22">IFERROR(FIND(",",N4),LEN(N4))</f>
        <v>21</v>
      </c>
      <c r="Q4" s="60">
        <f t="shared" ref="Q4" si="23">FIND("target:",N4)+7</f>
        <v>30</v>
      </c>
      <c r="R4" s="60">
        <f t="shared" ref="R4" si="24">FIND(",",N4,P4+1)</f>
        <v>38</v>
      </c>
      <c r="S4" s="60" t="str">
        <f>IFERROR(VLOOKUP(MID(N4,Q4,R4-Q4),[5]skilldef!$C:$D,2,FALSE),"-") &amp; " / " &amp; IFERROR(VLOOKUP(MID(N4,O4,P4-O4),[5]skilldef!$A:$B,2,FALSE),"-")</f>
        <v>味方全体に / -</v>
      </c>
      <c r="T4" s="46" t="str">
        <f t="shared" ref="T4" si="25">IFERROR(RIGHT(M4,LEN(M4)-FIND("],",M4)-1),"none")</f>
        <v>[effect:sleep, target:unit_all, turn:1, rate:1],[effect:enhance_unit, target:unit_green, turn:-1, status:attack, val:0.05, calc:mul],[effect:sp_boost, target:unit_green, val:3],[effect:fix_speed, target:myself, turn:1]</v>
      </c>
      <c r="U4" s="60">
        <f t="shared" ref="U4" si="26">FIND("effect:",T4)+7</f>
        <v>9</v>
      </c>
      <c r="V4" s="60">
        <f t="shared" ref="V4" si="27">IFERROR(FIND(",",T4),LEN(T4))</f>
        <v>14</v>
      </c>
      <c r="W4" s="60">
        <f t="shared" ref="W4" si="28">FIND("target:",T4)+7</f>
        <v>23</v>
      </c>
      <c r="X4" s="60">
        <f t="shared" ref="X4" si="29">FIND(",",T4,V4+1)</f>
        <v>31</v>
      </c>
      <c r="Y4" s="60" t="str">
        <f>IFERROR(VLOOKUP(MID(T4,W4,X4-W4),[5]skilldef!$C:$D,2,FALSE),"-") &amp; " / " &amp; IFERROR(VLOOKUP(MID(T4,U4,V4-U4),[5]skilldef!$A:$B,2,FALSE),"-")</f>
        <v>味方全体に / スリープ</v>
      </c>
      <c r="Z4" s="48"/>
      <c r="AA4" s="50"/>
      <c r="AB4" s="48"/>
    </row>
    <row r="5" spans="1:28" ht="47" customHeight="1" x14ac:dyDescent="0.2">
      <c r="A5" s="146">
        <v>47010004</v>
      </c>
      <c r="B5" s="158" t="s">
        <v>472</v>
      </c>
      <c r="C5" s="339">
        <v>3</v>
      </c>
      <c r="D5" s="159" t="s">
        <v>127</v>
      </c>
      <c r="E5" s="160" t="s">
        <v>365</v>
      </c>
      <c r="F5" s="160" t="s">
        <v>455</v>
      </c>
      <c r="G5" s="60" t="str">
        <f t="shared" si="0"/>
        <v>[effect:enemy_message, val1:2.9, val2:5.0]</v>
      </c>
      <c r="H5" s="60">
        <f t="shared" si="1"/>
        <v>9</v>
      </c>
      <c r="I5" s="60">
        <f t="shared" si="2"/>
        <v>22</v>
      </c>
      <c r="J5" s="60" t="e">
        <f t="shared" si="3"/>
        <v>#VALUE!</v>
      </c>
      <c r="K5" s="60">
        <f t="shared" si="4"/>
        <v>32</v>
      </c>
      <c r="L5" s="60" t="str">
        <f>IFERROR(VLOOKUP(MID(G5,J5,K5-J5),[5]skilldef!$C:$D,2,FALSE),"-") &amp; " / " &amp; IFERROR(VLOOKUP(MID(G5,H5,I5-H5),[5]skilldef!$A:$B,2,FALSE),"-")</f>
        <v>- / -</v>
      </c>
      <c r="M5" s="60" t="str">
        <f t="shared" si="5"/>
        <v>[effect:ability_lock, target:unit_all, turn:1],[effect:sleep, target:unit_all, turn:1, rate:1],[effect:enhance_unit, target:unit_green, turn:-1, status:attack, val:0.05, calc:mul],[effect:sp_boost, target:unit_green, val:3],[effect:fix_speed, target:myself, turn:1]</v>
      </c>
      <c r="N5" s="46" t="str">
        <f>IFERROR(LEFT(M5,FIND("],",M5)+S18),M5)</f>
        <v>[effect:ability_lock, target:unit_all, turn:1],[effect:sleep, target:unit_all, turn:1, rate:1],[effect:enhance_unit, target:unit_green, turn:-1, status:attack, val:0.05, calc:mul],[effect:sp_boost, target:unit_green, val:3],[effect:fix_speed, target:myself, turn:1]</v>
      </c>
      <c r="O5" s="60">
        <f t="shared" si="6"/>
        <v>9</v>
      </c>
      <c r="P5" s="60">
        <f t="shared" si="7"/>
        <v>21</v>
      </c>
      <c r="Q5" s="60">
        <f t="shared" si="8"/>
        <v>30</v>
      </c>
      <c r="R5" s="60">
        <f t="shared" si="9"/>
        <v>38</v>
      </c>
      <c r="S5" s="60" t="str">
        <f>IFERROR(VLOOKUP(MID(N5,Q5,R5-Q5),[5]skilldef!$C:$D,2,FALSE),"-") &amp; " / " &amp; IFERROR(VLOOKUP(MID(N5,O5,P5-O5),[5]skilldef!$A:$B,2,FALSE),"-")</f>
        <v>味方全体に / -</v>
      </c>
      <c r="T5" s="46" t="str">
        <f t="shared" si="10"/>
        <v>[effect:sleep, target:unit_all, turn:1, rate:1],[effect:enhance_unit, target:unit_green, turn:-1, status:attack, val:0.05, calc:mul],[effect:sp_boost, target:unit_green, val:3],[effect:fix_speed, target:myself, turn:1]</v>
      </c>
      <c r="U5" s="60">
        <f t="shared" si="11"/>
        <v>9</v>
      </c>
      <c r="V5" s="60">
        <f t="shared" si="12"/>
        <v>14</v>
      </c>
      <c r="W5" s="60">
        <f t="shared" si="13"/>
        <v>23</v>
      </c>
      <c r="X5" s="60">
        <f t="shared" si="14"/>
        <v>31</v>
      </c>
      <c r="Y5" s="60" t="str">
        <f>IFERROR(VLOOKUP(MID(T5,W5,X5-W5),[5]skilldef!$C:$D,2,FALSE),"-") &amp; " / " &amp; IFERROR(VLOOKUP(MID(T5,U5,V5-U5),[5]skilldef!$A:$B,2,FALSE),"-")</f>
        <v>味方全体に / スリープ</v>
      </c>
      <c r="Z5" s="48"/>
      <c r="AA5" s="50"/>
      <c r="AB5" s="48"/>
    </row>
    <row r="6" spans="1:28" ht="33" customHeight="1" x14ac:dyDescent="0.2">
      <c r="A6" s="146">
        <v>47010005</v>
      </c>
      <c r="B6" s="158" t="s">
        <v>474</v>
      </c>
      <c r="C6" s="339">
        <v>3</v>
      </c>
      <c r="D6" s="159" t="s">
        <v>127</v>
      </c>
      <c r="E6" s="160" t="s">
        <v>465</v>
      </c>
      <c r="F6" s="160" t="s">
        <v>364</v>
      </c>
      <c r="G6" s="60" t="str">
        <f t="shared" ref="G6" si="30">IFERROR(LEFT(B6,FIND("],",B6)),B6)</f>
        <v>[effect:enemy_message, val1:2.7, val2:2.0]</v>
      </c>
      <c r="H6" s="60">
        <f t="shared" ref="H6" si="31">FIND("effect:",G6)+7</f>
        <v>9</v>
      </c>
      <c r="I6" s="60">
        <f t="shared" ref="I6" si="32">IFERROR(FIND(",",G6),LEN(G6))</f>
        <v>22</v>
      </c>
      <c r="J6" s="60" t="e">
        <f t="shared" ref="J6" si="33">FIND("target:",G6)+7</f>
        <v>#VALUE!</v>
      </c>
      <c r="K6" s="60">
        <f t="shared" ref="K6" si="34">FIND(",",G6,I6+1)</f>
        <v>32</v>
      </c>
      <c r="L6" s="60" t="str">
        <f>IFERROR(VLOOKUP(MID(G6,J6,K6-J6),[5]skilldef!$C:$D,2,FALSE),"-") &amp; " / " &amp; IFERROR(VLOOKUP(MID(G6,H6,I6-H6),[5]skilldef!$A:$B,2,FALSE),"-")</f>
        <v>- / -</v>
      </c>
      <c r="M6" s="60" t="str">
        <f t="shared" ref="M6" si="35">IFERROR(RIGHT(B6,LEN(B6)-FIND("],",B6)-1),"none")</f>
        <v>[effect:ability_lock, target:unit_all, turn:1],[effect:sleep, target:unit_all, turn:1, rate:1],[effect:fix_speed, target:myself, turn:1]</v>
      </c>
      <c r="N6" s="46" t="str">
        <f>IFERROR(LEFT(M6,FIND("],",M6)+S19),M6)</f>
        <v>[effect:ability_lock, target:unit_all, turn:1],[effect:sleep, target:unit_all, turn:1, rate:1],[effect:fix_speed, target:myself, turn:1]</v>
      </c>
      <c r="O6" s="60">
        <f t="shared" ref="O6" si="36">FIND("effect:",N6)+7</f>
        <v>9</v>
      </c>
      <c r="P6" s="60">
        <f t="shared" ref="P6" si="37">IFERROR(FIND(",",N6),LEN(N6))</f>
        <v>21</v>
      </c>
      <c r="Q6" s="60">
        <f t="shared" ref="Q6" si="38">FIND("target:",N6)+7</f>
        <v>30</v>
      </c>
      <c r="R6" s="60">
        <f t="shared" ref="R6" si="39">FIND(",",N6,P6+1)</f>
        <v>38</v>
      </c>
      <c r="S6" s="60" t="str">
        <f>IFERROR(VLOOKUP(MID(N6,Q6,R6-Q6),[5]skilldef!$C:$D,2,FALSE),"-") &amp; " / " &amp; IFERROR(VLOOKUP(MID(N6,O6,P6-O6),[5]skilldef!$A:$B,2,FALSE),"-")</f>
        <v>味方全体に / -</v>
      </c>
      <c r="T6" s="46" t="str">
        <f t="shared" ref="T6" si="40">IFERROR(RIGHT(M6,LEN(M6)-FIND("],",M6)-1),"none")</f>
        <v>[effect:sleep, target:unit_all, turn:1, rate:1],[effect:fix_speed, target:myself, turn:1]</v>
      </c>
      <c r="U6" s="60">
        <f t="shared" ref="U6" si="41">FIND("effect:",T6)+7</f>
        <v>9</v>
      </c>
      <c r="V6" s="60">
        <f t="shared" ref="V6" si="42">IFERROR(FIND(",",T6),LEN(T6))</f>
        <v>14</v>
      </c>
      <c r="W6" s="60">
        <f t="shared" ref="W6" si="43">FIND("target:",T6)+7</f>
        <v>23</v>
      </c>
      <c r="X6" s="60">
        <f t="shared" ref="X6" si="44">FIND(",",T6,V6+1)</f>
        <v>31</v>
      </c>
      <c r="Y6" s="60" t="str">
        <f>IFERROR(VLOOKUP(MID(T6,W6,X6-W6),[5]skilldef!$C:$D,2,FALSE),"-") &amp; " / " &amp; IFERROR(VLOOKUP(MID(T6,U6,V6-U6),[5]skilldef!$A:$B,2,FALSE),"-")</f>
        <v>味方全体に / スリープ</v>
      </c>
      <c r="Z6" s="48"/>
      <c r="AA6" s="50"/>
      <c r="AB6" s="48"/>
    </row>
    <row r="7" spans="1:28" ht="21" customHeight="1" x14ac:dyDescent="0.2">
      <c r="A7" s="137">
        <v>47010006</v>
      </c>
      <c r="B7" s="141" t="s">
        <v>409</v>
      </c>
      <c r="C7" s="339">
        <v>3</v>
      </c>
      <c r="D7" s="138" t="s">
        <v>127</v>
      </c>
      <c r="E7" s="139" t="s">
        <v>250</v>
      </c>
      <c r="F7" s="139" t="s">
        <v>290</v>
      </c>
      <c r="G7" s="60" t="str">
        <f t="shared" si="0"/>
        <v>[effect:enemy_message, val1:1.5, val2:0]</v>
      </c>
      <c r="H7" s="60">
        <f t="shared" si="1"/>
        <v>9</v>
      </c>
      <c r="I7" s="60">
        <f t="shared" si="2"/>
        <v>22</v>
      </c>
      <c r="J7" s="60" t="e">
        <f t="shared" si="3"/>
        <v>#VALUE!</v>
      </c>
      <c r="K7" s="60">
        <f t="shared" si="4"/>
        <v>32</v>
      </c>
      <c r="L7" s="60" t="str">
        <f>IFERROR(VLOOKUP(MID(G7,J7,K7-J7),[5]skilldef!$C:$D,2,FALSE),"-") &amp; " / " &amp; IFERROR(VLOOKUP(MID(G7,H7,I7-H7),[5]skilldef!$A:$B,2,FALSE),"-")</f>
        <v>- / -</v>
      </c>
      <c r="M7" s="60" t="str">
        <f t="shared" si="5"/>
        <v>[effect:suicide, target:myself, val:1]</v>
      </c>
      <c r="N7" s="46" t="str">
        <f>IFERROR(LEFT(M7,FIND("],",M7)+S19),M7)</f>
        <v>[effect:suicide, target:myself, val:1]</v>
      </c>
      <c r="O7" s="60">
        <f t="shared" si="6"/>
        <v>9</v>
      </c>
      <c r="P7" s="60">
        <f t="shared" si="7"/>
        <v>16</v>
      </c>
      <c r="Q7" s="60">
        <f t="shared" si="8"/>
        <v>25</v>
      </c>
      <c r="R7" s="60">
        <f t="shared" si="9"/>
        <v>31</v>
      </c>
      <c r="S7" s="60" t="str">
        <f>IFERROR(VLOOKUP(MID(N7,Q7,R7-Q7),[5]skilldef!$C:$D,2,FALSE),"-") &amp; " / " &amp; IFERROR(VLOOKUP(MID(N7,O7,P7-O7),[5]skilldef!$A:$B,2,FALSE),"-")</f>
        <v>自分自身に / -</v>
      </c>
      <c r="T7" s="46" t="str">
        <f t="shared" si="10"/>
        <v>none</v>
      </c>
      <c r="U7" s="60" t="e">
        <f t="shared" si="11"/>
        <v>#VALUE!</v>
      </c>
      <c r="V7" s="60">
        <f t="shared" si="12"/>
        <v>4</v>
      </c>
      <c r="W7" s="60" t="e">
        <f t="shared" si="13"/>
        <v>#VALUE!</v>
      </c>
      <c r="X7" s="60" t="e">
        <f t="shared" si="14"/>
        <v>#VALUE!</v>
      </c>
      <c r="Y7" s="60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</row>
    <row r="8" spans="1:28" ht="36" customHeight="1" x14ac:dyDescent="0.2">
      <c r="A8" s="140">
        <v>47010007</v>
      </c>
      <c r="B8" s="142" t="s">
        <v>410</v>
      </c>
      <c r="C8" s="339">
        <v>3</v>
      </c>
      <c r="D8" s="48" t="s">
        <v>127</v>
      </c>
      <c r="E8" s="49" t="s">
        <v>286</v>
      </c>
      <c r="F8" s="49" t="s">
        <v>266</v>
      </c>
      <c r="G8" s="60" t="str">
        <f t="shared" si="0"/>
        <v>[effect:enemy_message, val1:1.5, val2:0]</v>
      </c>
      <c r="H8" s="60">
        <f t="shared" si="1"/>
        <v>9</v>
      </c>
      <c r="I8" s="60">
        <f t="shared" si="2"/>
        <v>22</v>
      </c>
      <c r="J8" s="60" t="e">
        <f t="shared" si="3"/>
        <v>#VALUE!</v>
      </c>
      <c r="K8" s="60">
        <f t="shared" si="4"/>
        <v>32</v>
      </c>
      <c r="L8" s="60" t="str">
        <f>IFERROR(VLOOKUP(MID(G8,J8,K8-J8),[5]skilldef!$C:$D,2,FALSE),"-") &amp; " / " &amp; IFERROR(VLOOKUP(MID(G8,H8,I8-H8),[5]skilldef!$A:$B,2,FALSE),"-")</f>
        <v>- / -</v>
      </c>
      <c r="M8" s="60" t="str">
        <f t="shared" si="5"/>
        <v>[effect:ability_lock, target:unit_all, turn:1],[effect:sleep, target:unit_all, turn:1, rate:1],[effect:fix_speed, target:myself, turn:1]</v>
      </c>
      <c r="N8" s="46" t="str">
        <f>IFERROR(LEFT(M8,FIND("],",M8)+S20),M8)</f>
        <v>[effect:ability_lock, target:unit_all, turn:1],[effect:sleep, target:unit_all, turn:1, rate:1],[effect:fix_speed, target:myself, turn:1]</v>
      </c>
      <c r="O8" s="60">
        <f t="shared" si="6"/>
        <v>9</v>
      </c>
      <c r="P8" s="60">
        <f t="shared" si="7"/>
        <v>21</v>
      </c>
      <c r="Q8" s="60">
        <f t="shared" si="8"/>
        <v>30</v>
      </c>
      <c r="R8" s="60">
        <f t="shared" si="9"/>
        <v>38</v>
      </c>
      <c r="S8" s="60" t="str">
        <f>IFERROR(VLOOKUP(MID(N8,Q8,R8-Q8),[5]skilldef!$C:$D,2,FALSE),"-") &amp; " / " &amp; IFERROR(VLOOKUP(MID(N8,O8,P8-O8),[5]skilldef!$A:$B,2,FALSE),"-")</f>
        <v>味方全体に / -</v>
      </c>
      <c r="T8" s="46" t="str">
        <f t="shared" si="10"/>
        <v>[effect:sleep, target:unit_all, turn:1, rate:1],[effect:fix_speed, target:myself, turn:1]</v>
      </c>
      <c r="U8" s="60">
        <f t="shared" si="11"/>
        <v>9</v>
      </c>
      <c r="V8" s="60">
        <f t="shared" si="12"/>
        <v>14</v>
      </c>
      <c r="W8" s="60">
        <f t="shared" si="13"/>
        <v>23</v>
      </c>
      <c r="X8" s="60">
        <f t="shared" si="14"/>
        <v>31</v>
      </c>
      <c r="Y8" s="60" t="str">
        <f>IFERROR(VLOOKUP(MID(T8,W8,X8-W8),[5]skilldef!$C:$D,2,FALSE),"-") &amp; " / " &amp; IFERROR(VLOOKUP(MID(T8,U8,V8-U8),[5]skilldef!$A:$B,2,FALSE),"-")</f>
        <v>味方全体に / スリープ</v>
      </c>
      <c r="Z8" s="48"/>
      <c r="AA8" s="50"/>
      <c r="AB8" s="48"/>
    </row>
    <row r="9" spans="1:28" ht="35" customHeight="1" x14ac:dyDescent="0.2">
      <c r="A9" s="140">
        <v>47010008</v>
      </c>
      <c r="B9" s="142" t="s">
        <v>411</v>
      </c>
      <c r="C9" s="339">
        <v>3</v>
      </c>
      <c r="D9" s="48" t="s">
        <v>127</v>
      </c>
      <c r="E9" s="49" t="s">
        <v>251</v>
      </c>
      <c r="F9" s="49" t="s">
        <v>266</v>
      </c>
      <c r="G9" s="60" t="str">
        <f t="shared" ref="G9" si="45">IFERROR(LEFT(B9,FIND("],",B9)),B9)</f>
        <v>[effect:enemy_message, val1:2.4, val2:0]</v>
      </c>
      <c r="H9" s="60">
        <f t="shared" ref="H9" si="46">FIND("effect:",G9)+7</f>
        <v>9</v>
      </c>
      <c r="I9" s="60">
        <f t="shared" ref="I9" si="47">IFERROR(FIND(",",G9),LEN(G9))</f>
        <v>22</v>
      </c>
      <c r="J9" s="60" t="e">
        <f t="shared" ref="J9" si="48">FIND("target:",G9)+7</f>
        <v>#VALUE!</v>
      </c>
      <c r="K9" s="60">
        <f t="shared" ref="K9" si="49">FIND(",",G9,I9+1)</f>
        <v>32</v>
      </c>
      <c r="L9" s="60" t="str">
        <f>IFERROR(VLOOKUP(MID(G9,J9,K9-J9),[5]skilldef!$C:$D,2,FALSE),"-") &amp; " / " &amp; IFERROR(VLOOKUP(MID(G9,H9,I9-H9),[5]skilldef!$A:$B,2,FALSE),"-")</f>
        <v>- / -</v>
      </c>
      <c r="M9" s="60" t="str">
        <f t="shared" ref="M9" si="50">IFERROR(RIGHT(B9,LEN(B9)-FIND("],",B9)-1),"none")</f>
        <v>[effect:suicide, target:myself, val:1, dead_type:escape]</v>
      </c>
      <c r="N9" s="46" t="str">
        <f>IFERROR(LEFT(M9,FIND("],",M9)+S21),M9)</f>
        <v>[effect:suicide, target:myself, val:1, dead_type:escape]</v>
      </c>
      <c r="O9" s="60">
        <f t="shared" ref="O9" si="51">FIND("effect:",N9)+7</f>
        <v>9</v>
      </c>
      <c r="P9" s="60">
        <f t="shared" ref="P9" si="52">IFERROR(FIND(",",N9),LEN(N9))</f>
        <v>16</v>
      </c>
      <c r="Q9" s="60">
        <f t="shared" ref="Q9" si="53">FIND("target:",N9)+7</f>
        <v>25</v>
      </c>
      <c r="R9" s="60">
        <f t="shared" ref="R9" si="54">FIND(",",N9,P9+1)</f>
        <v>31</v>
      </c>
      <c r="S9" s="60" t="str">
        <f>IFERROR(VLOOKUP(MID(N9,Q9,R9-Q9),[5]skilldef!$C:$D,2,FALSE),"-") &amp; " / " &amp; IFERROR(VLOOKUP(MID(N9,O9,P9-O9),[5]skilldef!$A:$B,2,FALSE),"-")</f>
        <v>自分自身に / -</v>
      </c>
      <c r="T9" s="46" t="str">
        <f t="shared" ref="T9" si="55">IFERROR(RIGHT(M9,LEN(M9)-FIND("],",M9)-1),"none")</f>
        <v>none</v>
      </c>
      <c r="U9" s="60" t="e">
        <f t="shared" ref="U9" si="56">FIND("effect:",T9)+7</f>
        <v>#VALUE!</v>
      </c>
      <c r="V9" s="60">
        <f t="shared" ref="V9" si="57">IFERROR(FIND(",",T9),LEN(T9))</f>
        <v>4</v>
      </c>
      <c r="W9" s="60" t="e">
        <f t="shared" ref="W9" si="58">FIND("target:",T9)+7</f>
        <v>#VALUE!</v>
      </c>
      <c r="X9" s="60" t="e">
        <f t="shared" ref="X9" si="59">FIND(",",T9,V9+1)</f>
        <v>#VALUE!</v>
      </c>
      <c r="Y9" s="60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</row>
    <row r="10" spans="1:28" ht="26" customHeight="1" x14ac:dyDescent="0.2">
      <c r="A10" s="140">
        <v>47010009</v>
      </c>
      <c r="B10" s="142" t="s">
        <v>413</v>
      </c>
      <c r="C10" s="339">
        <v>3</v>
      </c>
      <c r="D10" s="48" t="s">
        <v>127</v>
      </c>
      <c r="E10" s="49" t="s">
        <v>305</v>
      </c>
      <c r="F10" s="49" t="s">
        <v>462</v>
      </c>
      <c r="G10" s="60" t="str">
        <f t="shared" si="0"/>
        <v>[effect:enemy_message, val1:2.0, val2:2.0]</v>
      </c>
      <c r="H10" s="60">
        <f t="shared" si="1"/>
        <v>9</v>
      </c>
      <c r="I10" s="60">
        <f t="shared" si="2"/>
        <v>22</v>
      </c>
      <c r="J10" s="60" t="e">
        <f t="shared" si="3"/>
        <v>#VALUE!</v>
      </c>
      <c r="K10" s="60">
        <f t="shared" si="4"/>
        <v>32</v>
      </c>
      <c r="L10" s="60" t="str">
        <f>IFERROR(VLOOKUP(MID(G10,J10,K10-J10),[5]skilldef!$C:$D,2,FALSE),"-") &amp; " / " &amp; IFERROR(VLOOKUP(MID(G10,H10,I10-H10),[5]skilldef!$A:$B,2,FALSE),"-")</f>
        <v>- / -</v>
      </c>
      <c r="M10" s="60" t="str">
        <f t="shared" si="5"/>
        <v>[effect:suicide, target:myself, val:1, dead_type:escape]</v>
      </c>
      <c r="N10" s="46" t="str">
        <f>IFERROR(LEFT(M10,FIND("],",M10)+S21),M10)</f>
        <v>[effect:suicide, target:myself, val:1, dead_type:escape]</v>
      </c>
      <c r="O10" s="60">
        <f t="shared" si="6"/>
        <v>9</v>
      </c>
      <c r="P10" s="60">
        <f t="shared" si="7"/>
        <v>16</v>
      </c>
      <c r="Q10" s="60">
        <f t="shared" si="8"/>
        <v>25</v>
      </c>
      <c r="R10" s="60">
        <f t="shared" si="9"/>
        <v>31</v>
      </c>
      <c r="S10" s="60" t="str">
        <f>IFERROR(VLOOKUP(MID(N10,Q10,R10-Q10),[5]skilldef!$C:$D,2,FALSE),"-") &amp; " / " &amp; IFERROR(VLOOKUP(MID(N10,O10,P10-O10),[5]skilldef!$A:$B,2,FALSE),"-")</f>
        <v>自分自身に / -</v>
      </c>
      <c r="T10" s="46" t="str">
        <f t="shared" si="10"/>
        <v>none</v>
      </c>
      <c r="U10" s="60" t="e">
        <f t="shared" si="11"/>
        <v>#VALUE!</v>
      </c>
      <c r="V10" s="60">
        <f t="shared" si="12"/>
        <v>4</v>
      </c>
      <c r="W10" s="60" t="e">
        <f t="shared" si="13"/>
        <v>#VALUE!</v>
      </c>
      <c r="X10" s="60" t="e">
        <f t="shared" si="14"/>
        <v>#VALUE!</v>
      </c>
      <c r="Y10" s="60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</row>
    <row r="11" spans="1:28" ht="45" customHeight="1" x14ac:dyDescent="0.2">
      <c r="A11" s="137">
        <v>47010010</v>
      </c>
      <c r="B11" s="141" t="s">
        <v>544</v>
      </c>
      <c r="C11" s="339">
        <v>3</v>
      </c>
      <c r="D11" s="138" t="s">
        <v>127</v>
      </c>
      <c r="E11" s="139" t="s">
        <v>367</v>
      </c>
      <c r="F11" s="139" t="s">
        <v>412</v>
      </c>
      <c r="G11" s="60" t="str">
        <f t="shared" si="0"/>
        <v>[effect:enemy_message, val1:1.6, val2:3.8]</v>
      </c>
      <c r="H11" s="60">
        <f t="shared" si="1"/>
        <v>9</v>
      </c>
      <c r="I11" s="60">
        <f t="shared" si="2"/>
        <v>22</v>
      </c>
      <c r="J11" s="60" t="e">
        <f t="shared" si="3"/>
        <v>#VALUE!</v>
      </c>
      <c r="K11" s="60">
        <f t="shared" si="4"/>
        <v>32</v>
      </c>
      <c r="L11" s="60" t="str">
        <f>IFERROR(VLOOKUP(MID(G11,J11,K11-J11),[5]skilldef!$C:$D,2,FALSE),"-") &amp; " / " &amp; IFERROR(VLOOKUP(MID(G11,H11,I11-H11),[5]skilldef!$A:$B,2,FALSE),"-")</f>
        <v>- / -</v>
      </c>
      <c r="M11" s="60" t="str">
        <f t="shared" si="5"/>
        <v>[effect:set_background, turn:-1, background_id:979, switching_mode:go_back, duration:1],[effect:tolerance,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v>
      </c>
      <c r="N11" s="46" t="str">
        <f>IFERROR(LEFT(M11,FIND("],",M11)+#REF!),M11)</f>
        <v>[effect:set_background, turn:-1, background_id:979, switching_mode:go_back, duration:1],[effect:tolerance,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v>
      </c>
      <c r="O11" s="60">
        <f t="shared" si="6"/>
        <v>9</v>
      </c>
      <c r="P11" s="60">
        <f t="shared" si="7"/>
        <v>23</v>
      </c>
      <c r="Q11" s="60">
        <f t="shared" si="8"/>
        <v>115</v>
      </c>
      <c r="R11" s="60">
        <f t="shared" si="9"/>
        <v>32</v>
      </c>
      <c r="S11" s="60" t="str">
        <f>IFERROR(VLOOKUP(MID(N11,Q11,R11-Q11),[5]skilldef!$C:$D,2,FALSE),"-") &amp; " / " &amp; IFERROR(VLOOKUP(MID(N11,O11,P11-O11),[5]skilldef!$A:$B,2,FALSE),"-")</f>
        <v>- / -</v>
      </c>
      <c r="T11" s="46" t="str">
        <f t="shared" si="10"/>
        <v>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v>
      </c>
      <c r="U11" s="60">
        <f t="shared" si="11"/>
        <v>9</v>
      </c>
      <c r="V11" s="60">
        <f t="shared" si="12"/>
        <v>18</v>
      </c>
      <c r="W11" s="60">
        <f t="shared" si="13"/>
        <v>27</v>
      </c>
      <c r="X11" s="60">
        <f t="shared" si="14"/>
        <v>33</v>
      </c>
      <c r="Y11" s="60" t="str">
        <f>IFERROR(VLOOKUP(MID(T11,W11,X11-W11),[5]skilldef!$C:$D,2,FALSE),"-") &amp; " / " &amp; IFERROR(VLOOKUP(MID(T11,U11,V11-U11),[5]skilldef!$A:$B,2,FALSE),"-")</f>
        <v>自分自身に / 状態異常耐性</v>
      </c>
      <c r="Z11" s="48"/>
      <c r="AA11" s="50"/>
      <c r="AB11" s="48"/>
    </row>
    <row r="12" spans="1:28" ht="45" customHeight="1" x14ac:dyDescent="0.2">
      <c r="A12" s="215">
        <v>47010090</v>
      </c>
      <c r="B12" s="216" t="s">
        <v>425</v>
      </c>
      <c r="C12" s="339">
        <v>3</v>
      </c>
      <c r="D12" s="217" t="s">
        <v>127</v>
      </c>
      <c r="E12" s="218" t="s">
        <v>471</v>
      </c>
      <c r="F12" s="218" t="s">
        <v>461</v>
      </c>
      <c r="G12" s="60" t="str">
        <f t="shared" ref="G12" si="60">IFERROR(LEFT(B12,FIND("],",B12)),B12)</f>
        <v>[effect:enemy_message, val1:2.1, val2:2.9]</v>
      </c>
      <c r="H12" s="60">
        <f t="shared" ref="H12" si="61">FIND("effect:",G12)+7</f>
        <v>9</v>
      </c>
      <c r="I12" s="60">
        <f t="shared" ref="I12" si="62">IFERROR(FIND(",",G12),LEN(G12))</f>
        <v>22</v>
      </c>
      <c r="J12" s="60" t="e">
        <f t="shared" ref="J12" si="63">FIND("target:",G12)+7</f>
        <v>#VALUE!</v>
      </c>
      <c r="K12" s="60">
        <f t="shared" ref="K12" si="64">FIND(",",G12,I12+1)</f>
        <v>32</v>
      </c>
      <c r="L12" s="60" t="str">
        <f>IFERROR(VLOOKUP(MID(G12,J12,K12-J12),[5]skilldef!$C:$D,2,FALSE),"-") &amp; " / " &amp; IFERROR(VLOOKUP(MID(G12,H12,I12-H12),[5]skilldef!$A:$B,2,FALSE),"-")</f>
        <v>- / -</v>
      </c>
      <c r="M12" s="60" t="str">
        <f t="shared" ref="M12" si="65">IFERROR(RIGHT(B12,LEN(B12)-FIND("],",B12)-1),"none")</f>
        <v>[effect:fix_speed, target:myself, turn:1]</v>
      </c>
      <c r="N12" s="46" t="str">
        <f>IFERROR(LEFT(M12,FIND("],",M12)+#REF!),M12)</f>
        <v>[effect:fix_speed, target:myself, turn:1]</v>
      </c>
      <c r="O12" s="60">
        <f t="shared" ref="O12" si="66">FIND("effect:",N12)+7</f>
        <v>9</v>
      </c>
      <c r="P12" s="60">
        <f t="shared" ref="P12" si="67">IFERROR(FIND(",",N12),LEN(N12))</f>
        <v>18</v>
      </c>
      <c r="Q12" s="60">
        <f t="shared" ref="Q12" si="68">FIND("target:",N12)+7</f>
        <v>27</v>
      </c>
      <c r="R12" s="60">
        <f t="shared" ref="R12" si="69">FIND(",",N12,P12+1)</f>
        <v>33</v>
      </c>
      <c r="S12" s="60" t="str">
        <f>IFERROR(VLOOKUP(MID(N12,Q12,R12-Q12),[5]skilldef!$C:$D,2,FALSE),"-") &amp; " / " &amp; IFERROR(VLOOKUP(MID(N12,O12,P12-O12),[5]skilldef!$A:$B,2,FALSE),"-")</f>
        <v>自分自身に / 行動値設定</v>
      </c>
      <c r="T12" s="46" t="str">
        <f t="shared" ref="T12" si="70">IFERROR(RIGHT(M12,LEN(M12)-FIND("],",M12)-1),"none")</f>
        <v>none</v>
      </c>
      <c r="U12" s="60" t="e">
        <f t="shared" ref="U12" si="71">FIND("effect:",T12)+7</f>
        <v>#VALUE!</v>
      </c>
      <c r="V12" s="60">
        <f t="shared" ref="V12" si="72">IFERROR(FIND(",",T12),LEN(T12))</f>
        <v>4</v>
      </c>
      <c r="W12" s="60" t="e">
        <f t="shared" ref="W12" si="73">FIND("target:",T12)+7</f>
        <v>#VALUE!</v>
      </c>
      <c r="X12" s="60" t="e">
        <f t="shared" ref="X12" si="74">FIND(",",T12,V12+1)</f>
        <v>#VALUE!</v>
      </c>
      <c r="Y12" s="60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</row>
    <row r="13" spans="1:28" ht="32" customHeight="1" x14ac:dyDescent="0.2">
      <c r="A13" s="137">
        <v>47010011</v>
      </c>
      <c r="B13" s="141" t="s">
        <v>475</v>
      </c>
      <c r="C13" s="339">
        <v>3</v>
      </c>
      <c r="D13" s="138" t="s">
        <v>127</v>
      </c>
      <c r="E13" s="139" t="s">
        <v>308</v>
      </c>
      <c r="F13" s="139" t="s">
        <v>297</v>
      </c>
      <c r="G13" s="60" t="str">
        <f t="shared" si="0"/>
        <v>[effect:enemy_message, val1:2.4, val2:1.5]</v>
      </c>
      <c r="H13" s="60">
        <f t="shared" si="1"/>
        <v>9</v>
      </c>
      <c r="I13" s="60">
        <f t="shared" si="2"/>
        <v>22</v>
      </c>
      <c r="J13" s="60" t="e">
        <f t="shared" si="3"/>
        <v>#VALUE!</v>
      </c>
      <c r="K13" s="60">
        <f t="shared" si="4"/>
        <v>32</v>
      </c>
      <c r="L13" s="60" t="str">
        <f>IFERROR(VLOOKUP(MID(G13,J13,K13-J13),[5]skilldef!$C:$D,2,FALSE),"-") &amp; " / " &amp; IFERROR(VLOOKUP(MID(G13,H13,I13-H13),[5]skilldef!$A:$B,2,FALSE),"-")</f>
        <v>- / -</v>
      </c>
      <c r="M13" s="60" t="str">
        <f t="shared" si="5"/>
        <v>[effect:break_attack_fix, target:unit_one, val:500, lowest_val:6000, count:-1, block01:block_heart],[effect:fix_speed, target:myself, turn:2]</v>
      </c>
      <c r="N13" s="46" t="str">
        <f>IFERROR(LEFT(M13,FIND("],",M13)+#REF!),M13)</f>
        <v>[effect:break_attack_fix, target:unit_one, val:500, lowest_val:6000, count:-1, block01:block_heart],[effect:fix_speed, target:myself, turn:2]</v>
      </c>
      <c r="O13" s="60">
        <f t="shared" si="6"/>
        <v>9</v>
      </c>
      <c r="P13" s="60">
        <f t="shared" si="7"/>
        <v>25</v>
      </c>
      <c r="Q13" s="60">
        <f t="shared" si="8"/>
        <v>34</v>
      </c>
      <c r="R13" s="60">
        <f t="shared" si="9"/>
        <v>42</v>
      </c>
      <c r="S13" s="60" t="str">
        <f>IFERROR(VLOOKUP(MID(N13,Q13,R13-Q13),[5]skilldef!$C:$D,2,FALSE),"-") &amp; " / " &amp; IFERROR(VLOOKUP(MID(N13,O13,P13-O13),[5]skilldef!$A:$B,2,FALSE),"-")</f>
        <v>味方単体に / -</v>
      </c>
      <c r="T13" s="46" t="str">
        <f t="shared" si="10"/>
        <v>[effect:fix_speed, target:myself, turn:2]</v>
      </c>
      <c r="U13" s="60">
        <f t="shared" si="11"/>
        <v>9</v>
      </c>
      <c r="V13" s="60">
        <f t="shared" si="12"/>
        <v>18</v>
      </c>
      <c r="W13" s="60">
        <f t="shared" si="13"/>
        <v>27</v>
      </c>
      <c r="X13" s="60">
        <f t="shared" si="14"/>
        <v>33</v>
      </c>
      <c r="Y13" s="60" t="str">
        <f>IFERROR(VLOOKUP(MID(T13,W13,X13-W13),[5]skilldef!$C:$D,2,FALSE),"-") &amp; " / " &amp; IFERROR(VLOOKUP(MID(T13,U13,V13-U13),[5]skilldef!$A:$B,2,FALSE),"-")</f>
        <v>自分自身に / 行動値設定</v>
      </c>
      <c r="Z13" s="48"/>
      <c r="AA13" s="50"/>
      <c r="AB13" s="48"/>
    </row>
    <row r="14" spans="1:28" ht="32" customHeight="1" x14ac:dyDescent="0.2">
      <c r="A14" s="137">
        <v>47010012</v>
      </c>
      <c r="B14" s="141" t="s">
        <v>539</v>
      </c>
      <c r="C14" s="339">
        <v>3</v>
      </c>
      <c r="D14" s="138" t="s">
        <v>127</v>
      </c>
      <c r="E14" s="139" t="s">
        <v>439</v>
      </c>
      <c r="F14" s="139" t="s">
        <v>457</v>
      </c>
      <c r="G14" s="60" t="str">
        <f t="shared" si="0"/>
        <v>[effect:enemy_message, val1:1.8, val2:2.6]</v>
      </c>
      <c r="H14" s="60">
        <f t="shared" si="1"/>
        <v>9</v>
      </c>
      <c r="I14" s="60">
        <f t="shared" si="2"/>
        <v>22</v>
      </c>
      <c r="J14" s="60" t="e">
        <f t="shared" si="3"/>
        <v>#VALUE!</v>
      </c>
      <c r="K14" s="60">
        <f t="shared" si="4"/>
        <v>32</v>
      </c>
      <c r="L14" s="60" t="str">
        <f>IFERROR(VLOOKUP(MID(G14,J14,K14-J14),[5]skilldef!$C:$D,2,FALSE),"-") &amp; " / " &amp; IFERROR(VLOOKUP(MID(G14,H14,I14-H14),[5]skilldef!$A:$B,2,FALSE),"-")</f>
        <v>- / -</v>
      </c>
      <c r="M14" s="60" t="str">
        <f t="shared" si="5"/>
        <v>[effect:force_change_block, new_block:jammer, target:block_all, ignore01:crash, ignore02:crack_bomb, ignore03:jammer, ignore04:color_break, ignore05:magnet, count:8, val:0, animation:change_block],[effect:critical, val:1.25, animation:enemy_critical]</v>
      </c>
      <c r="N14" s="46" t="str">
        <f t="shared" ref="N14:N21" si="75">IFERROR(LEFT(M14,FIND("],",M14)+S22),M14)</f>
        <v>[effect:force_change_block, new_block:jammer, target:block_all, ignore01:crash, ignore02:crack_bomb, ignore03:jammer, ignore04:color_break, ignore05:magnet, count:8, val:0, animation:change_block],[effect:critical, val:1.25, animation:enemy_critical]</v>
      </c>
      <c r="O14" s="60">
        <f t="shared" si="6"/>
        <v>9</v>
      </c>
      <c r="P14" s="60">
        <f t="shared" si="7"/>
        <v>27</v>
      </c>
      <c r="Q14" s="60">
        <f t="shared" si="8"/>
        <v>54</v>
      </c>
      <c r="R14" s="60">
        <f t="shared" si="9"/>
        <v>45</v>
      </c>
      <c r="S14" s="60" t="str">
        <f>IFERROR(VLOOKUP(MID(N14,Q14,R14-Q14),[5]skilldef!$C:$D,2,FALSE),"-") &amp; " / " &amp; IFERROR(VLOOKUP(MID(N14,O14,P14-O14),[5]skilldef!$A:$B,2,FALSE),"-")</f>
        <v>- / -</v>
      </c>
      <c r="T14" s="46" t="str">
        <f t="shared" si="10"/>
        <v>[effect:critical, val:1.25, animation:enemy_critical]</v>
      </c>
      <c r="U14" s="60">
        <f t="shared" si="11"/>
        <v>9</v>
      </c>
      <c r="V14" s="60">
        <f t="shared" si="12"/>
        <v>17</v>
      </c>
      <c r="W14" s="60" t="e">
        <f t="shared" si="13"/>
        <v>#VALUE!</v>
      </c>
      <c r="X14" s="60">
        <f t="shared" si="14"/>
        <v>27</v>
      </c>
      <c r="Y14" s="60" t="str">
        <f>IFERROR(VLOOKUP(MID(T14,W14,X14-W14),[5]skilldef!$C:$D,2,FALSE),"-") &amp; " / " &amp; IFERROR(VLOOKUP(MID(T14,U14,V14-U14),[5]skilldef!$A:$B,2,FALSE),"-")</f>
        <v>- / 大攻撃</v>
      </c>
      <c r="Z14" s="48"/>
      <c r="AA14" s="50"/>
      <c r="AB14" s="48"/>
    </row>
    <row r="15" spans="1:28" ht="32" customHeight="1" x14ac:dyDescent="0.2">
      <c r="A15" s="137">
        <v>47010013</v>
      </c>
      <c r="B15" s="141" t="s">
        <v>415</v>
      </c>
      <c r="C15" s="339">
        <v>3</v>
      </c>
      <c r="D15" s="138" t="s">
        <v>127</v>
      </c>
      <c r="E15" s="139" t="s">
        <v>301</v>
      </c>
      <c r="F15" s="139" t="s">
        <v>298</v>
      </c>
      <c r="G15" s="60" t="str">
        <f t="shared" si="0"/>
        <v>[effect:enemy_message, val1:2.3, val2:1.5]</v>
      </c>
      <c r="H15" s="60">
        <f t="shared" si="1"/>
        <v>9</v>
      </c>
      <c r="I15" s="60">
        <f t="shared" si="2"/>
        <v>22</v>
      </c>
      <c r="J15" s="60" t="e">
        <f t="shared" si="3"/>
        <v>#VALUE!</v>
      </c>
      <c r="K15" s="60">
        <f t="shared" si="4"/>
        <v>32</v>
      </c>
      <c r="L15" s="60" t="str">
        <f>IFERROR(VLOOKUP(MID(G15,J15,K15-J15),[5]skilldef!$C:$D,2,FALSE),"-") &amp; " / " &amp; IFERROR(VLOOKUP(MID(G15,H15,I15-H15),[5]skilldef!$A:$B,2,FALSE),"-")</f>
        <v>- / -</v>
      </c>
      <c r="M15" s="60" t="str">
        <f t="shared" si="5"/>
        <v>[effect:break_attack_fix, target:unit_one, val:500, lowest_val:6000, count:-1, block01:block_heart]</v>
      </c>
      <c r="N15" s="46" t="str">
        <f t="shared" si="75"/>
        <v>[effect:break_attack_fix, target:unit_one, val:500, lowest_val:6000, count:-1, block01:block_heart]</v>
      </c>
      <c r="O15" s="60">
        <f t="shared" si="6"/>
        <v>9</v>
      </c>
      <c r="P15" s="60">
        <f t="shared" si="7"/>
        <v>25</v>
      </c>
      <c r="Q15" s="60">
        <f t="shared" si="8"/>
        <v>34</v>
      </c>
      <c r="R15" s="60">
        <f t="shared" si="9"/>
        <v>42</v>
      </c>
      <c r="S15" s="60" t="str">
        <f>IFERROR(VLOOKUP(MID(N15,Q15,R15-Q15),[5]skilldef!$C:$D,2,FALSE),"-") &amp; " / " &amp; IFERROR(VLOOKUP(MID(N15,O15,P15-O15),[5]skilldef!$A:$B,2,FALSE),"-")</f>
        <v>味方単体に / -</v>
      </c>
      <c r="T15" s="46" t="str">
        <f t="shared" si="10"/>
        <v>none</v>
      </c>
      <c r="U15" s="60" t="e">
        <f t="shared" si="11"/>
        <v>#VALUE!</v>
      </c>
      <c r="V15" s="60">
        <f t="shared" si="12"/>
        <v>4</v>
      </c>
      <c r="W15" s="60" t="e">
        <f t="shared" si="13"/>
        <v>#VALUE!</v>
      </c>
      <c r="X15" s="60" t="e">
        <f t="shared" si="14"/>
        <v>#VALUE!</v>
      </c>
      <c r="Y15" s="60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</row>
    <row r="16" spans="1:28" ht="34" customHeight="1" x14ac:dyDescent="0.2">
      <c r="A16" s="137">
        <v>47010014</v>
      </c>
      <c r="B16" s="141" t="s">
        <v>527</v>
      </c>
      <c r="C16" s="339">
        <v>3</v>
      </c>
      <c r="D16" s="138" t="s">
        <v>127</v>
      </c>
      <c r="E16" s="139" t="s">
        <v>329</v>
      </c>
      <c r="F16" s="139" t="s">
        <v>463</v>
      </c>
      <c r="G16" s="60" t="str">
        <f t="shared" si="0"/>
        <v>[effect:enemy_message, val1:1.4, val2:3.2]</v>
      </c>
      <c r="H16" s="60">
        <f t="shared" si="1"/>
        <v>9</v>
      </c>
      <c r="I16" s="60">
        <f t="shared" si="2"/>
        <v>22</v>
      </c>
      <c r="J16" s="60" t="e">
        <f t="shared" si="3"/>
        <v>#VALUE!</v>
      </c>
      <c r="K16" s="60">
        <f t="shared" si="4"/>
        <v>32</v>
      </c>
      <c r="L16" s="60" t="str">
        <f>IFERROR(VLOOKUP(MID(G16,J16,K16-J16),[5]skilldef!$C:$D,2,FALSE),"-") &amp; " / " &amp; IFERROR(VLOOKUP(MID(G16,H16,I16-H16),[5]skilldef!$A:$B,2,FALSE),"-")</f>
        <v>- / -</v>
      </c>
      <c r="M16" s="60" t="str">
        <f t="shared" si="5"/>
        <v>[effect:force_change_block, new_block:jammer, target:block_all, ignore01:crash, ignore02:crack_bomb, ignore03:jammer, ignore04:color_break, ignore05:magnet, count:8, val:0, animation:change_block],[effect:damage_gravity, val:0.5, animation:fevergauge_down]</v>
      </c>
      <c r="N16" s="46" t="str">
        <f t="shared" si="75"/>
        <v>[effect:force_change_block, new_block:jammer, target:block_all, ignore01:crash, ignore02:crack_bomb, ignore03:jammer, ignore04:color_break, ignore05:magnet, count:8, val:0, animation:change_block],[effect:damage_gravity, val:0.5, animation:fevergauge_down]</v>
      </c>
      <c r="O16" s="60">
        <f t="shared" si="6"/>
        <v>9</v>
      </c>
      <c r="P16" s="60">
        <f t="shared" si="7"/>
        <v>27</v>
      </c>
      <c r="Q16" s="60">
        <f t="shared" si="8"/>
        <v>54</v>
      </c>
      <c r="R16" s="60">
        <f t="shared" si="9"/>
        <v>45</v>
      </c>
      <c r="S16" s="60" t="str">
        <f>IFERROR(VLOOKUP(MID(N16,Q16,R16-Q16),[5]skilldef!$C:$D,2,FALSE),"-") &amp; " / " &amp; IFERROR(VLOOKUP(MID(N16,O16,P16-O16),[5]skilldef!$A:$B,2,FALSE),"-")</f>
        <v>- / -</v>
      </c>
      <c r="T16" s="46" t="str">
        <f t="shared" si="10"/>
        <v>[effect:damage_gravity, val:0.5, animation:fevergauge_down]</v>
      </c>
      <c r="U16" s="60">
        <f t="shared" si="11"/>
        <v>9</v>
      </c>
      <c r="V16" s="60">
        <f t="shared" si="12"/>
        <v>23</v>
      </c>
      <c r="W16" s="60" t="e">
        <f t="shared" si="13"/>
        <v>#VALUE!</v>
      </c>
      <c r="X16" s="60">
        <f t="shared" si="14"/>
        <v>32</v>
      </c>
      <c r="Y16" s="60" t="str">
        <f>IFERROR(VLOOKUP(MID(T16,W16,X16-W16),[5]skilldef!$C:$D,2,FALSE),"-") &amp; " / " &amp; IFERROR(VLOOKUP(MID(T16,U16,V16-U16),[5]skilldef!$A:$B,2,FALSE),"-")</f>
        <v>- / 割合ダメージ</v>
      </c>
      <c r="Z16" s="48"/>
      <c r="AA16" s="50"/>
      <c r="AB16" s="48"/>
    </row>
    <row r="17" spans="1:28" ht="34" customHeight="1" x14ac:dyDescent="0.2">
      <c r="A17" s="137">
        <v>47010015</v>
      </c>
      <c r="B17" s="141" t="s">
        <v>555</v>
      </c>
      <c r="C17" s="339">
        <v>3</v>
      </c>
      <c r="D17" s="138" t="s">
        <v>127</v>
      </c>
      <c r="E17" s="139" t="s">
        <v>422</v>
      </c>
      <c r="F17" s="139" t="s">
        <v>548</v>
      </c>
      <c r="G17" s="60" t="str">
        <f t="shared" si="0"/>
        <v>[effect:enemy_message, val1:2.5, val2:2.3]</v>
      </c>
      <c r="H17" s="60">
        <f t="shared" si="1"/>
        <v>9</v>
      </c>
      <c r="I17" s="60">
        <f t="shared" si="2"/>
        <v>22</v>
      </c>
      <c r="J17" s="60" t="e">
        <f t="shared" si="3"/>
        <v>#VALUE!</v>
      </c>
      <c r="K17" s="60">
        <f t="shared" si="4"/>
        <v>32</v>
      </c>
      <c r="L17" s="60" t="str">
        <f>IFERROR(VLOOKUP(MID(G17,J17,K17-J17),[5]skilldef!$C:$D,2,FALSE),"-") &amp; " / " &amp; IFERROR(VLOOKUP(MID(G17,H17,I17-H17),[5]skilldef!$A:$B,2,FALSE),"-")</f>
        <v>- / -</v>
      </c>
      <c r="M17" s="60" t="str">
        <f t="shared" si="5"/>
        <v>[effect:force_change_block, new_block:color_break, target:block_all, ignore01:crash, ignore02:crack_bomb, ignore03:jammer, ignore04:color_break, ignore05:magnet, color:block_red, count:1, val:0],[effect:force_change_block, new_block:color_break, target:block_all, ignore01:crash, ignore02:crack_bomb, ignore03:jammer, ignore04:color_break, ignore05:magnet, color:block_heart, count:1, val:0]</v>
      </c>
      <c r="N17" s="46" t="str">
        <f t="shared" si="75"/>
        <v>[effect:force_change_block, new_block:color_break, target:block_all, ignore01:crash, ignore02:crack_bomb, ignore03:jammer, ignore04:color_break, ignore05:magnet, color:block_red, count:1, val:0],[effect:force_change_block, new_block:color_break, target:block_all, ignore01:crash, ignore02:crack_bomb, ignore03:jammer, ignore04:color_break, ignore05:magnet, color:block_heart, count:1, val:0]</v>
      </c>
      <c r="O17" s="60">
        <f t="shared" si="6"/>
        <v>9</v>
      </c>
      <c r="P17" s="60">
        <f t="shared" si="7"/>
        <v>27</v>
      </c>
      <c r="Q17" s="60">
        <f t="shared" si="8"/>
        <v>59</v>
      </c>
      <c r="R17" s="60">
        <f t="shared" si="9"/>
        <v>50</v>
      </c>
      <c r="S17" s="60" t="str">
        <f>IFERROR(VLOOKUP(MID(N17,Q17,R17-Q17),[5]skilldef!$C:$D,2,FALSE),"-") &amp; " / " &amp; IFERROR(VLOOKUP(MID(N17,O17,P17-O17),[5]skilldef!$A:$B,2,FALSE),"-")</f>
        <v>- / -</v>
      </c>
      <c r="T17" s="46" t="str">
        <f t="shared" si="10"/>
        <v>[effect:force_change_block, new_block:color_break, target:block_all, ignore01:crash, ignore02:crack_bomb, ignore03:jammer, ignore04:color_break, ignore05:magnet, color:block_heart, count:1, val:0]</v>
      </c>
      <c r="U17" s="60">
        <f t="shared" si="11"/>
        <v>9</v>
      </c>
      <c r="V17" s="60">
        <f t="shared" si="12"/>
        <v>27</v>
      </c>
      <c r="W17" s="60">
        <f t="shared" si="13"/>
        <v>59</v>
      </c>
      <c r="X17" s="60">
        <f t="shared" si="14"/>
        <v>50</v>
      </c>
      <c r="Y17" s="60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</row>
    <row r="18" spans="1:28" ht="48" customHeight="1" x14ac:dyDescent="0.2">
      <c r="A18" s="137">
        <v>47010016</v>
      </c>
      <c r="B18" s="141" t="s">
        <v>528</v>
      </c>
      <c r="C18" s="339">
        <v>3</v>
      </c>
      <c r="D18" s="138" t="s">
        <v>127</v>
      </c>
      <c r="E18" s="139" t="s">
        <v>438</v>
      </c>
      <c r="F18" s="139" t="s">
        <v>497</v>
      </c>
      <c r="G18" s="60" t="str">
        <f t="shared" si="0"/>
        <v>[effect:enemy_message, val1:1.7, val2:4.7]</v>
      </c>
      <c r="H18" s="60">
        <f t="shared" si="1"/>
        <v>9</v>
      </c>
      <c r="I18" s="60">
        <f t="shared" si="2"/>
        <v>22</v>
      </c>
      <c r="J18" s="60" t="e">
        <f t="shared" si="3"/>
        <v>#VALUE!</v>
      </c>
      <c r="K18" s="60">
        <f t="shared" si="4"/>
        <v>32</v>
      </c>
      <c r="L18" s="60" t="str">
        <f>IFERROR(VLOOKUP(MID(G18,J18,K18-J18),[5]skilldef!$C:$D,2,FALSE),"-") &amp; " / " &amp; IFERROR(VLOOKUP(MID(G18,H18,I18-H18),[5]skilldef!$A:$B,2,FALSE),"-")</f>
        <v>- / -</v>
      </c>
      <c r="M18" s="60" t="str">
        <f t="shared" si="5"/>
        <v>[effect:damage_abnormal, target:unit_one, val:0.51, status:hungup, turn:2, animation:hungup01],[effect:damage_abnormal, target:unit_one, val:0.52, status:hungup, turn:2, animation:hungup01],[effect:force_change_block, new_block:jammer, target:block_all, ignore01:crash, ignore02:crack_bomb, ignore03:jammer, ignore04:color_break, ignore05:magnet, count:6, val:0, animation:change_block]</v>
      </c>
      <c r="N18" s="46" t="str">
        <f t="shared" si="75"/>
        <v>[effect:damage_abnormal, target:unit_one, val:0.51, status:hungup, turn:2, animation:hungup01],[effect:damage_abnormal, target:unit_one, val:0.52, status:hungup, turn:2, animation:hungup01],[effect:force_change_block, new_block:jammer, target:block_all, ignore01:crash, ignore02:crack_bomb, ignore03:jammer, ignore04:color_break, ignore05:magnet, count:6, val:0, animation:change_block]</v>
      </c>
      <c r="O18" s="60">
        <f t="shared" si="6"/>
        <v>9</v>
      </c>
      <c r="P18" s="60">
        <f t="shared" si="7"/>
        <v>24</v>
      </c>
      <c r="Q18" s="60">
        <f t="shared" si="8"/>
        <v>33</v>
      </c>
      <c r="R18" s="60">
        <f t="shared" si="9"/>
        <v>41</v>
      </c>
      <c r="S18" s="60" t="str">
        <f>IFERROR(VLOOKUP(MID(N18,Q18,R18-Q18),[5]skilldef!$C:$D,2,FALSE),"-") &amp; " / " &amp; IFERROR(VLOOKUP(MID(N18,O18,P18-O18),[5]skilldef!$A:$B,2,FALSE),"-")</f>
        <v>味方単体に / -</v>
      </c>
      <c r="T18" s="46" t="str">
        <f t="shared" si="10"/>
        <v>[effect:damage_abnormal, target:unit_one, val:0.52, status:hungup, turn:2, animation:hungup01],[effect:force_change_block, new_block:jammer, target:block_all, ignore01:crash, ignore02:crack_bomb, ignore03:jammer, ignore04:color_break, ignore05:magnet, count:6, val:0, animation:change_block]</v>
      </c>
      <c r="U18" s="60">
        <f t="shared" si="11"/>
        <v>9</v>
      </c>
      <c r="V18" s="60">
        <f t="shared" si="12"/>
        <v>24</v>
      </c>
      <c r="W18" s="60">
        <f t="shared" si="13"/>
        <v>33</v>
      </c>
      <c r="X18" s="60">
        <f t="shared" si="14"/>
        <v>41</v>
      </c>
      <c r="Y18" s="60" t="str">
        <f>IFERROR(VLOOKUP(MID(T18,W18,X18-W18),[5]skilldef!$C:$D,2,FALSE),"-") &amp; " / " &amp; IFERROR(VLOOKUP(MID(T18,U18,V18-U18),[5]skilldef!$A:$B,2,FALSE),"-")</f>
        <v>味方単体に / -</v>
      </c>
      <c r="Z18" s="48"/>
      <c r="AA18" s="50"/>
      <c r="AB18" s="48"/>
    </row>
    <row r="19" spans="1:28" ht="48" customHeight="1" x14ac:dyDescent="0.2">
      <c r="A19" s="137">
        <v>47010017</v>
      </c>
      <c r="B19" s="141" t="s">
        <v>529</v>
      </c>
      <c r="C19" s="339">
        <v>3</v>
      </c>
      <c r="D19" s="138" t="s">
        <v>127</v>
      </c>
      <c r="E19" s="139" t="s">
        <v>310</v>
      </c>
      <c r="F19" s="139" t="s">
        <v>437</v>
      </c>
      <c r="G19" s="60" t="str">
        <f t="shared" si="0"/>
        <v>[effect:enemy_message, val1:2.2, val2:5.0]</v>
      </c>
      <c r="H19" s="60">
        <f t="shared" si="1"/>
        <v>9</v>
      </c>
      <c r="I19" s="60">
        <f t="shared" si="2"/>
        <v>22</v>
      </c>
      <c r="J19" s="60" t="e">
        <f t="shared" si="3"/>
        <v>#VALUE!</v>
      </c>
      <c r="K19" s="60">
        <f t="shared" si="4"/>
        <v>32</v>
      </c>
      <c r="L19" s="60" t="str">
        <f>IFERROR(VLOOKUP(MID(G19,J19,K19-J19),[5]skilldef!$C:$D,2,FALSE),"-") &amp; " / " &amp; IFERROR(VLOOKUP(MID(G19,H19,I19-H19),[5]skilldef!$A:$B,2,FALSE),"-")</f>
        <v>- / -</v>
      </c>
      <c r="M19" s="60" t="str">
        <f t="shared" si="5"/>
        <v>[effect:damage_abnormal, target:unit_one, val:0.41, status:attack, turn:2, val_abnormal:0.3],[effect:damage_abnormal, target:unit_one, val:0.39, status:attack, turn:2, val_abnormal:0.3],[effect:damage_abnormal, target:unit_one, val:0.4, status:attack, turn:2, val_abnormal:0.3],[effect:force_change_block, new_block:jammer, target:block_all, ignore01:crash, ignore02:crack_bomb, ignore03:jammer, ignore04:color_break, ignore05:magnet, count:6, val:0, animation:change_block]</v>
      </c>
      <c r="N19" s="46" t="str">
        <f t="shared" si="75"/>
        <v>[effect:damage_abnormal, target:unit_one, val:0.41, status:attack, turn:2, val_abnormal:0.3],[effect:damage_abnormal, target:unit_one, val:0.39, status:attack, turn:2, val_abnormal:0.3],[effect:damage_abnormal, target:unit_one, val:0.4, status:attack, turn:2, val_abnormal:0.3],[effect:force_change_block, new_block:jammer, target:block_all, ignore01:crash, ignore02:crack_bomb, ignore03:jammer, ignore04:color_break, ignore05:magnet, count:6, val:0, animation:change_block]</v>
      </c>
      <c r="O19" s="60">
        <f t="shared" si="6"/>
        <v>9</v>
      </c>
      <c r="P19" s="60">
        <f t="shared" si="7"/>
        <v>24</v>
      </c>
      <c r="Q19" s="60">
        <f t="shared" si="8"/>
        <v>33</v>
      </c>
      <c r="R19" s="60">
        <f t="shared" si="9"/>
        <v>41</v>
      </c>
      <c r="S19" s="60" t="str">
        <f>IFERROR(VLOOKUP(MID(N19,Q19,R19-Q19),[5]skilldef!$C:$D,2,FALSE),"-") &amp; " / " &amp; IFERROR(VLOOKUP(MID(N19,O19,P19-O19),[5]skilldef!$A:$B,2,FALSE),"-")</f>
        <v>味方単体に / -</v>
      </c>
      <c r="T19" s="46" t="str">
        <f t="shared" si="10"/>
        <v>[effect:damage_abnormal, target:unit_one, val:0.39, status:attack, turn:2, val_abnormal:0.3],[effect:damage_abnormal, target:unit_one, val:0.4, status:attack, turn:2, val_abnormal:0.3],[effect:force_change_block, new_block:jammer, target:block_all, ignore01:crash, ignore02:crack_bomb, ignore03:jammer, ignore04:color_break, ignore05:magnet, count:6, val:0, animation:change_block]</v>
      </c>
      <c r="U19" s="60">
        <f t="shared" si="11"/>
        <v>9</v>
      </c>
      <c r="V19" s="60">
        <f t="shared" si="12"/>
        <v>24</v>
      </c>
      <c r="W19" s="60">
        <f t="shared" si="13"/>
        <v>33</v>
      </c>
      <c r="X19" s="60">
        <f t="shared" si="14"/>
        <v>41</v>
      </c>
      <c r="Y19" s="60" t="str">
        <f>IFERROR(VLOOKUP(MID(T19,W19,X19-W19),[5]skilldef!$C:$D,2,FALSE),"-") &amp; " / " &amp; IFERROR(VLOOKUP(MID(T19,U19,V19-U19),[5]skilldef!$A:$B,2,FALSE),"-")</f>
        <v>味方単体に / -</v>
      </c>
      <c r="Z19" s="48"/>
      <c r="AA19" s="50"/>
      <c r="AB19" s="48"/>
    </row>
    <row r="20" spans="1:28" ht="27" customHeight="1" x14ac:dyDescent="0.2">
      <c r="A20" s="137">
        <v>47010018</v>
      </c>
      <c r="B20" s="141" t="s">
        <v>420</v>
      </c>
      <c r="C20" s="339">
        <v>3</v>
      </c>
      <c r="D20" s="138" t="s">
        <v>127</v>
      </c>
      <c r="E20" s="139" t="s">
        <v>295</v>
      </c>
      <c r="F20" s="139" t="s">
        <v>442</v>
      </c>
      <c r="G20" s="60" t="str">
        <f t="shared" si="0"/>
        <v>[effect:enemy_message, val1:1.4, val2:2.4]</v>
      </c>
      <c r="H20" s="60">
        <f t="shared" si="1"/>
        <v>9</v>
      </c>
      <c r="I20" s="60">
        <f t="shared" si="2"/>
        <v>22</v>
      </c>
      <c r="J20" s="60" t="e">
        <f t="shared" si="3"/>
        <v>#VALUE!</v>
      </c>
      <c r="K20" s="60">
        <f t="shared" si="4"/>
        <v>32</v>
      </c>
      <c r="L20" s="60" t="str">
        <f>IFERROR(VLOOKUP(MID(G20,J20,K20-J20),[5]skilldef!$C:$D,2,FALSE),"-") &amp; " / " &amp; IFERROR(VLOOKUP(MID(G20,H20,I20-H20),[5]skilldef!$A:$B,2,FALSE),"-")</f>
        <v>- / -</v>
      </c>
      <c r="M20" s="60" t="str">
        <f t="shared" si="5"/>
        <v>[effect:force_change_block, new_block:block_heart, target:block_all, ignore01:crash, ignore02:crack_bomb, ignore03:jammer, ignore04:color_break, ignore05:magnet, ignore06:block_heart, count:14, val:0],[effect:spread, val:0.32]</v>
      </c>
      <c r="N20" s="46" t="str">
        <f t="shared" si="75"/>
        <v>[effect:force_change_block, new_block:block_heart, target:block_all, ignore01:crash, ignore02:crack_bomb, ignore03:jammer, ignore04:color_break, ignore05:magnet, ignore06:block_heart, count:14, val:0],[effect:spread, val:0.32]</v>
      </c>
      <c r="O20" s="60">
        <f t="shared" si="6"/>
        <v>9</v>
      </c>
      <c r="P20" s="60">
        <f t="shared" si="7"/>
        <v>27</v>
      </c>
      <c r="Q20" s="60">
        <f t="shared" si="8"/>
        <v>59</v>
      </c>
      <c r="R20" s="60">
        <f t="shared" si="9"/>
        <v>50</v>
      </c>
      <c r="S20" s="60" t="str">
        <f>IFERROR(VLOOKUP(MID(N20,Q20,R20-Q20),[5]skilldef!$C:$D,2,FALSE),"-") &amp; " / " &amp; IFERROR(VLOOKUP(MID(N20,O20,P20-O20),[5]skilldef!$A:$B,2,FALSE),"-")</f>
        <v>- / -</v>
      </c>
      <c r="T20" s="46" t="str">
        <f t="shared" si="10"/>
        <v>[effect:spread, val:0.32]</v>
      </c>
      <c r="U20" s="60">
        <f t="shared" si="11"/>
        <v>9</v>
      </c>
      <c r="V20" s="60">
        <f t="shared" si="12"/>
        <v>15</v>
      </c>
      <c r="W20" s="60" t="e">
        <f t="shared" si="13"/>
        <v>#VALUE!</v>
      </c>
      <c r="X20" s="60" t="e">
        <f t="shared" si="14"/>
        <v>#VALUE!</v>
      </c>
      <c r="Y20" s="60" t="str">
        <f>IFERROR(VLOOKUP(MID(T20,W20,X20-W20),[5]skilldef!$C:$D,2,FALSE),"-") &amp; " / " &amp; IFERROR(VLOOKUP(MID(T20,U20,V20-U20),[5]skilldef!$A:$B,2,FALSE),"-")</f>
        <v>- / 全体攻撃</v>
      </c>
      <c r="Z20" s="48"/>
      <c r="AA20" s="50"/>
      <c r="AB20" s="48"/>
    </row>
    <row r="21" spans="1:28" ht="32" customHeight="1" x14ac:dyDescent="0.2">
      <c r="A21" s="137">
        <v>47010019</v>
      </c>
      <c r="B21" s="141" t="s">
        <v>476</v>
      </c>
      <c r="C21" s="339">
        <v>3</v>
      </c>
      <c r="D21" s="138" t="s">
        <v>127</v>
      </c>
      <c r="E21" s="139" t="s">
        <v>309</v>
      </c>
      <c r="F21" s="139" t="s">
        <v>458</v>
      </c>
      <c r="G21" s="60" t="str">
        <f t="shared" si="0"/>
        <v>[effect:enemy_message, val1:1.8, val2:2.6]</v>
      </c>
      <c r="H21" s="60">
        <f t="shared" si="1"/>
        <v>9</v>
      </c>
      <c r="I21" s="60">
        <f t="shared" si="2"/>
        <v>22</v>
      </c>
      <c r="J21" s="60" t="e">
        <f t="shared" si="3"/>
        <v>#VALUE!</v>
      </c>
      <c r="K21" s="60">
        <f t="shared" si="4"/>
        <v>32</v>
      </c>
      <c r="L21" s="60" t="str">
        <f>IFERROR(VLOOKUP(MID(G21,J21,K21-J21),[5]skilldef!$C:$D,2,FALSE),"-") &amp; " / " &amp; IFERROR(VLOOKUP(MID(G21,H21,I21-H21),[5]skilldef!$A:$B,2,FALSE),"-")</f>
        <v>- / -</v>
      </c>
      <c r="M21" s="60" t="str">
        <f t="shared" si="5"/>
        <v>[effect:force_change_block, new_block:jammer, target:block_all, ignore01:crash, ignore02:crack_bomb, ignore03:jammer, ignore04:color_break, ignore05:magnet, count:8, val:0, animation:change_block],[effect:critical, val:1.2, animation:enemy_critical]</v>
      </c>
      <c r="N21" s="46" t="str">
        <f t="shared" si="75"/>
        <v>[effect:force_change_block, new_block:jammer, target:block_all, ignore01:crash, ignore02:crack_bomb, ignore03:jammer, ignore04:color_break, ignore05:magnet, count:8, val:0, animation:change_block],[effect:critical, val:1.2, animation:enemy_critical]</v>
      </c>
      <c r="O21" s="60">
        <f t="shared" si="6"/>
        <v>9</v>
      </c>
      <c r="P21" s="60">
        <f t="shared" si="7"/>
        <v>27</v>
      </c>
      <c r="Q21" s="60">
        <f t="shared" si="8"/>
        <v>54</v>
      </c>
      <c r="R21" s="60">
        <f t="shared" si="9"/>
        <v>45</v>
      </c>
      <c r="S21" s="60" t="str">
        <f>IFERROR(VLOOKUP(MID(N21,Q21,R21-Q21),[5]skilldef!$C:$D,2,FALSE),"-") &amp; " / " &amp; IFERROR(VLOOKUP(MID(N21,O21,P21-O21),[5]skilldef!$A:$B,2,FALSE),"-")</f>
        <v>- / -</v>
      </c>
      <c r="T21" s="46" t="str">
        <f t="shared" si="10"/>
        <v>[effect:critical, val:1.2, animation:enemy_critical]</v>
      </c>
      <c r="U21" s="60">
        <f t="shared" si="11"/>
        <v>9</v>
      </c>
      <c r="V21" s="60">
        <f t="shared" si="12"/>
        <v>17</v>
      </c>
      <c r="W21" s="60" t="e">
        <f t="shared" si="13"/>
        <v>#VALUE!</v>
      </c>
      <c r="X21" s="60">
        <f t="shared" si="14"/>
        <v>26</v>
      </c>
      <c r="Y21" s="60" t="str">
        <f>IFERROR(VLOOKUP(MID(T21,W21,X21-W21),[5]skilldef!$C:$D,2,FALSE),"-") &amp; " / " &amp; IFERROR(VLOOKUP(MID(T21,U21,V21-U21),[5]skilldef!$A:$B,2,FALSE),"-")</f>
        <v>- / 大攻撃</v>
      </c>
      <c r="Z21" s="48"/>
      <c r="AA21" s="50"/>
      <c r="AB21" s="48"/>
    </row>
    <row r="22" spans="1:28" ht="34" customHeight="1" x14ac:dyDescent="0.2">
      <c r="A22" s="137">
        <v>47010020</v>
      </c>
      <c r="B22" s="141" t="s">
        <v>456</v>
      </c>
      <c r="C22" s="339">
        <v>3</v>
      </c>
      <c r="D22" s="138" t="s">
        <v>127</v>
      </c>
      <c r="E22" s="139" t="s">
        <v>332</v>
      </c>
      <c r="F22" s="139" t="s">
        <v>444</v>
      </c>
      <c r="G22" s="60" t="str">
        <f t="shared" si="0"/>
        <v>[effect:enemy_message, val1:1.6, val2:2.3]</v>
      </c>
      <c r="H22" s="60">
        <f t="shared" si="1"/>
        <v>9</v>
      </c>
      <c r="I22" s="60">
        <f t="shared" si="2"/>
        <v>22</v>
      </c>
      <c r="J22" s="60" t="e">
        <f t="shared" si="3"/>
        <v>#VALUE!</v>
      </c>
      <c r="K22" s="60">
        <f t="shared" si="4"/>
        <v>32</v>
      </c>
      <c r="L22" s="60" t="str">
        <f>IFERROR(VLOOKUP(MID(G22,J22,K22-J22),[5]skilldef!$C:$D,2,FALSE),"-") &amp; " / " &amp; IFERROR(VLOOKUP(MID(G22,H22,I22-H22),[5]skilldef!$A:$B,2,FALSE),"-")</f>
        <v>- / -</v>
      </c>
      <c r="M22" s="60" t="str">
        <f t="shared" si="5"/>
        <v>[effect:break_enchance_enemy, target:myself, val:0.01, lowest_val:0, count:-1, status:attack, turn:-1, block01:block_heart, calc:mul, animation:enemy_enhance_attack],[effect:freq_turn, target:myself, turn:-1, val:1, animation:enemy_freq_turn]</v>
      </c>
      <c r="N22" s="46" t="str">
        <f>IFERROR(LEFT(M22,FIND("],",M22)+#REF!),M22)</f>
        <v>[effect:break_enchance_enemy, target:myself, val:0.01, lowest_val:0, count:-1, status:attack, turn:-1, block01:block_heart, calc:mul, animation:enemy_enhance_attack],[effect:freq_turn, target:myself, turn:-1, val:1, animation:enemy_freq_turn]</v>
      </c>
      <c r="O22" s="60">
        <f t="shared" si="6"/>
        <v>9</v>
      </c>
      <c r="P22" s="60">
        <f t="shared" si="7"/>
        <v>29</v>
      </c>
      <c r="Q22" s="60">
        <f t="shared" si="8"/>
        <v>38</v>
      </c>
      <c r="R22" s="60">
        <f t="shared" si="9"/>
        <v>44</v>
      </c>
      <c r="S22" s="60" t="str">
        <f>IFERROR(VLOOKUP(MID(N22,Q22,R22-Q22),[5]skilldef!$C:$D,2,FALSE),"-") &amp; " / " &amp; IFERROR(VLOOKUP(MID(N22,O22,P22-O22),[5]skilldef!$A:$B,2,FALSE),"-")</f>
        <v>自分自身に / -</v>
      </c>
      <c r="T22" s="46" t="str">
        <f t="shared" si="10"/>
        <v>[effect:freq_turn, target:myself, turn:-1, val:1, animation:enemy_freq_turn]</v>
      </c>
      <c r="U22" s="60">
        <f t="shared" si="11"/>
        <v>9</v>
      </c>
      <c r="V22" s="60">
        <f t="shared" si="12"/>
        <v>18</v>
      </c>
      <c r="W22" s="60">
        <f t="shared" si="13"/>
        <v>27</v>
      </c>
      <c r="X22" s="60">
        <f t="shared" si="14"/>
        <v>33</v>
      </c>
      <c r="Y22" s="60" t="str">
        <f>IFERROR(VLOOKUP(MID(T22,W22,X22-W22),[5]skilldef!$C:$D,2,FALSE),"-") &amp; " / " &amp; IFERROR(VLOOKUP(MID(T22,U22,V22-U22),[5]skilldef!$A:$B,2,FALSE),"-")</f>
        <v>自分自身に / 攻撃頻度がUP</v>
      </c>
      <c r="Z22" s="48"/>
      <c r="AA22" s="50"/>
      <c r="AB22" s="48"/>
    </row>
    <row r="23" spans="1:28" ht="43" customHeight="1" x14ac:dyDescent="0.2">
      <c r="A23" s="140">
        <v>47010021</v>
      </c>
      <c r="B23" s="143" t="s">
        <v>557</v>
      </c>
      <c r="C23" s="340">
        <v>3</v>
      </c>
      <c r="D23" s="135" t="s">
        <v>127</v>
      </c>
      <c r="E23" s="136" t="s">
        <v>283</v>
      </c>
      <c r="F23" s="136" t="s">
        <v>518</v>
      </c>
      <c r="G23" s="60" t="str">
        <f t="shared" si="0"/>
        <v>[effect:enemy_message, val1:1.9, val2:4.4]</v>
      </c>
      <c r="H23" s="60">
        <f t="shared" si="1"/>
        <v>9</v>
      </c>
      <c r="I23" s="60">
        <f t="shared" si="2"/>
        <v>22</v>
      </c>
      <c r="J23" s="60" t="e">
        <f t="shared" si="3"/>
        <v>#VALUE!</v>
      </c>
      <c r="K23" s="60">
        <f t="shared" si="4"/>
        <v>32</v>
      </c>
      <c r="L23" s="60" t="str">
        <f>IFERROR(VLOOKUP(MID(G23,J23,K23-J23),[5]skilldef!$C:$D,2,FALSE),"-") &amp; " / " &amp; IFERROR(VLOOKUP(MID(G23,H23,I23-H23),[5]skilldef!$A:$B,2,FALSE),"-")</f>
        <v>- / -</v>
      </c>
      <c r="M23" s="60" t="str">
        <f t="shared" si="5"/>
        <v>[effect:remove_enhancement, target:unit_all, target_effect:change_panel_ratio, target_type:all],[effect:tolerance, target:myself, turn:-1, count:-1, tolerance_effect:all],[effect:crash_condition, target:unit_all, turn:8, val:99],[effect:ability_lock, target:unit_all, turn:8],[effect:hungup, target:unit_all, turn:8, rate:1],[effect:break_enchance_enemy, target:myself, val:1000, lowest_val:50000, count:-1, status:defense, turn:9, block01:block_all, calc:add],[effect:change_panel_ratio, turn:-1, block_type:green, val:0, animation:block_incidence04],[effect:change_panel_ratio, turn:-1, block_type:yellow, val:0],[effect:change_panel_ratio, turn:-1, block_type:heal, val:0],[effect:ability_lock, target:unit_all, turn:1],[effect:sleep, target:unit_all, turn:1, rate:1],[effect:degrade_fever, val:1000],[effect:fix_speed, target:myself, turn:1]</v>
      </c>
      <c r="N23" s="46" t="str">
        <f>IFERROR(LEFT(M23,FIND("],",M23)+#REF!),M23)</f>
        <v>[effect:remove_enhancement, target:unit_all, target_effect:change_panel_ratio, target_type:all],[effect:tolerance, target:myself, turn:-1, count:-1, tolerance_effect:all],[effect:crash_condition, target:unit_all, turn:8, val:99],[effect:ability_lock, target:unit_all, turn:8],[effect:hungup, target:unit_all, turn:8, rate:1],[effect:break_enchance_enemy, target:myself, val:1000, lowest_val:50000, count:-1, status:defense, turn:9, block01:block_all, calc:add],[effect:change_panel_ratio, turn:-1, block_type:green, val:0, animation:block_incidence04],[effect:change_panel_ratio, turn:-1, block_type:yellow, val:0],[effect:change_panel_ratio, turn:-1, block_type:heal, val:0],[effect:ability_lock, target:unit_all, turn:1],[effect:sleep, target:unit_all, turn:1, rate:1],[effect:degrade_fever, val:1000],[effect:fix_speed, target:myself, turn:1]</v>
      </c>
      <c r="O23" s="60">
        <f t="shared" si="6"/>
        <v>9</v>
      </c>
      <c r="P23" s="60">
        <f t="shared" si="7"/>
        <v>27</v>
      </c>
      <c r="Q23" s="60">
        <f t="shared" si="8"/>
        <v>36</v>
      </c>
      <c r="R23" s="60">
        <f t="shared" si="9"/>
        <v>44</v>
      </c>
      <c r="S23" s="60" t="str">
        <f>IFERROR(VLOOKUP(MID(N23,Q23,R23-Q23),[5]skilldef!$C:$D,2,FALSE),"-") &amp; " / " &amp; IFERROR(VLOOKUP(MID(N23,O23,P23-O23),[5]skilldef!$A:$B,2,FALSE),"-")</f>
        <v>味方全体に / -</v>
      </c>
      <c r="T23" s="46" t="str">
        <f t="shared" si="10"/>
        <v>[effect:tolerance, target:myself, turn:-1, count:-1, tolerance_effect:all],[effect:crash_condition, target:unit_all, turn:8, val:99],[effect:ability_lock, target:unit_all, turn:8],[effect:hungup, target:unit_all, turn:8, rate:1],[effect:break_enchance_enemy, target:myself, val:1000, lowest_val:50000, count:-1, status:defense, turn:9, block01:block_all, calc:add],[effect:change_panel_ratio, turn:-1, block_type:green, val:0, animation:block_incidence04],[effect:change_panel_ratio, turn:-1, block_type:yellow, val:0],[effect:change_panel_ratio, turn:-1, block_type:heal, val:0],[effect:ability_lock, target:unit_all, turn:1],[effect:sleep, target:unit_all, turn:1, rate:1],[effect:degrade_fever, val:1000],[effect:fix_speed, target:myself, turn:1]</v>
      </c>
      <c r="U23" s="60">
        <f t="shared" si="11"/>
        <v>9</v>
      </c>
      <c r="V23" s="60">
        <f t="shared" si="12"/>
        <v>18</v>
      </c>
      <c r="W23" s="60">
        <f t="shared" si="13"/>
        <v>27</v>
      </c>
      <c r="X23" s="60">
        <f t="shared" si="14"/>
        <v>33</v>
      </c>
      <c r="Y23" s="60" t="str">
        <f>IFERROR(VLOOKUP(MID(T23,W23,X23-W23),[5]skilldef!$C:$D,2,FALSE),"-") &amp; " / " &amp; IFERROR(VLOOKUP(MID(T23,U23,V23-U23),[5]skilldef!$A:$B,2,FALSE),"-")</f>
        <v>自分自身に / 状態異常耐性</v>
      </c>
      <c r="Z23" s="48"/>
      <c r="AA23" s="50"/>
      <c r="AB23" s="48"/>
    </row>
    <row r="24" spans="1:28" ht="35" customHeight="1" x14ac:dyDescent="0.2">
      <c r="A24" s="140">
        <v>47010022</v>
      </c>
      <c r="B24" s="142" t="s">
        <v>558</v>
      </c>
      <c r="C24" s="339">
        <v>3</v>
      </c>
      <c r="D24" s="48" t="s">
        <v>127</v>
      </c>
      <c r="E24" s="49" t="s">
        <v>348</v>
      </c>
      <c r="F24" s="49" t="s">
        <v>431</v>
      </c>
      <c r="G24" s="60" t="str">
        <f t="shared" si="0"/>
        <v>[effect:enemy_message, val1:3.5, val2:5.0]</v>
      </c>
      <c r="H24" s="60">
        <f t="shared" si="1"/>
        <v>9</v>
      </c>
      <c r="I24" s="60">
        <f t="shared" si="2"/>
        <v>22</v>
      </c>
      <c r="J24" s="60" t="e">
        <f t="shared" si="3"/>
        <v>#VALUE!</v>
      </c>
      <c r="K24" s="60">
        <f t="shared" si="4"/>
        <v>32</v>
      </c>
      <c r="L24" s="60" t="str">
        <f>IFERROR(VLOOKUP(MID(G24,J24,K24-J24),[5]skilldef!$C:$D,2,FALSE),"-") &amp; " / " &amp; IFERROR(VLOOKUP(MID(G24,H24,I24-H24),[5]skilldef!$A:$B,2,FALSE),"-")</f>
        <v>- / -</v>
      </c>
      <c r="M24" s="60" t="str">
        <f t="shared" si="5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24" s="46" t="str">
        <f t="shared" ref="N24:N29" si="76">IFERROR(LEFT(M24,FIND("],",M24)+S32),M24)</f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O24" s="60">
        <f t="shared" si="6"/>
        <v>9</v>
      </c>
      <c r="P24" s="60">
        <f t="shared" si="7"/>
        <v>27</v>
      </c>
      <c r="Q24" s="60">
        <f t="shared" si="8"/>
        <v>245</v>
      </c>
      <c r="R24" s="60">
        <f t="shared" si="9"/>
        <v>36</v>
      </c>
      <c r="S24" s="60" t="str">
        <f>IFERROR(VLOOKUP(MID(N24,Q24,R24-Q24),[5]skilldef!$C:$D,2,FALSE),"-") &amp; " / " &amp; IFERROR(VLOOKUP(MID(N24,O24,P24-O24),[5]skilldef!$A:$B,2,FALSE),"-")</f>
        <v>- / -</v>
      </c>
      <c r="T24" s="46" t="str">
        <f t="shared" si="10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24" s="60">
        <f t="shared" si="11"/>
        <v>9</v>
      </c>
      <c r="V24" s="60">
        <f t="shared" si="12"/>
        <v>27</v>
      </c>
      <c r="W24" s="60">
        <f t="shared" si="13"/>
        <v>183</v>
      </c>
      <c r="X24" s="60">
        <f t="shared" si="14"/>
        <v>36</v>
      </c>
      <c r="Y24" s="60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</row>
    <row r="25" spans="1:28" ht="32" customHeight="1" x14ac:dyDescent="0.2">
      <c r="A25" s="140">
        <v>47010023</v>
      </c>
      <c r="B25" s="142" t="s">
        <v>561</v>
      </c>
      <c r="C25" s="339">
        <v>3</v>
      </c>
      <c r="D25" s="48" t="s">
        <v>127</v>
      </c>
      <c r="E25" s="148" t="s">
        <v>337</v>
      </c>
      <c r="F25" s="49" t="s">
        <v>370</v>
      </c>
      <c r="G25" s="60" t="str">
        <f t="shared" si="0"/>
        <v>[effect:enemy_message, val1:1.5, val2:1.5]</v>
      </c>
      <c r="H25" s="60">
        <f t="shared" si="1"/>
        <v>9</v>
      </c>
      <c r="I25" s="60">
        <f t="shared" si="2"/>
        <v>22</v>
      </c>
      <c r="J25" s="60" t="e">
        <f t="shared" si="3"/>
        <v>#VALUE!</v>
      </c>
      <c r="K25" s="60">
        <f t="shared" si="4"/>
        <v>32</v>
      </c>
      <c r="L25" s="60" t="str">
        <f>IFERROR(VLOOKUP(MID(G25,J25,K25-J25),[5]skilldef!$C:$D,2,FALSE),"-") &amp; " / " &amp; IFERROR(VLOOKUP(MID(G25,H25,I25-H25),[5]skilldef!$A:$B,2,FALSE),"-")</f>
        <v>- / -</v>
      </c>
      <c r="M25" s="60" t="str">
        <f t="shared" si="5"/>
        <v>[effect:break_attack_fix, target:unit_all, val:168, lowest_val:1, count:-1, block01:block_red],[effect:ability_lock, target:unit_all, turn:1],[effect:sleep, target:unit_all, turn:1, rate:1],[effect:regenerate, target:unit_all, turn:1, val:0.25, type:hp_ratio, animation:heal03_unit01]</v>
      </c>
      <c r="N25" s="46" t="str">
        <f t="shared" si="76"/>
        <v>[effect:break_attack_fix, target:unit_all, val:168, lowest_val:1, count:-1, block01:block_red],[effect:ability_lock, target:unit_all, turn:1],[effect:sleep, target:unit_all, turn:1, rate:1],[effect:regenerate, target:unit_all, turn:1, val:0.25, type:hp_ratio, animation:heal03_unit01]</v>
      </c>
      <c r="O25" s="60">
        <f t="shared" si="6"/>
        <v>9</v>
      </c>
      <c r="P25" s="60">
        <f t="shared" si="7"/>
        <v>25</v>
      </c>
      <c r="Q25" s="60">
        <f t="shared" si="8"/>
        <v>34</v>
      </c>
      <c r="R25" s="60">
        <f t="shared" si="9"/>
        <v>42</v>
      </c>
      <c r="S25" s="60" t="str">
        <f>IFERROR(VLOOKUP(MID(N25,Q25,R25-Q25),[5]skilldef!$C:$D,2,FALSE),"-") &amp; " / " &amp; IFERROR(VLOOKUP(MID(N25,O25,P25-O25),[5]skilldef!$A:$B,2,FALSE),"-")</f>
        <v>味方全体に / -</v>
      </c>
      <c r="T25" s="46" t="str">
        <f t="shared" si="10"/>
        <v>[effect:ability_lock, target:unit_all, turn:1],[effect:sleep, target:unit_all, turn:1, rate:1],[effect:regenerate, target:unit_all, turn:1, val:0.25, type:hp_ratio, animation:heal03_unit01]</v>
      </c>
      <c r="U25" s="60">
        <f t="shared" si="11"/>
        <v>9</v>
      </c>
      <c r="V25" s="60">
        <f t="shared" si="12"/>
        <v>21</v>
      </c>
      <c r="W25" s="60">
        <f t="shared" si="13"/>
        <v>30</v>
      </c>
      <c r="X25" s="60">
        <f t="shared" si="14"/>
        <v>38</v>
      </c>
      <c r="Y25" s="60" t="str">
        <f>IFERROR(VLOOKUP(MID(T25,W25,X25-W25),[5]skilldef!$C:$D,2,FALSE),"-") &amp; " / " &amp; IFERROR(VLOOKUP(MID(T25,U25,V25-U25),[5]skilldef!$A:$B,2,FALSE),"-")</f>
        <v>味方全体に / -</v>
      </c>
      <c r="Z25" s="48"/>
      <c r="AA25" s="50"/>
      <c r="AB25" s="48"/>
    </row>
    <row r="26" spans="1:28" ht="36" customHeight="1" x14ac:dyDescent="0.2">
      <c r="A26" s="140">
        <v>47010024</v>
      </c>
      <c r="B26" s="142" t="s">
        <v>560</v>
      </c>
      <c r="C26" s="339">
        <v>3</v>
      </c>
      <c r="D26" s="48" t="s">
        <v>127</v>
      </c>
      <c r="E26" s="49" t="s">
        <v>464</v>
      </c>
      <c r="F26" s="49" t="s">
        <v>433</v>
      </c>
      <c r="G26" s="60" t="str">
        <f t="shared" si="0"/>
        <v>[effect:enemy_message, val1:3.5, val2:5.0]</v>
      </c>
      <c r="H26" s="60">
        <f t="shared" si="1"/>
        <v>9</v>
      </c>
      <c r="I26" s="60">
        <f t="shared" si="2"/>
        <v>22</v>
      </c>
      <c r="J26" s="60" t="e">
        <f t="shared" si="3"/>
        <v>#VALUE!</v>
      </c>
      <c r="K26" s="60">
        <f t="shared" si="4"/>
        <v>32</v>
      </c>
      <c r="L26" s="60" t="str">
        <f>IFERROR(VLOOKUP(MID(G26,J26,K26-J26),[5]skilldef!$C:$D,2,FALSE),"-") &amp; " / " &amp; IFERROR(VLOOKUP(MID(G26,H26,I26-H26),[5]skilldef!$A:$B,2,FALSE),"-")</f>
        <v>- / -</v>
      </c>
      <c r="M26" s="60" t="str">
        <f t="shared" si="5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26" s="46" t="str">
        <f t="shared" si="76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O26" s="60">
        <f t="shared" si="6"/>
        <v>9</v>
      </c>
      <c r="P26" s="60">
        <f t="shared" si="7"/>
        <v>27</v>
      </c>
      <c r="Q26" s="60">
        <f t="shared" si="8"/>
        <v>245</v>
      </c>
      <c r="R26" s="60">
        <f t="shared" si="9"/>
        <v>36</v>
      </c>
      <c r="S26" s="60" t="str">
        <f>IFERROR(VLOOKUP(MID(N26,Q26,R26-Q26),[5]skilldef!$C:$D,2,FALSE),"-") &amp; " / " &amp; IFERROR(VLOOKUP(MID(N26,O26,P26-O26),[5]skilldef!$A:$B,2,FALSE),"-")</f>
        <v>- / -</v>
      </c>
      <c r="T26" s="46" t="str">
        <f t="shared" si="10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26" s="60">
        <f t="shared" si="11"/>
        <v>9</v>
      </c>
      <c r="V26" s="60">
        <f t="shared" si="12"/>
        <v>27</v>
      </c>
      <c r="W26" s="60">
        <f t="shared" si="13"/>
        <v>183</v>
      </c>
      <c r="X26" s="60">
        <f t="shared" si="14"/>
        <v>36</v>
      </c>
      <c r="Y26" s="60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48"/>
    </row>
    <row r="27" spans="1:28" ht="29" customHeight="1" x14ac:dyDescent="0.2">
      <c r="A27" s="140">
        <v>47010025</v>
      </c>
      <c r="B27" s="142" t="s">
        <v>559</v>
      </c>
      <c r="C27" s="339">
        <v>3</v>
      </c>
      <c r="D27" s="48" t="s">
        <v>127</v>
      </c>
      <c r="E27" s="148" t="s">
        <v>440</v>
      </c>
      <c r="F27" s="49" t="s">
        <v>371</v>
      </c>
      <c r="G27" s="60" t="str">
        <f t="shared" si="0"/>
        <v>[effect:enemy_message, val1:2.2, val2:1.5]</v>
      </c>
      <c r="H27" s="60">
        <f t="shared" si="1"/>
        <v>9</v>
      </c>
      <c r="I27" s="60">
        <f t="shared" si="2"/>
        <v>22</v>
      </c>
      <c r="J27" s="60" t="e">
        <f t="shared" si="3"/>
        <v>#VALUE!</v>
      </c>
      <c r="K27" s="60">
        <f t="shared" si="4"/>
        <v>32</v>
      </c>
      <c r="L27" s="60" t="str">
        <f>IFERROR(VLOOKUP(MID(G27,J27,K27-J27),[5]skilldef!$C:$D,2,FALSE),"-") &amp; " / " &amp; IFERROR(VLOOKUP(MID(G27,H27,I27-H27),[5]skilldef!$A:$B,2,FALSE),"-")</f>
        <v>- / -</v>
      </c>
      <c r="M27" s="60" t="str">
        <f t="shared" si="5"/>
        <v>[effect:break_attack_fix, target:unit_all, val:168, lowest_val:1, count:-1, block01:block_blue],[effect:ability_lock, target:unit_all, turn:1],[effect:sleep, target:unit_all, turn:1, rate:1],[effect:regenerate, target:unit_all, turn:1, val:0.25, type:hp_ratio, animation:heal03_unit01]</v>
      </c>
      <c r="N27" s="46" t="str">
        <f t="shared" si="76"/>
        <v>[effect:break_attack_fix, target:unit_all, val:168, lowest_val:1, count:-1, block01:block_blue],[effect:ability_lock, target:unit_all, turn:1],[effect:sleep, target:unit_all, turn:1, rate:1],[effect:regenerate, target:unit_all, turn:1, val:0.25, type:hp_ratio, animation:heal03_unit01]</v>
      </c>
      <c r="O27" s="60">
        <f t="shared" si="6"/>
        <v>9</v>
      </c>
      <c r="P27" s="60">
        <f t="shared" si="7"/>
        <v>25</v>
      </c>
      <c r="Q27" s="60">
        <f t="shared" si="8"/>
        <v>34</v>
      </c>
      <c r="R27" s="60">
        <f t="shared" si="9"/>
        <v>42</v>
      </c>
      <c r="S27" s="60" t="str">
        <f>IFERROR(VLOOKUP(MID(N27,Q27,R27-Q27),[5]skilldef!$C:$D,2,FALSE),"-") &amp; " / " &amp; IFERROR(VLOOKUP(MID(N27,O27,P27-O27),[5]skilldef!$A:$B,2,FALSE),"-")</f>
        <v>味方全体に / -</v>
      </c>
      <c r="T27" s="46" t="str">
        <f t="shared" si="10"/>
        <v>[effect:ability_lock, target:unit_all, turn:1],[effect:sleep, target:unit_all, turn:1, rate:1],[effect:regenerate, target:unit_all, turn:1, val:0.25, type:hp_ratio, animation:heal03_unit01]</v>
      </c>
      <c r="U27" s="60">
        <f t="shared" si="11"/>
        <v>9</v>
      </c>
      <c r="V27" s="60">
        <f t="shared" si="12"/>
        <v>21</v>
      </c>
      <c r="W27" s="60">
        <f t="shared" si="13"/>
        <v>30</v>
      </c>
      <c r="X27" s="60">
        <f t="shared" si="14"/>
        <v>38</v>
      </c>
      <c r="Y27" s="60" t="str">
        <f>IFERROR(VLOOKUP(MID(T27,W27,X27-W27),[5]skilldef!$C:$D,2,FALSE),"-") &amp; " / " &amp; IFERROR(VLOOKUP(MID(T27,U27,V27-U27),[5]skilldef!$A:$B,2,FALSE),"-")</f>
        <v>味方全体に / -</v>
      </c>
      <c r="Z27" s="48"/>
      <c r="AA27" s="50"/>
      <c r="AB27" s="48"/>
    </row>
    <row r="28" spans="1:28" ht="35" customHeight="1" x14ac:dyDescent="0.2">
      <c r="A28" s="140">
        <v>47010026</v>
      </c>
      <c r="B28" s="142" t="s">
        <v>562</v>
      </c>
      <c r="C28" s="339">
        <v>3</v>
      </c>
      <c r="D28" s="48" t="s">
        <v>127</v>
      </c>
      <c r="E28" s="49" t="s">
        <v>441</v>
      </c>
      <c r="F28" s="49" t="s">
        <v>468</v>
      </c>
      <c r="G28" s="60" t="str">
        <f t="shared" si="0"/>
        <v>[effect:enemy_message, val1:3.0, val2:5.3]</v>
      </c>
      <c r="H28" s="60">
        <f t="shared" si="1"/>
        <v>9</v>
      </c>
      <c r="I28" s="60">
        <f t="shared" si="2"/>
        <v>22</v>
      </c>
      <c r="J28" s="60" t="e">
        <f t="shared" si="3"/>
        <v>#VALUE!</v>
      </c>
      <c r="K28" s="60">
        <f t="shared" si="4"/>
        <v>32</v>
      </c>
      <c r="L28" s="60" t="str">
        <f>IFERROR(VLOOKUP(MID(G28,J28,K28-J28),[5]skilldef!$C:$D,2,FALSE),"-") &amp; " / " &amp; IFERROR(VLOOKUP(MID(G28,H28,I28-H28),[5]skilldef!$A:$B,2,FALSE),"-")</f>
        <v>- / -</v>
      </c>
      <c r="M28" s="60" t="str">
        <f t="shared" si="5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28" s="46" t="str">
        <f t="shared" si="76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O28" s="60">
        <f t="shared" si="6"/>
        <v>9</v>
      </c>
      <c r="P28" s="60">
        <f t="shared" si="7"/>
        <v>27</v>
      </c>
      <c r="Q28" s="60">
        <f t="shared" si="8"/>
        <v>245</v>
      </c>
      <c r="R28" s="60">
        <f t="shared" si="9"/>
        <v>36</v>
      </c>
      <c r="S28" s="60" t="str">
        <f>IFERROR(VLOOKUP(MID(N28,Q28,R28-Q28),[5]skilldef!$C:$D,2,FALSE),"-") &amp; " / " &amp; IFERROR(VLOOKUP(MID(N28,O28,P28-O28),[5]skilldef!$A:$B,2,FALSE),"-")</f>
        <v>- / -</v>
      </c>
      <c r="T28" s="46" t="str">
        <f t="shared" si="10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28" s="60">
        <f t="shared" si="11"/>
        <v>9</v>
      </c>
      <c r="V28" s="60">
        <f t="shared" si="12"/>
        <v>27</v>
      </c>
      <c r="W28" s="60">
        <f t="shared" si="13"/>
        <v>183</v>
      </c>
      <c r="X28" s="60">
        <f t="shared" si="14"/>
        <v>36</v>
      </c>
      <c r="Y28" s="60" t="str">
        <f>IFERROR(VLOOKUP(MID(T28,W28,X28-W28),[5]skilldef!$C:$D,2,FALSE),"-") &amp; " / " &amp; IFERROR(VLOOKUP(MID(T28,U28,V28-U28),[5]skilldef!$A:$B,2,FALSE),"-")</f>
        <v>- / -</v>
      </c>
      <c r="Z28" s="48"/>
      <c r="AA28" s="50"/>
      <c r="AB28" s="48"/>
    </row>
    <row r="29" spans="1:28" ht="32" customHeight="1" x14ac:dyDescent="0.2">
      <c r="A29" s="140">
        <v>47010027</v>
      </c>
      <c r="B29" s="142" t="s">
        <v>432</v>
      </c>
      <c r="C29" s="339">
        <v>3</v>
      </c>
      <c r="D29" s="48" t="s">
        <v>127</v>
      </c>
      <c r="E29" s="148" t="s">
        <v>338</v>
      </c>
      <c r="F29" s="49" t="s">
        <v>372</v>
      </c>
      <c r="G29" s="60" t="str">
        <f t="shared" si="0"/>
        <v>[effect:enemy_message, val1:1.8, val2:1.5]</v>
      </c>
      <c r="H29" s="60">
        <f t="shared" si="1"/>
        <v>9</v>
      </c>
      <c r="I29" s="60">
        <f t="shared" si="2"/>
        <v>22</v>
      </c>
      <c r="J29" s="60" t="e">
        <f t="shared" si="3"/>
        <v>#VALUE!</v>
      </c>
      <c r="K29" s="60">
        <f t="shared" si="4"/>
        <v>32</v>
      </c>
      <c r="L29" s="60" t="str">
        <f>IFERROR(VLOOKUP(MID(G29,J29,K29-J29),[5]skilldef!$C:$D,2,FALSE),"-") &amp; " / " &amp; IFERROR(VLOOKUP(MID(G29,H29,I29-H29),[5]skilldef!$A:$B,2,FALSE),"-")</f>
        <v>- / -</v>
      </c>
      <c r="M29" s="60" t="str">
        <f t="shared" si="5"/>
        <v>[effect:break_attack_fix, target:unit_all, val:168, lowest_val:1, count:-1, block01:block_red],[effect:ability_lock, target:unit_all, turn:1],[effect:sleep, target:unit_all, turn:1, rate:1],[effect:regenerate, target:unit_all, turn:1, val:0.25, type:hp_ratio, animation:heal03_unit01]</v>
      </c>
      <c r="N29" s="46" t="str">
        <f t="shared" si="76"/>
        <v>[effect:break_attack_fix, target:unit_all, val:168, lowest_val:1, count:-1, block01:block_red],[effect:ability_lock, target:unit_all, turn:1],[effect:sleep, target:unit_all, turn:1, rate:1],[effect:regenerate, target:unit_all, turn:1, val:0.25, type:hp_ratio, animation:heal03_unit01]</v>
      </c>
      <c r="O29" s="60">
        <f t="shared" si="6"/>
        <v>9</v>
      </c>
      <c r="P29" s="60">
        <f t="shared" si="7"/>
        <v>25</v>
      </c>
      <c r="Q29" s="60">
        <f t="shared" si="8"/>
        <v>34</v>
      </c>
      <c r="R29" s="60">
        <f t="shared" si="9"/>
        <v>42</v>
      </c>
      <c r="S29" s="60" t="str">
        <f>IFERROR(VLOOKUP(MID(N29,Q29,R29-Q29),[5]skilldef!$C:$D,2,FALSE),"-") &amp; " / " &amp; IFERROR(VLOOKUP(MID(N29,O29,P29-O29),[5]skilldef!$A:$B,2,FALSE),"-")</f>
        <v>味方全体に / -</v>
      </c>
      <c r="T29" s="46" t="str">
        <f t="shared" si="10"/>
        <v>[effect:ability_lock, target:unit_all, turn:1],[effect:sleep, target:unit_all, turn:1, rate:1],[effect:regenerate, target:unit_all, turn:1, val:0.25, type:hp_ratio, animation:heal03_unit01]</v>
      </c>
      <c r="U29" s="60">
        <f t="shared" si="11"/>
        <v>9</v>
      </c>
      <c r="V29" s="60">
        <f t="shared" si="12"/>
        <v>21</v>
      </c>
      <c r="W29" s="60">
        <f t="shared" si="13"/>
        <v>30</v>
      </c>
      <c r="X29" s="60">
        <f t="shared" si="14"/>
        <v>38</v>
      </c>
      <c r="Y29" s="60" t="str">
        <f>IFERROR(VLOOKUP(MID(T29,W29,X29-W29),[5]skilldef!$C:$D,2,FALSE),"-") &amp; " / " &amp; IFERROR(VLOOKUP(MID(T29,U29,V29-U29),[5]skilldef!$A:$B,2,FALSE),"-")</f>
        <v>味方全体に / -</v>
      </c>
      <c r="Z29" s="48"/>
      <c r="AA29" s="50"/>
      <c r="AB29" s="48"/>
    </row>
    <row r="30" spans="1:28" ht="31" customHeight="1" x14ac:dyDescent="0.2">
      <c r="A30" s="140">
        <v>47010028</v>
      </c>
      <c r="B30" s="142" t="s">
        <v>563</v>
      </c>
      <c r="C30" s="339">
        <v>3</v>
      </c>
      <c r="D30" s="48" t="s">
        <v>127</v>
      </c>
      <c r="E30" s="49" t="s">
        <v>339</v>
      </c>
      <c r="F30" s="49" t="s">
        <v>417</v>
      </c>
      <c r="G30" s="60" t="str">
        <f t="shared" si="0"/>
        <v>[effect:enemy_message, val1:3.5, val2:5.3]</v>
      </c>
      <c r="H30" s="60">
        <f t="shared" si="1"/>
        <v>9</v>
      </c>
      <c r="I30" s="60">
        <f t="shared" si="2"/>
        <v>22</v>
      </c>
      <c r="J30" s="60" t="e">
        <f t="shared" si="3"/>
        <v>#VALUE!</v>
      </c>
      <c r="K30" s="60">
        <f t="shared" si="4"/>
        <v>32</v>
      </c>
      <c r="L30" s="60" t="str">
        <f>IFERROR(VLOOKUP(MID(G30,J30,K30-J30),[5]skilldef!$C:$D,2,FALSE),"-") &amp; " / " &amp; IFERROR(VLOOKUP(MID(G30,H30,I30-H30),[5]skilldef!$A:$B,2,FALSE),"-")</f>
        <v>- / -</v>
      </c>
      <c r="M30" s="60" t="str">
        <f t="shared" si="5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30" s="46" t="str">
        <f t="shared" ref="N30:N37" si="77">IFERROR(LEFT(M30,FIND("],",M30)+S39),M30)</f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O30" s="60">
        <f t="shared" si="6"/>
        <v>9</v>
      </c>
      <c r="P30" s="60">
        <f t="shared" si="7"/>
        <v>27</v>
      </c>
      <c r="Q30" s="60">
        <f t="shared" si="8"/>
        <v>245</v>
      </c>
      <c r="R30" s="60">
        <f t="shared" si="9"/>
        <v>36</v>
      </c>
      <c r="S30" s="60" t="str">
        <f>IFERROR(VLOOKUP(MID(N30,Q30,R30-Q30),[5]skilldef!$C:$D,2,FALSE),"-") &amp; " / " &amp; IFERROR(VLOOKUP(MID(N30,O30,P30-O30),[5]skilldef!$A:$B,2,FALSE),"-")</f>
        <v>- / -</v>
      </c>
      <c r="T30" s="46" t="str">
        <f t="shared" si="10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30" s="60">
        <f t="shared" si="11"/>
        <v>9</v>
      </c>
      <c r="V30" s="60">
        <f t="shared" si="12"/>
        <v>27</v>
      </c>
      <c r="W30" s="60">
        <f t="shared" si="13"/>
        <v>183</v>
      </c>
      <c r="X30" s="60">
        <f t="shared" si="14"/>
        <v>36</v>
      </c>
      <c r="Y30" s="60" t="str">
        <f>IFERROR(VLOOKUP(MID(T30,W30,X30-W30),[5]skilldef!$C:$D,2,FALSE),"-") &amp; " / " &amp; IFERROR(VLOOKUP(MID(T30,U30,V30-U30),[5]skilldef!$A:$B,2,FALSE),"-")</f>
        <v>- / -</v>
      </c>
      <c r="Z30" s="48"/>
      <c r="AA30" s="50"/>
      <c r="AB30" s="48"/>
    </row>
    <row r="31" spans="1:28" ht="35" customHeight="1" x14ac:dyDescent="0.2">
      <c r="A31" s="140">
        <v>47010029</v>
      </c>
      <c r="B31" s="142" t="s">
        <v>540</v>
      </c>
      <c r="C31" s="339">
        <v>3</v>
      </c>
      <c r="D31" s="48" t="s">
        <v>127</v>
      </c>
      <c r="E31" s="49" t="s">
        <v>341</v>
      </c>
      <c r="F31" s="49" t="s">
        <v>373</v>
      </c>
      <c r="G31" s="60" t="str">
        <f t="shared" si="0"/>
        <v>[effect:enemy_message, val1:1.5, val2:1.5]</v>
      </c>
      <c r="H31" s="60">
        <f t="shared" si="1"/>
        <v>9</v>
      </c>
      <c r="I31" s="60">
        <f t="shared" si="2"/>
        <v>22</v>
      </c>
      <c r="J31" s="60" t="e">
        <f t="shared" si="3"/>
        <v>#VALUE!</v>
      </c>
      <c r="K31" s="60">
        <f t="shared" si="4"/>
        <v>32</v>
      </c>
      <c r="L31" s="60" t="str">
        <f>IFERROR(VLOOKUP(MID(G31,J31,K31-J31),[5]skilldef!$C:$D,2,FALSE),"-") &amp; " / " &amp; IFERROR(VLOOKUP(MID(G31,H31,I31-H31),[5]skilldef!$A:$B,2,FALSE),"-")</f>
        <v>- / -</v>
      </c>
      <c r="M31" s="60" t="str">
        <f t="shared" si="5"/>
        <v>[effect:break_attack_fix, target:unit_all, val:168, lowest_val:1, count:-1, block01:block_blue],[effect:ability_lock, target:unit_all, turn:1],[effect:sleep, target:unit_all, turn:1, rate:1],[effect:regenerate, target:unit_all, turn:1, val:0.25, type:hp_ratio, animation:heal03_unit01]</v>
      </c>
      <c r="N31" s="46" t="str">
        <f t="shared" si="77"/>
        <v>[effect:break_attack_fix, target:unit_all, val:168, lowest_val:1, count:-1, block01:block_blue],[effect:ability_lock, target:unit_all, turn:1],[effect:sleep, target:unit_all, turn:1, rate:1],[effect:regenerate, target:unit_all, turn:1, val:0.25, type:hp_ratio, animation:heal03_unit01]</v>
      </c>
      <c r="O31" s="60">
        <f t="shared" si="6"/>
        <v>9</v>
      </c>
      <c r="P31" s="60">
        <f t="shared" si="7"/>
        <v>25</v>
      </c>
      <c r="Q31" s="60">
        <f t="shared" si="8"/>
        <v>34</v>
      </c>
      <c r="R31" s="60">
        <f t="shared" si="9"/>
        <v>42</v>
      </c>
      <c r="S31" s="60" t="str">
        <f>IFERROR(VLOOKUP(MID(N31,Q31,R31-Q31),[5]skilldef!$C:$D,2,FALSE),"-") &amp; " / " &amp; IFERROR(VLOOKUP(MID(N31,O31,P31-O31),[5]skilldef!$A:$B,2,FALSE),"-")</f>
        <v>味方全体に / -</v>
      </c>
      <c r="T31" s="46" t="str">
        <f t="shared" si="10"/>
        <v>[effect:ability_lock, target:unit_all, turn:1],[effect:sleep, target:unit_all, turn:1, rate:1],[effect:regenerate, target:unit_all, turn:1, val:0.25, type:hp_ratio, animation:heal03_unit01]</v>
      </c>
      <c r="U31" s="60">
        <f t="shared" si="11"/>
        <v>9</v>
      </c>
      <c r="V31" s="60">
        <f t="shared" si="12"/>
        <v>21</v>
      </c>
      <c r="W31" s="60">
        <f t="shared" si="13"/>
        <v>30</v>
      </c>
      <c r="X31" s="60">
        <f t="shared" si="14"/>
        <v>38</v>
      </c>
      <c r="Y31" s="60" t="str">
        <f>IFERROR(VLOOKUP(MID(T31,W31,X31-W31),[5]skilldef!$C:$D,2,FALSE),"-") &amp; " / " &amp; IFERROR(VLOOKUP(MID(T31,U31,V31-U31),[5]skilldef!$A:$B,2,FALSE),"-")</f>
        <v>味方全体に / -</v>
      </c>
      <c r="Z31" s="48"/>
      <c r="AA31" s="50"/>
      <c r="AB31" s="48"/>
    </row>
    <row r="32" spans="1:28" ht="33" customHeight="1" x14ac:dyDescent="0.2">
      <c r="A32" s="140">
        <v>47010030</v>
      </c>
      <c r="B32" s="142" t="s">
        <v>477</v>
      </c>
      <c r="C32" s="339">
        <v>3</v>
      </c>
      <c r="D32" s="48" t="s">
        <v>127</v>
      </c>
      <c r="E32" s="49" t="s">
        <v>350</v>
      </c>
      <c r="F32" s="49" t="s">
        <v>294</v>
      </c>
      <c r="G32" s="60" t="str">
        <f t="shared" si="0"/>
        <v>[effect:enemy_message, val1:2.3, val2:0]</v>
      </c>
      <c r="H32" s="60">
        <f t="shared" si="1"/>
        <v>9</v>
      </c>
      <c r="I32" s="60">
        <f t="shared" si="2"/>
        <v>22</v>
      </c>
      <c r="J32" s="60" t="e">
        <f t="shared" si="3"/>
        <v>#VALUE!</v>
      </c>
      <c r="K32" s="60">
        <f t="shared" si="4"/>
        <v>32</v>
      </c>
      <c r="L32" s="60" t="str">
        <f>IFERROR(VLOOKUP(MID(G32,J32,K32-J32),[5]skilldef!$C:$D,2,FALSE),"-") &amp; " / " &amp; IFERROR(VLOOKUP(MID(G32,H32,I32-H32),[5]skilldef!$A:$B,2,FALSE),"-")</f>
        <v>- / -</v>
      </c>
      <c r="M32" s="60" t="str">
        <f t="shared" si="5"/>
        <v>[effect:suicide, target:myself, val:1]</v>
      </c>
      <c r="N32" s="46" t="str">
        <f t="shared" si="77"/>
        <v>[effect:suicide, target:myself, val:1]</v>
      </c>
      <c r="O32" s="60">
        <f t="shared" si="6"/>
        <v>9</v>
      </c>
      <c r="P32" s="60">
        <f t="shared" si="7"/>
        <v>16</v>
      </c>
      <c r="Q32" s="60">
        <f t="shared" si="8"/>
        <v>25</v>
      </c>
      <c r="R32" s="60">
        <f t="shared" si="9"/>
        <v>31</v>
      </c>
      <c r="S32" s="60" t="str">
        <f>IFERROR(VLOOKUP(MID(N32,Q32,R32-Q32),[5]skilldef!$C:$D,2,FALSE),"-") &amp; " / " &amp; IFERROR(VLOOKUP(MID(N32,O32,P32-O32),[5]skilldef!$A:$B,2,FALSE),"-")</f>
        <v>自分自身に / -</v>
      </c>
      <c r="T32" s="46" t="str">
        <f t="shared" si="10"/>
        <v>none</v>
      </c>
      <c r="U32" s="60" t="e">
        <f t="shared" si="11"/>
        <v>#VALUE!</v>
      </c>
      <c r="V32" s="60">
        <f t="shared" si="12"/>
        <v>4</v>
      </c>
      <c r="W32" s="60" t="e">
        <f t="shared" si="13"/>
        <v>#VALUE!</v>
      </c>
      <c r="X32" s="60" t="e">
        <f t="shared" si="14"/>
        <v>#VALUE!</v>
      </c>
      <c r="Y32" s="60" t="str">
        <f>IFERROR(VLOOKUP(MID(T32,W32,X32-W32),[5]skilldef!$C:$D,2,FALSE),"-") &amp; " / " &amp; IFERROR(VLOOKUP(MID(T32,U32,V32-U32),[5]skilldef!$A:$B,2,FALSE),"-")</f>
        <v>- / -</v>
      </c>
      <c r="Z32" s="48"/>
      <c r="AA32" s="50"/>
      <c r="AB32" s="48"/>
    </row>
    <row r="33" spans="1:28" ht="34" customHeight="1" x14ac:dyDescent="0.2">
      <c r="A33" s="137">
        <v>47010031</v>
      </c>
      <c r="B33" s="141" t="s">
        <v>478</v>
      </c>
      <c r="C33" s="339">
        <v>3</v>
      </c>
      <c r="D33" s="138" t="s">
        <v>127</v>
      </c>
      <c r="E33" s="139" t="s">
        <v>352</v>
      </c>
      <c r="F33" s="139" t="s">
        <v>300</v>
      </c>
      <c r="G33" s="60" t="str">
        <f t="shared" si="0"/>
        <v>[effect:enemy_message, val1:2.4, val2:1.8]</v>
      </c>
      <c r="H33" s="60">
        <f t="shared" si="1"/>
        <v>9</v>
      </c>
      <c r="I33" s="60">
        <f t="shared" si="2"/>
        <v>22</v>
      </c>
      <c r="J33" s="60" t="e">
        <f t="shared" si="3"/>
        <v>#VALUE!</v>
      </c>
      <c r="K33" s="60">
        <f t="shared" si="4"/>
        <v>32</v>
      </c>
      <c r="L33" s="60" t="str">
        <f>IFERROR(VLOOKUP(MID(G33,J33,K33-J33),[5]skilldef!$C:$D,2,FALSE),"-") &amp; " / " &amp; IFERROR(VLOOKUP(MID(G33,H33,I33-H33),[5]skilldef!$A:$B,2,FALSE),"-")</f>
        <v>- / -</v>
      </c>
      <c r="M33" s="60" t="str">
        <f t="shared" si="5"/>
        <v>[effect:tolerance, target:myself, turn:-1, count:-1, tolerance_effect:all, animation:enemy_tolerance],[effect:remove_enhancement, target:unit_all, target_effect:change_panel_ratio, target_type:all],[effect:change_panel_ratio, turn:-1, block_type:blue, val:0],[effect:fix_speed, target:myself, turn:1]</v>
      </c>
      <c r="N33" s="46" t="str">
        <f t="shared" si="77"/>
        <v>[effect:tolerance, target:myself, turn:-1, count:-1, tolerance_effect:all, animation:enemy_tolerance],[effect:remove_enhancement, target:unit_all, target_effect:change_panel_ratio, target_type:all],[effect:change_panel_ratio, turn:-1, block_type:blue, val:0],[effect:fix_speed, target:myself, turn:1]</v>
      </c>
      <c r="O33" s="60">
        <f t="shared" si="6"/>
        <v>9</v>
      </c>
      <c r="P33" s="60">
        <f t="shared" si="7"/>
        <v>18</v>
      </c>
      <c r="Q33" s="60">
        <f t="shared" si="8"/>
        <v>27</v>
      </c>
      <c r="R33" s="60">
        <f t="shared" si="9"/>
        <v>33</v>
      </c>
      <c r="S33" s="60" t="str">
        <f>IFERROR(VLOOKUP(MID(N33,Q33,R33-Q33),[5]skilldef!$C:$D,2,FALSE),"-") &amp; " / " &amp; IFERROR(VLOOKUP(MID(N33,O33,P33-O33),[5]skilldef!$A:$B,2,FALSE),"-")</f>
        <v>自分自身に / 状態異常耐性</v>
      </c>
      <c r="T33" s="46" t="str">
        <f t="shared" si="10"/>
        <v>[effect:remove_enhancement, target:unit_all, target_effect:change_panel_ratio, target_type:all],[effect:change_panel_ratio, turn:-1, block_type:blue, val:0],[effect:fix_speed, target:myself, turn:1]</v>
      </c>
      <c r="U33" s="60">
        <f t="shared" si="11"/>
        <v>9</v>
      </c>
      <c r="V33" s="60">
        <f t="shared" si="12"/>
        <v>27</v>
      </c>
      <c r="W33" s="60">
        <f t="shared" si="13"/>
        <v>36</v>
      </c>
      <c r="X33" s="60">
        <f t="shared" si="14"/>
        <v>44</v>
      </c>
      <c r="Y33" s="60" t="str">
        <f>IFERROR(VLOOKUP(MID(T33,W33,X33-W33),[5]skilldef!$C:$D,2,FALSE),"-") &amp; " / " &amp; IFERROR(VLOOKUP(MID(T33,U33,V33-U33),[5]skilldef!$A:$B,2,FALSE),"-")</f>
        <v>味方全体に / -</v>
      </c>
      <c r="Z33" s="48"/>
      <c r="AA33" s="50"/>
      <c r="AB33" s="48"/>
    </row>
    <row r="34" spans="1:28" ht="35" customHeight="1" x14ac:dyDescent="0.2">
      <c r="A34" s="137">
        <v>47010032</v>
      </c>
      <c r="B34" s="141" t="s">
        <v>322</v>
      </c>
      <c r="C34" s="339">
        <v>3</v>
      </c>
      <c r="D34" s="138" t="s">
        <v>127</v>
      </c>
      <c r="E34" s="139" t="s">
        <v>335</v>
      </c>
      <c r="F34" s="139" t="s">
        <v>418</v>
      </c>
      <c r="G34" s="60" t="str">
        <f t="shared" si="0"/>
        <v>[effect:enemy_message, val1:2.2, val2:2.1]</v>
      </c>
      <c r="H34" s="60">
        <f t="shared" si="1"/>
        <v>9</v>
      </c>
      <c r="I34" s="60">
        <f t="shared" si="2"/>
        <v>22</v>
      </c>
      <c r="J34" s="60" t="e">
        <f t="shared" si="3"/>
        <v>#VALUE!</v>
      </c>
      <c r="K34" s="60">
        <f t="shared" si="4"/>
        <v>32</v>
      </c>
      <c r="L34" s="60" t="str">
        <f>IFERROR(VLOOKUP(MID(G34,J34,K34-J34),[5]skilldef!$C:$D,2,FALSE),"-") &amp; " / " &amp; IFERROR(VLOOKUP(MID(G34,H34,I34-H34),[5]skilldef!$A:$B,2,FALSE),"-")</f>
        <v>- / -</v>
      </c>
      <c r="M34" s="60" t="str">
        <f t="shared" si="5"/>
        <v>[effect:reduction, target:myself, color:all, turn:5, val:0.5, animation:reduction_one01],[effect:spread, val:0.29]</v>
      </c>
      <c r="N34" s="46" t="str">
        <f t="shared" si="77"/>
        <v>[effect:reduction, target:myself, color:all, turn:5, val:0.5, animation:reduction_one01],[effect:spread, val:0.29]</v>
      </c>
      <c r="O34" s="60">
        <f t="shared" si="6"/>
        <v>9</v>
      </c>
      <c r="P34" s="60">
        <f t="shared" si="7"/>
        <v>18</v>
      </c>
      <c r="Q34" s="60">
        <f t="shared" si="8"/>
        <v>27</v>
      </c>
      <c r="R34" s="60">
        <f t="shared" si="9"/>
        <v>33</v>
      </c>
      <c r="S34" s="60" t="str">
        <f>IFERROR(VLOOKUP(MID(N34,Q34,R34-Q34),[5]skilldef!$C:$D,2,FALSE),"-") &amp; " / " &amp; IFERROR(VLOOKUP(MID(N34,O34,P34-O34),[5]skilldef!$A:$B,2,FALSE),"-")</f>
        <v>自分自身に / -</v>
      </c>
      <c r="T34" s="46" t="str">
        <f t="shared" si="10"/>
        <v>[effect:spread, val:0.29]</v>
      </c>
      <c r="U34" s="60">
        <f t="shared" si="11"/>
        <v>9</v>
      </c>
      <c r="V34" s="60">
        <f t="shared" si="12"/>
        <v>15</v>
      </c>
      <c r="W34" s="60" t="e">
        <f t="shared" si="13"/>
        <v>#VALUE!</v>
      </c>
      <c r="X34" s="60" t="e">
        <f t="shared" si="14"/>
        <v>#VALUE!</v>
      </c>
      <c r="Y34" s="60" t="str">
        <f>IFERROR(VLOOKUP(MID(T34,W34,X34-W34),[5]skilldef!$C:$D,2,FALSE),"-") &amp; " / " &amp; IFERROR(VLOOKUP(MID(T34,U34,V34-U34),[5]skilldef!$A:$B,2,FALSE),"-")</f>
        <v>- / 全体攻撃</v>
      </c>
      <c r="Z34" s="48"/>
      <c r="AA34" s="50"/>
      <c r="AB34" s="48"/>
    </row>
    <row r="35" spans="1:28" ht="35" customHeight="1" x14ac:dyDescent="0.2">
      <c r="A35" s="137">
        <v>47010033</v>
      </c>
      <c r="B35" s="141" t="s">
        <v>532</v>
      </c>
      <c r="C35" s="339">
        <v>3</v>
      </c>
      <c r="D35" s="138" t="s">
        <v>127</v>
      </c>
      <c r="E35" s="139" t="s">
        <v>334</v>
      </c>
      <c r="F35" s="139" t="s">
        <v>416</v>
      </c>
      <c r="G35" s="60" t="str">
        <f t="shared" si="0"/>
        <v>[effect:enemy_message, val1:2.3, val2:3.1]</v>
      </c>
      <c r="H35" s="60">
        <f t="shared" si="1"/>
        <v>9</v>
      </c>
      <c r="I35" s="60">
        <f t="shared" si="2"/>
        <v>22</v>
      </c>
      <c r="J35" s="60" t="e">
        <f t="shared" si="3"/>
        <v>#VALUE!</v>
      </c>
      <c r="K35" s="60">
        <f t="shared" si="4"/>
        <v>32</v>
      </c>
      <c r="L35" s="60" t="str">
        <f>IFERROR(VLOOKUP(MID(G35,J35,K35-J35),[5]skilldef!$C:$D,2,FALSE),"-") &amp; " / " &amp; IFERROR(VLOOKUP(MID(G35,H35,I35-H35),[5]skilldef!$A:$B,2,FALSE),"-")</f>
        <v>- / -</v>
      </c>
      <c r="M35" s="60" t="str">
        <f t="shared" si="5"/>
        <v>[effect:damage_abnormal, target:unit_one, val:0.32, status:attack, turn:2, val_abnormal:0.5],[effect:damage_abnormal, target:unit_one, val:0.32, status:attack, turn:2, val_abnormal:0.5],[effect:damage_abnormal, target:unit_one, val:0.32, status:attack, turn:2, val_abnormal:0.5]</v>
      </c>
      <c r="N35" s="46" t="str">
        <f t="shared" si="77"/>
        <v>[effect:damage_abnormal, target:unit_one, val:0.32, status:attack, turn:2, val_abnormal:0.5],[effect:damage_abnormal, target:unit_one, val:0.32, status:attack, turn:2, val_abnormal:0.5],[effect:damage_abnormal, target:unit_one, val:0.32, status:attack, turn:2, val_abnormal:0.5]</v>
      </c>
      <c r="O35" s="60">
        <f t="shared" si="6"/>
        <v>9</v>
      </c>
      <c r="P35" s="60">
        <f t="shared" si="7"/>
        <v>24</v>
      </c>
      <c r="Q35" s="60">
        <f t="shared" si="8"/>
        <v>33</v>
      </c>
      <c r="R35" s="60">
        <f t="shared" si="9"/>
        <v>41</v>
      </c>
      <c r="S35" s="60" t="str">
        <f>IFERROR(VLOOKUP(MID(N35,Q35,R35-Q35),[5]skilldef!$C:$D,2,FALSE),"-") &amp; " / " &amp; IFERROR(VLOOKUP(MID(N35,O35,P35-O35),[5]skilldef!$A:$B,2,FALSE),"-")</f>
        <v>味方単体に / -</v>
      </c>
      <c r="T35" s="46" t="str">
        <f t="shared" si="10"/>
        <v>[effect:damage_abnormal, target:unit_one, val:0.32, status:attack, turn:2, val_abnormal:0.5],[effect:damage_abnormal, target:unit_one, val:0.32, status:attack, turn:2, val_abnormal:0.5]</v>
      </c>
      <c r="U35" s="60">
        <f t="shared" si="11"/>
        <v>9</v>
      </c>
      <c r="V35" s="60">
        <f t="shared" si="12"/>
        <v>24</v>
      </c>
      <c r="W35" s="60">
        <f t="shared" si="13"/>
        <v>33</v>
      </c>
      <c r="X35" s="60">
        <f t="shared" si="14"/>
        <v>41</v>
      </c>
      <c r="Y35" s="60" t="str">
        <f>IFERROR(VLOOKUP(MID(T35,W35,X35-W35),[5]skilldef!$C:$D,2,FALSE),"-") &amp; " / " &amp; IFERROR(VLOOKUP(MID(T35,U35,V35-U35),[5]skilldef!$A:$B,2,FALSE),"-")</f>
        <v>味方単体に / -</v>
      </c>
      <c r="Z35" s="48"/>
      <c r="AA35" s="50"/>
      <c r="AB35" s="48"/>
    </row>
    <row r="36" spans="1:28" ht="28" customHeight="1" x14ac:dyDescent="0.2">
      <c r="A36" s="137">
        <v>47010034</v>
      </c>
      <c r="B36" s="141" t="s">
        <v>408</v>
      </c>
      <c r="C36" s="339">
        <v>3</v>
      </c>
      <c r="D36" s="138" t="s">
        <v>127</v>
      </c>
      <c r="E36" s="139" t="s">
        <v>336</v>
      </c>
      <c r="F36" s="139" t="s">
        <v>446</v>
      </c>
      <c r="G36" s="60" t="str">
        <f t="shared" si="0"/>
        <v>[effect:enemy_message, val1:2.3, val2:2.6]</v>
      </c>
      <c r="H36" s="60">
        <f t="shared" si="1"/>
        <v>9</v>
      </c>
      <c r="I36" s="60">
        <f t="shared" si="2"/>
        <v>22</v>
      </c>
      <c r="J36" s="60" t="e">
        <f t="shared" si="3"/>
        <v>#VALUE!</v>
      </c>
      <c r="K36" s="60">
        <f t="shared" si="4"/>
        <v>32</v>
      </c>
      <c r="L36" s="60" t="str">
        <f>IFERROR(VLOOKUP(MID(G36,J36,K36-J36),[5]skilldef!$C:$D,2,FALSE),"-") &amp; " / " &amp; IFERROR(VLOOKUP(MID(G36,H36,I36-H36),[5]skilldef!$A:$B,2,FALSE),"-")</f>
        <v>- / -</v>
      </c>
      <c r="M36" s="60" t="str">
        <f t="shared" si="5"/>
        <v>[effect:force_change_block, new_block:jammer, target:block_all, ignore01:crash, ignore02:crack_bomb, ignore03:jammer, ignore04:color_break, ignore05:magnet, count:8, val:0, animation:change_block],[effect:critical, val:1.3, animation:enemy_critical]</v>
      </c>
      <c r="N36" s="46" t="str">
        <f t="shared" si="77"/>
        <v>[effect:force_change_block, new_block:jammer, target:block_all, ignore01:crash, ignore02:crack_bomb, ignore03:jammer, ignore04:color_break, ignore05:magnet, count:8, val:0, animation:change_block],[effect:critical, val:1.3, animation:enemy_critical]</v>
      </c>
      <c r="O36" s="60">
        <f t="shared" si="6"/>
        <v>9</v>
      </c>
      <c r="P36" s="60">
        <f t="shared" si="7"/>
        <v>27</v>
      </c>
      <c r="Q36" s="60">
        <f t="shared" si="8"/>
        <v>54</v>
      </c>
      <c r="R36" s="60">
        <f t="shared" si="9"/>
        <v>45</v>
      </c>
      <c r="S36" s="60" t="str">
        <f>IFERROR(VLOOKUP(MID(N36,Q36,R36-Q36),[5]skilldef!$C:$D,2,FALSE),"-") &amp; " / " &amp; IFERROR(VLOOKUP(MID(N36,O36,P36-O36),[5]skilldef!$A:$B,2,FALSE),"-")</f>
        <v>- / -</v>
      </c>
      <c r="T36" s="46" t="str">
        <f t="shared" si="10"/>
        <v>[effect:critical, val:1.3, animation:enemy_critical]</v>
      </c>
      <c r="U36" s="60">
        <f t="shared" si="11"/>
        <v>9</v>
      </c>
      <c r="V36" s="60">
        <f t="shared" si="12"/>
        <v>17</v>
      </c>
      <c r="W36" s="60" t="e">
        <f t="shared" si="13"/>
        <v>#VALUE!</v>
      </c>
      <c r="X36" s="60">
        <f t="shared" si="14"/>
        <v>26</v>
      </c>
      <c r="Y36" s="60" t="str">
        <f>IFERROR(VLOOKUP(MID(T36,W36,X36-W36),[5]skilldef!$C:$D,2,FALSE),"-") &amp; " / " &amp; IFERROR(VLOOKUP(MID(T36,U36,V36-U36),[5]skilldef!$A:$B,2,FALSE),"-")</f>
        <v>- / 大攻撃</v>
      </c>
      <c r="Z36" s="48"/>
      <c r="AA36" s="50"/>
      <c r="AB36" s="48"/>
    </row>
    <row r="37" spans="1:28" ht="35" customHeight="1" x14ac:dyDescent="0.2">
      <c r="A37" s="137">
        <v>47010035</v>
      </c>
      <c r="B37" s="141" t="s">
        <v>530</v>
      </c>
      <c r="C37" s="339">
        <v>3</v>
      </c>
      <c r="D37" s="138" t="s">
        <v>127</v>
      </c>
      <c r="E37" s="139" t="s">
        <v>333</v>
      </c>
      <c r="F37" s="139" t="s">
        <v>447</v>
      </c>
      <c r="G37" s="60" t="str">
        <f t="shared" si="0"/>
        <v>[effect:enemy_message, val1:1.5, val2:2.3]</v>
      </c>
      <c r="H37" s="60">
        <f t="shared" si="1"/>
        <v>9</v>
      </c>
      <c r="I37" s="60">
        <f t="shared" si="2"/>
        <v>22</v>
      </c>
      <c r="J37" s="60" t="e">
        <f t="shared" si="3"/>
        <v>#VALUE!</v>
      </c>
      <c r="K37" s="60">
        <f t="shared" si="4"/>
        <v>32</v>
      </c>
      <c r="L37" s="60" t="str">
        <f>IFERROR(VLOOKUP(MID(G37,J37,K37-J37),[5]skilldef!$C:$D,2,FALSE),"-") &amp; " / " &amp; IFERROR(VLOOKUP(MID(G37,H37,I37-H37),[5]skilldef!$A:$B,2,FALSE),"-")</f>
        <v>- / -</v>
      </c>
      <c r="M37" s="60" t="str">
        <f t="shared" si="5"/>
        <v>[effect:force_change_block, new_block:jammer, target:block_all, ignore01:crash, ignore02:crack_bomb, ignore03:jammer, ignore04:color_break, ignore05:magnet, count:8, val:0, animation:change_block],[effect:rush, count:1, val:1]</v>
      </c>
      <c r="N37" s="46" t="str">
        <f t="shared" si="77"/>
        <v>[effect:force_change_block, new_block:jammer, target:block_all, ignore01:crash, ignore02:crack_bomb, ignore03:jammer, ignore04:color_break, ignore05:magnet, count:8, val:0, animation:change_block],[effect:rush, count:1, val:1]</v>
      </c>
      <c r="O37" s="60">
        <f t="shared" si="6"/>
        <v>9</v>
      </c>
      <c r="P37" s="60">
        <f t="shared" si="7"/>
        <v>27</v>
      </c>
      <c r="Q37" s="60">
        <f t="shared" si="8"/>
        <v>54</v>
      </c>
      <c r="R37" s="60">
        <f t="shared" si="9"/>
        <v>45</v>
      </c>
      <c r="S37" s="60" t="str">
        <f>IFERROR(VLOOKUP(MID(N37,Q37,R37-Q37),[5]skilldef!$C:$D,2,FALSE),"-") &amp; " / " &amp; IFERROR(VLOOKUP(MID(N37,O37,P37-O37),[5]skilldef!$A:$B,2,FALSE),"-")</f>
        <v>- / -</v>
      </c>
      <c r="T37" s="46" t="str">
        <f t="shared" si="10"/>
        <v>[effect:rush, count:1, val:1]</v>
      </c>
      <c r="U37" s="60">
        <f t="shared" si="11"/>
        <v>9</v>
      </c>
      <c r="V37" s="60">
        <f t="shared" si="12"/>
        <v>13</v>
      </c>
      <c r="W37" s="60" t="e">
        <f t="shared" si="13"/>
        <v>#VALUE!</v>
      </c>
      <c r="X37" s="60">
        <f t="shared" si="14"/>
        <v>22</v>
      </c>
      <c r="Y37" s="60" t="str">
        <f>IFERROR(VLOOKUP(MID(T37,W37,X37-W37),[5]skilldef!$C:$D,2,FALSE),"-") &amp; " / " &amp; IFERROR(VLOOKUP(MID(T37,U37,V37-U37),[5]skilldef!$A:$B,2,FALSE),"-")</f>
        <v>- / 連続攻撃</v>
      </c>
      <c r="Z37" s="48"/>
      <c r="AA37" s="50"/>
      <c r="AB37" s="48"/>
    </row>
    <row r="38" spans="1:28" ht="34" customHeight="1" x14ac:dyDescent="0.2">
      <c r="A38" s="137">
        <v>47010036</v>
      </c>
      <c r="B38" s="219" t="s">
        <v>547</v>
      </c>
      <c r="C38" s="339">
        <v>3</v>
      </c>
      <c r="D38" s="138" t="s">
        <v>127</v>
      </c>
      <c r="E38" s="139" t="s">
        <v>354</v>
      </c>
      <c r="F38" s="139" t="s">
        <v>448</v>
      </c>
      <c r="G38" s="60" t="str">
        <f>IFERROR(LEFT(B38,FIND("],",B38)),B38)</f>
        <v>[effect:enemy_message, val1:1.6, val2:2.4]</v>
      </c>
      <c r="H38" s="60">
        <f>FIND("effect:",G38)+7</f>
        <v>9</v>
      </c>
      <c r="I38" s="60">
        <f>IFERROR(FIND(",",G38),LEN(G38))</f>
        <v>22</v>
      </c>
      <c r="J38" s="60" t="e">
        <f>FIND("target:",G38)+7</f>
        <v>#VALUE!</v>
      </c>
      <c r="K38" s="60">
        <f>FIND(",",G38,I38+1)</f>
        <v>32</v>
      </c>
      <c r="L38" s="60" t="str">
        <f>IFERROR(VLOOKUP(MID(G38,J38,K38-J38),[5]skilldef!$C:$D,2,FALSE),"-") &amp; " / " &amp; IFERROR(VLOOKUP(MID(G38,H38,I38-H38),[5]skilldef!$A:$B,2,FALSE),"-")</f>
        <v>- / -</v>
      </c>
      <c r="M38" s="60" t="str">
        <f>IFERROR(RIGHT(B38,LEN(B38)-FIND("],",B38)-1),"none")</f>
        <v>[effect:force_change_block, new_block:block_red, target:block_all, ignore01:crash, ignore02:crack_bomb, ignore03:jammer, ignore04:color_break, ignore05:magnet, ignore06:block_red, count:10, val:0, animation:change_block],[effect:rush, count:4, val:0.22]</v>
      </c>
      <c r="N38" s="46" t="str">
        <f>IFERROR(LEFT(M38,FIND("],",M38)+S49),M38)</f>
        <v>[effect:force_change_block, new_block:block_red, target:block_all, ignore01:crash, ignore02:crack_bomb, ignore03:jammer, ignore04:color_break, ignore05:magnet, ignore06:block_red, count:10, val:0, animation:change_block],[effect:rush, count:4, val:0.22]</v>
      </c>
      <c r="O38" s="60">
        <f>FIND("effect:",N38)+7</f>
        <v>9</v>
      </c>
      <c r="P38" s="60">
        <f>IFERROR(FIND(",",N38),LEN(N38))</f>
        <v>27</v>
      </c>
      <c r="Q38" s="60">
        <f>FIND("target:",N38)+7</f>
        <v>57</v>
      </c>
      <c r="R38" s="60">
        <f>FIND(",",N38,P38+1)</f>
        <v>48</v>
      </c>
      <c r="S38" s="60" t="str">
        <f>IFERROR(VLOOKUP(MID(N38,Q38,R38-Q38),[5]skilldef!$C:$D,2,FALSE),"-") &amp; " / " &amp; IFERROR(VLOOKUP(MID(N38,O38,P38-O38),[5]skilldef!$A:$B,2,FALSE),"-")</f>
        <v>- / -</v>
      </c>
      <c r="T38" s="46" t="str">
        <f>IFERROR(RIGHT(M38,LEN(M38)-FIND("],",M38)-1),"none")</f>
        <v>[effect:rush, count:4, val:0.22]</v>
      </c>
      <c r="U38" s="60">
        <f>FIND("effect:",T38)+7</f>
        <v>9</v>
      </c>
      <c r="V38" s="60">
        <f>IFERROR(FIND(",",T38),LEN(T38))</f>
        <v>13</v>
      </c>
      <c r="W38" s="60" t="e">
        <f>FIND("target:",T38)+7</f>
        <v>#VALUE!</v>
      </c>
      <c r="X38" s="60">
        <f>FIND(",",T38,V38+1)</f>
        <v>22</v>
      </c>
      <c r="Y38" s="60" t="str">
        <f>IFERROR(VLOOKUP(MID(T38,W38,X38-W38),[5]skilldef!$C:$D,2,FALSE),"-") &amp; " / " &amp; IFERROR(VLOOKUP(MID(T38,U38,V38-U38),[5]skilldef!$A:$B,2,FALSE),"-")</f>
        <v>- / 連続攻撃</v>
      </c>
      <c r="Z38" s="48"/>
      <c r="AA38" s="50"/>
      <c r="AB38" s="48"/>
    </row>
    <row r="39" spans="1:28" ht="32" customHeight="1" x14ac:dyDescent="0.2">
      <c r="A39" s="137">
        <v>47010037</v>
      </c>
      <c r="B39" s="141" t="s">
        <v>531</v>
      </c>
      <c r="C39" s="339">
        <v>3</v>
      </c>
      <c r="D39" s="138" t="s">
        <v>127</v>
      </c>
      <c r="E39" s="139" t="s">
        <v>356</v>
      </c>
      <c r="F39" s="139" t="s">
        <v>449</v>
      </c>
      <c r="G39" s="60" t="str">
        <f t="shared" si="0"/>
        <v>[effect:enemy_message, val1:1.5, val2:2.4]</v>
      </c>
      <c r="H39" s="60">
        <f t="shared" si="1"/>
        <v>9</v>
      </c>
      <c r="I39" s="60">
        <f t="shared" si="2"/>
        <v>22</v>
      </c>
      <c r="J39" s="60" t="e">
        <f t="shared" si="3"/>
        <v>#VALUE!</v>
      </c>
      <c r="K39" s="60">
        <f t="shared" si="4"/>
        <v>32</v>
      </c>
      <c r="L39" s="60" t="str">
        <f>IFERROR(VLOOKUP(MID(G39,J39,K39-J39),[5]skilldef!$C:$D,2,FALSE),"-") &amp; " / " &amp; IFERROR(VLOOKUP(MID(G39,H39,I39-H39),[5]skilldef!$A:$B,2,FALSE),"-")</f>
        <v>- / -</v>
      </c>
      <c r="M39" s="60" t="str">
        <f t="shared" si="5"/>
        <v>[effect:force_change_block, new_block:block_heart, target:block_all, ignore01:crash, ignore02:crack_bomb, ignore03:jammer, ignore04:color_break, ignore05:magnet, ignore06:block_heart, count:14, val:0],[effect:spread, val:0.34]</v>
      </c>
      <c r="N39" s="46" t="str">
        <f>IFERROR(LEFT(M39,FIND("],",M39)+S47),M39)</f>
        <v>[effect:force_change_block, new_block:block_heart, target:block_all, ignore01:crash, ignore02:crack_bomb, ignore03:jammer, ignore04:color_break, ignore05:magnet, ignore06:block_heart, count:14, val:0],[effect:spread, val:0.34]</v>
      </c>
      <c r="O39" s="60">
        <f t="shared" si="6"/>
        <v>9</v>
      </c>
      <c r="P39" s="60">
        <f t="shared" si="7"/>
        <v>27</v>
      </c>
      <c r="Q39" s="60">
        <f t="shared" si="8"/>
        <v>59</v>
      </c>
      <c r="R39" s="60">
        <f t="shared" si="9"/>
        <v>50</v>
      </c>
      <c r="S39" s="60" t="str">
        <f>IFERROR(VLOOKUP(MID(N39,Q39,R39-Q39),[5]skilldef!$C:$D,2,FALSE),"-") &amp; " / " &amp; IFERROR(VLOOKUP(MID(N39,O39,P39-O39),[5]skilldef!$A:$B,2,FALSE),"-")</f>
        <v>- / -</v>
      </c>
      <c r="T39" s="46" t="str">
        <f t="shared" si="10"/>
        <v>[effect:spread, val:0.34]</v>
      </c>
      <c r="U39" s="60">
        <f t="shared" si="11"/>
        <v>9</v>
      </c>
      <c r="V39" s="60">
        <f t="shared" si="12"/>
        <v>15</v>
      </c>
      <c r="W39" s="60" t="e">
        <f t="shared" si="13"/>
        <v>#VALUE!</v>
      </c>
      <c r="X39" s="60" t="e">
        <f t="shared" si="14"/>
        <v>#VALUE!</v>
      </c>
      <c r="Y39" s="60" t="str">
        <f>IFERROR(VLOOKUP(MID(T39,W39,X39-W39),[5]skilldef!$C:$D,2,FALSE),"-") &amp; " / " &amp; IFERROR(VLOOKUP(MID(T39,U39,V39-U39),[5]skilldef!$A:$B,2,FALSE),"-")</f>
        <v>- / 全体攻撃</v>
      </c>
      <c r="Z39" s="48"/>
      <c r="AA39" s="50"/>
      <c r="AB39" s="48"/>
    </row>
    <row r="40" spans="1:28" ht="35" customHeight="1" x14ac:dyDescent="0.2">
      <c r="A40" s="137">
        <v>47010038</v>
      </c>
      <c r="B40" s="141" t="s">
        <v>533</v>
      </c>
      <c r="C40" s="339">
        <v>3</v>
      </c>
      <c r="D40" s="138" t="s">
        <v>127</v>
      </c>
      <c r="E40" s="139" t="s">
        <v>340</v>
      </c>
      <c r="F40" s="139" t="s">
        <v>320</v>
      </c>
      <c r="G40" s="60" t="str">
        <f t="shared" si="0"/>
        <v>[effect:enemy_message, val1:1.4, val2:3.3]</v>
      </c>
      <c r="H40" s="60">
        <f t="shared" si="1"/>
        <v>9</v>
      </c>
      <c r="I40" s="60">
        <f t="shared" si="2"/>
        <v>22</v>
      </c>
      <c r="J40" s="60" t="e">
        <f t="shared" si="3"/>
        <v>#VALUE!</v>
      </c>
      <c r="K40" s="60">
        <f t="shared" si="4"/>
        <v>32</v>
      </c>
      <c r="L40" s="60" t="str">
        <f>IFERROR(VLOOKUP(MID(G40,J40,K40-J40),[5]skilldef!$C:$D,2,FALSE),"-") &amp; " / " &amp; IFERROR(VLOOKUP(MID(G40,H40,I40-H40),[5]skilldef!$A:$B,2,FALSE),"-")</f>
        <v>- / -</v>
      </c>
      <c r="M40" s="60" t="str">
        <f t="shared" si="5"/>
        <v>[effect:force_change_block, new_block:jammer, target:block_all, ignore01:crash, ignore02:crack_bomb, ignore03:jammer, ignore04:color_break, ignore05:magnet, count:10, val:0, animation:change_block],[effect:damage_gravity, val:0.5, animation:fevergauge_down]</v>
      </c>
      <c r="N40" s="46" t="str">
        <f>IFERROR(LEFT(M40,FIND("],",M40)+S48),M40)</f>
        <v>[effect:force_change_block, new_block:jammer, target:block_all, ignore01:crash, ignore02:crack_bomb, ignore03:jammer, ignore04:color_break, ignore05:magnet, count:10, val:0, animation:change_block],[effect:damage_gravity, val:0.5, animation:fevergauge_down]</v>
      </c>
      <c r="O40" s="60">
        <f t="shared" si="6"/>
        <v>9</v>
      </c>
      <c r="P40" s="60">
        <f t="shared" si="7"/>
        <v>27</v>
      </c>
      <c r="Q40" s="60">
        <f t="shared" si="8"/>
        <v>54</v>
      </c>
      <c r="R40" s="60">
        <f t="shared" si="9"/>
        <v>45</v>
      </c>
      <c r="S40" s="60" t="str">
        <f>IFERROR(VLOOKUP(MID(N40,Q40,R40-Q40),[5]skilldef!$C:$D,2,FALSE),"-") &amp; " / " &amp; IFERROR(VLOOKUP(MID(N40,O40,P40-O40),[5]skilldef!$A:$B,2,FALSE),"-")</f>
        <v>- / -</v>
      </c>
      <c r="T40" s="46" t="str">
        <f t="shared" si="10"/>
        <v>[effect:damage_gravity, val:0.5, animation:fevergauge_down]</v>
      </c>
      <c r="U40" s="60">
        <f t="shared" si="11"/>
        <v>9</v>
      </c>
      <c r="V40" s="60">
        <f t="shared" si="12"/>
        <v>23</v>
      </c>
      <c r="W40" s="60" t="e">
        <f t="shared" si="13"/>
        <v>#VALUE!</v>
      </c>
      <c r="X40" s="60">
        <f t="shared" si="14"/>
        <v>32</v>
      </c>
      <c r="Y40" s="60" t="str">
        <f>IFERROR(VLOOKUP(MID(T40,W40,X40-W40),[5]skilldef!$C:$D,2,FALSE),"-") &amp; " / " &amp; IFERROR(VLOOKUP(MID(T40,U40,V40-U40),[5]skilldef!$A:$B,2,FALSE),"-")</f>
        <v>- / 割合ダメージ</v>
      </c>
      <c r="Z40" s="48"/>
      <c r="AA40" s="50"/>
      <c r="AB40" s="48"/>
    </row>
    <row r="41" spans="1:28" ht="43" customHeight="1" x14ac:dyDescent="0.2">
      <c r="A41" s="137">
        <v>47010039</v>
      </c>
      <c r="B41" s="141" t="s">
        <v>551</v>
      </c>
      <c r="C41" s="339">
        <v>3</v>
      </c>
      <c r="D41" s="138" t="s">
        <v>127</v>
      </c>
      <c r="E41" s="139" t="s">
        <v>292</v>
      </c>
      <c r="F41" s="139" t="s">
        <v>552</v>
      </c>
      <c r="G41" s="60" t="str">
        <f t="shared" si="0"/>
        <v>[effect:enemy_message, val1:1.5, val2:5.1]</v>
      </c>
      <c r="H41" s="60">
        <f t="shared" si="1"/>
        <v>9</v>
      </c>
      <c r="I41" s="60">
        <f t="shared" si="2"/>
        <v>22</v>
      </c>
      <c r="J41" s="60" t="e">
        <f t="shared" si="3"/>
        <v>#VALUE!</v>
      </c>
      <c r="K41" s="60">
        <f t="shared" si="4"/>
        <v>32</v>
      </c>
      <c r="L41" s="60" t="str">
        <f>IFERROR(VLOOKUP(MID(G41,J41,K41-J41),[5]skilldef!$C:$D,2,FALSE),"-") &amp; " / " &amp; IFERROR(VLOOKUP(MID(G41,H41,I41-H41),[5]skilldef!$A:$B,2,FALSE),"-")</f>
        <v>- / -</v>
      </c>
      <c r="M41" s="60" t="str">
        <f t="shared" si="5"/>
        <v>[effect:break_attack_fix, target:unit_all, val:80, lowest_val:1200, count:-1, block01:block_all, ignore01:block_heart, ignore02:crash, ignore03:crack_bomb, ignore04:color_break, ignore05:magnet]</v>
      </c>
      <c r="N41" s="46" t="str">
        <f>IFERROR(LEFT(M41,FIND("],",M41)+#REF!),M41)</f>
        <v>[effect:break_attack_fix, target:unit_all, val:80, lowest_val:1200, count:-1, block01:block_all, ignore01:block_heart, ignore02:crash, ignore03:crack_bomb, ignore04:color_break, ignore05:magnet]</v>
      </c>
      <c r="O41" s="60">
        <f t="shared" si="6"/>
        <v>9</v>
      </c>
      <c r="P41" s="60">
        <f t="shared" si="7"/>
        <v>25</v>
      </c>
      <c r="Q41" s="60">
        <f t="shared" si="8"/>
        <v>34</v>
      </c>
      <c r="R41" s="60">
        <f t="shared" si="9"/>
        <v>42</v>
      </c>
      <c r="S41" s="60" t="str">
        <f>IFERROR(VLOOKUP(MID(N41,Q41,R41-Q41),[5]skilldef!$C:$D,2,FALSE),"-") &amp; " / " &amp; IFERROR(VLOOKUP(MID(N41,O41,P41-O41),[5]skilldef!$A:$B,2,FALSE),"-")</f>
        <v>味方全体に / -</v>
      </c>
      <c r="T41" s="46" t="str">
        <f t="shared" si="10"/>
        <v>none</v>
      </c>
      <c r="U41" s="60" t="e">
        <f t="shared" si="11"/>
        <v>#VALUE!</v>
      </c>
      <c r="V41" s="60">
        <f t="shared" si="12"/>
        <v>4</v>
      </c>
      <c r="W41" s="60" t="e">
        <f t="shared" si="13"/>
        <v>#VALUE!</v>
      </c>
      <c r="X41" s="60" t="e">
        <f t="shared" si="14"/>
        <v>#VALUE!</v>
      </c>
      <c r="Y41" s="60" t="str">
        <f>IFERROR(VLOOKUP(MID(T41,W41,X41-W41),[5]skilldef!$C:$D,2,FALSE),"-") &amp; " / " &amp; IFERROR(VLOOKUP(MID(T41,U41,V41-U41),[5]skilldef!$A:$B,2,FALSE),"-")</f>
        <v>- / -</v>
      </c>
      <c r="Z41" s="48"/>
      <c r="AA41" s="50"/>
      <c r="AB41" s="48"/>
    </row>
    <row r="42" spans="1:28" ht="50" customHeight="1" x14ac:dyDescent="0.2">
      <c r="A42" s="137">
        <v>47010040</v>
      </c>
      <c r="B42" s="141" t="s">
        <v>534</v>
      </c>
      <c r="C42" s="339">
        <v>3</v>
      </c>
      <c r="D42" s="138" t="s">
        <v>127</v>
      </c>
      <c r="E42" s="139" t="s">
        <v>284</v>
      </c>
      <c r="F42" s="139" t="s">
        <v>519</v>
      </c>
      <c r="G42" s="60" t="str">
        <f t="shared" si="0"/>
        <v>[effect:enemy_message, val1:1.5, val2:4.7]</v>
      </c>
      <c r="H42" s="60">
        <f t="shared" si="1"/>
        <v>9</v>
      </c>
      <c r="I42" s="60">
        <f t="shared" si="2"/>
        <v>22</v>
      </c>
      <c r="J42" s="60" t="e">
        <f t="shared" si="3"/>
        <v>#VALUE!</v>
      </c>
      <c r="K42" s="60">
        <f t="shared" si="4"/>
        <v>32</v>
      </c>
      <c r="L42" s="60" t="str">
        <f>IFERROR(VLOOKUP(MID(G42,J42,K42-J42),[5]skilldef!$C:$D,2,FALSE),"-") &amp; " / " &amp; IFERROR(VLOOKUP(MID(G42,H42,I42-H42),[5]skilldef!$A:$B,2,FALSE),"-")</f>
        <v>- / -</v>
      </c>
      <c r="M42" s="60" t="str">
        <f t="shared" si="5"/>
        <v>[effect:force_change_block, new_block:jammer, target:block_heart, count:0, val:0],[effect:damage_gravity, val:0.99, animation:fevergauge_down],[effect:suicide, target:myself, val:0.1]</v>
      </c>
      <c r="N42" s="46" t="str">
        <f>IFERROR(LEFT(M42,FIND("],",M42)+#REF!),M42)</f>
        <v>[effect:force_change_block, new_block:jammer, target:block_heart, count:0, val:0],[effect:damage_gravity, val:0.99, animation:fevergauge_down],[effect:suicide, target:myself, val:0.1]</v>
      </c>
      <c r="O42" s="60">
        <f t="shared" si="6"/>
        <v>9</v>
      </c>
      <c r="P42" s="60">
        <f t="shared" si="7"/>
        <v>27</v>
      </c>
      <c r="Q42" s="60">
        <f t="shared" si="8"/>
        <v>54</v>
      </c>
      <c r="R42" s="60">
        <f t="shared" si="9"/>
        <v>45</v>
      </c>
      <c r="S42" s="60" t="str">
        <f>IFERROR(VLOOKUP(MID(N42,Q42,R42-Q42),[5]skilldef!$C:$D,2,FALSE),"-") &amp; " / " &amp; IFERROR(VLOOKUP(MID(N42,O42,P42-O42),[5]skilldef!$A:$B,2,FALSE),"-")</f>
        <v>- / -</v>
      </c>
      <c r="T42" s="46" t="str">
        <f t="shared" si="10"/>
        <v>[effect:damage_gravity, val:0.99, animation:fevergauge_down],[effect:suicide, target:myself, val:0.1]</v>
      </c>
      <c r="U42" s="60">
        <f t="shared" si="11"/>
        <v>9</v>
      </c>
      <c r="V42" s="60">
        <f t="shared" si="12"/>
        <v>23</v>
      </c>
      <c r="W42" s="60">
        <f t="shared" si="13"/>
        <v>86</v>
      </c>
      <c r="X42" s="60">
        <f t="shared" si="14"/>
        <v>33</v>
      </c>
      <c r="Y42" s="60" t="str">
        <f>IFERROR(VLOOKUP(MID(T42,W42,X42-W42),[5]skilldef!$C:$D,2,FALSE),"-") &amp; " / " &amp; IFERROR(VLOOKUP(MID(T42,U42,V42-U42),[5]skilldef!$A:$B,2,FALSE),"-")</f>
        <v>- / 割合ダメージ</v>
      </c>
      <c r="Z42" s="48"/>
      <c r="AA42" s="50"/>
      <c r="AB42" s="48"/>
    </row>
    <row r="43" spans="1:28" ht="32" customHeight="1" x14ac:dyDescent="0.2">
      <c r="A43" s="137">
        <v>47010041</v>
      </c>
      <c r="B43" s="141" t="s">
        <v>542</v>
      </c>
      <c r="C43" s="339">
        <v>3</v>
      </c>
      <c r="D43" s="138" t="s">
        <v>127</v>
      </c>
      <c r="E43" s="139" t="s">
        <v>293</v>
      </c>
      <c r="F43" s="139" t="s">
        <v>541</v>
      </c>
      <c r="G43" s="60" t="str">
        <f t="shared" si="0"/>
        <v>[effect:enemy_message, val1:2.2, val2:2.6]</v>
      </c>
      <c r="H43" s="60">
        <f t="shared" si="1"/>
        <v>9</v>
      </c>
      <c r="I43" s="60">
        <f t="shared" si="2"/>
        <v>22</v>
      </c>
      <c r="J43" s="60" t="e">
        <f t="shared" si="3"/>
        <v>#VALUE!</v>
      </c>
      <c r="K43" s="60">
        <f t="shared" si="4"/>
        <v>32</v>
      </c>
      <c r="L43" s="60" t="str">
        <f>IFERROR(VLOOKUP(MID(G43,J43,K43-J43),[5]skilldef!$C:$D,2,FALSE),"-") &amp; " / " &amp; IFERROR(VLOOKUP(MID(G43,H43,I43-H43),[5]skilldef!$A:$B,2,FALSE),"-")</f>
        <v>- / -</v>
      </c>
      <c r="M43" s="60" t="str">
        <f t="shared" si="5"/>
        <v>[effect:force_change_block, new_block:block_heart, target:block_all, ignore01:jammer, count:0, val:0]</v>
      </c>
      <c r="N43" s="46" t="str">
        <f>IFERROR(LEFT(M43,FIND("],",M43)+#REF!),M43)</f>
        <v>[effect:force_change_block, new_block:block_heart, target:block_all, ignore01:jammer, count:0, val:0]</v>
      </c>
      <c r="O43" s="60">
        <f t="shared" si="6"/>
        <v>9</v>
      </c>
      <c r="P43" s="60">
        <f t="shared" si="7"/>
        <v>27</v>
      </c>
      <c r="Q43" s="60">
        <f t="shared" si="8"/>
        <v>59</v>
      </c>
      <c r="R43" s="60">
        <f t="shared" si="9"/>
        <v>50</v>
      </c>
      <c r="S43" s="60" t="str">
        <f>IFERROR(VLOOKUP(MID(N43,Q43,R43-Q43),[5]skilldef!$C:$D,2,FALSE),"-") &amp; " / " &amp; IFERROR(VLOOKUP(MID(N43,O43,P43-O43),[5]skilldef!$A:$B,2,FALSE),"-")</f>
        <v>- / -</v>
      </c>
      <c r="T43" s="46" t="str">
        <f t="shared" si="10"/>
        <v>none</v>
      </c>
      <c r="U43" s="60" t="e">
        <f t="shared" si="11"/>
        <v>#VALUE!</v>
      </c>
      <c r="V43" s="60">
        <f t="shared" si="12"/>
        <v>4</v>
      </c>
      <c r="W43" s="60" t="e">
        <f t="shared" si="13"/>
        <v>#VALUE!</v>
      </c>
      <c r="X43" s="60" t="e">
        <f t="shared" si="14"/>
        <v>#VALUE!</v>
      </c>
      <c r="Y43" s="60" t="str">
        <f>IFERROR(VLOOKUP(MID(T43,W43,X43-W43),[5]skilldef!$C:$D,2,FALSE),"-") &amp; " / " &amp; IFERROR(VLOOKUP(MID(T43,U43,V43-U43),[5]skilldef!$A:$B,2,FALSE),"-")</f>
        <v>- / -</v>
      </c>
      <c r="Z43" s="48"/>
      <c r="AA43" s="50"/>
      <c r="AB43" s="48"/>
    </row>
    <row r="44" spans="1:28" ht="30" customHeight="1" x14ac:dyDescent="0.2">
      <c r="A44" s="137">
        <v>47010042</v>
      </c>
      <c r="B44" s="141" t="s">
        <v>535</v>
      </c>
      <c r="C44" s="339">
        <v>3</v>
      </c>
      <c r="D44" s="138" t="s">
        <v>127</v>
      </c>
      <c r="E44" s="139" t="s">
        <v>285</v>
      </c>
      <c r="F44" s="139" t="s">
        <v>323</v>
      </c>
      <c r="G44" s="60" t="str">
        <f t="shared" si="0"/>
        <v>[effect:enemy_message, val1:2.2, val2:3.1]</v>
      </c>
      <c r="H44" s="60">
        <f t="shared" si="1"/>
        <v>9</v>
      </c>
      <c r="I44" s="60">
        <f t="shared" si="2"/>
        <v>22</v>
      </c>
      <c r="J44" s="60" t="e">
        <f t="shared" si="3"/>
        <v>#VALUE!</v>
      </c>
      <c r="K44" s="60">
        <f t="shared" si="4"/>
        <v>32</v>
      </c>
      <c r="L44" s="60" t="str">
        <f>IFERROR(VLOOKUP(MID(G44,J44,K44-J44),[5]skilldef!$C:$D,2,FALSE),"-") &amp; " / " &amp; IFERROR(VLOOKUP(MID(G44,H44,I44-H44),[5]skilldef!$A:$B,2,FALSE),"-")</f>
        <v>- / -</v>
      </c>
      <c r="M44" s="60" t="str">
        <f t="shared" si="5"/>
        <v>[effect:spread, val:0.3],[effect:force_change_block, new_block:jammer, target:block_all, ignore01:crash, ignore02:crack_bomb, ignore03:jammer, ignore04:color_break, ignore05:magnet, count:6, val:0, animation:change_block]</v>
      </c>
      <c r="N44" s="46" t="str">
        <f>IFERROR(LEFT(M44,FIND("],",M44)+#REF!),M44)</f>
        <v>[effect:spread, val:0.3],[effect:force_change_block, new_block:jammer, target:block_all, ignore01:crash, ignore02:crack_bomb, ignore03:jammer, ignore04:color_break, ignore05:magnet, count:6, val:0, animation:change_block]</v>
      </c>
      <c r="O44" s="60">
        <f t="shared" si="6"/>
        <v>9</v>
      </c>
      <c r="P44" s="60">
        <f t="shared" si="7"/>
        <v>15</v>
      </c>
      <c r="Q44" s="60">
        <f t="shared" si="8"/>
        <v>79</v>
      </c>
      <c r="R44" s="60">
        <f t="shared" si="9"/>
        <v>25</v>
      </c>
      <c r="S44" s="60" t="str">
        <f>IFERROR(VLOOKUP(MID(N44,Q44,R44-Q44),[5]skilldef!$C:$D,2,FALSE),"-") &amp; " / " &amp; IFERROR(VLOOKUP(MID(N44,O44,P44-O44),[5]skilldef!$A:$B,2,FALSE),"-")</f>
        <v>- / 全体攻撃</v>
      </c>
      <c r="T44" s="46" t="str">
        <f t="shared" si="10"/>
        <v>[effect:force_change_block, new_block:jammer, target:block_all, ignore01:crash, ignore02:crack_bomb, ignore03:jammer, ignore04:color_break, ignore05:magnet, count:6, val:0, animation:change_block]</v>
      </c>
      <c r="U44" s="60">
        <f t="shared" si="11"/>
        <v>9</v>
      </c>
      <c r="V44" s="60">
        <f t="shared" si="12"/>
        <v>27</v>
      </c>
      <c r="W44" s="60">
        <f t="shared" si="13"/>
        <v>54</v>
      </c>
      <c r="X44" s="60">
        <f t="shared" si="14"/>
        <v>45</v>
      </c>
      <c r="Y44" s="60" t="str">
        <f>IFERROR(VLOOKUP(MID(T44,W44,X44-W44),[5]skilldef!$C:$D,2,FALSE),"-") &amp; " / " &amp; IFERROR(VLOOKUP(MID(T44,U44,V44-U44),[5]skilldef!$A:$B,2,FALSE),"-")</f>
        <v>- / -</v>
      </c>
      <c r="Z44" s="48"/>
      <c r="AA44" s="50"/>
      <c r="AB44" s="48"/>
    </row>
    <row r="45" spans="1:28" ht="32" customHeight="1" x14ac:dyDescent="0.2">
      <c r="A45" s="137">
        <v>47010043</v>
      </c>
      <c r="B45" s="141" t="s">
        <v>498</v>
      </c>
      <c r="C45" s="339">
        <v>3</v>
      </c>
      <c r="D45" s="138" t="s">
        <v>127</v>
      </c>
      <c r="E45" s="139" t="s">
        <v>331</v>
      </c>
      <c r="F45" s="139" t="s">
        <v>324</v>
      </c>
      <c r="G45" s="60" t="str">
        <f t="shared" si="0"/>
        <v>[effect:enemy_message, val1:1.6, val2:3.2]</v>
      </c>
      <c r="H45" s="60">
        <f t="shared" si="1"/>
        <v>9</v>
      </c>
      <c r="I45" s="60">
        <f t="shared" si="2"/>
        <v>22</v>
      </c>
      <c r="J45" s="60" t="e">
        <f t="shared" si="3"/>
        <v>#VALUE!</v>
      </c>
      <c r="K45" s="60">
        <f t="shared" si="4"/>
        <v>32</v>
      </c>
      <c r="L45" s="60" t="str">
        <f>IFERROR(VLOOKUP(MID(G45,J45,K45-J45),[5]skilldef!$C:$D,2,FALSE),"-") &amp; " / " &amp; IFERROR(VLOOKUP(MID(G45,H45,I45-H45),[5]skilldef!$A:$B,2,FALSE),"-")</f>
        <v>- / -</v>
      </c>
      <c r="M45" s="60" t="str">
        <f t="shared" si="5"/>
        <v>[effect:spread, val:0.4],[effect:force_change_block, new_block:jammer, target:block_all, ignore01:crash, ignore02:crack_bomb, ignore03:jammer, ignore04:color_break, ignore05:magnet, count:12, val:0, animation:change_block]</v>
      </c>
      <c r="N45" s="46" t="str">
        <f>IFERROR(LEFT(M45,FIND("],",M45)+#REF!),M45)</f>
        <v>[effect:spread, val:0.4],[effect:force_change_block, new_block:jammer, target:block_all, ignore01:crash, ignore02:crack_bomb, ignore03:jammer, ignore04:color_break, ignore05:magnet, count:12, val:0, animation:change_block]</v>
      </c>
      <c r="O45" s="60">
        <f t="shared" si="6"/>
        <v>9</v>
      </c>
      <c r="P45" s="60">
        <f t="shared" si="7"/>
        <v>15</v>
      </c>
      <c r="Q45" s="60">
        <f t="shared" si="8"/>
        <v>79</v>
      </c>
      <c r="R45" s="60">
        <f t="shared" si="9"/>
        <v>25</v>
      </c>
      <c r="S45" s="60" t="str">
        <f>IFERROR(VLOOKUP(MID(N45,Q45,R45-Q45),[5]skilldef!$C:$D,2,FALSE),"-") &amp; " / " &amp; IFERROR(VLOOKUP(MID(N45,O45,P45-O45),[5]skilldef!$A:$B,2,FALSE),"-")</f>
        <v>- / 全体攻撃</v>
      </c>
      <c r="T45" s="46" t="str">
        <f t="shared" si="10"/>
        <v>[effect:force_change_block, new_block:jammer, target:block_all, ignore01:crash, ignore02:crack_bomb, ignore03:jammer, ignore04:color_break, ignore05:magnet, count:12, val:0, animation:change_block]</v>
      </c>
      <c r="U45" s="60">
        <f t="shared" si="11"/>
        <v>9</v>
      </c>
      <c r="V45" s="60">
        <f t="shared" si="12"/>
        <v>27</v>
      </c>
      <c r="W45" s="60">
        <f t="shared" si="13"/>
        <v>54</v>
      </c>
      <c r="X45" s="60">
        <f t="shared" si="14"/>
        <v>45</v>
      </c>
      <c r="Y45" s="60" t="str">
        <f>IFERROR(VLOOKUP(MID(T45,W45,X45-W45),[5]skilldef!$C:$D,2,FALSE),"-") &amp; " / " &amp; IFERROR(VLOOKUP(MID(T45,U45,V45-U45),[5]skilldef!$A:$B,2,FALSE),"-")</f>
        <v>- / -</v>
      </c>
      <c r="Z45" s="48"/>
      <c r="AA45" s="50"/>
      <c r="AB45" s="48"/>
    </row>
    <row r="46" spans="1:28" ht="44" customHeight="1" x14ac:dyDescent="0.2">
      <c r="A46" s="137">
        <v>47010044</v>
      </c>
      <c r="B46" s="141" t="s">
        <v>479</v>
      </c>
      <c r="C46" s="339">
        <v>3</v>
      </c>
      <c r="D46" s="138" t="s">
        <v>127</v>
      </c>
      <c r="E46" s="139" t="s">
        <v>419</v>
      </c>
      <c r="F46" s="139" t="s">
        <v>521</v>
      </c>
      <c r="G46" s="60" t="str">
        <f t="shared" si="0"/>
        <v>[effect:enemy_message, val1:1.9, val2:3.1]</v>
      </c>
      <c r="H46" s="60">
        <f t="shared" si="1"/>
        <v>9</v>
      </c>
      <c r="I46" s="60">
        <f t="shared" si="2"/>
        <v>22</v>
      </c>
      <c r="J46" s="60" t="e">
        <f t="shared" si="3"/>
        <v>#VALUE!</v>
      </c>
      <c r="K46" s="60">
        <f t="shared" si="4"/>
        <v>32</v>
      </c>
      <c r="L46" s="60" t="str">
        <f>IFERROR(VLOOKUP(MID(G46,J46,K46-J46),[5]skilldef!$C:$D,2,FALSE),"-") &amp; " / " &amp; IFERROR(VLOOKUP(MID(G46,H46,I46-H46),[5]skilldef!$A:$B,2,FALSE),"-")</f>
        <v>- / -</v>
      </c>
      <c r="M46" s="60" t="str">
        <f t="shared" si="5"/>
        <v>[effect:spread, val:0.45]</v>
      </c>
      <c r="N46" s="46" t="str">
        <f>IFERROR(LEFT(M46,FIND("],",M46)+#REF!),M46)</f>
        <v>[effect:spread, val:0.45]</v>
      </c>
      <c r="O46" s="60">
        <f t="shared" si="6"/>
        <v>9</v>
      </c>
      <c r="P46" s="60">
        <f t="shared" si="7"/>
        <v>15</v>
      </c>
      <c r="Q46" s="60" t="e">
        <f t="shared" si="8"/>
        <v>#VALUE!</v>
      </c>
      <c r="R46" s="60" t="e">
        <f t="shared" si="9"/>
        <v>#VALUE!</v>
      </c>
      <c r="S46" s="60" t="str">
        <f>IFERROR(VLOOKUP(MID(N46,Q46,R46-Q46),[5]skilldef!$C:$D,2,FALSE),"-") &amp; " / " &amp; IFERROR(VLOOKUP(MID(N46,O46,P46-O46),[5]skilldef!$A:$B,2,FALSE),"-")</f>
        <v>- / 全体攻撃</v>
      </c>
      <c r="T46" s="46" t="str">
        <f t="shared" si="10"/>
        <v>none</v>
      </c>
      <c r="U46" s="60" t="e">
        <f t="shared" si="11"/>
        <v>#VALUE!</v>
      </c>
      <c r="V46" s="60">
        <f t="shared" si="12"/>
        <v>4</v>
      </c>
      <c r="W46" s="60" t="e">
        <f t="shared" si="13"/>
        <v>#VALUE!</v>
      </c>
      <c r="X46" s="60" t="e">
        <f t="shared" si="14"/>
        <v>#VALUE!</v>
      </c>
      <c r="Y46" s="60" t="str">
        <f>IFERROR(VLOOKUP(MID(T46,W46,X46-W46),[5]skilldef!$C:$D,2,FALSE),"-") &amp; " / " &amp; IFERROR(VLOOKUP(MID(T46,U46,V46-U46),[5]skilldef!$A:$B,2,FALSE),"-")</f>
        <v>- / -</v>
      </c>
      <c r="Z46" s="48"/>
      <c r="AA46" s="50"/>
      <c r="AB46" s="48"/>
    </row>
    <row r="47" spans="1:28" ht="21" customHeight="1" x14ac:dyDescent="0.2">
      <c r="A47" s="137">
        <v>47010045</v>
      </c>
      <c r="B47" s="141" t="s">
        <v>480</v>
      </c>
      <c r="C47" s="339">
        <v>3</v>
      </c>
      <c r="D47" s="138" t="s">
        <v>127</v>
      </c>
      <c r="E47" s="139" t="s">
        <v>330</v>
      </c>
      <c r="F47" s="139" t="s">
        <v>296</v>
      </c>
      <c r="G47" s="60" t="str">
        <f t="shared" si="0"/>
        <v>[effect:enemy_message, val1:1.4, val2:1.6]</v>
      </c>
      <c r="H47" s="60">
        <f t="shared" si="1"/>
        <v>9</v>
      </c>
      <c r="I47" s="60">
        <f t="shared" si="2"/>
        <v>22</v>
      </c>
      <c r="J47" s="60" t="e">
        <f t="shared" si="3"/>
        <v>#VALUE!</v>
      </c>
      <c r="K47" s="60">
        <f t="shared" si="4"/>
        <v>32</v>
      </c>
      <c r="L47" s="60" t="str">
        <f>IFERROR(VLOOKUP(MID(G47,J47,K47-J47),[5]skilldef!$C:$D,2,FALSE),"-") &amp; " / " &amp; IFERROR(VLOOKUP(MID(G47,H47,I47-H47),[5]skilldef!$A:$B,2,FALSE),"-")</f>
        <v>- / -</v>
      </c>
      <c r="M47" s="60" t="str">
        <f t="shared" si="5"/>
        <v>[effect:spread, val:0.55],[effect:spread, val:0.55]</v>
      </c>
      <c r="N47" s="46" t="str">
        <f>IFERROR(LEFT(M47,FIND("],",M47)+#REF!),M47)</f>
        <v>[effect:spread, val:0.55],[effect:spread, val:0.55]</v>
      </c>
      <c r="O47" s="60">
        <f t="shared" si="6"/>
        <v>9</v>
      </c>
      <c r="P47" s="60">
        <f t="shared" si="7"/>
        <v>15</v>
      </c>
      <c r="Q47" s="60" t="e">
        <f t="shared" si="8"/>
        <v>#VALUE!</v>
      </c>
      <c r="R47" s="60">
        <f t="shared" si="9"/>
        <v>26</v>
      </c>
      <c r="S47" s="60" t="str">
        <f>IFERROR(VLOOKUP(MID(N47,Q47,R47-Q47),[5]skilldef!$C:$D,2,FALSE),"-") &amp; " / " &amp; IFERROR(VLOOKUP(MID(N47,O47,P47-O47),[5]skilldef!$A:$B,2,FALSE),"-")</f>
        <v>- / 全体攻撃</v>
      </c>
      <c r="T47" s="46" t="str">
        <f t="shared" si="10"/>
        <v>[effect:spread, val:0.55]</v>
      </c>
      <c r="U47" s="60">
        <f t="shared" si="11"/>
        <v>9</v>
      </c>
      <c r="V47" s="60">
        <f t="shared" si="12"/>
        <v>15</v>
      </c>
      <c r="W47" s="60" t="e">
        <f t="shared" si="13"/>
        <v>#VALUE!</v>
      </c>
      <c r="X47" s="60" t="e">
        <f t="shared" si="14"/>
        <v>#VALUE!</v>
      </c>
      <c r="Y47" s="60" t="str">
        <f>IFERROR(VLOOKUP(MID(T47,W47,X47-W47),[5]skilldef!$C:$D,2,FALSE),"-") &amp; " / " &amp; IFERROR(VLOOKUP(MID(T47,U47,V47-U47),[5]skilldef!$A:$B,2,FALSE),"-")</f>
        <v>- / 全体攻撃</v>
      </c>
      <c r="Z47" s="48"/>
      <c r="AA47" s="50"/>
      <c r="AB47" s="48"/>
    </row>
    <row r="48" spans="1:28" ht="35" customHeight="1" x14ac:dyDescent="0.2">
      <c r="A48" s="137">
        <v>47010046</v>
      </c>
      <c r="B48" s="141" t="s">
        <v>481</v>
      </c>
      <c r="C48" s="339">
        <v>3</v>
      </c>
      <c r="D48" s="138" t="s">
        <v>127</v>
      </c>
      <c r="E48" s="139" t="s">
        <v>376</v>
      </c>
      <c r="F48" s="139" t="s">
        <v>299</v>
      </c>
      <c r="G48" s="60" t="str">
        <f t="shared" si="0"/>
        <v>[effect:enemy_message, val1:1.9, val2:2.0]</v>
      </c>
      <c r="H48" s="60">
        <f t="shared" si="1"/>
        <v>9</v>
      </c>
      <c r="I48" s="60">
        <f t="shared" si="2"/>
        <v>22</v>
      </c>
      <c r="J48" s="60" t="e">
        <f t="shared" si="3"/>
        <v>#VALUE!</v>
      </c>
      <c r="K48" s="60">
        <f t="shared" si="4"/>
        <v>32</v>
      </c>
      <c r="L48" s="60" t="str">
        <f>IFERROR(VLOOKUP(MID(G48,J48,K48-J48),[5]skilldef!$C:$D,2,FALSE),"-") &amp; " / " &amp; IFERROR(VLOOKUP(MID(G48,H48,I48-H48),[5]skilldef!$A:$B,2,FALSE),"-")</f>
        <v>- / -</v>
      </c>
      <c r="M48" s="60" t="str">
        <f t="shared" si="5"/>
        <v>none</v>
      </c>
      <c r="N48" s="46" t="str">
        <f>IFERROR(LEFT(M48,FIND("],",M48)+#REF!),M48)</f>
        <v>none</v>
      </c>
      <c r="O48" s="60" t="e">
        <f t="shared" si="6"/>
        <v>#VALUE!</v>
      </c>
      <c r="P48" s="60">
        <f t="shared" si="7"/>
        <v>4</v>
      </c>
      <c r="Q48" s="60" t="e">
        <f t="shared" si="8"/>
        <v>#VALUE!</v>
      </c>
      <c r="R48" s="60" t="e">
        <f t="shared" si="9"/>
        <v>#VALUE!</v>
      </c>
      <c r="S48" s="60" t="str">
        <f>IFERROR(VLOOKUP(MID(N48,Q48,R48-Q48),[5]skilldef!$C:$D,2,FALSE),"-") &amp; " / " &amp; IFERROR(VLOOKUP(MID(N48,O48,P48-O48),[5]skilldef!$A:$B,2,FALSE),"-")</f>
        <v>- / -</v>
      </c>
      <c r="T48" s="46" t="str">
        <f t="shared" si="10"/>
        <v>none</v>
      </c>
      <c r="U48" s="60" t="e">
        <f t="shared" si="11"/>
        <v>#VALUE!</v>
      </c>
      <c r="V48" s="60">
        <f t="shared" si="12"/>
        <v>4</v>
      </c>
      <c r="W48" s="60" t="e">
        <f t="shared" si="13"/>
        <v>#VALUE!</v>
      </c>
      <c r="X48" s="60" t="e">
        <f t="shared" si="14"/>
        <v>#VALUE!</v>
      </c>
      <c r="Y48" s="60" t="str">
        <f>IFERROR(VLOOKUP(MID(T48,W48,X48-W48),[5]skilldef!$C:$D,2,FALSE),"-") &amp; " / " &amp; IFERROR(VLOOKUP(MID(T48,U48,V48-U48),[5]skilldef!$A:$B,2,FALSE),"-")</f>
        <v>- / -</v>
      </c>
      <c r="Z48" s="48"/>
      <c r="AA48" s="50"/>
      <c r="AB48" s="48"/>
    </row>
    <row r="49" spans="1:28" ht="21" customHeight="1" x14ac:dyDescent="0.2">
      <c r="A49" s="137">
        <v>47010047</v>
      </c>
      <c r="B49" s="141" t="s">
        <v>482</v>
      </c>
      <c r="C49" s="339">
        <v>3</v>
      </c>
      <c r="D49" s="138" t="s">
        <v>127</v>
      </c>
      <c r="E49" s="139" t="s">
        <v>287</v>
      </c>
      <c r="F49" s="139" t="s">
        <v>546</v>
      </c>
      <c r="G49" s="60" t="str">
        <f t="shared" si="0"/>
        <v>[effect:enemy_message, val1:1.9, val2:1.6]</v>
      </c>
      <c r="H49" s="60">
        <f t="shared" si="1"/>
        <v>9</v>
      </c>
      <c r="I49" s="60">
        <f t="shared" si="2"/>
        <v>22</v>
      </c>
      <c r="J49" s="60" t="e">
        <f t="shared" si="3"/>
        <v>#VALUE!</v>
      </c>
      <c r="K49" s="60">
        <f t="shared" si="4"/>
        <v>32</v>
      </c>
      <c r="L49" s="60" t="str">
        <f>IFERROR(VLOOKUP(MID(G49,J49,K49-J49),[5]skilldef!$C:$D,2,FALSE),"-") &amp; " / " &amp; IFERROR(VLOOKUP(MID(G49,H49,I49-H49),[5]skilldef!$A:$B,2,FALSE),"-")</f>
        <v>- / -</v>
      </c>
      <c r="M49" s="60" t="str">
        <f t="shared" si="5"/>
        <v>[effect:spread, val:0.66],[effect:spread, val:0.66],[effect:spread, val:0.66]</v>
      </c>
      <c r="N49" s="46" t="str">
        <f>IFERROR(LEFT(M49,FIND("],",M49)+#REF!),M49)</f>
        <v>[effect:spread, val:0.66],[effect:spread, val:0.66],[effect:spread, val:0.66]</v>
      </c>
      <c r="O49" s="60">
        <f t="shared" si="6"/>
        <v>9</v>
      </c>
      <c r="P49" s="60">
        <f t="shared" si="7"/>
        <v>15</v>
      </c>
      <c r="Q49" s="60" t="e">
        <f t="shared" si="8"/>
        <v>#VALUE!</v>
      </c>
      <c r="R49" s="60">
        <f t="shared" si="9"/>
        <v>26</v>
      </c>
      <c r="S49" s="60" t="str">
        <f>IFERROR(VLOOKUP(MID(N49,Q49,R49-Q49),[5]skilldef!$C:$D,2,FALSE),"-") &amp; " / " &amp; IFERROR(VLOOKUP(MID(N49,O49,P49-O49),[5]skilldef!$A:$B,2,FALSE),"-")</f>
        <v>- / 全体攻撃</v>
      </c>
      <c r="T49" s="46" t="str">
        <f t="shared" si="10"/>
        <v>[effect:spread, val:0.66],[effect:spread, val:0.66]</v>
      </c>
      <c r="U49" s="60">
        <f t="shared" si="11"/>
        <v>9</v>
      </c>
      <c r="V49" s="60">
        <f t="shared" si="12"/>
        <v>15</v>
      </c>
      <c r="W49" s="60" t="e">
        <f t="shared" si="13"/>
        <v>#VALUE!</v>
      </c>
      <c r="X49" s="60">
        <f t="shared" si="14"/>
        <v>26</v>
      </c>
      <c r="Y49" s="60" t="str">
        <f>IFERROR(VLOOKUP(MID(T49,W49,X49-W49),[5]skilldef!$C:$D,2,FALSE),"-") &amp; " / " &amp; IFERROR(VLOOKUP(MID(T49,U49,V49-U49),[5]skilldef!$A:$B,2,FALSE),"-")</f>
        <v>- / 全体攻撃</v>
      </c>
      <c r="Z49" s="48"/>
      <c r="AA49" s="50"/>
      <c r="AB49" s="48"/>
    </row>
    <row r="50" spans="1:28" ht="31" customHeight="1" thickBot="1" x14ac:dyDescent="0.25">
      <c r="A50" s="137">
        <v>47010048</v>
      </c>
      <c r="B50" s="141" t="s">
        <v>483</v>
      </c>
      <c r="C50" s="339">
        <v>3</v>
      </c>
      <c r="D50" s="138" t="s">
        <v>127</v>
      </c>
      <c r="E50" s="139" t="s">
        <v>358</v>
      </c>
      <c r="F50" s="139" t="s">
        <v>360</v>
      </c>
      <c r="G50" s="150" t="str">
        <f t="shared" ref="G50" si="78">IFERROR(LEFT(B50,FIND("],",B50)),B50)</f>
        <v>[effect:enemy_message, val1:1.7, val2:3.9]</v>
      </c>
      <c r="H50" s="150">
        <f t="shared" ref="H50" si="79">FIND("effect:",G50)+7</f>
        <v>9</v>
      </c>
      <c r="I50" s="150">
        <f t="shared" ref="I50" si="80">IFERROR(FIND(",",G50),LEN(G50))</f>
        <v>22</v>
      </c>
      <c r="J50" s="150" t="e">
        <f t="shared" ref="J50" si="81">FIND("target:",G50)+7</f>
        <v>#VALUE!</v>
      </c>
      <c r="K50" s="150">
        <f t="shared" ref="K50" si="82">FIND(",",G50,I50+1)</f>
        <v>32</v>
      </c>
      <c r="L50" s="150" t="str">
        <f>IFERROR(VLOOKUP(MID(G50,J50,K50-J50),[5]skilldef!$C:$D,2,FALSE),"-") &amp; " / " &amp; IFERROR(VLOOKUP(MID(G50,H50,I50-H50),[5]skilldef!$A:$B,2,FALSE),"-")</f>
        <v>- / -</v>
      </c>
      <c r="M50" s="150" t="str">
        <f t="shared" ref="M50" si="83">IFERROR(RIGHT(B50,LEN(B50)-FIND("],",B50)-1),"none")</f>
        <v>none</v>
      </c>
      <c r="N50" s="151" t="str">
        <f>IFERROR(LEFT(M50,FIND("],",M50)+#REF!),M50)</f>
        <v>none</v>
      </c>
      <c r="O50" s="150" t="e">
        <f t="shared" ref="O50" si="84">FIND("effect:",N50)+7</f>
        <v>#VALUE!</v>
      </c>
      <c r="P50" s="150">
        <f t="shared" ref="P50" si="85">IFERROR(FIND(",",N50),LEN(N50))</f>
        <v>4</v>
      </c>
      <c r="Q50" s="150" t="e">
        <f t="shared" ref="Q50" si="86">FIND("target:",N50)+7</f>
        <v>#VALUE!</v>
      </c>
      <c r="R50" s="150" t="e">
        <f t="shared" ref="R50" si="87">FIND(",",N50,P50+1)</f>
        <v>#VALUE!</v>
      </c>
      <c r="S50" s="150" t="str">
        <f>IFERROR(VLOOKUP(MID(N50,Q50,R50-Q50),[5]skilldef!$C:$D,2,FALSE),"-") &amp; " / " &amp; IFERROR(VLOOKUP(MID(N50,O50,P50-O50),[5]skilldef!$A:$B,2,FALSE),"-")</f>
        <v>- / -</v>
      </c>
      <c r="T50" s="151" t="str">
        <f t="shared" ref="T50" si="88">IFERROR(RIGHT(M50,LEN(M50)-FIND("],",M50)-1),"none")</f>
        <v>none</v>
      </c>
      <c r="U50" s="150" t="e">
        <f t="shared" ref="U50" si="89">FIND("effect:",T50)+7</f>
        <v>#VALUE!</v>
      </c>
      <c r="V50" s="150">
        <f t="shared" ref="V50" si="90">IFERROR(FIND(",",T50),LEN(T50))</f>
        <v>4</v>
      </c>
      <c r="W50" s="150" t="e">
        <f t="shared" ref="W50" si="91">FIND("target:",T50)+7</f>
        <v>#VALUE!</v>
      </c>
      <c r="X50" s="150" t="e">
        <f t="shared" ref="X50" si="92">FIND(",",T50,V50+1)</f>
        <v>#VALUE!</v>
      </c>
      <c r="Y50" s="150" t="str">
        <f>IFERROR(VLOOKUP(MID(T50,W50,X50-W50),[5]skilldef!$C:$D,2,FALSE),"-") &amp; " / " &amp; IFERROR(VLOOKUP(MID(T50,U50,V50-U50),[5]skilldef!$A:$B,2,FALSE),"-")</f>
        <v>- / -</v>
      </c>
      <c r="Z50" s="152"/>
      <c r="AA50" s="153"/>
      <c r="AB50" s="152"/>
    </row>
    <row r="51" spans="1:28" ht="31" customHeight="1" thickTop="1" thickBot="1" x14ac:dyDescent="0.25">
      <c r="A51" s="146">
        <v>47010049</v>
      </c>
      <c r="B51" s="179" t="s">
        <v>484</v>
      </c>
      <c r="C51" s="341">
        <v>3</v>
      </c>
      <c r="D51" s="180" t="s">
        <v>127</v>
      </c>
      <c r="E51" s="181" t="s">
        <v>307</v>
      </c>
      <c r="F51" s="181" t="s">
        <v>291</v>
      </c>
      <c r="G51" s="150" t="str">
        <f t="shared" si="0"/>
        <v>[effect:enemy_message, val1:2.4, val2:3.0, dead_type:escape]</v>
      </c>
      <c r="H51" s="150">
        <f t="shared" si="1"/>
        <v>9</v>
      </c>
      <c r="I51" s="150">
        <f t="shared" si="2"/>
        <v>22</v>
      </c>
      <c r="J51" s="150" t="e">
        <f t="shared" si="3"/>
        <v>#VALUE!</v>
      </c>
      <c r="K51" s="150">
        <f t="shared" si="4"/>
        <v>32</v>
      </c>
      <c r="L51" s="150" t="str">
        <f>IFERROR(VLOOKUP(MID(G51,J51,K51-J51),[5]skilldef!$C:$D,2,FALSE),"-") &amp; " / " &amp; IFERROR(VLOOKUP(MID(G51,H51,I51-H51),[5]skilldef!$A:$B,2,FALSE),"-")</f>
        <v>- / -</v>
      </c>
      <c r="M51" s="150" t="str">
        <f t="shared" si="5"/>
        <v>none</v>
      </c>
      <c r="N51" s="151" t="str">
        <f>IFERROR(LEFT(M51,FIND("],",M51)+#REF!),M51)</f>
        <v>none</v>
      </c>
      <c r="O51" s="150" t="e">
        <f t="shared" si="6"/>
        <v>#VALUE!</v>
      </c>
      <c r="P51" s="150">
        <f t="shared" si="7"/>
        <v>4</v>
      </c>
      <c r="Q51" s="150" t="e">
        <f t="shared" si="8"/>
        <v>#VALUE!</v>
      </c>
      <c r="R51" s="150" t="e">
        <f t="shared" si="9"/>
        <v>#VALUE!</v>
      </c>
      <c r="S51" s="150" t="str">
        <f>IFERROR(VLOOKUP(MID(N51,Q51,R51-Q51),[5]skilldef!$C:$D,2,FALSE),"-") &amp; " / " &amp; IFERROR(VLOOKUP(MID(N51,O51,P51-O51),[5]skilldef!$A:$B,2,FALSE),"-")</f>
        <v>- / -</v>
      </c>
      <c r="T51" s="151" t="str">
        <f t="shared" si="10"/>
        <v>none</v>
      </c>
      <c r="U51" s="150" t="e">
        <f t="shared" si="11"/>
        <v>#VALUE!</v>
      </c>
      <c r="V51" s="150">
        <f t="shared" si="12"/>
        <v>4</v>
      </c>
      <c r="W51" s="150" t="e">
        <f t="shared" si="13"/>
        <v>#VALUE!</v>
      </c>
      <c r="X51" s="150" t="e">
        <f t="shared" si="14"/>
        <v>#VALUE!</v>
      </c>
      <c r="Y51" s="150" t="str">
        <f>IFERROR(VLOOKUP(MID(T51,W51,X51-W51),[5]skilldef!$C:$D,2,FALSE),"-") &amp; " / " &amp; IFERROR(VLOOKUP(MID(T51,U51,V51-U51),[5]skilldef!$A:$B,2,FALSE),"-")</f>
        <v>- / -</v>
      </c>
      <c r="Z51" s="152"/>
      <c r="AA51" s="153"/>
      <c r="AB51" s="152"/>
    </row>
    <row r="52" spans="1:28" ht="45" customHeight="1" thickTop="1" x14ac:dyDescent="0.2">
      <c r="A52" s="154">
        <v>47010060</v>
      </c>
      <c r="B52" s="155" t="s">
        <v>430</v>
      </c>
      <c r="C52" s="339">
        <v>3</v>
      </c>
      <c r="D52" s="156" t="s">
        <v>127</v>
      </c>
      <c r="E52" s="157" t="s">
        <v>366</v>
      </c>
      <c r="F52" s="157" t="s">
        <v>426</v>
      </c>
      <c r="G52" s="60" t="str">
        <f t="shared" ref="G52:G67" si="93">IFERROR(LEFT(B52,FIND("],",B52)),B52)</f>
        <v>[effect:enemy_message, val1:1.6, val2:3.8]</v>
      </c>
      <c r="H52" s="60">
        <f t="shared" ref="H52:H67" si="94">FIND("effect:",G52)+7</f>
        <v>9</v>
      </c>
      <c r="I52" s="60">
        <f t="shared" ref="I52:I67" si="95">IFERROR(FIND(",",G52),LEN(G52))</f>
        <v>22</v>
      </c>
      <c r="J52" s="60" t="e">
        <f t="shared" ref="J52:J67" si="96">FIND("target:",G52)+7</f>
        <v>#VALUE!</v>
      </c>
      <c r="K52" s="60">
        <f t="shared" ref="K52:K67" si="97">FIND(",",G52,I52+1)</f>
        <v>32</v>
      </c>
      <c r="L52" s="60" t="str">
        <f>IFERROR(VLOOKUP(MID(G52,J52,K52-J52),[5]skilldef!$C:$D,2,FALSE),"-") &amp; " / " &amp; IFERROR(VLOOKUP(MID(G52,H52,I52-H52),[5]skilldef!$A:$B,2,FALSE),"-")</f>
        <v>- / -</v>
      </c>
      <c r="M52" s="60" t="str">
        <f t="shared" ref="M52:M67" si="98">IFERROR(RIGHT(B52,LEN(B52)-FIND("],",B52)-1),"none")</f>
        <v>[effect:set_background, turn:-1, background_id:979, switching_mode:go_back, duration:1],[effect:tolerance,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v>
      </c>
      <c r="N52" s="46" t="str">
        <f>IFERROR(LEFT(M52,FIND("],",M52)+#REF!),M52)</f>
        <v>[effect:set_background, turn:-1, background_id:979, switching_mode:go_back, duration:1],[effect:tolerance,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v>
      </c>
      <c r="O52" s="60">
        <f t="shared" ref="O52:O67" si="99">FIND("effect:",N52)+7</f>
        <v>9</v>
      </c>
      <c r="P52" s="60">
        <f t="shared" ref="P52:P67" si="100">IFERROR(FIND(",",N52),LEN(N52))</f>
        <v>23</v>
      </c>
      <c r="Q52" s="60">
        <f t="shared" ref="Q52:Q67" si="101">FIND("target:",N52)+7</f>
        <v>115</v>
      </c>
      <c r="R52" s="60">
        <f t="shared" ref="R52:R67" si="102">FIND(",",N52,P52+1)</f>
        <v>32</v>
      </c>
      <c r="S52" s="60" t="str">
        <f>IFERROR(VLOOKUP(MID(N52,Q52,R52-Q52),[5]skilldef!$C:$D,2,FALSE),"-") &amp; " / " &amp; IFERROR(VLOOKUP(MID(N52,O52,P52-O52),[5]skilldef!$A:$B,2,FALSE),"-")</f>
        <v>- / -</v>
      </c>
      <c r="T52" s="46" t="str">
        <f t="shared" ref="T52:T67" si="103">IFERROR(RIGHT(M52,LEN(M52)-FIND("],",M52)-1),"none")</f>
        <v>[effect:tolerance, target:myself, turn:-1, count:-1, tolerance_effect:all, animation:enemy_tolerance],[effect:force_change_block, new_block:block_heart, target:block_all, count:0, val:0],[effect:change_panel_ratio, turn:-1, block_type:blue, val:0.08, animation:block_incidence04],[effect:fix_speed, target:myself, turn:1]</v>
      </c>
      <c r="U52" s="60">
        <f t="shared" ref="U52:U67" si="104">FIND("effect:",T52)+7</f>
        <v>9</v>
      </c>
      <c r="V52" s="60">
        <f t="shared" ref="V52:V67" si="105">IFERROR(FIND(",",T52),LEN(T52))</f>
        <v>18</v>
      </c>
      <c r="W52" s="60">
        <f t="shared" ref="W52:W67" si="106">FIND("target:",T52)+7</f>
        <v>27</v>
      </c>
      <c r="X52" s="60">
        <f t="shared" ref="X52:X67" si="107">FIND(",",T52,V52+1)</f>
        <v>33</v>
      </c>
      <c r="Y52" s="60" t="str">
        <f>IFERROR(VLOOKUP(MID(T52,W52,X52-W52),[5]skilldef!$C:$D,2,FALSE),"-") &amp; " / " &amp; IFERROR(VLOOKUP(MID(T52,U52,V52-U52),[5]skilldef!$A:$B,2,FALSE),"-")</f>
        <v>自分自身に / 状態異常耐性</v>
      </c>
      <c r="Z52" s="48"/>
      <c r="AA52" s="50"/>
      <c r="AB52" s="48"/>
    </row>
    <row r="53" spans="1:28" ht="45" customHeight="1" x14ac:dyDescent="0.2">
      <c r="A53" s="215">
        <v>47010091</v>
      </c>
      <c r="B53" s="216" t="s">
        <v>424</v>
      </c>
      <c r="C53" s="339">
        <v>3</v>
      </c>
      <c r="D53" s="217" t="s">
        <v>127</v>
      </c>
      <c r="E53" s="218" t="s">
        <v>421</v>
      </c>
      <c r="F53" s="218" t="s">
        <v>461</v>
      </c>
      <c r="G53" s="60" t="str">
        <f t="shared" si="93"/>
        <v>[effect:enemy_message, val1:2.1, val2:2.9]</v>
      </c>
      <c r="H53" s="60">
        <f t="shared" si="94"/>
        <v>9</v>
      </c>
      <c r="I53" s="60">
        <f t="shared" si="95"/>
        <v>22</v>
      </c>
      <c r="J53" s="60" t="e">
        <f t="shared" si="96"/>
        <v>#VALUE!</v>
      </c>
      <c r="K53" s="60">
        <f t="shared" si="97"/>
        <v>32</v>
      </c>
      <c r="L53" s="60" t="str">
        <f>IFERROR(VLOOKUP(MID(G53,J53,K53-J53),[5]skilldef!$C:$D,2,FALSE),"-") &amp; " / " &amp; IFERROR(VLOOKUP(MID(G53,H53,I53-H53),[5]skilldef!$A:$B,2,FALSE),"-")</f>
        <v>- / -</v>
      </c>
      <c r="M53" s="60" t="str">
        <f t="shared" si="98"/>
        <v>[effect:fix_speed, target:myself, turn:1]</v>
      </c>
      <c r="N53" s="46" t="str">
        <f>IFERROR(LEFT(M53,FIND("],",M53)+#REF!),M53)</f>
        <v>[effect:fix_speed, target:myself, turn:1]</v>
      </c>
      <c r="O53" s="60">
        <f t="shared" si="99"/>
        <v>9</v>
      </c>
      <c r="P53" s="60">
        <f t="shared" si="100"/>
        <v>18</v>
      </c>
      <c r="Q53" s="60">
        <f t="shared" si="101"/>
        <v>27</v>
      </c>
      <c r="R53" s="60">
        <f t="shared" si="102"/>
        <v>33</v>
      </c>
      <c r="S53" s="60" t="str">
        <f>IFERROR(VLOOKUP(MID(N53,Q53,R53-Q53),[5]skilldef!$C:$D,2,FALSE),"-") &amp; " / " &amp; IFERROR(VLOOKUP(MID(N53,O53,P53-O53),[5]skilldef!$A:$B,2,FALSE),"-")</f>
        <v>自分自身に / 行動値設定</v>
      </c>
      <c r="T53" s="46" t="str">
        <f t="shared" si="103"/>
        <v>none</v>
      </c>
      <c r="U53" s="60" t="e">
        <f t="shared" si="104"/>
        <v>#VALUE!</v>
      </c>
      <c r="V53" s="60">
        <f t="shared" si="105"/>
        <v>4</v>
      </c>
      <c r="W53" s="60" t="e">
        <f t="shared" si="106"/>
        <v>#VALUE!</v>
      </c>
      <c r="X53" s="60" t="e">
        <f t="shared" si="107"/>
        <v>#VALUE!</v>
      </c>
      <c r="Y53" s="60" t="str">
        <f>IFERROR(VLOOKUP(MID(T53,W53,X53-W53),[5]skilldef!$C:$D,2,FALSE),"-") &amp; " / " &amp; IFERROR(VLOOKUP(MID(T53,U53,V53-U53),[5]skilldef!$A:$B,2,FALSE),"-")</f>
        <v>- / -</v>
      </c>
      <c r="Z53" s="48"/>
      <c r="AA53" s="50"/>
      <c r="AB53" s="48"/>
    </row>
    <row r="54" spans="1:28" ht="32" customHeight="1" x14ac:dyDescent="0.2">
      <c r="A54" s="154">
        <v>47010061</v>
      </c>
      <c r="B54" s="155" t="s">
        <v>522</v>
      </c>
      <c r="C54" s="339">
        <v>3</v>
      </c>
      <c r="D54" s="156" t="s">
        <v>127</v>
      </c>
      <c r="E54" s="157" t="s">
        <v>377</v>
      </c>
      <c r="F54" s="157" t="s">
        <v>378</v>
      </c>
      <c r="G54" s="60" t="str">
        <f t="shared" si="93"/>
        <v>[effect:enemy_message, val1:2.4, val2:1.5]</v>
      </c>
      <c r="H54" s="60">
        <f t="shared" si="94"/>
        <v>9</v>
      </c>
      <c r="I54" s="60">
        <f t="shared" si="95"/>
        <v>22</v>
      </c>
      <c r="J54" s="60" t="e">
        <f t="shared" si="96"/>
        <v>#VALUE!</v>
      </c>
      <c r="K54" s="60">
        <f t="shared" si="97"/>
        <v>32</v>
      </c>
      <c r="L54" s="60" t="str">
        <f>IFERROR(VLOOKUP(MID(G54,J54,K54-J54),[5]skilldef!$C:$D,2,FALSE),"-") &amp; " / " &amp; IFERROR(VLOOKUP(MID(G54,H54,I54-H54),[5]skilldef!$A:$B,2,FALSE),"-")</f>
        <v>- / -</v>
      </c>
      <c r="M54" s="60" t="str">
        <f t="shared" si="98"/>
        <v>[effect:break_attack_fix, target:unit_one, val:300, lowest_val:3000, count:-1, block01:block_heart],[effect:fix_speed, target:myself, turn:2]</v>
      </c>
      <c r="N54" s="46" t="str">
        <f>IFERROR(LEFT(M54,FIND("],",M54)+#REF!),M54)</f>
        <v>[effect:break_attack_fix, target:unit_one, val:300, lowest_val:3000, count:-1, block01:block_heart],[effect:fix_speed, target:myself, turn:2]</v>
      </c>
      <c r="O54" s="60">
        <f t="shared" si="99"/>
        <v>9</v>
      </c>
      <c r="P54" s="60">
        <f t="shared" si="100"/>
        <v>25</v>
      </c>
      <c r="Q54" s="60">
        <f t="shared" si="101"/>
        <v>34</v>
      </c>
      <c r="R54" s="60">
        <f t="shared" si="102"/>
        <v>42</v>
      </c>
      <c r="S54" s="60" t="str">
        <f>IFERROR(VLOOKUP(MID(N54,Q54,R54-Q54),[5]skilldef!$C:$D,2,FALSE),"-") &amp; " / " &amp; IFERROR(VLOOKUP(MID(N54,O54,P54-O54),[5]skilldef!$A:$B,2,FALSE),"-")</f>
        <v>味方単体に / -</v>
      </c>
      <c r="T54" s="46" t="str">
        <f t="shared" si="103"/>
        <v>[effect:fix_speed, target:myself, turn:2]</v>
      </c>
      <c r="U54" s="60">
        <f t="shared" si="104"/>
        <v>9</v>
      </c>
      <c r="V54" s="60">
        <f t="shared" si="105"/>
        <v>18</v>
      </c>
      <c r="W54" s="60">
        <f t="shared" si="106"/>
        <v>27</v>
      </c>
      <c r="X54" s="60">
        <f t="shared" si="107"/>
        <v>33</v>
      </c>
      <c r="Y54" s="60" t="str">
        <f>IFERROR(VLOOKUP(MID(T54,W54,X54-W54),[5]skilldef!$C:$D,2,FALSE),"-") &amp; " / " &amp; IFERROR(VLOOKUP(MID(T54,U54,V54-U54),[5]skilldef!$A:$B,2,FALSE),"-")</f>
        <v>自分自身に / 行動値設定</v>
      </c>
      <c r="Z54" s="48"/>
      <c r="AA54" s="50"/>
      <c r="AB54" s="48"/>
    </row>
    <row r="55" spans="1:28" ht="32" customHeight="1" x14ac:dyDescent="0.2">
      <c r="A55" s="165">
        <v>47010062</v>
      </c>
      <c r="B55" s="166" t="s">
        <v>536</v>
      </c>
      <c r="C55" s="339">
        <v>3</v>
      </c>
      <c r="D55" s="167" t="s">
        <v>127</v>
      </c>
      <c r="E55" s="168" t="s">
        <v>379</v>
      </c>
      <c r="F55" s="168" t="s">
        <v>459</v>
      </c>
      <c r="G55" s="60" t="str">
        <f t="shared" si="93"/>
        <v>[effect:enemy_message, val1:1.8, val2:2.4]</v>
      </c>
      <c r="H55" s="60">
        <f t="shared" si="94"/>
        <v>9</v>
      </c>
      <c r="I55" s="60">
        <f t="shared" si="95"/>
        <v>22</v>
      </c>
      <c r="J55" s="60" t="e">
        <f t="shared" si="96"/>
        <v>#VALUE!</v>
      </c>
      <c r="K55" s="60">
        <f t="shared" si="97"/>
        <v>32</v>
      </c>
      <c r="L55" s="60" t="str">
        <f>IFERROR(VLOOKUP(MID(G55,J55,K55-J55),[5]skilldef!$C:$D,2,FALSE),"-") &amp; " / " &amp; IFERROR(VLOOKUP(MID(G55,H55,I55-H55),[5]skilldef!$A:$B,2,FALSE),"-")</f>
        <v>- / -</v>
      </c>
      <c r="M55" s="60" t="str">
        <f t="shared" si="98"/>
        <v>[effect:force_change_block, new_block:block_red, target:block_all, ignore01:crash, ignore02:crack_bomb, ignore03:color_break, ignore04:magnet, ignore05:block_red, count:6, val:0, animation:change_block],[effect:critical, val:1.3, animation:enemy_critical]</v>
      </c>
      <c r="N55" s="46" t="str">
        <f>IFERROR(LEFT(M55,FIND("],",M55)+S63),M55)</f>
        <v>[effect:force_change_block, new_block:block_red, target:block_all, ignore01:crash, ignore02:crack_bomb, ignore03:color_break, ignore04:magnet, ignore05:block_red, count:6, val:0, animation:change_block],[effect:critical, val:1.3, animation:enemy_critical]</v>
      </c>
      <c r="O55" s="60">
        <f t="shared" si="99"/>
        <v>9</v>
      </c>
      <c r="P55" s="60">
        <f t="shared" si="100"/>
        <v>27</v>
      </c>
      <c r="Q55" s="60">
        <f t="shared" si="101"/>
        <v>57</v>
      </c>
      <c r="R55" s="60">
        <f t="shared" si="102"/>
        <v>48</v>
      </c>
      <c r="S55" s="60" t="str">
        <f>IFERROR(VLOOKUP(MID(N55,Q55,R55-Q55),[5]skilldef!$C:$D,2,FALSE),"-") &amp; " / " &amp; IFERROR(VLOOKUP(MID(N55,O55,P55-O55),[5]skilldef!$A:$B,2,FALSE),"-")</f>
        <v>- / -</v>
      </c>
      <c r="T55" s="46" t="str">
        <f t="shared" si="103"/>
        <v>[effect:critical, val:1.3, animation:enemy_critical]</v>
      </c>
      <c r="U55" s="60">
        <f t="shared" si="104"/>
        <v>9</v>
      </c>
      <c r="V55" s="60">
        <f t="shared" si="105"/>
        <v>17</v>
      </c>
      <c r="W55" s="60" t="e">
        <f t="shared" si="106"/>
        <v>#VALUE!</v>
      </c>
      <c r="X55" s="60">
        <f t="shared" si="107"/>
        <v>26</v>
      </c>
      <c r="Y55" s="60" t="str">
        <f>IFERROR(VLOOKUP(MID(T55,W55,X55-W55),[5]skilldef!$C:$D,2,FALSE),"-") &amp; " / " &amp; IFERROR(VLOOKUP(MID(T55,U55,V55-U55),[5]skilldef!$A:$B,2,FALSE),"-")</f>
        <v>- / 大攻撃</v>
      </c>
      <c r="Z55" s="48"/>
      <c r="AA55" s="50"/>
      <c r="AB55" s="48"/>
    </row>
    <row r="56" spans="1:28" ht="32" customHeight="1" x14ac:dyDescent="0.2">
      <c r="A56" s="154">
        <v>47010063</v>
      </c>
      <c r="B56" s="155" t="s">
        <v>423</v>
      </c>
      <c r="C56" s="339">
        <v>3</v>
      </c>
      <c r="D56" s="156" t="s">
        <v>127</v>
      </c>
      <c r="E56" s="157" t="s">
        <v>380</v>
      </c>
      <c r="F56" s="157" t="s">
        <v>297</v>
      </c>
      <c r="G56" s="60" t="str">
        <f t="shared" si="93"/>
        <v>[effect:enemy_message, val1:2.3, val2:1.5]</v>
      </c>
      <c r="H56" s="60">
        <f t="shared" si="94"/>
        <v>9</v>
      </c>
      <c r="I56" s="60">
        <f t="shared" si="95"/>
        <v>22</v>
      </c>
      <c r="J56" s="60" t="e">
        <f t="shared" si="96"/>
        <v>#VALUE!</v>
      </c>
      <c r="K56" s="60">
        <f t="shared" si="97"/>
        <v>32</v>
      </c>
      <c r="L56" s="60" t="str">
        <f>IFERROR(VLOOKUP(MID(G56,J56,K56-J56),[5]skilldef!$C:$D,2,FALSE),"-") &amp; " / " &amp; IFERROR(VLOOKUP(MID(G56,H56,I56-H56),[5]skilldef!$A:$B,2,FALSE),"-")</f>
        <v>- / -</v>
      </c>
      <c r="M56" s="60" t="str">
        <f t="shared" si="98"/>
        <v>[effect:break_attack_fix, target:unit_one, val:300, lowest_val:3000, count:-1, block01:block_heart]</v>
      </c>
      <c r="N56" s="46" t="str">
        <f t="shared" ref="N56:N62" si="108">IFERROR(LEFT(M56,FIND("],",M56)+S90),M56)</f>
        <v>[effect:break_attack_fix, target:unit_one, val:300, lowest_val:3000, count:-1, block01:block_heart]</v>
      </c>
      <c r="O56" s="60">
        <f t="shared" si="99"/>
        <v>9</v>
      </c>
      <c r="P56" s="60">
        <f t="shared" si="100"/>
        <v>25</v>
      </c>
      <c r="Q56" s="60">
        <f t="shared" si="101"/>
        <v>34</v>
      </c>
      <c r="R56" s="60">
        <f t="shared" si="102"/>
        <v>42</v>
      </c>
      <c r="S56" s="60" t="str">
        <f>IFERROR(VLOOKUP(MID(N56,Q56,R56-Q56),[5]skilldef!$C:$D,2,FALSE),"-") &amp; " / " &amp; IFERROR(VLOOKUP(MID(N56,O56,P56-O56),[5]skilldef!$A:$B,2,FALSE),"-")</f>
        <v>味方単体に / -</v>
      </c>
      <c r="T56" s="46" t="str">
        <f t="shared" si="103"/>
        <v>none</v>
      </c>
      <c r="U56" s="60" t="e">
        <f t="shared" si="104"/>
        <v>#VALUE!</v>
      </c>
      <c r="V56" s="60">
        <f t="shared" si="105"/>
        <v>4</v>
      </c>
      <c r="W56" s="60" t="e">
        <f t="shared" si="106"/>
        <v>#VALUE!</v>
      </c>
      <c r="X56" s="60" t="e">
        <f t="shared" si="107"/>
        <v>#VALUE!</v>
      </c>
      <c r="Y56" s="60" t="str">
        <f>IFERROR(VLOOKUP(MID(T56,W56,X56-W56),[5]skilldef!$C:$D,2,FALSE),"-") &amp; " / " &amp; IFERROR(VLOOKUP(MID(T56,U56,V56-U56),[5]skilldef!$A:$B,2,FALSE),"-")</f>
        <v>- / -</v>
      </c>
      <c r="Z56" s="48"/>
      <c r="AA56" s="50"/>
      <c r="AB56" s="48"/>
    </row>
    <row r="57" spans="1:28" ht="34" customHeight="1" x14ac:dyDescent="0.2">
      <c r="A57" s="154">
        <v>47010064</v>
      </c>
      <c r="B57" s="155" t="s">
        <v>485</v>
      </c>
      <c r="C57" s="339">
        <v>3</v>
      </c>
      <c r="D57" s="156" t="s">
        <v>127</v>
      </c>
      <c r="E57" s="157" t="s">
        <v>381</v>
      </c>
      <c r="F57" s="157" t="s">
        <v>318</v>
      </c>
      <c r="G57" s="60" t="str">
        <f t="shared" si="93"/>
        <v>[effect:enemy_message, val1:1.4, val2:1.3]</v>
      </c>
      <c r="H57" s="60">
        <f t="shared" si="94"/>
        <v>9</v>
      </c>
      <c r="I57" s="60">
        <f t="shared" si="95"/>
        <v>22</v>
      </c>
      <c r="J57" s="60" t="e">
        <f t="shared" si="96"/>
        <v>#VALUE!</v>
      </c>
      <c r="K57" s="60">
        <f t="shared" si="97"/>
        <v>32</v>
      </c>
      <c r="L57" s="60" t="str">
        <f>IFERROR(VLOOKUP(MID(G57,J57,K57-J57),[5]skilldef!$C:$D,2,FALSE),"-") &amp; " / " &amp; IFERROR(VLOOKUP(MID(G57,H57,I57-H57),[5]skilldef!$A:$B,2,FALSE),"-")</f>
        <v>- / -</v>
      </c>
      <c r="M57" s="60" t="str">
        <f t="shared" si="98"/>
        <v>[effect:damage_gravity, val:0.3, animation:fevergauge_down]</v>
      </c>
      <c r="N57" s="46" t="str">
        <f t="shared" si="108"/>
        <v>[effect:damage_gravity, val:0.3, animation:fevergauge_down]</v>
      </c>
      <c r="O57" s="60">
        <f t="shared" si="99"/>
        <v>9</v>
      </c>
      <c r="P57" s="60">
        <f t="shared" si="100"/>
        <v>23</v>
      </c>
      <c r="Q57" s="60" t="e">
        <f t="shared" si="101"/>
        <v>#VALUE!</v>
      </c>
      <c r="R57" s="60">
        <f t="shared" si="102"/>
        <v>32</v>
      </c>
      <c r="S57" s="60" t="str">
        <f>IFERROR(VLOOKUP(MID(N57,Q57,R57-Q57),[5]skilldef!$C:$D,2,FALSE),"-") &amp; " / " &amp; IFERROR(VLOOKUP(MID(N57,O57,P57-O57),[5]skilldef!$A:$B,2,FALSE),"-")</f>
        <v>- / 割合ダメージ</v>
      </c>
      <c r="T57" s="46" t="str">
        <f t="shared" si="103"/>
        <v>none</v>
      </c>
      <c r="U57" s="60" t="e">
        <f t="shared" si="104"/>
        <v>#VALUE!</v>
      </c>
      <c r="V57" s="60">
        <f t="shared" si="105"/>
        <v>4</v>
      </c>
      <c r="W57" s="60" t="e">
        <f t="shared" si="106"/>
        <v>#VALUE!</v>
      </c>
      <c r="X57" s="60" t="e">
        <f t="shared" si="107"/>
        <v>#VALUE!</v>
      </c>
      <c r="Y57" s="60" t="str">
        <f>IFERROR(VLOOKUP(MID(T57,W57,X57-W57),[5]skilldef!$C:$D,2,FALSE),"-") &amp; " / " &amp; IFERROR(VLOOKUP(MID(T57,U57,V57-U57),[5]skilldef!$A:$B,2,FALSE),"-")</f>
        <v>- / -</v>
      </c>
      <c r="Z57" s="48"/>
      <c r="AA57" s="50"/>
      <c r="AB57" s="48"/>
    </row>
    <row r="58" spans="1:28" ht="34" customHeight="1" x14ac:dyDescent="0.2">
      <c r="A58" s="154">
        <v>47010065</v>
      </c>
      <c r="B58" s="155" t="s">
        <v>550</v>
      </c>
      <c r="C58" s="339">
        <v>3</v>
      </c>
      <c r="D58" s="156" t="s">
        <v>127</v>
      </c>
      <c r="E58" s="157" t="s">
        <v>368</v>
      </c>
      <c r="F58" s="157" t="s">
        <v>549</v>
      </c>
      <c r="G58" s="60" t="str">
        <f t="shared" si="93"/>
        <v>[effect:enemy_message, val1:2.5, val2:2.3]</v>
      </c>
      <c r="H58" s="60">
        <f t="shared" si="94"/>
        <v>9</v>
      </c>
      <c r="I58" s="60">
        <f t="shared" si="95"/>
        <v>22</v>
      </c>
      <c r="J58" s="60" t="e">
        <f t="shared" si="96"/>
        <v>#VALUE!</v>
      </c>
      <c r="K58" s="60">
        <f t="shared" si="97"/>
        <v>32</v>
      </c>
      <c r="L58" s="60" t="str">
        <f>IFERROR(VLOOKUP(MID(G58,J58,K58-J58),[5]skilldef!$C:$D,2,FALSE),"-") &amp; " / " &amp; IFERROR(VLOOKUP(MID(G58,H58,I58-H58),[5]skilldef!$A:$B,2,FALSE),"-")</f>
        <v>- / -</v>
      </c>
      <c r="M58" s="60" t="str">
        <f t="shared" si="98"/>
        <v>[effect:force_change_block, new_block:color_break, target:block_all, ignore01:crash, ignore02:crack_bomb, ignore03:color_break, ignore04:magnet, color:block_red, count:1, val:0],[effect:force_change_block, new_block:color_break, target:block_all, ignore01:crash, ignore02:crack_bomb, ignore03:color_break, ignore04:magnet, color:block_heart, count:1, val:0]</v>
      </c>
      <c r="N58" s="46" t="str">
        <f t="shared" si="108"/>
        <v>[effect:force_change_block, new_block:color_break, target:block_all, ignore01:crash, ignore02:crack_bomb, ignore03:color_break, ignore04:magnet, color:block_red, count:1, val:0]</v>
      </c>
      <c r="O58" s="60">
        <f t="shared" si="99"/>
        <v>9</v>
      </c>
      <c r="P58" s="60">
        <f t="shared" si="100"/>
        <v>27</v>
      </c>
      <c r="Q58" s="60">
        <f t="shared" si="101"/>
        <v>59</v>
      </c>
      <c r="R58" s="60">
        <f t="shared" si="102"/>
        <v>50</v>
      </c>
      <c r="S58" s="60" t="str">
        <f>IFERROR(VLOOKUP(MID(N58,Q58,R58-Q58),[5]skilldef!$C:$D,2,FALSE),"-") &amp; " / " &amp; IFERROR(VLOOKUP(MID(N58,O58,P58-O58),[5]skilldef!$A:$B,2,FALSE),"-")</f>
        <v>- / -</v>
      </c>
      <c r="T58" s="46" t="str">
        <f t="shared" si="103"/>
        <v>[effect:force_change_block, new_block:color_break, target:block_all, ignore01:crash, ignore02:crack_bomb, ignore03:color_break, ignore04:magnet, color:block_heart, count:1, val:0]</v>
      </c>
      <c r="U58" s="60">
        <f t="shared" si="104"/>
        <v>9</v>
      </c>
      <c r="V58" s="60">
        <f t="shared" si="105"/>
        <v>27</v>
      </c>
      <c r="W58" s="60">
        <f t="shared" si="106"/>
        <v>59</v>
      </c>
      <c r="X58" s="60">
        <f t="shared" si="107"/>
        <v>50</v>
      </c>
      <c r="Y58" s="60" t="str">
        <f>IFERROR(VLOOKUP(MID(T58,W58,X58-W58),[5]skilldef!$C:$D,2,FALSE),"-") &amp; " / " &amp; IFERROR(VLOOKUP(MID(T58,U58,V58-U58),[5]skilldef!$A:$B,2,FALSE),"-")</f>
        <v>- / -</v>
      </c>
      <c r="Z58" s="48"/>
      <c r="AA58" s="50"/>
      <c r="AB58" s="48"/>
    </row>
    <row r="59" spans="1:28" ht="33" customHeight="1" x14ac:dyDescent="0.2">
      <c r="A59" s="154">
        <v>47010066</v>
      </c>
      <c r="B59" s="155" t="s">
        <v>302</v>
      </c>
      <c r="C59" s="339">
        <v>3</v>
      </c>
      <c r="D59" s="156" t="s">
        <v>127</v>
      </c>
      <c r="E59" s="157" t="s">
        <v>382</v>
      </c>
      <c r="F59" s="157" t="s">
        <v>387</v>
      </c>
      <c r="G59" s="60" t="str">
        <f t="shared" si="93"/>
        <v>[effect:enemy_message, val1:1.7, val2:2.8]</v>
      </c>
      <c r="H59" s="60">
        <f t="shared" si="94"/>
        <v>9</v>
      </c>
      <c r="I59" s="60">
        <f t="shared" si="95"/>
        <v>22</v>
      </c>
      <c r="J59" s="60" t="e">
        <f t="shared" si="96"/>
        <v>#VALUE!</v>
      </c>
      <c r="K59" s="60">
        <f t="shared" si="97"/>
        <v>32</v>
      </c>
      <c r="L59" s="60" t="str">
        <f>IFERROR(VLOOKUP(MID(G59,J59,K59-J59),[5]skilldef!$C:$D,2,FALSE),"-") &amp; " / " &amp; IFERROR(VLOOKUP(MID(G59,H59,I59-H59),[5]skilldef!$A:$B,2,FALSE),"-")</f>
        <v>- / -</v>
      </c>
      <c r="M59" s="60" t="str">
        <f t="shared" si="98"/>
        <v>[effect:damage_abnormal, target:unit_one, val:0.51, status:hungup, turn:2, animation:hungup01],[effect:damage_abnormal, target:unit_one, val:0.52, status:hungup, turn:2, animation:hungup01]</v>
      </c>
      <c r="N59" s="46" t="str">
        <f t="shared" si="108"/>
        <v>[effect:damage_abnormal, target:unit_one, val:0.51, status:hungup, turn:2, animation:hungup01]</v>
      </c>
      <c r="O59" s="60">
        <f t="shared" si="99"/>
        <v>9</v>
      </c>
      <c r="P59" s="60">
        <f t="shared" si="100"/>
        <v>24</v>
      </c>
      <c r="Q59" s="60">
        <f t="shared" si="101"/>
        <v>33</v>
      </c>
      <c r="R59" s="60">
        <f t="shared" si="102"/>
        <v>41</v>
      </c>
      <c r="S59" s="60" t="str">
        <f>IFERROR(VLOOKUP(MID(N59,Q59,R59-Q59),[5]skilldef!$C:$D,2,FALSE),"-") &amp; " / " &amp; IFERROR(VLOOKUP(MID(N59,O59,P59-O59),[5]skilldef!$A:$B,2,FALSE),"-")</f>
        <v>味方単体に / -</v>
      </c>
      <c r="T59" s="46" t="str">
        <f t="shared" si="103"/>
        <v>[effect:damage_abnormal, target:unit_one, val:0.52, status:hungup, turn:2, animation:hungup01]</v>
      </c>
      <c r="U59" s="60">
        <f t="shared" si="104"/>
        <v>9</v>
      </c>
      <c r="V59" s="60">
        <f t="shared" si="105"/>
        <v>24</v>
      </c>
      <c r="W59" s="60">
        <f t="shared" si="106"/>
        <v>33</v>
      </c>
      <c r="X59" s="60">
        <f t="shared" si="107"/>
        <v>41</v>
      </c>
      <c r="Y59" s="60" t="str">
        <f>IFERROR(VLOOKUP(MID(T59,W59,X59-W59),[5]skilldef!$C:$D,2,FALSE),"-") &amp; " / " &amp; IFERROR(VLOOKUP(MID(T59,U59,V59-U59),[5]skilldef!$A:$B,2,FALSE),"-")</f>
        <v>味方単体に / -</v>
      </c>
      <c r="Z59" s="48"/>
      <c r="AA59" s="50"/>
      <c r="AB59" s="48"/>
    </row>
    <row r="60" spans="1:28" ht="33" customHeight="1" x14ac:dyDescent="0.2">
      <c r="A60" s="154">
        <v>47010067</v>
      </c>
      <c r="B60" s="155" t="s">
        <v>303</v>
      </c>
      <c r="C60" s="339">
        <v>3</v>
      </c>
      <c r="D60" s="156" t="s">
        <v>127</v>
      </c>
      <c r="E60" s="157" t="s">
        <v>383</v>
      </c>
      <c r="F60" s="157" t="s">
        <v>386</v>
      </c>
      <c r="G60" s="60" t="str">
        <f t="shared" si="93"/>
        <v>[effect:enemy_message, val1:2.2, val2:3.1]</v>
      </c>
      <c r="H60" s="60">
        <f t="shared" si="94"/>
        <v>9</v>
      </c>
      <c r="I60" s="60">
        <f t="shared" si="95"/>
        <v>22</v>
      </c>
      <c r="J60" s="60" t="e">
        <f t="shared" si="96"/>
        <v>#VALUE!</v>
      </c>
      <c r="K60" s="60">
        <f t="shared" si="97"/>
        <v>32</v>
      </c>
      <c r="L60" s="60" t="str">
        <f>IFERROR(VLOOKUP(MID(G60,J60,K60-J60),[5]skilldef!$C:$D,2,FALSE),"-") &amp; " / " &amp; IFERROR(VLOOKUP(MID(G60,H60,I60-H60),[5]skilldef!$A:$B,2,FALSE),"-")</f>
        <v>- / -</v>
      </c>
      <c r="M60" s="60" t="str">
        <f t="shared" si="98"/>
        <v>[effect:damage_abnormal, target:unit_one, val:0.41, status:attack, turn:2, val_abnormal:0.3],[effect:damage_abnormal, target:unit_one, val:0.39, status:attack, turn:2, val_abnormal:0.3],[effect:damage_abnormal, target:unit_one, val:0.4, status:attack, turn:2, val_abnormal:0.3]</v>
      </c>
      <c r="N60" s="46" t="str">
        <f t="shared" si="108"/>
        <v>[effect:damage_abnormal, target:unit_one, val:0.41, status:attack, turn:2, val_abnormal:0.3]</v>
      </c>
      <c r="O60" s="60">
        <f t="shared" si="99"/>
        <v>9</v>
      </c>
      <c r="P60" s="60">
        <f t="shared" si="100"/>
        <v>24</v>
      </c>
      <c r="Q60" s="60">
        <f t="shared" si="101"/>
        <v>33</v>
      </c>
      <c r="R60" s="60">
        <f t="shared" si="102"/>
        <v>41</v>
      </c>
      <c r="S60" s="60" t="str">
        <f>IFERROR(VLOOKUP(MID(N60,Q60,R60-Q60),[5]skilldef!$C:$D,2,FALSE),"-") &amp; " / " &amp; IFERROR(VLOOKUP(MID(N60,O60,P60-O60),[5]skilldef!$A:$B,2,FALSE),"-")</f>
        <v>味方単体に / -</v>
      </c>
      <c r="T60" s="46" t="str">
        <f t="shared" si="103"/>
        <v>[effect:damage_abnormal, target:unit_one, val:0.39, status:attack, turn:2, val_abnormal:0.3],[effect:damage_abnormal, target:unit_one, val:0.4, status:attack, turn:2, val_abnormal:0.3]</v>
      </c>
      <c r="U60" s="60">
        <f t="shared" si="104"/>
        <v>9</v>
      </c>
      <c r="V60" s="60">
        <f t="shared" si="105"/>
        <v>24</v>
      </c>
      <c r="W60" s="60">
        <f t="shared" si="106"/>
        <v>33</v>
      </c>
      <c r="X60" s="60">
        <f t="shared" si="107"/>
        <v>41</v>
      </c>
      <c r="Y60" s="60" t="str">
        <f>IFERROR(VLOOKUP(MID(T60,W60,X60-W60),[5]skilldef!$C:$D,2,FALSE),"-") &amp; " / " &amp; IFERROR(VLOOKUP(MID(T60,U60,V60-U60),[5]skilldef!$A:$B,2,FALSE),"-")</f>
        <v>味方単体に / -</v>
      </c>
      <c r="Z60" s="48"/>
      <c r="AA60" s="50"/>
      <c r="AB60" s="48"/>
    </row>
    <row r="61" spans="1:28" ht="33" customHeight="1" x14ac:dyDescent="0.2">
      <c r="A61" s="154">
        <v>47010068</v>
      </c>
      <c r="B61" s="155" t="s">
        <v>523</v>
      </c>
      <c r="C61" s="339">
        <v>3</v>
      </c>
      <c r="D61" s="156" t="s">
        <v>127</v>
      </c>
      <c r="E61" s="157" t="s">
        <v>384</v>
      </c>
      <c r="F61" s="157" t="s">
        <v>443</v>
      </c>
      <c r="G61" s="60" t="str">
        <f t="shared" si="93"/>
        <v>[effect:enemy_message, val1:1.3, val2:2.4]</v>
      </c>
      <c r="H61" s="60">
        <f t="shared" si="94"/>
        <v>9</v>
      </c>
      <c r="I61" s="60">
        <f t="shared" si="95"/>
        <v>22</v>
      </c>
      <c r="J61" s="60" t="e">
        <f t="shared" si="96"/>
        <v>#VALUE!</v>
      </c>
      <c r="K61" s="60">
        <f t="shared" si="97"/>
        <v>32</v>
      </c>
      <c r="L61" s="60" t="str">
        <f>IFERROR(VLOOKUP(MID(G61,J61,K61-J61),[5]skilldef!$C:$D,2,FALSE),"-") &amp; " / " &amp; IFERROR(VLOOKUP(MID(G61,H61,I61-H61),[5]skilldef!$A:$B,2,FALSE),"-")</f>
        <v>- / -</v>
      </c>
      <c r="M61" s="60" t="str">
        <f t="shared" si="98"/>
        <v>[effect:force_change_block, new_block:block_heart, target:block_all, ignore01:crash, ignore02:crack_bomb, ignore03:color_break, ignore04:magnet, ignore05:block_heart, count:14, val:0],[effect:spread, val:0.32]</v>
      </c>
      <c r="N61" s="46" t="str">
        <f t="shared" si="108"/>
        <v>[effect:force_change_block, new_block:block_heart, target:block_all, ignore01:crash, ignore02:crack_bomb, ignore03:color_break, ignore04:magnet, ignore05:block_heart, count:14, val:0]</v>
      </c>
      <c r="O61" s="60">
        <f t="shared" si="99"/>
        <v>9</v>
      </c>
      <c r="P61" s="60">
        <f t="shared" si="100"/>
        <v>27</v>
      </c>
      <c r="Q61" s="60">
        <f t="shared" si="101"/>
        <v>59</v>
      </c>
      <c r="R61" s="60">
        <f t="shared" si="102"/>
        <v>50</v>
      </c>
      <c r="S61" s="60" t="str">
        <f>IFERROR(VLOOKUP(MID(N61,Q61,R61-Q61),[5]skilldef!$C:$D,2,FALSE),"-") &amp; " / " &amp; IFERROR(VLOOKUP(MID(N61,O61,P61-O61),[5]skilldef!$A:$B,2,FALSE),"-")</f>
        <v>- / -</v>
      </c>
      <c r="T61" s="46" t="str">
        <f t="shared" si="103"/>
        <v>[effect:spread, val:0.32]</v>
      </c>
      <c r="U61" s="60">
        <f t="shared" si="104"/>
        <v>9</v>
      </c>
      <c r="V61" s="60">
        <f t="shared" si="105"/>
        <v>15</v>
      </c>
      <c r="W61" s="60" t="e">
        <f t="shared" si="106"/>
        <v>#VALUE!</v>
      </c>
      <c r="X61" s="60" t="e">
        <f t="shared" si="107"/>
        <v>#VALUE!</v>
      </c>
      <c r="Y61" s="60" t="str">
        <f>IFERROR(VLOOKUP(MID(T61,W61,X61-W61),[5]skilldef!$C:$D,2,FALSE),"-") &amp; " / " &amp; IFERROR(VLOOKUP(MID(T61,U61,V61-U61),[5]skilldef!$A:$B,2,FALSE),"-")</f>
        <v>- / 全体攻撃</v>
      </c>
      <c r="Z61" s="48"/>
      <c r="AA61" s="50"/>
      <c r="AB61" s="48"/>
    </row>
    <row r="62" spans="1:28" ht="32" customHeight="1" x14ac:dyDescent="0.2">
      <c r="A62" s="165">
        <v>47010069</v>
      </c>
      <c r="B62" s="166" t="s">
        <v>537</v>
      </c>
      <c r="C62" s="339">
        <v>3</v>
      </c>
      <c r="D62" s="167" t="s">
        <v>127</v>
      </c>
      <c r="E62" s="168" t="s">
        <v>379</v>
      </c>
      <c r="F62" s="168" t="s">
        <v>460</v>
      </c>
      <c r="G62" s="60" t="str">
        <f t="shared" si="93"/>
        <v>[effect:enemy_message, val1:1.8, val2:2.4]</v>
      </c>
      <c r="H62" s="60">
        <f t="shared" si="94"/>
        <v>9</v>
      </c>
      <c r="I62" s="60">
        <f t="shared" si="95"/>
        <v>22</v>
      </c>
      <c r="J62" s="60" t="e">
        <f t="shared" si="96"/>
        <v>#VALUE!</v>
      </c>
      <c r="K62" s="60">
        <f t="shared" si="97"/>
        <v>32</v>
      </c>
      <c r="L62" s="60" t="str">
        <f>IFERROR(VLOOKUP(MID(G62,J62,K62-J62),[5]skilldef!$C:$D,2,FALSE),"-") &amp; " / " &amp; IFERROR(VLOOKUP(MID(G62,H62,I62-H62),[5]skilldef!$A:$B,2,FALSE),"-")</f>
        <v>- / -</v>
      </c>
      <c r="M62" s="60" t="str">
        <f t="shared" si="98"/>
        <v>[effect:force_change_block, new_block:block_red, target:block_all, ignore01:crash, ignore02:crack_bomb, ignore03:color_break, ignore04:magnet, ignore05:block_red, count:6, val:0, animation:change_block],[effect:critical, val:1.3, animation:enemy_critical]</v>
      </c>
      <c r="N62" s="46" t="str">
        <f t="shared" si="108"/>
        <v>[effect:force_change_block, new_block:block_red, target:block_all, ignore01:crash, ignore02:crack_bomb, ignore03:color_break, ignore04:magnet, ignore05:block_red, count:6, val:0, animation:change_block]</v>
      </c>
      <c r="O62" s="60">
        <f t="shared" si="99"/>
        <v>9</v>
      </c>
      <c r="P62" s="60">
        <f t="shared" si="100"/>
        <v>27</v>
      </c>
      <c r="Q62" s="60">
        <f t="shared" si="101"/>
        <v>57</v>
      </c>
      <c r="R62" s="60">
        <f t="shared" si="102"/>
        <v>48</v>
      </c>
      <c r="S62" s="60" t="str">
        <f>IFERROR(VLOOKUP(MID(N62,Q62,R62-Q62),[5]skilldef!$C:$D,2,FALSE),"-") &amp; " / " &amp; IFERROR(VLOOKUP(MID(N62,O62,P62-O62),[5]skilldef!$A:$B,2,FALSE),"-")</f>
        <v>- / -</v>
      </c>
      <c r="T62" s="46" t="str">
        <f t="shared" si="103"/>
        <v>[effect:critical, val:1.3, animation:enemy_critical]</v>
      </c>
      <c r="U62" s="60">
        <f t="shared" si="104"/>
        <v>9</v>
      </c>
      <c r="V62" s="60">
        <f t="shared" si="105"/>
        <v>17</v>
      </c>
      <c r="W62" s="60" t="e">
        <f t="shared" si="106"/>
        <v>#VALUE!</v>
      </c>
      <c r="X62" s="60">
        <f t="shared" si="107"/>
        <v>26</v>
      </c>
      <c r="Y62" s="60" t="str">
        <f>IFERROR(VLOOKUP(MID(T62,W62,X62-W62),[5]skilldef!$C:$D,2,FALSE),"-") &amp; " / " &amp; IFERROR(VLOOKUP(MID(T62,U62,V62-U62),[5]skilldef!$A:$B,2,FALSE),"-")</f>
        <v>- / 大攻撃</v>
      </c>
      <c r="Z62" s="48"/>
      <c r="AA62" s="50"/>
      <c r="AB62" s="48"/>
    </row>
    <row r="63" spans="1:28" ht="34" customHeight="1" x14ac:dyDescent="0.2">
      <c r="A63" s="154">
        <v>47010070</v>
      </c>
      <c r="B63" s="155" t="s">
        <v>524</v>
      </c>
      <c r="C63" s="339">
        <v>3</v>
      </c>
      <c r="D63" s="156" t="s">
        <v>127</v>
      </c>
      <c r="E63" s="157" t="s">
        <v>385</v>
      </c>
      <c r="F63" s="157" t="s">
        <v>388</v>
      </c>
      <c r="G63" s="60" t="str">
        <f t="shared" si="93"/>
        <v>[effect:enemy_message, val1:1.6, val2:2.3]</v>
      </c>
      <c r="H63" s="60">
        <f t="shared" si="94"/>
        <v>9</v>
      </c>
      <c r="I63" s="60">
        <f t="shared" si="95"/>
        <v>22</v>
      </c>
      <c r="J63" s="60" t="e">
        <f t="shared" si="96"/>
        <v>#VALUE!</v>
      </c>
      <c r="K63" s="60">
        <f t="shared" si="97"/>
        <v>32</v>
      </c>
      <c r="L63" s="60" t="str">
        <f>IFERROR(VLOOKUP(MID(G63,J63,K63-J63),[5]skilldef!$C:$D,2,FALSE),"-") &amp; " / " &amp; IFERROR(VLOOKUP(MID(G63,H63,I63-H63),[5]skilldef!$A:$B,2,FALSE),"-")</f>
        <v>- / -</v>
      </c>
      <c r="M63" s="60" t="str">
        <f t="shared" si="98"/>
        <v>[effect:break_enchance_enemy, target:myself, val:0.01, lowest_val:0, count:-1, status:attack, turn:-1, block01:block_heart, calc:mul, animation:enemy_enhance_attack],[effect:freq_turn, target:myself, turn:-1, val:1, animation:enemy_freq_turn]</v>
      </c>
      <c r="N63" s="46" t="str">
        <f>IFERROR(LEFT(M63,FIND("],",M63)+#REF!),M63)</f>
        <v>[effect:break_enchance_enemy, target:myself, val:0.01, lowest_val:0, count:-1, status:attack, turn:-1, block01:block_heart, calc:mul, animation:enemy_enhance_attack],[effect:freq_turn, target:myself, turn:-1, val:1, animation:enemy_freq_turn]</v>
      </c>
      <c r="O63" s="60">
        <f t="shared" si="99"/>
        <v>9</v>
      </c>
      <c r="P63" s="60">
        <f t="shared" si="100"/>
        <v>29</v>
      </c>
      <c r="Q63" s="60">
        <f t="shared" si="101"/>
        <v>38</v>
      </c>
      <c r="R63" s="60">
        <f t="shared" si="102"/>
        <v>44</v>
      </c>
      <c r="S63" s="60" t="str">
        <f>IFERROR(VLOOKUP(MID(N63,Q63,R63-Q63),[5]skilldef!$C:$D,2,FALSE),"-") &amp; " / " &amp; IFERROR(VLOOKUP(MID(N63,O63,P63-O63),[5]skilldef!$A:$B,2,FALSE),"-")</f>
        <v>自分自身に / -</v>
      </c>
      <c r="T63" s="46" t="str">
        <f t="shared" si="103"/>
        <v>[effect:freq_turn, target:myself, turn:-1, val:1, animation:enemy_freq_turn]</v>
      </c>
      <c r="U63" s="60">
        <f t="shared" si="104"/>
        <v>9</v>
      </c>
      <c r="V63" s="60">
        <f t="shared" si="105"/>
        <v>18</v>
      </c>
      <c r="W63" s="60">
        <f t="shared" si="106"/>
        <v>27</v>
      </c>
      <c r="X63" s="60">
        <f t="shared" si="107"/>
        <v>33</v>
      </c>
      <c r="Y63" s="60" t="str">
        <f>IFERROR(VLOOKUP(MID(T63,W63,X63-W63),[5]skilldef!$C:$D,2,FALSE),"-") &amp; " / " &amp; IFERROR(VLOOKUP(MID(T63,U63,V63-U63),[5]skilldef!$A:$B,2,FALSE),"-")</f>
        <v>自分自身に / 攻撃頻度がUP</v>
      </c>
      <c r="Z63" s="48"/>
      <c r="AA63" s="50"/>
      <c r="AB63" s="48"/>
    </row>
    <row r="64" spans="1:28" ht="34" customHeight="1" x14ac:dyDescent="0.2">
      <c r="A64" s="161">
        <v>47010071</v>
      </c>
      <c r="B64" s="162" t="s">
        <v>486</v>
      </c>
      <c r="C64" s="339">
        <v>3</v>
      </c>
      <c r="D64" s="163" t="s">
        <v>127</v>
      </c>
      <c r="E64" s="164" t="s">
        <v>351</v>
      </c>
      <c r="F64" s="164" t="s">
        <v>311</v>
      </c>
      <c r="G64" s="60" t="str">
        <f t="shared" si="93"/>
        <v>[effect:enemy_message, val1:2.3, val2:1.9]</v>
      </c>
      <c r="H64" s="60">
        <f t="shared" si="94"/>
        <v>9</v>
      </c>
      <c r="I64" s="60">
        <f t="shared" si="95"/>
        <v>22</v>
      </c>
      <c r="J64" s="60" t="e">
        <f t="shared" si="96"/>
        <v>#VALUE!</v>
      </c>
      <c r="K64" s="60">
        <f t="shared" si="97"/>
        <v>32</v>
      </c>
      <c r="L64" s="60" t="str">
        <f>IFERROR(VLOOKUP(MID(G64,J64,K64-J64),[5]skilldef!$C:$D,2,FALSE),"-") &amp; " / " &amp; IFERROR(VLOOKUP(MID(G64,H64,I64-H64),[5]skilldef!$A:$B,2,FALSE),"-")</f>
        <v>- / -</v>
      </c>
      <c r="M64" s="60" t="str">
        <f t="shared" si="98"/>
        <v>[effect:tolerance, target:myself, turn:-1, count:-1, tolerance_effect:all, animation:enemy_tolerance],[effect:remove_enhancement, target:unit_all, target_effect:change_panel_ratio, target_type:all],[effect:change_panel_ratio, turn:-1, block_type:blue, val:0],[effect:fix_speed, target:myself, turn:1]</v>
      </c>
      <c r="N64" s="46" t="str">
        <f>IFERROR(LEFT(M64,FIND("],",M64)+S72),M64)</f>
        <v>[effect:tolerance, target:myself, turn:-1, count:-1, tolerance_effect:all, animation:enemy_tolerance],[effect:remove_enhancement, target:unit_all, target_effect:change_panel_ratio, target_type:all],[effect:change_panel_ratio, turn:-1, block_type:blue, val:0],[effect:fix_speed, target:myself, turn:1]</v>
      </c>
      <c r="O64" s="60">
        <f t="shared" si="99"/>
        <v>9</v>
      </c>
      <c r="P64" s="60">
        <f t="shared" si="100"/>
        <v>18</v>
      </c>
      <c r="Q64" s="60">
        <f t="shared" si="101"/>
        <v>27</v>
      </c>
      <c r="R64" s="60">
        <f t="shared" si="102"/>
        <v>33</v>
      </c>
      <c r="S64" s="60" t="str">
        <f>IFERROR(VLOOKUP(MID(N64,Q64,R64-Q64),[5]skilldef!$C:$D,2,FALSE),"-") &amp; " / " &amp; IFERROR(VLOOKUP(MID(N64,O64,P64-O64),[5]skilldef!$A:$B,2,FALSE),"-")</f>
        <v>自分自身に / 状態異常耐性</v>
      </c>
      <c r="T64" s="46" t="str">
        <f t="shared" si="103"/>
        <v>[effect:remove_enhancement, target:unit_all, target_effect:change_panel_ratio, target_type:all],[effect:change_panel_ratio, turn:-1, block_type:blue, val:0],[effect:fix_speed, target:myself, turn:1]</v>
      </c>
      <c r="U64" s="60">
        <f t="shared" si="104"/>
        <v>9</v>
      </c>
      <c r="V64" s="60">
        <f t="shared" si="105"/>
        <v>27</v>
      </c>
      <c r="W64" s="60">
        <f t="shared" si="106"/>
        <v>36</v>
      </c>
      <c r="X64" s="60">
        <f t="shared" si="107"/>
        <v>44</v>
      </c>
      <c r="Y64" s="60" t="str">
        <f>IFERROR(VLOOKUP(MID(T64,W64,X64-W64),[5]skilldef!$C:$D,2,FALSE),"-") &amp; " / " &amp; IFERROR(VLOOKUP(MID(T64,U64,V64-U64),[5]skilldef!$A:$B,2,FALSE),"-")</f>
        <v>味方全体に / -</v>
      </c>
      <c r="Z64" s="48"/>
      <c r="AA64" s="50"/>
      <c r="AB64" s="48"/>
    </row>
    <row r="65" spans="1:28" ht="35" customHeight="1" x14ac:dyDescent="0.2">
      <c r="A65" s="161">
        <v>47010072</v>
      </c>
      <c r="B65" s="162" t="s">
        <v>304</v>
      </c>
      <c r="C65" s="339">
        <v>3</v>
      </c>
      <c r="D65" s="163" t="s">
        <v>127</v>
      </c>
      <c r="E65" s="164" t="s">
        <v>389</v>
      </c>
      <c r="F65" s="164" t="s">
        <v>406</v>
      </c>
      <c r="G65" s="60" t="str">
        <f t="shared" si="93"/>
        <v>[effect:enemy_message, val1:2.2, val2:2.1]</v>
      </c>
      <c r="H65" s="60">
        <f t="shared" si="94"/>
        <v>9</v>
      </c>
      <c r="I65" s="60">
        <f t="shared" si="95"/>
        <v>22</v>
      </c>
      <c r="J65" s="60" t="e">
        <f t="shared" si="96"/>
        <v>#VALUE!</v>
      </c>
      <c r="K65" s="60">
        <f t="shared" si="97"/>
        <v>32</v>
      </c>
      <c r="L65" s="60" t="str">
        <f>IFERROR(VLOOKUP(MID(G65,J65,K65-J65),[5]skilldef!$C:$D,2,FALSE),"-") &amp; " / " &amp; IFERROR(VLOOKUP(MID(G65,H65,I65-H65),[5]skilldef!$A:$B,2,FALSE),"-")</f>
        <v>- / -</v>
      </c>
      <c r="M65" s="60" t="str">
        <f t="shared" si="98"/>
        <v>[effect:reduction, target:myself, color:all, turn:5, val:0.3, animation:reduction_one01],[effect:spread, val:0.29]</v>
      </c>
      <c r="N65" s="46" t="str">
        <f>IFERROR(LEFT(M65,FIND("],",M65)+S73),M65)</f>
        <v>[effect:reduction, target:myself, color:all, turn:5, val:0.3, animation:reduction_one01],[effect:spread, val:0.29]</v>
      </c>
      <c r="O65" s="60">
        <f t="shared" si="99"/>
        <v>9</v>
      </c>
      <c r="P65" s="60">
        <f t="shared" si="100"/>
        <v>18</v>
      </c>
      <c r="Q65" s="60">
        <f t="shared" si="101"/>
        <v>27</v>
      </c>
      <c r="R65" s="60">
        <f t="shared" si="102"/>
        <v>33</v>
      </c>
      <c r="S65" s="60" t="str">
        <f>IFERROR(VLOOKUP(MID(N65,Q65,R65-Q65),[5]skilldef!$C:$D,2,FALSE),"-") &amp; " / " &amp; IFERROR(VLOOKUP(MID(N65,O65,P65-O65),[5]skilldef!$A:$B,2,FALSE),"-")</f>
        <v>自分自身に / -</v>
      </c>
      <c r="T65" s="46" t="str">
        <f t="shared" si="103"/>
        <v>[effect:spread, val:0.29]</v>
      </c>
      <c r="U65" s="60">
        <f t="shared" si="104"/>
        <v>9</v>
      </c>
      <c r="V65" s="60">
        <f t="shared" si="105"/>
        <v>15</v>
      </c>
      <c r="W65" s="60" t="e">
        <f t="shared" si="106"/>
        <v>#VALUE!</v>
      </c>
      <c r="X65" s="60" t="e">
        <f t="shared" si="107"/>
        <v>#VALUE!</v>
      </c>
      <c r="Y65" s="60" t="str">
        <f>IFERROR(VLOOKUP(MID(T65,W65,X65-W65),[5]skilldef!$C:$D,2,FALSE),"-") &amp; " / " &amp; IFERROR(VLOOKUP(MID(T65,U65,V65-U65),[5]skilldef!$A:$B,2,FALSE),"-")</f>
        <v>- / 全体攻撃</v>
      </c>
      <c r="Z65" s="48"/>
      <c r="AA65" s="50"/>
      <c r="AB65" s="48"/>
    </row>
    <row r="66" spans="1:28" ht="35" customHeight="1" x14ac:dyDescent="0.2">
      <c r="A66" s="161">
        <v>47010073</v>
      </c>
      <c r="B66" s="162" t="s">
        <v>428</v>
      </c>
      <c r="C66" s="339">
        <v>3</v>
      </c>
      <c r="D66" s="163" t="s">
        <v>127</v>
      </c>
      <c r="E66" s="164" t="s">
        <v>390</v>
      </c>
      <c r="F66" s="164" t="s">
        <v>429</v>
      </c>
      <c r="G66" s="60" t="str">
        <f t="shared" si="93"/>
        <v>[effect:enemy_message, val1:2.3, val2:3.1]</v>
      </c>
      <c r="H66" s="60">
        <f t="shared" si="94"/>
        <v>9</v>
      </c>
      <c r="I66" s="60">
        <f t="shared" si="95"/>
        <v>22</v>
      </c>
      <c r="J66" s="60" t="e">
        <f t="shared" si="96"/>
        <v>#VALUE!</v>
      </c>
      <c r="K66" s="60">
        <f t="shared" si="97"/>
        <v>32</v>
      </c>
      <c r="L66" s="60" t="str">
        <f>IFERROR(VLOOKUP(MID(G66,J66,K66-J66),[5]skilldef!$C:$D,2,FALSE),"-") &amp; " / " &amp; IFERROR(VLOOKUP(MID(G66,H66,I66-H66),[5]skilldef!$A:$B,2,FALSE),"-")</f>
        <v>- / -</v>
      </c>
      <c r="M66" s="60" t="str">
        <f t="shared" si="98"/>
        <v>[effect:damage_abnormal, target:unit_one, val:0.32, status:attack, turn:2, val_abnormal:0.5],[effect:damage_abnormal, target:unit_one, val:0.32, status:attack, turn:2, val_abnormal:0.5],[effect:damage_abnormal, target:unit_one, val:0.32, status:attack, turn:2, val_abnormal:0.5]</v>
      </c>
      <c r="N66" s="46" t="str">
        <f>IFERROR(LEFT(M66,FIND("],",M66)+S74),M66)</f>
        <v>[effect:damage_abnormal, target:unit_one, val:0.32, status:attack, turn:2, val_abnormal:0.5],[effect:damage_abnormal, target:unit_one, val:0.32, status:attack, turn:2, val_abnormal:0.5],[effect:damage_abnormal, target:unit_one, val:0.32, status:attack, turn:2, val_abnormal:0.5]</v>
      </c>
      <c r="O66" s="60">
        <f t="shared" si="99"/>
        <v>9</v>
      </c>
      <c r="P66" s="60">
        <f t="shared" si="100"/>
        <v>24</v>
      </c>
      <c r="Q66" s="60">
        <f t="shared" si="101"/>
        <v>33</v>
      </c>
      <c r="R66" s="60">
        <f t="shared" si="102"/>
        <v>41</v>
      </c>
      <c r="S66" s="60" t="str">
        <f>IFERROR(VLOOKUP(MID(N66,Q66,R66-Q66),[5]skilldef!$C:$D,2,FALSE),"-") &amp; " / " &amp; IFERROR(VLOOKUP(MID(N66,O66,P66-O66),[5]skilldef!$A:$B,2,FALSE),"-")</f>
        <v>味方単体に / -</v>
      </c>
      <c r="T66" s="46" t="str">
        <f t="shared" si="103"/>
        <v>[effect:damage_abnormal, target:unit_one, val:0.32, status:attack, turn:2, val_abnormal:0.5],[effect:damage_abnormal, target:unit_one, val:0.32, status:attack, turn:2, val_abnormal:0.5]</v>
      </c>
      <c r="U66" s="60">
        <f t="shared" si="104"/>
        <v>9</v>
      </c>
      <c r="V66" s="60">
        <f t="shared" si="105"/>
        <v>24</v>
      </c>
      <c r="W66" s="60">
        <f t="shared" si="106"/>
        <v>33</v>
      </c>
      <c r="X66" s="60">
        <f t="shared" si="107"/>
        <v>41</v>
      </c>
      <c r="Y66" s="60" t="str">
        <f>IFERROR(VLOOKUP(MID(T66,W66,X66-W66),[5]skilldef!$C:$D,2,FALSE),"-") &amp; " / " &amp; IFERROR(VLOOKUP(MID(T66,U66,V66-U66),[5]skilldef!$A:$B,2,FALSE),"-")</f>
        <v>味方単体に / -</v>
      </c>
      <c r="Z66" s="48"/>
      <c r="AA66" s="50"/>
      <c r="AB66" s="48"/>
    </row>
    <row r="67" spans="1:28" ht="28" customHeight="1" x14ac:dyDescent="0.2">
      <c r="A67" s="161">
        <v>47010074</v>
      </c>
      <c r="B67" s="162" t="s">
        <v>487</v>
      </c>
      <c r="C67" s="339">
        <v>3</v>
      </c>
      <c r="D67" s="163" t="s">
        <v>127</v>
      </c>
      <c r="E67" s="164" t="s">
        <v>391</v>
      </c>
      <c r="F67" s="164" t="s">
        <v>407</v>
      </c>
      <c r="G67" s="60" t="str">
        <f t="shared" si="93"/>
        <v>[effect:enemy_message, val1:2.3, val2:1.3]</v>
      </c>
      <c r="H67" s="60">
        <f t="shared" si="94"/>
        <v>9</v>
      </c>
      <c r="I67" s="60">
        <f t="shared" si="95"/>
        <v>22</v>
      </c>
      <c r="J67" s="60" t="e">
        <f t="shared" si="96"/>
        <v>#VALUE!</v>
      </c>
      <c r="K67" s="60">
        <f t="shared" si="97"/>
        <v>32</v>
      </c>
      <c r="L67" s="60" t="str">
        <f>IFERROR(VLOOKUP(MID(G67,J67,K67-J67),[5]skilldef!$C:$D,2,FALSE),"-") &amp; " / " &amp; IFERROR(VLOOKUP(MID(G67,H67,I67-H67),[5]skilldef!$A:$B,2,FALSE),"-")</f>
        <v>- / -</v>
      </c>
      <c r="M67" s="60" t="str">
        <f t="shared" si="98"/>
        <v>[effect:critical, val:1.32, animation:enemy_critical]</v>
      </c>
      <c r="N67" s="46" t="str">
        <f>IFERROR(LEFT(M67,FIND("],",M67)+S75),M67)</f>
        <v>[effect:critical, val:1.32, animation:enemy_critical]</v>
      </c>
      <c r="O67" s="60">
        <f t="shared" si="99"/>
        <v>9</v>
      </c>
      <c r="P67" s="60">
        <f t="shared" si="100"/>
        <v>17</v>
      </c>
      <c r="Q67" s="60" t="e">
        <f t="shared" si="101"/>
        <v>#VALUE!</v>
      </c>
      <c r="R67" s="60">
        <f t="shared" si="102"/>
        <v>27</v>
      </c>
      <c r="S67" s="60" t="str">
        <f>IFERROR(VLOOKUP(MID(N67,Q67,R67-Q67),[5]skilldef!$C:$D,2,FALSE),"-") &amp; " / " &amp; IFERROR(VLOOKUP(MID(N67,O67,P67-O67),[5]skilldef!$A:$B,2,FALSE),"-")</f>
        <v>- / 大攻撃</v>
      </c>
      <c r="T67" s="46" t="str">
        <f t="shared" si="103"/>
        <v>none</v>
      </c>
      <c r="U67" s="60" t="e">
        <f t="shared" si="104"/>
        <v>#VALUE!</v>
      </c>
      <c r="V67" s="60">
        <f t="shared" si="105"/>
        <v>4</v>
      </c>
      <c r="W67" s="60" t="e">
        <f t="shared" si="106"/>
        <v>#VALUE!</v>
      </c>
      <c r="X67" s="60" t="e">
        <f t="shared" si="107"/>
        <v>#VALUE!</v>
      </c>
      <c r="Y67" s="60" t="str">
        <f>IFERROR(VLOOKUP(MID(T67,W67,X67-W67),[5]skilldef!$C:$D,2,FALSE),"-") &amp; " / " &amp; IFERROR(VLOOKUP(MID(T67,U67,V67-U67),[5]skilldef!$A:$B,2,FALSE),"-")</f>
        <v>- / -</v>
      </c>
      <c r="Z67" s="48"/>
      <c r="AA67" s="50"/>
      <c r="AB67" s="48"/>
    </row>
    <row r="68" spans="1:28" ht="21" customHeight="1" x14ac:dyDescent="0.2">
      <c r="A68" s="161">
        <v>47010075</v>
      </c>
      <c r="B68" s="162" t="s">
        <v>526</v>
      </c>
      <c r="C68" s="339">
        <v>3</v>
      </c>
      <c r="D68" s="163" t="s">
        <v>127</v>
      </c>
      <c r="E68" s="164" t="s">
        <v>353</v>
      </c>
      <c r="F68" s="164" t="s">
        <v>374</v>
      </c>
      <c r="G68" s="60" t="str">
        <f>IFERROR(LEFT(B68,FIND("],",B68)),B68)</f>
        <v>[effect:enemy_message, val1:1.6, val2:2.4]</v>
      </c>
      <c r="H68" s="60">
        <f>FIND("effect:",G68)+7</f>
        <v>9</v>
      </c>
      <c r="I68" s="60">
        <f>IFERROR(FIND(",",G68),LEN(G68))</f>
        <v>22</v>
      </c>
      <c r="J68" s="60" t="e">
        <f>FIND("target:",G68)+7</f>
        <v>#VALUE!</v>
      </c>
      <c r="K68" s="60">
        <f>FIND(",",G68,I68+1)</f>
        <v>32</v>
      </c>
      <c r="L68" s="60" t="str">
        <f>IFERROR(VLOOKUP(MID(G68,J68,K68-J68),[5]skilldef!$C:$D,2,FALSE),"-") &amp; " / " &amp; IFERROR(VLOOKUP(MID(G68,H68,I68-H68),[5]skilldef!$A:$B,2,FALSE),"-")</f>
        <v>- / -</v>
      </c>
      <c r="M68" s="60" t="str">
        <f>IFERROR(RIGHT(B68,LEN(B68)-FIND("],",B68)-1),"none")</f>
        <v>[effect:force_change_block, new_block:block_red, target:block_all, ignore01:crash, ignore02:crack_bomb, ignore03:color_break, ignore04:magnet, ignore05:block_red, count:10, val:0, animation:change_block],[effect:rush, count:4, val:0.21]</v>
      </c>
      <c r="N68" s="46" t="str">
        <f>IFERROR(LEFT(M68,FIND("],",M68)+S79),M68)</f>
        <v>[effect:force_change_block, new_block:block_red, target:block_all, ignore01:crash, ignore02:crack_bomb, ignore03:color_break, ignore04:magnet, ignore05:block_red, count:10, val:0, animation:change_block],[effect:rush, count:4, val:0.21]</v>
      </c>
      <c r="O68" s="60">
        <f>FIND("effect:",N68)+7</f>
        <v>9</v>
      </c>
      <c r="P68" s="60">
        <f>IFERROR(FIND(",",N68),LEN(N68))</f>
        <v>27</v>
      </c>
      <c r="Q68" s="60">
        <f>FIND("target:",N68)+7</f>
        <v>57</v>
      </c>
      <c r="R68" s="60">
        <f>FIND(",",N68,P68+1)</f>
        <v>48</v>
      </c>
      <c r="S68" s="60" t="str">
        <f>IFERROR(VLOOKUP(MID(N68,Q68,R68-Q68),[5]skilldef!$C:$D,2,FALSE),"-") &amp; " / " &amp; IFERROR(VLOOKUP(MID(N68,O68,P68-O68),[5]skilldef!$A:$B,2,FALSE),"-")</f>
        <v>- / -</v>
      </c>
      <c r="T68" s="46" t="str">
        <f>IFERROR(RIGHT(M68,LEN(M68)-FIND("],",M68)-1),"none")</f>
        <v>[effect:rush, count:4, val:0.21]</v>
      </c>
      <c r="U68" s="60">
        <f>FIND("effect:",T68)+7</f>
        <v>9</v>
      </c>
      <c r="V68" s="60">
        <f>IFERROR(FIND(",",T68),LEN(T68))</f>
        <v>13</v>
      </c>
      <c r="W68" s="60" t="e">
        <f>FIND("target:",T68)+7</f>
        <v>#VALUE!</v>
      </c>
      <c r="X68" s="60">
        <f>FIND(",",T68,V68+1)</f>
        <v>22</v>
      </c>
      <c r="Y68" s="60" t="str">
        <f>IFERROR(VLOOKUP(MID(T68,W68,X68-W68),[5]skilldef!$C:$D,2,FALSE),"-") &amp; " / " &amp; IFERROR(VLOOKUP(MID(T68,U68,V68-U68),[5]skilldef!$A:$B,2,FALSE),"-")</f>
        <v>- / 連続攻撃</v>
      </c>
      <c r="Z68" s="48"/>
      <c r="AA68" s="50"/>
      <c r="AB68" s="48"/>
    </row>
    <row r="69" spans="1:28" ht="29" customHeight="1" x14ac:dyDescent="0.2">
      <c r="A69" s="161">
        <v>47010076</v>
      </c>
      <c r="B69" s="162" t="s">
        <v>525</v>
      </c>
      <c r="C69" s="339">
        <v>3</v>
      </c>
      <c r="D69" s="163" t="s">
        <v>127</v>
      </c>
      <c r="E69" s="164" t="s">
        <v>355</v>
      </c>
      <c r="F69" s="164" t="s">
        <v>369</v>
      </c>
      <c r="G69" s="60" t="str">
        <f t="shared" ref="G69:G89" si="109">IFERROR(LEFT(B69,FIND("],",B69)),B69)</f>
        <v>[effect:enemy_message, val1:1.5, val2:2.4]</v>
      </c>
      <c r="H69" s="60">
        <f t="shared" ref="H69:H89" si="110">FIND("effect:",G69)+7</f>
        <v>9</v>
      </c>
      <c r="I69" s="60">
        <f t="shared" ref="I69:I89" si="111">IFERROR(FIND(",",G69),LEN(G69))</f>
        <v>22</v>
      </c>
      <c r="J69" s="60" t="e">
        <f t="shared" ref="J69:J89" si="112">FIND("target:",G69)+7</f>
        <v>#VALUE!</v>
      </c>
      <c r="K69" s="60">
        <f t="shared" ref="K69:K89" si="113">FIND(",",G69,I69+1)</f>
        <v>32</v>
      </c>
      <c r="L69" s="60" t="str">
        <f>IFERROR(VLOOKUP(MID(G69,J69,K69-J69),[5]skilldef!$C:$D,2,FALSE),"-") &amp; " / " &amp; IFERROR(VLOOKUP(MID(G69,H69,I69-H69),[5]skilldef!$A:$B,2,FALSE),"-")</f>
        <v>- / -</v>
      </c>
      <c r="M69" s="60" t="str">
        <f t="shared" ref="M69:M89" si="114">IFERROR(RIGHT(B69,LEN(B69)-FIND("],",B69)-1),"none")</f>
        <v>[effect:force_change_block, new_block:block_heart, target:block_all, ignore01:crash, ignore02:crack_bomb, ignore03:color_break, ignore04:magnet, ignore05:block_heart, count:14, val:0],[effect:spread, val:0.34]</v>
      </c>
      <c r="N69" s="46" t="str">
        <f>IFERROR(LEFT(M69,FIND("],",M69)+S77),M69)</f>
        <v>[effect:force_change_block, new_block:block_heart, target:block_all, ignore01:crash, ignore02:crack_bomb, ignore03:color_break, ignore04:magnet, ignore05:block_heart, count:14, val:0],[effect:spread, val:0.34]</v>
      </c>
      <c r="O69" s="60">
        <f t="shared" ref="O69:O89" si="115">FIND("effect:",N69)+7</f>
        <v>9</v>
      </c>
      <c r="P69" s="60">
        <f t="shared" ref="P69:P89" si="116">IFERROR(FIND(",",N69),LEN(N69))</f>
        <v>27</v>
      </c>
      <c r="Q69" s="60">
        <f t="shared" ref="Q69:Q89" si="117">FIND("target:",N69)+7</f>
        <v>59</v>
      </c>
      <c r="R69" s="60">
        <f t="shared" ref="R69:R89" si="118">FIND(",",N69,P69+1)</f>
        <v>50</v>
      </c>
      <c r="S69" s="60" t="str">
        <f>IFERROR(VLOOKUP(MID(N69,Q69,R69-Q69),[5]skilldef!$C:$D,2,FALSE),"-") &amp; " / " &amp; IFERROR(VLOOKUP(MID(N69,O69,P69-O69),[5]skilldef!$A:$B,2,FALSE),"-")</f>
        <v>- / -</v>
      </c>
      <c r="T69" s="46" t="str">
        <f t="shared" ref="T69:T89" si="119">IFERROR(RIGHT(M69,LEN(M69)-FIND("],",M69)-1),"none")</f>
        <v>[effect:spread, val:0.34]</v>
      </c>
      <c r="U69" s="60">
        <f t="shared" ref="U69:U89" si="120">FIND("effect:",T69)+7</f>
        <v>9</v>
      </c>
      <c r="V69" s="60">
        <f t="shared" ref="V69:V89" si="121">IFERROR(FIND(",",T69),LEN(T69))</f>
        <v>15</v>
      </c>
      <c r="W69" s="60" t="e">
        <f t="shared" ref="W69:W89" si="122">FIND("target:",T69)+7</f>
        <v>#VALUE!</v>
      </c>
      <c r="X69" s="60" t="e">
        <f t="shared" ref="X69:X89" si="123">FIND(",",T69,V69+1)</f>
        <v>#VALUE!</v>
      </c>
      <c r="Y69" s="60" t="str">
        <f>IFERROR(VLOOKUP(MID(T69,W69,X69-W69),[5]skilldef!$C:$D,2,FALSE),"-") &amp; " / " &amp; IFERROR(VLOOKUP(MID(T69,U69,V69-U69),[5]skilldef!$A:$B,2,FALSE),"-")</f>
        <v>- / 全体攻撃</v>
      </c>
      <c r="Z69" s="48"/>
      <c r="AA69" s="50"/>
      <c r="AB69" s="48"/>
    </row>
    <row r="70" spans="1:28" ht="21" customHeight="1" x14ac:dyDescent="0.2">
      <c r="A70" s="161">
        <v>47010077</v>
      </c>
      <c r="B70" s="162" t="s">
        <v>488</v>
      </c>
      <c r="C70" s="339">
        <v>3</v>
      </c>
      <c r="D70" s="163" t="s">
        <v>127</v>
      </c>
      <c r="E70" s="164" t="s">
        <v>392</v>
      </c>
      <c r="F70" s="164" t="s">
        <v>321</v>
      </c>
      <c r="G70" s="60" t="str">
        <f t="shared" si="109"/>
        <v>[effect:enemy_message, val1:1.4, val2:1.3]</v>
      </c>
      <c r="H70" s="60">
        <f t="shared" si="110"/>
        <v>9</v>
      </c>
      <c r="I70" s="60">
        <f t="shared" si="111"/>
        <v>22</v>
      </c>
      <c r="J70" s="60" t="e">
        <f t="shared" si="112"/>
        <v>#VALUE!</v>
      </c>
      <c r="K70" s="60">
        <f t="shared" si="113"/>
        <v>32</v>
      </c>
      <c r="L70" s="60" t="str">
        <f>IFERROR(VLOOKUP(MID(G70,J70,K70-J70),[5]skilldef!$C:$D,2,FALSE),"-") &amp; " / " &amp; IFERROR(VLOOKUP(MID(G70,H70,I70-H70),[5]skilldef!$A:$B,2,FALSE),"-")</f>
        <v>- / -</v>
      </c>
      <c r="M70" s="60" t="str">
        <f t="shared" si="114"/>
        <v>[effect:damage_gravity, val:0.4, animation:fevergauge_down]</v>
      </c>
      <c r="N70" s="46" t="str">
        <f>IFERROR(LEFT(M70,FIND("],",M70)+S78),M70)</f>
        <v>[effect:damage_gravity, val:0.4, animation:fevergauge_down]</v>
      </c>
      <c r="O70" s="60">
        <f t="shared" si="115"/>
        <v>9</v>
      </c>
      <c r="P70" s="60">
        <f t="shared" si="116"/>
        <v>23</v>
      </c>
      <c r="Q70" s="60" t="e">
        <f t="shared" si="117"/>
        <v>#VALUE!</v>
      </c>
      <c r="R70" s="60">
        <f t="shared" si="118"/>
        <v>32</v>
      </c>
      <c r="S70" s="60" t="str">
        <f>IFERROR(VLOOKUP(MID(N70,Q70,R70-Q70),[5]skilldef!$C:$D,2,FALSE),"-") &amp; " / " &amp; IFERROR(VLOOKUP(MID(N70,O70,P70-O70),[5]skilldef!$A:$B,2,FALSE),"-")</f>
        <v>- / 割合ダメージ</v>
      </c>
      <c r="T70" s="46" t="str">
        <f t="shared" si="119"/>
        <v>none</v>
      </c>
      <c r="U70" s="60" t="e">
        <f t="shared" si="120"/>
        <v>#VALUE!</v>
      </c>
      <c r="V70" s="60">
        <f t="shared" si="121"/>
        <v>4</v>
      </c>
      <c r="W70" s="60" t="e">
        <f t="shared" si="122"/>
        <v>#VALUE!</v>
      </c>
      <c r="X70" s="60" t="e">
        <f t="shared" si="123"/>
        <v>#VALUE!</v>
      </c>
      <c r="Y70" s="60" t="str">
        <f>IFERROR(VLOOKUP(MID(T70,W70,X70-W70),[5]skilldef!$C:$D,2,FALSE),"-") &amp; " / " &amp; IFERROR(VLOOKUP(MID(T70,U70,V70-U70),[5]skilldef!$A:$B,2,FALSE),"-")</f>
        <v>- / -</v>
      </c>
      <c r="Z70" s="48"/>
      <c r="AA70" s="50"/>
      <c r="AB70" s="48"/>
    </row>
    <row r="71" spans="1:28" ht="31" customHeight="1" x14ac:dyDescent="0.2">
      <c r="A71" s="161">
        <v>47010078</v>
      </c>
      <c r="B71" s="162" t="s">
        <v>553</v>
      </c>
      <c r="C71" s="339">
        <v>3</v>
      </c>
      <c r="D71" s="163" t="s">
        <v>127</v>
      </c>
      <c r="E71" s="164" t="s">
        <v>292</v>
      </c>
      <c r="F71" s="164" t="s">
        <v>554</v>
      </c>
      <c r="G71" s="60" t="str">
        <f t="shared" si="109"/>
        <v>[effect:enemy_message, val1:1.5, val2:4.4]</v>
      </c>
      <c r="H71" s="60">
        <f t="shared" si="110"/>
        <v>9</v>
      </c>
      <c r="I71" s="60">
        <f t="shared" si="111"/>
        <v>22</v>
      </c>
      <c r="J71" s="60" t="e">
        <f t="shared" si="112"/>
        <v>#VALUE!</v>
      </c>
      <c r="K71" s="60">
        <f t="shared" si="113"/>
        <v>32</v>
      </c>
      <c r="L71" s="60" t="str">
        <f>IFERROR(VLOOKUP(MID(G71,J71,K71-J71),[5]skilldef!$C:$D,2,FALSE),"-") &amp; " / " &amp; IFERROR(VLOOKUP(MID(G71,H71,I71-H71),[5]skilldef!$A:$B,2,FALSE),"-")</f>
        <v>- / -</v>
      </c>
      <c r="M71" s="60" t="str">
        <f t="shared" si="114"/>
        <v>[effect:break_attack_fix, target:unit_all, val:50, lowest_val:1000, count:-1, block01:block_all, ignore01:block_heart, ignore02:crash, ignore03:crack_bomb, ignore04:color_break, ignore05:magnet, ignore06:jammer]</v>
      </c>
      <c r="N71" s="46" t="str">
        <f>IFERROR(LEFT(M71,FIND("],",M71)+#REF!),M71)</f>
        <v>[effect:break_attack_fix, target:unit_all, val:50, lowest_val:1000, count:-1, block01:block_all, ignore01:block_heart, ignore02:crash, ignore03:crack_bomb, ignore04:color_break, ignore05:magnet, ignore06:jammer]</v>
      </c>
      <c r="O71" s="60">
        <f t="shared" si="115"/>
        <v>9</v>
      </c>
      <c r="P71" s="60">
        <f t="shared" si="116"/>
        <v>25</v>
      </c>
      <c r="Q71" s="60">
        <f t="shared" si="117"/>
        <v>34</v>
      </c>
      <c r="R71" s="60">
        <f t="shared" si="118"/>
        <v>42</v>
      </c>
      <c r="S71" s="60" t="str">
        <f>IFERROR(VLOOKUP(MID(N71,Q71,R71-Q71),[5]skilldef!$C:$D,2,FALSE),"-") &amp; " / " &amp; IFERROR(VLOOKUP(MID(N71,O71,P71-O71),[5]skilldef!$A:$B,2,FALSE),"-")</f>
        <v>味方全体に / -</v>
      </c>
      <c r="T71" s="46" t="str">
        <f t="shared" si="119"/>
        <v>none</v>
      </c>
      <c r="U71" s="60" t="e">
        <f t="shared" si="120"/>
        <v>#VALUE!</v>
      </c>
      <c r="V71" s="60">
        <f t="shared" si="121"/>
        <v>4</v>
      </c>
      <c r="W71" s="60" t="e">
        <f t="shared" si="122"/>
        <v>#VALUE!</v>
      </c>
      <c r="X71" s="60" t="e">
        <f t="shared" si="123"/>
        <v>#VALUE!</v>
      </c>
      <c r="Y71" s="60" t="str">
        <f>IFERROR(VLOOKUP(MID(T71,W71,X71-W71),[5]skilldef!$C:$D,2,FALSE),"-") &amp; " / " &amp; IFERROR(VLOOKUP(MID(T71,U71,V71-U71),[5]skilldef!$A:$B,2,FALSE),"-")</f>
        <v>- / -</v>
      </c>
      <c r="Z71" s="48"/>
      <c r="AA71" s="50"/>
      <c r="AB71" s="48"/>
    </row>
    <row r="72" spans="1:28" ht="33" customHeight="1" x14ac:dyDescent="0.2">
      <c r="A72" s="165">
        <v>47010079</v>
      </c>
      <c r="B72" s="166" t="s">
        <v>427</v>
      </c>
      <c r="C72" s="339">
        <v>3</v>
      </c>
      <c r="D72" s="167" t="s">
        <v>127</v>
      </c>
      <c r="E72" s="168" t="s">
        <v>393</v>
      </c>
      <c r="F72" s="168" t="s">
        <v>520</v>
      </c>
      <c r="G72" s="60" t="str">
        <f t="shared" si="109"/>
        <v>[effect:enemy_message, val1:1.5, val2:3.0]</v>
      </c>
      <c r="H72" s="60">
        <f t="shared" si="110"/>
        <v>9</v>
      </c>
      <c r="I72" s="60">
        <f t="shared" si="111"/>
        <v>22</v>
      </c>
      <c r="J72" s="60" t="e">
        <f t="shared" si="112"/>
        <v>#VALUE!</v>
      </c>
      <c r="K72" s="60">
        <f t="shared" si="113"/>
        <v>32</v>
      </c>
      <c r="L72" s="60" t="str">
        <f>IFERROR(VLOOKUP(MID(G72,J72,K72-J72),[5]skilldef!$C:$D,2,FALSE),"-") &amp; " / " &amp; IFERROR(VLOOKUP(MID(G72,H72,I72-H72),[5]skilldef!$A:$B,2,FALSE),"-")</f>
        <v>- / -</v>
      </c>
      <c r="M72" s="60" t="str">
        <f t="shared" si="114"/>
        <v>[effect:damage_gravity, val:0.99, animation:fevergauge_down],[effect:suicide, target:myself, val:0.1]</v>
      </c>
      <c r="N72" s="46" t="str">
        <f>IFERROR(LEFT(M72,FIND("],",M72)+#REF!),M72)</f>
        <v>[effect:damage_gravity, val:0.99, animation:fevergauge_down],[effect:suicide, target:myself, val:0.1]</v>
      </c>
      <c r="O72" s="60">
        <f t="shared" si="115"/>
        <v>9</v>
      </c>
      <c r="P72" s="60">
        <f t="shared" si="116"/>
        <v>23</v>
      </c>
      <c r="Q72" s="60">
        <f t="shared" si="117"/>
        <v>86</v>
      </c>
      <c r="R72" s="60">
        <f t="shared" si="118"/>
        <v>33</v>
      </c>
      <c r="S72" s="60" t="str">
        <f>IFERROR(VLOOKUP(MID(N72,Q72,R72-Q72),[5]skilldef!$C:$D,2,FALSE),"-") &amp; " / " &amp; IFERROR(VLOOKUP(MID(N72,O72,P72-O72),[5]skilldef!$A:$B,2,FALSE),"-")</f>
        <v>- / 割合ダメージ</v>
      </c>
      <c r="T72" s="46" t="str">
        <f t="shared" si="119"/>
        <v>[effect:suicide, target:myself, val:0.1]</v>
      </c>
      <c r="U72" s="60">
        <f t="shared" si="120"/>
        <v>9</v>
      </c>
      <c r="V72" s="60">
        <f t="shared" si="121"/>
        <v>16</v>
      </c>
      <c r="W72" s="60">
        <f t="shared" si="122"/>
        <v>25</v>
      </c>
      <c r="X72" s="60">
        <f t="shared" si="123"/>
        <v>31</v>
      </c>
      <c r="Y72" s="60" t="str">
        <f>IFERROR(VLOOKUP(MID(T72,W72,X72-W72),[5]skilldef!$C:$D,2,FALSE),"-") &amp; " / " &amp; IFERROR(VLOOKUP(MID(T72,U72,V72-U72),[5]skilldef!$A:$B,2,FALSE),"-")</f>
        <v>自分自身に / -</v>
      </c>
      <c r="Z72" s="48"/>
      <c r="AA72" s="50"/>
      <c r="AB72" s="48"/>
    </row>
    <row r="73" spans="1:28" ht="32" customHeight="1" x14ac:dyDescent="0.2">
      <c r="A73" s="161">
        <v>47010080</v>
      </c>
      <c r="B73" s="162" t="s">
        <v>543</v>
      </c>
      <c r="C73" s="339">
        <v>3</v>
      </c>
      <c r="D73" s="163" t="s">
        <v>127</v>
      </c>
      <c r="E73" s="164" t="s">
        <v>394</v>
      </c>
      <c r="F73" s="164" t="s">
        <v>405</v>
      </c>
      <c r="G73" s="60" t="str">
        <f t="shared" si="109"/>
        <v>[effect:enemy_message, val1:2.2, val2:1.7]</v>
      </c>
      <c r="H73" s="60">
        <f t="shared" si="110"/>
        <v>9</v>
      </c>
      <c r="I73" s="60">
        <f t="shared" si="111"/>
        <v>22</v>
      </c>
      <c r="J73" s="60" t="e">
        <f t="shared" si="112"/>
        <v>#VALUE!</v>
      </c>
      <c r="K73" s="60">
        <f t="shared" si="113"/>
        <v>32</v>
      </c>
      <c r="L73" s="60" t="str">
        <f>IFERROR(VLOOKUP(MID(G73,J73,K73-J73),[5]skilldef!$C:$D,2,FALSE),"-") &amp; " / " &amp; IFERROR(VLOOKUP(MID(G73,H73,I73-H73),[5]skilldef!$A:$B,2,FALSE),"-")</f>
        <v>- / -</v>
      </c>
      <c r="M73" s="60" t="str">
        <f t="shared" si="114"/>
        <v>[effect:force_change_block, new_block:block_heart, target:block_all, count:0, val:0]</v>
      </c>
      <c r="N73" s="46" t="str">
        <f>IFERROR(LEFT(M73,FIND("],",M73)+#REF!),M73)</f>
        <v>[effect:force_change_block, new_block:block_heart, target:block_all, count:0, val:0]</v>
      </c>
      <c r="O73" s="60">
        <f t="shared" si="115"/>
        <v>9</v>
      </c>
      <c r="P73" s="60">
        <f t="shared" si="116"/>
        <v>27</v>
      </c>
      <c r="Q73" s="60">
        <f t="shared" si="117"/>
        <v>59</v>
      </c>
      <c r="R73" s="60">
        <f t="shared" si="118"/>
        <v>50</v>
      </c>
      <c r="S73" s="60" t="str">
        <f>IFERROR(VLOOKUP(MID(N73,Q73,R73-Q73),[5]skilldef!$C:$D,2,FALSE),"-") &amp; " / " &amp; IFERROR(VLOOKUP(MID(N73,O73,P73-O73),[5]skilldef!$A:$B,2,FALSE),"-")</f>
        <v>- / -</v>
      </c>
      <c r="T73" s="46" t="str">
        <f t="shared" si="119"/>
        <v>none</v>
      </c>
      <c r="U73" s="60" t="e">
        <f t="shared" si="120"/>
        <v>#VALUE!</v>
      </c>
      <c r="V73" s="60">
        <f t="shared" si="121"/>
        <v>4</v>
      </c>
      <c r="W73" s="60" t="e">
        <f t="shared" si="122"/>
        <v>#VALUE!</v>
      </c>
      <c r="X73" s="60" t="e">
        <f t="shared" si="123"/>
        <v>#VALUE!</v>
      </c>
      <c r="Y73" s="60" t="str">
        <f>IFERROR(VLOOKUP(MID(T73,W73,X73-W73),[5]skilldef!$C:$D,2,FALSE),"-") &amp; " / " &amp; IFERROR(VLOOKUP(MID(T73,U73,V73-U73),[5]skilldef!$A:$B,2,FALSE),"-")</f>
        <v>- / -</v>
      </c>
      <c r="Z73" s="48"/>
      <c r="AA73" s="50"/>
      <c r="AB73" s="48"/>
    </row>
    <row r="74" spans="1:28" ht="30" customHeight="1" x14ac:dyDescent="0.2">
      <c r="A74" s="161">
        <v>47010081</v>
      </c>
      <c r="B74" s="162" t="s">
        <v>489</v>
      </c>
      <c r="C74" s="339">
        <v>3</v>
      </c>
      <c r="D74" s="163" t="s">
        <v>127</v>
      </c>
      <c r="E74" s="164" t="s">
        <v>395</v>
      </c>
      <c r="F74" s="164" t="s">
        <v>404</v>
      </c>
      <c r="G74" s="60" t="str">
        <f t="shared" si="109"/>
        <v>[effect:enemy_message, val1:2.2, val2:1.4]</v>
      </c>
      <c r="H74" s="60">
        <f t="shared" si="110"/>
        <v>9</v>
      </c>
      <c r="I74" s="60">
        <f t="shared" si="111"/>
        <v>22</v>
      </c>
      <c r="J74" s="60" t="e">
        <f t="shared" si="112"/>
        <v>#VALUE!</v>
      </c>
      <c r="K74" s="60">
        <f t="shared" si="113"/>
        <v>32</v>
      </c>
      <c r="L74" s="60" t="str">
        <f>IFERROR(VLOOKUP(MID(G74,J74,K74-J74),[5]skilldef!$C:$D,2,FALSE),"-") &amp; " / " &amp; IFERROR(VLOOKUP(MID(G74,H74,I74-H74),[5]skilldef!$A:$B,2,FALSE),"-")</f>
        <v>- / -</v>
      </c>
      <c r="M74" s="60" t="str">
        <f t="shared" si="114"/>
        <v>[effect:spread, val:0.25]</v>
      </c>
      <c r="N74" s="46" t="str">
        <f>IFERROR(LEFT(M74,FIND("],",M74)+#REF!),M74)</f>
        <v>[effect:spread, val:0.25]</v>
      </c>
      <c r="O74" s="60">
        <f t="shared" si="115"/>
        <v>9</v>
      </c>
      <c r="P74" s="60">
        <f t="shared" si="116"/>
        <v>15</v>
      </c>
      <c r="Q74" s="60" t="e">
        <f t="shared" si="117"/>
        <v>#VALUE!</v>
      </c>
      <c r="R74" s="60" t="e">
        <f t="shared" si="118"/>
        <v>#VALUE!</v>
      </c>
      <c r="S74" s="60" t="str">
        <f>IFERROR(VLOOKUP(MID(N74,Q74,R74-Q74),[5]skilldef!$C:$D,2,FALSE),"-") &amp; " / " &amp; IFERROR(VLOOKUP(MID(N74,O74,P74-O74),[5]skilldef!$A:$B,2,FALSE),"-")</f>
        <v>- / 全体攻撃</v>
      </c>
      <c r="T74" s="46" t="str">
        <f t="shared" si="119"/>
        <v>none</v>
      </c>
      <c r="U74" s="60" t="e">
        <f t="shared" si="120"/>
        <v>#VALUE!</v>
      </c>
      <c r="V74" s="60">
        <f t="shared" si="121"/>
        <v>4</v>
      </c>
      <c r="W74" s="60" t="e">
        <f t="shared" si="122"/>
        <v>#VALUE!</v>
      </c>
      <c r="X74" s="60" t="e">
        <f t="shared" si="123"/>
        <v>#VALUE!</v>
      </c>
      <c r="Y74" s="60" t="str">
        <f>IFERROR(VLOOKUP(MID(T74,W74,X74-W74),[5]skilldef!$C:$D,2,FALSE),"-") &amp; " / " &amp; IFERROR(VLOOKUP(MID(T74,U74,V74-U74),[5]skilldef!$A:$B,2,FALSE),"-")</f>
        <v>- / -</v>
      </c>
      <c r="Z74" s="48"/>
      <c r="AA74" s="50"/>
      <c r="AB74" s="48"/>
    </row>
    <row r="75" spans="1:28" ht="32" customHeight="1" x14ac:dyDescent="0.2">
      <c r="A75" s="161">
        <v>47010082</v>
      </c>
      <c r="B75" s="162" t="s">
        <v>490</v>
      </c>
      <c r="C75" s="339">
        <v>3</v>
      </c>
      <c r="D75" s="163" t="s">
        <v>127</v>
      </c>
      <c r="E75" s="164" t="s">
        <v>396</v>
      </c>
      <c r="F75" s="164" t="s">
        <v>404</v>
      </c>
      <c r="G75" s="60" t="str">
        <f t="shared" si="109"/>
        <v>[effect:enemy_message, val1:1.7, val2:1.4]</v>
      </c>
      <c r="H75" s="60">
        <f t="shared" si="110"/>
        <v>9</v>
      </c>
      <c r="I75" s="60">
        <f t="shared" si="111"/>
        <v>22</v>
      </c>
      <c r="J75" s="60" t="e">
        <f t="shared" si="112"/>
        <v>#VALUE!</v>
      </c>
      <c r="K75" s="60">
        <f t="shared" si="113"/>
        <v>32</v>
      </c>
      <c r="L75" s="60" t="str">
        <f>IFERROR(VLOOKUP(MID(G75,J75,K75-J75),[5]skilldef!$C:$D,2,FALSE),"-") &amp; " / " &amp; IFERROR(VLOOKUP(MID(G75,H75,I75-H75),[5]skilldef!$A:$B,2,FALSE),"-")</f>
        <v>- / -</v>
      </c>
      <c r="M75" s="60" t="str">
        <f t="shared" si="114"/>
        <v>[effect:spread, val:0.35]</v>
      </c>
      <c r="N75" s="46" t="str">
        <f>IFERROR(LEFT(M75,FIND("],",M75)+#REF!),M75)</f>
        <v>[effect:spread, val:0.35]</v>
      </c>
      <c r="O75" s="60">
        <f t="shared" si="115"/>
        <v>9</v>
      </c>
      <c r="P75" s="60">
        <f t="shared" si="116"/>
        <v>15</v>
      </c>
      <c r="Q75" s="60" t="e">
        <f t="shared" si="117"/>
        <v>#VALUE!</v>
      </c>
      <c r="R75" s="60" t="e">
        <f t="shared" si="118"/>
        <v>#VALUE!</v>
      </c>
      <c r="S75" s="60" t="str">
        <f>IFERROR(VLOOKUP(MID(N75,Q75,R75-Q75),[5]skilldef!$C:$D,2,FALSE),"-") &amp; " / " &amp; IFERROR(VLOOKUP(MID(N75,O75,P75-O75),[5]skilldef!$A:$B,2,FALSE),"-")</f>
        <v>- / 全体攻撃</v>
      </c>
      <c r="T75" s="46" t="str">
        <f t="shared" si="119"/>
        <v>none</v>
      </c>
      <c r="U75" s="60" t="e">
        <f t="shared" si="120"/>
        <v>#VALUE!</v>
      </c>
      <c r="V75" s="60">
        <f t="shared" si="121"/>
        <v>4</v>
      </c>
      <c r="W75" s="60" t="e">
        <f t="shared" si="122"/>
        <v>#VALUE!</v>
      </c>
      <c r="X75" s="60" t="e">
        <f t="shared" si="123"/>
        <v>#VALUE!</v>
      </c>
      <c r="Y75" s="60" t="str">
        <f>IFERROR(VLOOKUP(MID(T75,W75,X75-W75),[5]skilldef!$C:$D,2,FALSE),"-") &amp; " / " &amp; IFERROR(VLOOKUP(MID(T75,U75,V75-U75),[5]skilldef!$A:$B,2,FALSE),"-")</f>
        <v>- / -</v>
      </c>
      <c r="Z75" s="48"/>
      <c r="AA75" s="50"/>
      <c r="AB75" s="48"/>
    </row>
    <row r="76" spans="1:28" ht="44" customHeight="1" x14ac:dyDescent="0.2">
      <c r="A76" s="161">
        <v>47010083</v>
      </c>
      <c r="B76" s="162" t="s">
        <v>491</v>
      </c>
      <c r="C76" s="339">
        <v>3</v>
      </c>
      <c r="D76" s="163" t="s">
        <v>127</v>
      </c>
      <c r="E76" s="164" t="s">
        <v>397</v>
      </c>
      <c r="F76" s="164" t="s">
        <v>470</v>
      </c>
      <c r="G76" s="60" t="str">
        <f t="shared" si="109"/>
        <v>[effect:enemy_message, val1:2.0, val2:3.0]</v>
      </c>
      <c r="H76" s="60">
        <f t="shared" si="110"/>
        <v>9</v>
      </c>
      <c r="I76" s="60">
        <f t="shared" si="111"/>
        <v>22</v>
      </c>
      <c r="J76" s="60" t="e">
        <f t="shared" si="112"/>
        <v>#VALUE!</v>
      </c>
      <c r="K76" s="60">
        <f t="shared" si="113"/>
        <v>32</v>
      </c>
      <c r="L76" s="60" t="str">
        <f>IFERROR(VLOOKUP(MID(G76,J76,K76-J76),[5]skilldef!$C:$D,2,FALSE),"-") &amp; " / " &amp; IFERROR(VLOOKUP(MID(G76,H76,I76-H76),[5]skilldef!$A:$B,2,FALSE),"-")</f>
        <v>- / -</v>
      </c>
      <c r="M76" s="60" t="str">
        <f t="shared" si="114"/>
        <v>[effect:spread, val:0.45]</v>
      </c>
      <c r="N76" s="46" t="str">
        <f>IFERROR(LEFT(M76,FIND("],",M76)+#REF!),M76)</f>
        <v>[effect:spread, val:0.45]</v>
      </c>
      <c r="O76" s="60">
        <f t="shared" si="115"/>
        <v>9</v>
      </c>
      <c r="P76" s="60">
        <f t="shared" si="116"/>
        <v>15</v>
      </c>
      <c r="Q76" s="60" t="e">
        <f t="shared" si="117"/>
        <v>#VALUE!</v>
      </c>
      <c r="R76" s="60" t="e">
        <f t="shared" si="118"/>
        <v>#VALUE!</v>
      </c>
      <c r="S76" s="60" t="str">
        <f>IFERROR(VLOOKUP(MID(N76,Q76,R76-Q76),[5]skilldef!$C:$D,2,FALSE),"-") &amp; " / " &amp; IFERROR(VLOOKUP(MID(N76,O76,P76-O76),[5]skilldef!$A:$B,2,FALSE),"-")</f>
        <v>- / 全体攻撃</v>
      </c>
      <c r="T76" s="46" t="str">
        <f t="shared" si="119"/>
        <v>none</v>
      </c>
      <c r="U76" s="60" t="e">
        <f t="shared" si="120"/>
        <v>#VALUE!</v>
      </c>
      <c r="V76" s="60">
        <f t="shared" si="121"/>
        <v>4</v>
      </c>
      <c r="W76" s="60" t="e">
        <f t="shared" si="122"/>
        <v>#VALUE!</v>
      </c>
      <c r="X76" s="60" t="e">
        <f t="shared" si="123"/>
        <v>#VALUE!</v>
      </c>
      <c r="Y76" s="60" t="str">
        <f>IFERROR(VLOOKUP(MID(T76,W76,X76-W76),[5]skilldef!$C:$D,2,FALSE),"-") &amp; " / " &amp; IFERROR(VLOOKUP(MID(T76,U76,V76-U76),[5]skilldef!$A:$B,2,FALSE),"-")</f>
        <v>- / -</v>
      </c>
      <c r="Z76" s="48"/>
      <c r="AA76" s="50"/>
      <c r="AB76" s="48"/>
    </row>
    <row r="77" spans="1:28" ht="21" customHeight="1" x14ac:dyDescent="0.2">
      <c r="A77" s="161">
        <v>47010084</v>
      </c>
      <c r="B77" s="162" t="s">
        <v>493</v>
      </c>
      <c r="C77" s="339">
        <v>3</v>
      </c>
      <c r="D77" s="163" t="s">
        <v>127</v>
      </c>
      <c r="E77" s="164" t="s">
        <v>398</v>
      </c>
      <c r="F77" s="164" t="s">
        <v>402</v>
      </c>
      <c r="G77" s="60" t="str">
        <f t="shared" si="109"/>
        <v>[effect:enemy_message, val1:1.4, val2:1.6]</v>
      </c>
      <c r="H77" s="60">
        <f t="shared" si="110"/>
        <v>9</v>
      </c>
      <c r="I77" s="60">
        <f t="shared" si="111"/>
        <v>22</v>
      </c>
      <c r="J77" s="60" t="e">
        <f t="shared" si="112"/>
        <v>#VALUE!</v>
      </c>
      <c r="K77" s="60">
        <f t="shared" si="113"/>
        <v>32</v>
      </c>
      <c r="L77" s="60" t="str">
        <f>IFERROR(VLOOKUP(MID(G77,J77,K77-J77),[5]skilldef!$C:$D,2,FALSE),"-") &amp; " / " &amp; IFERROR(VLOOKUP(MID(G77,H77,I77-H77),[5]skilldef!$A:$B,2,FALSE),"-")</f>
        <v>- / -</v>
      </c>
      <c r="M77" s="60" t="str">
        <f t="shared" si="114"/>
        <v>[effect:spread, val:0.55],[effect:spread, val:0.55]</v>
      </c>
      <c r="N77" s="46" t="str">
        <f>IFERROR(LEFT(M77,FIND("],",M77)+#REF!),M77)</f>
        <v>[effect:spread, val:0.55],[effect:spread, val:0.55]</v>
      </c>
      <c r="O77" s="60">
        <f t="shared" si="115"/>
        <v>9</v>
      </c>
      <c r="P77" s="60">
        <f t="shared" si="116"/>
        <v>15</v>
      </c>
      <c r="Q77" s="60" t="e">
        <f t="shared" si="117"/>
        <v>#VALUE!</v>
      </c>
      <c r="R77" s="60">
        <f t="shared" si="118"/>
        <v>26</v>
      </c>
      <c r="S77" s="60" t="str">
        <f>IFERROR(VLOOKUP(MID(N77,Q77,R77-Q77),[5]skilldef!$C:$D,2,FALSE),"-") &amp; " / " &amp; IFERROR(VLOOKUP(MID(N77,O77,P77-O77),[5]skilldef!$A:$B,2,FALSE),"-")</f>
        <v>- / 全体攻撃</v>
      </c>
      <c r="T77" s="46" t="str">
        <f t="shared" si="119"/>
        <v>[effect:spread, val:0.55]</v>
      </c>
      <c r="U77" s="60">
        <f t="shared" si="120"/>
        <v>9</v>
      </c>
      <c r="V77" s="60">
        <f t="shared" si="121"/>
        <v>15</v>
      </c>
      <c r="W77" s="60" t="e">
        <f t="shared" si="122"/>
        <v>#VALUE!</v>
      </c>
      <c r="X77" s="60" t="e">
        <f t="shared" si="123"/>
        <v>#VALUE!</v>
      </c>
      <c r="Y77" s="60" t="str">
        <f>IFERROR(VLOOKUP(MID(T77,W77,X77-W77),[5]skilldef!$C:$D,2,FALSE),"-") &amp; " / " &amp; IFERROR(VLOOKUP(MID(T77,U77,V77-U77),[5]skilldef!$A:$B,2,FALSE),"-")</f>
        <v>- / 全体攻撃</v>
      </c>
      <c r="Z77" s="48"/>
      <c r="AA77" s="50"/>
      <c r="AB77" s="48"/>
    </row>
    <row r="78" spans="1:28" ht="35" customHeight="1" x14ac:dyDescent="0.2">
      <c r="A78" s="161">
        <v>47010085</v>
      </c>
      <c r="B78" s="162" t="s">
        <v>494</v>
      </c>
      <c r="C78" s="339">
        <v>3</v>
      </c>
      <c r="D78" s="163" t="s">
        <v>127</v>
      </c>
      <c r="E78" s="164" t="s">
        <v>375</v>
      </c>
      <c r="F78" s="164" t="s">
        <v>403</v>
      </c>
      <c r="G78" s="60" t="str">
        <f t="shared" si="109"/>
        <v>[effect:enemy_message, val1:1.9, val2:2.0]</v>
      </c>
      <c r="H78" s="60">
        <f t="shared" si="110"/>
        <v>9</v>
      </c>
      <c r="I78" s="60">
        <f t="shared" si="111"/>
        <v>22</v>
      </c>
      <c r="J78" s="60" t="e">
        <f t="shared" si="112"/>
        <v>#VALUE!</v>
      </c>
      <c r="K78" s="60">
        <f t="shared" si="113"/>
        <v>32</v>
      </c>
      <c r="L78" s="60" t="str">
        <f>IFERROR(VLOOKUP(MID(G78,J78,K78-J78),[5]skilldef!$C:$D,2,FALSE),"-") &amp; " / " &amp; IFERROR(VLOOKUP(MID(G78,H78,I78-H78),[5]skilldef!$A:$B,2,FALSE),"-")</f>
        <v>- / -</v>
      </c>
      <c r="M78" s="60" t="str">
        <f t="shared" si="114"/>
        <v>none</v>
      </c>
      <c r="N78" s="46" t="str">
        <f>IFERROR(LEFT(M78,FIND("],",M78)+#REF!),M78)</f>
        <v>none</v>
      </c>
      <c r="O78" s="60" t="e">
        <f t="shared" si="115"/>
        <v>#VALUE!</v>
      </c>
      <c r="P78" s="60">
        <f t="shared" si="116"/>
        <v>4</v>
      </c>
      <c r="Q78" s="60" t="e">
        <f t="shared" si="117"/>
        <v>#VALUE!</v>
      </c>
      <c r="R78" s="60" t="e">
        <f t="shared" si="118"/>
        <v>#VALUE!</v>
      </c>
      <c r="S78" s="60" t="str">
        <f>IFERROR(VLOOKUP(MID(N78,Q78,R78-Q78),[5]skilldef!$C:$D,2,FALSE),"-") &amp; " / " &amp; IFERROR(VLOOKUP(MID(N78,O78,P78-O78),[5]skilldef!$A:$B,2,FALSE),"-")</f>
        <v>- / -</v>
      </c>
      <c r="T78" s="46" t="str">
        <f t="shared" si="119"/>
        <v>none</v>
      </c>
      <c r="U78" s="60" t="e">
        <f t="shared" si="120"/>
        <v>#VALUE!</v>
      </c>
      <c r="V78" s="60">
        <f t="shared" si="121"/>
        <v>4</v>
      </c>
      <c r="W78" s="60" t="e">
        <f t="shared" si="122"/>
        <v>#VALUE!</v>
      </c>
      <c r="X78" s="60" t="e">
        <f t="shared" si="123"/>
        <v>#VALUE!</v>
      </c>
      <c r="Y78" s="60" t="str">
        <f>IFERROR(VLOOKUP(MID(T78,W78,X78-W78),[5]skilldef!$C:$D,2,FALSE),"-") &amp; " / " &amp; IFERROR(VLOOKUP(MID(T78,U78,V78-U78),[5]skilldef!$A:$B,2,FALSE),"-")</f>
        <v>- / -</v>
      </c>
      <c r="Z78" s="48"/>
      <c r="AA78" s="50"/>
      <c r="AB78" s="48"/>
    </row>
    <row r="79" spans="1:28" ht="21" customHeight="1" x14ac:dyDescent="0.2">
      <c r="A79" s="161">
        <v>47010086</v>
      </c>
      <c r="B79" s="162" t="s">
        <v>492</v>
      </c>
      <c r="C79" s="339">
        <v>3</v>
      </c>
      <c r="D79" s="163" t="s">
        <v>127</v>
      </c>
      <c r="E79" s="164" t="s">
        <v>399</v>
      </c>
      <c r="F79" s="164" t="s">
        <v>545</v>
      </c>
      <c r="G79" s="60" t="str">
        <f t="shared" si="109"/>
        <v>[effect:enemy_message, val1:1.9, val2:1.6]</v>
      </c>
      <c r="H79" s="60">
        <f t="shared" si="110"/>
        <v>9</v>
      </c>
      <c r="I79" s="60">
        <f t="shared" si="111"/>
        <v>22</v>
      </c>
      <c r="J79" s="60" t="e">
        <f t="shared" si="112"/>
        <v>#VALUE!</v>
      </c>
      <c r="K79" s="60">
        <f t="shared" si="113"/>
        <v>32</v>
      </c>
      <c r="L79" s="60" t="str">
        <f>IFERROR(VLOOKUP(MID(G79,J79,K79-J79),[5]skilldef!$C:$D,2,FALSE),"-") &amp; " / " &amp; IFERROR(VLOOKUP(MID(G79,H79,I79-H79),[5]skilldef!$A:$B,2,FALSE),"-")</f>
        <v>- / -</v>
      </c>
      <c r="M79" s="60" t="str">
        <f t="shared" si="114"/>
        <v>[effect:spread, val:0.66],[effect:spread, val:0.66],[effect:spread, val:0.66]</v>
      </c>
      <c r="N79" s="46" t="str">
        <f>IFERROR(LEFT(M79,FIND("],",M79)+#REF!),M79)</f>
        <v>[effect:spread, val:0.66],[effect:spread, val:0.66],[effect:spread, val:0.66]</v>
      </c>
      <c r="O79" s="60">
        <f t="shared" si="115"/>
        <v>9</v>
      </c>
      <c r="P79" s="60">
        <f t="shared" si="116"/>
        <v>15</v>
      </c>
      <c r="Q79" s="60" t="e">
        <f t="shared" si="117"/>
        <v>#VALUE!</v>
      </c>
      <c r="R79" s="60">
        <f t="shared" si="118"/>
        <v>26</v>
      </c>
      <c r="S79" s="60" t="str">
        <f>IFERROR(VLOOKUP(MID(N79,Q79,R79-Q79),[5]skilldef!$C:$D,2,FALSE),"-") &amp; " / " &amp; IFERROR(VLOOKUP(MID(N79,O79,P79-O79),[5]skilldef!$A:$B,2,FALSE),"-")</f>
        <v>- / 全体攻撃</v>
      </c>
      <c r="T79" s="46" t="str">
        <f t="shared" si="119"/>
        <v>[effect:spread, val:0.66],[effect:spread, val:0.66]</v>
      </c>
      <c r="U79" s="60">
        <f t="shared" si="120"/>
        <v>9</v>
      </c>
      <c r="V79" s="60">
        <f t="shared" si="121"/>
        <v>15</v>
      </c>
      <c r="W79" s="60" t="e">
        <f t="shared" si="122"/>
        <v>#VALUE!</v>
      </c>
      <c r="X79" s="60">
        <f t="shared" si="123"/>
        <v>26</v>
      </c>
      <c r="Y79" s="60" t="str">
        <f>IFERROR(VLOOKUP(MID(T79,W79,X79-W79),[5]skilldef!$C:$D,2,FALSE),"-") &amp; " / " &amp; IFERROR(VLOOKUP(MID(T79,U79,V79-U79),[5]skilldef!$A:$B,2,FALSE),"-")</f>
        <v>- / 全体攻撃</v>
      </c>
      <c r="Z79" s="48"/>
      <c r="AA79" s="50"/>
      <c r="AB79" s="48"/>
    </row>
    <row r="80" spans="1:28" ht="31" customHeight="1" thickBot="1" x14ac:dyDescent="0.25">
      <c r="A80" s="161">
        <v>47010087</v>
      </c>
      <c r="B80" s="162" t="s">
        <v>495</v>
      </c>
      <c r="C80" s="339">
        <v>3</v>
      </c>
      <c r="D80" s="163" t="s">
        <v>127</v>
      </c>
      <c r="E80" s="164" t="s">
        <v>357</v>
      </c>
      <c r="F80" s="164" t="s">
        <v>359</v>
      </c>
      <c r="G80" s="150" t="str">
        <f t="shared" si="109"/>
        <v>[effect:enemy_message, val1:1.7, val2:3.9]</v>
      </c>
      <c r="H80" s="150">
        <f t="shared" si="110"/>
        <v>9</v>
      </c>
      <c r="I80" s="150">
        <f t="shared" si="111"/>
        <v>22</v>
      </c>
      <c r="J80" s="150" t="e">
        <f t="shared" si="112"/>
        <v>#VALUE!</v>
      </c>
      <c r="K80" s="150">
        <f t="shared" si="113"/>
        <v>32</v>
      </c>
      <c r="L80" s="150" t="str">
        <f>IFERROR(VLOOKUP(MID(G80,J80,K80-J80),[5]skilldef!$C:$D,2,FALSE),"-") &amp; " / " &amp; IFERROR(VLOOKUP(MID(G80,H80,I80-H80),[5]skilldef!$A:$B,2,FALSE),"-")</f>
        <v>- / -</v>
      </c>
      <c r="M80" s="150" t="str">
        <f t="shared" si="114"/>
        <v>none</v>
      </c>
      <c r="N80" s="151" t="str">
        <f>IFERROR(LEFT(M80,FIND("],",M80)+#REF!),M80)</f>
        <v>none</v>
      </c>
      <c r="O80" s="150" t="e">
        <f t="shared" si="115"/>
        <v>#VALUE!</v>
      </c>
      <c r="P80" s="150">
        <f t="shared" si="116"/>
        <v>4</v>
      </c>
      <c r="Q80" s="150" t="e">
        <f t="shared" si="117"/>
        <v>#VALUE!</v>
      </c>
      <c r="R80" s="150" t="e">
        <f t="shared" si="118"/>
        <v>#VALUE!</v>
      </c>
      <c r="S80" s="150" t="str">
        <f>IFERROR(VLOOKUP(MID(N80,Q80,R80-Q80),[5]skilldef!$C:$D,2,FALSE),"-") &amp; " / " &amp; IFERROR(VLOOKUP(MID(N80,O80,P80-O80),[5]skilldef!$A:$B,2,FALSE),"-")</f>
        <v>- / -</v>
      </c>
      <c r="T80" s="151" t="str">
        <f t="shared" si="119"/>
        <v>none</v>
      </c>
      <c r="U80" s="150" t="e">
        <f t="shared" si="120"/>
        <v>#VALUE!</v>
      </c>
      <c r="V80" s="150">
        <f t="shared" si="121"/>
        <v>4</v>
      </c>
      <c r="W80" s="150" t="e">
        <f t="shared" si="122"/>
        <v>#VALUE!</v>
      </c>
      <c r="X80" s="150" t="e">
        <f t="shared" si="123"/>
        <v>#VALUE!</v>
      </c>
      <c r="Y80" s="150" t="str">
        <f>IFERROR(VLOOKUP(MID(T80,W80,X80-W80),[5]skilldef!$C:$D,2,FALSE),"-") &amp; " / " &amp; IFERROR(VLOOKUP(MID(T80,U80,V80-U80),[5]skilldef!$A:$B,2,FALSE),"-")</f>
        <v>- / -</v>
      </c>
      <c r="Z80" s="152"/>
      <c r="AA80" s="153"/>
      <c r="AB80" s="152"/>
    </row>
    <row r="81" spans="1:28" ht="31" customHeight="1" thickTop="1" thickBot="1" x14ac:dyDescent="0.25">
      <c r="A81" s="146">
        <v>47010088</v>
      </c>
      <c r="B81" s="179" t="s">
        <v>496</v>
      </c>
      <c r="C81" s="341">
        <v>3</v>
      </c>
      <c r="D81" s="180" t="s">
        <v>127</v>
      </c>
      <c r="E81" s="181" t="s">
        <v>400</v>
      </c>
      <c r="F81" s="181" t="s">
        <v>401</v>
      </c>
      <c r="G81" s="150" t="str">
        <f t="shared" si="109"/>
        <v>[effect:enemy_message, val1:2.4, val2:3.0, dead_type:escape]</v>
      </c>
      <c r="H81" s="150">
        <f t="shared" si="110"/>
        <v>9</v>
      </c>
      <c r="I81" s="150">
        <f t="shared" si="111"/>
        <v>22</v>
      </c>
      <c r="J81" s="150" t="e">
        <f t="shared" si="112"/>
        <v>#VALUE!</v>
      </c>
      <c r="K81" s="150">
        <f t="shared" si="113"/>
        <v>32</v>
      </c>
      <c r="L81" s="150" t="str">
        <f>IFERROR(VLOOKUP(MID(G81,J81,K81-J81),[5]skilldef!$C:$D,2,FALSE),"-") &amp; " / " &amp; IFERROR(VLOOKUP(MID(G81,H81,I81-H81),[5]skilldef!$A:$B,2,FALSE),"-")</f>
        <v>- / -</v>
      </c>
      <c r="M81" s="150" t="str">
        <f t="shared" si="114"/>
        <v>none</v>
      </c>
      <c r="N81" s="151" t="str">
        <f>IFERROR(LEFT(M81,FIND("],",M81)+#REF!),M81)</f>
        <v>none</v>
      </c>
      <c r="O81" s="150" t="e">
        <f t="shared" si="115"/>
        <v>#VALUE!</v>
      </c>
      <c r="P81" s="150">
        <f t="shared" si="116"/>
        <v>4</v>
      </c>
      <c r="Q81" s="150" t="e">
        <f t="shared" si="117"/>
        <v>#VALUE!</v>
      </c>
      <c r="R81" s="150" t="e">
        <f t="shared" si="118"/>
        <v>#VALUE!</v>
      </c>
      <c r="S81" s="150" t="str">
        <f>IFERROR(VLOOKUP(MID(N81,Q81,R81-Q81),[5]skilldef!$C:$D,2,FALSE),"-") &amp; " / " &amp; IFERROR(VLOOKUP(MID(N81,O81,P81-O81),[5]skilldef!$A:$B,2,FALSE),"-")</f>
        <v>- / -</v>
      </c>
      <c r="T81" s="151" t="str">
        <f t="shared" si="119"/>
        <v>none</v>
      </c>
      <c r="U81" s="150" t="e">
        <f t="shared" si="120"/>
        <v>#VALUE!</v>
      </c>
      <c r="V81" s="150">
        <f t="shared" si="121"/>
        <v>4</v>
      </c>
      <c r="W81" s="150" t="e">
        <f t="shared" si="122"/>
        <v>#VALUE!</v>
      </c>
      <c r="X81" s="150" t="e">
        <f t="shared" si="123"/>
        <v>#VALUE!</v>
      </c>
      <c r="Y81" s="150" t="str">
        <f>IFERROR(VLOOKUP(MID(T81,W81,X81-W81),[5]skilldef!$C:$D,2,FALSE),"-") &amp; " / " &amp; IFERROR(VLOOKUP(MID(T81,U81,V81-U81),[5]skilldef!$A:$B,2,FALSE),"-")</f>
        <v>- / -</v>
      </c>
      <c r="Z81" s="152"/>
      <c r="AA81" s="153"/>
      <c r="AB81" s="152"/>
    </row>
    <row r="82" spans="1:28" ht="35" customHeight="1" thickTop="1" x14ac:dyDescent="0.2">
      <c r="A82" s="140">
        <v>47010101</v>
      </c>
      <c r="B82" s="142" t="s">
        <v>565</v>
      </c>
      <c r="C82" s="339">
        <v>3</v>
      </c>
      <c r="D82" s="48" t="s">
        <v>127</v>
      </c>
      <c r="E82" s="49" t="s">
        <v>348</v>
      </c>
      <c r="F82" s="49" t="s">
        <v>431</v>
      </c>
      <c r="G82" s="60" t="str">
        <f t="shared" si="109"/>
        <v>[effect:enemy_message, val1:3.5, val2:5.0]</v>
      </c>
      <c r="H82" s="60">
        <f t="shared" si="110"/>
        <v>9</v>
      </c>
      <c r="I82" s="60">
        <f t="shared" si="111"/>
        <v>22</v>
      </c>
      <c r="J82" s="60" t="e">
        <f t="shared" si="112"/>
        <v>#VALUE!</v>
      </c>
      <c r="K82" s="60">
        <f t="shared" si="113"/>
        <v>32</v>
      </c>
      <c r="L82" s="60" t="str">
        <f>IFERROR(VLOOKUP(MID(G82,J82,K82-J82),[5]skilldef!$C:$D,2,FALSE),"-") &amp; " / " &amp; IFERROR(VLOOKUP(MID(G82,H82,I82-H82),[5]skilldef!$A:$B,2,FALSE),"-")</f>
        <v>- / -</v>
      </c>
      <c r="M82" s="60" t="str">
        <f t="shared" si="114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82" s="46" t="str">
        <f>IFERROR(LEFT(M82,FIND("],",M82)+#REF!),M82)</f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O82" s="60">
        <f t="shared" si="115"/>
        <v>9</v>
      </c>
      <c r="P82" s="60">
        <f t="shared" si="116"/>
        <v>27</v>
      </c>
      <c r="Q82" s="60">
        <f t="shared" si="117"/>
        <v>245</v>
      </c>
      <c r="R82" s="60">
        <f t="shared" si="118"/>
        <v>36</v>
      </c>
      <c r="S82" s="60" t="str">
        <f>IFERROR(VLOOKUP(MID(N82,Q82,R82-Q82),[5]skilldef!$C:$D,2,FALSE),"-") &amp; " / " &amp; IFERROR(VLOOKUP(MID(N82,O82,P82-O82),[5]skilldef!$A:$B,2,FALSE),"-")</f>
        <v>- / -</v>
      </c>
      <c r="T82" s="46" t="str">
        <f t="shared" si="119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82" s="60">
        <f t="shared" si="120"/>
        <v>9</v>
      </c>
      <c r="V82" s="60">
        <f t="shared" si="121"/>
        <v>27</v>
      </c>
      <c r="W82" s="60">
        <f t="shared" si="122"/>
        <v>183</v>
      </c>
      <c r="X82" s="60">
        <f t="shared" si="123"/>
        <v>36</v>
      </c>
      <c r="Y82" s="60" t="str">
        <f>IFERROR(VLOOKUP(MID(T82,W82,X82-W82),[5]skilldef!$C:$D,2,FALSE),"-") &amp; " / " &amp; IFERROR(VLOOKUP(MID(T82,U82,V82-U82),[5]skilldef!$A:$B,2,FALSE),"-")</f>
        <v>- / -</v>
      </c>
      <c r="Z82" s="48"/>
      <c r="AA82" s="50"/>
      <c r="AB82" s="48"/>
    </row>
    <row r="83" spans="1:28" ht="32" customHeight="1" x14ac:dyDescent="0.2">
      <c r="A83" s="140">
        <v>47010102</v>
      </c>
      <c r="B83" s="142" t="s">
        <v>556</v>
      </c>
      <c r="C83" s="339">
        <v>3</v>
      </c>
      <c r="D83" s="48" t="s">
        <v>127</v>
      </c>
      <c r="E83" s="148" t="s">
        <v>337</v>
      </c>
      <c r="F83" s="49" t="s">
        <v>370</v>
      </c>
      <c r="G83" s="60" t="str">
        <f t="shared" si="109"/>
        <v>[effect:enemy_message, val1:1.5, val2:1.5]</v>
      </c>
      <c r="H83" s="60">
        <f t="shared" si="110"/>
        <v>9</v>
      </c>
      <c r="I83" s="60">
        <f t="shared" si="111"/>
        <v>22</v>
      </c>
      <c r="J83" s="60" t="e">
        <f t="shared" si="112"/>
        <v>#VALUE!</v>
      </c>
      <c r="K83" s="60">
        <f t="shared" si="113"/>
        <v>32</v>
      </c>
      <c r="L83" s="60" t="str">
        <f>IFERROR(VLOOKUP(MID(G83,J83,K83-J83),[5]skilldef!$C:$D,2,FALSE),"-") &amp; " / " &amp; IFERROR(VLOOKUP(MID(G83,H83,I83-H83),[5]skilldef!$A:$B,2,FALSE),"-")</f>
        <v>- / -</v>
      </c>
      <c r="M83" s="60" t="str">
        <f t="shared" si="114"/>
        <v>[effect:break_attack_fix, target:unit_all, val:90, lowest_val:1, count:-1, block01:block_red],[effect:ability_lock, target:unit_all, turn:1],[effect:sleep, target:unit_all, turn:1, rate:1],[effect:regenerate, target:unit_all, turn:1, val:0.3, type:hp_ratio, animation:heal03_unit01]</v>
      </c>
      <c r="N83" s="46" t="str">
        <f>IFERROR(LEFT(M83,FIND("],",M83)+S90),M83)</f>
        <v>[effect:break_attack_fix, target:unit_all, val:90, lowest_val:1, count:-1, block01:block_red]</v>
      </c>
      <c r="O83" s="60">
        <f t="shared" si="115"/>
        <v>9</v>
      </c>
      <c r="P83" s="60">
        <f t="shared" si="116"/>
        <v>25</v>
      </c>
      <c r="Q83" s="60">
        <f t="shared" si="117"/>
        <v>34</v>
      </c>
      <c r="R83" s="60">
        <f t="shared" si="118"/>
        <v>42</v>
      </c>
      <c r="S83" s="60" t="str">
        <f>IFERROR(VLOOKUP(MID(N83,Q83,R83-Q83),[5]skilldef!$C:$D,2,FALSE),"-") &amp; " / " &amp; IFERROR(VLOOKUP(MID(N83,O83,P83-O83),[5]skilldef!$A:$B,2,FALSE),"-")</f>
        <v>味方全体に / -</v>
      </c>
      <c r="T83" s="46" t="str">
        <f t="shared" si="119"/>
        <v>[effect:ability_lock, target:unit_all, turn:1],[effect:sleep, target:unit_all, turn:1, rate:1],[effect:regenerate, target:unit_all, turn:1, val:0.3, type:hp_ratio, animation:heal03_unit01]</v>
      </c>
      <c r="U83" s="60">
        <f t="shared" si="120"/>
        <v>9</v>
      </c>
      <c r="V83" s="60">
        <f t="shared" si="121"/>
        <v>21</v>
      </c>
      <c r="W83" s="60">
        <f t="shared" si="122"/>
        <v>30</v>
      </c>
      <c r="X83" s="60">
        <f t="shared" si="123"/>
        <v>38</v>
      </c>
      <c r="Y83" s="60" t="str">
        <f>IFERROR(VLOOKUP(MID(T83,W83,X83-W83),[5]skilldef!$C:$D,2,FALSE),"-") &amp; " / " &amp; IFERROR(VLOOKUP(MID(T83,U83,V83-U83),[5]skilldef!$A:$B,2,FALSE),"-")</f>
        <v>味方全体に / -</v>
      </c>
      <c r="Z83" s="48"/>
      <c r="AA83" s="50"/>
      <c r="AB83" s="48"/>
    </row>
    <row r="84" spans="1:28" ht="36" customHeight="1" x14ac:dyDescent="0.2">
      <c r="A84" s="140">
        <v>47010103</v>
      </c>
      <c r="B84" s="142" t="s">
        <v>566</v>
      </c>
      <c r="C84" s="339">
        <v>3</v>
      </c>
      <c r="D84" s="48" t="s">
        <v>127</v>
      </c>
      <c r="E84" s="49" t="s">
        <v>328</v>
      </c>
      <c r="F84" s="49" t="s">
        <v>433</v>
      </c>
      <c r="G84" s="60" t="str">
        <f t="shared" si="109"/>
        <v>[effect:enemy_message, val1:3.5, val2:5.0]</v>
      </c>
      <c r="H84" s="60">
        <f t="shared" si="110"/>
        <v>9</v>
      </c>
      <c r="I84" s="60">
        <f t="shared" si="111"/>
        <v>22</v>
      </c>
      <c r="J84" s="60" t="e">
        <f t="shared" si="112"/>
        <v>#VALUE!</v>
      </c>
      <c r="K84" s="60">
        <f t="shared" si="113"/>
        <v>32</v>
      </c>
      <c r="L84" s="60" t="str">
        <f>IFERROR(VLOOKUP(MID(G84,J84,K84-J84),[5]skilldef!$C:$D,2,FALSE),"-") &amp; " / " &amp; IFERROR(VLOOKUP(MID(G84,H84,I84-H84),[5]skilldef!$A:$B,2,FALSE),"-")</f>
        <v>- / -</v>
      </c>
      <c r="M84" s="60" t="str">
        <f t="shared" si="114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84" s="46" t="str">
        <f>IFERROR(LEFT(M84,FIND("],",M84)+S91),M84)</f>
        <v>[effect:change_panel_ratio, turn:-1, block_type:green, val:0]</v>
      </c>
      <c r="O84" s="60">
        <f t="shared" si="115"/>
        <v>9</v>
      </c>
      <c r="P84" s="60">
        <f t="shared" si="116"/>
        <v>27</v>
      </c>
      <c r="Q84" s="60" t="e">
        <f t="shared" si="117"/>
        <v>#VALUE!</v>
      </c>
      <c r="R84" s="60">
        <f t="shared" si="118"/>
        <v>36</v>
      </c>
      <c r="S84" s="60" t="str">
        <f>IFERROR(VLOOKUP(MID(N84,Q84,R84-Q84),[5]skilldef!$C:$D,2,FALSE),"-") &amp; " / " &amp; IFERROR(VLOOKUP(MID(N84,O84,P84-O84),[5]skilldef!$A:$B,2,FALSE),"-")</f>
        <v>- / -</v>
      </c>
      <c r="T84" s="46" t="str">
        <f t="shared" si="119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84" s="60">
        <f t="shared" si="120"/>
        <v>9</v>
      </c>
      <c r="V84" s="60">
        <f t="shared" si="121"/>
        <v>27</v>
      </c>
      <c r="W84" s="60">
        <f t="shared" si="122"/>
        <v>183</v>
      </c>
      <c r="X84" s="60">
        <f t="shared" si="123"/>
        <v>36</v>
      </c>
      <c r="Y84" s="60" t="str">
        <f>IFERROR(VLOOKUP(MID(T84,W84,X84-W84),[5]skilldef!$C:$D,2,FALSE),"-") &amp; " / " &amp; IFERROR(VLOOKUP(MID(T84,U84,V84-U84),[5]skilldef!$A:$B,2,FALSE),"-")</f>
        <v>- / -</v>
      </c>
      <c r="Z84" s="48"/>
      <c r="AA84" s="50"/>
      <c r="AB84" s="48"/>
    </row>
    <row r="85" spans="1:28" ht="29" customHeight="1" x14ac:dyDescent="0.2">
      <c r="A85" s="140">
        <v>47010104</v>
      </c>
      <c r="B85" s="142" t="s">
        <v>434</v>
      </c>
      <c r="C85" s="339">
        <v>3</v>
      </c>
      <c r="D85" s="48" t="s">
        <v>127</v>
      </c>
      <c r="E85" s="148" t="s">
        <v>440</v>
      </c>
      <c r="F85" s="49" t="s">
        <v>371</v>
      </c>
      <c r="G85" s="60" t="str">
        <f t="shared" si="109"/>
        <v>[effect:enemy_message, val1:2.2, val2:1.5]</v>
      </c>
      <c r="H85" s="60">
        <f t="shared" si="110"/>
        <v>9</v>
      </c>
      <c r="I85" s="60">
        <f t="shared" si="111"/>
        <v>22</v>
      </c>
      <c r="J85" s="60" t="e">
        <f t="shared" si="112"/>
        <v>#VALUE!</v>
      </c>
      <c r="K85" s="60">
        <f t="shared" si="113"/>
        <v>32</v>
      </c>
      <c r="L85" s="60" t="str">
        <f>IFERROR(VLOOKUP(MID(G85,J85,K85-J85),[5]skilldef!$C:$D,2,FALSE),"-") &amp; " / " &amp; IFERROR(VLOOKUP(MID(G85,H85,I85-H85),[5]skilldef!$A:$B,2,FALSE),"-")</f>
        <v>- / -</v>
      </c>
      <c r="M85" s="60" t="str">
        <f t="shared" si="114"/>
        <v>[effect:break_attack_fix, target:unit_all, val:90, lowest_val:1, count:-1, block01:block_blue],[effect:ability_lock, target:unit_all, turn:1],[effect:sleep, target:unit_all, turn:1, rate:1],[effect:regenerate, target:unit_all, turn:1, val:0.3, type:hp_ratio, animation:heal03_unit01]</v>
      </c>
      <c r="N85" s="46" t="str">
        <f>IFERROR(LEFT(M85,FIND("],",M85)+S92),M85)</f>
        <v>[effect:break_attack_fix, target:unit_all, val:90, lowest_val:1, count:-1, block01:block_blue]</v>
      </c>
      <c r="O85" s="60">
        <f t="shared" si="115"/>
        <v>9</v>
      </c>
      <c r="P85" s="60">
        <f t="shared" si="116"/>
        <v>25</v>
      </c>
      <c r="Q85" s="60">
        <f t="shared" si="117"/>
        <v>34</v>
      </c>
      <c r="R85" s="60">
        <f t="shared" si="118"/>
        <v>42</v>
      </c>
      <c r="S85" s="60" t="str">
        <f>IFERROR(VLOOKUP(MID(N85,Q85,R85-Q85),[5]skilldef!$C:$D,2,FALSE),"-") &amp; " / " &amp; IFERROR(VLOOKUP(MID(N85,O85,P85-O85),[5]skilldef!$A:$B,2,FALSE),"-")</f>
        <v>味方全体に / -</v>
      </c>
      <c r="T85" s="46" t="str">
        <f t="shared" si="119"/>
        <v>[effect:ability_lock, target:unit_all, turn:1],[effect:sleep, target:unit_all, turn:1, rate:1],[effect:regenerate, target:unit_all, turn:1, val:0.3, type:hp_ratio, animation:heal03_unit01]</v>
      </c>
      <c r="U85" s="60">
        <f t="shared" si="120"/>
        <v>9</v>
      </c>
      <c r="V85" s="60">
        <f t="shared" si="121"/>
        <v>21</v>
      </c>
      <c r="W85" s="60">
        <f t="shared" si="122"/>
        <v>30</v>
      </c>
      <c r="X85" s="60">
        <f t="shared" si="123"/>
        <v>38</v>
      </c>
      <c r="Y85" s="60" t="str">
        <f>IFERROR(VLOOKUP(MID(T85,W85,X85-W85),[5]skilldef!$C:$D,2,FALSE),"-") &amp; " / " &amp; IFERROR(VLOOKUP(MID(T85,U85,V85-U85),[5]skilldef!$A:$B,2,FALSE),"-")</f>
        <v>味方全体に / -</v>
      </c>
      <c r="Z85" s="48"/>
      <c r="AA85" s="50"/>
      <c r="AB85" s="48"/>
    </row>
    <row r="86" spans="1:28" ht="35" customHeight="1" x14ac:dyDescent="0.2">
      <c r="A86" s="140">
        <v>47010105</v>
      </c>
      <c r="B86" s="142" t="s">
        <v>567</v>
      </c>
      <c r="C86" s="339">
        <v>3</v>
      </c>
      <c r="D86" s="48" t="s">
        <v>127</v>
      </c>
      <c r="E86" s="49" t="s">
        <v>441</v>
      </c>
      <c r="F86" s="49" t="s">
        <v>469</v>
      </c>
      <c r="G86" s="60" t="str">
        <f t="shared" si="109"/>
        <v>[effect:enemy_message, val1:3.0, val2:5.3]</v>
      </c>
      <c r="H86" s="60">
        <f t="shared" si="110"/>
        <v>9</v>
      </c>
      <c r="I86" s="60">
        <f t="shared" si="111"/>
        <v>22</v>
      </c>
      <c r="J86" s="60" t="e">
        <f t="shared" si="112"/>
        <v>#VALUE!</v>
      </c>
      <c r="K86" s="60">
        <f t="shared" si="113"/>
        <v>32</v>
      </c>
      <c r="L86" s="60" t="str">
        <f>IFERROR(VLOOKUP(MID(G86,J86,K86-J86),[5]skilldef!$C:$D,2,FALSE),"-") &amp; " / " &amp; IFERROR(VLOOKUP(MID(G86,H86,I86-H86),[5]skilldef!$A:$B,2,FALSE),"-")</f>
        <v>- / -</v>
      </c>
      <c r="M86" s="60" t="str">
        <f t="shared" si="114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86" s="46" t="str">
        <f>IFERROR(LEFT(M86,FIND("],",M86)+S93),M86)</f>
        <v>[effect:change_panel_ratio, turn:-1, block_type:green, val:0]</v>
      </c>
      <c r="O86" s="60">
        <f t="shared" si="115"/>
        <v>9</v>
      </c>
      <c r="P86" s="60">
        <f t="shared" si="116"/>
        <v>27</v>
      </c>
      <c r="Q86" s="60" t="e">
        <f t="shared" si="117"/>
        <v>#VALUE!</v>
      </c>
      <c r="R86" s="60">
        <f t="shared" si="118"/>
        <v>36</v>
      </c>
      <c r="S86" s="60" t="str">
        <f>IFERROR(VLOOKUP(MID(N86,Q86,R86-Q86),[5]skilldef!$C:$D,2,FALSE),"-") &amp; " / " &amp; IFERROR(VLOOKUP(MID(N86,O86,P86-O86),[5]skilldef!$A:$B,2,FALSE),"-")</f>
        <v>- / -</v>
      </c>
      <c r="T86" s="46" t="str">
        <f t="shared" si="119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86" s="60">
        <f t="shared" si="120"/>
        <v>9</v>
      </c>
      <c r="V86" s="60">
        <f t="shared" si="121"/>
        <v>27</v>
      </c>
      <c r="W86" s="60">
        <f t="shared" si="122"/>
        <v>183</v>
      </c>
      <c r="X86" s="60">
        <f t="shared" si="123"/>
        <v>36</v>
      </c>
      <c r="Y86" s="60" t="str">
        <f>IFERROR(VLOOKUP(MID(T86,W86,X86-W86),[5]skilldef!$C:$D,2,FALSE),"-") &amp; " / " &amp; IFERROR(VLOOKUP(MID(T86,U86,V86-U86),[5]skilldef!$A:$B,2,FALSE),"-")</f>
        <v>- / -</v>
      </c>
      <c r="Z86" s="48"/>
      <c r="AA86" s="50"/>
      <c r="AB86" s="48"/>
    </row>
    <row r="87" spans="1:28" ht="32" customHeight="1" x14ac:dyDescent="0.2">
      <c r="A87" s="140">
        <v>47010106</v>
      </c>
      <c r="B87" s="142" t="s">
        <v>435</v>
      </c>
      <c r="C87" s="339">
        <v>3</v>
      </c>
      <c r="D87" s="48" t="s">
        <v>127</v>
      </c>
      <c r="E87" s="148" t="s">
        <v>338</v>
      </c>
      <c r="F87" s="49" t="s">
        <v>370</v>
      </c>
      <c r="G87" s="60" t="str">
        <f t="shared" si="109"/>
        <v>[effect:enemy_message, val1:1.8, val2:1.5]</v>
      </c>
      <c r="H87" s="60">
        <f t="shared" si="110"/>
        <v>9</v>
      </c>
      <c r="I87" s="60">
        <f t="shared" si="111"/>
        <v>22</v>
      </c>
      <c r="J87" s="60" t="e">
        <f t="shared" si="112"/>
        <v>#VALUE!</v>
      </c>
      <c r="K87" s="60">
        <f t="shared" si="113"/>
        <v>32</v>
      </c>
      <c r="L87" s="60" t="str">
        <f>IFERROR(VLOOKUP(MID(G87,J87,K87-J87),[5]skilldef!$C:$D,2,FALSE),"-") &amp; " / " &amp; IFERROR(VLOOKUP(MID(G87,H87,I87-H87),[5]skilldef!$A:$B,2,FALSE),"-")</f>
        <v>- / -</v>
      </c>
      <c r="M87" s="60" t="str">
        <f t="shared" si="114"/>
        <v>[effect:break_attack_fix, target:unit_all, val:90, lowest_val:1, count:-1, block01:block_red],[effect:ability_lock, target:unit_all, turn:1],[effect:sleep, target:unit_all, turn:1, rate:1],[effect:regenerate, target:unit_all, turn:1, val:0.3, type:hp_ratio, animation:heal03_unit01]</v>
      </c>
      <c r="N87" s="46" t="str">
        <f>IFERROR(LEFT(M87,FIND("],",M87)+S94),M87)</f>
        <v>[effect:break_attack_fix, target:unit_all, val:90, lowest_val:1, count:-1, block01:block_red]</v>
      </c>
      <c r="O87" s="60">
        <f t="shared" si="115"/>
        <v>9</v>
      </c>
      <c r="P87" s="60">
        <f t="shared" si="116"/>
        <v>25</v>
      </c>
      <c r="Q87" s="60">
        <f t="shared" si="117"/>
        <v>34</v>
      </c>
      <c r="R87" s="60">
        <f t="shared" si="118"/>
        <v>42</v>
      </c>
      <c r="S87" s="60" t="str">
        <f>IFERROR(VLOOKUP(MID(N87,Q87,R87-Q87),[5]skilldef!$C:$D,2,FALSE),"-") &amp; " / " &amp; IFERROR(VLOOKUP(MID(N87,O87,P87-O87),[5]skilldef!$A:$B,2,FALSE),"-")</f>
        <v>味方全体に / -</v>
      </c>
      <c r="T87" s="46" t="str">
        <f t="shared" si="119"/>
        <v>[effect:ability_lock, target:unit_all, turn:1],[effect:sleep, target:unit_all, turn:1, rate:1],[effect:regenerate, target:unit_all, turn:1, val:0.3, type:hp_ratio, animation:heal03_unit01]</v>
      </c>
      <c r="U87" s="60">
        <f t="shared" si="120"/>
        <v>9</v>
      </c>
      <c r="V87" s="60">
        <f t="shared" si="121"/>
        <v>21</v>
      </c>
      <c r="W87" s="60">
        <f t="shared" si="122"/>
        <v>30</v>
      </c>
      <c r="X87" s="60">
        <f t="shared" si="123"/>
        <v>38</v>
      </c>
      <c r="Y87" s="60" t="str">
        <f>IFERROR(VLOOKUP(MID(T87,W87,X87-W87),[5]skilldef!$C:$D,2,FALSE),"-") &amp; " / " &amp; IFERROR(VLOOKUP(MID(T87,U87,V87-U87),[5]skilldef!$A:$B,2,FALSE),"-")</f>
        <v>味方全体に / -</v>
      </c>
      <c r="Z87" s="48"/>
      <c r="AA87" s="50"/>
      <c r="AB87" s="48"/>
    </row>
    <row r="88" spans="1:28" ht="31" customHeight="1" x14ac:dyDescent="0.2">
      <c r="A88" s="140">
        <v>47010107</v>
      </c>
      <c r="B88" s="142" t="s">
        <v>568</v>
      </c>
      <c r="C88" s="339">
        <v>3</v>
      </c>
      <c r="D88" s="48" t="s">
        <v>127</v>
      </c>
      <c r="E88" s="49" t="s">
        <v>339</v>
      </c>
      <c r="F88" s="49" t="s">
        <v>417</v>
      </c>
      <c r="G88" s="60" t="str">
        <f t="shared" si="109"/>
        <v>[effect:enemy_message, val1:3.5, val2:5.3]</v>
      </c>
      <c r="H88" s="60">
        <f t="shared" si="110"/>
        <v>9</v>
      </c>
      <c r="I88" s="60">
        <f t="shared" si="111"/>
        <v>22</v>
      </c>
      <c r="J88" s="60" t="e">
        <f t="shared" si="112"/>
        <v>#VALUE!</v>
      </c>
      <c r="K88" s="60">
        <f t="shared" si="113"/>
        <v>32</v>
      </c>
      <c r="L88" s="60" t="str">
        <f>IFERROR(VLOOKUP(MID(G88,J88,K88-J88),[5]skilldef!$C:$D,2,FALSE),"-") &amp; " / " &amp; IFERROR(VLOOKUP(MID(G88,H88,I88-H88),[5]skilldef!$A:$B,2,FALSE),"-")</f>
        <v>- / -</v>
      </c>
      <c r="M88" s="60" t="str">
        <f t="shared" si="114"/>
        <v>[effect:change_panel_ratio, turn:-1, block_type:green, val:0],[effect:change_panel_ratio,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N88" s="46" t="str">
        <f>IFERROR(LEFT(M88,FIND("],",M88)+S96),M88)</f>
        <v>[effect:change_panel_ratio, turn:-1, block_type:green, val:0]</v>
      </c>
      <c r="O88" s="60">
        <f t="shared" si="115"/>
        <v>9</v>
      </c>
      <c r="P88" s="60">
        <f t="shared" si="116"/>
        <v>27</v>
      </c>
      <c r="Q88" s="60" t="e">
        <f t="shared" si="117"/>
        <v>#VALUE!</v>
      </c>
      <c r="R88" s="60">
        <f t="shared" si="118"/>
        <v>36</v>
      </c>
      <c r="S88" s="60" t="str">
        <f>IFERROR(VLOOKUP(MID(N88,Q88,R88-Q88),[5]skilldef!$C:$D,2,FALSE),"-") &amp; " / " &amp; IFERROR(VLOOKUP(MID(N88,O88,P88-O88),[5]skilldef!$A:$B,2,FALSE),"-")</f>
        <v>- / -</v>
      </c>
      <c r="T88" s="46" t="str">
        <f t="shared" si="119"/>
        <v>[effect:change_panel_ratio, turn:-1, block_type:yellow, val:0],[effect:change_panel_ratio, turn:-1, block_type:heal, val:0],[effect:force_change_block, new_block:color_break, target:block_red, color:block_red, count:1, val:0],[effect:force_change_block, new_block:color_break, target:block_blue, color:block_blue, count:1, val:0],[effect:break_enchance_enemy, target:myself, val:1000, lowest_val:50000, count:-1, status:defense, turn:1, block01:block_green, block02:block_yellow, block03:block_heart, calc:add]</v>
      </c>
      <c r="U88" s="60">
        <f t="shared" si="120"/>
        <v>9</v>
      </c>
      <c r="V88" s="60">
        <f t="shared" si="121"/>
        <v>27</v>
      </c>
      <c r="W88" s="60">
        <f t="shared" si="122"/>
        <v>183</v>
      </c>
      <c r="X88" s="60">
        <f t="shared" si="123"/>
        <v>36</v>
      </c>
      <c r="Y88" s="60" t="str">
        <f>IFERROR(VLOOKUP(MID(T88,W88,X88-W88),[5]skilldef!$C:$D,2,FALSE),"-") &amp; " / " &amp; IFERROR(VLOOKUP(MID(T88,U88,V88-U88),[5]skilldef!$A:$B,2,FALSE),"-")</f>
        <v>- / -</v>
      </c>
      <c r="Z88" s="48"/>
      <c r="AA88" s="50"/>
      <c r="AB88" s="48"/>
    </row>
    <row r="89" spans="1:28" ht="35" customHeight="1" x14ac:dyDescent="0.2">
      <c r="A89" s="140">
        <v>47010108</v>
      </c>
      <c r="B89" s="142" t="s">
        <v>564</v>
      </c>
      <c r="C89" s="339">
        <v>3</v>
      </c>
      <c r="D89" s="48" t="s">
        <v>127</v>
      </c>
      <c r="E89" s="49" t="s">
        <v>341</v>
      </c>
      <c r="F89" s="49" t="s">
        <v>371</v>
      </c>
      <c r="G89" s="60" t="str">
        <f t="shared" si="109"/>
        <v>[effect:enemy_message, val1:1.5, val2:1.5]</v>
      </c>
      <c r="H89" s="60">
        <f t="shared" si="110"/>
        <v>9</v>
      </c>
      <c r="I89" s="60">
        <f t="shared" si="111"/>
        <v>22</v>
      </c>
      <c r="J89" s="60" t="e">
        <f t="shared" si="112"/>
        <v>#VALUE!</v>
      </c>
      <c r="K89" s="60">
        <f t="shared" si="113"/>
        <v>32</v>
      </c>
      <c r="L89" s="60" t="str">
        <f>IFERROR(VLOOKUP(MID(G89,J89,K89-J89),[5]skilldef!$C:$D,2,FALSE),"-") &amp; " / " &amp; IFERROR(VLOOKUP(MID(G89,H89,I89-H89),[5]skilldef!$A:$B,2,FALSE),"-")</f>
        <v>- / -</v>
      </c>
      <c r="M89" s="60" t="str">
        <f t="shared" si="114"/>
        <v>[effect:break_attack_fix, target:unit_all, val:90, lowest_val:1, count:-1, block01:block_blue],[effect:ability_lock, target:unit_all, turn:1],[effect:sleep, target:unit_all, turn:1, rate:1],[effect:regenerate, target:unit_all, turn:1, val:0.3, type:hp_ratio, animation:heal03_unit01]</v>
      </c>
      <c r="N89" s="46" t="str">
        <f>IFERROR(LEFT(M89,FIND("],",M89)+S97),M89)</f>
        <v>[effect:break_attack_fix, target:unit_all, val:90, lowest_val:1, count:-1, block01:block_blue]</v>
      </c>
      <c r="O89" s="60">
        <f t="shared" si="115"/>
        <v>9</v>
      </c>
      <c r="P89" s="60">
        <f t="shared" si="116"/>
        <v>25</v>
      </c>
      <c r="Q89" s="60">
        <f t="shared" si="117"/>
        <v>34</v>
      </c>
      <c r="R89" s="60">
        <f t="shared" si="118"/>
        <v>42</v>
      </c>
      <c r="S89" s="60" t="str">
        <f>IFERROR(VLOOKUP(MID(N89,Q89,R89-Q89),[5]skilldef!$C:$D,2,FALSE),"-") &amp; " / " &amp; IFERROR(VLOOKUP(MID(N89,O89,P89-O89),[5]skilldef!$A:$B,2,FALSE),"-")</f>
        <v>味方全体に / -</v>
      </c>
      <c r="T89" s="46" t="str">
        <f t="shared" si="119"/>
        <v>[effect:ability_lock, target:unit_all, turn:1],[effect:sleep, target:unit_all, turn:1, rate:1],[effect:regenerate, target:unit_all, turn:1, val:0.3, type:hp_ratio, animation:heal03_unit01]</v>
      </c>
      <c r="U89" s="60">
        <f t="shared" si="120"/>
        <v>9</v>
      </c>
      <c r="V89" s="60">
        <f t="shared" si="121"/>
        <v>21</v>
      </c>
      <c r="W89" s="60">
        <f t="shared" si="122"/>
        <v>30</v>
      </c>
      <c r="X89" s="60">
        <f t="shared" si="123"/>
        <v>38</v>
      </c>
      <c r="Y89" s="60" t="str">
        <f>IFERROR(VLOOKUP(MID(T89,W89,X89-W89),[5]skilldef!$C:$D,2,FALSE),"-") &amp; " / " &amp; IFERROR(VLOOKUP(MID(T89,U89,V89-U89),[5]skilldef!$A:$B,2,FALSE),"-")</f>
        <v>味方全体に / -</v>
      </c>
      <c r="Z89" s="48"/>
      <c r="AA89" s="50"/>
      <c r="AB8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75"/>
  <sheetViews>
    <sheetView showGridLines="0" workbookViewId="0">
      <pane ySplit="1" topLeftCell="A2" activePane="bottomLeft" state="frozenSplit"/>
      <selection pane="bottomLeft" activeCell="I57" sqref="I57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66.1640625" style="43" customWidth="1"/>
    <col min="13" max="16384" width="12.83203125" style="43"/>
  </cols>
  <sheetData>
    <row r="1" spans="1:12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2" ht="21" customHeight="1" x14ac:dyDescent="0.15">
      <c r="A2" s="137">
        <v>47010001</v>
      </c>
      <c r="B2" s="137">
        <v>1</v>
      </c>
      <c r="C2" s="137">
        <v>400</v>
      </c>
      <c r="D2" s="137">
        <v>100</v>
      </c>
      <c r="E2" s="137" t="s">
        <v>248</v>
      </c>
      <c r="F2" s="137" t="s">
        <v>89</v>
      </c>
      <c r="G2" s="137">
        <v>1</v>
      </c>
      <c r="H2" s="137" t="s">
        <v>89</v>
      </c>
      <c r="I2" s="137" t="s">
        <v>89</v>
      </c>
      <c r="J2" s="46">
        <f t="shared" ref="J2:J7" si="0">D2</f>
        <v>100</v>
      </c>
      <c r="L2" s="144" t="s">
        <v>265</v>
      </c>
    </row>
    <row r="3" spans="1:12" ht="21" customHeight="1" x14ac:dyDescent="0.15">
      <c r="A3" s="137">
        <v>47010002</v>
      </c>
      <c r="B3" s="137">
        <v>1</v>
      </c>
      <c r="C3" s="137">
        <v>610</v>
      </c>
      <c r="D3" s="137">
        <v>100</v>
      </c>
      <c r="E3" s="137" t="s">
        <v>53</v>
      </c>
      <c r="F3" s="137" t="s">
        <v>89</v>
      </c>
      <c r="G3" s="137">
        <v>1</v>
      </c>
      <c r="H3" s="137" t="s">
        <v>89</v>
      </c>
      <c r="I3" s="146">
        <v>1353</v>
      </c>
      <c r="J3" s="46">
        <f t="shared" si="0"/>
        <v>100</v>
      </c>
      <c r="L3" s="144" t="s">
        <v>268</v>
      </c>
    </row>
    <row r="4" spans="1:12" ht="21" customHeight="1" x14ac:dyDescent="0.15">
      <c r="A4" s="137">
        <v>47010003</v>
      </c>
      <c r="B4" s="137">
        <v>1</v>
      </c>
      <c r="C4" s="137">
        <v>600</v>
      </c>
      <c r="D4" s="137">
        <v>100</v>
      </c>
      <c r="E4" s="137" t="s">
        <v>53</v>
      </c>
      <c r="F4" s="137" t="s">
        <v>89</v>
      </c>
      <c r="G4" s="137">
        <v>1</v>
      </c>
      <c r="H4" s="137" t="s">
        <v>89</v>
      </c>
      <c r="I4" s="146">
        <v>1352</v>
      </c>
      <c r="J4" s="46">
        <f t="shared" ref="J4" si="1">D4</f>
        <v>100</v>
      </c>
      <c r="L4" s="144" t="s">
        <v>268</v>
      </c>
    </row>
    <row r="5" spans="1:12" ht="21" customHeight="1" x14ac:dyDescent="0.15">
      <c r="A5" s="137">
        <v>47010004</v>
      </c>
      <c r="B5" s="137">
        <v>1</v>
      </c>
      <c r="C5" s="137">
        <v>810</v>
      </c>
      <c r="D5" s="137">
        <v>100</v>
      </c>
      <c r="E5" s="137" t="s">
        <v>53</v>
      </c>
      <c r="F5" s="137" t="s">
        <v>89</v>
      </c>
      <c r="G5" s="137">
        <v>1</v>
      </c>
      <c r="H5" s="137" t="s">
        <v>89</v>
      </c>
      <c r="I5" s="146">
        <v>1410</v>
      </c>
      <c r="J5" s="46">
        <f t="shared" ref="J5" si="2">D5</f>
        <v>100</v>
      </c>
      <c r="L5" s="144" t="s">
        <v>280</v>
      </c>
    </row>
    <row r="6" spans="1:12" ht="21" customHeight="1" x14ac:dyDescent="0.15">
      <c r="A6" s="137">
        <v>47010005</v>
      </c>
      <c r="B6" s="137">
        <v>1</v>
      </c>
      <c r="C6" s="137">
        <v>800</v>
      </c>
      <c r="D6" s="137">
        <v>100</v>
      </c>
      <c r="E6" s="137" t="s">
        <v>53</v>
      </c>
      <c r="F6" s="137" t="s">
        <v>89</v>
      </c>
      <c r="G6" s="137">
        <v>1</v>
      </c>
      <c r="H6" s="137" t="s">
        <v>89</v>
      </c>
      <c r="I6" s="146">
        <v>1409</v>
      </c>
      <c r="J6" s="46">
        <f t="shared" ref="J6" si="3">D6</f>
        <v>100</v>
      </c>
      <c r="L6" s="144" t="s">
        <v>280</v>
      </c>
    </row>
    <row r="7" spans="1:12" ht="21" customHeight="1" x14ac:dyDescent="0.15">
      <c r="A7" s="137">
        <v>47010006</v>
      </c>
      <c r="B7" s="137">
        <v>1</v>
      </c>
      <c r="C7" s="137">
        <v>720</v>
      </c>
      <c r="D7" s="137">
        <v>100</v>
      </c>
      <c r="E7" s="137" t="s">
        <v>53</v>
      </c>
      <c r="F7" s="137" t="s">
        <v>89</v>
      </c>
      <c r="G7" s="137">
        <v>1</v>
      </c>
      <c r="H7" s="137" t="s">
        <v>89</v>
      </c>
      <c r="I7" s="146">
        <v>1092</v>
      </c>
      <c r="J7" s="46">
        <f t="shared" si="0"/>
        <v>100</v>
      </c>
      <c r="L7" s="144" t="s">
        <v>269</v>
      </c>
    </row>
    <row r="8" spans="1:12" ht="21" customHeight="1" x14ac:dyDescent="0.15">
      <c r="A8" s="137">
        <v>47010007</v>
      </c>
      <c r="B8" s="137">
        <v>1</v>
      </c>
      <c r="C8" s="137">
        <v>710</v>
      </c>
      <c r="D8" s="137">
        <v>100</v>
      </c>
      <c r="E8" s="137" t="s">
        <v>53</v>
      </c>
      <c r="F8" s="137" t="s">
        <v>89</v>
      </c>
      <c r="G8" s="137">
        <v>1</v>
      </c>
      <c r="H8" s="137" t="s">
        <v>89</v>
      </c>
      <c r="I8" s="146">
        <v>679</v>
      </c>
      <c r="J8" s="46">
        <f t="shared" ref="J8" si="4">D8</f>
        <v>100</v>
      </c>
      <c r="L8" s="144" t="s">
        <v>269</v>
      </c>
    </row>
    <row r="9" spans="1:12" ht="21" customHeight="1" x14ac:dyDescent="0.15">
      <c r="A9" s="137">
        <v>47010008</v>
      </c>
      <c r="B9" s="137">
        <v>1</v>
      </c>
      <c r="C9" s="137">
        <v>700</v>
      </c>
      <c r="D9" s="137">
        <v>100</v>
      </c>
      <c r="E9" s="137" t="s">
        <v>53</v>
      </c>
      <c r="F9" s="137" t="s">
        <v>89</v>
      </c>
      <c r="G9" s="137">
        <v>1</v>
      </c>
      <c r="H9" s="137" t="s">
        <v>89</v>
      </c>
      <c r="I9" s="146">
        <v>678</v>
      </c>
      <c r="J9" s="46">
        <f t="shared" ref="J9:J12" si="5">D9</f>
        <v>100</v>
      </c>
      <c r="L9" s="144" t="s">
        <v>269</v>
      </c>
    </row>
    <row r="10" spans="1:12" ht="21" customHeight="1" x14ac:dyDescent="0.15">
      <c r="A10" s="137">
        <v>47010009</v>
      </c>
      <c r="B10" s="137">
        <v>1</v>
      </c>
      <c r="C10" s="137">
        <v>520</v>
      </c>
      <c r="D10" s="137">
        <v>100</v>
      </c>
      <c r="E10" s="137" t="s">
        <v>53</v>
      </c>
      <c r="F10" s="137" t="s">
        <v>53</v>
      </c>
      <c r="G10" s="137">
        <v>1</v>
      </c>
      <c r="H10" s="137" t="s">
        <v>53</v>
      </c>
      <c r="I10" s="173">
        <v>1413</v>
      </c>
      <c r="J10" s="46">
        <f t="shared" si="5"/>
        <v>100</v>
      </c>
      <c r="L10" s="144" t="s">
        <v>319</v>
      </c>
    </row>
    <row r="11" spans="1:12" ht="21" customHeight="1" x14ac:dyDescent="0.15">
      <c r="A11" s="137">
        <v>47010010</v>
      </c>
      <c r="B11" s="137">
        <v>1</v>
      </c>
      <c r="C11" s="137">
        <v>510</v>
      </c>
      <c r="D11" s="137">
        <v>100</v>
      </c>
      <c r="E11" s="137" t="s">
        <v>53</v>
      </c>
      <c r="F11" s="137" t="s">
        <v>53</v>
      </c>
      <c r="G11" s="137">
        <v>1</v>
      </c>
      <c r="H11" s="137" t="s">
        <v>53</v>
      </c>
      <c r="I11" s="173">
        <v>1412</v>
      </c>
      <c r="J11" s="46">
        <f t="shared" si="5"/>
        <v>100</v>
      </c>
      <c r="L11" s="144" t="s">
        <v>452</v>
      </c>
    </row>
    <row r="12" spans="1:12" ht="21" customHeight="1" x14ac:dyDescent="0.15">
      <c r="A12" s="137">
        <v>47010011</v>
      </c>
      <c r="B12" s="137">
        <v>1</v>
      </c>
      <c r="C12" s="137">
        <v>500</v>
      </c>
      <c r="D12" s="137">
        <v>100</v>
      </c>
      <c r="E12" s="137" t="s">
        <v>53</v>
      </c>
      <c r="F12" s="137" t="s">
        <v>53</v>
      </c>
      <c r="G12" s="137">
        <v>1</v>
      </c>
      <c r="H12" s="137" t="s">
        <v>53</v>
      </c>
      <c r="I12" s="173">
        <v>1411</v>
      </c>
      <c r="J12" s="46">
        <f t="shared" si="5"/>
        <v>100</v>
      </c>
      <c r="L12" s="144" t="s">
        <v>451</v>
      </c>
    </row>
    <row r="13" spans="1:12" ht="21" customHeight="1" x14ac:dyDescent="0.15">
      <c r="A13" s="137">
        <v>47010012</v>
      </c>
      <c r="B13" s="137">
        <v>0</v>
      </c>
      <c r="C13" s="137">
        <v>100</v>
      </c>
      <c r="D13" s="137">
        <v>100</v>
      </c>
      <c r="E13" s="137" t="s">
        <v>53</v>
      </c>
      <c r="F13" s="137" t="s">
        <v>89</v>
      </c>
      <c r="G13" s="137">
        <v>1</v>
      </c>
      <c r="H13" s="137">
        <v>1</v>
      </c>
      <c r="I13" s="137" t="s">
        <v>89</v>
      </c>
      <c r="J13" s="46">
        <f t="shared" ref="J13:J61" si="6">D13</f>
        <v>100</v>
      </c>
      <c r="L13" s="144" t="s">
        <v>267</v>
      </c>
    </row>
    <row r="14" spans="1:12" ht="21" customHeight="1" x14ac:dyDescent="0.15">
      <c r="A14" s="140">
        <v>47010013</v>
      </c>
      <c r="B14" s="45">
        <v>1</v>
      </c>
      <c r="C14" s="45">
        <v>500</v>
      </c>
      <c r="D14" s="45">
        <v>100</v>
      </c>
      <c r="E14" s="45" t="s">
        <v>53</v>
      </c>
      <c r="F14" s="45" t="s">
        <v>89</v>
      </c>
      <c r="G14" s="45">
        <v>1</v>
      </c>
      <c r="H14" s="45" t="s">
        <v>89</v>
      </c>
      <c r="I14" s="45" t="s">
        <v>89</v>
      </c>
      <c r="J14" s="46">
        <f t="shared" si="6"/>
        <v>100</v>
      </c>
      <c r="L14" s="145" t="s">
        <v>252</v>
      </c>
    </row>
    <row r="15" spans="1:12" ht="21" customHeight="1" x14ac:dyDescent="0.15">
      <c r="A15" s="140">
        <v>47010014</v>
      </c>
      <c r="B15" s="45">
        <v>0</v>
      </c>
      <c r="C15" s="45">
        <v>400</v>
      </c>
      <c r="D15" s="45">
        <v>100</v>
      </c>
      <c r="E15" s="45" t="s">
        <v>53</v>
      </c>
      <c r="F15" s="45" t="s">
        <v>89</v>
      </c>
      <c r="G15" s="45">
        <v>1</v>
      </c>
      <c r="H15" s="45">
        <v>1</v>
      </c>
      <c r="I15" s="45" t="s">
        <v>89</v>
      </c>
      <c r="J15" s="46">
        <f t="shared" ref="J15" si="7">D15</f>
        <v>100</v>
      </c>
      <c r="L15" s="145" t="s">
        <v>252</v>
      </c>
    </row>
    <row r="16" spans="1:12" ht="21" customHeight="1" x14ac:dyDescent="0.15">
      <c r="A16" s="140">
        <v>47010015</v>
      </c>
      <c r="B16" s="45">
        <v>1</v>
      </c>
      <c r="C16" s="45">
        <v>500</v>
      </c>
      <c r="D16" s="45">
        <v>100</v>
      </c>
      <c r="E16" s="45" t="s">
        <v>53</v>
      </c>
      <c r="F16" s="45" t="s">
        <v>89</v>
      </c>
      <c r="G16" s="45">
        <v>1</v>
      </c>
      <c r="H16" s="45" t="s">
        <v>89</v>
      </c>
      <c r="I16" s="45" t="s">
        <v>89</v>
      </c>
      <c r="J16" s="46">
        <f t="shared" si="6"/>
        <v>100</v>
      </c>
      <c r="L16" s="145" t="s">
        <v>253</v>
      </c>
    </row>
    <row r="17" spans="1:12" ht="21" customHeight="1" x14ac:dyDescent="0.15">
      <c r="A17" s="137">
        <v>47010016</v>
      </c>
      <c r="B17" s="137">
        <v>1</v>
      </c>
      <c r="C17" s="137">
        <v>500</v>
      </c>
      <c r="D17" s="137">
        <v>100</v>
      </c>
      <c r="E17" s="137" t="s">
        <v>53</v>
      </c>
      <c r="F17" s="137" t="s">
        <v>89</v>
      </c>
      <c r="G17" s="137">
        <v>1</v>
      </c>
      <c r="H17" s="137" t="s">
        <v>89</v>
      </c>
      <c r="I17" s="137" t="s">
        <v>89</v>
      </c>
      <c r="J17" s="46">
        <f t="shared" si="6"/>
        <v>100</v>
      </c>
      <c r="L17" s="144" t="s">
        <v>274</v>
      </c>
    </row>
    <row r="18" spans="1:12" ht="21" customHeight="1" x14ac:dyDescent="0.15">
      <c r="A18" s="215">
        <v>47010090</v>
      </c>
      <c r="B18" s="215">
        <v>0</v>
      </c>
      <c r="C18" s="215">
        <v>300</v>
      </c>
      <c r="D18" s="215">
        <v>100</v>
      </c>
      <c r="E18" s="215" t="s">
        <v>53</v>
      </c>
      <c r="F18" s="215" t="s">
        <v>53</v>
      </c>
      <c r="G18" s="215">
        <v>1</v>
      </c>
      <c r="H18" s="215">
        <v>1</v>
      </c>
      <c r="I18" s="215" t="s">
        <v>53</v>
      </c>
      <c r="J18" s="46">
        <f t="shared" ref="J18" si="8">D18</f>
        <v>100</v>
      </c>
      <c r="L18" s="144" t="s">
        <v>254</v>
      </c>
    </row>
    <row r="19" spans="1:12" ht="21" customHeight="1" x14ac:dyDescent="0.15">
      <c r="A19" s="137">
        <v>47010017</v>
      </c>
      <c r="B19" s="137">
        <v>0</v>
      </c>
      <c r="C19" s="137">
        <v>270</v>
      </c>
      <c r="D19" s="137">
        <v>100</v>
      </c>
      <c r="E19" s="137" t="s">
        <v>53</v>
      </c>
      <c r="F19" s="137" t="s">
        <v>89</v>
      </c>
      <c r="G19" s="137">
        <v>1</v>
      </c>
      <c r="H19" s="137">
        <v>2</v>
      </c>
      <c r="I19" s="137" t="s">
        <v>89</v>
      </c>
      <c r="J19" s="46">
        <f t="shared" si="6"/>
        <v>100</v>
      </c>
      <c r="L19" s="144" t="s">
        <v>254</v>
      </c>
    </row>
    <row r="20" spans="1:12" ht="21" customHeight="1" x14ac:dyDescent="0.15">
      <c r="A20" s="137">
        <v>47010018</v>
      </c>
      <c r="B20" s="137">
        <v>0</v>
      </c>
      <c r="C20" s="137">
        <v>250</v>
      </c>
      <c r="D20" s="137">
        <v>100</v>
      </c>
      <c r="E20" s="137" t="s">
        <v>53</v>
      </c>
      <c r="F20" s="137" t="s">
        <v>89</v>
      </c>
      <c r="G20" s="137">
        <v>1</v>
      </c>
      <c r="H20" s="137">
        <v>4</v>
      </c>
      <c r="I20" s="137" t="s">
        <v>89</v>
      </c>
      <c r="J20" s="46">
        <f t="shared" si="6"/>
        <v>100</v>
      </c>
      <c r="L20" s="144" t="s">
        <v>275</v>
      </c>
    </row>
    <row r="21" spans="1:12" ht="21" customHeight="1" x14ac:dyDescent="0.15">
      <c r="A21" s="137">
        <v>47010019</v>
      </c>
      <c r="B21" s="137">
        <v>0</v>
      </c>
      <c r="C21" s="137">
        <v>230</v>
      </c>
      <c r="D21" s="137">
        <v>100</v>
      </c>
      <c r="E21" s="137" t="s">
        <v>53</v>
      </c>
      <c r="F21" s="137" t="s">
        <v>89</v>
      </c>
      <c r="G21" s="137" t="s">
        <v>53</v>
      </c>
      <c r="H21" s="137">
        <v>6</v>
      </c>
      <c r="I21" s="137" t="s">
        <v>89</v>
      </c>
      <c r="J21" s="46">
        <f t="shared" si="6"/>
        <v>100</v>
      </c>
      <c r="L21" s="144" t="s">
        <v>255</v>
      </c>
    </row>
    <row r="22" spans="1:12" ht="21" customHeight="1" x14ac:dyDescent="0.15">
      <c r="A22" s="137">
        <v>47010020</v>
      </c>
      <c r="B22" s="137">
        <v>0</v>
      </c>
      <c r="C22" s="137">
        <v>210</v>
      </c>
      <c r="D22" s="137">
        <v>100</v>
      </c>
      <c r="E22" s="137" t="s">
        <v>53</v>
      </c>
      <c r="F22" s="137" t="s">
        <v>89</v>
      </c>
      <c r="G22" s="137">
        <v>1</v>
      </c>
      <c r="H22" s="137">
        <v>8</v>
      </c>
      <c r="I22" s="137" t="s">
        <v>89</v>
      </c>
      <c r="J22" s="46">
        <f t="shared" si="6"/>
        <v>100</v>
      </c>
      <c r="L22" s="144" t="s">
        <v>270</v>
      </c>
    </row>
    <row r="23" spans="1:12" ht="21" customHeight="1" x14ac:dyDescent="0.15">
      <c r="A23" s="137">
        <v>47010021</v>
      </c>
      <c r="B23" s="137">
        <v>0</v>
      </c>
      <c r="C23" s="147">
        <v>150</v>
      </c>
      <c r="D23" s="147">
        <v>40</v>
      </c>
      <c r="E23" s="137" t="s">
        <v>53</v>
      </c>
      <c r="F23" s="137" t="s">
        <v>89</v>
      </c>
      <c r="G23" s="137">
        <v>1</v>
      </c>
      <c r="H23" s="137" t="s">
        <v>89</v>
      </c>
      <c r="I23" s="137" t="s">
        <v>89</v>
      </c>
      <c r="J23" s="46">
        <f t="shared" si="6"/>
        <v>40</v>
      </c>
      <c r="L23" s="144" t="s">
        <v>256</v>
      </c>
    </row>
    <row r="24" spans="1:12" ht="21" customHeight="1" x14ac:dyDescent="0.15">
      <c r="A24" s="137">
        <v>47010022</v>
      </c>
      <c r="B24" s="137">
        <v>0</v>
      </c>
      <c r="C24" s="147">
        <v>140</v>
      </c>
      <c r="D24" s="147">
        <v>55</v>
      </c>
      <c r="E24" s="137" t="s">
        <v>53</v>
      </c>
      <c r="F24" s="137" t="s">
        <v>89</v>
      </c>
      <c r="G24" s="137">
        <v>1</v>
      </c>
      <c r="H24" s="137" t="s">
        <v>89</v>
      </c>
      <c r="I24" s="137" t="s">
        <v>89</v>
      </c>
      <c r="J24" s="46">
        <f t="shared" si="6"/>
        <v>55</v>
      </c>
      <c r="L24" s="144" t="s">
        <v>276</v>
      </c>
    </row>
    <row r="25" spans="1:12" ht="21" customHeight="1" x14ac:dyDescent="0.15">
      <c r="A25" s="137">
        <v>47010023</v>
      </c>
      <c r="B25" s="137">
        <v>0</v>
      </c>
      <c r="C25" s="147">
        <v>130</v>
      </c>
      <c r="D25" s="147">
        <v>100</v>
      </c>
      <c r="E25" s="137" t="s">
        <v>53</v>
      </c>
      <c r="F25" s="137" t="s">
        <v>89</v>
      </c>
      <c r="G25" s="137">
        <v>1</v>
      </c>
      <c r="H25" s="137" t="s">
        <v>89</v>
      </c>
      <c r="I25" s="137" t="s">
        <v>89</v>
      </c>
      <c r="J25" s="46">
        <f t="shared" si="6"/>
        <v>100</v>
      </c>
      <c r="L25" s="144" t="s">
        <v>277</v>
      </c>
    </row>
    <row r="26" spans="1:12" ht="21" customHeight="1" x14ac:dyDescent="0.15">
      <c r="A26" s="137">
        <v>47010024</v>
      </c>
      <c r="B26" s="137">
        <v>0</v>
      </c>
      <c r="C26" s="147">
        <v>120</v>
      </c>
      <c r="D26" s="147">
        <v>40</v>
      </c>
      <c r="E26" s="137" t="s">
        <v>53</v>
      </c>
      <c r="F26" s="137" t="s">
        <v>89</v>
      </c>
      <c r="G26" s="137" t="s">
        <v>53</v>
      </c>
      <c r="H26" s="137" t="s">
        <v>89</v>
      </c>
      <c r="I26" s="137" t="s">
        <v>89</v>
      </c>
      <c r="J26" s="46">
        <f t="shared" si="6"/>
        <v>40</v>
      </c>
      <c r="L26" s="144" t="s">
        <v>258</v>
      </c>
    </row>
    <row r="27" spans="1:12" ht="21" customHeight="1" x14ac:dyDescent="0.15">
      <c r="A27" s="137">
        <v>47010025</v>
      </c>
      <c r="B27" s="137">
        <v>0</v>
      </c>
      <c r="C27" s="147">
        <v>110</v>
      </c>
      <c r="D27" s="147">
        <v>100</v>
      </c>
      <c r="E27" s="137" t="s">
        <v>53</v>
      </c>
      <c r="F27" s="137" t="s">
        <v>89</v>
      </c>
      <c r="G27" s="137" t="s">
        <v>53</v>
      </c>
      <c r="H27" s="137" t="s">
        <v>89</v>
      </c>
      <c r="I27" s="137" t="s">
        <v>89</v>
      </c>
      <c r="J27" s="46">
        <f t="shared" si="6"/>
        <v>100</v>
      </c>
      <c r="L27" s="144" t="s">
        <v>271</v>
      </c>
    </row>
    <row r="28" spans="1:12" ht="21" customHeight="1" x14ac:dyDescent="0.15">
      <c r="A28" s="137">
        <v>47010026</v>
      </c>
      <c r="B28" s="137">
        <v>0</v>
      </c>
      <c r="C28" s="137">
        <v>400</v>
      </c>
      <c r="D28" s="137">
        <v>100</v>
      </c>
      <c r="E28" s="137">
        <v>50</v>
      </c>
      <c r="F28" s="137" t="s">
        <v>89</v>
      </c>
      <c r="G28" s="137">
        <v>1</v>
      </c>
      <c r="H28" s="137" t="s">
        <v>89</v>
      </c>
      <c r="I28" s="137" t="s">
        <v>89</v>
      </c>
      <c r="J28" s="46">
        <f t="shared" si="6"/>
        <v>100</v>
      </c>
      <c r="L28" s="144" t="s">
        <v>257</v>
      </c>
    </row>
    <row r="29" spans="1:12" ht="21" customHeight="1" x14ac:dyDescent="0.15">
      <c r="A29" s="140">
        <v>47010027</v>
      </c>
      <c r="B29" s="45">
        <v>1</v>
      </c>
      <c r="C29" s="45">
        <v>500</v>
      </c>
      <c r="D29" s="45">
        <v>100</v>
      </c>
      <c r="E29" s="45" t="s">
        <v>53</v>
      </c>
      <c r="F29" s="45" t="s">
        <v>89</v>
      </c>
      <c r="G29" s="45">
        <v>1</v>
      </c>
      <c r="H29" s="45" t="s">
        <v>89</v>
      </c>
      <c r="I29" s="45" t="s">
        <v>89</v>
      </c>
      <c r="J29" s="46">
        <f t="shared" si="6"/>
        <v>100</v>
      </c>
      <c r="L29" s="145" t="s">
        <v>278</v>
      </c>
    </row>
    <row r="30" spans="1:12" ht="21" customHeight="1" x14ac:dyDescent="0.15">
      <c r="A30" s="140">
        <v>47010028</v>
      </c>
      <c r="B30" s="45">
        <v>0</v>
      </c>
      <c r="C30" s="45">
        <v>190</v>
      </c>
      <c r="D30" s="45">
        <v>100</v>
      </c>
      <c r="E30" s="45" t="s">
        <v>53</v>
      </c>
      <c r="F30" s="45" t="s">
        <v>89</v>
      </c>
      <c r="G30" s="45">
        <v>1</v>
      </c>
      <c r="H30" s="45">
        <v>1</v>
      </c>
      <c r="I30" s="45" t="s">
        <v>89</v>
      </c>
      <c r="J30" s="46">
        <f t="shared" si="6"/>
        <v>100</v>
      </c>
      <c r="L30" s="145" t="s">
        <v>279</v>
      </c>
    </row>
    <row r="31" spans="1:12" ht="21" customHeight="1" x14ac:dyDescent="0.15">
      <c r="A31" s="140">
        <v>47010029</v>
      </c>
      <c r="B31" s="45">
        <v>0</v>
      </c>
      <c r="C31" s="45">
        <v>180</v>
      </c>
      <c r="D31" s="45">
        <v>100</v>
      </c>
      <c r="E31" s="45" t="s">
        <v>53</v>
      </c>
      <c r="F31" s="45" t="s">
        <v>89</v>
      </c>
      <c r="G31" s="45">
        <v>1</v>
      </c>
      <c r="H31" s="45">
        <v>2</v>
      </c>
      <c r="I31" s="45" t="s">
        <v>89</v>
      </c>
      <c r="J31" s="46">
        <f t="shared" si="6"/>
        <v>100</v>
      </c>
      <c r="L31" s="145" t="s">
        <v>259</v>
      </c>
    </row>
    <row r="32" spans="1:12" ht="21" customHeight="1" x14ac:dyDescent="0.15">
      <c r="A32" s="140">
        <v>47010030</v>
      </c>
      <c r="B32" s="45">
        <v>0</v>
      </c>
      <c r="C32" s="45">
        <v>170</v>
      </c>
      <c r="D32" s="45">
        <v>100</v>
      </c>
      <c r="E32" s="45" t="s">
        <v>53</v>
      </c>
      <c r="F32" s="45" t="s">
        <v>89</v>
      </c>
      <c r="G32" s="45">
        <v>1</v>
      </c>
      <c r="H32" s="45">
        <v>3</v>
      </c>
      <c r="I32" s="45" t="s">
        <v>89</v>
      </c>
      <c r="J32" s="46">
        <f t="shared" si="6"/>
        <v>100</v>
      </c>
      <c r="L32" s="145" t="s">
        <v>279</v>
      </c>
    </row>
    <row r="33" spans="1:12" ht="21" customHeight="1" x14ac:dyDescent="0.15">
      <c r="A33" s="140">
        <v>47010031</v>
      </c>
      <c r="B33" s="45">
        <v>0</v>
      </c>
      <c r="C33" s="45">
        <v>160</v>
      </c>
      <c r="D33" s="45">
        <v>100</v>
      </c>
      <c r="E33" s="45" t="s">
        <v>53</v>
      </c>
      <c r="F33" s="45" t="s">
        <v>89</v>
      </c>
      <c r="G33" s="45">
        <v>1</v>
      </c>
      <c r="H33" s="45">
        <v>4</v>
      </c>
      <c r="I33" s="45" t="s">
        <v>89</v>
      </c>
      <c r="J33" s="46">
        <f t="shared" si="6"/>
        <v>100</v>
      </c>
      <c r="L33" s="145" t="s">
        <v>260</v>
      </c>
    </row>
    <row r="34" spans="1:12" ht="21" customHeight="1" x14ac:dyDescent="0.15">
      <c r="A34" s="140">
        <v>47010032</v>
      </c>
      <c r="B34" s="45">
        <v>0</v>
      </c>
      <c r="C34" s="45">
        <v>150</v>
      </c>
      <c r="D34" s="45">
        <v>100</v>
      </c>
      <c r="E34" s="45" t="s">
        <v>53</v>
      </c>
      <c r="F34" s="45" t="s">
        <v>89</v>
      </c>
      <c r="G34" s="45">
        <v>1</v>
      </c>
      <c r="H34" s="45">
        <v>5</v>
      </c>
      <c r="I34" s="45" t="s">
        <v>89</v>
      </c>
      <c r="J34" s="46">
        <f t="shared" si="6"/>
        <v>100</v>
      </c>
      <c r="L34" s="145" t="s">
        <v>279</v>
      </c>
    </row>
    <row r="35" spans="1:12" ht="21" customHeight="1" x14ac:dyDescent="0.15">
      <c r="A35" s="140">
        <v>47010033</v>
      </c>
      <c r="B35" s="45">
        <v>0</v>
      </c>
      <c r="C35" s="45">
        <v>140</v>
      </c>
      <c r="D35" s="45">
        <v>100</v>
      </c>
      <c r="E35" s="45" t="s">
        <v>53</v>
      </c>
      <c r="F35" s="45" t="s">
        <v>89</v>
      </c>
      <c r="G35" s="45">
        <v>1</v>
      </c>
      <c r="H35" s="45">
        <v>6</v>
      </c>
      <c r="I35" s="45" t="s">
        <v>89</v>
      </c>
      <c r="J35" s="46">
        <f t="shared" si="6"/>
        <v>100</v>
      </c>
      <c r="L35" s="145" t="s">
        <v>259</v>
      </c>
    </row>
    <row r="36" spans="1:12" ht="21" customHeight="1" x14ac:dyDescent="0.15">
      <c r="A36" s="140">
        <v>47010034</v>
      </c>
      <c r="B36" s="45">
        <v>0</v>
      </c>
      <c r="C36" s="45">
        <v>130</v>
      </c>
      <c r="D36" s="45">
        <v>100</v>
      </c>
      <c r="E36" s="45" t="s">
        <v>53</v>
      </c>
      <c r="F36" s="45" t="s">
        <v>89</v>
      </c>
      <c r="G36" s="45">
        <v>1</v>
      </c>
      <c r="H36" s="45">
        <v>7</v>
      </c>
      <c r="I36" s="45" t="s">
        <v>89</v>
      </c>
      <c r="J36" s="46">
        <f t="shared" si="6"/>
        <v>100</v>
      </c>
      <c r="L36" s="145" t="s">
        <v>279</v>
      </c>
    </row>
    <row r="37" spans="1:12" ht="21" customHeight="1" x14ac:dyDescent="0.15">
      <c r="A37" s="140">
        <v>47010035</v>
      </c>
      <c r="B37" s="45">
        <v>0</v>
      </c>
      <c r="C37" s="45">
        <v>120</v>
      </c>
      <c r="D37" s="45">
        <v>100</v>
      </c>
      <c r="E37" s="45" t="s">
        <v>53</v>
      </c>
      <c r="F37" s="45" t="s">
        <v>89</v>
      </c>
      <c r="G37" s="45">
        <v>1</v>
      </c>
      <c r="H37" s="45">
        <v>8</v>
      </c>
      <c r="I37" s="45" t="s">
        <v>89</v>
      </c>
      <c r="J37" s="46">
        <f t="shared" si="6"/>
        <v>100</v>
      </c>
      <c r="L37" s="145" t="s">
        <v>260</v>
      </c>
    </row>
    <row r="38" spans="1:12" ht="21" customHeight="1" x14ac:dyDescent="0.15">
      <c r="A38" s="140">
        <v>47010036</v>
      </c>
      <c r="B38" s="45">
        <v>0</v>
      </c>
      <c r="C38" s="45">
        <v>110</v>
      </c>
      <c r="D38" s="45">
        <v>100</v>
      </c>
      <c r="E38" s="45" t="s">
        <v>53</v>
      </c>
      <c r="F38" s="45" t="s">
        <v>89</v>
      </c>
      <c r="G38" s="45">
        <v>1</v>
      </c>
      <c r="H38" s="45">
        <v>9</v>
      </c>
      <c r="I38" s="45" t="s">
        <v>89</v>
      </c>
      <c r="J38" s="46">
        <f t="shared" si="6"/>
        <v>100</v>
      </c>
      <c r="L38" s="145" t="s">
        <v>273</v>
      </c>
    </row>
    <row r="39" spans="1:12" ht="21" customHeight="1" x14ac:dyDescent="0.15">
      <c r="A39" s="137">
        <v>47010037</v>
      </c>
      <c r="B39" s="137">
        <v>1</v>
      </c>
      <c r="C39" s="137">
        <v>600</v>
      </c>
      <c r="D39" s="137">
        <v>100</v>
      </c>
      <c r="E39" s="137" t="s">
        <v>53</v>
      </c>
      <c r="F39" s="137" t="s">
        <v>89</v>
      </c>
      <c r="G39" s="137">
        <v>1</v>
      </c>
      <c r="H39" s="137" t="s">
        <v>89</v>
      </c>
      <c r="I39" s="137" t="s">
        <v>89</v>
      </c>
      <c r="J39" s="46">
        <f t="shared" si="6"/>
        <v>100</v>
      </c>
      <c r="L39" s="144" t="s">
        <v>311</v>
      </c>
    </row>
    <row r="40" spans="1:12" ht="21" customHeight="1" x14ac:dyDescent="0.15">
      <c r="A40" s="137">
        <v>47010038</v>
      </c>
      <c r="B40" s="137">
        <v>0</v>
      </c>
      <c r="C40" s="137">
        <v>250</v>
      </c>
      <c r="D40" s="137">
        <v>100</v>
      </c>
      <c r="E40" s="137" t="s">
        <v>53</v>
      </c>
      <c r="F40" s="137">
        <v>50</v>
      </c>
      <c r="G40" s="137">
        <v>1</v>
      </c>
      <c r="H40" s="137">
        <v>1</v>
      </c>
      <c r="I40" s="137" t="s">
        <v>89</v>
      </c>
      <c r="J40" s="46">
        <f t="shared" si="6"/>
        <v>100</v>
      </c>
      <c r="L40" s="149" t="s">
        <v>312</v>
      </c>
    </row>
    <row r="41" spans="1:12" ht="21" customHeight="1" x14ac:dyDescent="0.15">
      <c r="A41" s="137">
        <v>47010039</v>
      </c>
      <c r="B41" s="137">
        <v>0</v>
      </c>
      <c r="C41" s="137">
        <v>230</v>
      </c>
      <c r="D41" s="137">
        <v>100</v>
      </c>
      <c r="E41" s="137" t="s">
        <v>53</v>
      </c>
      <c r="F41" s="137">
        <v>50</v>
      </c>
      <c r="G41" s="137">
        <v>1</v>
      </c>
      <c r="H41" s="137">
        <v>3</v>
      </c>
      <c r="I41" s="137" t="s">
        <v>89</v>
      </c>
      <c r="J41" s="46">
        <f t="shared" si="6"/>
        <v>100</v>
      </c>
      <c r="L41" s="149" t="s">
        <v>313</v>
      </c>
    </row>
    <row r="42" spans="1:12" ht="21" customHeight="1" x14ac:dyDescent="0.15">
      <c r="A42" s="137">
        <v>47010040</v>
      </c>
      <c r="B42" s="137">
        <v>0</v>
      </c>
      <c r="C42" s="137">
        <v>210</v>
      </c>
      <c r="D42" s="137">
        <v>100</v>
      </c>
      <c r="E42" s="137" t="s">
        <v>53</v>
      </c>
      <c r="F42" s="137">
        <v>50</v>
      </c>
      <c r="G42" s="137">
        <v>1</v>
      </c>
      <c r="H42" s="137">
        <v>5</v>
      </c>
      <c r="I42" s="137" t="s">
        <v>89</v>
      </c>
      <c r="J42" s="46">
        <f t="shared" si="6"/>
        <v>100</v>
      </c>
      <c r="L42" s="149" t="s">
        <v>314</v>
      </c>
    </row>
    <row r="43" spans="1:12" ht="21" customHeight="1" x14ac:dyDescent="0.15">
      <c r="A43" s="137">
        <v>47010041</v>
      </c>
      <c r="B43" s="137">
        <v>0</v>
      </c>
      <c r="C43" s="147">
        <v>140</v>
      </c>
      <c r="D43" s="147">
        <v>30</v>
      </c>
      <c r="E43" s="137" t="s">
        <v>53</v>
      </c>
      <c r="F43" s="137">
        <v>50</v>
      </c>
      <c r="G43" s="137" t="s">
        <v>53</v>
      </c>
      <c r="H43" s="137" t="s">
        <v>89</v>
      </c>
      <c r="I43" s="137" t="s">
        <v>89</v>
      </c>
      <c r="J43" s="46">
        <f t="shared" si="6"/>
        <v>30</v>
      </c>
      <c r="L43" s="149" t="s">
        <v>315</v>
      </c>
    </row>
    <row r="44" spans="1:12" ht="21" customHeight="1" x14ac:dyDescent="0.15">
      <c r="A44" s="137">
        <v>47010042</v>
      </c>
      <c r="B44" s="137">
        <v>0</v>
      </c>
      <c r="C44" s="147">
        <v>130</v>
      </c>
      <c r="D44" s="147">
        <v>45</v>
      </c>
      <c r="E44" s="137" t="s">
        <v>53</v>
      </c>
      <c r="F44" s="137">
        <v>50</v>
      </c>
      <c r="G44" s="137" t="s">
        <v>53</v>
      </c>
      <c r="H44" s="137" t="s">
        <v>89</v>
      </c>
      <c r="I44" s="137" t="s">
        <v>89</v>
      </c>
      <c r="J44" s="46">
        <f t="shared" si="6"/>
        <v>45</v>
      </c>
      <c r="L44" s="149" t="s">
        <v>316</v>
      </c>
    </row>
    <row r="45" spans="1:12" ht="21" customHeight="1" x14ac:dyDescent="0.15">
      <c r="A45" s="137">
        <v>47010043</v>
      </c>
      <c r="B45" s="137">
        <v>0</v>
      </c>
      <c r="C45" s="147">
        <v>120</v>
      </c>
      <c r="D45" s="147">
        <v>75</v>
      </c>
      <c r="E45" s="137" t="s">
        <v>53</v>
      </c>
      <c r="F45" s="137">
        <v>50</v>
      </c>
      <c r="G45" s="137" t="s">
        <v>53</v>
      </c>
      <c r="H45" s="137" t="s">
        <v>89</v>
      </c>
      <c r="I45" s="137" t="s">
        <v>89</v>
      </c>
      <c r="J45" s="46">
        <f t="shared" si="6"/>
        <v>75</v>
      </c>
      <c r="L45" s="149" t="s">
        <v>306</v>
      </c>
    </row>
    <row r="46" spans="1:12" ht="21" customHeight="1" x14ac:dyDescent="0.15">
      <c r="A46" s="137">
        <v>47010044</v>
      </c>
      <c r="B46" s="137">
        <v>0</v>
      </c>
      <c r="C46" s="147">
        <v>110</v>
      </c>
      <c r="D46" s="147">
        <v>100</v>
      </c>
      <c r="E46" s="137" t="s">
        <v>53</v>
      </c>
      <c r="F46" s="137">
        <v>50</v>
      </c>
      <c r="G46" s="137" t="s">
        <v>53</v>
      </c>
      <c r="H46" s="137" t="s">
        <v>89</v>
      </c>
      <c r="I46" s="137" t="s">
        <v>89</v>
      </c>
      <c r="J46" s="46">
        <f t="shared" si="6"/>
        <v>100</v>
      </c>
      <c r="L46" s="149" t="s">
        <v>317</v>
      </c>
    </row>
    <row r="47" spans="1:12" ht="21" customHeight="1" x14ac:dyDescent="0.15">
      <c r="A47" s="137">
        <v>47010045</v>
      </c>
      <c r="B47" s="137">
        <v>0</v>
      </c>
      <c r="C47" s="137">
        <v>490</v>
      </c>
      <c r="D47" s="137">
        <v>100</v>
      </c>
      <c r="E47" s="137">
        <v>50</v>
      </c>
      <c r="F47" s="137" t="s">
        <v>89</v>
      </c>
      <c r="G47" s="137">
        <v>1</v>
      </c>
      <c r="H47" s="137">
        <v>1</v>
      </c>
      <c r="I47" s="137" t="s">
        <v>89</v>
      </c>
      <c r="J47" s="46">
        <f t="shared" si="6"/>
        <v>100</v>
      </c>
      <c r="L47" s="144" t="s">
        <v>261</v>
      </c>
    </row>
    <row r="48" spans="1:12" ht="21" customHeight="1" x14ac:dyDescent="0.15">
      <c r="A48" s="137">
        <v>47010046</v>
      </c>
      <c r="B48" s="137">
        <v>0</v>
      </c>
      <c r="C48" s="137">
        <v>480</v>
      </c>
      <c r="D48" s="137">
        <v>100</v>
      </c>
      <c r="E48" s="137">
        <v>50</v>
      </c>
      <c r="F48" s="137" t="s">
        <v>89</v>
      </c>
      <c r="G48" s="137">
        <v>1</v>
      </c>
      <c r="H48" s="137">
        <v>1</v>
      </c>
      <c r="I48" s="137" t="s">
        <v>89</v>
      </c>
      <c r="J48" s="46">
        <f t="shared" si="6"/>
        <v>100</v>
      </c>
      <c r="L48" s="144" t="s">
        <v>272</v>
      </c>
    </row>
    <row r="49" spans="1:12" ht="21" customHeight="1" x14ac:dyDescent="0.15">
      <c r="A49" s="137">
        <v>47010047</v>
      </c>
      <c r="B49" s="137">
        <v>0</v>
      </c>
      <c r="C49" s="137">
        <v>470</v>
      </c>
      <c r="D49" s="137">
        <v>100</v>
      </c>
      <c r="E49" s="137">
        <v>50</v>
      </c>
      <c r="F49" s="137" t="s">
        <v>89</v>
      </c>
      <c r="G49" s="137">
        <v>1</v>
      </c>
      <c r="H49" s="137">
        <v>1</v>
      </c>
      <c r="I49" s="137" t="s">
        <v>89</v>
      </c>
      <c r="J49" s="46">
        <f t="shared" si="6"/>
        <v>100</v>
      </c>
      <c r="L49" s="144" t="s">
        <v>262</v>
      </c>
    </row>
    <row r="50" spans="1:12" ht="21" customHeight="1" x14ac:dyDescent="0.15">
      <c r="A50" s="137">
        <v>47010048</v>
      </c>
      <c r="B50" s="137">
        <v>0</v>
      </c>
      <c r="C50" s="137">
        <v>460</v>
      </c>
      <c r="D50" s="137">
        <v>100</v>
      </c>
      <c r="E50" s="137">
        <v>50</v>
      </c>
      <c r="F50" s="137" t="s">
        <v>89</v>
      </c>
      <c r="G50" s="137">
        <v>1</v>
      </c>
      <c r="H50" s="137">
        <v>1</v>
      </c>
      <c r="I50" s="137" t="s">
        <v>89</v>
      </c>
      <c r="J50" s="46">
        <f t="shared" si="6"/>
        <v>100</v>
      </c>
      <c r="L50" s="144" t="s">
        <v>263</v>
      </c>
    </row>
    <row r="51" spans="1:12" ht="21" customHeight="1" x14ac:dyDescent="0.15">
      <c r="A51" s="137">
        <v>47010049</v>
      </c>
      <c r="B51" s="137">
        <v>0</v>
      </c>
      <c r="C51" s="137">
        <v>450</v>
      </c>
      <c r="D51" s="137">
        <v>100</v>
      </c>
      <c r="E51" s="137">
        <v>50</v>
      </c>
      <c r="F51" s="137" t="s">
        <v>89</v>
      </c>
      <c r="G51" s="137">
        <v>1</v>
      </c>
      <c r="H51" s="137">
        <v>1</v>
      </c>
      <c r="I51" s="137" t="s">
        <v>89</v>
      </c>
      <c r="J51" s="46">
        <f t="shared" si="6"/>
        <v>100</v>
      </c>
      <c r="L51" s="149" t="s">
        <v>264</v>
      </c>
    </row>
    <row r="52" spans="1:12" ht="21" customHeight="1" x14ac:dyDescent="0.15">
      <c r="A52" s="137">
        <v>47010050</v>
      </c>
      <c r="B52" s="137">
        <v>0</v>
      </c>
      <c r="C52" s="137">
        <v>440</v>
      </c>
      <c r="D52" s="137">
        <v>100</v>
      </c>
      <c r="E52" s="137">
        <v>50</v>
      </c>
      <c r="F52" s="137" t="s">
        <v>89</v>
      </c>
      <c r="G52" s="137">
        <v>1</v>
      </c>
      <c r="H52" s="137">
        <v>1</v>
      </c>
      <c r="I52" s="137" t="s">
        <v>89</v>
      </c>
      <c r="J52" s="46">
        <f t="shared" si="6"/>
        <v>100</v>
      </c>
      <c r="L52" s="144" t="s">
        <v>282</v>
      </c>
    </row>
    <row r="53" spans="1:12" ht="21" customHeight="1" x14ac:dyDescent="0.15">
      <c r="A53" s="137">
        <v>47010051</v>
      </c>
      <c r="B53" s="137">
        <v>0</v>
      </c>
      <c r="C53" s="137">
        <v>430</v>
      </c>
      <c r="D53" s="137">
        <v>100</v>
      </c>
      <c r="E53" s="137">
        <v>50</v>
      </c>
      <c r="F53" s="137" t="s">
        <v>89</v>
      </c>
      <c r="G53" s="137">
        <v>1</v>
      </c>
      <c r="H53" s="137">
        <v>1</v>
      </c>
      <c r="I53" s="137" t="s">
        <v>89</v>
      </c>
      <c r="J53" s="46">
        <f t="shared" si="6"/>
        <v>100</v>
      </c>
      <c r="L53" s="149" t="s">
        <v>281</v>
      </c>
    </row>
    <row r="54" spans="1:12" ht="21" customHeight="1" x14ac:dyDescent="0.15">
      <c r="A54" s="137">
        <v>47010052</v>
      </c>
      <c r="B54" s="137">
        <v>0</v>
      </c>
      <c r="C54" s="137">
        <v>420</v>
      </c>
      <c r="D54" s="137">
        <v>100</v>
      </c>
      <c r="E54" s="137">
        <v>50</v>
      </c>
      <c r="F54" s="137" t="s">
        <v>89</v>
      </c>
      <c r="G54" s="137">
        <v>1</v>
      </c>
      <c r="H54" s="137">
        <v>1</v>
      </c>
      <c r="I54" s="137" t="s">
        <v>89</v>
      </c>
      <c r="J54" s="46">
        <f t="shared" si="6"/>
        <v>100</v>
      </c>
      <c r="L54" s="144" t="s">
        <v>288</v>
      </c>
    </row>
    <row r="55" spans="1:12" ht="21" customHeight="1" x14ac:dyDescent="0.15">
      <c r="A55" s="137">
        <v>47010053</v>
      </c>
      <c r="B55" s="137">
        <v>0</v>
      </c>
      <c r="C55" s="137">
        <v>410</v>
      </c>
      <c r="D55" s="137">
        <v>100</v>
      </c>
      <c r="E55" s="137">
        <v>50</v>
      </c>
      <c r="F55" s="137" t="s">
        <v>89</v>
      </c>
      <c r="G55" s="137">
        <v>1</v>
      </c>
      <c r="H55" s="137">
        <v>1</v>
      </c>
      <c r="I55" s="137" t="s">
        <v>89</v>
      </c>
      <c r="J55" s="46">
        <f t="shared" si="6"/>
        <v>100</v>
      </c>
      <c r="L55" s="144" t="s">
        <v>289</v>
      </c>
    </row>
    <row r="56" spans="1:12" ht="21" customHeight="1" x14ac:dyDescent="0.15">
      <c r="A56" s="137">
        <v>47010054</v>
      </c>
      <c r="B56" s="137">
        <v>0</v>
      </c>
      <c r="C56" s="137">
        <v>500</v>
      </c>
      <c r="D56" s="137">
        <v>100</v>
      </c>
      <c r="E56" s="137" t="s">
        <v>53</v>
      </c>
      <c r="F56" s="137" t="s">
        <v>89</v>
      </c>
      <c r="G56" s="137">
        <v>0</v>
      </c>
      <c r="H56" s="137" t="s">
        <v>89</v>
      </c>
      <c r="I56" s="137">
        <v>0</v>
      </c>
      <c r="J56" s="46">
        <f t="shared" si="6"/>
        <v>100</v>
      </c>
      <c r="L56" s="144" t="s">
        <v>327</v>
      </c>
    </row>
    <row r="57" spans="1:12" ht="21" customHeight="1" x14ac:dyDescent="0.15">
      <c r="A57" s="137">
        <v>47010055</v>
      </c>
      <c r="B57" s="137">
        <v>0</v>
      </c>
      <c r="C57" s="137">
        <v>810</v>
      </c>
      <c r="D57" s="137">
        <v>100</v>
      </c>
      <c r="E57" s="137" t="s">
        <v>53</v>
      </c>
      <c r="F57" s="137" t="s">
        <v>89</v>
      </c>
      <c r="G57" s="137">
        <v>0</v>
      </c>
      <c r="H57" s="137" t="s">
        <v>89</v>
      </c>
      <c r="I57" s="304">
        <v>1410</v>
      </c>
      <c r="J57" s="46">
        <f t="shared" si="6"/>
        <v>100</v>
      </c>
      <c r="L57" s="144" t="s">
        <v>325</v>
      </c>
    </row>
    <row r="58" spans="1:12" ht="21" customHeight="1" x14ac:dyDescent="0.15">
      <c r="A58" s="137">
        <v>47010056</v>
      </c>
      <c r="B58" s="137">
        <v>0</v>
      </c>
      <c r="C58" s="137">
        <v>800</v>
      </c>
      <c r="D58" s="137">
        <v>100</v>
      </c>
      <c r="E58" s="137" t="s">
        <v>53</v>
      </c>
      <c r="F58" s="137" t="s">
        <v>89</v>
      </c>
      <c r="G58" s="137">
        <v>0</v>
      </c>
      <c r="H58" s="137" t="s">
        <v>89</v>
      </c>
      <c r="I58" s="305">
        <v>1409</v>
      </c>
      <c r="J58" s="46">
        <f t="shared" si="6"/>
        <v>100</v>
      </c>
      <c r="L58" s="144" t="s">
        <v>325</v>
      </c>
    </row>
    <row r="59" spans="1:12" ht="21" customHeight="1" x14ac:dyDescent="0.15">
      <c r="A59" s="137">
        <v>47010057</v>
      </c>
      <c r="B59" s="137">
        <v>0</v>
      </c>
      <c r="C59" s="137">
        <v>720</v>
      </c>
      <c r="D59" s="137">
        <v>100</v>
      </c>
      <c r="E59" s="137" t="s">
        <v>53</v>
      </c>
      <c r="F59" s="137" t="s">
        <v>89</v>
      </c>
      <c r="G59" s="137">
        <v>0</v>
      </c>
      <c r="H59" s="137" t="s">
        <v>89</v>
      </c>
      <c r="I59" s="305">
        <v>1092</v>
      </c>
      <c r="J59" s="46">
        <f t="shared" si="6"/>
        <v>100</v>
      </c>
      <c r="L59" s="144" t="s">
        <v>326</v>
      </c>
    </row>
    <row r="60" spans="1:12" ht="21" customHeight="1" x14ac:dyDescent="0.15">
      <c r="A60" s="137">
        <v>47010058</v>
      </c>
      <c r="B60" s="137">
        <v>0</v>
      </c>
      <c r="C60" s="137">
        <v>710</v>
      </c>
      <c r="D60" s="137">
        <v>100</v>
      </c>
      <c r="E60" s="137" t="s">
        <v>53</v>
      </c>
      <c r="F60" s="137" t="s">
        <v>89</v>
      </c>
      <c r="G60" s="137">
        <v>0</v>
      </c>
      <c r="H60" s="137" t="s">
        <v>89</v>
      </c>
      <c r="I60" s="305">
        <v>679</v>
      </c>
      <c r="J60" s="46">
        <f t="shared" si="6"/>
        <v>100</v>
      </c>
      <c r="L60" s="144" t="s">
        <v>326</v>
      </c>
    </row>
    <row r="61" spans="1:12" ht="21" customHeight="1" x14ac:dyDescent="0.15">
      <c r="A61" s="137">
        <v>47010059</v>
      </c>
      <c r="B61" s="137">
        <v>0</v>
      </c>
      <c r="C61" s="137">
        <v>700</v>
      </c>
      <c r="D61" s="137">
        <v>100</v>
      </c>
      <c r="E61" s="137" t="s">
        <v>53</v>
      </c>
      <c r="F61" s="137" t="s">
        <v>89</v>
      </c>
      <c r="G61" s="137">
        <v>0</v>
      </c>
      <c r="H61" s="137" t="s">
        <v>89</v>
      </c>
      <c r="I61" s="305">
        <v>678</v>
      </c>
      <c r="J61" s="46">
        <f t="shared" si="6"/>
        <v>100</v>
      </c>
      <c r="L61" s="144" t="s">
        <v>326</v>
      </c>
    </row>
    <row r="71" spans="12:12" ht="21" customHeight="1" x14ac:dyDescent="0.15">
      <c r="L71"/>
    </row>
    <row r="72" spans="12:12" ht="21" customHeight="1" x14ac:dyDescent="0.15">
      <c r="L72"/>
    </row>
    <row r="73" spans="12:12" ht="21" customHeight="1" x14ac:dyDescent="0.15">
      <c r="L73"/>
    </row>
    <row r="74" spans="12:12" ht="21" customHeight="1" x14ac:dyDescent="0.15">
      <c r="L74"/>
    </row>
    <row r="75" spans="12:12" ht="21" customHeight="1" x14ac:dyDescent="0.15">
      <c r="L75"/>
    </row>
  </sheetData>
  <autoFilter ref="A1:G1"/>
  <phoneticPr fontId="5"/>
  <conditionalFormatting sqref="K62:K1048576 K16:K17 K1:K3 K7 K13:K14 K19:K56">
    <cfRule type="duplicateValues" dxfId="15" priority="17"/>
  </conditionalFormatting>
  <conditionalFormatting sqref="K15">
    <cfRule type="duplicateValues" dxfId="14" priority="16"/>
  </conditionalFormatting>
  <conditionalFormatting sqref="K5">
    <cfRule type="duplicateValues" dxfId="13" priority="15"/>
  </conditionalFormatting>
  <conditionalFormatting sqref="K4">
    <cfRule type="duplicateValues" dxfId="12" priority="14"/>
  </conditionalFormatting>
  <conditionalFormatting sqref="K6">
    <cfRule type="duplicateValues" dxfId="11" priority="13"/>
  </conditionalFormatting>
  <conditionalFormatting sqref="K8">
    <cfRule type="duplicateValues" dxfId="10" priority="12"/>
  </conditionalFormatting>
  <conditionalFormatting sqref="K9">
    <cfRule type="duplicateValues" dxfId="9" priority="11"/>
  </conditionalFormatting>
  <conditionalFormatting sqref="K10">
    <cfRule type="duplicateValues" dxfId="8" priority="10"/>
  </conditionalFormatting>
  <conditionalFormatting sqref="K12">
    <cfRule type="duplicateValues" dxfId="7" priority="9"/>
  </conditionalFormatting>
  <conditionalFormatting sqref="K11">
    <cfRule type="duplicateValues" dxfId="6" priority="8"/>
  </conditionalFormatting>
  <conditionalFormatting sqref="K59">
    <cfRule type="duplicateValues" dxfId="5" priority="7"/>
  </conditionalFormatting>
  <conditionalFormatting sqref="K57">
    <cfRule type="duplicateValues" dxfId="4" priority="6"/>
  </conditionalFormatting>
  <conditionalFormatting sqref="K58">
    <cfRule type="duplicateValues" dxfId="3" priority="5"/>
  </conditionalFormatting>
  <conditionalFormatting sqref="K60">
    <cfRule type="duplicateValues" dxfId="2" priority="4"/>
  </conditionalFormatting>
  <conditionalFormatting sqref="K61">
    <cfRule type="duplicateValues" dxfId="1" priority="3"/>
  </conditionalFormatting>
  <conditionalFormatting sqref="K18">
    <cfRule type="duplicateValues" dxfId="0" priority="2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3"/>
  <sheetViews>
    <sheetView workbookViewId="0">
      <selection activeCell="H23" sqref="H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150</v>
      </c>
      <c r="B1" s="61" t="s">
        <v>151</v>
      </c>
      <c r="C1" s="62" t="s">
        <v>152</v>
      </c>
      <c r="D1" s="68" t="s">
        <v>153</v>
      </c>
      <c r="E1" s="63" t="s">
        <v>154</v>
      </c>
      <c r="F1" s="61" t="s">
        <v>155</v>
      </c>
      <c r="G1" s="61" t="s">
        <v>156</v>
      </c>
      <c r="H1" s="61" t="s">
        <v>157</v>
      </c>
      <c r="I1" s="61" t="s">
        <v>158</v>
      </c>
      <c r="J1" s="61" t="s">
        <v>159</v>
      </c>
      <c r="K1" s="61" t="s">
        <v>160</v>
      </c>
      <c r="L1" s="61" t="s">
        <v>161</v>
      </c>
      <c r="M1" s="61" t="s">
        <v>162</v>
      </c>
      <c r="N1" s="61" t="s">
        <v>163</v>
      </c>
      <c r="O1" s="61" t="s">
        <v>164</v>
      </c>
      <c r="P1" s="61" t="s">
        <v>165</v>
      </c>
      <c r="Q1" s="61" t="s">
        <v>166</v>
      </c>
      <c r="R1" s="61" t="s">
        <v>167</v>
      </c>
    </row>
    <row r="2" spans="1:18" x14ac:dyDescent="0.15">
      <c r="A2" s="327">
        <v>47010</v>
      </c>
      <c r="B2" s="55">
        <v>1</v>
      </c>
      <c r="C2" s="67" t="str">
        <f>A2&amp; "_"&amp;B2</f>
        <v>47010_1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326">
        <v>1</v>
      </c>
      <c r="F2" s="80" t="s">
        <v>513</v>
      </c>
      <c r="G2" s="311">
        <v>703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200</v>
      </c>
      <c r="Q2" s="55" t="s">
        <v>168</v>
      </c>
      <c r="R2" s="55" t="s">
        <v>169</v>
      </c>
    </row>
    <row r="3" spans="1:18" x14ac:dyDescent="0.15">
      <c r="A3" s="327">
        <v>47010</v>
      </c>
      <c r="B3" s="55">
        <v>1</v>
      </c>
      <c r="C3" s="67" t="str">
        <f t="shared" ref="C3:C5" si="0">A3&amp; "_"&amp;B3</f>
        <v>47010_1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326">
        <v>2</v>
      </c>
      <c r="F3" s="80" t="s">
        <v>515</v>
      </c>
      <c r="G3" s="311">
        <v>121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260</v>
      </c>
      <c r="Q3" s="55" t="s">
        <v>168</v>
      </c>
      <c r="R3" s="55" t="s">
        <v>169</v>
      </c>
    </row>
    <row r="4" spans="1:18" x14ac:dyDescent="0.15">
      <c r="A4" s="327">
        <v>47010</v>
      </c>
      <c r="B4" s="55">
        <v>1</v>
      </c>
      <c r="C4" s="67" t="str">
        <f t="shared" si="0"/>
        <v>47010_1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326">
        <v>3</v>
      </c>
      <c r="F4" s="80" t="s">
        <v>516</v>
      </c>
      <c r="G4" s="311">
        <v>122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260</v>
      </c>
      <c r="Q4" s="55" t="s">
        <v>168</v>
      </c>
      <c r="R4" s="55" t="s">
        <v>169</v>
      </c>
    </row>
    <row r="5" spans="1:18" x14ac:dyDescent="0.15">
      <c r="A5" s="327">
        <v>47010</v>
      </c>
      <c r="B5" s="55">
        <v>1</v>
      </c>
      <c r="C5" s="67" t="str">
        <f t="shared" si="0"/>
        <v>47010_1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326">
        <v>4</v>
      </c>
      <c r="F5" s="80" t="s">
        <v>517</v>
      </c>
      <c r="G5" s="311">
        <v>123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260</v>
      </c>
      <c r="Q5" s="55" t="s">
        <v>168</v>
      </c>
      <c r="R5" s="55" t="s">
        <v>169</v>
      </c>
    </row>
    <row r="6" spans="1:18" ht="16" thickBot="1" x14ac:dyDescent="0.2">
      <c r="A6" s="333">
        <v>47010</v>
      </c>
      <c r="B6" s="334">
        <v>1</v>
      </c>
      <c r="C6" s="335" t="str">
        <f t="shared" ref="C6" si="1">A6&amp; "_"&amp;B6</f>
        <v>47010_1</v>
      </c>
      <c r="D6" s="33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332">
        <v>5</v>
      </c>
      <c r="F6" s="337" t="s">
        <v>517</v>
      </c>
      <c r="G6" s="338">
        <v>125</v>
      </c>
      <c r="H6" s="334">
        <v>1</v>
      </c>
      <c r="I6" s="334">
        <v>1</v>
      </c>
      <c r="J6" s="334">
        <v>1</v>
      </c>
      <c r="K6" s="334">
        <v>0</v>
      </c>
      <c r="L6" s="334">
        <v>0</v>
      </c>
      <c r="M6" s="334">
        <v>0</v>
      </c>
      <c r="N6" s="334">
        <v>0</v>
      </c>
      <c r="O6" s="334">
        <v>1</v>
      </c>
      <c r="P6" s="334">
        <v>20</v>
      </c>
      <c r="Q6" s="334" t="s">
        <v>168</v>
      </c>
      <c r="R6" s="334" t="s">
        <v>169</v>
      </c>
    </row>
    <row r="7" spans="1:18" ht="16" thickTop="1" x14ac:dyDescent="0.15">
      <c r="A7" s="327">
        <v>47010</v>
      </c>
      <c r="B7" s="55">
        <v>2</v>
      </c>
      <c r="C7" s="67" t="str">
        <f>A7&amp; "_"&amp;B7</f>
        <v>47010_2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328">
        <v>6</v>
      </c>
      <c r="F7" s="80" t="s">
        <v>513</v>
      </c>
      <c r="G7" s="311">
        <v>703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170</v>
      </c>
      <c r="Q7" s="55" t="s">
        <v>168</v>
      </c>
      <c r="R7" s="55" t="s">
        <v>169</v>
      </c>
    </row>
    <row r="8" spans="1:18" x14ac:dyDescent="0.15">
      <c r="A8" s="327">
        <v>47010</v>
      </c>
      <c r="B8" s="55">
        <v>2</v>
      </c>
      <c r="C8" s="67" t="str">
        <f t="shared" ref="C8:C12" si="2">A8&amp; "_"&amp;B8</f>
        <v>47010_2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326">
        <v>7</v>
      </c>
      <c r="F8" s="80" t="s">
        <v>514</v>
      </c>
      <c r="G8" s="311">
        <v>703</v>
      </c>
      <c r="H8" s="55">
        <v>3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360</v>
      </c>
      <c r="Q8" s="55" t="s">
        <v>168</v>
      </c>
      <c r="R8" s="55" t="s">
        <v>169</v>
      </c>
    </row>
    <row r="9" spans="1:18" x14ac:dyDescent="0.15">
      <c r="A9" s="327">
        <v>47010</v>
      </c>
      <c r="B9" s="55">
        <v>2</v>
      </c>
      <c r="C9" s="67" t="str">
        <f t="shared" si="2"/>
        <v>47010_2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326">
        <v>8</v>
      </c>
      <c r="F9" s="80" t="s">
        <v>514</v>
      </c>
      <c r="G9" s="311">
        <v>703</v>
      </c>
      <c r="H9" s="55">
        <v>5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170</v>
      </c>
      <c r="Q9" s="55" t="s">
        <v>168</v>
      </c>
      <c r="R9" s="55" t="s">
        <v>169</v>
      </c>
    </row>
    <row r="10" spans="1:18" x14ac:dyDescent="0.15">
      <c r="A10" s="327">
        <v>47010</v>
      </c>
      <c r="B10" s="55">
        <v>2</v>
      </c>
      <c r="C10" s="67" t="str">
        <f t="shared" si="2"/>
        <v>47010_2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326">
        <v>9</v>
      </c>
      <c r="F10" s="80" t="s">
        <v>515</v>
      </c>
      <c r="G10" s="311">
        <v>607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100</v>
      </c>
      <c r="Q10" s="55" t="s">
        <v>168</v>
      </c>
      <c r="R10" s="55" t="s">
        <v>169</v>
      </c>
    </row>
    <row r="11" spans="1:18" x14ac:dyDescent="0.15">
      <c r="A11" s="327">
        <v>47010</v>
      </c>
      <c r="B11" s="55">
        <v>2</v>
      </c>
      <c r="C11" s="67" t="str">
        <f t="shared" si="2"/>
        <v>47010_2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326">
        <v>10</v>
      </c>
      <c r="F11" s="80" t="s">
        <v>516</v>
      </c>
      <c r="G11" s="311">
        <v>608</v>
      </c>
      <c r="H11" s="55">
        <v>1</v>
      </c>
      <c r="I11" s="55">
        <v>1</v>
      </c>
      <c r="J11" s="55">
        <v>1</v>
      </c>
      <c r="K11" s="55">
        <v>0</v>
      </c>
      <c r="L11" s="55">
        <v>0</v>
      </c>
      <c r="M11" s="55">
        <v>0</v>
      </c>
      <c r="N11" s="55">
        <v>0</v>
      </c>
      <c r="O11" s="55">
        <v>1</v>
      </c>
      <c r="P11" s="55">
        <v>100</v>
      </c>
      <c r="Q11" s="55" t="s">
        <v>168</v>
      </c>
      <c r="R11" s="55" t="s">
        <v>169</v>
      </c>
    </row>
    <row r="12" spans="1:18" ht="16" thickBot="1" x14ac:dyDescent="0.2">
      <c r="A12" s="329">
        <v>47010</v>
      </c>
      <c r="B12" s="203">
        <v>2</v>
      </c>
      <c r="C12" s="330" t="str">
        <f t="shared" si="2"/>
        <v>47010_2</v>
      </c>
      <c r="D12" s="33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326">
        <v>11</v>
      </c>
      <c r="F12" s="197" t="s">
        <v>517</v>
      </c>
      <c r="G12" s="322">
        <v>609</v>
      </c>
      <c r="H12" s="203">
        <v>1</v>
      </c>
      <c r="I12" s="203">
        <v>1</v>
      </c>
      <c r="J12" s="203">
        <v>1</v>
      </c>
      <c r="K12" s="203">
        <v>0</v>
      </c>
      <c r="L12" s="203">
        <v>0</v>
      </c>
      <c r="M12" s="203">
        <v>0</v>
      </c>
      <c r="N12" s="203">
        <v>0</v>
      </c>
      <c r="O12" s="203">
        <v>1</v>
      </c>
      <c r="P12" s="203">
        <v>100</v>
      </c>
      <c r="Q12" s="203" t="s">
        <v>168</v>
      </c>
      <c r="R12" s="203" t="s">
        <v>169</v>
      </c>
    </row>
    <row r="13" spans="1:18" ht="16" thickTop="1" x14ac:dyDescent="0.15"/>
  </sheetData>
  <phoneticPr fontId="5"/>
  <dataValidations count="1">
    <dataValidation type="list" allowBlank="1" showInputMessage="1" showErrorMessage="1" sqref="F2:F1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43" sqref="L43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187</v>
      </c>
      <c r="B1" s="69" t="s">
        <v>188</v>
      </c>
      <c r="C1" s="73" t="s">
        <v>189</v>
      </c>
      <c r="D1" s="73" t="s">
        <v>33</v>
      </c>
      <c r="E1" s="69" t="s">
        <v>190</v>
      </c>
      <c r="F1" s="73" t="s">
        <v>191</v>
      </c>
      <c r="G1" s="73" t="s">
        <v>33</v>
      </c>
      <c r="H1" s="69" t="s">
        <v>192</v>
      </c>
      <c r="I1" s="87" t="s">
        <v>194</v>
      </c>
      <c r="J1" s="75" t="s">
        <v>126</v>
      </c>
      <c r="K1" s="74" t="s">
        <v>185</v>
      </c>
      <c r="L1" s="88" t="s">
        <v>184</v>
      </c>
      <c r="M1" s="76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6"/>
  <sheetViews>
    <sheetView showGridLines="0" workbookViewId="0">
      <pane ySplit="1" topLeftCell="A7" activePane="bottomLeft" state="frozen"/>
      <selection pane="bottomLeft" activeCell="Q12" sqref="Q1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5.83203125" customWidth="1"/>
    <col min="13" max="13" width="42.6640625" customWidth="1"/>
  </cols>
  <sheetData>
    <row r="1" spans="1:14" x14ac:dyDescent="0.15">
      <c r="A1" s="72" t="s">
        <v>187</v>
      </c>
      <c r="B1" s="69" t="s">
        <v>150</v>
      </c>
      <c r="C1" s="73" t="s">
        <v>189</v>
      </c>
      <c r="D1" s="73" t="s">
        <v>33</v>
      </c>
      <c r="E1" s="69" t="s">
        <v>190</v>
      </c>
      <c r="F1" s="73" t="s">
        <v>18</v>
      </c>
      <c r="G1" s="73" t="s">
        <v>33</v>
      </c>
      <c r="H1" s="69" t="s">
        <v>192</v>
      </c>
      <c r="I1" s="85" t="s">
        <v>193</v>
      </c>
      <c r="J1" s="87" t="s">
        <v>194</v>
      </c>
      <c r="K1" s="75" t="s">
        <v>126</v>
      </c>
      <c r="L1" s="74" t="s">
        <v>185</v>
      </c>
      <c r="M1" s="88" t="s">
        <v>184</v>
      </c>
      <c r="N1" s="76" t="s">
        <v>195</v>
      </c>
    </row>
    <row r="2" spans="1:14" ht="62" customHeight="1" x14ac:dyDescent="0.15">
      <c r="A2" s="77" t="s">
        <v>196</v>
      </c>
      <c r="B2" s="78">
        <f>floors!$C$2</f>
        <v>47010</v>
      </c>
      <c r="C2" s="79" t="str">
        <f ca="1">VLOOKUP($B2,OFFSET([2]quests!$A$1,0,0,COUNTA([2]quests!$A:$A),MATCH(C$1,[2]quests!$1:$1,0)-MATCH($B$1,[2]quests!$1:$1,0)+1),MATCH(C$1,[2]quests!$1:$1,0)-MATCH($B$1,[2]quests!$1:$1,0)+1,FALSE)</f>
        <v>僕の愛よあの子にとどけ！</v>
      </c>
      <c r="D2" s="79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1">
        <v>2</v>
      </c>
      <c r="I2" s="86">
        <f>ROW()-1</f>
        <v>1</v>
      </c>
      <c r="J2" s="82" t="str">
        <f>B2&amp;TEXT(I2,"00")</f>
        <v>4701001</v>
      </c>
      <c r="K2" s="80" t="s">
        <v>197</v>
      </c>
      <c r="L2" s="83" t="s">
        <v>247</v>
      </c>
      <c r="M2" s="186" t="s">
        <v>466</v>
      </c>
      <c r="N2" s="55" t="s">
        <v>198</v>
      </c>
    </row>
    <row r="3" spans="1:14" ht="62" customHeight="1" x14ac:dyDescent="0.15">
      <c r="A3" s="77" t="s">
        <v>196</v>
      </c>
      <c r="B3" s="78">
        <f>floors!$C$2</f>
        <v>47010</v>
      </c>
      <c r="C3" s="79" t="str">
        <f ca="1">VLOOKUP($B3,OFFSET([2]quests!$A$1,0,0,COUNTA([2]quests!$A:$A),MATCH(C$1,[2]quests!$1:$1,0)-MATCH($B$1,[2]quests!$1:$1,0)+1),MATCH(C$1,[2]quests!$1:$1,0)-MATCH($B$1,[2]quests!$1:$1,0)+1,FALSE)</f>
        <v>僕の愛よあの子にとどけ！</v>
      </c>
      <c r="D3" s="79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1">
        <v>2</v>
      </c>
      <c r="I3" s="86">
        <f t="shared" ref="I3:I15" si="0">ROW()-1</f>
        <v>2</v>
      </c>
      <c r="J3" s="82" t="str">
        <f t="shared" ref="J3:J8" si="1">B3&amp;TEXT(I3,"00")</f>
        <v>4701002</v>
      </c>
      <c r="K3" s="80" t="s">
        <v>197</v>
      </c>
      <c r="L3" s="83" t="s">
        <v>247</v>
      </c>
      <c r="M3" s="186" t="s">
        <v>345</v>
      </c>
      <c r="N3" s="55" t="s">
        <v>198</v>
      </c>
    </row>
    <row r="4" spans="1:14" ht="62" customHeight="1" x14ac:dyDescent="0.15">
      <c r="A4" s="77" t="s">
        <v>196</v>
      </c>
      <c r="B4" s="78">
        <f>floors!$C$2</f>
        <v>47010</v>
      </c>
      <c r="C4" s="79" t="str">
        <f ca="1">VLOOKUP($B4,OFFSET([2]quests!$A$1,0,0,COUNTA([2]quests!$A:$A),MATCH(C$1,[2]quests!$1:$1,0)-MATCH($B$1,[2]quests!$1:$1,0)+1),MATCH(C$1,[2]quests!$1:$1,0)-MATCH($B$1,[2]quests!$1:$1,0)+1,FALSE)</f>
        <v>僕の愛よあの子にとどけ！</v>
      </c>
      <c r="D4" s="79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1">
        <v>2</v>
      </c>
      <c r="I4" s="86">
        <f t="shared" si="0"/>
        <v>3</v>
      </c>
      <c r="J4" s="82" t="str">
        <f t="shared" si="1"/>
        <v>4701003</v>
      </c>
      <c r="K4" s="80" t="s">
        <v>197</v>
      </c>
      <c r="L4" s="83" t="s">
        <v>247</v>
      </c>
      <c r="M4" s="186" t="s">
        <v>467</v>
      </c>
      <c r="N4" s="55" t="s">
        <v>198</v>
      </c>
    </row>
    <row r="5" spans="1:14" ht="62" customHeight="1" x14ac:dyDescent="0.15">
      <c r="A5" s="77" t="s">
        <v>196</v>
      </c>
      <c r="B5" s="78">
        <f>floors!$C$2</f>
        <v>47010</v>
      </c>
      <c r="C5" s="79" t="str">
        <f ca="1">VLOOKUP($B5,OFFSET([2]quests!$A$1,0,0,COUNTA([2]quests!$A:$A),MATCH(C$1,[2]quests!$1:$1,0)-MATCH($B$1,[2]quests!$1:$1,0)+1),MATCH(C$1,[2]quests!$1:$1,0)-MATCH($B$1,[2]quests!$1:$1,0)+1,FALSE)</f>
        <v>僕の愛よあの子にとどけ！</v>
      </c>
      <c r="D5" s="79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1">
        <v>2</v>
      </c>
      <c r="I5" s="86">
        <f t="shared" si="0"/>
        <v>4</v>
      </c>
      <c r="J5" s="82" t="str">
        <f t="shared" si="1"/>
        <v>4701004</v>
      </c>
      <c r="K5" s="80" t="s">
        <v>197</v>
      </c>
      <c r="L5" s="83" t="s">
        <v>247</v>
      </c>
      <c r="M5" s="186" t="s">
        <v>346</v>
      </c>
      <c r="N5" s="55" t="s">
        <v>198</v>
      </c>
    </row>
    <row r="6" spans="1:14" ht="60" customHeight="1" x14ac:dyDescent="0.15">
      <c r="A6" s="77" t="s">
        <v>342</v>
      </c>
      <c r="B6" s="78">
        <f>floors!$C$2</f>
        <v>47010</v>
      </c>
      <c r="C6" s="79" t="str">
        <f ca="1">VLOOKUP($B6,OFFSET([2]quests!$A$1,0,0,COUNTA([2]quests!$A:$A),MATCH(C$1,[2]quests!$1:$1,0)-MATCH($B$1,[2]quests!$1:$1,0)+1),MATCH(C$1,[2]quests!$1:$1,0)-MATCH($B$1,[2]quests!$1:$1,0)+1,FALSE)</f>
        <v>僕の愛よあの子にとどけ！</v>
      </c>
      <c r="D6" s="79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1">
        <v>0</v>
      </c>
      <c r="I6" s="86">
        <f t="shared" si="0"/>
        <v>5</v>
      </c>
      <c r="J6" s="82" t="str">
        <f t="shared" si="1"/>
        <v>4701005</v>
      </c>
      <c r="K6" s="80" t="s">
        <v>197</v>
      </c>
      <c r="L6" s="83" t="s">
        <v>343</v>
      </c>
      <c r="M6" s="186" t="s">
        <v>361</v>
      </c>
      <c r="N6" s="55" t="s">
        <v>198</v>
      </c>
    </row>
    <row r="7" spans="1:14" ht="60" customHeight="1" x14ac:dyDescent="0.15">
      <c r="A7" s="77" t="s">
        <v>342</v>
      </c>
      <c r="B7" s="78">
        <f>floors!$C$2</f>
        <v>47010</v>
      </c>
      <c r="C7" s="79" t="str">
        <f ca="1">VLOOKUP($B7,OFFSET([2]quests!$A$1,0,0,COUNTA([2]quests!$A:$A),MATCH(C$1,[2]quests!$1:$1,0)-MATCH($B$1,[2]quests!$1:$1,0)+1),MATCH(C$1,[2]quests!$1:$1,0)-MATCH($B$1,[2]quests!$1:$1,0)+1,FALSE)</f>
        <v>僕の愛よあの子にとどけ！</v>
      </c>
      <c r="D7" s="79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1">
        <v>0</v>
      </c>
      <c r="I7" s="86">
        <f t="shared" si="0"/>
        <v>6</v>
      </c>
      <c r="J7" s="82" t="str">
        <f t="shared" si="1"/>
        <v>4701006</v>
      </c>
      <c r="K7" s="80" t="s">
        <v>197</v>
      </c>
      <c r="L7" s="83" t="s">
        <v>344</v>
      </c>
      <c r="M7" s="186" t="s">
        <v>450</v>
      </c>
      <c r="N7" s="55" t="s">
        <v>198</v>
      </c>
    </row>
    <row r="8" spans="1:14" ht="60" customHeight="1" thickBot="1" x14ac:dyDescent="0.2">
      <c r="A8" s="194" t="s">
        <v>342</v>
      </c>
      <c r="B8" s="195">
        <f>floors!$C$2</f>
        <v>47010</v>
      </c>
      <c r="C8" s="196" t="str">
        <f ca="1">VLOOKUP($B8,OFFSET([2]quests!$A$1,0,0,COUNTA([2]quests!$A:$A),MATCH(C$1,[2]quests!$1:$1,0)-MATCH($B$1,[2]quests!$1:$1,0)+1),MATCH(C$1,[2]quests!$1:$1,0)-MATCH($B$1,[2]quests!$1:$1,0)+1,FALSE)</f>
        <v>僕の愛よあの子にとどけ！</v>
      </c>
      <c r="D8" s="196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197">
        <v>1</v>
      </c>
      <c r="F8" s="196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8" s="196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198">
        <v>0</v>
      </c>
      <c r="I8" s="199">
        <f t="shared" si="0"/>
        <v>7</v>
      </c>
      <c r="J8" s="200" t="str">
        <f t="shared" si="1"/>
        <v>4701007</v>
      </c>
      <c r="K8" s="197" t="s">
        <v>197</v>
      </c>
      <c r="L8" s="201" t="s">
        <v>347</v>
      </c>
      <c r="M8" s="202" t="s">
        <v>362</v>
      </c>
      <c r="N8" s="203" t="s">
        <v>198</v>
      </c>
    </row>
    <row r="9" spans="1:14" ht="62" customHeight="1" thickTop="1" x14ac:dyDescent="0.15">
      <c r="A9" s="187" t="s">
        <v>196</v>
      </c>
      <c r="B9" s="188">
        <f>floors!$C$2</f>
        <v>47010</v>
      </c>
      <c r="C9" s="79" t="str">
        <f ca="1">VLOOKUP($B9,OFFSET([2]quests!$A$1,0,0,COUNTA([2]quests!$A:$A),MATCH(C$1,[2]quests!$1:$1,0)-MATCH($B$1,[2]quests!$1:$1,0)+1),MATCH(C$1,[2]quests!$1:$1,0)-MATCH($B$1,[2]quests!$1:$1,0)+1,FALSE)</f>
        <v>僕の愛よあの子にとどけ！</v>
      </c>
      <c r="D9" s="79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189">
        <v>2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1">
        <v>2</v>
      </c>
      <c r="I9" s="190">
        <f>ROW()-1</f>
        <v>8</v>
      </c>
      <c r="J9" s="191" t="str">
        <f>B9&amp;TEXT(I9,"00")</f>
        <v>4701008</v>
      </c>
      <c r="K9" s="189" t="s">
        <v>197</v>
      </c>
      <c r="L9" s="192" t="s">
        <v>247</v>
      </c>
      <c r="M9" s="186" t="s">
        <v>466</v>
      </c>
      <c r="N9" s="193" t="s">
        <v>198</v>
      </c>
    </row>
    <row r="10" spans="1:14" ht="62" customHeight="1" x14ac:dyDescent="0.15">
      <c r="A10" s="77" t="s">
        <v>196</v>
      </c>
      <c r="B10" s="78">
        <f>floors!$C$2</f>
        <v>47010</v>
      </c>
      <c r="C10" s="79" t="str">
        <f ca="1">VLOOKUP($B10,OFFSET([2]quests!$A$1,0,0,COUNTA([2]quests!$A:$A),MATCH(C$1,[2]quests!$1:$1,0)-MATCH($B$1,[2]quests!$1:$1,0)+1),MATCH(C$1,[2]quests!$1:$1,0)-MATCH($B$1,[2]quests!$1:$1,0)+1,FALSE)</f>
        <v>僕の愛よあの子にとどけ！</v>
      </c>
      <c r="D10" s="79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0">
        <v>2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1">
        <v>2</v>
      </c>
      <c r="I10" s="86">
        <f t="shared" si="0"/>
        <v>9</v>
      </c>
      <c r="J10" s="82" t="str">
        <f t="shared" ref="J10:J15" si="2">B10&amp;TEXT(I10,"00")</f>
        <v>4701009</v>
      </c>
      <c r="K10" s="80" t="s">
        <v>197</v>
      </c>
      <c r="L10" s="83" t="s">
        <v>247</v>
      </c>
      <c r="M10" s="186" t="s">
        <v>345</v>
      </c>
      <c r="N10" s="55" t="s">
        <v>198</v>
      </c>
    </row>
    <row r="11" spans="1:14" ht="62" customHeight="1" x14ac:dyDescent="0.15">
      <c r="A11" s="77" t="s">
        <v>196</v>
      </c>
      <c r="B11" s="78">
        <f>floors!$C$2</f>
        <v>47010</v>
      </c>
      <c r="C11" s="79" t="str">
        <f ca="1">VLOOKUP($B11,OFFSET([2]quests!$A$1,0,0,COUNTA([2]quests!$A:$A),MATCH(C$1,[2]quests!$1:$1,0)-MATCH($B$1,[2]quests!$1:$1,0)+1),MATCH(C$1,[2]quests!$1:$1,0)-MATCH($B$1,[2]quests!$1:$1,0)+1,FALSE)</f>
        <v>僕の愛よあの子にとどけ！</v>
      </c>
      <c r="D11" s="79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0">
        <v>2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1">
        <v>2</v>
      </c>
      <c r="I11" s="86">
        <f t="shared" si="0"/>
        <v>10</v>
      </c>
      <c r="J11" s="82" t="str">
        <f t="shared" si="2"/>
        <v>4701010</v>
      </c>
      <c r="K11" s="80" t="s">
        <v>197</v>
      </c>
      <c r="L11" s="83" t="s">
        <v>247</v>
      </c>
      <c r="M11" s="186" t="s">
        <v>467</v>
      </c>
      <c r="N11" s="55" t="s">
        <v>198</v>
      </c>
    </row>
    <row r="12" spans="1:14" ht="62" customHeight="1" x14ac:dyDescent="0.15">
      <c r="A12" s="77" t="s">
        <v>196</v>
      </c>
      <c r="B12" s="78">
        <f>floors!$C$2</f>
        <v>47010</v>
      </c>
      <c r="C12" s="79" t="str">
        <f ca="1">VLOOKUP($B12,OFFSET([2]quests!$A$1,0,0,COUNTA([2]quests!$A:$A),MATCH(C$1,[2]quests!$1:$1,0)-MATCH($B$1,[2]quests!$1:$1,0)+1),MATCH(C$1,[2]quests!$1:$1,0)-MATCH($B$1,[2]quests!$1:$1,0)+1,FALSE)</f>
        <v>僕の愛よあの子にとどけ！</v>
      </c>
      <c r="D12" s="79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0">
        <v>2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1">
        <v>2</v>
      </c>
      <c r="I12" s="86">
        <f t="shared" si="0"/>
        <v>11</v>
      </c>
      <c r="J12" s="82" t="str">
        <f t="shared" si="2"/>
        <v>4701011</v>
      </c>
      <c r="K12" s="80" t="s">
        <v>197</v>
      </c>
      <c r="L12" s="83" t="s">
        <v>247</v>
      </c>
      <c r="M12" s="186" t="s">
        <v>346</v>
      </c>
      <c r="N12" s="55" t="s">
        <v>198</v>
      </c>
    </row>
    <row r="13" spans="1:14" ht="60" customHeight="1" x14ac:dyDescent="0.15">
      <c r="A13" s="77" t="s">
        <v>342</v>
      </c>
      <c r="B13" s="78">
        <f>floors!$C$2</f>
        <v>47010</v>
      </c>
      <c r="C13" s="79" t="str">
        <f ca="1">VLOOKUP($B13,OFFSET([2]quests!$A$1,0,0,COUNTA([2]quests!$A:$A),MATCH(C$1,[2]quests!$1:$1,0)-MATCH($B$1,[2]quests!$1:$1,0)+1),MATCH(C$1,[2]quests!$1:$1,0)-MATCH($B$1,[2]quests!$1:$1,0)+1,FALSE)</f>
        <v>僕の愛よあの子にとどけ！</v>
      </c>
      <c r="D13" s="79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0">
        <v>2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1">
        <v>0</v>
      </c>
      <c r="I13" s="86">
        <f t="shared" si="0"/>
        <v>12</v>
      </c>
      <c r="J13" s="82" t="str">
        <f t="shared" si="2"/>
        <v>4701012</v>
      </c>
      <c r="K13" s="80" t="s">
        <v>197</v>
      </c>
      <c r="L13" s="83" t="s">
        <v>343</v>
      </c>
      <c r="M13" s="186" t="s">
        <v>361</v>
      </c>
      <c r="N13" s="55" t="s">
        <v>198</v>
      </c>
    </row>
    <row r="14" spans="1:14" ht="60" customHeight="1" x14ac:dyDescent="0.15">
      <c r="A14" s="77" t="s">
        <v>342</v>
      </c>
      <c r="B14" s="78">
        <f>floors!$C$2</f>
        <v>47010</v>
      </c>
      <c r="C14" s="79" t="str">
        <f ca="1">VLOOKUP($B14,OFFSET([2]quests!$A$1,0,0,COUNTA([2]quests!$A:$A),MATCH(C$1,[2]quests!$1:$1,0)-MATCH($B$1,[2]quests!$1:$1,0)+1),MATCH(C$1,[2]quests!$1:$1,0)-MATCH($B$1,[2]quests!$1:$1,0)+1,FALSE)</f>
        <v>僕の愛よあの子にとどけ！</v>
      </c>
      <c r="D14" s="79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0">
        <v>2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1">
        <v>0</v>
      </c>
      <c r="I14" s="86">
        <f t="shared" si="0"/>
        <v>13</v>
      </c>
      <c r="J14" s="82" t="str">
        <f t="shared" si="2"/>
        <v>4701013</v>
      </c>
      <c r="K14" s="80" t="s">
        <v>197</v>
      </c>
      <c r="L14" s="83" t="s">
        <v>344</v>
      </c>
      <c r="M14" s="186" t="s">
        <v>450</v>
      </c>
      <c r="N14" s="55" t="s">
        <v>198</v>
      </c>
    </row>
    <row r="15" spans="1:14" ht="60" customHeight="1" thickBot="1" x14ac:dyDescent="0.2">
      <c r="A15" s="77" t="s">
        <v>342</v>
      </c>
      <c r="B15" s="78">
        <f>floors!$C$2</f>
        <v>47010</v>
      </c>
      <c r="C15" s="79" t="str">
        <f ca="1">VLOOKUP($B15,OFFSET([2]quests!$A$1,0,0,COUNTA([2]quests!$A:$A),MATCH(C$1,[2]quests!$1:$1,0)-MATCH($B$1,[2]quests!$1:$1,0)+1),MATCH(C$1,[2]quests!$1:$1,0)-MATCH($B$1,[2]quests!$1:$1,0)+1,FALSE)</f>
        <v>僕の愛よあの子にとどけ！</v>
      </c>
      <c r="D15" s="79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0">
        <v>2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1">
        <v>0</v>
      </c>
      <c r="I15" s="86">
        <f t="shared" si="0"/>
        <v>14</v>
      </c>
      <c r="J15" s="82" t="str">
        <f t="shared" si="2"/>
        <v>4701014</v>
      </c>
      <c r="K15" s="80" t="s">
        <v>197</v>
      </c>
      <c r="L15" s="83" t="s">
        <v>347</v>
      </c>
      <c r="M15" s="202" t="s">
        <v>362</v>
      </c>
      <c r="N15" s="55" t="s">
        <v>198</v>
      </c>
    </row>
    <row r="16" spans="1:14" ht="16" thickTop="1" x14ac:dyDescent="0.15"/>
  </sheetData>
  <phoneticPr fontId="5"/>
  <dataValidations disablePrompts="1"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0"/>
  <sheetViews>
    <sheetView showGridLines="0" workbookViewId="0">
      <pane ySplit="1" topLeftCell="A2" activePane="bottomLeft" state="frozen"/>
      <selection pane="bottomLeft" activeCell="I19" sqref="I1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9.3320312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210</v>
      </c>
      <c r="B1" s="91" t="s">
        <v>211</v>
      </c>
      <c r="C1" s="73" t="s">
        <v>212</v>
      </c>
      <c r="D1" s="73" t="s">
        <v>33</v>
      </c>
      <c r="E1" s="91" t="s">
        <v>213</v>
      </c>
      <c r="F1" s="73" t="s">
        <v>214</v>
      </c>
      <c r="G1" s="73" t="s">
        <v>33</v>
      </c>
      <c r="H1" s="91" t="s">
        <v>215</v>
      </c>
      <c r="I1" s="91" t="s">
        <v>216</v>
      </c>
      <c r="J1" s="91" t="s">
        <v>217</v>
      </c>
      <c r="K1" s="69" t="s">
        <v>218</v>
      </c>
      <c r="L1" s="69" t="s">
        <v>219</v>
      </c>
      <c r="M1" s="69" t="s">
        <v>156</v>
      </c>
      <c r="N1" s="73" t="s">
        <v>16</v>
      </c>
      <c r="O1" s="69" t="s">
        <v>220</v>
      </c>
      <c r="P1" s="69" t="s">
        <v>57</v>
      </c>
      <c r="Q1" s="69" t="s">
        <v>221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222</v>
      </c>
      <c r="X1" s="69" t="s">
        <v>223</v>
      </c>
    </row>
    <row r="2" spans="1:24" x14ac:dyDescent="0.15">
      <c r="A2" s="92" t="str">
        <f>B2&amp;"_"&amp;E2&amp;"_"&amp;H2&amp;"_"&amp;I2&amp;"_"&amp;J2</f>
        <v>47010_1_everyone_clear_1</v>
      </c>
      <c r="B2" s="188">
        <v>47010</v>
      </c>
      <c r="C2" s="79" t="str">
        <f ca="1">VLOOKUP($B2,OFFSET([2]quests!$A$1,0,0,COUNTA([2]quests!$A:$A),MATCH(C$1,[2]quests!$1:$1,0)-MATCH($B$1,[2]quests!$1:$1,0)+1),MATCH(C$1,[2]quests!$1:$1,0)-MATCH($B$1,[2]quests!$1:$1,0)+1,FALSE)</f>
        <v>僕の愛よあの子にとどけ！</v>
      </c>
      <c r="D2" s="79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189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1" t="s">
        <v>499</v>
      </c>
      <c r="I2" s="189" t="s">
        <v>500</v>
      </c>
      <c r="J2" s="312">
        <v>1</v>
      </c>
      <c r="K2" s="189">
        <v>50</v>
      </c>
      <c r="L2" s="189" t="s">
        <v>501</v>
      </c>
      <c r="M2" s="313">
        <v>703</v>
      </c>
      <c r="N2" s="31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189">
        <v>3</v>
      </c>
      <c r="P2" s="189">
        <v>1</v>
      </c>
      <c r="Q2" s="189">
        <v>1</v>
      </c>
      <c r="R2" s="189">
        <v>0</v>
      </c>
      <c r="S2" s="189">
        <v>0</v>
      </c>
      <c r="T2" s="189">
        <v>0</v>
      </c>
      <c r="U2" s="189">
        <v>0</v>
      </c>
      <c r="V2" s="189">
        <v>1</v>
      </c>
      <c r="W2" s="315" t="s">
        <v>502</v>
      </c>
      <c r="X2" s="316" t="s">
        <v>503</v>
      </c>
    </row>
    <row r="3" spans="1:24" x14ac:dyDescent="0.15">
      <c r="A3" s="92" t="str">
        <f>B3&amp;"_"&amp;E3&amp;"_"&amp;H3&amp;"_"&amp;I3&amp;"_"&amp;J3</f>
        <v>47010_1_everyone_clear_2</v>
      </c>
      <c r="B3" s="188">
        <v>47010</v>
      </c>
      <c r="C3" s="79" t="str">
        <f ca="1">VLOOKUP($B3,OFFSET([2]quests!$A$1,0,0,COUNTA([2]quests!$A:$A),MATCH(C$1,[2]quests!$1:$1,0)-MATCH($B$1,[2]quests!$1:$1,0)+1),MATCH(C$1,[2]quests!$1:$1,0)-MATCH($B$1,[2]quests!$1:$1,0)+1,FALSE)</f>
        <v>僕の愛よあの子にとどけ！</v>
      </c>
      <c r="D3" s="79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189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1" t="s">
        <v>499</v>
      </c>
      <c r="I3" s="189" t="s">
        <v>500</v>
      </c>
      <c r="J3" s="312">
        <v>2</v>
      </c>
      <c r="K3" s="189">
        <v>50</v>
      </c>
      <c r="L3" s="189" t="s">
        <v>501</v>
      </c>
      <c r="M3" s="313">
        <v>703</v>
      </c>
      <c r="N3" s="31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189">
        <v>5</v>
      </c>
      <c r="P3" s="189">
        <v>1</v>
      </c>
      <c r="Q3" s="189">
        <v>1</v>
      </c>
      <c r="R3" s="189">
        <v>0</v>
      </c>
      <c r="S3" s="189">
        <v>0</v>
      </c>
      <c r="T3" s="189">
        <v>0</v>
      </c>
      <c r="U3" s="189">
        <v>0</v>
      </c>
      <c r="V3" s="189">
        <v>1</v>
      </c>
      <c r="W3" s="315" t="s">
        <v>502</v>
      </c>
      <c r="X3" s="316" t="s">
        <v>503</v>
      </c>
    </row>
    <row r="4" spans="1:24" x14ac:dyDescent="0.15">
      <c r="A4" s="92" t="str">
        <f>B4&amp;"_"&amp;E4&amp;"_"&amp;H4&amp;"_"&amp;I4&amp;"_"&amp;J4</f>
        <v>47010_1_everyone_full_member_3</v>
      </c>
      <c r="B4" s="78">
        <v>47010</v>
      </c>
      <c r="C4" s="79" t="str">
        <f ca="1">VLOOKUP($B4,OFFSET([2]quests!$A$1,0,0,COUNTA([2]quests!$A:$A),MATCH(C$1,[2]quests!$1:$1,0)-MATCH($B$1,[2]quests!$1:$1,0)+1),MATCH(C$1,[2]quests!$1:$1,0)-MATCH($B$1,[2]quests!$1:$1,0)+1,FALSE)</f>
        <v>僕の愛よあの子にとどけ！</v>
      </c>
      <c r="D4" s="79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1" t="s">
        <v>506</v>
      </c>
      <c r="I4" s="80" t="s">
        <v>507</v>
      </c>
      <c r="J4" s="312">
        <v>3</v>
      </c>
      <c r="K4" s="80">
        <v>50</v>
      </c>
      <c r="L4" s="80" t="s">
        <v>510</v>
      </c>
      <c r="M4" s="311">
        <v>703</v>
      </c>
      <c r="N4" s="93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80">
        <v>1</v>
      </c>
      <c r="P4" s="80">
        <v>1</v>
      </c>
      <c r="Q4" s="80">
        <v>1</v>
      </c>
      <c r="R4" s="80">
        <v>0</v>
      </c>
      <c r="S4" s="80">
        <v>0</v>
      </c>
      <c r="T4" s="80">
        <v>0</v>
      </c>
      <c r="U4" s="80">
        <v>0</v>
      </c>
      <c r="V4" s="80">
        <v>1</v>
      </c>
      <c r="W4" s="94" t="s">
        <v>504</v>
      </c>
      <c r="X4" s="95" t="s">
        <v>505</v>
      </c>
    </row>
    <row r="5" spans="1:24" ht="16" thickBot="1" x14ac:dyDescent="0.2">
      <c r="A5" s="318" t="str">
        <f>B5&amp;"_"&amp;E5&amp;"_"&amp;H5&amp;"_"&amp;I5&amp;"_"&amp;J5</f>
        <v>47010_1_everyone_full_member_4</v>
      </c>
      <c r="B5" s="195">
        <v>47010</v>
      </c>
      <c r="C5" s="319" t="str">
        <f ca="1">VLOOKUP($B5,OFFSET([2]quests!$A$1,0,0,COUNTA([2]quests!$A:$A),MATCH(C$1,[2]quests!$1:$1,0)-MATCH($B$1,[2]quests!$1:$1,0)+1),MATCH(C$1,[2]quests!$1:$1,0)-MATCH($B$1,[2]quests!$1:$1,0)+1,FALSE)</f>
        <v>僕の愛よあの子にとどけ！</v>
      </c>
      <c r="D5" s="319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197">
        <v>1</v>
      </c>
      <c r="F5" s="319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【上級】僕の愛よあの子にとどけ！</v>
      </c>
      <c r="G5" s="319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320" t="s">
        <v>506</v>
      </c>
      <c r="I5" s="197" t="s">
        <v>507</v>
      </c>
      <c r="J5" s="321">
        <v>4</v>
      </c>
      <c r="K5" s="197">
        <v>50</v>
      </c>
      <c r="L5" s="197" t="s">
        <v>510</v>
      </c>
      <c r="M5" s="322">
        <v>703</v>
      </c>
      <c r="N5" s="323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197">
        <v>3</v>
      </c>
      <c r="P5" s="197">
        <v>1</v>
      </c>
      <c r="Q5" s="197">
        <v>1</v>
      </c>
      <c r="R5" s="197">
        <v>0</v>
      </c>
      <c r="S5" s="197">
        <v>0</v>
      </c>
      <c r="T5" s="197">
        <v>0</v>
      </c>
      <c r="U5" s="197">
        <v>0</v>
      </c>
      <c r="V5" s="197">
        <v>1</v>
      </c>
      <c r="W5" s="324" t="s">
        <v>504</v>
      </c>
      <c r="X5" s="325" t="s">
        <v>505</v>
      </c>
    </row>
    <row r="6" spans="1:24" ht="16" thickTop="1" x14ac:dyDescent="0.15">
      <c r="A6" s="92" t="str">
        <f>B6&amp;"_"&amp;E6&amp;"_"&amp;H6&amp;"_"&amp;I6&amp;"_"&amp;J6</f>
        <v>47010_2_everyone_clear_5</v>
      </c>
      <c r="B6" s="188">
        <v>47010</v>
      </c>
      <c r="C6" s="79" t="str">
        <f ca="1">VLOOKUP($B6,OFFSET([2]quests!$A$1,0,0,COUNTA([2]quests!$A:$A),MATCH(C$1,[2]quests!$1:$1,0)-MATCH($B$1,[2]quests!$1:$1,0)+1),MATCH(C$1,[2]quests!$1:$1,0)-MATCH($B$1,[2]quests!$1:$1,0)+1,FALSE)</f>
        <v>僕の愛よあの子にとどけ！</v>
      </c>
      <c r="D6" s="79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189">
        <v>2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1" t="s">
        <v>499</v>
      </c>
      <c r="I6" s="189" t="s">
        <v>500</v>
      </c>
      <c r="J6" s="312">
        <v>5</v>
      </c>
      <c r="K6" s="189">
        <v>100</v>
      </c>
      <c r="L6" s="189" t="s">
        <v>501</v>
      </c>
      <c r="M6" s="313">
        <v>703</v>
      </c>
      <c r="N6" s="314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/>
      </c>
      <c r="O6" s="189">
        <v>5</v>
      </c>
      <c r="P6" s="189">
        <v>1</v>
      </c>
      <c r="Q6" s="189">
        <v>1</v>
      </c>
      <c r="R6" s="189">
        <v>0</v>
      </c>
      <c r="S6" s="189">
        <v>0</v>
      </c>
      <c r="T6" s="189">
        <v>0</v>
      </c>
      <c r="U6" s="189">
        <v>0</v>
      </c>
      <c r="V6" s="189">
        <v>1</v>
      </c>
      <c r="W6" s="315" t="s">
        <v>502</v>
      </c>
      <c r="X6" s="316" t="s">
        <v>503</v>
      </c>
    </row>
    <row r="7" spans="1:24" x14ac:dyDescent="0.15">
      <c r="A7" s="92" t="str">
        <f t="shared" ref="A7" si="0">B7&amp;"_"&amp;E7&amp;"_"&amp;H7&amp;"_"&amp;I7&amp;"_"&amp;J7</f>
        <v>47010_2_everyone_no_continue_6</v>
      </c>
      <c r="B7" s="78">
        <v>47010</v>
      </c>
      <c r="C7" s="79" t="str">
        <f ca="1">VLOOKUP($B7,OFFSET([2]quests!$A$1,0,0,COUNTA([2]quests!$A:$A),MATCH(C$1,[2]quests!$1:$1,0)-MATCH($B$1,[2]quests!$1:$1,0)+1),MATCH(C$1,[2]quests!$1:$1,0)-MATCH($B$1,[2]quests!$1:$1,0)+1,FALSE)</f>
        <v>僕の愛よあの子にとどけ！</v>
      </c>
      <c r="D7" s="79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0">
        <v>2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1" t="s">
        <v>508</v>
      </c>
      <c r="I7" s="80" t="s">
        <v>509</v>
      </c>
      <c r="J7" s="312">
        <v>6</v>
      </c>
      <c r="K7" s="80">
        <v>100</v>
      </c>
      <c r="L7" s="80" t="s">
        <v>510</v>
      </c>
      <c r="M7" s="311">
        <v>703</v>
      </c>
      <c r="N7" s="93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/>
      </c>
      <c r="O7" s="80">
        <v>5</v>
      </c>
      <c r="P7" s="80">
        <v>1</v>
      </c>
      <c r="Q7" s="80">
        <v>1</v>
      </c>
      <c r="R7" s="80">
        <v>0</v>
      </c>
      <c r="S7" s="80">
        <v>0</v>
      </c>
      <c r="T7" s="80">
        <v>0</v>
      </c>
      <c r="U7" s="80">
        <v>0</v>
      </c>
      <c r="V7" s="80">
        <v>1</v>
      </c>
      <c r="W7" s="94" t="s">
        <v>511</v>
      </c>
      <c r="X7" s="95" t="s">
        <v>512</v>
      </c>
    </row>
    <row r="8" spans="1:24" x14ac:dyDescent="0.15">
      <c r="A8" s="317" t="str">
        <f>B8&amp;"_"&amp;E8&amp;"_"&amp;H8&amp;"_"&amp;I8&amp;"_"&amp;J8</f>
        <v>47010_2_everyone_full_member_7</v>
      </c>
      <c r="B8" s="78">
        <v>47010</v>
      </c>
      <c r="C8" s="79" t="str">
        <f ca="1">VLOOKUP($B8,OFFSET([2]quests!$A$1,0,0,COUNTA([2]quests!$A:$A),MATCH(C$1,[2]quests!$1:$1,0)-MATCH($B$1,[2]quests!$1:$1,0)+1),MATCH(C$1,[2]quests!$1:$1,0)-MATCH($B$1,[2]quests!$1:$1,0)+1,FALSE)</f>
        <v>僕の愛よあの子にとどけ！</v>
      </c>
      <c r="D8" s="79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0">
        <v>2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1" t="s">
        <v>506</v>
      </c>
      <c r="I8" s="80" t="s">
        <v>507</v>
      </c>
      <c r="J8" s="312">
        <v>7</v>
      </c>
      <c r="K8" s="80">
        <v>50</v>
      </c>
      <c r="L8" s="80" t="s">
        <v>510</v>
      </c>
      <c r="M8" s="311">
        <v>703</v>
      </c>
      <c r="N8" s="93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/>
      </c>
      <c r="O8" s="80">
        <v>3</v>
      </c>
      <c r="P8" s="80">
        <v>1</v>
      </c>
      <c r="Q8" s="80">
        <v>1</v>
      </c>
      <c r="R8" s="80">
        <v>0</v>
      </c>
      <c r="S8" s="80">
        <v>0</v>
      </c>
      <c r="T8" s="80">
        <v>0</v>
      </c>
      <c r="U8" s="80">
        <v>0</v>
      </c>
      <c r="V8" s="80">
        <v>1</v>
      </c>
      <c r="W8" s="94" t="s">
        <v>504</v>
      </c>
      <c r="X8" s="95" t="s">
        <v>505</v>
      </c>
    </row>
    <row r="9" spans="1:24" ht="16" thickBot="1" x14ac:dyDescent="0.2">
      <c r="A9" s="318" t="str">
        <f>B9&amp;"_"&amp;E9&amp;"_"&amp;H9&amp;"_"&amp;I9&amp;"_"&amp;J9</f>
        <v>47010_2_everyone_full_member_8</v>
      </c>
      <c r="B9" s="195">
        <v>47010</v>
      </c>
      <c r="C9" s="319" t="str">
        <f ca="1">VLOOKUP($B9,OFFSET([2]quests!$A$1,0,0,COUNTA([2]quests!$A:$A),MATCH(C$1,[2]quests!$1:$1,0)-MATCH($B$1,[2]quests!$1:$1,0)+1),MATCH(C$1,[2]quests!$1:$1,0)-MATCH($B$1,[2]quests!$1:$1,0)+1,FALSE)</f>
        <v>僕の愛よあの子にとどけ！</v>
      </c>
      <c r="D9" s="319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197">
        <v>2</v>
      </c>
      <c r="F9" s="319" t="str">
        <f ca="1">VLOOKUP($B9&amp;"_"&amp;$E9,OFFSET([2]stages!$A$1,0,0,COUNTA([2]stages!$A:$A),MATCH(F$1,[2]stages!$2:$2,0)-MATCH("temp_stage",[2]stages!$2:$2,0)+1),MATCH(F$1,[2]stages!$2:$2,0)-MATCH("temp_stage",[2]stages!$2:$2,0)+1,FALSE)</f>
        <v>【ｳｨｻﾞ】僕の愛よあの子にとどけ！</v>
      </c>
      <c r="G9" s="319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320" t="s">
        <v>506</v>
      </c>
      <c r="I9" s="197" t="s">
        <v>507</v>
      </c>
      <c r="J9" s="321">
        <v>8</v>
      </c>
      <c r="K9" s="197">
        <v>50</v>
      </c>
      <c r="L9" s="197" t="s">
        <v>510</v>
      </c>
      <c r="M9" s="322">
        <v>703</v>
      </c>
      <c r="N9" s="323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/>
      </c>
      <c r="O9" s="197">
        <v>5</v>
      </c>
      <c r="P9" s="197">
        <v>1</v>
      </c>
      <c r="Q9" s="197">
        <v>1</v>
      </c>
      <c r="R9" s="197">
        <v>0</v>
      </c>
      <c r="S9" s="197">
        <v>0</v>
      </c>
      <c r="T9" s="197">
        <v>0</v>
      </c>
      <c r="U9" s="197">
        <v>0</v>
      </c>
      <c r="V9" s="197">
        <v>1</v>
      </c>
      <c r="W9" s="324" t="s">
        <v>504</v>
      </c>
      <c r="X9" s="325" t="s">
        <v>505</v>
      </c>
    </row>
    <row r="10" spans="1:24" ht="16" thickTop="1" x14ac:dyDescent="0.15"/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2017-03-07T06:11:17Z</dcterms:modified>
</cp:coreProperties>
</file>