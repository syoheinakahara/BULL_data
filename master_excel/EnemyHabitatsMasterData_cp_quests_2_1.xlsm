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27011" codeName="{8C4F1C90-05EB-6A55-5F09-09C24B55AC0B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mac/BULL_data/master_excel/"/>
    </mc:Choice>
  </mc:AlternateContent>
  <bookViews>
    <workbookView xWindow="3800" yWindow="720" windowWidth="27340" windowHeight="18420" activeTab="3"/>
  </bookViews>
  <sheets>
    <sheet name="floors_cp_quests2_1" sheetId="2" r:id="rId1"/>
    <sheet name="enemy_habitats_cp_quests2_1" sheetId="1" r:id="rId2"/>
    <sheet name="floors_cp_quests2_1.tmp" sheetId="5" r:id="rId3"/>
    <sheet name="enemy_habitats_cp_quests2_1.tmp" sheetId="6" r:id="rId4"/>
  </sheets>
  <externalReferences>
    <externalReference r:id="rId5"/>
    <externalReference r:id="rId6"/>
    <externalReference r:id="rId7"/>
    <externalReference r:id="rId8"/>
  </externalReferences>
  <definedNames>
    <definedName name="_xlnm._FilterDatabase" localSheetId="1" hidden="1">enemy_habitats_cp_quests2_1!$B$1:$AE$2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" i="6" l="1"/>
  <c r="A1" i="6"/>
  <c r="A40" i="6"/>
  <c r="A2" i="1"/>
  <c r="A3" i="1"/>
  <c r="A4" i="1"/>
  <c r="A5" i="1"/>
  <c r="A6" i="1"/>
  <c r="A7" i="1"/>
  <c r="A8" i="1"/>
  <c r="A9" i="1"/>
  <c r="A10" i="1"/>
  <c r="A11" i="1"/>
  <c r="A12" i="1"/>
  <c r="A13" i="1"/>
  <c r="A14" i="1"/>
  <c r="A18" i="1"/>
  <c r="A21" i="1"/>
  <c r="A22" i="1"/>
  <c r="A25" i="1"/>
  <c r="A26" i="1"/>
  <c r="A29" i="1"/>
  <c r="A30" i="1"/>
  <c r="A33" i="1"/>
  <c r="A34" i="1"/>
  <c r="A37" i="1"/>
  <c r="B1" i="6"/>
  <c r="AA39" i="1"/>
  <c r="AD39" i="1"/>
  <c r="A39" i="6"/>
  <c r="AA38" i="1"/>
  <c r="AD38" i="1"/>
  <c r="A38" i="6"/>
  <c r="A37" i="6"/>
  <c r="AA36" i="1"/>
  <c r="AD36" i="1"/>
  <c r="A36" i="6"/>
  <c r="AA35" i="1"/>
  <c r="AD35" i="1"/>
  <c r="A35" i="6"/>
  <c r="A34" i="6"/>
  <c r="A33" i="6"/>
  <c r="AA32" i="1"/>
  <c r="AD32" i="1"/>
  <c r="A32" i="6"/>
  <c r="AA31" i="1"/>
  <c r="AD31" i="1"/>
  <c r="A31" i="6"/>
  <c r="A30" i="6"/>
  <c r="A29" i="6"/>
  <c r="AA28" i="1"/>
  <c r="AD28" i="1"/>
  <c r="A28" i="6"/>
  <c r="AA27" i="1"/>
  <c r="AD27" i="1"/>
  <c r="A27" i="6"/>
  <c r="A26" i="6"/>
  <c r="A25" i="6"/>
  <c r="AA24" i="1"/>
  <c r="AD24" i="1"/>
  <c r="A24" i="6"/>
  <c r="AA23" i="1"/>
  <c r="AD23" i="1"/>
  <c r="A23" i="6"/>
  <c r="A22" i="6"/>
  <c r="A21" i="6"/>
  <c r="AA20" i="1"/>
  <c r="AD20" i="1"/>
  <c r="A20" i="6"/>
  <c r="AA19" i="1"/>
  <c r="AD19" i="1"/>
  <c r="A19" i="6"/>
  <c r="A18" i="6"/>
  <c r="AA17" i="1"/>
  <c r="AD17" i="1"/>
  <c r="A17" i="6"/>
  <c r="AA16" i="1"/>
  <c r="AD16" i="1"/>
  <c r="A16" i="6"/>
  <c r="AA15" i="1"/>
  <c r="AD15" i="1"/>
  <c r="A15" i="6"/>
  <c r="A14" i="6"/>
  <c r="A13" i="6"/>
  <c r="A12" i="6"/>
  <c r="A11" i="6"/>
  <c r="A10" i="6"/>
  <c r="A9" i="6"/>
  <c r="A8" i="6"/>
  <c r="A7" i="6"/>
  <c r="A6" i="6"/>
  <c r="A5" i="6"/>
  <c r="A4" i="6"/>
  <c r="C1" i="5"/>
  <c r="A1" i="5"/>
  <c r="A7" i="5"/>
  <c r="B1" i="5"/>
  <c r="E7" i="5"/>
  <c r="F7" i="5"/>
  <c r="A8" i="5"/>
  <c r="E8" i="5"/>
  <c r="F8" i="5"/>
  <c r="A9" i="5"/>
  <c r="E9" i="5"/>
  <c r="F9" i="5"/>
  <c r="A10" i="5"/>
  <c r="E10" i="5"/>
  <c r="F10" i="5"/>
  <c r="A11" i="5"/>
  <c r="E11" i="5"/>
  <c r="F11" i="5"/>
  <c r="AB39" i="1"/>
  <c r="Z39" i="1"/>
  <c r="S39" i="1"/>
  <c r="N39" i="1"/>
  <c r="M39" i="1"/>
  <c r="L39" i="1"/>
  <c r="K39" i="1"/>
  <c r="J39" i="1"/>
  <c r="H39" i="1"/>
  <c r="D39" i="1"/>
  <c r="F39" i="1"/>
  <c r="E39" i="1"/>
  <c r="A39" i="1"/>
  <c r="AB38" i="1"/>
  <c r="Z38" i="1"/>
  <c r="S38" i="1"/>
  <c r="N38" i="1"/>
  <c r="M38" i="1"/>
  <c r="L38" i="1"/>
  <c r="K38" i="1"/>
  <c r="J38" i="1"/>
  <c r="H38" i="1"/>
  <c r="D38" i="1"/>
  <c r="F38" i="1"/>
  <c r="E38" i="1"/>
  <c r="A38" i="1"/>
  <c r="AA37" i="1"/>
  <c r="AD37" i="1"/>
  <c r="AB37" i="1"/>
  <c r="Z37" i="1"/>
  <c r="S37" i="1"/>
  <c r="N37" i="1"/>
  <c r="M37" i="1"/>
  <c r="L37" i="1"/>
  <c r="K37" i="1"/>
  <c r="J37" i="1"/>
  <c r="H37" i="1"/>
  <c r="D37" i="1"/>
  <c r="F37" i="1"/>
  <c r="E37" i="1"/>
  <c r="D5" i="1"/>
  <c r="E5" i="1"/>
  <c r="F5" i="1"/>
  <c r="H5" i="1"/>
  <c r="J5" i="1"/>
  <c r="K5" i="1"/>
  <c r="L5" i="1"/>
  <c r="M5" i="1"/>
  <c r="N5" i="1"/>
  <c r="S5" i="1"/>
  <c r="Z5" i="1"/>
  <c r="AA5" i="1"/>
  <c r="AB5" i="1"/>
  <c r="AD5" i="1"/>
  <c r="AB36" i="1"/>
  <c r="Z36" i="1"/>
  <c r="S36" i="1"/>
  <c r="N36" i="1"/>
  <c r="M36" i="1"/>
  <c r="L36" i="1"/>
  <c r="K36" i="1"/>
  <c r="J36" i="1"/>
  <c r="H36" i="1"/>
  <c r="D36" i="1"/>
  <c r="F36" i="1"/>
  <c r="E36" i="1"/>
  <c r="A36" i="1"/>
  <c r="AB35" i="1"/>
  <c r="Z35" i="1"/>
  <c r="S35" i="1"/>
  <c r="N35" i="1"/>
  <c r="M35" i="1"/>
  <c r="L35" i="1"/>
  <c r="K35" i="1"/>
  <c r="J35" i="1"/>
  <c r="H35" i="1"/>
  <c r="D35" i="1"/>
  <c r="F35" i="1"/>
  <c r="E35" i="1"/>
  <c r="A35" i="1"/>
  <c r="AA34" i="1"/>
  <c r="AD34" i="1"/>
  <c r="AB34" i="1"/>
  <c r="Z34" i="1"/>
  <c r="S34" i="1"/>
  <c r="N34" i="1"/>
  <c r="M34" i="1"/>
  <c r="L34" i="1"/>
  <c r="K34" i="1"/>
  <c r="J34" i="1"/>
  <c r="H34" i="1"/>
  <c r="D34" i="1"/>
  <c r="F34" i="1"/>
  <c r="E34" i="1"/>
  <c r="AA33" i="1"/>
  <c r="AD33" i="1"/>
  <c r="AB33" i="1"/>
  <c r="Z33" i="1"/>
  <c r="S33" i="1"/>
  <c r="N33" i="1"/>
  <c r="M33" i="1"/>
  <c r="L33" i="1"/>
  <c r="K33" i="1"/>
  <c r="J33" i="1"/>
  <c r="H33" i="1"/>
  <c r="D33" i="1"/>
  <c r="F33" i="1"/>
  <c r="E33" i="1"/>
  <c r="AB32" i="1"/>
  <c r="Z32" i="1"/>
  <c r="S32" i="1"/>
  <c r="N32" i="1"/>
  <c r="M32" i="1"/>
  <c r="L32" i="1"/>
  <c r="K32" i="1"/>
  <c r="J32" i="1"/>
  <c r="H32" i="1"/>
  <c r="D32" i="1"/>
  <c r="F32" i="1"/>
  <c r="E32" i="1"/>
  <c r="A32" i="1"/>
  <c r="AB31" i="1"/>
  <c r="Z31" i="1"/>
  <c r="S31" i="1"/>
  <c r="N31" i="1"/>
  <c r="M31" i="1"/>
  <c r="L31" i="1"/>
  <c r="K31" i="1"/>
  <c r="J31" i="1"/>
  <c r="H31" i="1"/>
  <c r="D31" i="1"/>
  <c r="F31" i="1"/>
  <c r="E31" i="1"/>
  <c r="A31" i="1"/>
  <c r="AA30" i="1"/>
  <c r="AD30" i="1"/>
  <c r="AB30" i="1"/>
  <c r="Z30" i="1"/>
  <c r="S30" i="1"/>
  <c r="N30" i="1"/>
  <c r="M30" i="1"/>
  <c r="L30" i="1"/>
  <c r="K30" i="1"/>
  <c r="J30" i="1"/>
  <c r="H30" i="1"/>
  <c r="D30" i="1"/>
  <c r="F30" i="1"/>
  <c r="E30" i="1"/>
  <c r="AA29" i="1"/>
  <c r="AD29" i="1"/>
  <c r="AB29" i="1"/>
  <c r="Z29" i="1"/>
  <c r="S29" i="1"/>
  <c r="N29" i="1"/>
  <c r="M29" i="1"/>
  <c r="L29" i="1"/>
  <c r="K29" i="1"/>
  <c r="J29" i="1"/>
  <c r="H29" i="1"/>
  <c r="D29" i="1"/>
  <c r="F29" i="1"/>
  <c r="E29" i="1"/>
  <c r="AB28" i="1"/>
  <c r="Z28" i="1"/>
  <c r="S28" i="1"/>
  <c r="N28" i="1"/>
  <c r="M28" i="1"/>
  <c r="L28" i="1"/>
  <c r="K28" i="1"/>
  <c r="J28" i="1"/>
  <c r="H28" i="1"/>
  <c r="D28" i="1"/>
  <c r="F28" i="1"/>
  <c r="E28" i="1"/>
  <c r="A28" i="1"/>
  <c r="AB27" i="1"/>
  <c r="Z27" i="1"/>
  <c r="S27" i="1"/>
  <c r="N27" i="1"/>
  <c r="M27" i="1"/>
  <c r="L27" i="1"/>
  <c r="K27" i="1"/>
  <c r="J27" i="1"/>
  <c r="H27" i="1"/>
  <c r="D27" i="1"/>
  <c r="F27" i="1"/>
  <c r="E27" i="1"/>
  <c r="A27" i="1"/>
  <c r="AA26" i="1"/>
  <c r="AD26" i="1"/>
  <c r="AB26" i="1"/>
  <c r="Z26" i="1"/>
  <c r="S26" i="1"/>
  <c r="N26" i="1"/>
  <c r="M26" i="1"/>
  <c r="L26" i="1"/>
  <c r="K26" i="1"/>
  <c r="J26" i="1"/>
  <c r="H26" i="1"/>
  <c r="D26" i="1"/>
  <c r="F26" i="1"/>
  <c r="E26" i="1"/>
  <c r="AA25" i="1"/>
  <c r="AD25" i="1"/>
  <c r="AB25" i="1"/>
  <c r="Z25" i="1"/>
  <c r="S25" i="1"/>
  <c r="N25" i="1"/>
  <c r="M25" i="1"/>
  <c r="L25" i="1"/>
  <c r="K25" i="1"/>
  <c r="J25" i="1"/>
  <c r="H25" i="1"/>
  <c r="D25" i="1"/>
  <c r="F25" i="1"/>
  <c r="E25" i="1"/>
  <c r="AB24" i="1"/>
  <c r="Z24" i="1"/>
  <c r="S24" i="1"/>
  <c r="N24" i="1"/>
  <c r="M24" i="1"/>
  <c r="L24" i="1"/>
  <c r="K24" i="1"/>
  <c r="J24" i="1"/>
  <c r="H24" i="1"/>
  <c r="D24" i="1"/>
  <c r="F24" i="1"/>
  <c r="E24" i="1"/>
  <c r="A24" i="1"/>
  <c r="AB23" i="1"/>
  <c r="Z23" i="1"/>
  <c r="S23" i="1"/>
  <c r="N23" i="1"/>
  <c r="M23" i="1"/>
  <c r="L23" i="1"/>
  <c r="K23" i="1"/>
  <c r="J23" i="1"/>
  <c r="H23" i="1"/>
  <c r="D23" i="1"/>
  <c r="F23" i="1"/>
  <c r="E23" i="1"/>
  <c r="A23" i="1"/>
  <c r="AA22" i="1"/>
  <c r="AD22" i="1"/>
  <c r="AB22" i="1"/>
  <c r="Z22" i="1"/>
  <c r="S22" i="1"/>
  <c r="N22" i="1"/>
  <c r="M22" i="1"/>
  <c r="L22" i="1"/>
  <c r="K22" i="1"/>
  <c r="J22" i="1"/>
  <c r="H22" i="1"/>
  <c r="D22" i="1"/>
  <c r="F22" i="1"/>
  <c r="E22" i="1"/>
  <c r="AA21" i="1"/>
  <c r="AD21" i="1"/>
  <c r="AB21" i="1"/>
  <c r="Z21" i="1"/>
  <c r="S21" i="1"/>
  <c r="N21" i="1"/>
  <c r="M21" i="1"/>
  <c r="L21" i="1"/>
  <c r="K21" i="1"/>
  <c r="J21" i="1"/>
  <c r="H21" i="1"/>
  <c r="D21" i="1"/>
  <c r="F21" i="1"/>
  <c r="E21" i="1"/>
  <c r="AB20" i="1"/>
  <c r="Z20" i="1"/>
  <c r="S20" i="1"/>
  <c r="N20" i="1"/>
  <c r="M20" i="1"/>
  <c r="L20" i="1"/>
  <c r="K20" i="1"/>
  <c r="J20" i="1"/>
  <c r="H20" i="1"/>
  <c r="D20" i="1"/>
  <c r="F20" i="1"/>
  <c r="E20" i="1"/>
  <c r="A20" i="1"/>
  <c r="AB19" i="1"/>
  <c r="Z19" i="1"/>
  <c r="S19" i="1"/>
  <c r="N19" i="1"/>
  <c r="M19" i="1"/>
  <c r="L19" i="1"/>
  <c r="K19" i="1"/>
  <c r="J19" i="1"/>
  <c r="H19" i="1"/>
  <c r="D19" i="1"/>
  <c r="F19" i="1"/>
  <c r="E19" i="1"/>
  <c r="A19" i="1"/>
  <c r="AA18" i="1"/>
  <c r="AD18" i="1"/>
  <c r="AB18" i="1"/>
  <c r="Z18" i="1"/>
  <c r="S18" i="1"/>
  <c r="N18" i="1"/>
  <c r="M18" i="1"/>
  <c r="L18" i="1"/>
  <c r="K18" i="1"/>
  <c r="J18" i="1"/>
  <c r="H18" i="1"/>
  <c r="D18" i="1"/>
  <c r="F18" i="1"/>
  <c r="E18" i="1"/>
  <c r="AB17" i="1"/>
  <c r="Z17" i="1"/>
  <c r="S17" i="1"/>
  <c r="N17" i="1"/>
  <c r="M17" i="1"/>
  <c r="L17" i="1"/>
  <c r="K17" i="1"/>
  <c r="J17" i="1"/>
  <c r="H17" i="1"/>
  <c r="D17" i="1"/>
  <c r="F17" i="1"/>
  <c r="E17" i="1"/>
  <c r="A17" i="1"/>
  <c r="AB16" i="1"/>
  <c r="Z16" i="1"/>
  <c r="S16" i="1"/>
  <c r="N16" i="1"/>
  <c r="M16" i="1"/>
  <c r="L16" i="1"/>
  <c r="K16" i="1"/>
  <c r="J16" i="1"/>
  <c r="H16" i="1"/>
  <c r="D16" i="1"/>
  <c r="F16" i="1"/>
  <c r="E16" i="1"/>
  <c r="A16" i="1"/>
  <c r="AB15" i="1"/>
  <c r="Z15" i="1"/>
  <c r="S15" i="1"/>
  <c r="N15" i="1"/>
  <c r="M15" i="1"/>
  <c r="L15" i="1"/>
  <c r="K15" i="1"/>
  <c r="J15" i="1"/>
  <c r="H15" i="1"/>
  <c r="D15" i="1"/>
  <c r="F15" i="1"/>
  <c r="E15" i="1"/>
  <c r="A15" i="1"/>
  <c r="AA14" i="1"/>
  <c r="AD14" i="1"/>
  <c r="AB14" i="1"/>
  <c r="Z14" i="1"/>
  <c r="S14" i="1"/>
  <c r="N14" i="1"/>
  <c r="M14" i="1"/>
  <c r="L14" i="1"/>
  <c r="K14" i="1"/>
  <c r="J14" i="1"/>
  <c r="H14" i="1"/>
  <c r="D14" i="1"/>
  <c r="F14" i="1"/>
  <c r="E14" i="1"/>
  <c r="AA13" i="1"/>
  <c r="AD13" i="1"/>
  <c r="AB13" i="1"/>
  <c r="Z13" i="1"/>
  <c r="S13" i="1"/>
  <c r="N13" i="1"/>
  <c r="M13" i="1"/>
  <c r="L13" i="1"/>
  <c r="K13" i="1"/>
  <c r="J13" i="1"/>
  <c r="H13" i="1"/>
  <c r="D13" i="1"/>
  <c r="F13" i="1"/>
  <c r="E13" i="1"/>
  <c r="AA12" i="1"/>
  <c r="AD12" i="1"/>
  <c r="AB12" i="1"/>
  <c r="Z12" i="1"/>
  <c r="S12" i="1"/>
  <c r="N12" i="1"/>
  <c r="M12" i="1"/>
  <c r="L12" i="1"/>
  <c r="K12" i="1"/>
  <c r="J12" i="1"/>
  <c r="H12" i="1"/>
  <c r="D12" i="1"/>
  <c r="F12" i="1"/>
  <c r="E12" i="1"/>
  <c r="AA11" i="1"/>
  <c r="AD11" i="1"/>
  <c r="AB11" i="1"/>
  <c r="Z11" i="1"/>
  <c r="S11" i="1"/>
  <c r="N11" i="1"/>
  <c r="M11" i="1"/>
  <c r="L11" i="1"/>
  <c r="K11" i="1"/>
  <c r="J11" i="1"/>
  <c r="H11" i="1"/>
  <c r="D11" i="1"/>
  <c r="F11" i="1"/>
  <c r="E11" i="1"/>
  <c r="AA10" i="1"/>
  <c r="AD10" i="1"/>
  <c r="AB10" i="1"/>
  <c r="Z10" i="1"/>
  <c r="S10" i="1"/>
  <c r="N10" i="1"/>
  <c r="M10" i="1"/>
  <c r="L10" i="1"/>
  <c r="K10" i="1"/>
  <c r="J10" i="1"/>
  <c r="H10" i="1"/>
  <c r="D10" i="1"/>
  <c r="F10" i="1"/>
  <c r="E10" i="1"/>
  <c r="AA9" i="1"/>
  <c r="AD9" i="1"/>
  <c r="AB9" i="1"/>
  <c r="Z9" i="1"/>
  <c r="S9" i="1"/>
  <c r="N9" i="1"/>
  <c r="M9" i="1"/>
  <c r="L9" i="1"/>
  <c r="K9" i="1"/>
  <c r="J9" i="1"/>
  <c r="H9" i="1"/>
  <c r="D9" i="1"/>
  <c r="F9" i="1"/>
  <c r="E9" i="1"/>
  <c r="AA8" i="1"/>
  <c r="AD8" i="1"/>
  <c r="AB8" i="1"/>
  <c r="Z8" i="1"/>
  <c r="S8" i="1"/>
  <c r="N8" i="1"/>
  <c r="M8" i="1"/>
  <c r="L8" i="1"/>
  <c r="K8" i="1"/>
  <c r="J8" i="1"/>
  <c r="H8" i="1"/>
  <c r="D8" i="1"/>
  <c r="F8" i="1"/>
  <c r="E8" i="1"/>
  <c r="AA7" i="1"/>
  <c r="AD7" i="1"/>
  <c r="AB7" i="1"/>
  <c r="Z7" i="1"/>
  <c r="S7" i="1"/>
  <c r="N7" i="1"/>
  <c r="M7" i="1"/>
  <c r="L7" i="1"/>
  <c r="K7" i="1"/>
  <c r="J7" i="1"/>
  <c r="H7" i="1"/>
  <c r="D7" i="1"/>
  <c r="F7" i="1"/>
  <c r="E7" i="1"/>
  <c r="AA6" i="1"/>
  <c r="AD6" i="1"/>
  <c r="AB6" i="1"/>
  <c r="Z6" i="1"/>
  <c r="S6" i="1"/>
  <c r="N6" i="1"/>
  <c r="M6" i="1"/>
  <c r="L6" i="1"/>
  <c r="K6" i="1"/>
  <c r="J6" i="1"/>
  <c r="H6" i="1"/>
  <c r="D6" i="1"/>
  <c r="F6" i="1"/>
  <c r="E6" i="1"/>
  <c r="AA4" i="1"/>
  <c r="AD4" i="1"/>
  <c r="AB4" i="1"/>
  <c r="Z4" i="1"/>
  <c r="S4" i="1"/>
  <c r="N4" i="1"/>
  <c r="M4" i="1"/>
  <c r="L4" i="1"/>
  <c r="K4" i="1"/>
  <c r="J4" i="1"/>
  <c r="H4" i="1"/>
  <c r="D4" i="1"/>
  <c r="F4" i="1"/>
  <c r="E4" i="1"/>
  <c r="AA3" i="1"/>
  <c r="AD3" i="1"/>
  <c r="AB3" i="1"/>
  <c r="Z3" i="1"/>
  <c r="S3" i="1"/>
  <c r="N3" i="1"/>
  <c r="M3" i="1"/>
  <c r="L3" i="1"/>
  <c r="K3" i="1"/>
  <c r="J3" i="1"/>
  <c r="H3" i="1"/>
  <c r="D3" i="1"/>
  <c r="F3" i="1"/>
  <c r="E3" i="1"/>
  <c r="AA2" i="1"/>
  <c r="AD2" i="1"/>
  <c r="AB2" i="1"/>
  <c r="Z2" i="1"/>
  <c r="S2" i="1"/>
  <c r="N2" i="1"/>
  <c r="M2" i="1"/>
  <c r="L2" i="1"/>
  <c r="K2" i="1"/>
  <c r="J2" i="1"/>
  <c r="H2" i="1"/>
  <c r="D2" i="1"/>
  <c r="F2" i="1"/>
  <c r="E2" i="1"/>
  <c r="G6" i="2"/>
  <c r="H6" i="2"/>
  <c r="G2" i="2"/>
  <c r="A2" i="2"/>
  <c r="G3" i="2"/>
  <c r="A3" i="2"/>
  <c r="G4" i="2"/>
  <c r="A4" i="2"/>
  <c r="G5" i="2"/>
  <c r="A5" i="2"/>
  <c r="A6" i="2"/>
  <c r="G7" i="2"/>
  <c r="A7" i="2"/>
  <c r="G8" i="2"/>
  <c r="A8" i="2"/>
  <c r="G9" i="2"/>
  <c r="A9" i="2"/>
  <c r="G10" i="2"/>
  <c r="A10" i="2"/>
  <c r="D11" i="5"/>
  <c r="C11" i="5"/>
  <c r="B11" i="5"/>
  <c r="D10" i="5"/>
  <c r="C10" i="5"/>
  <c r="B10" i="5"/>
  <c r="D9" i="5"/>
  <c r="C9" i="5"/>
  <c r="B9" i="5"/>
  <c r="D8" i="5"/>
  <c r="C8" i="5"/>
  <c r="B8" i="5"/>
  <c r="D7" i="5"/>
  <c r="C7" i="5"/>
  <c r="B7" i="5"/>
  <c r="A6" i="5"/>
  <c r="F6" i="5"/>
  <c r="E6" i="5"/>
  <c r="D6" i="5"/>
  <c r="C6" i="5"/>
  <c r="B6" i="5"/>
  <c r="A5" i="5"/>
  <c r="F5" i="5"/>
  <c r="E5" i="5"/>
  <c r="D5" i="5"/>
  <c r="C5" i="5"/>
  <c r="B5" i="5"/>
  <c r="A4" i="5"/>
  <c r="F4" i="5"/>
  <c r="E4" i="5"/>
  <c r="D4" i="5"/>
  <c r="C4" i="5"/>
  <c r="B4" i="5"/>
  <c r="H10" i="2"/>
  <c r="E10" i="2"/>
  <c r="D10" i="2"/>
  <c r="B10" i="2"/>
  <c r="H9" i="2"/>
  <c r="E9" i="2"/>
  <c r="D9" i="2"/>
  <c r="B9" i="2"/>
  <c r="H8" i="2"/>
  <c r="E8" i="2"/>
  <c r="D8" i="2"/>
  <c r="B8" i="2"/>
  <c r="H7" i="2"/>
  <c r="E7" i="2"/>
  <c r="D7" i="2"/>
  <c r="B7" i="2"/>
  <c r="E6" i="2"/>
  <c r="D6" i="2"/>
  <c r="B6" i="2"/>
  <c r="A3" i="6"/>
  <c r="H5" i="2"/>
  <c r="H4" i="2"/>
  <c r="H3" i="2"/>
  <c r="H2" i="2"/>
  <c r="E5" i="2"/>
  <c r="D5" i="2"/>
  <c r="B5" i="2"/>
  <c r="E3" i="2"/>
  <c r="D3" i="2"/>
  <c r="B3" i="2"/>
  <c r="E4" i="2"/>
  <c r="D4" i="2"/>
  <c r="B4" i="2"/>
  <c r="B2" i="2"/>
  <c r="E2" i="2"/>
  <c r="D2" i="2"/>
  <c r="A3" i="5"/>
  <c r="F3" i="5"/>
  <c r="E3" i="5"/>
  <c r="D3" i="5"/>
  <c r="C3" i="5"/>
  <c r="B3" i="5"/>
</calcChain>
</file>

<file path=xl/sharedStrings.xml><?xml version="1.0" encoding="utf-8"?>
<sst xmlns="http://schemas.openxmlformats.org/spreadsheetml/2006/main" count="76" uniqueCount="54">
  <si>
    <t>quest_id</t>
  </si>
  <si>
    <t>stage_id</t>
  </si>
  <si>
    <t>character_id</t>
  </si>
  <si>
    <t>level</t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</si>
  <si>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</si>
  <si>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</si>
  <si>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</si>
  <si>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</si>
  <si>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</si>
  <si>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</si>
  <si>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</si>
  <si>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</si>
  <si>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</si>
  <si>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</si>
  <si>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</si>
  <si>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4"/>
  </si>
  <si>
    <t>skill_set_id</t>
  </si>
  <si>
    <t>temp_habitats</t>
    <phoneticPr fontId="4"/>
  </si>
  <si>
    <t>temp_floor</t>
    <phoneticPr fontId="4"/>
  </si>
  <si>
    <t>temp_floor</t>
    <phoneticPr fontId="4"/>
  </si>
  <si>
    <t>temp_stage</t>
    <phoneticPr fontId="4"/>
  </si>
  <si>
    <t>位置付け</t>
    <rPh sb="0" eb="3">
      <t>イチヅ</t>
    </rPh>
    <phoneticPr fontId="4"/>
  </si>
  <si>
    <t>name</t>
    <phoneticPr fontId="4"/>
  </si>
  <si>
    <t>status</t>
    <phoneticPr fontId="4"/>
  </si>
  <si>
    <t>hp_plus</t>
  </si>
  <si>
    <t>attack_plus</t>
  </si>
  <si>
    <t>defense_plus</t>
  </si>
  <si>
    <t>heal_plus</t>
  </si>
  <si>
    <t>bug</t>
  </si>
  <si>
    <t>hp_coefficient</t>
  </si>
  <si>
    <t>attack_coefficient</t>
  </si>
  <si>
    <t>defense_correction</t>
  </si>
  <si>
    <t>temp_habitats</t>
    <phoneticPr fontId="4"/>
  </si>
  <si>
    <t>temp_stage</t>
    <phoneticPr fontId="4"/>
  </si>
  <si>
    <t>name</t>
    <phoneticPr fontId="4"/>
  </si>
  <si>
    <t>floor_id</t>
    <phoneticPr fontId="4"/>
  </si>
  <si>
    <t>temp_floor</t>
    <phoneticPr fontId="4"/>
  </si>
  <si>
    <t>color</t>
    <phoneticPr fontId="4"/>
  </si>
  <si>
    <t>drop_label</t>
    <phoneticPr fontId="4"/>
  </si>
  <si>
    <t>character_main_tribe_id</t>
    <phoneticPr fontId="4"/>
  </si>
  <si>
    <t>size</t>
    <phoneticPr fontId="4"/>
  </si>
  <si>
    <t>hp_coefficient</t>
    <phoneticPr fontId="4"/>
  </si>
  <si>
    <t>attack_coefficient</t>
    <phoneticPr fontId="4"/>
  </si>
  <si>
    <t>defense_correction</t>
    <phoneticPr fontId="4"/>
  </si>
  <si>
    <t>スキル</t>
    <phoneticPr fontId="4"/>
  </si>
  <si>
    <t>skill_set_id</t>
    <phoneticPr fontId="4"/>
  </si>
  <si>
    <t>incidence</t>
    <phoneticPr fontId="4"/>
  </si>
  <si>
    <t>rare</t>
    <phoneticPr fontId="4"/>
  </si>
  <si>
    <t>drop_label</t>
    <phoneticPr fontId="6"/>
  </si>
  <si>
    <t>hp_plus</t>
    <phoneticPr fontId="4"/>
  </si>
  <si>
    <t>attack_plus</t>
    <phoneticPr fontId="4"/>
  </si>
  <si>
    <t>defense_plus</t>
    <phoneticPr fontId="4"/>
  </si>
  <si>
    <t>heal_plus</t>
    <phoneticPr fontId="4"/>
  </si>
  <si>
    <t>bug</t>
    <phoneticPr fontId="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</si>
</sst>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&quot;$&quot;#&quot;:$&quot;#"/>
    <numFmt numFmtId="177" formatCode="0.0"/>
  </numFmts>
  <fonts count="14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family val="3"/>
      <charset val="128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00"/>
        <bgColor indexed="2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8"/>
      </right>
      <top/>
      <bottom style="thin">
        <color indexed="8"/>
      </bottom>
      <diagonal/>
    </border>
  </borders>
  <cellStyleXfs count="1506">
    <xf numFmtId="0" fontId="0" fillId="0" borderId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2" fillId="0" borderId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</cellStyleXfs>
  <cellXfs count="48">
    <xf numFmtId="0" fontId="0" fillId="0" borderId="0" xfId="0"/>
    <xf numFmtId="0" fontId="3" fillId="2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0" borderId="0" xfId="0" applyFont="1" applyAlignment="1">
      <alignment vertical="center"/>
    </xf>
    <xf numFmtId="0" fontId="5" fillId="5" borderId="3" xfId="0" applyFont="1" applyFill="1" applyBorder="1" applyAlignment="1">
      <alignment vertical="center"/>
    </xf>
    <xf numFmtId="0" fontId="7" fillId="0" borderId="4" xfId="0" applyFont="1" applyBorder="1" applyAlignment="1">
      <alignment vertical="center"/>
    </xf>
    <xf numFmtId="0" fontId="3" fillId="0" borderId="5" xfId="0" applyFont="1" applyBorder="1" applyAlignment="1">
      <alignment vertical="center"/>
    </xf>
    <xf numFmtId="0" fontId="3" fillId="0" borderId="1" xfId="0" applyFont="1" applyFill="1" applyBorder="1" applyAlignment="1">
      <alignment vertical="center"/>
    </xf>
    <xf numFmtId="0" fontId="3" fillId="0" borderId="6" xfId="0" applyFont="1" applyBorder="1" applyAlignment="1">
      <alignment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Fill="1" applyAlignment="1">
      <alignment vertical="center"/>
    </xf>
    <xf numFmtId="0" fontId="5" fillId="5" borderId="1" xfId="0" applyFont="1" applyFill="1" applyBorder="1" applyAlignment="1">
      <alignment vertical="center"/>
    </xf>
    <xf numFmtId="0" fontId="5" fillId="0" borderId="1" xfId="0" applyFont="1" applyFill="1" applyBorder="1" applyAlignment="1">
      <alignment vertical="center"/>
    </xf>
    <xf numFmtId="0" fontId="3" fillId="3" borderId="0" xfId="0" applyFont="1" applyFill="1" applyAlignment="1">
      <alignment horizontal="center" vertical="center"/>
    </xf>
    <xf numFmtId="0" fontId="3" fillId="3" borderId="0" xfId="0" applyFont="1" applyFill="1" applyAlignment="1">
      <alignment vertical="center"/>
    </xf>
    <xf numFmtId="0" fontId="2" fillId="6" borderId="0" xfId="11" applyFont="1" applyFill="1"/>
    <xf numFmtId="176" fontId="2" fillId="6" borderId="0" xfId="11" applyNumberFormat="1" applyFont="1" applyFill="1"/>
    <xf numFmtId="0" fontId="0" fillId="7" borderId="0" xfId="0" applyFill="1"/>
    <xf numFmtId="0" fontId="10" fillId="0" borderId="0" xfId="11" applyFont="1" applyFill="1" applyBorder="1"/>
    <xf numFmtId="0" fontId="3" fillId="3" borderId="7" xfId="0" applyFont="1" applyFill="1" applyBorder="1" applyAlignment="1">
      <alignment horizontal="center" vertical="center"/>
    </xf>
    <xf numFmtId="0" fontId="11" fillId="8" borderId="0" xfId="0" applyFont="1" applyFill="1" applyAlignment="1">
      <alignment vertical="center"/>
    </xf>
    <xf numFmtId="0" fontId="5" fillId="4" borderId="7" xfId="0" applyFont="1" applyFill="1" applyBorder="1" applyAlignment="1">
      <alignment horizontal="center" vertical="center"/>
    </xf>
    <xf numFmtId="0" fontId="12" fillId="8" borderId="0" xfId="0" applyFont="1" applyFill="1"/>
    <xf numFmtId="0" fontId="13" fillId="8" borderId="0" xfId="11" applyFont="1" applyFill="1" applyBorder="1"/>
    <xf numFmtId="0" fontId="3" fillId="3" borderId="8" xfId="0" applyFont="1" applyFill="1" applyBorder="1" applyAlignment="1">
      <alignment horizontal="center" vertical="center"/>
    </xf>
    <xf numFmtId="0" fontId="5" fillId="5" borderId="9" xfId="0" applyFont="1" applyFill="1" applyBorder="1" applyAlignment="1">
      <alignment vertical="center"/>
    </xf>
    <xf numFmtId="0" fontId="3" fillId="3" borderId="10" xfId="0" applyFont="1" applyFill="1" applyBorder="1" applyAlignment="1">
      <alignment horizontal="center" vertical="center"/>
    </xf>
    <xf numFmtId="0" fontId="5" fillId="5" borderId="11" xfId="0" applyFont="1" applyFill="1" applyBorder="1" applyAlignment="1">
      <alignment vertical="center"/>
    </xf>
    <xf numFmtId="0" fontId="5" fillId="5" borderId="7" xfId="0" applyFont="1" applyFill="1" applyBorder="1" applyAlignment="1">
      <alignment vertical="center"/>
    </xf>
    <xf numFmtId="0" fontId="11" fillId="0" borderId="0" xfId="0" applyFont="1" applyFill="1" applyAlignment="1">
      <alignment vertical="center"/>
    </xf>
    <xf numFmtId="0" fontId="3" fillId="0" borderId="1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vertical="center"/>
    </xf>
    <xf numFmtId="0" fontId="3" fillId="2" borderId="7" xfId="0" applyFont="1" applyFill="1" applyBorder="1" applyAlignment="1">
      <alignment horizontal="left" vertical="center"/>
    </xf>
    <xf numFmtId="177" fontId="7" fillId="0" borderId="4" xfId="0" applyNumberFormat="1" applyFont="1" applyBorder="1" applyAlignment="1">
      <alignment vertical="center"/>
    </xf>
    <xf numFmtId="0" fontId="1" fillId="6" borderId="0" xfId="11" applyFont="1" applyFill="1"/>
    <xf numFmtId="0" fontId="3" fillId="2" borderId="7" xfId="0" applyFont="1" applyFill="1" applyBorder="1" applyAlignment="1">
      <alignment horizontal="center" vertical="center"/>
    </xf>
    <xf numFmtId="0" fontId="3" fillId="0" borderId="7" xfId="0" applyFont="1" applyFill="1" applyBorder="1" applyAlignment="1">
      <alignment vertical="center"/>
    </xf>
    <xf numFmtId="0" fontId="3" fillId="9" borderId="7" xfId="0" applyFont="1" applyFill="1" applyBorder="1" applyAlignment="1">
      <alignment horizontal="center" vertical="center"/>
    </xf>
    <xf numFmtId="0" fontId="3" fillId="10" borderId="7" xfId="0" applyFont="1" applyFill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3" borderId="7" xfId="0" applyFont="1" applyFill="1" applyBorder="1" applyAlignment="1">
      <alignment vertical="center"/>
    </xf>
    <xf numFmtId="0" fontId="3" fillId="0" borderId="7" xfId="0" applyFont="1" applyFill="1" applyBorder="1" applyAlignment="1">
      <alignment horizontal="center" vertical="center"/>
    </xf>
    <xf numFmtId="0" fontId="3" fillId="11" borderId="7" xfId="0" applyFont="1" applyFill="1" applyBorder="1" applyAlignment="1">
      <alignment horizontal="center" vertical="center"/>
    </xf>
    <xf numFmtId="0" fontId="3" fillId="11" borderId="6" xfId="0" applyFont="1" applyFill="1" applyBorder="1" applyAlignment="1">
      <alignment vertical="center"/>
    </xf>
    <xf numFmtId="0" fontId="3" fillId="11" borderId="5" xfId="0" applyFont="1" applyFill="1" applyBorder="1" applyAlignment="1">
      <alignment vertical="center"/>
    </xf>
    <xf numFmtId="0" fontId="5" fillId="12" borderId="3" xfId="0" applyFont="1" applyFill="1" applyBorder="1" applyAlignment="1">
      <alignment vertical="center"/>
    </xf>
    <xf numFmtId="0" fontId="5" fillId="12" borderId="9" xfId="0" applyFont="1" applyFill="1" applyBorder="1" applyAlignment="1">
      <alignment vertical="center"/>
    </xf>
  </cellXfs>
  <cellStyles count="1506"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標準" xfId="0" builtinId="0"/>
    <cellStyle name="標準 4" xfId="11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sharedStrings" Target="sharedStrings.xml"/><Relationship Id="rId12" Type="http://schemas.openxmlformats.org/officeDocument/2006/relationships/calcChain" Target="calcChain.xml"/><Relationship Id="rId13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externalLink" Target="externalLinks/externalLink1.xml"/><Relationship Id="rId6" Type="http://schemas.openxmlformats.org/officeDocument/2006/relationships/externalLink" Target="externalLinks/externalLink2.xml"/><Relationship Id="rId7" Type="http://schemas.openxmlformats.org/officeDocument/2006/relationships/externalLink" Target="externalLinks/externalLink3.xml"/><Relationship Id="rId8" Type="http://schemas.openxmlformats.org/officeDocument/2006/relationships/externalLink" Target="externalLinks/externalLink4.xml"/><Relationship Id="rId9" Type="http://schemas.openxmlformats.org/officeDocument/2006/relationships/theme" Target="theme/theme1.xml"/><Relationship Id="rId10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Skill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  <cell r="Q1" t="str">
            <v>help_myself</v>
          </cell>
          <cell r="R1" t="str">
            <v>preview_start_date</v>
          </cell>
          <cell r="S1" t="str">
            <v>preview_end_date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11018</v>
          </cell>
        </row>
        <row r="67">
          <cell r="A67">
            <v>11207</v>
          </cell>
        </row>
        <row r="68">
          <cell r="A68">
            <v>11208</v>
          </cell>
        </row>
        <row r="69">
          <cell r="A69">
            <v>11209</v>
          </cell>
        </row>
        <row r="70">
          <cell r="A70">
            <v>11210</v>
          </cell>
        </row>
        <row r="71">
          <cell r="A71">
            <v>11211</v>
          </cell>
        </row>
        <row r="72">
          <cell r="A72">
            <v>11212</v>
          </cell>
        </row>
        <row r="73">
          <cell r="A73">
            <v>11213</v>
          </cell>
        </row>
        <row r="74">
          <cell r="A74">
            <v>11214</v>
          </cell>
        </row>
        <row r="75">
          <cell r="A75">
            <v>11215</v>
          </cell>
        </row>
        <row r="76">
          <cell r="A76">
            <v>11216</v>
          </cell>
        </row>
        <row r="77">
          <cell r="A77">
            <v>11217</v>
          </cell>
        </row>
        <row r="78">
          <cell r="A78">
            <v>11218</v>
          </cell>
        </row>
        <row r="79">
          <cell r="A79">
            <v>11219</v>
          </cell>
        </row>
        <row r="80">
          <cell r="A80">
            <v>11220</v>
          </cell>
        </row>
        <row r="81">
          <cell r="A81">
            <v>11221</v>
          </cell>
        </row>
        <row r="82">
          <cell r="A82">
            <v>11224</v>
          </cell>
        </row>
        <row r="83">
          <cell r="A83">
            <v>11225</v>
          </cell>
        </row>
        <row r="84">
          <cell r="A84">
            <v>11226</v>
          </cell>
        </row>
        <row r="85">
          <cell r="A85">
            <v>11227</v>
          </cell>
        </row>
        <row r="86">
          <cell r="A86">
            <v>11228</v>
          </cell>
        </row>
        <row r="87">
          <cell r="A87">
            <v>11229</v>
          </cell>
        </row>
        <row r="88">
          <cell r="A88">
            <v>12001</v>
          </cell>
        </row>
        <row r="89">
          <cell r="A89">
            <v>12002</v>
          </cell>
        </row>
        <row r="90">
          <cell r="A90">
            <v>12003</v>
          </cell>
        </row>
        <row r="91">
          <cell r="A91">
            <v>12004</v>
          </cell>
        </row>
        <row r="92">
          <cell r="A92">
            <v>13001</v>
          </cell>
        </row>
        <row r="93">
          <cell r="A93">
            <v>13101</v>
          </cell>
        </row>
        <row r="94">
          <cell r="A94">
            <v>13300</v>
          </cell>
        </row>
        <row r="95">
          <cell r="A95">
            <v>13301</v>
          </cell>
        </row>
        <row r="96">
          <cell r="A96">
            <v>13302</v>
          </cell>
        </row>
        <row r="97">
          <cell r="A97">
            <v>13400</v>
          </cell>
        </row>
        <row r="98">
          <cell r="A98">
            <v>14001</v>
          </cell>
        </row>
        <row r="99">
          <cell r="A99">
            <v>14002</v>
          </cell>
        </row>
        <row r="100">
          <cell r="A100">
            <v>14003</v>
          </cell>
        </row>
        <row r="101">
          <cell r="A101">
            <v>14004</v>
          </cell>
        </row>
        <row r="102">
          <cell r="A102">
            <v>14005</v>
          </cell>
        </row>
        <row r="103">
          <cell r="A103">
            <v>14006</v>
          </cell>
        </row>
        <row r="104">
          <cell r="A104">
            <v>15027</v>
          </cell>
        </row>
        <row r="105">
          <cell r="A105">
            <v>15028</v>
          </cell>
        </row>
        <row r="106">
          <cell r="A106">
            <v>15029</v>
          </cell>
        </row>
        <row r="107">
          <cell r="A107">
            <v>15030</v>
          </cell>
        </row>
        <row r="108">
          <cell r="A108">
            <v>15031</v>
          </cell>
        </row>
        <row r="109">
          <cell r="A109">
            <v>20001</v>
          </cell>
        </row>
        <row r="110">
          <cell r="A110">
            <v>20002</v>
          </cell>
        </row>
        <row r="111">
          <cell r="A111">
            <v>20003</v>
          </cell>
        </row>
        <row r="112">
          <cell r="A112">
            <v>20004</v>
          </cell>
        </row>
        <row r="113">
          <cell r="A113">
            <v>20005</v>
          </cell>
        </row>
        <row r="114">
          <cell r="A114">
            <v>20006</v>
          </cell>
        </row>
        <row r="115">
          <cell r="A115">
            <v>20007</v>
          </cell>
        </row>
        <row r="116">
          <cell r="A116">
            <v>20008</v>
          </cell>
        </row>
        <row r="117">
          <cell r="A117">
            <v>20009</v>
          </cell>
        </row>
        <row r="118">
          <cell r="A118">
            <v>20010</v>
          </cell>
        </row>
        <row r="119">
          <cell r="A119">
            <v>20011</v>
          </cell>
        </row>
        <row r="120">
          <cell r="A120">
            <v>20012</v>
          </cell>
        </row>
        <row r="121">
          <cell r="A121">
            <v>20013</v>
          </cell>
        </row>
        <row r="122">
          <cell r="A122">
            <v>20014</v>
          </cell>
        </row>
        <row r="123">
          <cell r="A123">
            <v>20015</v>
          </cell>
        </row>
        <row r="124">
          <cell r="A124">
            <v>20016</v>
          </cell>
        </row>
        <row r="125">
          <cell r="A125">
            <v>20017</v>
          </cell>
        </row>
        <row r="126">
          <cell r="A126">
            <v>20018</v>
          </cell>
        </row>
        <row r="127">
          <cell r="A127">
            <v>20019</v>
          </cell>
        </row>
        <row r="128">
          <cell r="A128">
            <v>20020</v>
          </cell>
        </row>
        <row r="129">
          <cell r="A129">
            <v>20021</v>
          </cell>
        </row>
        <row r="130">
          <cell r="A130">
            <v>20022</v>
          </cell>
        </row>
        <row r="131">
          <cell r="A131">
            <v>30001</v>
          </cell>
        </row>
        <row r="132">
          <cell r="A132">
            <v>30002</v>
          </cell>
        </row>
        <row r="133">
          <cell r="A133">
            <v>30003</v>
          </cell>
        </row>
        <row r="134">
          <cell r="A134">
            <v>30004</v>
          </cell>
        </row>
        <row r="135">
          <cell r="A135">
            <v>30005</v>
          </cell>
        </row>
        <row r="136">
          <cell r="A136">
            <v>30006</v>
          </cell>
        </row>
        <row r="137">
          <cell r="A137">
            <v>30007</v>
          </cell>
        </row>
        <row r="138">
          <cell r="A138">
            <v>30008</v>
          </cell>
        </row>
        <row r="139">
          <cell r="A139">
            <v>30009</v>
          </cell>
        </row>
        <row r="140">
          <cell r="A140">
            <v>30010</v>
          </cell>
        </row>
        <row r="141">
          <cell r="A141">
            <v>30011</v>
          </cell>
        </row>
        <row r="142">
          <cell r="A142">
            <v>30012</v>
          </cell>
        </row>
        <row r="143">
          <cell r="A143">
            <v>30013</v>
          </cell>
        </row>
        <row r="144">
          <cell r="A144">
            <v>30014</v>
          </cell>
        </row>
        <row r="145">
          <cell r="A145">
            <v>30015</v>
          </cell>
        </row>
        <row r="146">
          <cell r="A146">
            <v>30016</v>
          </cell>
        </row>
        <row r="147">
          <cell r="A147">
            <v>30017</v>
          </cell>
        </row>
        <row r="148">
          <cell r="A148">
            <v>30018</v>
          </cell>
        </row>
        <row r="149">
          <cell r="A149">
            <v>30019</v>
          </cell>
        </row>
        <row r="150">
          <cell r="A150">
            <v>30020</v>
          </cell>
        </row>
        <row r="151">
          <cell r="A151">
            <v>30021</v>
          </cell>
        </row>
        <row r="152">
          <cell r="A152">
            <v>30022</v>
          </cell>
        </row>
        <row r="153">
          <cell r="A153">
            <v>30023</v>
          </cell>
        </row>
        <row r="154">
          <cell r="A154">
            <v>30024</v>
          </cell>
        </row>
        <row r="155">
          <cell r="A155">
            <v>30025</v>
          </cell>
        </row>
        <row r="156">
          <cell r="A156">
            <v>30026</v>
          </cell>
        </row>
        <row r="157">
          <cell r="A157">
            <v>30027</v>
          </cell>
        </row>
        <row r="158">
          <cell r="A158">
            <v>30028</v>
          </cell>
        </row>
        <row r="159">
          <cell r="A159">
            <v>30029</v>
          </cell>
        </row>
        <row r="160">
          <cell r="A160">
            <v>30030</v>
          </cell>
        </row>
        <row r="161">
          <cell r="A161">
            <v>30031</v>
          </cell>
        </row>
        <row r="162">
          <cell r="A162">
            <v>30032</v>
          </cell>
        </row>
        <row r="163">
          <cell r="A163">
            <v>30033</v>
          </cell>
        </row>
        <row r="164">
          <cell r="A164">
            <v>30034</v>
          </cell>
        </row>
        <row r="165">
          <cell r="A165">
            <v>30035</v>
          </cell>
        </row>
        <row r="166">
          <cell r="A166">
            <v>30036</v>
          </cell>
        </row>
        <row r="167">
          <cell r="A167">
            <v>30037</v>
          </cell>
        </row>
        <row r="168">
          <cell r="A168">
            <v>30038</v>
          </cell>
        </row>
        <row r="169">
          <cell r="A169">
            <v>30039</v>
          </cell>
        </row>
        <row r="170">
          <cell r="A170">
            <v>30040</v>
          </cell>
        </row>
        <row r="171">
          <cell r="A171">
            <v>30041</v>
          </cell>
        </row>
        <row r="172">
          <cell r="A172">
            <v>30042</v>
          </cell>
        </row>
        <row r="173">
          <cell r="A173">
            <v>30043</v>
          </cell>
        </row>
        <row r="174">
          <cell r="A174">
            <v>30044</v>
          </cell>
        </row>
        <row r="175">
          <cell r="A175">
            <v>30045</v>
          </cell>
        </row>
        <row r="176">
          <cell r="A176">
            <v>30046</v>
          </cell>
        </row>
        <row r="177">
          <cell r="A177">
            <v>30047</v>
          </cell>
        </row>
        <row r="178">
          <cell r="A178">
            <v>30048</v>
          </cell>
        </row>
        <row r="179">
          <cell r="A179">
            <v>39001</v>
          </cell>
        </row>
        <row r="180">
          <cell r="A180">
            <v>39002</v>
          </cell>
        </row>
        <row r="181">
          <cell r="A181">
            <v>39003</v>
          </cell>
        </row>
        <row r="182">
          <cell r="A182">
            <v>39004</v>
          </cell>
        </row>
        <row r="183">
          <cell r="A183">
            <v>39005</v>
          </cell>
        </row>
        <row r="184">
          <cell r="A184">
            <v>39006</v>
          </cell>
        </row>
        <row r="185">
          <cell r="A185">
            <v>39007</v>
          </cell>
        </row>
        <row r="186">
          <cell r="A186">
            <v>39008</v>
          </cell>
        </row>
        <row r="187">
          <cell r="A187">
            <v>39009</v>
          </cell>
        </row>
        <row r="188">
          <cell r="A188">
            <v>39010</v>
          </cell>
        </row>
        <row r="189">
          <cell r="A189">
            <v>39011</v>
          </cell>
        </row>
        <row r="190">
          <cell r="A190">
            <v>39012</v>
          </cell>
        </row>
        <row r="191">
          <cell r="A191">
            <v>40001</v>
          </cell>
        </row>
        <row r="192">
          <cell r="A192">
            <v>40002</v>
          </cell>
        </row>
        <row r="193">
          <cell r="A193">
            <v>40003</v>
          </cell>
        </row>
        <row r="194">
          <cell r="A194">
            <v>40004</v>
          </cell>
        </row>
        <row r="195">
          <cell r="A195">
            <v>40005</v>
          </cell>
        </row>
        <row r="196">
          <cell r="A196">
            <v>40006</v>
          </cell>
        </row>
        <row r="197">
          <cell r="A197">
            <v>40007</v>
          </cell>
        </row>
        <row r="198">
          <cell r="A198">
            <v>40008</v>
          </cell>
        </row>
        <row r="199">
          <cell r="A199">
            <v>40009</v>
          </cell>
        </row>
        <row r="200">
          <cell r="A200">
            <v>40010</v>
          </cell>
        </row>
        <row r="201">
          <cell r="A201">
            <v>40011</v>
          </cell>
        </row>
        <row r="202">
          <cell r="A202">
            <v>40012</v>
          </cell>
        </row>
        <row r="203">
          <cell r="A203">
            <v>40013</v>
          </cell>
        </row>
        <row r="204">
          <cell r="A204">
            <v>40014</v>
          </cell>
        </row>
        <row r="205">
          <cell r="A205">
            <v>40015</v>
          </cell>
        </row>
        <row r="206">
          <cell r="A206">
            <v>40016</v>
          </cell>
        </row>
        <row r="207">
          <cell r="A207">
            <v>40017</v>
          </cell>
        </row>
        <row r="208">
          <cell r="A208">
            <v>40018</v>
          </cell>
        </row>
        <row r="209">
          <cell r="A209">
            <v>40019</v>
          </cell>
        </row>
        <row r="210">
          <cell r="A210">
            <v>40021</v>
          </cell>
        </row>
        <row r="211">
          <cell r="A211">
            <v>40022</v>
          </cell>
        </row>
        <row r="212">
          <cell r="A212">
            <v>40023</v>
          </cell>
        </row>
        <row r="213">
          <cell r="A213">
            <v>40024</v>
          </cell>
        </row>
        <row r="214">
          <cell r="A214">
            <v>40025</v>
          </cell>
        </row>
        <row r="215">
          <cell r="A215">
            <v>40026</v>
          </cell>
        </row>
        <row r="216">
          <cell r="A216">
            <v>40027</v>
          </cell>
        </row>
        <row r="217">
          <cell r="A217">
            <v>40028</v>
          </cell>
        </row>
        <row r="218">
          <cell r="A218">
            <v>40029</v>
          </cell>
        </row>
        <row r="219">
          <cell r="A219">
            <v>40030</v>
          </cell>
        </row>
        <row r="220">
          <cell r="A220">
            <v>40031</v>
          </cell>
        </row>
        <row r="221">
          <cell r="A221">
            <v>40032</v>
          </cell>
        </row>
        <row r="222">
          <cell r="A222">
            <v>40033</v>
          </cell>
        </row>
        <row r="223">
          <cell r="A223">
            <v>40034</v>
          </cell>
        </row>
        <row r="224">
          <cell r="A224">
            <v>40035</v>
          </cell>
        </row>
        <row r="225">
          <cell r="A225">
            <v>40036</v>
          </cell>
        </row>
        <row r="226">
          <cell r="A226">
            <v>40037</v>
          </cell>
        </row>
        <row r="227">
          <cell r="A227">
            <v>40038</v>
          </cell>
        </row>
        <row r="228">
          <cell r="A228">
            <v>40039</v>
          </cell>
        </row>
        <row r="229">
          <cell r="A229">
            <v>40040</v>
          </cell>
        </row>
        <row r="230">
          <cell r="A230">
            <v>40041</v>
          </cell>
        </row>
        <row r="231">
          <cell r="A231">
            <v>40042</v>
          </cell>
        </row>
        <row r="232">
          <cell r="A232">
            <v>40043</v>
          </cell>
        </row>
        <row r="233">
          <cell r="A233">
            <v>48001</v>
          </cell>
        </row>
        <row r="234">
          <cell r="A234">
            <v>48002</v>
          </cell>
        </row>
        <row r="235">
          <cell r="A235">
            <v>48003</v>
          </cell>
        </row>
        <row r="236">
          <cell r="A236">
            <v>48004</v>
          </cell>
        </row>
        <row r="237">
          <cell r="A237">
            <v>48005</v>
          </cell>
        </row>
        <row r="238">
          <cell r="A238">
            <v>48006</v>
          </cell>
        </row>
        <row r="239">
          <cell r="A239">
            <v>48007</v>
          </cell>
        </row>
        <row r="240">
          <cell r="A240">
            <v>48008</v>
          </cell>
        </row>
        <row r="241">
          <cell r="A241">
            <v>48009</v>
          </cell>
        </row>
        <row r="242">
          <cell r="A242">
            <v>48010</v>
          </cell>
        </row>
        <row r="243">
          <cell r="A243">
            <v>48011</v>
          </cell>
        </row>
        <row r="244">
          <cell r="A244">
            <v>48501</v>
          </cell>
        </row>
        <row r="245">
          <cell r="A245">
            <v>48502</v>
          </cell>
        </row>
        <row r="246">
          <cell r="A246">
            <v>41001</v>
          </cell>
        </row>
        <row r="247">
          <cell r="A247">
            <v>41002</v>
          </cell>
        </row>
        <row r="248">
          <cell r="A248">
            <v>41003</v>
          </cell>
        </row>
        <row r="249">
          <cell r="A249">
            <v>41004</v>
          </cell>
        </row>
        <row r="250">
          <cell r="A250">
            <v>41005</v>
          </cell>
        </row>
        <row r="251">
          <cell r="A251">
            <v>41006</v>
          </cell>
        </row>
        <row r="252">
          <cell r="A252">
            <v>41007</v>
          </cell>
        </row>
        <row r="253">
          <cell r="A253">
            <v>41008</v>
          </cell>
        </row>
        <row r="254">
          <cell r="A254">
            <v>41009</v>
          </cell>
        </row>
        <row r="255">
          <cell r="A255">
            <v>41010</v>
          </cell>
        </row>
        <row r="256">
          <cell r="A256">
            <v>41011</v>
          </cell>
        </row>
        <row r="257">
          <cell r="A257">
            <v>41012</v>
          </cell>
        </row>
        <row r="258">
          <cell r="A258">
            <v>41013</v>
          </cell>
        </row>
        <row r="259">
          <cell r="A259">
            <v>41014</v>
          </cell>
        </row>
        <row r="260">
          <cell r="A260">
            <v>41015</v>
          </cell>
        </row>
        <row r="261">
          <cell r="A261">
            <v>47001</v>
          </cell>
        </row>
        <row r="262">
          <cell r="A262">
            <v>47002</v>
          </cell>
        </row>
        <row r="263">
          <cell r="A263">
            <v>47003</v>
          </cell>
        </row>
        <row r="264">
          <cell r="A264">
            <v>47004</v>
          </cell>
        </row>
        <row r="265">
          <cell r="A265">
            <v>47005</v>
          </cell>
        </row>
        <row r="266">
          <cell r="A266">
            <v>47006</v>
          </cell>
        </row>
        <row r="267">
          <cell r="A267">
            <v>47007</v>
          </cell>
        </row>
        <row r="268">
          <cell r="A268">
            <v>47008</v>
          </cell>
        </row>
        <row r="269">
          <cell r="A269">
            <v>47009</v>
          </cell>
        </row>
        <row r="270">
          <cell r="A270">
            <v>47010</v>
          </cell>
        </row>
        <row r="271">
          <cell r="A271">
            <v>47011</v>
          </cell>
        </row>
        <row r="272">
          <cell r="A272">
            <v>49001</v>
          </cell>
        </row>
        <row r="273">
          <cell r="A273">
            <v>49002</v>
          </cell>
        </row>
        <row r="274">
          <cell r="A274">
            <v>49003</v>
          </cell>
        </row>
        <row r="275">
          <cell r="A275">
            <v>49004</v>
          </cell>
        </row>
        <row r="276">
          <cell r="A276">
            <v>49005</v>
          </cell>
        </row>
        <row r="277">
          <cell r="A277">
            <v>49006</v>
          </cell>
        </row>
        <row r="278">
          <cell r="A278">
            <v>49007</v>
          </cell>
        </row>
        <row r="279">
          <cell r="A279">
            <v>49008</v>
          </cell>
        </row>
        <row r="280">
          <cell r="A280">
            <v>49009</v>
          </cell>
        </row>
        <row r="281">
          <cell r="A281">
            <v>49010</v>
          </cell>
        </row>
        <row r="282">
          <cell r="A282">
            <v>49011</v>
          </cell>
        </row>
        <row r="283">
          <cell r="A283">
            <v>49012</v>
          </cell>
        </row>
        <row r="284">
          <cell r="A284">
            <v>49013</v>
          </cell>
        </row>
        <row r="285">
          <cell r="A285">
            <v>49014</v>
          </cell>
        </row>
        <row r="286">
          <cell r="A286">
            <v>50001</v>
          </cell>
        </row>
        <row r="287">
          <cell r="A287">
            <v>50002</v>
          </cell>
        </row>
        <row r="288">
          <cell r="A288">
            <v>50003</v>
          </cell>
        </row>
        <row r="289">
          <cell r="A289">
            <v>50004</v>
          </cell>
        </row>
        <row r="290">
          <cell r="A290">
            <v>50005</v>
          </cell>
        </row>
        <row r="291">
          <cell r="A291">
            <v>50006</v>
          </cell>
        </row>
        <row r="292">
          <cell r="A292">
            <v>50007</v>
          </cell>
        </row>
        <row r="293">
          <cell r="A293">
            <v>50008</v>
          </cell>
        </row>
        <row r="294">
          <cell r="A294">
            <v>50009</v>
          </cell>
        </row>
        <row r="295">
          <cell r="A295">
            <v>50010</v>
          </cell>
        </row>
        <row r="296">
          <cell r="A296">
            <v>50011</v>
          </cell>
        </row>
        <row r="297">
          <cell r="A297">
            <v>50012</v>
          </cell>
        </row>
        <row r="298">
          <cell r="A298">
            <v>50013</v>
          </cell>
        </row>
        <row r="299">
          <cell r="A299">
            <v>50014</v>
          </cell>
        </row>
        <row r="300">
          <cell r="A300">
            <v>51001</v>
          </cell>
        </row>
        <row r="301">
          <cell r="A301">
            <v>51002</v>
          </cell>
        </row>
        <row r="302">
          <cell r="A302">
            <v>58001</v>
          </cell>
        </row>
        <row r="303">
          <cell r="A303">
            <v>59001</v>
          </cell>
        </row>
        <row r="304">
          <cell r="A304">
            <v>59002</v>
          </cell>
        </row>
        <row r="305">
          <cell r="A305">
            <v>60001</v>
          </cell>
        </row>
        <row r="306">
          <cell r="A306">
            <v>60002</v>
          </cell>
        </row>
        <row r="307">
          <cell r="A307">
            <v>60003</v>
          </cell>
        </row>
        <row r="308">
          <cell r="A308">
            <v>60004</v>
          </cell>
        </row>
        <row r="309">
          <cell r="A309">
            <v>60005</v>
          </cell>
        </row>
        <row r="310">
          <cell r="A310">
            <v>60006</v>
          </cell>
        </row>
        <row r="311">
          <cell r="A311">
            <v>60007</v>
          </cell>
        </row>
        <row r="312">
          <cell r="A312">
            <v>60010</v>
          </cell>
        </row>
        <row r="313">
          <cell r="A313">
            <v>60011</v>
          </cell>
        </row>
        <row r="314">
          <cell r="A314">
            <v>61011</v>
          </cell>
        </row>
        <row r="315">
          <cell r="A315">
            <v>60012</v>
          </cell>
        </row>
        <row r="316">
          <cell r="A316">
            <v>60013</v>
          </cell>
        </row>
        <row r="317">
          <cell r="A317">
            <v>60014</v>
          </cell>
        </row>
        <row r="318">
          <cell r="A318">
            <v>60015</v>
          </cell>
        </row>
        <row r="319">
          <cell r="A319">
            <v>60016</v>
          </cell>
        </row>
        <row r="320">
          <cell r="A320">
            <v>60017</v>
          </cell>
        </row>
        <row r="321">
          <cell r="A321">
            <v>60018</v>
          </cell>
        </row>
        <row r="322">
          <cell r="A322">
            <v>60019</v>
          </cell>
        </row>
        <row r="323">
          <cell r="A323">
            <v>60020</v>
          </cell>
        </row>
        <row r="324">
          <cell r="A324">
            <v>60025</v>
          </cell>
        </row>
        <row r="325">
          <cell r="A325">
            <v>60026</v>
          </cell>
        </row>
        <row r="326">
          <cell r="A326">
            <v>60027</v>
          </cell>
        </row>
        <row r="327">
          <cell r="A327">
            <v>60028</v>
          </cell>
        </row>
        <row r="328">
          <cell r="A328">
            <v>65525</v>
          </cell>
        </row>
        <row r="329">
          <cell r="A329">
            <v>65526</v>
          </cell>
        </row>
        <row r="330">
          <cell r="A330">
            <v>65527</v>
          </cell>
        </row>
        <row r="331">
          <cell r="A331">
            <v>65528</v>
          </cell>
        </row>
        <row r="332">
          <cell r="A332">
            <v>65529</v>
          </cell>
        </row>
        <row r="333">
          <cell r="A333">
            <v>65530</v>
          </cell>
        </row>
        <row r="334">
          <cell r="A334">
            <v>65531</v>
          </cell>
        </row>
        <row r="335">
          <cell r="A335">
            <v>65532</v>
          </cell>
        </row>
        <row r="336">
          <cell r="A336">
            <v>65533</v>
          </cell>
        </row>
        <row r="337">
          <cell r="A337">
            <v>65534</v>
          </cell>
        </row>
        <row r="338">
          <cell r="A338">
            <v>65535</v>
          </cell>
        </row>
        <row r="339">
          <cell r="A339">
            <v>60021</v>
          </cell>
        </row>
        <row r="340">
          <cell r="A340">
            <v>60022</v>
          </cell>
        </row>
        <row r="341">
          <cell r="A341">
            <v>60023</v>
          </cell>
        </row>
        <row r="342">
          <cell r="A342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  <cell r="AL2" t="str">
            <v>treasure_bug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11006_4</v>
          </cell>
        </row>
        <row r="224">
          <cell r="A224" t="str">
            <v>11007_1</v>
          </cell>
        </row>
        <row r="225">
          <cell r="A225" t="str">
            <v>11007_2</v>
          </cell>
        </row>
        <row r="226">
          <cell r="A226" t="str">
            <v>11007_3</v>
          </cell>
        </row>
        <row r="227">
          <cell r="A227" t="str">
            <v>11007_4</v>
          </cell>
        </row>
        <row r="228">
          <cell r="A228" t="str">
            <v>11007_5</v>
          </cell>
        </row>
        <row r="229">
          <cell r="A229" t="str">
            <v>11008_1</v>
          </cell>
        </row>
        <row r="230">
          <cell r="A230" t="str">
            <v>11008_2</v>
          </cell>
        </row>
        <row r="231">
          <cell r="A231" t="str">
            <v>11008_3</v>
          </cell>
        </row>
        <row r="232">
          <cell r="A232" t="str">
            <v>11008_4</v>
          </cell>
        </row>
        <row r="233">
          <cell r="A233" t="str">
            <v>11008_5</v>
          </cell>
        </row>
        <row r="234">
          <cell r="A234" t="str">
            <v>11016_1</v>
          </cell>
        </row>
        <row r="235">
          <cell r="A235" t="str">
            <v>11017_1</v>
          </cell>
        </row>
        <row r="236">
          <cell r="A236" t="str">
            <v>11018_1</v>
          </cell>
        </row>
        <row r="237">
          <cell r="A237" t="str">
            <v>11101_1</v>
          </cell>
        </row>
        <row r="238">
          <cell r="A238" t="str">
            <v>11101_2</v>
          </cell>
        </row>
        <row r="239">
          <cell r="A239" t="str">
            <v>11101_3</v>
          </cell>
        </row>
        <row r="240">
          <cell r="A240" t="str">
            <v>11101_4</v>
          </cell>
        </row>
        <row r="241">
          <cell r="A241" t="str">
            <v>11101_10</v>
          </cell>
        </row>
        <row r="242">
          <cell r="A242" t="str">
            <v>11102_1</v>
          </cell>
        </row>
        <row r="243">
          <cell r="A243" t="str">
            <v>11102_2</v>
          </cell>
        </row>
        <row r="244">
          <cell r="A244" t="str">
            <v>11102_3</v>
          </cell>
        </row>
        <row r="245">
          <cell r="A245" t="str">
            <v>11102_4</v>
          </cell>
        </row>
        <row r="246">
          <cell r="A246" t="str">
            <v>11102_10</v>
          </cell>
        </row>
        <row r="247">
          <cell r="A247" t="str">
            <v>11103_1</v>
          </cell>
        </row>
        <row r="248">
          <cell r="A248" t="str">
            <v>11103_2</v>
          </cell>
        </row>
        <row r="249">
          <cell r="A249" t="str">
            <v>11103_3</v>
          </cell>
        </row>
        <row r="250">
          <cell r="A250" t="str">
            <v>11103_4</v>
          </cell>
        </row>
        <row r="251">
          <cell r="A251" t="str">
            <v>11103_10</v>
          </cell>
        </row>
        <row r="252">
          <cell r="A252" t="str">
            <v>11104_1</v>
          </cell>
        </row>
        <row r="253">
          <cell r="A253" t="str">
            <v>11104_2</v>
          </cell>
        </row>
        <row r="254">
          <cell r="A254" t="str">
            <v>11104_3</v>
          </cell>
        </row>
        <row r="255">
          <cell r="A255" t="str">
            <v>11104_4</v>
          </cell>
        </row>
        <row r="256">
          <cell r="A256" t="str">
            <v>11104_10</v>
          </cell>
        </row>
        <row r="257">
          <cell r="A257" t="str">
            <v>11105_1</v>
          </cell>
        </row>
        <row r="258">
          <cell r="A258" t="str">
            <v>11105_2</v>
          </cell>
        </row>
        <row r="259">
          <cell r="A259" t="str">
            <v>11105_3</v>
          </cell>
        </row>
        <row r="260">
          <cell r="A260" t="str">
            <v>11105_4</v>
          </cell>
        </row>
        <row r="261">
          <cell r="A261" t="str">
            <v>11106_1</v>
          </cell>
        </row>
        <row r="262">
          <cell r="A262" t="str">
            <v>11106_2</v>
          </cell>
        </row>
        <row r="263">
          <cell r="A263" t="str">
            <v>11106_3</v>
          </cell>
        </row>
        <row r="264">
          <cell r="A264" t="str">
            <v>11206_1</v>
          </cell>
        </row>
        <row r="265">
          <cell r="A265" t="str">
            <v>11206_2</v>
          </cell>
        </row>
        <row r="266">
          <cell r="A266" t="str">
            <v>11206_3</v>
          </cell>
        </row>
        <row r="267">
          <cell r="A267" t="str">
            <v>11207_1</v>
          </cell>
        </row>
        <row r="268">
          <cell r="A268" t="str">
            <v>11207_2</v>
          </cell>
        </row>
        <row r="269">
          <cell r="A269" t="str">
            <v>11208_1</v>
          </cell>
        </row>
        <row r="270">
          <cell r="A270" t="str">
            <v>11208_2</v>
          </cell>
        </row>
        <row r="271">
          <cell r="A271" t="str">
            <v>11209_1</v>
          </cell>
        </row>
        <row r="272">
          <cell r="A272" t="str">
            <v>11209_2</v>
          </cell>
        </row>
        <row r="273">
          <cell r="A273" t="str">
            <v>11212_1</v>
          </cell>
        </row>
        <row r="274">
          <cell r="A274" t="str">
            <v>11213_1</v>
          </cell>
        </row>
        <row r="275">
          <cell r="A275" t="str">
            <v>11214_1</v>
          </cell>
        </row>
        <row r="276">
          <cell r="A276" t="str">
            <v>11214_2</v>
          </cell>
        </row>
        <row r="277">
          <cell r="A277" t="str">
            <v>11214_3</v>
          </cell>
        </row>
        <row r="278">
          <cell r="A278" t="str">
            <v>11215_1</v>
          </cell>
        </row>
        <row r="279">
          <cell r="A279" t="str">
            <v>11216_1</v>
          </cell>
        </row>
        <row r="280">
          <cell r="A280" t="str">
            <v>11217_1</v>
          </cell>
        </row>
        <row r="281">
          <cell r="A281" t="str">
            <v>11218_1</v>
          </cell>
        </row>
        <row r="282">
          <cell r="A282" t="str">
            <v>11219_1</v>
          </cell>
        </row>
        <row r="283">
          <cell r="A283" t="str">
            <v>11220_1</v>
          </cell>
        </row>
        <row r="284">
          <cell r="A284" t="str">
            <v>11221_1</v>
          </cell>
        </row>
        <row r="285">
          <cell r="A285" t="str">
            <v>11224_1</v>
          </cell>
        </row>
        <row r="286">
          <cell r="A286" t="str">
            <v>11225_1</v>
          </cell>
        </row>
        <row r="287">
          <cell r="A287" t="str">
            <v>11226_1</v>
          </cell>
        </row>
        <row r="288">
          <cell r="A288" t="str">
            <v>11226_2</v>
          </cell>
        </row>
        <row r="289">
          <cell r="A289" t="str">
            <v>11226_3</v>
          </cell>
        </row>
        <row r="290">
          <cell r="A290" t="str">
            <v>11226_4</v>
          </cell>
        </row>
        <row r="291">
          <cell r="A291" t="str">
            <v>11226_5</v>
          </cell>
        </row>
        <row r="292">
          <cell r="A292" t="str">
            <v>11226_6</v>
          </cell>
        </row>
        <row r="293">
          <cell r="A293" t="str">
            <v>11226_7</v>
          </cell>
        </row>
        <row r="294">
          <cell r="A294" t="str">
            <v>11226_8</v>
          </cell>
        </row>
        <row r="295">
          <cell r="A295" t="str">
            <v>11227_1</v>
          </cell>
        </row>
        <row r="296">
          <cell r="A296" t="str">
            <v>11227_2</v>
          </cell>
        </row>
        <row r="297">
          <cell r="A297" t="str">
            <v>11228_1</v>
          </cell>
        </row>
        <row r="298">
          <cell r="A298" t="str">
            <v>11229_1</v>
          </cell>
        </row>
        <row r="299">
          <cell r="A299" t="str">
            <v>12001_1</v>
          </cell>
        </row>
        <row r="300">
          <cell r="A300" t="str">
            <v>12001_2</v>
          </cell>
        </row>
        <row r="301">
          <cell r="A301" t="str">
            <v>12001_3</v>
          </cell>
        </row>
        <row r="302">
          <cell r="A302" t="str">
            <v>12002_1</v>
          </cell>
        </row>
        <row r="303">
          <cell r="A303" t="str">
            <v>12002_2</v>
          </cell>
        </row>
        <row r="304">
          <cell r="A304" t="str">
            <v>12003_1</v>
          </cell>
        </row>
        <row r="305">
          <cell r="A305" t="str">
            <v>12003_2</v>
          </cell>
        </row>
        <row r="306">
          <cell r="A306" t="str">
            <v>12003_3</v>
          </cell>
        </row>
        <row r="307">
          <cell r="A307" t="str">
            <v>12003_4</v>
          </cell>
        </row>
        <row r="308">
          <cell r="A308" t="str">
            <v>12004_1</v>
          </cell>
        </row>
        <row r="309">
          <cell r="A309" t="str">
            <v>13001_1</v>
          </cell>
        </row>
        <row r="310">
          <cell r="A310" t="str">
            <v>13001_2</v>
          </cell>
        </row>
        <row r="311">
          <cell r="A311" t="str">
            <v>13001_3</v>
          </cell>
        </row>
        <row r="312">
          <cell r="A312" t="str">
            <v>13001_4</v>
          </cell>
        </row>
        <row r="313">
          <cell r="A313" t="str">
            <v>13001_5</v>
          </cell>
        </row>
        <row r="314">
          <cell r="A314" t="str">
            <v>13001_6</v>
          </cell>
        </row>
        <row r="315">
          <cell r="A315" t="str">
            <v>13001_7</v>
          </cell>
        </row>
        <row r="316">
          <cell r="A316" t="str">
            <v>13001_8</v>
          </cell>
        </row>
        <row r="317">
          <cell r="A317" t="str">
            <v>13001_9</v>
          </cell>
        </row>
        <row r="318">
          <cell r="A318" t="str">
            <v>13001_10</v>
          </cell>
        </row>
        <row r="319">
          <cell r="A319" t="str">
            <v>13001_11</v>
          </cell>
        </row>
        <row r="320">
          <cell r="A320" t="str">
            <v>13001_12</v>
          </cell>
        </row>
        <row r="321">
          <cell r="A321" t="str">
            <v>13001_13</v>
          </cell>
        </row>
        <row r="322">
          <cell r="A322" t="str">
            <v>13001_14</v>
          </cell>
        </row>
        <row r="323">
          <cell r="A323" t="str">
            <v>13001_15</v>
          </cell>
        </row>
        <row r="324">
          <cell r="A324" t="str">
            <v>13001_16</v>
          </cell>
        </row>
        <row r="325">
          <cell r="A325" t="str">
            <v>13001_17</v>
          </cell>
        </row>
        <row r="326">
          <cell r="A326" t="str">
            <v>13001_18</v>
          </cell>
        </row>
        <row r="327">
          <cell r="A327" t="str">
            <v>13001_19</v>
          </cell>
        </row>
        <row r="328">
          <cell r="A328" t="str">
            <v>13001_20</v>
          </cell>
        </row>
        <row r="329">
          <cell r="A329" t="str">
            <v>13001_21</v>
          </cell>
        </row>
        <row r="330">
          <cell r="A330" t="str">
            <v>13001_22</v>
          </cell>
        </row>
        <row r="331">
          <cell r="A331" t="str">
            <v>13001_23</v>
          </cell>
        </row>
        <row r="332">
          <cell r="A332" t="str">
            <v>13001_24</v>
          </cell>
        </row>
        <row r="333">
          <cell r="A333" t="str">
            <v>13001_25</v>
          </cell>
        </row>
        <row r="334">
          <cell r="A334" t="str">
            <v>13101_1</v>
          </cell>
        </row>
        <row r="335">
          <cell r="A335" t="str">
            <v>13101_2</v>
          </cell>
        </row>
        <row r="336">
          <cell r="A336" t="str">
            <v>13101_3</v>
          </cell>
        </row>
        <row r="337">
          <cell r="A337" t="str">
            <v>13101_4</v>
          </cell>
        </row>
        <row r="338">
          <cell r="A338" t="str">
            <v>13101_5</v>
          </cell>
        </row>
        <row r="339">
          <cell r="A339" t="str">
            <v>13101_6</v>
          </cell>
        </row>
        <row r="340">
          <cell r="A340" t="str">
            <v>13101_7</v>
          </cell>
        </row>
        <row r="341">
          <cell r="A341" t="str">
            <v>13101_8</v>
          </cell>
        </row>
        <row r="342">
          <cell r="A342" t="str">
            <v>13101_9</v>
          </cell>
        </row>
        <row r="343">
          <cell r="A343" t="str">
            <v>13101_10</v>
          </cell>
        </row>
        <row r="344">
          <cell r="A344" t="str">
            <v>13101_11</v>
          </cell>
        </row>
        <row r="345">
          <cell r="A345" t="str">
            <v>13101_12</v>
          </cell>
        </row>
        <row r="346">
          <cell r="A346" t="str">
            <v>13101_13</v>
          </cell>
        </row>
        <row r="347">
          <cell r="A347" t="str">
            <v>13101_14</v>
          </cell>
        </row>
        <row r="348">
          <cell r="A348" t="str">
            <v>13101_15</v>
          </cell>
        </row>
        <row r="349">
          <cell r="A349" t="str">
            <v>13101_16</v>
          </cell>
        </row>
        <row r="350">
          <cell r="A350" t="str">
            <v>13101_17</v>
          </cell>
        </row>
        <row r="351">
          <cell r="A351" t="str">
            <v>13101_18</v>
          </cell>
        </row>
        <row r="352">
          <cell r="A352" t="str">
            <v>13101_19</v>
          </cell>
        </row>
        <row r="353">
          <cell r="A353" t="str">
            <v>13101_20</v>
          </cell>
        </row>
        <row r="354">
          <cell r="A354" t="str">
            <v>13101_21</v>
          </cell>
        </row>
        <row r="355">
          <cell r="A355" t="str">
            <v>13101_22</v>
          </cell>
        </row>
        <row r="356">
          <cell r="A356" t="str">
            <v>13101_23</v>
          </cell>
        </row>
        <row r="357">
          <cell r="A357" t="str">
            <v>13101_24</v>
          </cell>
        </row>
        <row r="358">
          <cell r="A358" t="str">
            <v>13101_25</v>
          </cell>
        </row>
        <row r="359">
          <cell r="A359" t="str">
            <v>13300_1</v>
          </cell>
        </row>
        <row r="360">
          <cell r="A360" t="str">
            <v>13300_2</v>
          </cell>
        </row>
        <row r="361">
          <cell r="A361" t="str">
            <v>13300_3</v>
          </cell>
        </row>
        <row r="362">
          <cell r="A362" t="str">
            <v>13300_4</v>
          </cell>
        </row>
        <row r="363">
          <cell r="A363" t="str">
            <v>13300_5</v>
          </cell>
        </row>
        <row r="364">
          <cell r="A364" t="str">
            <v>13300_6</v>
          </cell>
        </row>
        <row r="365">
          <cell r="A365" t="str">
            <v>13300_7</v>
          </cell>
        </row>
        <row r="366">
          <cell r="A366" t="str">
            <v>13300_8</v>
          </cell>
        </row>
        <row r="367">
          <cell r="A367" t="str">
            <v>13300_9</v>
          </cell>
        </row>
        <row r="368">
          <cell r="A368" t="str">
            <v>13300_10</v>
          </cell>
        </row>
        <row r="369">
          <cell r="A369" t="str">
            <v>13300_11</v>
          </cell>
        </row>
        <row r="370">
          <cell r="A370" t="str">
            <v>13300_12</v>
          </cell>
        </row>
        <row r="371">
          <cell r="A371" t="str">
            <v>13300_13</v>
          </cell>
        </row>
        <row r="372">
          <cell r="A372" t="str">
            <v>13300_14</v>
          </cell>
        </row>
        <row r="373">
          <cell r="A373" t="str">
            <v>13300_15</v>
          </cell>
        </row>
        <row r="374">
          <cell r="A374" t="str">
            <v>13301_1</v>
          </cell>
        </row>
        <row r="375">
          <cell r="A375" t="str">
            <v>13301_2</v>
          </cell>
        </row>
        <row r="376">
          <cell r="A376" t="str">
            <v>13301_3</v>
          </cell>
        </row>
        <row r="377">
          <cell r="A377" t="str">
            <v>13301_4</v>
          </cell>
        </row>
        <row r="378">
          <cell r="A378" t="str">
            <v>13301_5</v>
          </cell>
        </row>
        <row r="379">
          <cell r="A379" t="str">
            <v>13301_6</v>
          </cell>
        </row>
        <row r="380">
          <cell r="A380" t="str">
            <v>13301_7</v>
          </cell>
        </row>
        <row r="381">
          <cell r="A381" t="str">
            <v>13301_8</v>
          </cell>
        </row>
        <row r="382">
          <cell r="A382" t="str">
            <v>13301_9</v>
          </cell>
        </row>
        <row r="383">
          <cell r="A383" t="str">
            <v>13301_10</v>
          </cell>
        </row>
        <row r="384">
          <cell r="A384" t="str">
            <v>13301_11</v>
          </cell>
        </row>
        <row r="385">
          <cell r="A385" t="str">
            <v>13301_12</v>
          </cell>
        </row>
        <row r="386">
          <cell r="A386" t="str">
            <v>13301_13</v>
          </cell>
        </row>
        <row r="387">
          <cell r="A387" t="str">
            <v>13301_14</v>
          </cell>
        </row>
        <row r="388">
          <cell r="A388" t="str">
            <v>13301_15</v>
          </cell>
        </row>
        <row r="389">
          <cell r="A389" t="str">
            <v>13302_1</v>
          </cell>
        </row>
        <row r="390">
          <cell r="A390" t="str">
            <v>13302_2</v>
          </cell>
        </row>
        <row r="391">
          <cell r="A391" t="str">
            <v>13302_3</v>
          </cell>
        </row>
        <row r="392">
          <cell r="A392" t="str">
            <v>13302_4</v>
          </cell>
        </row>
        <row r="393">
          <cell r="A393" t="str">
            <v>13302_5</v>
          </cell>
        </row>
        <row r="394">
          <cell r="A394" t="str">
            <v>13302_6</v>
          </cell>
        </row>
        <row r="395">
          <cell r="A395" t="str">
            <v>13302_7</v>
          </cell>
        </row>
        <row r="396">
          <cell r="A396" t="str">
            <v>13302_8</v>
          </cell>
        </row>
        <row r="397">
          <cell r="A397" t="str">
            <v>13302_9</v>
          </cell>
        </row>
        <row r="398">
          <cell r="A398" t="str">
            <v>13302_10</v>
          </cell>
        </row>
        <row r="399">
          <cell r="A399" t="str">
            <v>13302_11</v>
          </cell>
        </row>
        <row r="400">
          <cell r="A400" t="str">
            <v>13302_12</v>
          </cell>
        </row>
        <row r="401">
          <cell r="A401" t="str">
            <v>13302_13</v>
          </cell>
        </row>
        <row r="402">
          <cell r="A402" t="str">
            <v>13302_14</v>
          </cell>
        </row>
        <row r="403">
          <cell r="A403" t="str">
            <v>13302_15</v>
          </cell>
        </row>
        <row r="404">
          <cell r="A404" t="str">
            <v>13400_1</v>
          </cell>
        </row>
        <row r="405">
          <cell r="A405" t="str">
            <v>13400_2</v>
          </cell>
        </row>
        <row r="406">
          <cell r="A406" t="str">
            <v>13400_3</v>
          </cell>
        </row>
        <row r="407">
          <cell r="A407" t="str">
            <v>13400_4</v>
          </cell>
        </row>
        <row r="408">
          <cell r="A408" t="str">
            <v>13400_5</v>
          </cell>
        </row>
        <row r="409">
          <cell r="A409" t="str">
            <v>13400_6</v>
          </cell>
        </row>
        <row r="410">
          <cell r="A410" t="str">
            <v>13400_7</v>
          </cell>
        </row>
        <row r="411">
          <cell r="A411" t="str">
            <v>13400_8</v>
          </cell>
        </row>
        <row r="412">
          <cell r="A412" t="str">
            <v>13400_9</v>
          </cell>
        </row>
        <row r="413">
          <cell r="A413" t="str">
            <v>13400_10</v>
          </cell>
        </row>
        <row r="414">
          <cell r="A414" t="str">
            <v>13400_11</v>
          </cell>
        </row>
        <row r="415">
          <cell r="A415" t="str">
            <v>13400_12</v>
          </cell>
        </row>
        <row r="416">
          <cell r="A416" t="str">
            <v>13400_13</v>
          </cell>
        </row>
        <row r="417">
          <cell r="A417" t="str">
            <v>13400_14</v>
          </cell>
        </row>
        <row r="418">
          <cell r="A418" t="str">
            <v>13400_15</v>
          </cell>
        </row>
        <row r="419">
          <cell r="A419" t="str">
            <v>14001_1</v>
          </cell>
        </row>
        <row r="420">
          <cell r="A420" t="str">
            <v>14001_2</v>
          </cell>
        </row>
        <row r="421">
          <cell r="A421" t="str">
            <v>14001_3</v>
          </cell>
        </row>
        <row r="422">
          <cell r="A422" t="str">
            <v>14001_4</v>
          </cell>
        </row>
        <row r="423">
          <cell r="A423" t="str">
            <v>14001_5</v>
          </cell>
        </row>
        <row r="424">
          <cell r="A424" t="str">
            <v>14001_6</v>
          </cell>
        </row>
        <row r="425">
          <cell r="A425" t="str">
            <v>14001_7</v>
          </cell>
        </row>
        <row r="426">
          <cell r="A426" t="str">
            <v>14001_8</v>
          </cell>
        </row>
        <row r="427">
          <cell r="A427" t="str">
            <v>14002_1</v>
          </cell>
        </row>
        <row r="428">
          <cell r="A428" t="str">
            <v>14002_2</v>
          </cell>
        </row>
        <row r="429">
          <cell r="A429" t="str">
            <v>14003_1</v>
          </cell>
        </row>
        <row r="430">
          <cell r="A430" t="str">
            <v>14003_2</v>
          </cell>
        </row>
        <row r="431">
          <cell r="A431" t="str">
            <v>14003_3</v>
          </cell>
        </row>
        <row r="432">
          <cell r="A432" t="str">
            <v>14003_4</v>
          </cell>
        </row>
        <row r="433">
          <cell r="A433" t="str">
            <v>14004_1</v>
          </cell>
        </row>
        <row r="434">
          <cell r="A434" t="str">
            <v>14004_2</v>
          </cell>
        </row>
        <row r="435">
          <cell r="A435" t="str">
            <v>14004_3</v>
          </cell>
        </row>
        <row r="436">
          <cell r="A436" t="str">
            <v>14004_4</v>
          </cell>
        </row>
        <row r="437">
          <cell r="A437" t="str">
            <v>14005_1</v>
          </cell>
        </row>
        <row r="438">
          <cell r="A438" t="str">
            <v>14006_1</v>
          </cell>
        </row>
        <row r="439">
          <cell r="A439" t="str">
            <v>15027_1</v>
          </cell>
        </row>
        <row r="440">
          <cell r="A440" t="str">
            <v>15027_2</v>
          </cell>
        </row>
        <row r="441">
          <cell r="A441" t="str">
            <v>15027_3</v>
          </cell>
        </row>
        <row r="442">
          <cell r="A442" t="str">
            <v>15027_4</v>
          </cell>
        </row>
        <row r="443">
          <cell r="A443" t="str">
            <v>15028_1</v>
          </cell>
        </row>
        <row r="444">
          <cell r="A444" t="str">
            <v>15028_2</v>
          </cell>
        </row>
        <row r="445">
          <cell r="A445" t="str">
            <v>15028_3</v>
          </cell>
        </row>
        <row r="446">
          <cell r="A446" t="str">
            <v>15028_4</v>
          </cell>
        </row>
        <row r="447">
          <cell r="A447" t="str">
            <v>15029_1</v>
          </cell>
        </row>
        <row r="448">
          <cell r="A448" t="str">
            <v>15029_2</v>
          </cell>
        </row>
        <row r="449">
          <cell r="A449" t="str">
            <v>15029_3</v>
          </cell>
        </row>
        <row r="450">
          <cell r="A450" t="str">
            <v>15029_4</v>
          </cell>
        </row>
        <row r="451">
          <cell r="A451" t="str">
            <v>15030_1</v>
          </cell>
        </row>
        <row r="452">
          <cell r="A452" t="str">
            <v>15030_2</v>
          </cell>
        </row>
        <row r="453">
          <cell r="A453" t="str">
            <v>15030_3</v>
          </cell>
        </row>
        <row r="454">
          <cell r="A454" t="str">
            <v>15030_4</v>
          </cell>
        </row>
        <row r="455">
          <cell r="A455" t="str">
            <v>15031_1</v>
          </cell>
        </row>
        <row r="456">
          <cell r="A456" t="str">
            <v>15031_2</v>
          </cell>
        </row>
        <row r="457">
          <cell r="A457" t="str">
            <v>15031_3</v>
          </cell>
        </row>
        <row r="458">
          <cell r="A458" t="str">
            <v>15031_4</v>
          </cell>
        </row>
        <row r="459">
          <cell r="A459" t="str">
            <v>20001_1</v>
          </cell>
        </row>
        <row r="460">
          <cell r="A460" t="str">
            <v>20001_2</v>
          </cell>
        </row>
        <row r="461">
          <cell r="A461" t="str">
            <v>20001_3</v>
          </cell>
        </row>
        <row r="462">
          <cell r="A462" t="str">
            <v>20002_1</v>
          </cell>
        </row>
        <row r="463">
          <cell r="A463" t="str">
            <v>20002_2</v>
          </cell>
        </row>
        <row r="464">
          <cell r="A464" t="str">
            <v>20002_3</v>
          </cell>
        </row>
        <row r="465">
          <cell r="A465" t="str">
            <v>20003_1</v>
          </cell>
        </row>
        <row r="466">
          <cell r="A466" t="str">
            <v>20003_2</v>
          </cell>
        </row>
        <row r="467">
          <cell r="A467" t="str">
            <v>20003_3</v>
          </cell>
        </row>
        <row r="468">
          <cell r="A468" t="str">
            <v>20004_1</v>
          </cell>
        </row>
        <row r="469">
          <cell r="A469" t="str">
            <v>20004_2</v>
          </cell>
        </row>
        <row r="470">
          <cell r="A470" t="str">
            <v>20004_3</v>
          </cell>
        </row>
        <row r="471">
          <cell r="A471" t="str">
            <v>20005_1</v>
          </cell>
        </row>
        <row r="472">
          <cell r="A472" t="str">
            <v>20005_2</v>
          </cell>
        </row>
        <row r="473">
          <cell r="A473" t="str">
            <v>20005_3</v>
          </cell>
        </row>
        <row r="474">
          <cell r="A474" t="str">
            <v>20006_1</v>
          </cell>
        </row>
        <row r="475">
          <cell r="A475" t="str">
            <v>20006_2</v>
          </cell>
        </row>
        <row r="476">
          <cell r="A476" t="str">
            <v>20006_3</v>
          </cell>
        </row>
        <row r="477">
          <cell r="A477" t="str">
            <v>20007_1</v>
          </cell>
        </row>
        <row r="478">
          <cell r="A478" t="str">
            <v>20007_2</v>
          </cell>
        </row>
        <row r="479">
          <cell r="A479" t="str">
            <v>20007_3</v>
          </cell>
        </row>
        <row r="480">
          <cell r="A480" t="str">
            <v>20008_1</v>
          </cell>
        </row>
        <row r="481">
          <cell r="A481" t="str">
            <v>20008_2</v>
          </cell>
        </row>
        <row r="482">
          <cell r="A482" t="str">
            <v>20008_3</v>
          </cell>
        </row>
        <row r="483">
          <cell r="A483" t="str">
            <v>20009_1</v>
          </cell>
        </row>
        <row r="484">
          <cell r="A484" t="str">
            <v>20009_2</v>
          </cell>
        </row>
        <row r="485">
          <cell r="A485" t="str">
            <v>20009_3</v>
          </cell>
        </row>
        <row r="486">
          <cell r="A486" t="str">
            <v>20010_1</v>
          </cell>
        </row>
        <row r="487">
          <cell r="A487" t="str">
            <v>20010_2</v>
          </cell>
        </row>
        <row r="488">
          <cell r="A488" t="str">
            <v>20010_3</v>
          </cell>
        </row>
        <row r="489">
          <cell r="A489" t="str">
            <v>20011_1</v>
          </cell>
        </row>
        <row r="490">
          <cell r="A490" t="str">
            <v>20011_2</v>
          </cell>
        </row>
        <row r="491">
          <cell r="A491" t="str">
            <v>20011_3</v>
          </cell>
        </row>
        <row r="492">
          <cell r="A492" t="str">
            <v>20012_1</v>
          </cell>
        </row>
        <row r="493">
          <cell r="A493" t="str">
            <v>20012_2</v>
          </cell>
        </row>
        <row r="494">
          <cell r="A494" t="str">
            <v>20012_3</v>
          </cell>
        </row>
        <row r="495">
          <cell r="A495" t="str">
            <v>20013_1</v>
          </cell>
        </row>
        <row r="496">
          <cell r="A496" t="str">
            <v>20013_2</v>
          </cell>
        </row>
        <row r="497">
          <cell r="A497" t="str">
            <v>20013_3</v>
          </cell>
        </row>
        <row r="498">
          <cell r="A498" t="str">
            <v>20014_1</v>
          </cell>
        </row>
        <row r="499">
          <cell r="A499" t="str">
            <v>20014_2</v>
          </cell>
        </row>
        <row r="500">
          <cell r="A500" t="str">
            <v>20014_3</v>
          </cell>
        </row>
        <row r="501">
          <cell r="A501" t="str">
            <v>20015_1</v>
          </cell>
        </row>
        <row r="502">
          <cell r="A502" t="str">
            <v>20015_2</v>
          </cell>
        </row>
        <row r="503">
          <cell r="A503" t="str">
            <v>20015_3</v>
          </cell>
        </row>
        <row r="504">
          <cell r="A504" t="str">
            <v>20016_1</v>
          </cell>
        </row>
        <row r="505">
          <cell r="A505" t="str">
            <v>20016_2</v>
          </cell>
        </row>
        <row r="506">
          <cell r="A506" t="str">
            <v>20016_3</v>
          </cell>
        </row>
        <row r="507">
          <cell r="A507" t="str">
            <v>20017_1</v>
          </cell>
        </row>
        <row r="508">
          <cell r="A508" t="str">
            <v>20017_2</v>
          </cell>
        </row>
        <row r="509">
          <cell r="A509" t="str">
            <v>20017_3</v>
          </cell>
        </row>
        <row r="510">
          <cell r="A510" t="str">
            <v>20018_1</v>
          </cell>
        </row>
        <row r="511">
          <cell r="A511" t="str">
            <v>20018_2</v>
          </cell>
        </row>
        <row r="512">
          <cell r="A512" t="str">
            <v>20018_3</v>
          </cell>
        </row>
        <row r="513">
          <cell r="A513" t="str">
            <v>20019_1</v>
          </cell>
        </row>
        <row r="514">
          <cell r="A514" t="str">
            <v>20019_2</v>
          </cell>
        </row>
        <row r="515">
          <cell r="A515" t="str">
            <v>20019_3</v>
          </cell>
        </row>
        <row r="516">
          <cell r="A516" t="str">
            <v>20020_1</v>
          </cell>
        </row>
        <row r="517">
          <cell r="A517" t="str">
            <v>20020_2</v>
          </cell>
        </row>
        <row r="518">
          <cell r="A518" t="str">
            <v>20020_3</v>
          </cell>
        </row>
        <row r="519">
          <cell r="A519" t="str">
            <v>20021_1</v>
          </cell>
        </row>
        <row r="520">
          <cell r="A520" t="str">
            <v>20021_2</v>
          </cell>
        </row>
        <row r="521">
          <cell r="A521" t="str">
            <v>20021_3</v>
          </cell>
        </row>
        <row r="522">
          <cell r="A522" t="str">
            <v>20022_1</v>
          </cell>
        </row>
        <row r="523">
          <cell r="A523" t="str">
            <v>30001_1</v>
          </cell>
        </row>
        <row r="524">
          <cell r="A524" t="str">
            <v>30001_2</v>
          </cell>
        </row>
        <row r="525">
          <cell r="A525" t="str">
            <v>30001_3</v>
          </cell>
        </row>
        <row r="526">
          <cell r="A526" t="str">
            <v>30002_1</v>
          </cell>
        </row>
        <row r="527">
          <cell r="A527" t="str">
            <v>30002_2</v>
          </cell>
        </row>
        <row r="528">
          <cell r="A528" t="str">
            <v>30002_3</v>
          </cell>
        </row>
        <row r="529">
          <cell r="A529" t="str">
            <v>30003_1</v>
          </cell>
        </row>
        <row r="530">
          <cell r="A530" t="str">
            <v>30003_2</v>
          </cell>
        </row>
        <row r="531">
          <cell r="A531" t="str">
            <v>30003_3</v>
          </cell>
        </row>
        <row r="532">
          <cell r="A532" t="str">
            <v>30004_1</v>
          </cell>
        </row>
        <row r="533">
          <cell r="A533" t="str">
            <v>30004_2</v>
          </cell>
        </row>
        <row r="534">
          <cell r="A534" t="str">
            <v>30004_3</v>
          </cell>
        </row>
        <row r="535">
          <cell r="A535" t="str">
            <v>30005_1</v>
          </cell>
        </row>
        <row r="536">
          <cell r="A536" t="str">
            <v>30005_2</v>
          </cell>
        </row>
        <row r="537">
          <cell r="A537" t="str">
            <v>30005_3</v>
          </cell>
        </row>
        <row r="538">
          <cell r="A538" t="str">
            <v>30006_1</v>
          </cell>
        </row>
        <row r="539">
          <cell r="A539" t="str">
            <v>30006_2</v>
          </cell>
        </row>
        <row r="540">
          <cell r="A540" t="str">
            <v>30006_3</v>
          </cell>
        </row>
        <row r="541">
          <cell r="A541" t="str">
            <v>30007_1</v>
          </cell>
        </row>
        <row r="542">
          <cell r="A542" t="str">
            <v>30007_2</v>
          </cell>
        </row>
        <row r="543">
          <cell r="A543" t="str">
            <v>30007_3</v>
          </cell>
        </row>
        <row r="544">
          <cell r="A544" t="str">
            <v>30008_1</v>
          </cell>
        </row>
        <row r="545">
          <cell r="A545" t="str">
            <v>30008_2</v>
          </cell>
        </row>
        <row r="546">
          <cell r="A546" t="str">
            <v>30008_3</v>
          </cell>
        </row>
        <row r="547">
          <cell r="A547" t="str">
            <v>30009_3</v>
          </cell>
        </row>
        <row r="548">
          <cell r="A548" t="str">
            <v>30009_1</v>
          </cell>
        </row>
        <row r="549">
          <cell r="A549" t="str">
            <v>30009_2</v>
          </cell>
        </row>
        <row r="550">
          <cell r="A550" t="str">
            <v>30010_1</v>
          </cell>
        </row>
        <row r="551">
          <cell r="A551" t="str">
            <v>30010_2</v>
          </cell>
        </row>
        <row r="552">
          <cell r="A552" t="str">
            <v>30010_3</v>
          </cell>
        </row>
        <row r="553">
          <cell r="A553" t="str">
            <v>30011_1</v>
          </cell>
        </row>
        <row r="554">
          <cell r="A554" t="str">
            <v>30011_2</v>
          </cell>
        </row>
        <row r="555">
          <cell r="A555" t="str">
            <v>30011_3</v>
          </cell>
        </row>
        <row r="556">
          <cell r="A556" t="str">
            <v>30012_1</v>
          </cell>
        </row>
        <row r="557">
          <cell r="A557" t="str">
            <v>30012_2</v>
          </cell>
        </row>
        <row r="558">
          <cell r="A558" t="str">
            <v>30012_3</v>
          </cell>
        </row>
        <row r="559">
          <cell r="A559" t="str">
            <v>30013_1</v>
          </cell>
        </row>
        <row r="560">
          <cell r="A560" t="str">
            <v>30013_2</v>
          </cell>
        </row>
        <row r="561">
          <cell r="A561" t="str">
            <v>30014_1</v>
          </cell>
        </row>
        <row r="562">
          <cell r="A562" t="str">
            <v>30014_2</v>
          </cell>
        </row>
        <row r="563">
          <cell r="A563" t="str">
            <v>30015_1</v>
          </cell>
        </row>
        <row r="564">
          <cell r="A564" t="str">
            <v>30015_2</v>
          </cell>
        </row>
        <row r="565">
          <cell r="A565" t="str">
            <v>30016_1</v>
          </cell>
        </row>
        <row r="566">
          <cell r="A566" t="str">
            <v>30016_2</v>
          </cell>
        </row>
        <row r="567">
          <cell r="A567" t="str">
            <v>30017_1</v>
          </cell>
        </row>
        <row r="568">
          <cell r="A568" t="str">
            <v>30017_2</v>
          </cell>
        </row>
        <row r="569">
          <cell r="A569" t="str">
            <v>30018_1</v>
          </cell>
        </row>
        <row r="570">
          <cell r="A570" t="str">
            <v>30018_2</v>
          </cell>
        </row>
        <row r="571">
          <cell r="A571" t="str">
            <v>30019_1</v>
          </cell>
        </row>
        <row r="572">
          <cell r="A572" t="str">
            <v>30019_2</v>
          </cell>
        </row>
        <row r="573">
          <cell r="A573" t="str">
            <v>30020_1</v>
          </cell>
        </row>
        <row r="574">
          <cell r="A574" t="str">
            <v>30020_2</v>
          </cell>
        </row>
        <row r="575">
          <cell r="A575" t="str">
            <v>30021_1</v>
          </cell>
        </row>
        <row r="576">
          <cell r="A576" t="str">
            <v>30021_2</v>
          </cell>
        </row>
        <row r="577">
          <cell r="A577" t="str">
            <v>30021_3</v>
          </cell>
        </row>
        <row r="578">
          <cell r="A578" t="str">
            <v>30022_1</v>
          </cell>
        </row>
        <row r="579">
          <cell r="A579" t="str">
            <v>30022_2</v>
          </cell>
        </row>
        <row r="580">
          <cell r="A580" t="str">
            <v>30023_1</v>
          </cell>
        </row>
        <row r="581">
          <cell r="A581" t="str">
            <v>30023_2</v>
          </cell>
        </row>
        <row r="582">
          <cell r="A582" t="str">
            <v>30023_3</v>
          </cell>
        </row>
        <row r="583">
          <cell r="A583" t="str">
            <v>30024_1</v>
          </cell>
        </row>
        <row r="584">
          <cell r="A584" t="str">
            <v>30024_2</v>
          </cell>
        </row>
        <row r="585">
          <cell r="A585" t="str">
            <v>30024_3</v>
          </cell>
        </row>
        <row r="586">
          <cell r="A586" t="str">
            <v>30025_1</v>
          </cell>
        </row>
        <row r="587">
          <cell r="A587" t="str">
            <v>30025_2</v>
          </cell>
        </row>
        <row r="588">
          <cell r="A588" t="str">
            <v>30025_3</v>
          </cell>
        </row>
        <row r="589">
          <cell r="A589" t="str">
            <v>30026_1</v>
          </cell>
        </row>
        <row r="590">
          <cell r="A590" t="str">
            <v>30026_2</v>
          </cell>
        </row>
        <row r="591">
          <cell r="A591" t="str">
            <v>30026_3</v>
          </cell>
        </row>
        <row r="592">
          <cell r="A592" t="str">
            <v>30027_1</v>
          </cell>
        </row>
        <row r="593">
          <cell r="A593" t="str">
            <v>30027_2</v>
          </cell>
        </row>
        <row r="594">
          <cell r="A594" t="str">
            <v>30027_3</v>
          </cell>
        </row>
        <row r="595">
          <cell r="A595" t="str">
            <v>30028_1</v>
          </cell>
        </row>
        <row r="596">
          <cell r="A596" t="str">
            <v>30028_2</v>
          </cell>
        </row>
        <row r="597">
          <cell r="A597" t="str">
            <v>30028_3</v>
          </cell>
        </row>
        <row r="598">
          <cell r="A598" t="str">
            <v>30029_1</v>
          </cell>
        </row>
        <row r="599">
          <cell r="A599" t="str">
            <v>30029_2</v>
          </cell>
        </row>
        <row r="600">
          <cell r="A600" t="str">
            <v>30029_3</v>
          </cell>
        </row>
        <row r="601">
          <cell r="A601" t="str">
            <v>30030_1</v>
          </cell>
        </row>
        <row r="602">
          <cell r="A602" t="str">
            <v>30030_2</v>
          </cell>
        </row>
        <row r="603">
          <cell r="A603" t="str">
            <v>30030_3</v>
          </cell>
        </row>
        <row r="604">
          <cell r="A604" t="str">
            <v>30031_1</v>
          </cell>
        </row>
        <row r="605">
          <cell r="A605" t="str">
            <v>30031_2</v>
          </cell>
        </row>
        <row r="606">
          <cell r="A606" t="str">
            <v>30031_3</v>
          </cell>
        </row>
        <row r="607">
          <cell r="A607" t="str">
            <v>30032_1</v>
          </cell>
        </row>
        <row r="608">
          <cell r="A608" t="str">
            <v>30032_2</v>
          </cell>
        </row>
        <row r="609">
          <cell r="A609" t="str">
            <v>30032_3</v>
          </cell>
        </row>
        <row r="610">
          <cell r="A610" t="str">
            <v>30033_1</v>
          </cell>
        </row>
        <row r="611">
          <cell r="A611" t="str">
            <v>30033_2</v>
          </cell>
        </row>
        <row r="612">
          <cell r="A612" t="str">
            <v>30033_3</v>
          </cell>
        </row>
        <row r="613">
          <cell r="A613" t="str">
            <v>30034_1</v>
          </cell>
        </row>
        <row r="614">
          <cell r="A614" t="str">
            <v>30034_2</v>
          </cell>
        </row>
        <row r="615">
          <cell r="A615" t="str">
            <v>30034_3</v>
          </cell>
        </row>
        <row r="616">
          <cell r="A616" t="str">
            <v>30035_1</v>
          </cell>
        </row>
        <row r="617">
          <cell r="A617" t="str">
            <v>30035_2</v>
          </cell>
        </row>
        <row r="618">
          <cell r="A618" t="str">
            <v>30035_3</v>
          </cell>
        </row>
        <row r="619">
          <cell r="A619" t="str">
            <v>30036_1</v>
          </cell>
        </row>
        <row r="620">
          <cell r="A620" t="str">
            <v>30036_2</v>
          </cell>
        </row>
        <row r="621">
          <cell r="A621" t="str">
            <v>30036_3</v>
          </cell>
        </row>
        <row r="622">
          <cell r="A622" t="str">
            <v>30037_1</v>
          </cell>
        </row>
        <row r="623">
          <cell r="A623" t="str">
            <v>30037_2</v>
          </cell>
        </row>
        <row r="624">
          <cell r="A624" t="str">
            <v>30037_3</v>
          </cell>
        </row>
        <row r="625">
          <cell r="A625" t="str">
            <v>30038_1</v>
          </cell>
        </row>
        <row r="626">
          <cell r="A626" t="str">
            <v>30038_2</v>
          </cell>
        </row>
        <row r="627">
          <cell r="A627" t="str">
            <v>30038_3</v>
          </cell>
        </row>
        <row r="628">
          <cell r="A628" t="str">
            <v>30039_1</v>
          </cell>
        </row>
        <row r="629">
          <cell r="A629" t="str">
            <v>30039_2</v>
          </cell>
        </row>
        <row r="630">
          <cell r="A630" t="str">
            <v>30039_3</v>
          </cell>
        </row>
        <row r="631">
          <cell r="A631" t="str">
            <v>30040_1</v>
          </cell>
        </row>
        <row r="632">
          <cell r="A632" t="str">
            <v>30040_2</v>
          </cell>
        </row>
        <row r="633">
          <cell r="A633" t="str">
            <v>30040_3</v>
          </cell>
        </row>
        <row r="634">
          <cell r="A634" t="str">
            <v>30041_1</v>
          </cell>
        </row>
        <row r="635">
          <cell r="A635" t="str">
            <v>30041_2</v>
          </cell>
        </row>
        <row r="636">
          <cell r="A636" t="str">
            <v>30041_3</v>
          </cell>
        </row>
        <row r="637">
          <cell r="A637" t="str">
            <v>30042_1</v>
          </cell>
        </row>
        <row r="638">
          <cell r="A638" t="str">
            <v>30042_2</v>
          </cell>
        </row>
        <row r="639">
          <cell r="A639" t="str">
            <v>30042_3</v>
          </cell>
        </row>
        <row r="640">
          <cell r="A640" t="str">
            <v>30043_1</v>
          </cell>
        </row>
        <row r="641">
          <cell r="A641" t="str">
            <v>30043_2</v>
          </cell>
        </row>
        <row r="642">
          <cell r="A642" t="str">
            <v>30043_3</v>
          </cell>
        </row>
        <row r="643">
          <cell r="A643" t="str">
            <v>30044_1</v>
          </cell>
        </row>
        <row r="644">
          <cell r="A644" t="str">
            <v>30044_2</v>
          </cell>
        </row>
        <row r="645">
          <cell r="A645" t="str">
            <v>30044_3</v>
          </cell>
        </row>
        <row r="646">
          <cell r="A646" t="str">
            <v>30045_1</v>
          </cell>
        </row>
        <row r="647">
          <cell r="A647" t="str">
            <v>30045_2</v>
          </cell>
        </row>
        <row r="648">
          <cell r="A648" t="str">
            <v>30045_3</v>
          </cell>
        </row>
        <row r="649">
          <cell r="A649" t="str">
            <v>30046_1</v>
          </cell>
        </row>
        <row r="650">
          <cell r="A650" t="str">
            <v>30046_2</v>
          </cell>
        </row>
        <row r="651">
          <cell r="A651" t="str">
            <v>30046_3</v>
          </cell>
        </row>
        <row r="652">
          <cell r="A652" t="str">
            <v>30047_1</v>
          </cell>
        </row>
        <row r="653">
          <cell r="A653" t="str">
            <v>30047_2</v>
          </cell>
        </row>
        <row r="654">
          <cell r="A654" t="str">
            <v>30047_3</v>
          </cell>
        </row>
        <row r="655">
          <cell r="A655" t="str">
            <v>30048_1</v>
          </cell>
        </row>
        <row r="656">
          <cell r="A656" t="str">
            <v>30048_2</v>
          </cell>
        </row>
        <row r="657">
          <cell r="A657" t="str">
            <v>30048_3</v>
          </cell>
        </row>
        <row r="658">
          <cell r="A658" t="str">
            <v>39001_1</v>
          </cell>
        </row>
        <row r="659">
          <cell r="A659" t="str">
            <v>39001_2</v>
          </cell>
        </row>
        <row r="660">
          <cell r="A660" t="str">
            <v>39001_3</v>
          </cell>
        </row>
        <row r="661">
          <cell r="A661" t="str">
            <v>39001_4</v>
          </cell>
        </row>
        <row r="662">
          <cell r="A662" t="str">
            <v>39001_5</v>
          </cell>
        </row>
        <row r="663">
          <cell r="A663" t="str">
            <v>39002_1</v>
          </cell>
        </row>
        <row r="664">
          <cell r="A664" t="str">
            <v>39002_2</v>
          </cell>
        </row>
        <row r="665">
          <cell r="A665" t="str">
            <v>39002_3</v>
          </cell>
        </row>
        <row r="666">
          <cell r="A666" t="str">
            <v>39002_4</v>
          </cell>
        </row>
        <row r="667">
          <cell r="A667" t="str">
            <v>39003_1</v>
          </cell>
        </row>
        <row r="668">
          <cell r="A668" t="str">
            <v>39003_2</v>
          </cell>
        </row>
        <row r="669">
          <cell r="A669" t="str">
            <v>39003_3</v>
          </cell>
        </row>
        <row r="670">
          <cell r="A670" t="str">
            <v>39003_4</v>
          </cell>
        </row>
        <row r="671">
          <cell r="A671" t="str">
            <v>39004_1</v>
          </cell>
        </row>
        <row r="672">
          <cell r="A672" t="str">
            <v>39004_2</v>
          </cell>
        </row>
        <row r="673">
          <cell r="A673" t="str">
            <v>39004_3</v>
          </cell>
        </row>
        <row r="674">
          <cell r="A674" t="str">
            <v>39004_4</v>
          </cell>
        </row>
        <row r="675">
          <cell r="A675" t="str">
            <v>39005_1</v>
          </cell>
        </row>
        <row r="676">
          <cell r="A676" t="str">
            <v>39005_2</v>
          </cell>
        </row>
        <row r="677">
          <cell r="A677" t="str">
            <v>39005_3</v>
          </cell>
        </row>
        <row r="678">
          <cell r="A678" t="str">
            <v>39005_4</v>
          </cell>
        </row>
        <row r="679">
          <cell r="A679" t="str">
            <v>39005_5</v>
          </cell>
        </row>
        <row r="680">
          <cell r="A680" t="str">
            <v>39006_1</v>
          </cell>
        </row>
        <row r="681">
          <cell r="A681" t="str">
            <v>39006_2</v>
          </cell>
        </row>
        <row r="682">
          <cell r="A682" t="str">
            <v>39006_3</v>
          </cell>
        </row>
        <row r="683">
          <cell r="A683" t="str">
            <v>39006_4</v>
          </cell>
        </row>
        <row r="684">
          <cell r="A684" t="str">
            <v>39007_1</v>
          </cell>
        </row>
        <row r="685">
          <cell r="A685" t="str">
            <v>39007_2</v>
          </cell>
        </row>
        <row r="686">
          <cell r="A686" t="str">
            <v>39007_3</v>
          </cell>
        </row>
        <row r="687">
          <cell r="A687" t="str">
            <v>39007_4</v>
          </cell>
        </row>
        <row r="688">
          <cell r="A688" t="str">
            <v>39008_1</v>
          </cell>
        </row>
        <row r="689">
          <cell r="A689" t="str">
            <v>39008_2</v>
          </cell>
        </row>
        <row r="690">
          <cell r="A690" t="str">
            <v>39008_3</v>
          </cell>
        </row>
        <row r="691">
          <cell r="A691" t="str">
            <v>39008_4</v>
          </cell>
        </row>
        <row r="692">
          <cell r="A692" t="str">
            <v>39008_5</v>
          </cell>
        </row>
        <row r="693">
          <cell r="A693" t="str">
            <v>39009_1</v>
          </cell>
        </row>
        <row r="694">
          <cell r="A694" t="str">
            <v>39009_2</v>
          </cell>
        </row>
        <row r="695">
          <cell r="A695" t="str">
            <v>39009_3</v>
          </cell>
        </row>
        <row r="696">
          <cell r="A696" t="str">
            <v>39009_4</v>
          </cell>
        </row>
        <row r="697">
          <cell r="A697" t="str">
            <v>39009_5</v>
          </cell>
        </row>
        <row r="698">
          <cell r="A698" t="str">
            <v>39010_1</v>
          </cell>
        </row>
        <row r="699">
          <cell r="A699" t="str">
            <v>39010_2</v>
          </cell>
        </row>
        <row r="700">
          <cell r="A700" t="str">
            <v>39010_3</v>
          </cell>
        </row>
        <row r="701">
          <cell r="A701" t="str">
            <v>39010_4</v>
          </cell>
        </row>
        <row r="702">
          <cell r="A702" t="str">
            <v>39011_1</v>
          </cell>
        </row>
        <row r="703">
          <cell r="A703" t="str">
            <v>39011_2</v>
          </cell>
        </row>
        <row r="704">
          <cell r="A704" t="str">
            <v>39011_3</v>
          </cell>
        </row>
        <row r="705">
          <cell r="A705" t="str">
            <v>39011_4</v>
          </cell>
        </row>
        <row r="706">
          <cell r="A706" t="str">
            <v>39012_1</v>
          </cell>
        </row>
        <row r="707">
          <cell r="A707" t="str">
            <v>39012_2</v>
          </cell>
        </row>
        <row r="708">
          <cell r="A708" t="str">
            <v>39012_3</v>
          </cell>
        </row>
        <row r="709">
          <cell r="A709" t="str">
            <v>39012_4</v>
          </cell>
        </row>
        <row r="710">
          <cell r="A710" t="str">
            <v>39012_5</v>
          </cell>
        </row>
        <row r="711">
          <cell r="A711" t="str">
            <v>40001_1</v>
          </cell>
        </row>
        <row r="712">
          <cell r="A712" t="str">
            <v>40002_1</v>
          </cell>
        </row>
        <row r="713">
          <cell r="A713" t="str">
            <v>40002_2</v>
          </cell>
        </row>
        <row r="714">
          <cell r="A714" t="str">
            <v>40002_3</v>
          </cell>
        </row>
        <row r="715">
          <cell r="A715" t="str">
            <v>40003_1</v>
          </cell>
        </row>
        <row r="716">
          <cell r="A716" t="str">
            <v>40004_1</v>
          </cell>
        </row>
        <row r="717">
          <cell r="A717" t="str">
            <v>40005_1</v>
          </cell>
        </row>
        <row r="718">
          <cell r="A718" t="str">
            <v>40006_1</v>
          </cell>
        </row>
        <row r="719">
          <cell r="A719" t="str">
            <v>40007_1</v>
          </cell>
        </row>
        <row r="720">
          <cell r="A720" t="str">
            <v>40008_1</v>
          </cell>
        </row>
        <row r="721">
          <cell r="A721" t="str">
            <v>40009_1</v>
          </cell>
        </row>
        <row r="722">
          <cell r="A722" t="str">
            <v>40010_1</v>
          </cell>
        </row>
        <row r="723">
          <cell r="A723" t="str">
            <v>40011_1</v>
          </cell>
        </row>
        <row r="724">
          <cell r="A724" t="str">
            <v>40012_1</v>
          </cell>
        </row>
        <row r="725">
          <cell r="A725" t="str">
            <v>40013_1</v>
          </cell>
        </row>
        <row r="726">
          <cell r="A726" t="str">
            <v>40014_1</v>
          </cell>
        </row>
        <row r="727">
          <cell r="A727" t="str">
            <v>40015_1</v>
          </cell>
        </row>
        <row r="728">
          <cell r="A728" t="str">
            <v>40016_1</v>
          </cell>
        </row>
        <row r="729">
          <cell r="A729" t="str">
            <v>40016_2</v>
          </cell>
        </row>
        <row r="730">
          <cell r="A730" t="str">
            <v>40017_1</v>
          </cell>
        </row>
        <row r="731">
          <cell r="A731" t="str">
            <v>40017_2</v>
          </cell>
        </row>
        <row r="732">
          <cell r="A732" t="str">
            <v>40017_3</v>
          </cell>
        </row>
        <row r="733">
          <cell r="A733" t="str">
            <v>40018_1</v>
          </cell>
        </row>
        <row r="734">
          <cell r="A734" t="str">
            <v>40018_2</v>
          </cell>
        </row>
        <row r="735">
          <cell r="A735" t="str">
            <v>40018_3</v>
          </cell>
        </row>
        <row r="736">
          <cell r="A736" t="str">
            <v>40019_1</v>
          </cell>
        </row>
        <row r="737">
          <cell r="A737" t="str">
            <v>40019_2</v>
          </cell>
        </row>
        <row r="738">
          <cell r="A738" t="str">
            <v>40019_3</v>
          </cell>
        </row>
        <row r="739">
          <cell r="A739" t="str">
            <v>40021_1</v>
          </cell>
        </row>
        <row r="740">
          <cell r="A740" t="str">
            <v>40021_2</v>
          </cell>
        </row>
        <row r="741">
          <cell r="A741" t="str">
            <v>40022_1</v>
          </cell>
        </row>
        <row r="742">
          <cell r="A742" t="str">
            <v>40022_2</v>
          </cell>
        </row>
        <row r="743">
          <cell r="A743" t="str">
            <v>40023_1</v>
          </cell>
        </row>
        <row r="744">
          <cell r="A744" t="str">
            <v>40023_2</v>
          </cell>
        </row>
        <row r="745">
          <cell r="A745" t="str">
            <v>40024_1</v>
          </cell>
        </row>
        <row r="746">
          <cell r="A746" t="str">
            <v>40024_2</v>
          </cell>
        </row>
        <row r="747">
          <cell r="A747" t="str">
            <v>40025_1</v>
          </cell>
        </row>
        <row r="748">
          <cell r="A748" t="str">
            <v>40025_2</v>
          </cell>
        </row>
        <row r="749">
          <cell r="A749" t="str">
            <v>40026_1</v>
          </cell>
        </row>
        <row r="750">
          <cell r="A750" t="str">
            <v>40026_2</v>
          </cell>
        </row>
        <row r="751">
          <cell r="A751" t="str">
            <v>40027_1</v>
          </cell>
        </row>
        <row r="752">
          <cell r="A752" t="str">
            <v>40027_2</v>
          </cell>
        </row>
        <row r="753">
          <cell r="A753" t="str">
            <v>40028_1</v>
          </cell>
        </row>
        <row r="754">
          <cell r="A754" t="str">
            <v>40028_2</v>
          </cell>
        </row>
        <row r="755">
          <cell r="A755" t="str">
            <v>40029_1</v>
          </cell>
        </row>
        <row r="756">
          <cell r="A756" t="str">
            <v>40029_2</v>
          </cell>
        </row>
        <row r="757">
          <cell r="A757" t="str">
            <v>40030_1</v>
          </cell>
        </row>
        <row r="758">
          <cell r="A758" t="str">
            <v>40030_2</v>
          </cell>
        </row>
        <row r="759">
          <cell r="A759" t="str">
            <v>40031_1</v>
          </cell>
        </row>
        <row r="760">
          <cell r="A760" t="str">
            <v>40031_2</v>
          </cell>
        </row>
        <row r="761">
          <cell r="A761" t="str">
            <v>40032_1</v>
          </cell>
        </row>
        <row r="762">
          <cell r="A762" t="str">
            <v>40032_2</v>
          </cell>
        </row>
        <row r="763">
          <cell r="A763" t="str">
            <v>40033_1</v>
          </cell>
        </row>
        <row r="764">
          <cell r="A764" t="str">
            <v>40033_2</v>
          </cell>
        </row>
        <row r="765">
          <cell r="A765" t="str">
            <v>40034_1</v>
          </cell>
        </row>
        <row r="766">
          <cell r="A766" t="str">
            <v>40034_2</v>
          </cell>
        </row>
        <row r="767">
          <cell r="A767" t="str">
            <v>40035_1</v>
          </cell>
        </row>
        <row r="768">
          <cell r="A768" t="str">
            <v>40035_2</v>
          </cell>
        </row>
        <row r="769">
          <cell r="A769" t="str">
            <v>40036_1</v>
          </cell>
        </row>
        <row r="770">
          <cell r="A770" t="str">
            <v>40036_2</v>
          </cell>
        </row>
        <row r="771">
          <cell r="A771" t="str">
            <v>40037_1</v>
          </cell>
        </row>
        <row r="772">
          <cell r="A772" t="str">
            <v>40037_2</v>
          </cell>
        </row>
        <row r="773">
          <cell r="A773" t="str">
            <v>40038_1</v>
          </cell>
        </row>
        <row r="774">
          <cell r="A774" t="str">
            <v>40038_2</v>
          </cell>
        </row>
        <row r="775">
          <cell r="A775" t="str">
            <v>40039_1</v>
          </cell>
        </row>
        <row r="776">
          <cell r="A776" t="str">
            <v>40039_2</v>
          </cell>
        </row>
        <row r="777">
          <cell r="A777" t="str">
            <v>40040_1</v>
          </cell>
        </row>
        <row r="778">
          <cell r="A778" t="str">
            <v>40040_2</v>
          </cell>
        </row>
        <row r="779">
          <cell r="A779" t="str">
            <v>40041_1</v>
          </cell>
        </row>
        <row r="780">
          <cell r="A780" t="str">
            <v>40041_2</v>
          </cell>
        </row>
        <row r="781">
          <cell r="A781" t="str">
            <v>40042_1</v>
          </cell>
        </row>
        <row r="782">
          <cell r="A782" t="str">
            <v>40042_2</v>
          </cell>
        </row>
        <row r="783">
          <cell r="A783" t="str">
            <v>40043_1</v>
          </cell>
        </row>
        <row r="784">
          <cell r="A784" t="str">
            <v>40043_2</v>
          </cell>
        </row>
        <row r="785">
          <cell r="A785" t="str">
            <v>41001_1</v>
          </cell>
        </row>
        <row r="786">
          <cell r="A786" t="str">
            <v>41001_2</v>
          </cell>
        </row>
        <row r="787">
          <cell r="A787" t="str">
            <v>41001_3</v>
          </cell>
        </row>
        <row r="788">
          <cell r="A788" t="str">
            <v>41002_1</v>
          </cell>
        </row>
        <row r="789">
          <cell r="A789" t="str">
            <v>41002_2</v>
          </cell>
        </row>
        <row r="790">
          <cell r="A790" t="str">
            <v>41002_3</v>
          </cell>
        </row>
        <row r="791">
          <cell r="A791" t="str">
            <v>41003_1</v>
          </cell>
        </row>
        <row r="792">
          <cell r="A792" t="str">
            <v>41003_2</v>
          </cell>
        </row>
        <row r="793">
          <cell r="A793" t="str">
            <v>41003_3</v>
          </cell>
        </row>
        <row r="794">
          <cell r="A794" t="str">
            <v>41004_1</v>
          </cell>
        </row>
        <row r="795">
          <cell r="A795" t="str">
            <v>41004_2</v>
          </cell>
        </row>
        <row r="796">
          <cell r="A796" t="str">
            <v>41004_3</v>
          </cell>
        </row>
        <row r="797">
          <cell r="A797" t="str">
            <v>41005_1</v>
          </cell>
        </row>
        <row r="798">
          <cell r="A798" t="str">
            <v>41005_2</v>
          </cell>
        </row>
        <row r="799">
          <cell r="A799" t="str">
            <v>41005_3</v>
          </cell>
        </row>
        <row r="800">
          <cell r="A800" t="str">
            <v>41006_1</v>
          </cell>
        </row>
        <row r="801">
          <cell r="A801" t="str">
            <v>41006_2</v>
          </cell>
        </row>
        <row r="802">
          <cell r="A802" t="str">
            <v>41006_3</v>
          </cell>
        </row>
        <row r="803">
          <cell r="A803" t="str">
            <v>41007_1</v>
          </cell>
        </row>
        <row r="804">
          <cell r="A804" t="str">
            <v>41007_2</v>
          </cell>
        </row>
        <row r="805">
          <cell r="A805" t="str">
            <v>41007_3</v>
          </cell>
        </row>
        <row r="806">
          <cell r="A806" t="str">
            <v>41008_1</v>
          </cell>
        </row>
        <row r="807">
          <cell r="A807" t="str">
            <v>41008_2</v>
          </cell>
        </row>
        <row r="808">
          <cell r="A808" t="str">
            <v>41008_3</v>
          </cell>
        </row>
        <row r="809">
          <cell r="A809" t="str">
            <v>41009_1</v>
          </cell>
        </row>
        <row r="810">
          <cell r="A810" t="str">
            <v>41009_2</v>
          </cell>
        </row>
        <row r="811">
          <cell r="A811" t="str">
            <v>41009_3</v>
          </cell>
        </row>
        <row r="812">
          <cell r="A812" t="str">
            <v>41010_1</v>
          </cell>
        </row>
        <row r="813">
          <cell r="A813" t="str">
            <v>41010_2</v>
          </cell>
        </row>
        <row r="814">
          <cell r="A814" t="str">
            <v>41010_3</v>
          </cell>
        </row>
        <row r="815">
          <cell r="A815" t="str">
            <v>41011_1</v>
          </cell>
        </row>
        <row r="816">
          <cell r="A816" t="str">
            <v>41011_2</v>
          </cell>
        </row>
        <row r="817">
          <cell r="A817" t="str">
            <v>41012_1</v>
          </cell>
        </row>
        <row r="818">
          <cell r="A818" t="str">
            <v>41012_2</v>
          </cell>
        </row>
        <row r="819">
          <cell r="A819" t="str">
            <v>41013_1</v>
          </cell>
        </row>
        <row r="820">
          <cell r="A820" t="str">
            <v>41013_2</v>
          </cell>
        </row>
        <row r="821">
          <cell r="A821" t="str">
            <v>41014_1</v>
          </cell>
        </row>
        <row r="822">
          <cell r="A822" t="str">
            <v>41014_2</v>
          </cell>
        </row>
        <row r="823">
          <cell r="A823" t="str">
            <v>41015_1</v>
          </cell>
        </row>
        <row r="824">
          <cell r="A824" t="str">
            <v>41015_2</v>
          </cell>
        </row>
        <row r="825">
          <cell r="A825" t="str">
            <v>47001_1</v>
          </cell>
        </row>
        <row r="826">
          <cell r="A826" t="str">
            <v>47001_2</v>
          </cell>
        </row>
        <row r="827">
          <cell r="A827" t="str">
            <v>47002_1</v>
          </cell>
        </row>
        <row r="828">
          <cell r="A828" t="str">
            <v>47002_2</v>
          </cell>
        </row>
        <row r="829">
          <cell r="A829" t="str">
            <v>47003_1</v>
          </cell>
        </row>
        <row r="830">
          <cell r="A830" t="str">
            <v>47003_2</v>
          </cell>
        </row>
        <row r="831">
          <cell r="A831" t="str">
            <v>47003_3</v>
          </cell>
        </row>
        <row r="832">
          <cell r="A832" t="str">
            <v>47003_4</v>
          </cell>
        </row>
        <row r="833">
          <cell r="A833" t="str">
            <v>47004_1</v>
          </cell>
        </row>
        <row r="834">
          <cell r="A834" t="str">
            <v>47004_2</v>
          </cell>
        </row>
        <row r="835">
          <cell r="A835" t="str">
            <v>47004_3</v>
          </cell>
        </row>
        <row r="836">
          <cell r="A836" t="str">
            <v>47004_4</v>
          </cell>
        </row>
        <row r="837">
          <cell r="A837" t="str">
            <v>47005_1</v>
          </cell>
        </row>
        <row r="838">
          <cell r="A838" t="str">
            <v>47006_1</v>
          </cell>
        </row>
        <row r="839">
          <cell r="A839" t="str">
            <v>47006_2</v>
          </cell>
        </row>
        <row r="840">
          <cell r="A840" t="str">
            <v>47007_1</v>
          </cell>
        </row>
        <row r="841">
          <cell r="A841" t="str">
            <v>47007_2</v>
          </cell>
        </row>
        <row r="842">
          <cell r="A842" t="str">
            <v>47008_1</v>
          </cell>
        </row>
        <row r="843">
          <cell r="A843" t="str">
            <v>47008_2</v>
          </cell>
        </row>
        <row r="844">
          <cell r="A844" t="str">
            <v>47009_1</v>
          </cell>
        </row>
        <row r="845">
          <cell r="A845" t="str">
            <v>47009_2</v>
          </cell>
        </row>
        <row r="846">
          <cell r="A846" t="str">
            <v>47010_1</v>
          </cell>
        </row>
        <row r="847">
          <cell r="A847" t="str">
            <v>47010_2</v>
          </cell>
        </row>
        <row r="848">
          <cell r="A848" t="str">
            <v>47011_1</v>
          </cell>
        </row>
        <row r="849">
          <cell r="A849" t="str">
            <v>48001_1</v>
          </cell>
        </row>
        <row r="850">
          <cell r="A850" t="str">
            <v>48002_1</v>
          </cell>
        </row>
        <row r="851">
          <cell r="A851" t="str">
            <v>48002_2</v>
          </cell>
        </row>
        <row r="852">
          <cell r="A852" t="str">
            <v>48002_3</v>
          </cell>
        </row>
        <row r="853">
          <cell r="A853" t="str">
            <v>48003_1</v>
          </cell>
        </row>
        <row r="854">
          <cell r="A854" t="str">
            <v>48003_2</v>
          </cell>
        </row>
        <row r="855">
          <cell r="A855" t="str">
            <v>48004_1</v>
          </cell>
        </row>
        <row r="856">
          <cell r="A856" t="str">
            <v>48004_2</v>
          </cell>
        </row>
        <row r="857">
          <cell r="A857" t="str">
            <v>48005_1</v>
          </cell>
        </row>
        <row r="858">
          <cell r="A858" t="str">
            <v>48005_2</v>
          </cell>
        </row>
        <row r="859">
          <cell r="A859" t="str">
            <v>48006_1</v>
          </cell>
        </row>
        <row r="860">
          <cell r="A860" t="str">
            <v>48006_2</v>
          </cell>
        </row>
        <row r="861">
          <cell r="A861" t="str">
            <v>48007_1</v>
          </cell>
        </row>
        <row r="862">
          <cell r="A862" t="str">
            <v>48007_2</v>
          </cell>
        </row>
        <row r="863">
          <cell r="A863" t="str">
            <v>48008_1</v>
          </cell>
        </row>
        <row r="864">
          <cell r="A864" t="str">
            <v>48008_2</v>
          </cell>
        </row>
        <row r="865">
          <cell r="A865" t="str">
            <v>48009_1</v>
          </cell>
        </row>
        <row r="866">
          <cell r="A866" t="str">
            <v>48009_2</v>
          </cell>
        </row>
        <row r="867">
          <cell r="A867" t="str">
            <v>48010_1</v>
          </cell>
        </row>
        <row r="868">
          <cell r="A868" t="str">
            <v>48011_1</v>
          </cell>
        </row>
        <row r="869">
          <cell r="A869" t="str">
            <v>48011_2</v>
          </cell>
        </row>
        <row r="870">
          <cell r="A870" t="str">
            <v>48501_1</v>
          </cell>
        </row>
        <row r="871">
          <cell r="A871" t="str">
            <v>48501_2</v>
          </cell>
        </row>
        <row r="872">
          <cell r="A872" t="str">
            <v>48502_1</v>
          </cell>
        </row>
        <row r="873">
          <cell r="A873" t="str">
            <v>48502_2</v>
          </cell>
        </row>
        <row r="874">
          <cell r="A874" t="str">
            <v>49001_1</v>
          </cell>
        </row>
        <row r="875">
          <cell r="A875" t="str">
            <v>49002_1</v>
          </cell>
        </row>
        <row r="876">
          <cell r="A876" t="str">
            <v>49002_2</v>
          </cell>
        </row>
        <row r="877">
          <cell r="A877" t="str">
            <v>49003_1</v>
          </cell>
        </row>
        <row r="878">
          <cell r="A878" t="str">
            <v>49003_2</v>
          </cell>
        </row>
        <row r="879">
          <cell r="A879" t="str">
            <v>49004_1</v>
          </cell>
        </row>
        <row r="880">
          <cell r="A880" t="str">
            <v>49004_2</v>
          </cell>
        </row>
        <row r="881">
          <cell r="A881" t="str">
            <v>49004_3</v>
          </cell>
        </row>
        <row r="882">
          <cell r="A882" t="str">
            <v>49005_1</v>
          </cell>
        </row>
        <row r="883">
          <cell r="A883" t="str">
            <v>49006_1</v>
          </cell>
        </row>
        <row r="884">
          <cell r="A884" t="str">
            <v>49006_2</v>
          </cell>
        </row>
        <row r="885">
          <cell r="A885" t="str">
            <v>49007_1</v>
          </cell>
        </row>
        <row r="886">
          <cell r="A886" t="str">
            <v>49007_2</v>
          </cell>
        </row>
        <row r="887">
          <cell r="A887" t="str">
            <v>49007_3</v>
          </cell>
        </row>
        <row r="888">
          <cell r="A888" t="str">
            <v>49008_1</v>
          </cell>
        </row>
        <row r="889">
          <cell r="A889" t="str">
            <v>49009_1</v>
          </cell>
        </row>
        <row r="890">
          <cell r="A890" t="str">
            <v>49010_1</v>
          </cell>
        </row>
        <row r="891">
          <cell r="A891" t="str">
            <v>49011_1</v>
          </cell>
        </row>
        <row r="892">
          <cell r="A892" t="str">
            <v>49012_1</v>
          </cell>
        </row>
        <row r="893">
          <cell r="A893" t="str">
            <v>49013_1</v>
          </cell>
        </row>
        <row r="894">
          <cell r="A894" t="str">
            <v>49014_1</v>
          </cell>
        </row>
        <row r="895">
          <cell r="A895" t="str">
            <v>49014_2</v>
          </cell>
        </row>
        <row r="896">
          <cell r="A896" t="str">
            <v>50001_1</v>
          </cell>
        </row>
        <row r="897">
          <cell r="A897" t="str">
            <v>50002_1</v>
          </cell>
        </row>
        <row r="898">
          <cell r="A898" t="str">
            <v>50003_1</v>
          </cell>
        </row>
        <row r="899">
          <cell r="A899" t="str">
            <v>50004_1</v>
          </cell>
        </row>
        <row r="900">
          <cell r="A900" t="str">
            <v>50005_1</v>
          </cell>
        </row>
        <row r="901">
          <cell r="A901" t="str">
            <v>50006_1</v>
          </cell>
        </row>
        <row r="902">
          <cell r="A902" t="str">
            <v>50007_1</v>
          </cell>
        </row>
        <row r="903">
          <cell r="A903" t="str">
            <v>50008_1</v>
          </cell>
        </row>
        <row r="904">
          <cell r="A904" t="str">
            <v>50009_1</v>
          </cell>
        </row>
        <row r="905">
          <cell r="A905" t="str">
            <v>50010_1</v>
          </cell>
        </row>
        <row r="906">
          <cell r="A906" t="str">
            <v>50011_1</v>
          </cell>
        </row>
        <row r="907">
          <cell r="A907" t="str">
            <v>50012_1</v>
          </cell>
        </row>
        <row r="908">
          <cell r="A908" t="str">
            <v>50013_1</v>
          </cell>
        </row>
        <row r="909">
          <cell r="A909" t="str">
            <v>50014_1</v>
          </cell>
        </row>
        <row r="910">
          <cell r="A910" t="str">
            <v>51001_1</v>
          </cell>
        </row>
        <row r="911">
          <cell r="A911" t="str">
            <v>51002_1</v>
          </cell>
        </row>
        <row r="912">
          <cell r="A912" t="str">
            <v>58001_1</v>
          </cell>
        </row>
        <row r="913">
          <cell r="A913" t="str">
            <v>59001_1</v>
          </cell>
        </row>
        <row r="914">
          <cell r="A914" t="str">
            <v>59002_1</v>
          </cell>
        </row>
        <row r="915">
          <cell r="A915" t="str">
            <v>60001_1</v>
          </cell>
        </row>
        <row r="916">
          <cell r="A916" t="str">
            <v>60002_1</v>
          </cell>
        </row>
        <row r="917">
          <cell r="A917" t="str">
            <v>60002_2</v>
          </cell>
        </row>
        <row r="918">
          <cell r="A918" t="str">
            <v>60003_1</v>
          </cell>
        </row>
        <row r="919">
          <cell r="A919" t="str">
            <v>60003_2</v>
          </cell>
        </row>
        <row r="920">
          <cell r="A920" t="str">
            <v>60003_3</v>
          </cell>
        </row>
        <row r="921">
          <cell r="A921" t="str">
            <v>60004_1</v>
          </cell>
        </row>
        <row r="922">
          <cell r="A922" t="str">
            <v>60005_1</v>
          </cell>
        </row>
        <row r="923">
          <cell r="A923" t="str">
            <v>60006_1</v>
          </cell>
        </row>
        <row r="924">
          <cell r="A924" t="str">
            <v>60006_2</v>
          </cell>
        </row>
        <row r="925">
          <cell r="A925" t="str">
            <v>60006_3</v>
          </cell>
        </row>
        <row r="926">
          <cell r="A926" t="str">
            <v>60007_1</v>
          </cell>
        </row>
        <row r="927">
          <cell r="A927" t="str">
            <v>60007_2</v>
          </cell>
        </row>
        <row r="928">
          <cell r="A928" t="str">
            <v>60007_3</v>
          </cell>
        </row>
        <row r="929">
          <cell r="A929" t="str">
            <v>60010_1</v>
          </cell>
        </row>
        <row r="930">
          <cell r="A930" t="str">
            <v>60011_1</v>
          </cell>
        </row>
        <row r="931">
          <cell r="A931" t="str">
            <v>60011_2</v>
          </cell>
        </row>
        <row r="932">
          <cell r="A932" t="str">
            <v>60012_1</v>
          </cell>
        </row>
        <row r="933">
          <cell r="A933" t="str">
            <v>60013_1</v>
          </cell>
        </row>
        <row r="934">
          <cell r="A934" t="str">
            <v>60013_2</v>
          </cell>
        </row>
        <row r="935">
          <cell r="A935" t="str">
            <v>60013_3</v>
          </cell>
        </row>
        <row r="936">
          <cell r="A936" t="str">
            <v>60014_1</v>
          </cell>
        </row>
        <row r="937">
          <cell r="A937" t="str">
            <v>60015_1</v>
          </cell>
        </row>
        <row r="938">
          <cell r="A938" t="str">
            <v>60016_1</v>
          </cell>
        </row>
        <row r="939">
          <cell r="A939" t="str">
            <v>60017_1</v>
          </cell>
        </row>
        <row r="940">
          <cell r="A940" t="str">
            <v>60018_1</v>
          </cell>
        </row>
        <row r="941">
          <cell r="A941" t="str">
            <v>60019_1</v>
          </cell>
        </row>
        <row r="942">
          <cell r="A942" t="str">
            <v>60020_1</v>
          </cell>
        </row>
        <row r="943">
          <cell r="A943" t="str">
            <v>60021_3</v>
          </cell>
        </row>
        <row r="944">
          <cell r="A944" t="str">
            <v>60022_3</v>
          </cell>
        </row>
        <row r="945">
          <cell r="A945" t="str">
            <v>60023_3</v>
          </cell>
        </row>
        <row r="946">
          <cell r="A946" t="str">
            <v>60024_3</v>
          </cell>
        </row>
        <row r="947">
          <cell r="A947" t="str">
            <v>60025_1</v>
          </cell>
        </row>
        <row r="948">
          <cell r="A948" t="str">
            <v>60026_1</v>
          </cell>
        </row>
        <row r="949">
          <cell r="A949" t="str">
            <v>61011_1</v>
          </cell>
        </row>
        <row r="950">
          <cell r="A950" t="str">
            <v>60027_1</v>
          </cell>
        </row>
        <row r="951">
          <cell r="A951" t="str">
            <v>60028_1</v>
          </cell>
        </row>
        <row r="952">
          <cell r="A952" t="str">
            <v>65525_1</v>
          </cell>
        </row>
        <row r="953">
          <cell r="A953" t="str">
            <v>65526_1</v>
          </cell>
        </row>
        <row r="954">
          <cell r="A954" t="str">
            <v>65526_2</v>
          </cell>
        </row>
        <row r="955">
          <cell r="A955" t="str">
            <v>65527_1</v>
          </cell>
        </row>
        <row r="956">
          <cell r="A956" t="str">
            <v>65528_1</v>
          </cell>
        </row>
        <row r="957">
          <cell r="A957" t="str">
            <v>65529_1</v>
          </cell>
        </row>
        <row r="958">
          <cell r="A958" t="str">
            <v>65530_1</v>
          </cell>
        </row>
        <row r="959">
          <cell r="A959" t="str">
            <v>65531_1</v>
          </cell>
        </row>
        <row r="960">
          <cell r="A960" t="str">
            <v>65531_2</v>
          </cell>
        </row>
        <row r="961">
          <cell r="A961" t="str">
            <v>65532_1</v>
          </cell>
        </row>
        <row r="962">
          <cell r="A962" t="str">
            <v>65532_2</v>
          </cell>
        </row>
        <row r="963">
          <cell r="A963" t="str">
            <v>65533_1</v>
          </cell>
        </row>
        <row r="964">
          <cell r="A964" t="str">
            <v>65533_2</v>
          </cell>
        </row>
        <row r="965">
          <cell r="A965" t="str">
            <v>65534_1</v>
          </cell>
        </row>
        <row r="966">
          <cell r="A966" t="str">
            <v>65534_2</v>
          </cell>
        </row>
        <row r="967">
          <cell r="A967" t="str">
            <v>65535_1</v>
          </cell>
        </row>
        <row r="968">
          <cell r="A968" t="str">
            <v>65535_2</v>
          </cell>
        </row>
        <row r="969">
          <cell r="A969" t="str">
            <v>65535_3</v>
          </cell>
        </row>
        <row r="970">
          <cell r="A970" t="str">
            <v>65535_4</v>
          </cell>
        </row>
        <row r="971">
          <cell r="A971" t="str">
            <v>65535_5</v>
          </cell>
        </row>
        <row r="972">
          <cell r="A972" t="str">
            <v>65535_6</v>
          </cell>
        </row>
        <row r="973">
          <cell r="A973" t="str">
            <v>65535_7</v>
          </cell>
        </row>
        <row r="974">
          <cell r="A974" t="str">
            <v>65535_8</v>
          </cell>
        </row>
        <row r="975">
          <cell r="A975" t="str">
            <v>65535_9</v>
          </cell>
        </row>
        <row r="976">
          <cell r="A976" t="str">
            <v>65535_10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</row>
        <row r="2">
          <cell r="A2">
            <v>1</v>
          </cell>
          <cell r="B2" t="str">
            <v>ジェリー</v>
          </cell>
          <cell r="C2">
            <v>1</v>
          </cell>
          <cell r="D2" t="str">
            <v>red</v>
          </cell>
          <cell r="E2">
            <v>1</v>
          </cell>
          <cell r="F2">
            <v>1.02</v>
          </cell>
          <cell r="G2">
            <v>1</v>
          </cell>
          <cell r="H2" t="str">
            <v>attack</v>
          </cell>
          <cell r="I2" t="str">
            <v>攻撃タイプ</v>
          </cell>
          <cell r="J2">
            <v>1</v>
          </cell>
          <cell r="K2">
            <v>1.33</v>
          </cell>
          <cell r="L2">
            <v>1</v>
          </cell>
          <cell r="M2" t="str">
            <v>unknown</v>
          </cell>
          <cell r="N2" t="str">
            <v>Unknown</v>
          </cell>
          <cell r="O2">
            <v>1</v>
          </cell>
          <cell r="P2">
            <v>1</v>
          </cell>
          <cell r="Q2">
            <v>1</v>
          </cell>
          <cell r="R2" t="str">
            <v>Normal</v>
          </cell>
          <cell r="S2">
            <v>1</v>
          </cell>
          <cell r="T2">
            <v>1</v>
          </cell>
          <cell r="U2">
            <v>1</v>
          </cell>
          <cell r="V2">
            <v>1</v>
          </cell>
          <cell r="W2">
            <v>0.55000000000000004</v>
          </cell>
          <cell r="X2">
            <v>15</v>
          </cell>
          <cell r="Y2">
            <v>1</v>
          </cell>
          <cell r="Z2">
            <v>1</v>
          </cell>
          <cell r="AA2">
            <v>1</v>
          </cell>
          <cell r="AB2">
            <v>0</v>
          </cell>
          <cell r="AC2" t="str">
            <v>なし</v>
          </cell>
          <cell r="AD2">
            <v>1</v>
          </cell>
          <cell r="AE2">
            <v>0.9</v>
          </cell>
          <cell r="AF2">
            <v>0</v>
          </cell>
          <cell r="AG2">
            <v>500</v>
          </cell>
          <cell r="AH2">
            <v>101</v>
          </cell>
          <cell r="AI2">
            <v>0</v>
          </cell>
          <cell r="AJ2">
            <v>20300</v>
          </cell>
          <cell r="AK2">
            <v>4090</v>
          </cell>
          <cell r="AL2">
            <v>0</v>
          </cell>
          <cell r="AM2">
            <v>340</v>
          </cell>
          <cell r="AN2">
            <v>0</v>
          </cell>
          <cell r="AO2">
            <v>0</v>
          </cell>
          <cell r="AP2" t="str">
            <v>NULL</v>
          </cell>
          <cell r="AQ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1297</v>
          </cell>
        </row>
        <row r="1297">
          <cell r="A1297">
            <v>1298</v>
          </cell>
        </row>
        <row r="1298">
          <cell r="A1298">
            <v>1299</v>
          </cell>
        </row>
        <row r="1299">
          <cell r="A1299">
            <v>1300</v>
          </cell>
        </row>
        <row r="1300">
          <cell r="A1300">
            <v>1301</v>
          </cell>
        </row>
        <row r="1301">
          <cell r="A1301">
            <v>1302</v>
          </cell>
        </row>
        <row r="1302">
          <cell r="A1302">
            <v>1303</v>
          </cell>
        </row>
        <row r="1303">
          <cell r="A1303">
            <v>1304</v>
          </cell>
        </row>
        <row r="1304">
          <cell r="A1304">
            <v>1305</v>
          </cell>
        </row>
        <row r="1305">
          <cell r="A1305">
            <v>1306</v>
          </cell>
        </row>
        <row r="1306">
          <cell r="A1306">
            <v>1307</v>
          </cell>
        </row>
        <row r="1307">
          <cell r="A1307">
            <v>1324</v>
          </cell>
        </row>
        <row r="1308">
          <cell r="A1308">
            <v>1325</v>
          </cell>
        </row>
        <row r="1309">
          <cell r="A1309">
            <v>1326</v>
          </cell>
        </row>
        <row r="1310">
          <cell r="A1310">
            <v>1327</v>
          </cell>
        </row>
        <row r="1311">
          <cell r="A1311">
            <v>1328</v>
          </cell>
        </row>
        <row r="1312">
          <cell r="A1312">
            <v>1329</v>
          </cell>
        </row>
        <row r="1313">
          <cell r="A1313">
            <v>1330</v>
          </cell>
        </row>
        <row r="1314">
          <cell r="A1314">
            <v>1331</v>
          </cell>
        </row>
        <row r="1315">
          <cell r="A1315">
            <v>1332</v>
          </cell>
        </row>
        <row r="1316">
          <cell r="A1316">
            <v>1333</v>
          </cell>
        </row>
        <row r="1317">
          <cell r="A1317">
            <v>1334</v>
          </cell>
        </row>
        <row r="1318">
          <cell r="A1318">
            <v>1335</v>
          </cell>
        </row>
        <row r="1319">
          <cell r="A1319">
            <v>1336</v>
          </cell>
        </row>
        <row r="1320">
          <cell r="A1320">
            <v>1337</v>
          </cell>
        </row>
        <row r="1321">
          <cell r="A1321">
            <v>1338</v>
          </cell>
        </row>
        <row r="1322">
          <cell r="A1322">
            <v>1339</v>
          </cell>
        </row>
        <row r="1323">
          <cell r="A1323">
            <v>1351</v>
          </cell>
        </row>
        <row r="1324">
          <cell r="A1324">
            <v>1352</v>
          </cell>
        </row>
        <row r="1325">
          <cell r="A1325">
            <v>1353</v>
          </cell>
        </row>
        <row r="1326">
          <cell r="A1326">
            <v>1354</v>
          </cell>
        </row>
        <row r="1327">
          <cell r="A1327">
            <v>1355</v>
          </cell>
        </row>
        <row r="1328">
          <cell r="A1328">
            <v>1356</v>
          </cell>
        </row>
        <row r="1329">
          <cell r="A1329">
            <v>1357</v>
          </cell>
        </row>
        <row r="1330">
          <cell r="A1330">
            <v>1358</v>
          </cell>
        </row>
        <row r="1331">
          <cell r="A1331">
            <v>1359</v>
          </cell>
        </row>
        <row r="1332">
          <cell r="A1332">
            <v>1360</v>
          </cell>
        </row>
        <row r="1333">
          <cell r="A1333">
            <v>1362</v>
          </cell>
        </row>
        <row r="1334">
          <cell r="A1334">
            <v>1363</v>
          </cell>
        </row>
        <row r="1335">
          <cell r="A1335">
            <v>1364</v>
          </cell>
        </row>
        <row r="1336">
          <cell r="A1336">
            <v>1407</v>
          </cell>
        </row>
        <row r="1337">
          <cell r="A1337">
            <v>1408</v>
          </cell>
        </row>
        <row r="1338">
          <cell r="A1338">
            <v>1409</v>
          </cell>
        </row>
        <row r="1339">
          <cell r="A1339">
            <v>1410</v>
          </cell>
        </row>
        <row r="1340">
          <cell r="A1340">
            <v>1504</v>
          </cell>
        </row>
        <row r="1341">
          <cell r="A1341">
            <v>1505</v>
          </cell>
        </row>
        <row r="1342">
          <cell r="A1342">
            <v>1506</v>
          </cell>
        </row>
        <row r="1343">
          <cell r="A1343">
            <v>1507</v>
          </cell>
        </row>
        <row r="1344">
          <cell r="A1344">
            <v>1508</v>
          </cell>
        </row>
        <row r="1345">
          <cell r="A1345">
            <v>1509</v>
          </cell>
        </row>
        <row r="1346">
          <cell r="A1346">
            <v>1510</v>
          </cell>
        </row>
        <row r="1347">
          <cell r="A1347">
            <v>1511</v>
          </cell>
        </row>
        <row r="1348">
          <cell r="A1348">
            <v>1512</v>
          </cell>
        </row>
        <row r="1349">
          <cell r="A1349">
            <v>1523</v>
          </cell>
        </row>
        <row r="1350">
          <cell r="A1350">
            <v>1524</v>
          </cell>
        </row>
        <row r="1351">
          <cell r="A1351">
            <v>1525</v>
          </cell>
        </row>
        <row r="1352">
          <cell r="A1352">
            <v>1526</v>
          </cell>
        </row>
        <row r="1353">
          <cell r="A1353">
            <v>5001</v>
          </cell>
        </row>
        <row r="1354">
          <cell r="A1354">
            <v>5002</v>
          </cell>
        </row>
        <row r="1355">
          <cell r="A1355">
            <v>5003</v>
          </cell>
        </row>
        <row r="1356">
          <cell r="A1356">
            <v>5004</v>
          </cell>
        </row>
        <row r="1357">
          <cell r="A1357">
            <v>5005</v>
          </cell>
        </row>
        <row r="1358">
          <cell r="A1358">
            <v>5006</v>
          </cell>
        </row>
        <row r="1359">
          <cell r="A1359">
            <v>5007</v>
          </cell>
        </row>
        <row r="1360">
          <cell r="A1360">
            <v>5008</v>
          </cell>
        </row>
        <row r="1361">
          <cell r="A1361">
            <v>6001</v>
          </cell>
        </row>
        <row r="1362">
          <cell r="A1362">
            <v>6002</v>
          </cell>
        </row>
        <row r="1363">
          <cell r="A1363">
            <v>6003</v>
          </cell>
        </row>
        <row r="1364">
          <cell r="A1364">
            <v>6004</v>
          </cell>
        </row>
        <row r="1365">
          <cell r="A1365">
            <v>6005</v>
          </cell>
        </row>
        <row r="1366">
          <cell r="A1366">
            <v>6006</v>
          </cell>
        </row>
        <row r="1367">
          <cell r="A1367">
            <v>6007</v>
          </cell>
        </row>
        <row r="1368">
          <cell r="A1368">
            <v>6008</v>
          </cell>
        </row>
        <row r="1369">
          <cell r="A1369">
            <v>6009</v>
          </cell>
        </row>
        <row r="1370">
          <cell r="A1370">
            <v>6010</v>
          </cell>
        </row>
        <row r="1371">
          <cell r="A1371">
            <v>6011</v>
          </cell>
        </row>
        <row r="1372">
          <cell r="A1372">
            <v>6012</v>
          </cell>
        </row>
        <row r="1373">
          <cell r="A1373">
            <v>6013</v>
          </cell>
        </row>
        <row r="1374">
          <cell r="A1374">
            <v>6014</v>
          </cell>
        </row>
        <row r="1375">
          <cell r="A1375">
            <v>6015</v>
          </cell>
        </row>
        <row r="1376">
          <cell r="A1376">
            <v>6016</v>
          </cell>
        </row>
        <row r="1377">
          <cell r="A1377">
            <v>6017</v>
          </cell>
        </row>
        <row r="1378">
          <cell r="A1378">
            <v>6018</v>
          </cell>
        </row>
        <row r="1379">
          <cell r="A1379">
            <v>6019</v>
          </cell>
        </row>
        <row r="1380">
          <cell r="A1380">
            <v>6020</v>
          </cell>
        </row>
        <row r="1381">
          <cell r="A1381">
            <v>8001</v>
          </cell>
        </row>
        <row r="1382">
          <cell r="A1382">
            <v>8002</v>
          </cell>
        </row>
        <row r="1383">
          <cell r="A1383">
            <v>8003</v>
          </cell>
        </row>
        <row r="1384">
          <cell r="A1384">
            <v>8004</v>
          </cell>
        </row>
        <row r="1385">
          <cell r="A1385">
            <v>8005</v>
          </cell>
        </row>
        <row r="1386">
          <cell r="A1386">
            <v>8006</v>
          </cell>
        </row>
        <row r="1387">
          <cell r="A1387">
            <v>8007</v>
          </cell>
        </row>
        <row r="1388">
          <cell r="A1388">
            <v>8008</v>
          </cell>
        </row>
        <row r="1389">
          <cell r="A1389">
            <v>8009</v>
          </cell>
        </row>
        <row r="1390">
          <cell r="A1390">
            <v>8010</v>
          </cell>
        </row>
        <row r="1391">
          <cell r="A1391">
            <v>8011</v>
          </cell>
        </row>
        <row r="1392">
          <cell r="A1392">
            <v>8012</v>
          </cell>
        </row>
        <row r="1393">
          <cell r="A1393">
            <v>8013</v>
          </cell>
        </row>
        <row r="1394">
          <cell r="A1394">
            <v>8014</v>
          </cell>
        </row>
        <row r="1395">
          <cell r="A1395">
            <v>8015</v>
          </cell>
        </row>
        <row r="1396">
          <cell r="A1396">
            <v>8016</v>
          </cell>
        </row>
        <row r="1397">
          <cell r="A1397">
            <v>8017</v>
          </cell>
        </row>
        <row r="1398">
          <cell r="A1398">
            <v>8018</v>
          </cell>
        </row>
        <row r="1399">
          <cell r="A1399">
            <v>8019</v>
          </cell>
        </row>
        <row r="1400">
          <cell r="A1400">
            <v>8020</v>
          </cell>
        </row>
        <row r="1401">
          <cell r="A1401">
            <v>8021</v>
          </cell>
        </row>
        <row r="1402">
          <cell r="A1402">
            <v>8022</v>
          </cell>
        </row>
        <row r="1403">
          <cell r="A1403">
            <v>8023</v>
          </cell>
        </row>
        <row r="1404">
          <cell r="A1404">
            <v>8024</v>
          </cell>
        </row>
        <row r="1405">
          <cell r="A1405">
            <v>8025</v>
          </cell>
        </row>
        <row r="1406">
          <cell r="A1406">
            <v>8026</v>
          </cell>
        </row>
        <row r="1407">
          <cell r="A1407">
            <v>8027</v>
          </cell>
        </row>
        <row r="1408">
          <cell r="A1408">
            <v>8028</v>
          </cell>
        </row>
        <row r="1409">
          <cell r="A1409">
            <v>8029</v>
          </cell>
        </row>
        <row r="1410">
          <cell r="A1410">
            <v>8030</v>
          </cell>
        </row>
        <row r="1411">
          <cell r="A1411">
            <v>8031</v>
          </cell>
        </row>
        <row r="1412">
          <cell r="A1412">
            <v>8032</v>
          </cell>
        </row>
        <row r="1413">
          <cell r="A1413">
            <v>8033</v>
          </cell>
        </row>
        <row r="1414">
          <cell r="A1414">
            <v>8034</v>
          </cell>
        </row>
        <row r="1415">
          <cell r="A1415">
            <v>8035</v>
          </cell>
        </row>
        <row r="1416">
          <cell r="A1416">
            <v>8036</v>
          </cell>
        </row>
        <row r="1417">
          <cell r="A1417">
            <v>8037</v>
          </cell>
        </row>
        <row r="1418">
          <cell r="A1418">
            <v>8038</v>
          </cell>
        </row>
        <row r="1419">
          <cell r="A1419">
            <v>8039</v>
          </cell>
        </row>
        <row r="1420">
          <cell r="A1420">
            <v>8040</v>
          </cell>
        </row>
        <row r="1421">
          <cell r="A1421">
            <v>8041</v>
          </cell>
        </row>
        <row r="1422">
          <cell r="A1422">
            <v>8042</v>
          </cell>
        </row>
        <row r="1423">
          <cell r="A1423">
            <v>8043</v>
          </cell>
        </row>
        <row r="1424">
          <cell r="A1424">
            <v>8044</v>
          </cell>
        </row>
        <row r="1425">
          <cell r="A1425">
            <v>8045</v>
          </cell>
        </row>
        <row r="1426">
          <cell r="A1426">
            <v>8046</v>
          </cell>
        </row>
        <row r="1427">
          <cell r="A1427">
            <v>8047</v>
          </cell>
        </row>
        <row r="1428">
          <cell r="A1428">
            <v>8048</v>
          </cell>
        </row>
        <row r="1429">
          <cell r="A1429">
            <v>8049</v>
          </cell>
        </row>
        <row r="1430">
          <cell r="A1430">
            <v>8050</v>
          </cell>
        </row>
        <row r="1431">
          <cell r="A1431">
            <v>8051</v>
          </cell>
        </row>
        <row r="1432">
          <cell r="A1432">
            <v>8052</v>
          </cell>
        </row>
        <row r="1433">
          <cell r="A1433">
            <v>8053</v>
          </cell>
        </row>
        <row r="1434">
          <cell r="A1434">
            <v>8054</v>
          </cell>
        </row>
        <row r="1435">
          <cell r="A1435">
            <v>8055</v>
          </cell>
        </row>
        <row r="1436">
          <cell r="A1436">
            <v>8056</v>
          </cell>
        </row>
        <row r="1437">
          <cell r="A1437">
            <v>8057</v>
          </cell>
        </row>
        <row r="1438">
          <cell r="A1438">
            <v>8058</v>
          </cell>
        </row>
        <row r="1439">
          <cell r="A1439">
            <v>8059</v>
          </cell>
        </row>
        <row r="1440">
          <cell r="A1440">
            <v>8060</v>
          </cell>
        </row>
        <row r="1441">
          <cell r="A1441">
            <v>8061</v>
          </cell>
        </row>
        <row r="1442">
          <cell r="A1442">
            <v>8062</v>
          </cell>
        </row>
        <row r="1443">
          <cell r="A1443">
            <v>8063</v>
          </cell>
        </row>
        <row r="1444">
          <cell r="A1444">
            <v>8064</v>
          </cell>
        </row>
        <row r="1445">
          <cell r="A1445">
            <v>8065</v>
          </cell>
        </row>
        <row r="1446">
          <cell r="A1446">
            <v>8066</v>
          </cell>
        </row>
        <row r="1447">
          <cell r="A1447">
            <v>8067</v>
          </cell>
        </row>
        <row r="1448">
          <cell r="A1448">
            <v>8068</v>
          </cell>
        </row>
        <row r="1449">
          <cell r="A1449">
            <v>8069</v>
          </cell>
        </row>
        <row r="1450">
          <cell r="A1450">
            <v>8070</v>
          </cell>
        </row>
        <row r="1451">
          <cell r="A1451">
            <v>8071</v>
          </cell>
        </row>
        <row r="1452">
          <cell r="A1452">
            <v>8072</v>
          </cell>
        </row>
        <row r="1453">
          <cell r="A1453">
            <v>8073</v>
          </cell>
        </row>
        <row r="1454">
          <cell r="A1454">
            <v>8074</v>
          </cell>
        </row>
        <row r="1455">
          <cell r="A1455">
            <v>8077</v>
          </cell>
        </row>
        <row r="1456">
          <cell r="A1456">
            <v>8078</v>
          </cell>
        </row>
        <row r="1457">
          <cell r="A1457">
            <v>8079</v>
          </cell>
        </row>
        <row r="1458">
          <cell r="A1458">
            <v>8080</v>
          </cell>
        </row>
        <row r="1459">
          <cell r="A1459">
            <v>8081</v>
          </cell>
        </row>
        <row r="1460">
          <cell r="A1460">
            <v>8082</v>
          </cell>
        </row>
        <row r="1461">
          <cell r="A1461">
            <v>8083</v>
          </cell>
        </row>
        <row r="1462">
          <cell r="A1462">
            <v>8084</v>
          </cell>
        </row>
        <row r="1463">
          <cell r="A1463">
            <v>8087</v>
          </cell>
        </row>
        <row r="1464">
          <cell r="A1464">
            <v>8088</v>
          </cell>
        </row>
        <row r="1465">
          <cell r="A1465">
            <v>8089</v>
          </cell>
        </row>
        <row r="1466">
          <cell r="A1466">
            <v>8090</v>
          </cell>
        </row>
        <row r="1467">
          <cell r="A1467">
            <v>8095</v>
          </cell>
        </row>
        <row r="1468">
          <cell r="A1468">
            <v>8096</v>
          </cell>
        </row>
        <row r="1469">
          <cell r="A1469">
            <v>8097</v>
          </cell>
        </row>
        <row r="1470">
          <cell r="A1470">
            <v>8098</v>
          </cell>
        </row>
        <row r="1471">
          <cell r="A1471">
            <v>8099</v>
          </cell>
        </row>
      </sheetData>
      <sheetData sheetId="2"/>
      <sheetData sheetId="3"/>
      <sheetData sheetId="4"/>
      <sheetData sheetId="5"/>
      <sheetData sheetId="6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  <cell r="N2" t="str">
            <v>Unknown</v>
          </cell>
          <cell r="O2" t="str">
            <v>none</v>
          </cell>
          <cell r="P2" t="str">
            <v>種族なし</v>
          </cell>
          <cell r="Q2" t="str">
            <v>アタッカー</v>
          </cell>
          <cell r="R2">
            <v>3</v>
          </cell>
          <cell r="S2" t="str">
            <v>NULL</v>
          </cell>
          <cell r="T2" t="str">
            <v>normal</v>
          </cell>
          <cell r="U2" t="str">
            <v>NULL</v>
          </cell>
          <cell r="V2" t="str">
            <v>NULL</v>
          </cell>
          <cell r="W2" t="str">
            <v>NULL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1295</v>
          </cell>
        </row>
        <row r="1297">
          <cell r="A1297">
            <v>1296</v>
          </cell>
        </row>
        <row r="1298">
          <cell r="A1298">
            <v>1297</v>
          </cell>
        </row>
        <row r="1299">
          <cell r="A1299">
            <v>1298</v>
          </cell>
        </row>
        <row r="1300">
          <cell r="A1300">
            <v>1299</v>
          </cell>
        </row>
        <row r="1301">
          <cell r="A1301">
            <v>1300</v>
          </cell>
        </row>
        <row r="1302">
          <cell r="A1302">
            <v>1301</v>
          </cell>
        </row>
        <row r="1303">
          <cell r="A1303">
            <v>1302</v>
          </cell>
        </row>
        <row r="1304">
          <cell r="A1304">
            <v>1303</v>
          </cell>
        </row>
        <row r="1305">
          <cell r="A1305">
            <v>1304</v>
          </cell>
        </row>
        <row r="1306">
          <cell r="A1306">
            <v>1305</v>
          </cell>
        </row>
        <row r="1307">
          <cell r="A1307">
            <v>1306</v>
          </cell>
        </row>
        <row r="1308">
          <cell r="A1308">
            <v>1307</v>
          </cell>
        </row>
        <row r="1309">
          <cell r="A1309">
            <v>1308</v>
          </cell>
        </row>
        <row r="1310">
          <cell r="A1310">
            <v>1309</v>
          </cell>
        </row>
        <row r="1311">
          <cell r="A1311">
            <v>1310</v>
          </cell>
        </row>
        <row r="1312">
          <cell r="A1312">
            <v>1311</v>
          </cell>
        </row>
        <row r="1313">
          <cell r="A1313">
            <v>1312</v>
          </cell>
        </row>
        <row r="1314">
          <cell r="A1314">
            <v>1313</v>
          </cell>
        </row>
        <row r="1315">
          <cell r="A1315">
            <v>1314</v>
          </cell>
        </row>
        <row r="1316">
          <cell r="A1316">
            <v>1315</v>
          </cell>
        </row>
        <row r="1317">
          <cell r="A1317">
            <v>1316</v>
          </cell>
        </row>
        <row r="1318">
          <cell r="A1318">
            <v>1317</v>
          </cell>
        </row>
        <row r="1319">
          <cell r="A1319">
            <v>1318</v>
          </cell>
        </row>
        <row r="1320">
          <cell r="A1320">
            <v>1319</v>
          </cell>
        </row>
        <row r="1321">
          <cell r="A1321">
            <v>1320</v>
          </cell>
        </row>
        <row r="1322">
          <cell r="A1322">
            <v>1321</v>
          </cell>
        </row>
        <row r="1323">
          <cell r="A1323">
            <v>1322</v>
          </cell>
        </row>
        <row r="1324">
          <cell r="A1324">
            <v>1323</v>
          </cell>
        </row>
        <row r="1325">
          <cell r="A1325">
            <v>1324</v>
          </cell>
        </row>
        <row r="1326">
          <cell r="A1326">
            <v>1325</v>
          </cell>
        </row>
        <row r="1327">
          <cell r="A1327">
            <v>1326</v>
          </cell>
        </row>
        <row r="1328">
          <cell r="A1328">
            <v>1327</v>
          </cell>
        </row>
        <row r="1329">
          <cell r="A1329">
            <v>1328</v>
          </cell>
        </row>
        <row r="1330">
          <cell r="A1330">
            <v>1329</v>
          </cell>
        </row>
        <row r="1331">
          <cell r="A1331">
            <v>1330</v>
          </cell>
        </row>
        <row r="1332">
          <cell r="A1332">
            <v>1331</v>
          </cell>
        </row>
        <row r="1333">
          <cell r="A1333">
            <v>1332</v>
          </cell>
        </row>
        <row r="1334">
          <cell r="A1334">
            <v>1333</v>
          </cell>
        </row>
        <row r="1335">
          <cell r="A1335">
            <v>1334</v>
          </cell>
        </row>
        <row r="1336">
          <cell r="A1336">
            <v>1335</v>
          </cell>
        </row>
        <row r="1337">
          <cell r="A1337">
            <v>1336</v>
          </cell>
        </row>
        <row r="1338">
          <cell r="A1338">
            <v>1337</v>
          </cell>
        </row>
        <row r="1339">
          <cell r="A1339">
            <v>1338</v>
          </cell>
        </row>
        <row r="1340">
          <cell r="A1340">
            <v>1339</v>
          </cell>
        </row>
        <row r="1341">
          <cell r="A1341">
            <v>1340</v>
          </cell>
        </row>
        <row r="1342">
          <cell r="A1342">
            <v>1341</v>
          </cell>
        </row>
        <row r="1343">
          <cell r="A1343">
            <v>1342</v>
          </cell>
        </row>
        <row r="1344">
          <cell r="A1344">
            <v>1343</v>
          </cell>
        </row>
        <row r="1345">
          <cell r="A1345">
            <v>1344</v>
          </cell>
        </row>
        <row r="1346">
          <cell r="A1346">
            <v>1345</v>
          </cell>
        </row>
        <row r="1347">
          <cell r="A1347">
            <v>1346</v>
          </cell>
        </row>
        <row r="1348">
          <cell r="A1348">
            <v>1347</v>
          </cell>
        </row>
        <row r="1349">
          <cell r="A1349">
            <v>1348</v>
          </cell>
        </row>
        <row r="1350">
          <cell r="A1350">
            <v>1349</v>
          </cell>
        </row>
        <row r="1351">
          <cell r="A1351">
            <v>1350</v>
          </cell>
        </row>
        <row r="1352">
          <cell r="A1352">
            <v>1351</v>
          </cell>
        </row>
        <row r="1353">
          <cell r="A1353">
            <v>1352</v>
          </cell>
        </row>
        <row r="1354">
          <cell r="A1354">
            <v>1353</v>
          </cell>
        </row>
        <row r="1355">
          <cell r="A1355">
            <v>1354</v>
          </cell>
        </row>
        <row r="1356">
          <cell r="A1356">
            <v>1355</v>
          </cell>
        </row>
        <row r="1357">
          <cell r="A1357">
            <v>1356</v>
          </cell>
        </row>
        <row r="1358">
          <cell r="A1358">
            <v>1357</v>
          </cell>
        </row>
        <row r="1359">
          <cell r="A1359">
            <v>1358</v>
          </cell>
        </row>
        <row r="1360">
          <cell r="A1360">
            <v>1359</v>
          </cell>
        </row>
        <row r="1361">
          <cell r="A1361">
            <v>1360</v>
          </cell>
        </row>
        <row r="1362">
          <cell r="A1362">
            <v>1361</v>
          </cell>
        </row>
        <row r="1363">
          <cell r="A1363">
            <v>1362</v>
          </cell>
        </row>
        <row r="1364">
          <cell r="A1364">
            <v>1363</v>
          </cell>
        </row>
        <row r="1365">
          <cell r="A1365">
            <v>1364</v>
          </cell>
        </row>
        <row r="1366">
          <cell r="A1366">
            <v>1365</v>
          </cell>
        </row>
        <row r="1367">
          <cell r="A1367">
            <v>1366</v>
          </cell>
        </row>
        <row r="1368">
          <cell r="A1368">
            <v>1367</v>
          </cell>
        </row>
        <row r="1369">
          <cell r="A1369">
            <v>1368</v>
          </cell>
        </row>
        <row r="1370">
          <cell r="A1370">
            <v>1369</v>
          </cell>
        </row>
        <row r="1371">
          <cell r="A1371">
            <v>1370</v>
          </cell>
        </row>
        <row r="1372">
          <cell r="A1372">
            <v>1389</v>
          </cell>
        </row>
        <row r="1373">
          <cell r="A1373">
            <v>1390</v>
          </cell>
        </row>
        <row r="1374">
          <cell r="A1374">
            <v>1399</v>
          </cell>
        </row>
        <row r="1375">
          <cell r="A1375">
            <v>1400</v>
          </cell>
        </row>
        <row r="1376">
          <cell r="A1376">
            <v>1401</v>
          </cell>
        </row>
        <row r="1377">
          <cell r="A1377">
            <v>1402</v>
          </cell>
        </row>
        <row r="1378">
          <cell r="A1378">
            <v>1403</v>
          </cell>
        </row>
        <row r="1379">
          <cell r="A1379">
            <v>1404</v>
          </cell>
        </row>
        <row r="1380">
          <cell r="A1380">
            <v>1405</v>
          </cell>
        </row>
        <row r="1381">
          <cell r="A1381">
            <v>1406</v>
          </cell>
        </row>
        <row r="1382">
          <cell r="A1382">
            <v>1407</v>
          </cell>
        </row>
        <row r="1383">
          <cell r="A1383">
            <v>1408</v>
          </cell>
        </row>
        <row r="1384">
          <cell r="A1384">
            <v>1409</v>
          </cell>
        </row>
        <row r="1385">
          <cell r="A1385">
            <v>1410</v>
          </cell>
        </row>
        <row r="1386">
          <cell r="A1386">
            <v>1411</v>
          </cell>
        </row>
        <row r="1387">
          <cell r="A1387">
            <v>1412</v>
          </cell>
        </row>
        <row r="1388">
          <cell r="A1388">
            <v>1413</v>
          </cell>
        </row>
        <row r="1389">
          <cell r="A1389">
            <v>1414</v>
          </cell>
        </row>
        <row r="1390">
          <cell r="A1390">
            <v>1415</v>
          </cell>
        </row>
        <row r="1391">
          <cell r="A1391">
            <v>1416</v>
          </cell>
        </row>
        <row r="1392">
          <cell r="A1392">
            <v>1417</v>
          </cell>
        </row>
        <row r="1393">
          <cell r="A1393">
            <v>1418</v>
          </cell>
        </row>
        <row r="1394">
          <cell r="A1394">
            <v>1419</v>
          </cell>
        </row>
        <row r="1395">
          <cell r="A1395">
            <v>1420</v>
          </cell>
        </row>
        <row r="1396">
          <cell r="A1396">
            <v>1421</v>
          </cell>
        </row>
        <row r="1397">
          <cell r="A1397">
            <v>1422</v>
          </cell>
        </row>
        <row r="1398">
          <cell r="A1398">
            <v>1423</v>
          </cell>
        </row>
        <row r="1399">
          <cell r="A1399">
            <v>1424</v>
          </cell>
        </row>
        <row r="1400">
          <cell r="A1400">
            <v>1433</v>
          </cell>
        </row>
        <row r="1401">
          <cell r="A1401">
            <v>1434</v>
          </cell>
        </row>
        <row r="1402">
          <cell r="A1402">
            <v>1435</v>
          </cell>
        </row>
        <row r="1403">
          <cell r="A1403">
            <v>1458</v>
          </cell>
        </row>
        <row r="1404">
          <cell r="A1404">
            <v>1459</v>
          </cell>
        </row>
        <row r="1405">
          <cell r="A1405">
            <v>1460</v>
          </cell>
        </row>
        <row r="1406">
          <cell r="A1406">
            <v>1461</v>
          </cell>
        </row>
        <row r="1407">
          <cell r="A1407">
            <v>1462</v>
          </cell>
        </row>
        <row r="1408">
          <cell r="A1408">
            <v>1463</v>
          </cell>
        </row>
        <row r="1409">
          <cell r="A1409">
            <v>1464</v>
          </cell>
        </row>
        <row r="1410">
          <cell r="A1410">
            <v>1465</v>
          </cell>
        </row>
        <row r="1411">
          <cell r="A1411">
            <v>1466</v>
          </cell>
        </row>
        <row r="1412">
          <cell r="A1412">
            <v>1467</v>
          </cell>
        </row>
        <row r="1413">
          <cell r="A1413">
            <v>1468</v>
          </cell>
        </row>
        <row r="1414">
          <cell r="A1414">
            <v>1469</v>
          </cell>
        </row>
        <row r="1415">
          <cell r="A1415">
            <v>1470</v>
          </cell>
        </row>
        <row r="1416">
          <cell r="A1416">
            <v>1504</v>
          </cell>
        </row>
        <row r="1417">
          <cell r="A1417">
            <v>1505</v>
          </cell>
        </row>
        <row r="1418">
          <cell r="A1418">
            <v>1506</v>
          </cell>
        </row>
        <row r="1419">
          <cell r="A1419">
            <v>1507</v>
          </cell>
        </row>
        <row r="1420">
          <cell r="A1420">
            <v>1508</v>
          </cell>
        </row>
        <row r="1421">
          <cell r="A1421">
            <v>1509</v>
          </cell>
        </row>
        <row r="1422">
          <cell r="A1422">
            <v>1510</v>
          </cell>
        </row>
        <row r="1423">
          <cell r="A1423">
            <v>1511</v>
          </cell>
        </row>
        <row r="1424">
          <cell r="A1424">
            <v>1512</v>
          </cell>
        </row>
        <row r="1425">
          <cell r="A1425">
            <v>1513</v>
          </cell>
        </row>
        <row r="1426">
          <cell r="A1426">
            <v>1514</v>
          </cell>
        </row>
        <row r="1427">
          <cell r="A1427">
            <v>1515</v>
          </cell>
        </row>
        <row r="1428">
          <cell r="A1428">
            <v>1516</v>
          </cell>
        </row>
        <row r="1429">
          <cell r="A1429">
            <v>1517</v>
          </cell>
        </row>
        <row r="1430">
          <cell r="A1430">
            <v>1518</v>
          </cell>
        </row>
        <row r="1431">
          <cell r="A1431">
            <v>1519</v>
          </cell>
        </row>
        <row r="1432">
          <cell r="A1432">
            <v>1520</v>
          </cell>
        </row>
        <row r="1433">
          <cell r="A1433">
            <v>1521</v>
          </cell>
        </row>
        <row r="1434">
          <cell r="A1434">
            <v>1522</v>
          </cell>
        </row>
        <row r="1435">
          <cell r="A1435">
            <v>1523</v>
          </cell>
        </row>
        <row r="1436">
          <cell r="A1436">
            <v>1524</v>
          </cell>
        </row>
        <row r="1437">
          <cell r="A1437">
            <v>1525</v>
          </cell>
        </row>
        <row r="1438">
          <cell r="A1438">
            <v>1526</v>
          </cell>
        </row>
        <row r="1439">
          <cell r="A1439">
            <v>1527</v>
          </cell>
        </row>
        <row r="1440">
          <cell r="A1440">
            <v>1528</v>
          </cell>
        </row>
        <row r="1441">
          <cell r="A1441">
            <v>1529</v>
          </cell>
        </row>
        <row r="1442">
          <cell r="A1442">
            <v>1530</v>
          </cell>
        </row>
        <row r="1443">
          <cell r="A1443">
            <v>1531</v>
          </cell>
        </row>
        <row r="1444">
          <cell r="A1444">
            <v>1532</v>
          </cell>
        </row>
        <row r="1445">
          <cell r="A1445">
            <v>1533</v>
          </cell>
        </row>
        <row r="1446">
          <cell r="A1446">
            <v>1534</v>
          </cell>
        </row>
        <row r="1447">
          <cell r="A1447">
            <v>1535</v>
          </cell>
        </row>
        <row r="1448">
          <cell r="A1448">
            <v>1536</v>
          </cell>
        </row>
        <row r="1449">
          <cell r="A1449">
            <v>1537</v>
          </cell>
        </row>
        <row r="1450">
          <cell r="A1450">
            <v>1538</v>
          </cell>
        </row>
        <row r="1451">
          <cell r="A1451">
            <v>1539</v>
          </cell>
        </row>
        <row r="1452">
          <cell r="A1452">
            <v>1540</v>
          </cell>
        </row>
        <row r="1453">
          <cell r="A1453">
            <v>1541</v>
          </cell>
        </row>
        <row r="1454">
          <cell r="A1454">
            <v>1542</v>
          </cell>
        </row>
        <row r="1455">
          <cell r="A1455">
            <v>1543</v>
          </cell>
        </row>
        <row r="1456">
          <cell r="A1456">
            <v>1544</v>
          </cell>
        </row>
        <row r="1457">
          <cell r="A1457">
            <v>1545</v>
          </cell>
        </row>
        <row r="1458">
          <cell r="A1458">
            <v>1546</v>
          </cell>
        </row>
        <row r="1459">
          <cell r="A1459">
            <v>1547</v>
          </cell>
        </row>
        <row r="1460">
          <cell r="A1460">
            <v>1548</v>
          </cell>
        </row>
        <row r="1461">
          <cell r="A1461">
            <v>1549</v>
          </cell>
        </row>
        <row r="1462">
          <cell r="A1462">
            <v>1550</v>
          </cell>
        </row>
        <row r="1463">
          <cell r="A1463">
            <v>5001</v>
          </cell>
        </row>
        <row r="1464">
          <cell r="A1464">
            <v>5002</v>
          </cell>
        </row>
        <row r="1465">
          <cell r="A1465">
            <v>5003</v>
          </cell>
        </row>
        <row r="1466">
          <cell r="A1466">
            <v>5004</v>
          </cell>
        </row>
        <row r="1467">
          <cell r="A1467">
            <v>5005</v>
          </cell>
        </row>
        <row r="1468">
          <cell r="A1468">
            <v>5006</v>
          </cell>
        </row>
        <row r="1469">
          <cell r="A1469">
            <v>5007</v>
          </cell>
        </row>
        <row r="1470">
          <cell r="A1470">
            <v>5008</v>
          </cell>
        </row>
        <row r="1471">
          <cell r="A1471">
            <v>6001</v>
          </cell>
        </row>
        <row r="1472">
          <cell r="A1472">
            <v>6002</v>
          </cell>
        </row>
        <row r="1473">
          <cell r="A1473">
            <v>6003</v>
          </cell>
        </row>
        <row r="1474">
          <cell r="A1474">
            <v>6004</v>
          </cell>
        </row>
        <row r="1475">
          <cell r="A1475">
            <v>6005</v>
          </cell>
        </row>
        <row r="1476">
          <cell r="A1476">
            <v>6006</v>
          </cell>
        </row>
        <row r="1477">
          <cell r="A1477">
            <v>6007</v>
          </cell>
        </row>
        <row r="1478">
          <cell r="A1478">
            <v>6008</v>
          </cell>
        </row>
        <row r="1479">
          <cell r="A1479">
            <v>6009</v>
          </cell>
        </row>
        <row r="1480">
          <cell r="A1480">
            <v>6010</v>
          </cell>
        </row>
        <row r="1481">
          <cell r="A1481">
            <v>6011</v>
          </cell>
        </row>
        <row r="1482">
          <cell r="A1482">
            <v>6012</v>
          </cell>
        </row>
        <row r="1483">
          <cell r="A1483">
            <v>6013</v>
          </cell>
        </row>
        <row r="1484">
          <cell r="A1484">
            <v>6014</v>
          </cell>
        </row>
        <row r="1485">
          <cell r="A1485">
            <v>6015</v>
          </cell>
        </row>
        <row r="1486">
          <cell r="A1486">
            <v>6016</v>
          </cell>
        </row>
        <row r="1487">
          <cell r="A1487">
            <v>6017</v>
          </cell>
        </row>
        <row r="1488">
          <cell r="A1488">
            <v>6018</v>
          </cell>
        </row>
        <row r="1489">
          <cell r="A1489">
            <v>6019</v>
          </cell>
        </row>
        <row r="1490">
          <cell r="A1490">
            <v>6020</v>
          </cell>
        </row>
        <row r="1491">
          <cell r="A1491">
            <v>8001</v>
          </cell>
        </row>
        <row r="1492">
          <cell r="A1492">
            <v>8002</v>
          </cell>
        </row>
        <row r="1493">
          <cell r="A1493">
            <v>8003</v>
          </cell>
        </row>
        <row r="1494">
          <cell r="A1494">
            <v>8004</v>
          </cell>
        </row>
        <row r="1495">
          <cell r="A1495">
            <v>8005</v>
          </cell>
        </row>
        <row r="1496">
          <cell r="A1496">
            <v>8006</v>
          </cell>
        </row>
        <row r="1497">
          <cell r="A1497">
            <v>8007</v>
          </cell>
        </row>
        <row r="1498">
          <cell r="A1498">
            <v>8008</v>
          </cell>
        </row>
        <row r="1499">
          <cell r="A1499">
            <v>8009</v>
          </cell>
        </row>
        <row r="1500">
          <cell r="A1500">
            <v>8010</v>
          </cell>
        </row>
        <row r="1501">
          <cell r="A1501">
            <v>8011</v>
          </cell>
        </row>
        <row r="1502">
          <cell r="A1502">
            <v>8012</v>
          </cell>
        </row>
        <row r="1503">
          <cell r="A1503">
            <v>8013</v>
          </cell>
        </row>
        <row r="1504">
          <cell r="A1504">
            <v>8014</v>
          </cell>
        </row>
        <row r="1505">
          <cell r="A1505">
            <v>8015</v>
          </cell>
        </row>
        <row r="1506">
          <cell r="A1506">
            <v>8016</v>
          </cell>
        </row>
        <row r="1507">
          <cell r="A1507">
            <v>8017</v>
          </cell>
        </row>
        <row r="1508">
          <cell r="A1508">
            <v>8018</v>
          </cell>
        </row>
        <row r="1509">
          <cell r="A1509">
            <v>8019</v>
          </cell>
        </row>
        <row r="1510">
          <cell r="A1510">
            <v>8020</v>
          </cell>
        </row>
        <row r="1511">
          <cell r="A1511">
            <v>8021</v>
          </cell>
        </row>
        <row r="1512">
          <cell r="A1512">
            <v>8022</v>
          </cell>
        </row>
        <row r="1513">
          <cell r="A1513">
            <v>8023</v>
          </cell>
        </row>
        <row r="1514">
          <cell r="A1514">
            <v>8024</v>
          </cell>
        </row>
        <row r="1515">
          <cell r="A1515">
            <v>8025</v>
          </cell>
        </row>
        <row r="1516">
          <cell r="A1516">
            <v>8026</v>
          </cell>
        </row>
        <row r="1517">
          <cell r="A1517">
            <v>8027</v>
          </cell>
        </row>
        <row r="1518">
          <cell r="A1518">
            <v>8028</v>
          </cell>
        </row>
        <row r="1519">
          <cell r="A1519">
            <v>8029</v>
          </cell>
        </row>
        <row r="1520">
          <cell r="A1520">
            <v>8030</v>
          </cell>
        </row>
        <row r="1521">
          <cell r="A1521">
            <v>8031</v>
          </cell>
        </row>
        <row r="1522">
          <cell r="A1522">
            <v>8032</v>
          </cell>
        </row>
        <row r="1523">
          <cell r="A1523">
            <v>8033</v>
          </cell>
        </row>
        <row r="1524">
          <cell r="A1524">
            <v>8034</v>
          </cell>
        </row>
        <row r="1525">
          <cell r="A1525">
            <v>8035</v>
          </cell>
        </row>
        <row r="1526">
          <cell r="A1526">
            <v>8036</v>
          </cell>
        </row>
        <row r="1527">
          <cell r="A1527">
            <v>8037</v>
          </cell>
        </row>
        <row r="1528">
          <cell r="A1528">
            <v>8038</v>
          </cell>
        </row>
        <row r="1529">
          <cell r="A1529">
            <v>8039</v>
          </cell>
        </row>
        <row r="1530">
          <cell r="A1530">
            <v>8040</v>
          </cell>
        </row>
        <row r="1531">
          <cell r="A1531">
            <v>8041</v>
          </cell>
        </row>
        <row r="1532">
          <cell r="A1532">
            <v>8042</v>
          </cell>
        </row>
        <row r="1533">
          <cell r="A1533">
            <v>8043</v>
          </cell>
        </row>
        <row r="1534">
          <cell r="A1534">
            <v>8044</v>
          </cell>
        </row>
        <row r="1535">
          <cell r="A1535">
            <v>8045</v>
          </cell>
        </row>
        <row r="1536">
          <cell r="A1536">
            <v>8046</v>
          </cell>
        </row>
        <row r="1537">
          <cell r="A1537">
            <v>8047</v>
          </cell>
        </row>
        <row r="1538">
          <cell r="A1538">
            <v>8048</v>
          </cell>
        </row>
        <row r="1539">
          <cell r="A1539">
            <v>8049</v>
          </cell>
        </row>
        <row r="1540">
          <cell r="A1540">
            <v>8050</v>
          </cell>
        </row>
        <row r="1541">
          <cell r="A1541">
            <v>8051</v>
          </cell>
        </row>
        <row r="1542">
          <cell r="A1542">
            <v>8052</v>
          </cell>
        </row>
        <row r="1543">
          <cell r="A1543">
            <v>8053</v>
          </cell>
        </row>
        <row r="1544">
          <cell r="A1544">
            <v>8054</v>
          </cell>
        </row>
        <row r="1545">
          <cell r="A1545">
            <v>8055</v>
          </cell>
        </row>
        <row r="1546">
          <cell r="A1546">
            <v>8056</v>
          </cell>
        </row>
        <row r="1547">
          <cell r="A1547">
            <v>8057</v>
          </cell>
        </row>
        <row r="1548">
          <cell r="A1548">
            <v>8058</v>
          </cell>
        </row>
        <row r="1549">
          <cell r="A1549">
            <v>8059</v>
          </cell>
        </row>
        <row r="1550">
          <cell r="A1550">
            <v>8060</v>
          </cell>
        </row>
        <row r="1551">
          <cell r="A1551">
            <v>8061</v>
          </cell>
        </row>
        <row r="1552">
          <cell r="A1552">
            <v>8062</v>
          </cell>
        </row>
        <row r="1553">
          <cell r="A1553">
            <v>8063</v>
          </cell>
        </row>
        <row r="1554">
          <cell r="A1554">
            <v>8064</v>
          </cell>
        </row>
        <row r="1555">
          <cell r="A1555">
            <v>8065</v>
          </cell>
        </row>
        <row r="1556">
          <cell r="A1556">
            <v>8066</v>
          </cell>
        </row>
        <row r="1557">
          <cell r="A1557">
            <v>8067</v>
          </cell>
        </row>
        <row r="1558">
          <cell r="A1558">
            <v>8068</v>
          </cell>
        </row>
        <row r="1559">
          <cell r="A1559">
            <v>8069</v>
          </cell>
        </row>
        <row r="1560">
          <cell r="A1560">
            <v>8070</v>
          </cell>
        </row>
        <row r="1561">
          <cell r="A1561">
            <v>8071</v>
          </cell>
        </row>
        <row r="1562">
          <cell r="A1562">
            <v>8072</v>
          </cell>
        </row>
        <row r="1563">
          <cell r="A1563">
            <v>8073</v>
          </cell>
        </row>
        <row r="1564">
          <cell r="A1564">
            <v>8074</v>
          </cell>
        </row>
        <row r="1565">
          <cell r="A1565">
            <v>8075</v>
          </cell>
        </row>
        <row r="1566">
          <cell r="A1566">
            <v>8076</v>
          </cell>
        </row>
        <row r="1567">
          <cell r="A1567">
            <v>8077</v>
          </cell>
        </row>
        <row r="1568">
          <cell r="A1568">
            <v>8078</v>
          </cell>
        </row>
        <row r="1569">
          <cell r="A1569">
            <v>8079</v>
          </cell>
        </row>
        <row r="1570">
          <cell r="A1570">
            <v>8080</v>
          </cell>
        </row>
        <row r="1571">
          <cell r="A1571">
            <v>8081</v>
          </cell>
        </row>
        <row r="1572">
          <cell r="A1572">
            <v>8082</v>
          </cell>
        </row>
        <row r="1573">
          <cell r="A1573">
            <v>8083</v>
          </cell>
        </row>
        <row r="1574">
          <cell r="A1574">
            <v>8084</v>
          </cell>
        </row>
        <row r="1575">
          <cell r="A1575">
            <v>8087</v>
          </cell>
        </row>
        <row r="1576">
          <cell r="A1576">
            <v>8088</v>
          </cell>
        </row>
        <row r="1577">
          <cell r="A1577">
            <v>8089</v>
          </cell>
        </row>
        <row r="1578">
          <cell r="A1578">
            <v>8090</v>
          </cell>
        </row>
        <row r="1579">
          <cell r="A1579">
            <v>8095</v>
          </cell>
        </row>
        <row r="1580">
          <cell r="A1580">
            <v>8096</v>
          </cell>
        </row>
        <row r="1581">
          <cell r="A1581">
            <v>8097</v>
          </cell>
        </row>
        <row r="1582">
          <cell r="A1582">
            <v>8098</v>
          </cell>
        </row>
        <row r="1583">
          <cell r="A1583">
            <v>8099</v>
          </cell>
        </row>
        <row r="1584">
          <cell r="A1584">
            <v>10001</v>
          </cell>
        </row>
      </sheetData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特殊効果"/>
      <sheetName val="スキル仕様"/>
      <sheetName val="enemy_skills"/>
      <sheetName val="enemy_skill_triggers"/>
      <sheetName val="enemy_skill_sets"/>
      <sheetName val="enemy_skills_tmp_0.tmp"/>
      <sheetName val="enemy_skills_i18n_0.tmp"/>
      <sheetName val="enemy_skill_triggers_0.tmp"/>
      <sheetName val="enemy_skill_sets_0.tmp"/>
    </sheetNames>
    <sheetDataSet>
      <sheetData sheetId="0"/>
      <sheetData sheetId="1"/>
      <sheetData sheetId="2"/>
      <sheetData sheetId="3"/>
      <sheetData sheetId="4"/>
      <sheetData sheetId="5">
        <row r="1">
          <cell r="A1" t="str">
            <v>temp_id</v>
          </cell>
          <cell r="B1" t="str">
            <v>skill_set_id</v>
          </cell>
          <cell r="C1" t="str">
            <v>skill_id</v>
          </cell>
          <cell r="D1" t="str">
            <v>name</v>
          </cell>
          <cell r="E1" t="str">
            <v>comment</v>
          </cell>
          <cell r="F1" t="str">
            <v>skill_trigger_id</v>
          </cell>
          <cell r="G1" t="str">
            <v>first_time</v>
          </cell>
          <cell r="H1" t="str">
            <v>invoke_rate</v>
          </cell>
          <cell r="I1" t="str">
            <v>invoke_weight</v>
          </cell>
          <cell r="J1" t="str">
            <v>hp_threshold</v>
          </cell>
          <cell r="K1" t="str">
            <v>invoke_times</v>
          </cell>
          <cell r="L1" t="str">
            <v>enemy_id</v>
          </cell>
          <cell r="M1" t="str">
            <v>name</v>
          </cell>
          <cell r="N1" t="str">
            <v>作成者</v>
          </cell>
          <cell r="O1" t="str">
            <v>更新日</v>
          </cell>
          <cell r="P1" t="str">
            <v>備考（使用箇所）</v>
          </cell>
        </row>
        <row r="2">
          <cell r="B2">
            <v>0</v>
          </cell>
        </row>
        <row r="3">
          <cell r="B3">
            <v>1001</v>
          </cell>
        </row>
        <row r="4">
          <cell r="B4">
            <v>28</v>
          </cell>
        </row>
        <row r="5">
          <cell r="B5">
            <v>30</v>
          </cell>
        </row>
        <row r="6">
          <cell r="B6">
            <v>33</v>
          </cell>
        </row>
        <row r="7">
          <cell r="B7">
            <v>34</v>
          </cell>
        </row>
        <row r="8">
          <cell r="B8">
            <v>35</v>
          </cell>
        </row>
        <row r="9">
          <cell r="B9">
            <v>35</v>
          </cell>
        </row>
        <row r="10">
          <cell r="B10">
            <v>3501</v>
          </cell>
        </row>
        <row r="11">
          <cell r="B11">
            <v>3501</v>
          </cell>
        </row>
        <row r="12">
          <cell r="B12">
            <v>36</v>
          </cell>
        </row>
        <row r="13">
          <cell r="B13">
            <v>36</v>
          </cell>
        </row>
        <row r="14">
          <cell r="B14">
            <v>3601</v>
          </cell>
        </row>
        <row r="15">
          <cell r="B15">
            <v>3601</v>
          </cell>
        </row>
        <row r="16">
          <cell r="B16">
            <v>37</v>
          </cell>
        </row>
        <row r="17">
          <cell r="B17">
            <v>37</v>
          </cell>
        </row>
        <row r="18">
          <cell r="B18">
            <v>38</v>
          </cell>
        </row>
        <row r="19">
          <cell r="B19">
            <v>38</v>
          </cell>
        </row>
        <row r="20">
          <cell r="B20">
            <v>39</v>
          </cell>
        </row>
        <row r="21">
          <cell r="B21">
            <v>40</v>
          </cell>
        </row>
        <row r="22">
          <cell r="B22">
            <v>42</v>
          </cell>
        </row>
        <row r="23">
          <cell r="B23">
            <v>4401</v>
          </cell>
        </row>
        <row r="24">
          <cell r="B24">
            <v>4402</v>
          </cell>
        </row>
        <row r="25">
          <cell r="B25">
            <v>46</v>
          </cell>
        </row>
        <row r="26">
          <cell r="B26">
            <v>49</v>
          </cell>
        </row>
        <row r="27">
          <cell r="B27">
            <v>50</v>
          </cell>
        </row>
        <row r="28">
          <cell r="B28">
            <v>51</v>
          </cell>
        </row>
        <row r="29">
          <cell r="B29">
            <v>53</v>
          </cell>
        </row>
        <row r="30">
          <cell r="B30">
            <v>5401</v>
          </cell>
        </row>
        <row r="31">
          <cell r="B31">
            <v>55</v>
          </cell>
        </row>
        <row r="32">
          <cell r="B32">
            <v>56</v>
          </cell>
        </row>
        <row r="33">
          <cell r="B33">
            <v>57</v>
          </cell>
        </row>
        <row r="34">
          <cell r="B34">
            <v>59</v>
          </cell>
        </row>
        <row r="35">
          <cell r="B35">
            <v>6001</v>
          </cell>
        </row>
        <row r="36">
          <cell r="B36">
            <v>61</v>
          </cell>
        </row>
        <row r="37">
          <cell r="B37">
            <v>62</v>
          </cell>
        </row>
        <row r="38">
          <cell r="B38">
            <v>6201</v>
          </cell>
        </row>
        <row r="39">
          <cell r="B39">
            <v>63</v>
          </cell>
        </row>
        <row r="40">
          <cell r="B40">
            <v>64</v>
          </cell>
        </row>
        <row r="41">
          <cell r="B41">
            <v>65</v>
          </cell>
        </row>
        <row r="42">
          <cell r="B42">
            <v>66</v>
          </cell>
        </row>
        <row r="43">
          <cell r="B43">
            <v>67</v>
          </cell>
        </row>
        <row r="44">
          <cell r="B44">
            <v>68</v>
          </cell>
        </row>
        <row r="45">
          <cell r="B45">
            <v>69</v>
          </cell>
        </row>
        <row r="46">
          <cell r="B46">
            <v>71</v>
          </cell>
        </row>
        <row r="47">
          <cell r="B47">
            <v>1071</v>
          </cell>
        </row>
        <row r="48">
          <cell r="B48">
            <v>72</v>
          </cell>
        </row>
        <row r="49">
          <cell r="B49">
            <v>74</v>
          </cell>
        </row>
        <row r="50">
          <cell r="B50">
            <v>75</v>
          </cell>
        </row>
        <row r="51">
          <cell r="B51">
            <v>76</v>
          </cell>
        </row>
        <row r="52">
          <cell r="B52">
            <v>77</v>
          </cell>
        </row>
        <row r="53">
          <cell r="B53">
            <v>79</v>
          </cell>
        </row>
        <row r="54">
          <cell r="B54">
            <v>81</v>
          </cell>
        </row>
        <row r="55">
          <cell r="B55">
            <v>83</v>
          </cell>
        </row>
        <row r="56">
          <cell r="B56">
            <v>85</v>
          </cell>
        </row>
        <row r="57">
          <cell r="B57">
            <v>86</v>
          </cell>
        </row>
        <row r="58">
          <cell r="B58">
            <v>8601</v>
          </cell>
        </row>
        <row r="59">
          <cell r="B59">
            <v>8602</v>
          </cell>
        </row>
        <row r="60">
          <cell r="B60">
            <v>88</v>
          </cell>
        </row>
        <row r="61">
          <cell r="B61">
            <v>89</v>
          </cell>
        </row>
        <row r="62">
          <cell r="B62">
            <v>8901</v>
          </cell>
        </row>
        <row r="63">
          <cell r="B63">
            <v>8902</v>
          </cell>
        </row>
        <row r="64">
          <cell r="B64">
            <v>8902</v>
          </cell>
        </row>
        <row r="65">
          <cell r="B65">
            <v>9501</v>
          </cell>
        </row>
        <row r="66">
          <cell r="B66">
            <v>11701</v>
          </cell>
        </row>
        <row r="67">
          <cell r="B67">
            <v>11701</v>
          </cell>
        </row>
        <row r="68">
          <cell r="B68">
            <v>11702</v>
          </cell>
        </row>
        <row r="69">
          <cell r="B69">
            <v>11703</v>
          </cell>
        </row>
        <row r="70">
          <cell r="B70">
            <v>11704</v>
          </cell>
        </row>
        <row r="71">
          <cell r="B71">
            <v>11801</v>
          </cell>
        </row>
        <row r="72">
          <cell r="B72">
            <v>11802</v>
          </cell>
        </row>
        <row r="73">
          <cell r="B73">
            <v>11803</v>
          </cell>
        </row>
        <row r="74">
          <cell r="B74">
            <v>11901</v>
          </cell>
        </row>
        <row r="75">
          <cell r="B75">
            <v>11902</v>
          </cell>
        </row>
        <row r="76">
          <cell r="B76">
            <v>11903</v>
          </cell>
        </row>
        <row r="77">
          <cell r="B77">
            <v>126</v>
          </cell>
        </row>
        <row r="78">
          <cell r="B78">
            <v>12701</v>
          </cell>
        </row>
        <row r="79">
          <cell r="B79">
            <v>128</v>
          </cell>
        </row>
        <row r="80">
          <cell r="B80">
            <v>12801</v>
          </cell>
        </row>
        <row r="81">
          <cell r="B81">
            <v>130</v>
          </cell>
        </row>
        <row r="82">
          <cell r="B82">
            <v>13001</v>
          </cell>
        </row>
        <row r="83">
          <cell r="B83">
            <v>13001</v>
          </cell>
        </row>
        <row r="84">
          <cell r="B84">
            <v>13002</v>
          </cell>
        </row>
        <row r="85">
          <cell r="B85">
            <v>13002</v>
          </cell>
        </row>
        <row r="86">
          <cell r="B86">
            <v>13002</v>
          </cell>
        </row>
        <row r="87">
          <cell r="B87">
            <v>13101</v>
          </cell>
        </row>
        <row r="88">
          <cell r="B88">
            <v>13101</v>
          </cell>
        </row>
        <row r="89">
          <cell r="B89">
            <v>13101</v>
          </cell>
        </row>
        <row r="90">
          <cell r="B90">
            <v>132</v>
          </cell>
        </row>
        <row r="91">
          <cell r="B91">
            <v>13301</v>
          </cell>
        </row>
        <row r="92">
          <cell r="B92">
            <v>13301</v>
          </cell>
        </row>
        <row r="93">
          <cell r="B93">
            <v>13301</v>
          </cell>
        </row>
        <row r="94">
          <cell r="B94">
            <v>13301</v>
          </cell>
        </row>
        <row r="95">
          <cell r="B95">
            <v>134</v>
          </cell>
        </row>
        <row r="96">
          <cell r="B96">
            <v>136</v>
          </cell>
        </row>
        <row r="97">
          <cell r="B97">
            <v>139</v>
          </cell>
        </row>
        <row r="98">
          <cell r="B98">
            <v>140</v>
          </cell>
        </row>
        <row r="99">
          <cell r="B99">
            <v>14001</v>
          </cell>
        </row>
        <row r="100">
          <cell r="B100">
            <v>141</v>
          </cell>
        </row>
        <row r="101">
          <cell r="B101">
            <v>10141</v>
          </cell>
        </row>
        <row r="102">
          <cell r="B102">
            <v>14201</v>
          </cell>
        </row>
        <row r="103">
          <cell r="B103">
            <v>14301</v>
          </cell>
        </row>
        <row r="104">
          <cell r="B104">
            <v>14301</v>
          </cell>
        </row>
        <row r="105">
          <cell r="B105">
            <v>14301</v>
          </cell>
        </row>
        <row r="106">
          <cell r="B106">
            <v>146</v>
          </cell>
        </row>
        <row r="107">
          <cell r="B107">
            <v>14601</v>
          </cell>
        </row>
        <row r="108">
          <cell r="B108">
            <v>14601</v>
          </cell>
        </row>
        <row r="109">
          <cell r="B109">
            <v>14601</v>
          </cell>
        </row>
        <row r="110">
          <cell r="B110">
            <v>148</v>
          </cell>
        </row>
        <row r="111">
          <cell r="B111">
            <v>148</v>
          </cell>
        </row>
        <row r="112">
          <cell r="B112">
            <v>149</v>
          </cell>
        </row>
        <row r="113">
          <cell r="B113">
            <v>149</v>
          </cell>
        </row>
        <row r="114">
          <cell r="B114">
            <v>151</v>
          </cell>
        </row>
        <row r="115">
          <cell r="B115">
            <v>151</v>
          </cell>
        </row>
        <row r="116">
          <cell r="B116">
            <v>152</v>
          </cell>
        </row>
        <row r="117">
          <cell r="B117">
            <v>152</v>
          </cell>
        </row>
        <row r="118">
          <cell r="B118">
            <v>153</v>
          </cell>
        </row>
        <row r="119">
          <cell r="B119">
            <v>153</v>
          </cell>
        </row>
        <row r="120">
          <cell r="B120">
            <v>153</v>
          </cell>
        </row>
        <row r="121">
          <cell r="B121">
            <v>154</v>
          </cell>
        </row>
        <row r="122">
          <cell r="B122">
            <v>15501</v>
          </cell>
        </row>
        <row r="123">
          <cell r="B123">
            <v>15501</v>
          </cell>
        </row>
        <row r="124">
          <cell r="B124">
            <v>15501</v>
          </cell>
        </row>
        <row r="125">
          <cell r="B125">
            <v>156</v>
          </cell>
        </row>
        <row r="126">
          <cell r="B126">
            <v>156</v>
          </cell>
        </row>
        <row r="127">
          <cell r="B127">
            <v>15601</v>
          </cell>
        </row>
        <row r="128">
          <cell r="B128">
            <v>157</v>
          </cell>
        </row>
        <row r="129">
          <cell r="B129">
            <v>160</v>
          </cell>
        </row>
        <row r="130">
          <cell r="B130">
            <v>16101</v>
          </cell>
        </row>
        <row r="131">
          <cell r="B131">
            <v>16101</v>
          </cell>
        </row>
        <row r="132">
          <cell r="B132">
            <v>16101</v>
          </cell>
        </row>
        <row r="133">
          <cell r="B133">
            <v>16101</v>
          </cell>
        </row>
        <row r="134">
          <cell r="B134">
            <v>16201</v>
          </cell>
        </row>
        <row r="135">
          <cell r="B135">
            <v>16301</v>
          </cell>
        </row>
        <row r="136">
          <cell r="B136">
            <v>16302</v>
          </cell>
        </row>
        <row r="137">
          <cell r="B137">
            <v>16302</v>
          </cell>
        </row>
        <row r="138">
          <cell r="B138">
            <v>164</v>
          </cell>
        </row>
        <row r="139">
          <cell r="B139">
            <v>164</v>
          </cell>
        </row>
        <row r="140">
          <cell r="B140">
            <v>16501</v>
          </cell>
        </row>
        <row r="141">
          <cell r="B141">
            <v>16502</v>
          </cell>
        </row>
        <row r="142">
          <cell r="B142">
            <v>169</v>
          </cell>
        </row>
        <row r="143">
          <cell r="B143">
            <v>172</v>
          </cell>
        </row>
        <row r="144">
          <cell r="B144">
            <v>17001</v>
          </cell>
        </row>
        <row r="145">
          <cell r="B145">
            <v>17001</v>
          </cell>
        </row>
        <row r="146">
          <cell r="B146">
            <v>17001</v>
          </cell>
        </row>
        <row r="147">
          <cell r="B147">
            <v>17001</v>
          </cell>
        </row>
        <row r="148">
          <cell r="B148">
            <v>17101</v>
          </cell>
        </row>
        <row r="149">
          <cell r="B149">
            <v>17102</v>
          </cell>
        </row>
        <row r="150">
          <cell r="B150">
            <v>17102</v>
          </cell>
        </row>
        <row r="151">
          <cell r="B151">
            <v>17102</v>
          </cell>
        </row>
        <row r="152">
          <cell r="B152">
            <v>17102</v>
          </cell>
        </row>
        <row r="153">
          <cell r="B153">
            <v>17601</v>
          </cell>
        </row>
        <row r="154">
          <cell r="B154">
            <v>17601</v>
          </cell>
        </row>
        <row r="155">
          <cell r="B155">
            <v>178</v>
          </cell>
        </row>
        <row r="156">
          <cell r="B156">
            <v>17801</v>
          </cell>
        </row>
        <row r="157">
          <cell r="B157">
            <v>182</v>
          </cell>
        </row>
        <row r="158">
          <cell r="B158">
            <v>18201</v>
          </cell>
        </row>
        <row r="159">
          <cell r="B159">
            <v>18201</v>
          </cell>
        </row>
        <row r="160">
          <cell r="B160">
            <v>184</v>
          </cell>
        </row>
        <row r="161">
          <cell r="B161">
            <v>185</v>
          </cell>
        </row>
        <row r="162">
          <cell r="B162">
            <v>18501</v>
          </cell>
        </row>
        <row r="163">
          <cell r="B163">
            <v>18501</v>
          </cell>
        </row>
        <row r="164">
          <cell r="B164">
            <v>18502</v>
          </cell>
        </row>
        <row r="165">
          <cell r="B165">
            <v>18502</v>
          </cell>
        </row>
        <row r="166">
          <cell r="B166">
            <v>18502</v>
          </cell>
        </row>
        <row r="167">
          <cell r="B167">
            <v>187</v>
          </cell>
        </row>
        <row r="168">
          <cell r="B168">
            <v>18701</v>
          </cell>
        </row>
        <row r="169">
          <cell r="B169">
            <v>18801</v>
          </cell>
        </row>
        <row r="170">
          <cell r="B170">
            <v>18801</v>
          </cell>
        </row>
        <row r="171">
          <cell r="B171">
            <v>18801</v>
          </cell>
        </row>
        <row r="172">
          <cell r="B172">
            <v>18801</v>
          </cell>
        </row>
        <row r="173">
          <cell r="B173">
            <v>18801</v>
          </cell>
        </row>
        <row r="174">
          <cell r="B174">
            <v>193</v>
          </cell>
        </row>
        <row r="175">
          <cell r="B175">
            <v>194</v>
          </cell>
        </row>
        <row r="176">
          <cell r="B176">
            <v>197</v>
          </cell>
        </row>
        <row r="177">
          <cell r="B177">
            <v>198</v>
          </cell>
        </row>
        <row r="178">
          <cell r="B178">
            <v>197</v>
          </cell>
        </row>
        <row r="179">
          <cell r="B179">
            <v>198</v>
          </cell>
        </row>
        <row r="180">
          <cell r="B180">
            <v>10197</v>
          </cell>
        </row>
        <row r="181">
          <cell r="B181">
            <v>199</v>
          </cell>
        </row>
        <row r="182">
          <cell r="B182">
            <v>200</v>
          </cell>
        </row>
        <row r="183">
          <cell r="B183">
            <v>20001</v>
          </cell>
        </row>
        <row r="184">
          <cell r="B184">
            <v>20001</v>
          </cell>
        </row>
        <row r="185">
          <cell r="B185">
            <v>202</v>
          </cell>
        </row>
        <row r="186">
          <cell r="B186">
            <v>20201</v>
          </cell>
        </row>
        <row r="187">
          <cell r="B187">
            <v>20201</v>
          </cell>
        </row>
        <row r="188">
          <cell r="B188">
            <v>203</v>
          </cell>
        </row>
        <row r="189">
          <cell r="B189">
            <v>20501</v>
          </cell>
        </row>
        <row r="190">
          <cell r="B190">
            <v>20501</v>
          </cell>
        </row>
        <row r="191">
          <cell r="B191">
            <v>206</v>
          </cell>
        </row>
        <row r="192">
          <cell r="B192">
            <v>20801</v>
          </cell>
        </row>
        <row r="193">
          <cell r="B193">
            <v>211</v>
          </cell>
        </row>
        <row r="194">
          <cell r="B194">
            <v>212</v>
          </cell>
        </row>
        <row r="195">
          <cell r="B195">
            <v>215</v>
          </cell>
        </row>
        <row r="196">
          <cell r="B196">
            <v>215</v>
          </cell>
        </row>
        <row r="197">
          <cell r="B197">
            <v>21701</v>
          </cell>
        </row>
        <row r="198">
          <cell r="B198">
            <v>21702</v>
          </cell>
        </row>
        <row r="199">
          <cell r="B199">
            <v>21801</v>
          </cell>
        </row>
        <row r="200">
          <cell r="B200">
            <v>219</v>
          </cell>
        </row>
        <row r="201">
          <cell r="B201">
            <v>22001</v>
          </cell>
        </row>
        <row r="202">
          <cell r="B202">
            <v>22001</v>
          </cell>
        </row>
        <row r="203">
          <cell r="B203">
            <v>22001</v>
          </cell>
        </row>
        <row r="204">
          <cell r="B204">
            <v>22001</v>
          </cell>
        </row>
        <row r="205">
          <cell r="B205">
            <v>22101</v>
          </cell>
        </row>
        <row r="206">
          <cell r="B206">
            <v>224</v>
          </cell>
        </row>
        <row r="207">
          <cell r="B207">
            <v>224</v>
          </cell>
        </row>
        <row r="208">
          <cell r="B208">
            <v>22601</v>
          </cell>
        </row>
        <row r="209">
          <cell r="B209">
            <v>22601</v>
          </cell>
        </row>
        <row r="210">
          <cell r="B210">
            <v>229</v>
          </cell>
        </row>
        <row r="211">
          <cell r="B211">
            <v>22901</v>
          </cell>
        </row>
        <row r="212">
          <cell r="B212">
            <v>230</v>
          </cell>
        </row>
        <row r="213">
          <cell r="B213">
            <v>231</v>
          </cell>
        </row>
        <row r="214">
          <cell r="B214">
            <v>232</v>
          </cell>
        </row>
        <row r="215">
          <cell r="B215">
            <v>233</v>
          </cell>
        </row>
        <row r="216">
          <cell r="B216">
            <v>23601</v>
          </cell>
        </row>
        <row r="217">
          <cell r="B217">
            <v>241</v>
          </cell>
        </row>
        <row r="218">
          <cell r="B218">
            <v>24201</v>
          </cell>
        </row>
        <row r="219">
          <cell r="B219">
            <v>24201</v>
          </cell>
        </row>
        <row r="220">
          <cell r="B220">
            <v>24202</v>
          </cell>
        </row>
        <row r="221">
          <cell r="B221">
            <v>24202</v>
          </cell>
        </row>
        <row r="222">
          <cell r="B222">
            <v>24701</v>
          </cell>
        </row>
        <row r="223">
          <cell r="B223">
            <v>24801</v>
          </cell>
        </row>
        <row r="224">
          <cell r="B224">
            <v>24802</v>
          </cell>
        </row>
        <row r="225">
          <cell r="B225">
            <v>25001</v>
          </cell>
        </row>
        <row r="226">
          <cell r="B226">
            <v>25201</v>
          </cell>
        </row>
        <row r="227">
          <cell r="B227">
            <v>25202</v>
          </cell>
        </row>
        <row r="228">
          <cell r="B228">
            <v>25203</v>
          </cell>
        </row>
        <row r="229">
          <cell r="B229">
            <v>254</v>
          </cell>
        </row>
        <row r="230">
          <cell r="B230">
            <v>254</v>
          </cell>
        </row>
        <row r="231">
          <cell r="B231">
            <v>256</v>
          </cell>
        </row>
        <row r="232">
          <cell r="B232">
            <v>257</v>
          </cell>
        </row>
        <row r="233">
          <cell r="B233">
            <v>317</v>
          </cell>
        </row>
        <row r="234">
          <cell r="B234">
            <v>317</v>
          </cell>
        </row>
        <row r="235">
          <cell r="B235">
            <v>317</v>
          </cell>
        </row>
        <row r="236">
          <cell r="B236">
            <v>317</v>
          </cell>
        </row>
        <row r="237">
          <cell r="B237">
            <v>317</v>
          </cell>
        </row>
        <row r="238">
          <cell r="B238">
            <v>317</v>
          </cell>
        </row>
        <row r="239">
          <cell r="B239">
            <v>317</v>
          </cell>
        </row>
        <row r="240">
          <cell r="B240">
            <v>319</v>
          </cell>
        </row>
        <row r="241">
          <cell r="B241">
            <v>319</v>
          </cell>
        </row>
        <row r="242">
          <cell r="B242">
            <v>319</v>
          </cell>
        </row>
        <row r="243">
          <cell r="B243">
            <v>319</v>
          </cell>
        </row>
        <row r="244">
          <cell r="B244">
            <v>319</v>
          </cell>
        </row>
        <row r="245">
          <cell r="B245">
            <v>319</v>
          </cell>
        </row>
        <row r="246">
          <cell r="B246">
            <v>3571</v>
          </cell>
        </row>
        <row r="247">
          <cell r="B247">
            <v>2666</v>
          </cell>
        </row>
        <row r="248">
          <cell r="B248">
            <v>20011</v>
          </cell>
        </row>
        <row r="249">
          <cell r="B249">
            <v>263</v>
          </cell>
        </row>
        <row r="250">
          <cell r="B250">
            <v>266</v>
          </cell>
        </row>
        <row r="251">
          <cell r="B251">
            <v>272</v>
          </cell>
        </row>
        <row r="252">
          <cell r="B252">
            <v>272</v>
          </cell>
        </row>
        <row r="253">
          <cell r="B253">
            <v>272</v>
          </cell>
        </row>
        <row r="254">
          <cell r="B254">
            <v>272</v>
          </cell>
        </row>
        <row r="255">
          <cell r="B255">
            <v>274</v>
          </cell>
        </row>
        <row r="256">
          <cell r="B256">
            <v>275</v>
          </cell>
        </row>
        <row r="257">
          <cell r="B257">
            <v>275</v>
          </cell>
        </row>
        <row r="258">
          <cell r="B258">
            <v>268</v>
          </cell>
        </row>
        <row r="259">
          <cell r="B259">
            <v>264</v>
          </cell>
        </row>
        <row r="260">
          <cell r="B260">
            <v>270</v>
          </cell>
        </row>
        <row r="261">
          <cell r="B261">
            <v>271</v>
          </cell>
        </row>
        <row r="262">
          <cell r="B262">
            <v>271</v>
          </cell>
        </row>
        <row r="263">
          <cell r="B263">
            <v>276</v>
          </cell>
        </row>
        <row r="264">
          <cell r="B264">
            <v>276</v>
          </cell>
        </row>
        <row r="265">
          <cell r="B265">
            <v>277</v>
          </cell>
        </row>
        <row r="266">
          <cell r="B266">
            <v>277</v>
          </cell>
        </row>
        <row r="267">
          <cell r="B267">
            <v>277</v>
          </cell>
        </row>
        <row r="268">
          <cell r="B268">
            <v>1063</v>
          </cell>
        </row>
        <row r="269">
          <cell r="B269">
            <v>1055</v>
          </cell>
        </row>
        <row r="270">
          <cell r="B270">
            <v>2063</v>
          </cell>
        </row>
        <row r="271">
          <cell r="B271">
            <v>1123</v>
          </cell>
        </row>
        <row r="272">
          <cell r="B272">
            <v>1221</v>
          </cell>
        </row>
        <row r="273">
          <cell r="B273">
            <v>1221</v>
          </cell>
        </row>
        <row r="274">
          <cell r="B274">
            <v>1211</v>
          </cell>
        </row>
        <row r="275">
          <cell r="B275">
            <v>1231</v>
          </cell>
        </row>
        <row r="276">
          <cell r="B276">
            <v>1045</v>
          </cell>
        </row>
        <row r="277">
          <cell r="B277">
            <v>278</v>
          </cell>
        </row>
        <row r="278">
          <cell r="B278">
            <v>278</v>
          </cell>
        </row>
        <row r="279">
          <cell r="B279">
            <v>279</v>
          </cell>
        </row>
        <row r="280">
          <cell r="B280">
            <v>279</v>
          </cell>
        </row>
        <row r="281">
          <cell r="B281">
            <v>13501</v>
          </cell>
        </row>
        <row r="282">
          <cell r="B282">
            <v>13501</v>
          </cell>
        </row>
        <row r="283">
          <cell r="B283">
            <v>13501</v>
          </cell>
        </row>
        <row r="284">
          <cell r="B284">
            <v>13501</v>
          </cell>
        </row>
        <row r="285">
          <cell r="B285">
            <v>13501</v>
          </cell>
        </row>
        <row r="286">
          <cell r="B286">
            <v>192</v>
          </cell>
        </row>
        <row r="287">
          <cell r="B287">
            <v>266</v>
          </cell>
        </row>
        <row r="288">
          <cell r="B288">
            <v>266</v>
          </cell>
        </row>
        <row r="289">
          <cell r="B289">
            <v>266</v>
          </cell>
        </row>
        <row r="290">
          <cell r="B290">
            <v>266</v>
          </cell>
        </row>
        <row r="291">
          <cell r="B291">
            <v>28201</v>
          </cell>
        </row>
        <row r="292">
          <cell r="B292">
            <v>28202</v>
          </cell>
        </row>
        <row r="293">
          <cell r="B293">
            <v>28201</v>
          </cell>
        </row>
        <row r="294">
          <cell r="B294">
            <v>28202</v>
          </cell>
        </row>
        <row r="295">
          <cell r="B295">
            <v>28202</v>
          </cell>
        </row>
        <row r="296">
          <cell r="B296">
            <v>13201</v>
          </cell>
        </row>
        <row r="297">
          <cell r="B297">
            <v>286</v>
          </cell>
        </row>
        <row r="298">
          <cell r="B298">
            <v>286</v>
          </cell>
        </row>
        <row r="299">
          <cell r="B299">
            <v>286</v>
          </cell>
        </row>
        <row r="300">
          <cell r="B300">
            <v>22401</v>
          </cell>
        </row>
        <row r="301">
          <cell r="B301">
            <v>22401</v>
          </cell>
        </row>
        <row r="302">
          <cell r="B302">
            <v>22401</v>
          </cell>
        </row>
        <row r="303">
          <cell r="B303">
            <v>22401</v>
          </cell>
        </row>
        <row r="304">
          <cell r="B304">
            <v>20601</v>
          </cell>
        </row>
        <row r="305">
          <cell r="B305">
            <v>20601</v>
          </cell>
        </row>
        <row r="306">
          <cell r="B306">
            <v>20901</v>
          </cell>
        </row>
        <row r="307">
          <cell r="B307">
            <v>20901</v>
          </cell>
        </row>
        <row r="308">
          <cell r="B308">
            <v>20901</v>
          </cell>
        </row>
        <row r="309">
          <cell r="B309">
            <v>20901</v>
          </cell>
        </row>
        <row r="310">
          <cell r="B310">
            <v>20901</v>
          </cell>
        </row>
        <row r="311">
          <cell r="B311">
            <v>19101</v>
          </cell>
        </row>
        <row r="312">
          <cell r="B312">
            <v>19101</v>
          </cell>
        </row>
        <row r="313">
          <cell r="B313">
            <v>19101</v>
          </cell>
        </row>
        <row r="314">
          <cell r="B314">
            <v>19101</v>
          </cell>
        </row>
        <row r="315">
          <cell r="B315">
            <v>19101</v>
          </cell>
        </row>
        <row r="316">
          <cell r="B316">
            <v>19101</v>
          </cell>
        </row>
        <row r="317">
          <cell r="B317">
            <v>12901</v>
          </cell>
        </row>
        <row r="318">
          <cell r="B318">
            <v>12901</v>
          </cell>
        </row>
        <row r="319">
          <cell r="B319">
            <v>29001</v>
          </cell>
        </row>
        <row r="320">
          <cell r="B320">
            <v>29001</v>
          </cell>
        </row>
        <row r="321">
          <cell r="B321">
            <v>29001</v>
          </cell>
        </row>
        <row r="322">
          <cell r="B322">
            <v>29002</v>
          </cell>
        </row>
        <row r="323">
          <cell r="B323">
            <v>29002</v>
          </cell>
        </row>
        <row r="324">
          <cell r="B324">
            <v>29002</v>
          </cell>
        </row>
        <row r="325">
          <cell r="B325">
            <v>29002</v>
          </cell>
        </row>
        <row r="326">
          <cell r="B326">
            <v>292</v>
          </cell>
        </row>
        <row r="327">
          <cell r="B327">
            <v>292</v>
          </cell>
        </row>
        <row r="328">
          <cell r="B328">
            <v>29201</v>
          </cell>
        </row>
        <row r="329">
          <cell r="B329">
            <v>29201</v>
          </cell>
        </row>
        <row r="330">
          <cell r="B330">
            <v>29201</v>
          </cell>
        </row>
        <row r="331">
          <cell r="B331">
            <v>293</v>
          </cell>
        </row>
        <row r="332">
          <cell r="B332">
            <v>293</v>
          </cell>
        </row>
        <row r="333">
          <cell r="B333">
            <v>293</v>
          </cell>
        </row>
        <row r="334">
          <cell r="B334">
            <v>293</v>
          </cell>
        </row>
        <row r="335">
          <cell r="B335">
            <v>297</v>
          </cell>
        </row>
        <row r="336">
          <cell r="B336">
            <v>29701</v>
          </cell>
        </row>
        <row r="337">
          <cell r="B337">
            <v>29701</v>
          </cell>
        </row>
        <row r="338">
          <cell r="B338">
            <v>29701</v>
          </cell>
        </row>
        <row r="339">
          <cell r="B339">
            <v>29701</v>
          </cell>
        </row>
        <row r="340">
          <cell r="B340">
            <v>29702</v>
          </cell>
        </row>
        <row r="341">
          <cell r="B341">
            <v>29702</v>
          </cell>
        </row>
        <row r="342">
          <cell r="B342">
            <v>29702</v>
          </cell>
        </row>
        <row r="343">
          <cell r="B343">
            <v>29702</v>
          </cell>
        </row>
        <row r="344">
          <cell r="B344">
            <v>29702</v>
          </cell>
        </row>
        <row r="345">
          <cell r="B345">
            <v>29703</v>
          </cell>
        </row>
        <row r="346">
          <cell r="B346">
            <v>29703</v>
          </cell>
        </row>
        <row r="347">
          <cell r="B347">
            <v>29703</v>
          </cell>
        </row>
        <row r="348">
          <cell r="B348">
            <v>29704</v>
          </cell>
        </row>
        <row r="349">
          <cell r="B349">
            <v>29704</v>
          </cell>
        </row>
        <row r="350">
          <cell r="B350">
            <v>29704</v>
          </cell>
        </row>
        <row r="351">
          <cell r="B351">
            <v>29704</v>
          </cell>
        </row>
        <row r="352">
          <cell r="B352">
            <v>29704</v>
          </cell>
        </row>
        <row r="353">
          <cell r="B353">
            <v>29704</v>
          </cell>
        </row>
        <row r="354">
          <cell r="B354">
            <v>29705</v>
          </cell>
        </row>
        <row r="355">
          <cell r="B355">
            <v>29705</v>
          </cell>
        </row>
        <row r="356">
          <cell r="B356">
            <v>29705</v>
          </cell>
        </row>
        <row r="357">
          <cell r="B357">
            <v>29705</v>
          </cell>
        </row>
        <row r="358">
          <cell r="B358">
            <v>29705</v>
          </cell>
        </row>
        <row r="359">
          <cell r="B359">
            <v>29705</v>
          </cell>
        </row>
        <row r="360">
          <cell r="B360">
            <v>14101</v>
          </cell>
        </row>
        <row r="361">
          <cell r="B361">
            <v>3301</v>
          </cell>
        </row>
        <row r="362">
          <cell r="B362">
            <v>15101</v>
          </cell>
        </row>
        <row r="363">
          <cell r="B363">
            <v>15101</v>
          </cell>
        </row>
        <row r="364">
          <cell r="B364">
            <v>15101</v>
          </cell>
        </row>
        <row r="365">
          <cell r="B365">
            <v>15101</v>
          </cell>
        </row>
        <row r="366">
          <cell r="B366">
            <v>28701</v>
          </cell>
        </row>
        <row r="367">
          <cell r="B367">
            <v>28701</v>
          </cell>
        </row>
        <row r="368">
          <cell r="B368">
            <v>28701</v>
          </cell>
        </row>
        <row r="369">
          <cell r="B369">
            <v>294</v>
          </cell>
        </row>
        <row r="370">
          <cell r="B370">
            <v>29401</v>
          </cell>
        </row>
        <row r="371">
          <cell r="B371">
            <v>29401</v>
          </cell>
        </row>
        <row r="372">
          <cell r="B372">
            <v>295</v>
          </cell>
        </row>
        <row r="373">
          <cell r="B373">
            <v>295</v>
          </cell>
        </row>
        <row r="374">
          <cell r="B374">
            <v>30401</v>
          </cell>
        </row>
        <row r="375">
          <cell r="B375">
            <v>30401</v>
          </cell>
        </row>
        <row r="376">
          <cell r="B376">
            <v>30401</v>
          </cell>
        </row>
        <row r="377">
          <cell r="B377">
            <v>30401</v>
          </cell>
        </row>
        <row r="378">
          <cell r="B378">
            <v>30401</v>
          </cell>
        </row>
        <row r="379">
          <cell r="B379">
            <v>30402</v>
          </cell>
        </row>
        <row r="380">
          <cell r="B380">
            <v>30402</v>
          </cell>
        </row>
        <row r="381">
          <cell r="B381">
            <v>30402</v>
          </cell>
        </row>
        <row r="382">
          <cell r="B382">
            <v>30402</v>
          </cell>
        </row>
        <row r="383">
          <cell r="B383">
            <v>30402</v>
          </cell>
        </row>
        <row r="384">
          <cell r="B384">
            <v>30501</v>
          </cell>
        </row>
        <row r="385">
          <cell r="B385">
            <v>30501</v>
          </cell>
        </row>
        <row r="386">
          <cell r="B386">
            <v>30501</v>
          </cell>
        </row>
        <row r="387">
          <cell r="B387">
            <v>30501</v>
          </cell>
        </row>
        <row r="388">
          <cell r="B388">
            <v>30501</v>
          </cell>
        </row>
        <row r="389">
          <cell r="B389">
            <v>30501</v>
          </cell>
        </row>
        <row r="390">
          <cell r="B390">
            <v>284</v>
          </cell>
        </row>
        <row r="391">
          <cell r="B391">
            <v>284</v>
          </cell>
        </row>
        <row r="392">
          <cell r="B392">
            <v>14202</v>
          </cell>
        </row>
        <row r="393">
          <cell r="B393">
            <v>12702</v>
          </cell>
        </row>
        <row r="394">
          <cell r="B394">
            <v>12702</v>
          </cell>
        </row>
        <row r="395">
          <cell r="B395">
            <v>14401</v>
          </cell>
        </row>
        <row r="396">
          <cell r="B396">
            <v>15201</v>
          </cell>
        </row>
        <row r="397">
          <cell r="B397">
            <v>15201</v>
          </cell>
        </row>
        <row r="398">
          <cell r="B398">
            <v>15201</v>
          </cell>
        </row>
        <row r="399">
          <cell r="B399">
            <v>15201</v>
          </cell>
        </row>
        <row r="400">
          <cell r="B400">
            <v>21201</v>
          </cell>
        </row>
        <row r="401">
          <cell r="B401">
            <v>21201</v>
          </cell>
        </row>
        <row r="402">
          <cell r="B402">
            <v>21201</v>
          </cell>
        </row>
        <row r="403">
          <cell r="B403">
            <v>18601</v>
          </cell>
        </row>
        <row r="404">
          <cell r="B404">
            <v>18601</v>
          </cell>
        </row>
        <row r="405">
          <cell r="B405">
            <v>18601</v>
          </cell>
        </row>
        <row r="406">
          <cell r="B406">
            <v>18601</v>
          </cell>
        </row>
        <row r="407">
          <cell r="B407">
            <v>18601</v>
          </cell>
        </row>
        <row r="408">
          <cell r="B408">
            <v>348</v>
          </cell>
        </row>
        <row r="409">
          <cell r="B409">
            <v>350</v>
          </cell>
        </row>
        <row r="410">
          <cell r="B410">
            <v>352</v>
          </cell>
        </row>
        <row r="411">
          <cell r="B411">
            <v>354</v>
          </cell>
        </row>
        <row r="412">
          <cell r="B412">
            <v>360</v>
          </cell>
        </row>
        <row r="413">
          <cell r="B413">
            <v>3611</v>
          </cell>
        </row>
        <row r="414">
          <cell r="B414">
            <v>362</v>
          </cell>
        </row>
        <row r="415">
          <cell r="B415">
            <v>3631</v>
          </cell>
        </row>
        <row r="416">
          <cell r="B416">
            <v>364</v>
          </cell>
        </row>
        <row r="417">
          <cell r="B417">
            <v>3651</v>
          </cell>
        </row>
        <row r="418">
          <cell r="B418">
            <v>366</v>
          </cell>
        </row>
        <row r="419">
          <cell r="B419">
            <v>3671</v>
          </cell>
        </row>
        <row r="420">
          <cell r="B420">
            <v>369</v>
          </cell>
        </row>
        <row r="421">
          <cell r="B421">
            <v>369</v>
          </cell>
        </row>
        <row r="422">
          <cell r="B422">
            <v>369</v>
          </cell>
        </row>
        <row r="423">
          <cell r="B423">
            <v>369</v>
          </cell>
        </row>
        <row r="424">
          <cell r="B424">
            <v>369</v>
          </cell>
        </row>
        <row r="425">
          <cell r="B425">
            <v>369</v>
          </cell>
        </row>
        <row r="426">
          <cell r="B426">
            <v>16401</v>
          </cell>
        </row>
        <row r="427">
          <cell r="B427">
            <v>16401</v>
          </cell>
        </row>
        <row r="428">
          <cell r="B428">
            <v>28801</v>
          </cell>
        </row>
        <row r="429">
          <cell r="B429">
            <v>28801</v>
          </cell>
        </row>
        <row r="430">
          <cell r="B430">
            <v>28801</v>
          </cell>
        </row>
        <row r="431">
          <cell r="B431">
            <v>28802</v>
          </cell>
        </row>
        <row r="432">
          <cell r="B432">
            <v>28803</v>
          </cell>
        </row>
        <row r="433">
          <cell r="B433">
            <v>28803</v>
          </cell>
        </row>
        <row r="434">
          <cell r="B434">
            <v>28804</v>
          </cell>
        </row>
        <row r="435">
          <cell r="B435">
            <v>28804</v>
          </cell>
        </row>
        <row r="436">
          <cell r="B436">
            <v>28804</v>
          </cell>
        </row>
        <row r="437">
          <cell r="B437">
            <v>28901</v>
          </cell>
        </row>
        <row r="438">
          <cell r="B438">
            <v>28901</v>
          </cell>
        </row>
        <row r="439">
          <cell r="B439">
            <v>28901</v>
          </cell>
        </row>
        <row r="440">
          <cell r="B440">
            <v>2701</v>
          </cell>
        </row>
        <row r="441">
          <cell r="B441">
            <v>2702</v>
          </cell>
        </row>
        <row r="442">
          <cell r="B442">
            <v>2701</v>
          </cell>
        </row>
        <row r="443">
          <cell r="B443">
            <v>2702</v>
          </cell>
        </row>
        <row r="444">
          <cell r="B444">
            <v>28001</v>
          </cell>
        </row>
        <row r="445">
          <cell r="B445">
            <v>28002</v>
          </cell>
        </row>
        <row r="446">
          <cell r="B446">
            <v>28002</v>
          </cell>
        </row>
        <row r="447">
          <cell r="B447">
            <v>28101</v>
          </cell>
        </row>
        <row r="448">
          <cell r="B448">
            <v>28101</v>
          </cell>
        </row>
        <row r="449">
          <cell r="B449">
            <v>6302</v>
          </cell>
        </row>
        <row r="450">
          <cell r="B450">
            <v>6302</v>
          </cell>
        </row>
        <row r="451">
          <cell r="B451">
            <v>6302</v>
          </cell>
        </row>
        <row r="452">
          <cell r="B452">
            <v>1301</v>
          </cell>
        </row>
        <row r="453">
          <cell r="B453">
            <v>4701</v>
          </cell>
        </row>
        <row r="454">
          <cell r="B454">
            <v>3302</v>
          </cell>
        </row>
        <row r="455">
          <cell r="B455">
            <v>3302</v>
          </cell>
        </row>
        <row r="456">
          <cell r="B456">
            <v>6301</v>
          </cell>
        </row>
        <row r="457">
          <cell r="B457">
            <v>6301</v>
          </cell>
        </row>
        <row r="458">
          <cell r="B458">
            <v>5701</v>
          </cell>
        </row>
        <row r="459">
          <cell r="B459">
            <v>5701</v>
          </cell>
        </row>
        <row r="460">
          <cell r="B460">
            <v>31202</v>
          </cell>
        </row>
        <row r="461">
          <cell r="B461">
            <v>31203</v>
          </cell>
        </row>
        <row r="462">
          <cell r="B462">
            <v>31203</v>
          </cell>
        </row>
        <row r="463">
          <cell r="B463">
            <v>31203</v>
          </cell>
        </row>
        <row r="464">
          <cell r="B464">
            <v>31204</v>
          </cell>
        </row>
        <row r="465">
          <cell r="B465">
            <v>31204</v>
          </cell>
        </row>
        <row r="466">
          <cell r="B466">
            <v>31204</v>
          </cell>
        </row>
        <row r="467">
          <cell r="B467">
            <v>31204</v>
          </cell>
        </row>
        <row r="468">
          <cell r="B468">
            <v>15202</v>
          </cell>
        </row>
        <row r="469">
          <cell r="B469">
            <v>15202</v>
          </cell>
        </row>
        <row r="470">
          <cell r="B470">
            <v>15202</v>
          </cell>
        </row>
        <row r="471">
          <cell r="B471">
            <v>13003</v>
          </cell>
        </row>
        <row r="472">
          <cell r="B472">
            <v>13003</v>
          </cell>
        </row>
        <row r="473">
          <cell r="B473">
            <v>13202</v>
          </cell>
        </row>
        <row r="474">
          <cell r="B474">
            <v>30601</v>
          </cell>
        </row>
        <row r="475">
          <cell r="B475">
            <v>30601</v>
          </cell>
        </row>
        <row r="476">
          <cell r="B476">
            <v>30603</v>
          </cell>
        </row>
        <row r="477">
          <cell r="B477">
            <v>30603</v>
          </cell>
        </row>
        <row r="478">
          <cell r="B478">
            <v>30601</v>
          </cell>
        </row>
        <row r="479">
          <cell r="B479">
            <v>30602</v>
          </cell>
        </row>
        <row r="480">
          <cell r="B480">
            <v>30602</v>
          </cell>
        </row>
        <row r="481">
          <cell r="B481">
            <v>30602</v>
          </cell>
        </row>
        <row r="482">
          <cell r="B482">
            <v>30602</v>
          </cell>
        </row>
      </sheetData>
      <sheetData sheetId="6"/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10"/>
  <sheetViews>
    <sheetView showGridLines="0" workbookViewId="0">
      <pane ySplit="1" topLeftCell="A2" activePane="bottomLeft" state="frozen"/>
      <selection activeCell="V2" sqref="V2:X34"/>
      <selection pane="bottomLeft" activeCell="G24" sqref="G24"/>
    </sheetView>
  </sheetViews>
  <sheetFormatPr baseColWidth="12" defaultColWidth="13" defaultRowHeight="21" customHeight="1" outlineLevelCol="1" x14ac:dyDescent="0.15"/>
  <cols>
    <col min="1" max="1" width="8.83203125" style="30" bestFit="1" customWidth="1"/>
    <col min="2" max="2" width="5" style="30" bestFit="1" customWidth="1"/>
    <col min="3" max="3" width="7.1640625" style="4" bestFit="1" customWidth="1"/>
    <col min="4" max="4" width="16.5" style="4" customWidth="1" outlineLevel="1"/>
    <col min="5" max="5" width="21.6640625" style="4" customWidth="1" outlineLevel="1"/>
    <col min="6" max="6" width="7" style="4" bestFit="1" customWidth="1"/>
    <col min="7" max="7" width="8.83203125" style="30" customWidth="1" outlineLevel="1"/>
    <col min="8" max="8" width="16.1640625" style="4" customWidth="1" outlineLevel="1"/>
    <col min="9" max="9" width="6.5" style="4" bestFit="1" customWidth="1"/>
    <col min="10" max="10" width="11" style="4" bestFit="1" customWidth="1"/>
    <col min="11" max="11" width="11.33203125" style="4" bestFit="1" customWidth="1"/>
    <col min="12" max="16384" width="13" style="4"/>
  </cols>
  <sheetData>
    <row r="1" spans="1:11" ht="21" customHeight="1" x14ac:dyDescent="0.15">
      <c r="A1" s="21" t="s">
        <v>18</v>
      </c>
      <c r="B1" s="21" t="s">
        <v>23</v>
      </c>
      <c r="C1" s="1" t="s">
        <v>0</v>
      </c>
      <c r="D1" s="2" t="s">
        <v>15</v>
      </c>
      <c r="E1" s="20" t="s">
        <v>21</v>
      </c>
      <c r="F1" s="1" t="s">
        <v>1</v>
      </c>
      <c r="G1" s="32" t="s">
        <v>20</v>
      </c>
      <c r="H1" s="20" t="s">
        <v>22</v>
      </c>
      <c r="I1" s="1" t="s">
        <v>12</v>
      </c>
      <c r="J1" s="1" t="s">
        <v>13</v>
      </c>
      <c r="K1" s="1" t="s">
        <v>14</v>
      </c>
    </row>
    <row r="2" spans="1:11" ht="21" customHeight="1" x14ac:dyDescent="0.15">
      <c r="A2" s="21" t="str">
        <f t="shared" ref="A2:A5" si="0">G2&amp;"-"&amp;I2</f>
        <v>11207_1-1</v>
      </c>
      <c r="B2" s="21" t="str">
        <f>IF(COUNTIF(enemy_habitats_cp_quests2_1!$H:$H,A2),"OK","NG")</f>
        <v>OK</v>
      </c>
      <c r="C2" s="8">
        <v>11207</v>
      </c>
      <c r="D2" s="12" t="str">
        <f ca="1">VLOOKUP($C2,OFFSET([1]quests!$A$1,0,0,COUNTA([1]quests!$A:$A),MATCH(D$1,[1]quests!$1:$1,0)-MATCH($C$1,[1]quests!$1:$1,0)+1),MATCH(D$1,[1]quests!$1:$1,0)-MATCH($C$1,[1]quests!$1:$1,0)+1,FALSE)</f>
        <v>果実達の大宴会</v>
      </c>
      <c r="E2" s="29">
        <f ca="1">VLOOKUP($C2,OFFSET([1]quests!$A$1,0,0,COUNTA([1]quests!$A:$A),MATCH(E$1,[1]quests!$1:$1,0)-MATCH($C$1,[1]quests!$1:$1,0)+1),MATCH(E$1,[1]quests!$1:$1,0)-MATCH($C$1,[1]quests!$1:$1,0)+1,FALSE)</f>
        <v>0</v>
      </c>
      <c r="F2" s="31">
        <v>1</v>
      </c>
      <c r="G2" s="32" t="str">
        <f t="shared" ref="G2:G5" si="1">C2&amp;"_"&amp;F2</f>
        <v>11207_1</v>
      </c>
      <c r="H2" s="20" t="str">
        <f ca="1">VLOOKUP($G2,OFFSET([1]stages!$A$1,0,0,COUNTA([1]stages!$A:$A),MATCH(H$1,[1]stages!$2:$2,0)-MATCH($G$1,[1]stages!$2:$2,0)+1),MATCH(H$1,[1]stages!$2:$2,0)-MATCH($G$1,[1]stages!$2:$2,0)+1,FALSE)</f>
        <v>【上級】果実達の大宴会</v>
      </c>
      <c r="I2" s="31">
        <v>1</v>
      </c>
      <c r="J2" s="13">
        <v>35</v>
      </c>
      <c r="K2" s="13">
        <v>35</v>
      </c>
    </row>
    <row r="3" spans="1:11" ht="21" customHeight="1" x14ac:dyDescent="0.15">
      <c r="A3" s="21" t="str">
        <f t="shared" si="0"/>
        <v>11207_1-2</v>
      </c>
      <c r="B3" s="21" t="str">
        <f>IF(COUNTIF(enemy_habitats_cp_quests2_1!$H:$H,A3),"OK","NG")</f>
        <v>OK</v>
      </c>
      <c r="C3" s="8">
        <v>11207</v>
      </c>
      <c r="D3" s="12" t="str">
        <f ca="1">VLOOKUP($C3,OFFSET([1]quests!$A$1,0,0,COUNTA([1]quests!$A:$A),MATCH(D$1,[1]quests!$1:$1,0)-MATCH($C$1,[1]quests!$1:$1,0)+1),MATCH(D$1,[1]quests!$1:$1,0)-MATCH($C$1,[1]quests!$1:$1,0)+1,FALSE)</f>
        <v>果実達の大宴会</v>
      </c>
      <c r="E3" s="29">
        <f ca="1">VLOOKUP($C3,OFFSET([1]quests!$A$1,0,0,COUNTA([1]quests!$A:$A),MATCH(E$1,[1]quests!$1:$1,0)-MATCH($C$1,[1]quests!$1:$1,0)+1),MATCH(E$1,[1]quests!$1:$1,0)-MATCH($C$1,[1]quests!$1:$1,0)+1,FALSE)</f>
        <v>0</v>
      </c>
      <c r="F3" s="31">
        <v>1</v>
      </c>
      <c r="G3" s="32" t="str">
        <f t="shared" si="1"/>
        <v>11207_1</v>
      </c>
      <c r="H3" s="20" t="str">
        <f ca="1">VLOOKUP($G3,OFFSET([1]stages!$A$1,0,0,COUNTA([1]stages!$A:$A),MATCH(H$1,[1]stages!$2:$2,0)-MATCH($G$1,[1]stages!$2:$2,0)+1),MATCH(H$1,[1]stages!$2:$2,0)-MATCH($G$1,[1]stages!$2:$2,0)+1,FALSE)</f>
        <v>【上級】果実達の大宴会</v>
      </c>
      <c r="I3" s="31">
        <v>2</v>
      </c>
      <c r="J3" s="13">
        <v>35</v>
      </c>
      <c r="K3" s="13">
        <v>35</v>
      </c>
    </row>
    <row r="4" spans="1:11" ht="21" customHeight="1" x14ac:dyDescent="0.15">
      <c r="A4" s="21" t="str">
        <f t="shared" si="0"/>
        <v>11207_1-3</v>
      </c>
      <c r="B4" s="21" t="str">
        <f>IF(COUNTIF(enemy_habitats_cp_quests2_1!$H:$H,A4),"OK","NG")</f>
        <v>OK</v>
      </c>
      <c r="C4" s="8">
        <v>11207</v>
      </c>
      <c r="D4" s="12" t="str">
        <f ca="1">VLOOKUP($C4,OFFSET([1]quests!$A$1,0,0,COUNTA([1]quests!$A:$A),MATCH(D$1,[1]quests!$1:$1,0)-MATCH($C$1,[1]quests!$1:$1,0)+1),MATCH(D$1,[1]quests!$1:$1,0)-MATCH($C$1,[1]quests!$1:$1,0)+1,FALSE)</f>
        <v>果実達の大宴会</v>
      </c>
      <c r="E4" s="29">
        <f ca="1">VLOOKUP($C4,OFFSET([1]quests!$A$1,0,0,COUNTA([1]quests!$A:$A),MATCH(E$1,[1]quests!$1:$1,0)-MATCH($C$1,[1]quests!$1:$1,0)+1),MATCH(E$1,[1]quests!$1:$1,0)-MATCH($C$1,[1]quests!$1:$1,0)+1,FALSE)</f>
        <v>0</v>
      </c>
      <c r="F4" s="31">
        <v>1</v>
      </c>
      <c r="G4" s="32" t="str">
        <f t="shared" si="1"/>
        <v>11207_1</v>
      </c>
      <c r="H4" s="20" t="str">
        <f ca="1">VLOOKUP($G4,OFFSET([1]stages!$A$1,0,0,COUNTA([1]stages!$A:$A),MATCH(H$1,[1]stages!$2:$2,0)-MATCH($G$1,[1]stages!$2:$2,0)+1),MATCH(H$1,[1]stages!$2:$2,0)-MATCH($G$1,[1]stages!$2:$2,0)+1,FALSE)</f>
        <v>【上級】果実達の大宴会</v>
      </c>
      <c r="I4" s="31">
        <v>3</v>
      </c>
      <c r="J4" s="13">
        <v>35</v>
      </c>
      <c r="K4" s="13">
        <v>35</v>
      </c>
    </row>
    <row r="5" spans="1:11" ht="21" customHeight="1" x14ac:dyDescent="0.15">
      <c r="A5" s="21" t="str">
        <f t="shared" si="0"/>
        <v>11207_1-4</v>
      </c>
      <c r="B5" s="21" t="str">
        <f>IF(COUNTIF(enemy_habitats_cp_quests2_1!$H:$H,A5),"OK","NG")</f>
        <v>OK</v>
      </c>
      <c r="C5" s="8">
        <v>11207</v>
      </c>
      <c r="D5" s="12" t="str">
        <f ca="1">VLOOKUP($C5,OFFSET([1]quests!$A$1,0,0,COUNTA([1]quests!$A:$A),MATCH(D$1,[1]quests!$1:$1,0)-MATCH($C$1,[1]quests!$1:$1,0)+1),MATCH(D$1,[1]quests!$1:$1,0)-MATCH($C$1,[1]quests!$1:$1,0)+1,FALSE)</f>
        <v>果実達の大宴会</v>
      </c>
      <c r="E5" s="29">
        <f ca="1">VLOOKUP($C5,OFFSET([1]quests!$A$1,0,0,COUNTA([1]quests!$A:$A),MATCH(E$1,[1]quests!$1:$1,0)-MATCH($C$1,[1]quests!$1:$1,0)+1),MATCH(E$1,[1]quests!$1:$1,0)-MATCH($C$1,[1]quests!$1:$1,0)+1,FALSE)</f>
        <v>0</v>
      </c>
      <c r="F5" s="31">
        <v>1</v>
      </c>
      <c r="G5" s="32" t="str">
        <f t="shared" si="1"/>
        <v>11207_1</v>
      </c>
      <c r="H5" s="20" t="str">
        <f ca="1">VLOOKUP($G5,OFFSET([1]stages!$A$1,0,0,COUNTA([1]stages!$A:$A),MATCH(H$1,[1]stages!$2:$2,0)-MATCH($G$1,[1]stages!$2:$2,0)+1),MATCH(H$1,[1]stages!$2:$2,0)-MATCH($G$1,[1]stages!$2:$2,0)+1,FALSE)</f>
        <v>【上級】果実達の大宴会</v>
      </c>
      <c r="I5" s="31">
        <v>4</v>
      </c>
      <c r="J5" s="13">
        <v>20</v>
      </c>
      <c r="K5" s="13">
        <v>20</v>
      </c>
    </row>
    <row r="6" spans="1:11" ht="21" customHeight="1" x14ac:dyDescent="0.15">
      <c r="A6" s="21" t="str">
        <f t="shared" ref="A6:A10" si="2">G6&amp;"-"&amp;I6</f>
        <v>11207_2-1</v>
      </c>
      <c r="B6" s="21" t="str">
        <f>IF(COUNTIF(enemy_habitats_cp_quests2_1!$H:$H,A6),"OK","NG")</f>
        <v>OK</v>
      </c>
      <c r="C6" s="8">
        <v>11207</v>
      </c>
      <c r="D6" s="12" t="str">
        <f ca="1">VLOOKUP($C6,OFFSET([1]quests!$A$1,0,0,COUNTA([1]quests!$A:$A),MATCH(D$1,[1]quests!$1:$1,0)-MATCH($C$1,[1]quests!$1:$1,0)+1),MATCH(D$1,[1]quests!$1:$1,0)-MATCH($C$1,[1]quests!$1:$1,0)+1,FALSE)</f>
        <v>果実達の大宴会</v>
      </c>
      <c r="E6" s="29">
        <f ca="1">VLOOKUP($C6,OFFSET([1]quests!$A$1,0,0,COUNTA([1]quests!$A:$A),MATCH(E$1,[1]quests!$1:$1,0)-MATCH($C$1,[1]quests!$1:$1,0)+1),MATCH(E$1,[1]quests!$1:$1,0)-MATCH($C$1,[1]quests!$1:$1,0)+1,FALSE)</f>
        <v>0</v>
      </c>
      <c r="F6" s="31">
        <v>2</v>
      </c>
      <c r="G6" s="32" t="str">
        <f t="shared" ref="G6:G10" si="3">C6&amp;"_"&amp;F6</f>
        <v>11207_2</v>
      </c>
      <c r="H6" s="20" t="str">
        <f ca="1">VLOOKUP($G6,OFFSET([1]stages!$A$1,0,0,COUNTA([1]stages!$A:$A),MATCH(H$1,[1]stages!$2:$2,0)-MATCH($G$1,[1]stages!$2:$2,0)+1),MATCH(H$1,[1]stages!$2:$2,0)-MATCH($G$1,[1]stages!$2:$2,0)+1,FALSE)</f>
        <v>【超級】果実達の大宴会</v>
      </c>
      <c r="I6" s="31">
        <v>1</v>
      </c>
      <c r="J6" s="13">
        <v>60</v>
      </c>
      <c r="K6" s="13">
        <v>60</v>
      </c>
    </row>
    <row r="7" spans="1:11" ht="21" customHeight="1" x14ac:dyDescent="0.15">
      <c r="A7" s="21" t="str">
        <f t="shared" si="2"/>
        <v>11207_2-2</v>
      </c>
      <c r="B7" s="21" t="str">
        <f>IF(COUNTIF(enemy_habitats_cp_quests2_1!$H:$H,A7),"OK","NG")</f>
        <v>OK</v>
      </c>
      <c r="C7" s="8">
        <v>11207</v>
      </c>
      <c r="D7" s="12" t="str">
        <f ca="1">VLOOKUP($C7,OFFSET([1]quests!$A$1,0,0,COUNTA([1]quests!$A:$A),MATCH(D$1,[1]quests!$1:$1,0)-MATCH($C$1,[1]quests!$1:$1,0)+1),MATCH(D$1,[1]quests!$1:$1,0)-MATCH($C$1,[1]quests!$1:$1,0)+1,FALSE)</f>
        <v>果実達の大宴会</v>
      </c>
      <c r="E7" s="29">
        <f ca="1">VLOOKUP($C7,OFFSET([1]quests!$A$1,0,0,COUNTA([1]quests!$A:$A),MATCH(E$1,[1]quests!$1:$1,0)-MATCH($C$1,[1]quests!$1:$1,0)+1),MATCH(E$1,[1]quests!$1:$1,0)-MATCH($C$1,[1]quests!$1:$1,0)+1,FALSE)</f>
        <v>0</v>
      </c>
      <c r="F7" s="31">
        <v>2</v>
      </c>
      <c r="G7" s="32" t="str">
        <f t="shared" si="3"/>
        <v>11207_2</v>
      </c>
      <c r="H7" s="20" t="str">
        <f ca="1">VLOOKUP($G7,OFFSET([1]stages!$A$1,0,0,COUNTA([1]stages!$A:$A),MATCH(H$1,[1]stages!$2:$2,0)-MATCH($G$1,[1]stages!$2:$2,0)+1),MATCH(H$1,[1]stages!$2:$2,0)-MATCH($G$1,[1]stages!$2:$2,0)+1,FALSE)</f>
        <v>【超級】果実達の大宴会</v>
      </c>
      <c r="I7" s="31">
        <v>2</v>
      </c>
      <c r="J7" s="13">
        <v>60</v>
      </c>
      <c r="K7" s="13">
        <v>60</v>
      </c>
    </row>
    <row r="8" spans="1:11" ht="21" customHeight="1" x14ac:dyDescent="0.15">
      <c r="A8" s="21" t="str">
        <f t="shared" si="2"/>
        <v>11207_2-3</v>
      </c>
      <c r="B8" s="21" t="str">
        <f>IF(COUNTIF(enemy_habitats_cp_quests2_1!$H:$H,A8),"OK","NG")</f>
        <v>OK</v>
      </c>
      <c r="C8" s="8">
        <v>11207</v>
      </c>
      <c r="D8" s="12" t="str">
        <f ca="1">VLOOKUP($C8,OFFSET([1]quests!$A$1,0,0,COUNTA([1]quests!$A:$A),MATCH(D$1,[1]quests!$1:$1,0)-MATCH($C$1,[1]quests!$1:$1,0)+1),MATCH(D$1,[1]quests!$1:$1,0)-MATCH($C$1,[1]quests!$1:$1,0)+1,FALSE)</f>
        <v>果実達の大宴会</v>
      </c>
      <c r="E8" s="29">
        <f ca="1">VLOOKUP($C8,OFFSET([1]quests!$A$1,0,0,COUNTA([1]quests!$A:$A),MATCH(E$1,[1]quests!$1:$1,0)-MATCH($C$1,[1]quests!$1:$1,0)+1),MATCH(E$1,[1]quests!$1:$1,0)-MATCH($C$1,[1]quests!$1:$1,0)+1,FALSE)</f>
        <v>0</v>
      </c>
      <c r="F8" s="31">
        <v>2</v>
      </c>
      <c r="G8" s="32" t="str">
        <f t="shared" si="3"/>
        <v>11207_2</v>
      </c>
      <c r="H8" s="20" t="str">
        <f ca="1">VLOOKUP($G8,OFFSET([1]stages!$A$1,0,0,COUNTA([1]stages!$A:$A),MATCH(H$1,[1]stages!$2:$2,0)-MATCH($G$1,[1]stages!$2:$2,0)+1),MATCH(H$1,[1]stages!$2:$2,0)-MATCH($G$1,[1]stages!$2:$2,0)+1,FALSE)</f>
        <v>【超級】果実達の大宴会</v>
      </c>
      <c r="I8" s="31">
        <v>3</v>
      </c>
      <c r="J8" s="13">
        <v>60</v>
      </c>
      <c r="K8" s="13">
        <v>60</v>
      </c>
    </row>
    <row r="9" spans="1:11" ht="21" customHeight="1" x14ac:dyDescent="0.15">
      <c r="A9" s="21" t="str">
        <f t="shared" si="2"/>
        <v>11207_2-4</v>
      </c>
      <c r="B9" s="21" t="str">
        <f>IF(COUNTIF(enemy_habitats_cp_quests2_1!$H:$H,A9),"OK","NG")</f>
        <v>OK</v>
      </c>
      <c r="C9" s="8">
        <v>11207</v>
      </c>
      <c r="D9" s="12" t="str">
        <f ca="1">VLOOKUP($C9,OFFSET([1]quests!$A$1,0,0,COUNTA([1]quests!$A:$A),MATCH(D$1,[1]quests!$1:$1,0)-MATCH($C$1,[1]quests!$1:$1,0)+1),MATCH(D$1,[1]quests!$1:$1,0)-MATCH($C$1,[1]quests!$1:$1,0)+1,FALSE)</f>
        <v>果実達の大宴会</v>
      </c>
      <c r="E9" s="29">
        <f ca="1">VLOOKUP($C9,OFFSET([1]quests!$A$1,0,0,COUNTA([1]quests!$A:$A),MATCH(E$1,[1]quests!$1:$1,0)-MATCH($C$1,[1]quests!$1:$1,0)+1),MATCH(E$1,[1]quests!$1:$1,0)-MATCH($C$1,[1]quests!$1:$1,0)+1,FALSE)</f>
        <v>0</v>
      </c>
      <c r="F9" s="31">
        <v>2</v>
      </c>
      <c r="G9" s="32" t="str">
        <f t="shared" si="3"/>
        <v>11207_2</v>
      </c>
      <c r="H9" s="20" t="str">
        <f ca="1">VLOOKUP($G9,OFFSET([1]stages!$A$1,0,0,COUNTA([1]stages!$A:$A),MATCH(H$1,[1]stages!$2:$2,0)-MATCH($G$1,[1]stages!$2:$2,0)+1),MATCH(H$1,[1]stages!$2:$2,0)-MATCH($G$1,[1]stages!$2:$2,0)+1,FALSE)</f>
        <v>【超級】果実達の大宴会</v>
      </c>
      <c r="I9" s="31">
        <v>4</v>
      </c>
      <c r="J9" s="13">
        <v>60</v>
      </c>
      <c r="K9" s="13">
        <v>60</v>
      </c>
    </row>
    <row r="10" spans="1:11" ht="21" customHeight="1" x14ac:dyDescent="0.15">
      <c r="A10" s="21" t="str">
        <f t="shared" si="2"/>
        <v>11207_2-5</v>
      </c>
      <c r="B10" s="21" t="str">
        <f>IF(COUNTIF(enemy_habitats_cp_quests2_1!$H:$H,A10),"OK","NG")</f>
        <v>OK</v>
      </c>
      <c r="C10" s="8">
        <v>11207</v>
      </c>
      <c r="D10" s="12" t="str">
        <f ca="1">VLOOKUP($C10,OFFSET([1]quests!$A$1,0,0,COUNTA([1]quests!$A:$A),MATCH(D$1,[1]quests!$1:$1,0)-MATCH($C$1,[1]quests!$1:$1,0)+1),MATCH(D$1,[1]quests!$1:$1,0)-MATCH($C$1,[1]quests!$1:$1,0)+1,FALSE)</f>
        <v>果実達の大宴会</v>
      </c>
      <c r="E10" s="29">
        <f ca="1">VLOOKUP($C10,OFFSET([1]quests!$A$1,0,0,COUNTA([1]quests!$A:$A),MATCH(E$1,[1]quests!$1:$1,0)-MATCH($C$1,[1]quests!$1:$1,0)+1),MATCH(E$1,[1]quests!$1:$1,0)-MATCH($C$1,[1]quests!$1:$1,0)+1,FALSE)</f>
        <v>0</v>
      </c>
      <c r="F10" s="31">
        <v>2</v>
      </c>
      <c r="G10" s="32" t="str">
        <f t="shared" si="3"/>
        <v>11207_2</v>
      </c>
      <c r="H10" s="20" t="str">
        <f ca="1">VLOOKUP($G10,OFFSET([1]stages!$A$1,0,0,COUNTA([1]stages!$A:$A),MATCH(H$1,[1]stages!$2:$2,0)-MATCH($G$1,[1]stages!$2:$2,0)+1),MATCH(H$1,[1]stages!$2:$2,0)-MATCH($G$1,[1]stages!$2:$2,0)+1,FALSE)</f>
        <v>【超級】果実達の大宴会</v>
      </c>
      <c r="I10" s="31">
        <v>5</v>
      </c>
      <c r="J10" s="13">
        <v>20</v>
      </c>
      <c r="K10" s="13">
        <v>20</v>
      </c>
    </row>
  </sheetData>
  <sheetProtection selectLockedCells="1" selectUnlockedCells="1"/>
  <phoneticPr fontId="4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J39"/>
  <sheetViews>
    <sheetView showGridLines="0" zoomScale="75" zoomScaleNormal="75" zoomScalePageLayoutView="75" workbookViewId="0">
      <pane xSplit="14" ySplit="1" topLeftCell="S2" activePane="bottomRight" state="frozen"/>
      <selection pane="topRight" activeCell="N1" sqref="N1"/>
      <selection pane="bottomLeft" activeCell="A2" sqref="A2"/>
      <selection pane="bottomRight" activeCell="V34" sqref="V34:V39"/>
    </sheetView>
  </sheetViews>
  <sheetFormatPr baseColWidth="12" defaultColWidth="13" defaultRowHeight="21" customHeight="1" outlineLevelCol="1" x14ac:dyDescent="0.15"/>
  <cols>
    <col min="1" max="1" width="21.33203125" style="30" customWidth="1"/>
    <col min="2" max="2" width="12.5" style="4" bestFit="1" customWidth="1"/>
    <col min="3" max="3" width="12.33203125" style="4" bestFit="1" customWidth="1"/>
    <col min="4" max="4" width="14.6640625" style="15" customWidth="1" outlineLevel="1"/>
    <col min="5" max="6" width="15.6640625" style="4" customWidth="1" outlineLevel="1"/>
    <col min="7" max="7" width="11.83203125" style="4" bestFit="1" customWidth="1"/>
    <col min="8" max="8" width="11.83203125" style="4" customWidth="1" outlineLevel="1"/>
    <col min="9" max="9" width="15.33203125" style="10" bestFit="1" customWidth="1"/>
    <col min="10" max="10" width="17.6640625" style="4" customWidth="1" outlineLevel="1"/>
    <col min="11" max="11" width="10.33203125" style="4" customWidth="1" outlineLevel="1"/>
    <col min="12" max="12" width="13.6640625" style="4" customWidth="1" outlineLevel="1"/>
    <col min="13" max="13" width="22.83203125" style="4" customWidth="1" outlineLevel="1"/>
    <col min="14" max="14" width="11.6640625" style="4" customWidth="1" outlineLevel="1"/>
    <col min="15" max="15" width="10.1640625" style="4" bestFit="1" customWidth="1"/>
    <col min="16" max="16" width="14.83203125" style="4" bestFit="1" customWidth="1"/>
    <col min="17" max="17" width="17.5" style="4" bestFit="1" customWidth="1"/>
    <col min="18" max="18" width="18.33203125" style="4" bestFit="1" customWidth="1"/>
    <col min="19" max="19" width="14" style="4" customWidth="1"/>
    <col min="20" max="20" width="14" style="4" customWidth="1" outlineLevel="1"/>
    <col min="21" max="21" width="13" style="4" bestFit="1" customWidth="1"/>
    <col min="22" max="22" width="13.5" style="4" bestFit="1" customWidth="1"/>
    <col min="23" max="23" width="12.33203125" style="4" bestFit="1" customWidth="1"/>
    <col min="24" max="24" width="11" style="4" bestFit="1" customWidth="1"/>
    <col min="25" max="25" width="14.83203125" style="4" bestFit="1" customWidth="1"/>
    <col min="26" max="26" width="17.6640625" style="14" customWidth="1" outlineLevel="1"/>
    <col min="27" max="28" width="13.6640625" style="15" customWidth="1" outlineLevel="1"/>
    <col min="29" max="29" width="16.83203125" style="11" bestFit="1" customWidth="1" collapsed="1"/>
    <col min="30" max="31" width="16.5" style="4" bestFit="1" customWidth="1"/>
    <col min="32" max="32" width="15.33203125" style="4" customWidth="1"/>
    <col min="33" max="16384" width="13" style="4"/>
  </cols>
  <sheetData>
    <row r="1" spans="1:36" ht="21" customHeight="1" x14ac:dyDescent="0.15">
      <c r="A1" s="21" t="s">
        <v>32</v>
      </c>
      <c r="B1" s="36" t="s">
        <v>0</v>
      </c>
      <c r="C1" s="36" t="s">
        <v>1</v>
      </c>
      <c r="D1" s="20" t="s">
        <v>33</v>
      </c>
      <c r="E1" s="20" t="s">
        <v>34</v>
      </c>
      <c r="F1" s="20" t="s">
        <v>34</v>
      </c>
      <c r="G1" s="36" t="s">
        <v>35</v>
      </c>
      <c r="H1" s="20" t="s">
        <v>36</v>
      </c>
      <c r="I1" s="36" t="s">
        <v>2</v>
      </c>
      <c r="J1" s="25" t="s">
        <v>34</v>
      </c>
      <c r="K1" s="20" t="s">
        <v>37</v>
      </c>
      <c r="L1" s="20" t="s">
        <v>38</v>
      </c>
      <c r="M1" s="27" t="s">
        <v>39</v>
      </c>
      <c r="N1" s="20" t="s">
        <v>40</v>
      </c>
      <c r="O1" s="36" t="s">
        <v>3</v>
      </c>
      <c r="P1" s="33" t="s">
        <v>41</v>
      </c>
      <c r="Q1" s="33" t="s">
        <v>42</v>
      </c>
      <c r="R1" s="33" t="s">
        <v>43</v>
      </c>
      <c r="S1" s="20" t="s">
        <v>44</v>
      </c>
      <c r="T1" s="36" t="s">
        <v>45</v>
      </c>
      <c r="U1" s="36" t="s">
        <v>4</v>
      </c>
      <c r="V1" s="36" t="s">
        <v>46</v>
      </c>
      <c r="W1" s="36" t="s">
        <v>6</v>
      </c>
      <c r="X1" s="36" t="s">
        <v>7</v>
      </c>
      <c r="Y1" s="3" t="s">
        <v>8</v>
      </c>
      <c r="Z1" s="22" t="s">
        <v>34</v>
      </c>
      <c r="AA1" s="22" t="s">
        <v>47</v>
      </c>
      <c r="AB1" s="22" t="s">
        <v>48</v>
      </c>
      <c r="AC1" s="3" t="s">
        <v>9</v>
      </c>
      <c r="AD1" s="36" t="s">
        <v>10</v>
      </c>
      <c r="AE1" s="36" t="s">
        <v>11</v>
      </c>
      <c r="AF1" s="36" t="s">
        <v>49</v>
      </c>
      <c r="AG1" s="36" t="s">
        <v>50</v>
      </c>
      <c r="AH1" s="36" t="s">
        <v>51</v>
      </c>
      <c r="AI1" s="36" t="s">
        <v>52</v>
      </c>
      <c r="AJ1" s="36" t="s">
        <v>53</v>
      </c>
    </row>
    <row r="2" spans="1:36" ht="21" customHeight="1" x14ac:dyDescent="0.15">
      <c r="A2" s="21" t="str">
        <f t="shared" ref="A2:A36" si="0">B2&amp;"_"&amp;C2&amp;"-"&amp;G2&amp;"/"&amp;I2&amp;"&lt;lv"&amp;O2&amp;"&gt;s"&amp;X2</f>
        <v>11207_1-1/121&lt;lv16&gt;s1</v>
      </c>
      <c r="B2" s="37">
        <v>11207</v>
      </c>
      <c r="C2" s="38">
        <v>1</v>
      </c>
      <c r="D2" s="20" t="str">
        <f t="shared" ref="D2:D36" si="1">B2&amp;"_"&amp;C2</f>
        <v>11207_1</v>
      </c>
      <c r="E2" s="5" t="str">
        <f ca="1">VLOOKUP($B2,OFFSET([1]quests!$A$1,0,0,COUNTA([1]quests!$A:$A),MATCH(E$1,[1]quests!$1:$1,0)-MATCH($B$1,[1]quests!$1:$1,0)+1),MATCH(E$1,[1]quests!$1:$1,0)-MATCH($B$1,[1]quests!$1:$1,0)+1,FALSE)</f>
        <v>果実達の大宴会</v>
      </c>
      <c r="F2" s="5" t="str">
        <f ca="1">VLOOKUP($D2,OFFSET([1]stages!$A$1,0,0,COUNTA([1]stages!$A:$A),MATCH(F$1,[1]stages!$2:$2,0)-MATCH($D$1,[1]stages!$2:$2,0)+1),MATCH(F$1,[1]stages!$2:$2,0)-MATCH($D$1,[1]stages!$2:$2,0)+1,FALSE)</f>
        <v>【上級】果実達の大宴会</v>
      </c>
      <c r="G2" s="39">
        <v>1</v>
      </c>
      <c r="H2" s="20" t="str">
        <f t="shared" ref="H2:H36" si="2">B2&amp;"_"&amp;C2&amp;"-"&amp;G2</f>
        <v>11207_1-1</v>
      </c>
      <c r="I2" s="40">
        <v>121</v>
      </c>
      <c r="J2" s="26" t="e">
        <f ca="1">VLOOKUP($I2,OFFSET([2]enemies!$A$1,0,0,COUNTA([2]enemies!$A:$A),MATCH(J$1,[2]enemies!$2:$2,0)-MATCH($I$1,[2]enemies!$2:$2,0)+1),MATCH(J$1,[2]enemies!$2:$2,0)-MATCH($I$1,[2]enemies!$2:$2,0)+1,FALSE)</f>
        <v>#N/A</v>
      </c>
      <c r="K2" s="29" t="e">
        <f ca="1">VLOOKUP($I2,OFFSET([2]enemies!$A$1,0,0,COUNTA([2]enemies!$A:$A),MATCH(K$1,[2]enemies!$2:$2,0)-MATCH($I$1,[2]enemies!$2:$2,0)+1),MATCH(K$1,[2]enemies!$2:$2,0)-MATCH($I$1,[2]enemies!$2:$2,0)+1,FALSE)</f>
        <v>#N/A</v>
      </c>
      <c r="L2" s="29" t="e">
        <f ca="1">VLOOKUP($I2,OFFSET([3]characters!$A$1,0,0,COUNTA([3]characters!$A:$A),MATCH(L$1,[3]characters!$2:$2,0)-MATCH($I$1,[3]characters!$2:$2,0)+1),MATCH(L$1,[3]characters!$2:$2,0)-MATCH($I$1,[3]characters!$2:$2,0)+1,FALSE)</f>
        <v>#N/A</v>
      </c>
      <c r="M2" s="28" t="e">
        <f ca="1">VLOOKUP($I2,OFFSET([3]characters!$A$1,0,0,COUNTA([3]characters!$A:$A),MATCH(M$1,[3]characters!$2:$2,0)-MATCH($I$1,[3]characters!$2:$2,0)+2),MATCH(M$1,[3]characters!$2:$2,0)-MATCH($I$1,[3]characters!$2:$2,0)+2,FALSE)</f>
        <v>#N/A</v>
      </c>
      <c r="N2" s="5" t="e">
        <f ca="1">VLOOKUP($I2,OFFSET([2]enemies!$A$1,0,0,COUNTA([2]enemies!$A:$A),MATCH(N$1,[2]enemies!$2:$2,0)-MATCH($I$1,[2]enemies!$2:$2,0)+1),MATCH(N$1,[2]enemies!$2:$2,0)-MATCH($I$1,[2]enemies!$2:$2,0)+1,FALSE)</f>
        <v>#N/A</v>
      </c>
      <c r="O2" s="6">
        <v>16</v>
      </c>
      <c r="P2" s="34">
        <v>0.7</v>
      </c>
      <c r="Q2" s="34">
        <v>1</v>
      </c>
      <c r="R2" s="6">
        <v>0</v>
      </c>
      <c r="S2" s="5" t="str">
        <f ca="1">VLOOKUP($T2,OFFSET([4]enemy_skill_sets!$B$1,0,0,COUNTA([4]enemy_skill_sets!$B:$B),MATCH(J$1,[4]enemy_skill_sets!$1:$1,0)-MATCH($T$1,[4]enemy_skill_sets!$1:$1,0)+2),MATCH(J$1,[4]enemy_skill_sets!$1:$1,0)-MATCH($T$1,[4]enemy_skill_sets!$1:$1,0)+2,FALSE)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" s="46">
        <v>0</v>
      </c>
      <c r="U2" s="7">
        <v>0</v>
      </c>
      <c r="V2" s="7">
        <v>100</v>
      </c>
      <c r="W2" s="7">
        <v>0</v>
      </c>
      <c r="X2" s="47">
        <v>1</v>
      </c>
      <c r="Y2" s="40">
        <v>121</v>
      </c>
      <c r="Z2" s="5" t="str">
        <f ca="1">IFERROR(VLOOKUP($Y2,OFFSET([3]characters!$A$1,0,0,COUNTA([3]characters!$A:$A),MATCH(Z$1,[3]characters!$2:$2,0)-MATCH("character_id",[3]characters!$2:$2,0)+1),MATCH(Z$1,[3]characters!$2:$2,0)-MATCH("character_id",[3]characters!$2:$2,0)+1,FALSE),"")</f>
        <v/>
      </c>
      <c r="AA2" s="5" t="str">
        <f ca="1">IFERROR(VLOOKUP($Y2,OFFSET([3]characters!$A$1,0,0,COUNTA([3]characters!$A:$A),MATCH(AA$1,[3]characters!$2:$2,0)-MATCH("character_id",[3]characters!$2:$2,0)+1),MATCH(AA$1,[3]characters!$2:$2,0)-MATCH("character_id",[3]characters!$2:$2,0)+1,FALSE),"")</f>
        <v/>
      </c>
      <c r="AB2" s="5" t="str">
        <f ca="1">IFERROR(VLOOKUP($Y2,OFFSET([3]characters!$A$1,0,0,COUNTA([3]characters!$A:$A),MATCH(AB$1,[3]characters!$2:$2,0)-MATCH("character_id",[3]characters!$2:$2,0)+1),MATCH(AB$1,[3]characters!$2:$2,0)-MATCH("character_id",[3]characters!$2:$2,0)+1,FALSE),"")</f>
        <v/>
      </c>
      <c r="AC2" s="37">
        <v>1</v>
      </c>
      <c r="AD2" s="41" t="str">
        <f t="shared" ref="AD2:AD36" ca="1" si="3">AA2</f>
        <v/>
      </c>
      <c r="AE2" s="9">
        <v>100</v>
      </c>
      <c r="AF2" s="37">
        <v>0</v>
      </c>
      <c r="AG2" s="37">
        <v>0</v>
      </c>
      <c r="AH2" s="37">
        <v>0</v>
      </c>
      <c r="AI2" s="37">
        <v>0</v>
      </c>
      <c r="AJ2" s="37">
        <v>1</v>
      </c>
    </row>
    <row r="3" spans="1:36" ht="21" customHeight="1" x14ac:dyDescent="0.15">
      <c r="A3" s="21" t="str">
        <f t="shared" si="0"/>
        <v>11207_1-1/122&lt;lv16&gt;s3</v>
      </c>
      <c r="B3" s="37">
        <v>11207</v>
      </c>
      <c r="C3" s="38">
        <v>1</v>
      </c>
      <c r="D3" s="20" t="str">
        <f t="shared" si="1"/>
        <v>11207_1</v>
      </c>
      <c r="E3" s="5" t="str">
        <f ca="1">VLOOKUP($B3,OFFSET([1]quests!$A$1,0,0,COUNTA([1]quests!$A:$A),MATCH(E$1,[1]quests!$1:$1,0)-MATCH($B$1,[1]quests!$1:$1,0)+1),MATCH(E$1,[1]quests!$1:$1,0)-MATCH($B$1,[1]quests!$1:$1,0)+1,FALSE)</f>
        <v>果実達の大宴会</v>
      </c>
      <c r="F3" s="5" t="str">
        <f ca="1">VLOOKUP($D3,OFFSET([1]stages!$A$1,0,0,COUNTA([1]stages!$A:$A),MATCH(F$1,[1]stages!$2:$2,0)-MATCH($D$1,[1]stages!$2:$2,0)+1),MATCH(F$1,[1]stages!$2:$2,0)-MATCH($D$1,[1]stages!$2:$2,0)+1,FALSE)</f>
        <v>【上級】果実達の大宴会</v>
      </c>
      <c r="G3" s="39">
        <v>1</v>
      </c>
      <c r="H3" s="20" t="str">
        <f t="shared" si="2"/>
        <v>11207_1-1</v>
      </c>
      <c r="I3" s="40">
        <v>122</v>
      </c>
      <c r="J3" s="26" t="e">
        <f ca="1">VLOOKUP($I3,OFFSET([2]enemies!$A$1,0,0,COUNTA([2]enemies!$A:$A),MATCH(J$1,[2]enemies!$2:$2,0)-MATCH($I$1,[2]enemies!$2:$2,0)+1),MATCH(J$1,[2]enemies!$2:$2,0)-MATCH($I$1,[2]enemies!$2:$2,0)+1,FALSE)</f>
        <v>#N/A</v>
      </c>
      <c r="K3" s="29" t="e">
        <f ca="1">VLOOKUP($I3,OFFSET([2]enemies!$A$1,0,0,COUNTA([2]enemies!$A:$A),MATCH(K$1,[2]enemies!$2:$2,0)-MATCH($I$1,[2]enemies!$2:$2,0)+1),MATCH(K$1,[2]enemies!$2:$2,0)-MATCH($I$1,[2]enemies!$2:$2,0)+1,FALSE)</f>
        <v>#N/A</v>
      </c>
      <c r="L3" s="29" t="e">
        <f ca="1">VLOOKUP($I3,OFFSET([3]characters!$A$1,0,0,COUNTA([3]characters!$A:$A),MATCH(L$1,[3]characters!$2:$2,0)-MATCH($I$1,[3]characters!$2:$2,0)+1),MATCH(L$1,[3]characters!$2:$2,0)-MATCH($I$1,[3]characters!$2:$2,0)+1,FALSE)</f>
        <v>#N/A</v>
      </c>
      <c r="M3" s="28" t="e">
        <f ca="1">VLOOKUP($I3,OFFSET([3]characters!$A$1,0,0,COUNTA([3]characters!$A:$A),MATCH(M$1,[3]characters!$2:$2,0)-MATCH($I$1,[3]characters!$2:$2,0)+2),MATCH(M$1,[3]characters!$2:$2,0)-MATCH($I$1,[3]characters!$2:$2,0)+2,FALSE)</f>
        <v>#N/A</v>
      </c>
      <c r="N3" s="5" t="e">
        <f ca="1">VLOOKUP($I3,OFFSET([2]enemies!$A$1,0,0,COUNTA([2]enemies!$A:$A),MATCH(N$1,[2]enemies!$2:$2,0)-MATCH($I$1,[2]enemies!$2:$2,0)+1),MATCH(N$1,[2]enemies!$2:$2,0)-MATCH($I$1,[2]enemies!$2:$2,0)+1,FALSE)</f>
        <v>#N/A</v>
      </c>
      <c r="O3" s="6">
        <v>16</v>
      </c>
      <c r="P3" s="34">
        <v>0.7</v>
      </c>
      <c r="Q3" s="34">
        <v>1</v>
      </c>
      <c r="R3" s="6">
        <v>0</v>
      </c>
      <c r="S3" s="5" t="str">
        <f ca="1">VLOOKUP($T3,OFFSET([4]enemy_skill_sets!$B$1,0,0,COUNTA([4]enemy_skill_sets!$B:$B),MATCH(J$1,[4]enemy_skill_sets!$1:$1,0)-MATCH($T$1,[4]enemy_skill_sets!$1:$1,0)+2),MATCH(J$1,[4]enemy_skill_sets!$1:$1,0)-MATCH($T$1,[4]enemy_skill_sets!$1:$1,0)+2,FALSE)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" s="46">
        <v>0</v>
      </c>
      <c r="U3" s="7">
        <v>0</v>
      </c>
      <c r="V3" s="7">
        <v>100</v>
      </c>
      <c r="W3" s="7">
        <v>0</v>
      </c>
      <c r="X3" s="47">
        <v>3</v>
      </c>
      <c r="Y3" s="40">
        <v>122</v>
      </c>
      <c r="Z3" s="5" t="str">
        <f ca="1">IFERROR(VLOOKUP($Y3,OFFSET([3]characters!$A$1,0,0,COUNTA([3]characters!$A:$A),MATCH(Z$1,[3]characters!$2:$2,0)-MATCH("character_id",[3]characters!$2:$2,0)+1),MATCH(Z$1,[3]characters!$2:$2,0)-MATCH("character_id",[3]characters!$2:$2,0)+1,FALSE),"")</f>
        <v/>
      </c>
      <c r="AA3" s="5" t="str">
        <f ca="1">IFERROR(VLOOKUP($Y3,OFFSET([3]characters!$A$1,0,0,COUNTA([3]characters!$A:$A),MATCH(AA$1,[3]characters!$2:$2,0)-MATCH("character_id",[3]characters!$2:$2,0)+1),MATCH(AA$1,[3]characters!$2:$2,0)-MATCH("character_id",[3]characters!$2:$2,0)+1,FALSE),"")</f>
        <v/>
      </c>
      <c r="AB3" s="5" t="str">
        <f ca="1">IFERROR(VLOOKUP($Y3,OFFSET([3]characters!$A$1,0,0,COUNTA([3]characters!$A:$A),MATCH(AB$1,[3]characters!$2:$2,0)-MATCH("character_id",[3]characters!$2:$2,0)+1),MATCH(AB$1,[3]characters!$2:$2,0)-MATCH("character_id",[3]characters!$2:$2,0)+1,FALSE),"")</f>
        <v/>
      </c>
      <c r="AC3" s="37">
        <v>1</v>
      </c>
      <c r="AD3" s="41" t="str">
        <f t="shared" ca="1" si="3"/>
        <v/>
      </c>
      <c r="AE3" s="9">
        <v>100</v>
      </c>
      <c r="AF3" s="37">
        <v>0</v>
      </c>
      <c r="AG3" s="37">
        <v>0</v>
      </c>
      <c r="AH3" s="37">
        <v>0</v>
      </c>
      <c r="AI3" s="37">
        <v>0</v>
      </c>
      <c r="AJ3" s="37">
        <v>1</v>
      </c>
    </row>
    <row r="4" spans="1:36" ht="21" customHeight="1" x14ac:dyDescent="0.15">
      <c r="A4" s="21" t="str">
        <f t="shared" si="0"/>
        <v>11207_1-1/123&lt;lv16&gt;s2</v>
      </c>
      <c r="B4" s="37">
        <v>11207</v>
      </c>
      <c r="C4" s="38">
        <v>1</v>
      </c>
      <c r="D4" s="20" t="str">
        <f t="shared" si="1"/>
        <v>11207_1</v>
      </c>
      <c r="E4" s="5" t="str">
        <f ca="1">VLOOKUP($B4,OFFSET([1]quests!$A$1,0,0,COUNTA([1]quests!$A:$A),MATCH(E$1,[1]quests!$1:$1,0)-MATCH($B$1,[1]quests!$1:$1,0)+1),MATCH(E$1,[1]quests!$1:$1,0)-MATCH($B$1,[1]quests!$1:$1,0)+1,FALSE)</f>
        <v>果実達の大宴会</v>
      </c>
      <c r="F4" s="5" t="str">
        <f ca="1">VLOOKUP($D4,OFFSET([1]stages!$A$1,0,0,COUNTA([1]stages!$A:$A),MATCH(F$1,[1]stages!$2:$2,0)-MATCH($D$1,[1]stages!$2:$2,0)+1),MATCH(F$1,[1]stages!$2:$2,0)-MATCH($D$1,[1]stages!$2:$2,0)+1,FALSE)</f>
        <v>【上級】果実達の大宴会</v>
      </c>
      <c r="G4" s="39">
        <v>1</v>
      </c>
      <c r="H4" s="20" t="str">
        <f t="shared" si="2"/>
        <v>11207_1-1</v>
      </c>
      <c r="I4" s="40">
        <v>123</v>
      </c>
      <c r="J4" s="26" t="e">
        <f ca="1">VLOOKUP($I4,OFFSET([2]enemies!$A$1,0,0,COUNTA([2]enemies!$A:$A),MATCH(J$1,[2]enemies!$2:$2,0)-MATCH($I$1,[2]enemies!$2:$2,0)+1),MATCH(J$1,[2]enemies!$2:$2,0)-MATCH($I$1,[2]enemies!$2:$2,0)+1,FALSE)</f>
        <v>#N/A</v>
      </c>
      <c r="K4" s="29" t="e">
        <f ca="1">VLOOKUP($I4,OFFSET([2]enemies!$A$1,0,0,COUNTA([2]enemies!$A:$A),MATCH(K$1,[2]enemies!$2:$2,0)-MATCH($I$1,[2]enemies!$2:$2,0)+1),MATCH(K$1,[2]enemies!$2:$2,0)-MATCH($I$1,[2]enemies!$2:$2,0)+1,FALSE)</f>
        <v>#N/A</v>
      </c>
      <c r="L4" s="29" t="e">
        <f ca="1">VLOOKUP($I4,OFFSET([3]characters!$A$1,0,0,COUNTA([3]characters!$A:$A),MATCH(L$1,[3]characters!$2:$2,0)-MATCH($I$1,[3]characters!$2:$2,0)+1),MATCH(L$1,[3]characters!$2:$2,0)-MATCH($I$1,[3]characters!$2:$2,0)+1,FALSE)</f>
        <v>#N/A</v>
      </c>
      <c r="M4" s="28" t="e">
        <f ca="1">VLOOKUP($I4,OFFSET([3]characters!$A$1,0,0,COUNTA([3]characters!$A:$A),MATCH(M$1,[3]characters!$2:$2,0)-MATCH($I$1,[3]characters!$2:$2,0)+2),MATCH(M$1,[3]characters!$2:$2,0)-MATCH($I$1,[3]characters!$2:$2,0)+2,FALSE)</f>
        <v>#N/A</v>
      </c>
      <c r="N4" s="5" t="e">
        <f ca="1">VLOOKUP($I4,OFFSET([2]enemies!$A$1,0,0,COUNTA([2]enemies!$A:$A),MATCH(N$1,[2]enemies!$2:$2,0)-MATCH($I$1,[2]enemies!$2:$2,0)+1),MATCH(N$1,[2]enemies!$2:$2,0)-MATCH($I$1,[2]enemies!$2:$2,0)+1,FALSE)</f>
        <v>#N/A</v>
      </c>
      <c r="O4" s="6">
        <v>16</v>
      </c>
      <c r="P4" s="34">
        <v>0.7</v>
      </c>
      <c r="Q4" s="34">
        <v>1</v>
      </c>
      <c r="R4" s="6">
        <v>0</v>
      </c>
      <c r="S4" s="5" t="str">
        <f ca="1">VLOOKUP($T4,OFFSET([4]enemy_skill_sets!$B$1,0,0,COUNTA([4]enemy_skill_sets!$B:$B),MATCH(J$1,[4]enemy_skill_sets!$1:$1,0)-MATCH($T$1,[4]enemy_skill_sets!$1:$1,0)+2),MATCH(J$1,[4]enemy_skill_sets!$1:$1,0)-MATCH($T$1,[4]enemy_skill_sets!$1:$1,0)+2,FALSE)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" s="46">
        <v>0</v>
      </c>
      <c r="U4" s="7">
        <v>0</v>
      </c>
      <c r="V4" s="7">
        <v>100</v>
      </c>
      <c r="W4" s="7">
        <v>0</v>
      </c>
      <c r="X4" s="47">
        <v>2</v>
      </c>
      <c r="Y4" s="40">
        <v>123</v>
      </c>
      <c r="Z4" s="5" t="str">
        <f ca="1">IFERROR(VLOOKUP($Y4,OFFSET([3]characters!$A$1,0,0,COUNTA([3]characters!$A:$A),MATCH(Z$1,[3]characters!$2:$2,0)-MATCH("character_id",[3]characters!$2:$2,0)+1),MATCH(Z$1,[3]characters!$2:$2,0)-MATCH("character_id",[3]characters!$2:$2,0)+1,FALSE),"")</f>
        <v/>
      </c>
      <c r="AA4" s="5" t="str">
        <f ca="1">IFERROR(VLOOKUP($Y4,OFFSET([3]characters!$A$1,0,0,COUNTA([3]characters!$A:$A),MATCH(AA$1,[3]characters!$2:$2,0)-MATCH("character_id",[3]characters!$2:$2,0)+1),MATCH(AA$1,[3]characters!$2:$2,0)-MATCH("character_id",[3]characters!$2:$2,0)+1,FALSE),"")</f>
        <v/>
      </c>
      <c r="AB4" s="5" t="str">
        <f ca="1">IFERROR(VLOOKUP($Y4,OFFSET([3]characters!$A$1,0,0,COUNTA([3]characters!$A:$A),MATCH(AB$1,[3]characters!$2:$2,0)-MATCH("character_id",[3]characters!$2:$2,0)+1),MATCH(AB$1,[3]characters!$2:$2,0)-MATCH("character_id",[3]characters!$2:$2,0)+1,FALSE),"")</f>
        <v/>
      </c>
      <c r="AC4" s="37">
        <v>1</v>
      </c>
      <c r="AD4" s="41" t="str">
        <f t="shared" ca="1" si="3"/>
        <v/>
      </c>
      <c r="AE4" s="9">
        <v>100</v>
      </c>
      <c r="AF4" s="37">
        <v>0</v>
      </c>
      <c r="AG4" s="37">
        <v>0</v>
      </c>
      <c r="AH4" s="37">
        <v>0</v>
      </c>
      <c r="AI4" s="37">
        <v>0</v>
      </c>
      <c r="AJ4" s="37">
        <v>1</v>
      </c>
    </row>
    <row r="5" spans="1:36" ht="21" customHeight="1" x14ac:dyDescent="0.15">
      <c r="A5" s="21" t="str">
        <f t="shared" si="0"/>
        <v>11207_1-1/51&lt;lv16&gt;s2</v>
      </c>
      <c r="B5" s="37">
        <v>11207</v>
      </c>
      <c r="C5" s="38">
        <v>1</v>
      </c>
      <c r="D5" s="20" t="str">
        <f t="shared" si="1"/>
        <v>11207_1</v>
      </c>
      <c r="E5" s="5" t="str">
        <f ca="1">VLOOKUP($B5,OFFSET([1]quests!$A$1,0,0,COUNTA([1]quests!$A:$A),MATCH(E$1,[1]quests!$1:$1,0)-MATCH($B$1,[1]quests!$1:$1,0)+1),MATCH(E$1,[1]quests!$1:$1,0)-MATCH($B$1,[1]quests!$1:$1,0)+1,FALSE)</f>
        <v>果実達の大宴会</v>
      </c>
      <c r="F5" s="5" t="str">
        <f ca="1">VLOOKUP($D5,OFFSET([1]stages!$A$1,0,0,COUNTA([1]stages!$A:$A),MATCH(F$1,[1]stages!$2:$2,0)-MATCH($D$1,[1]stages!$2:$2,0)+1),MATCH(F$1,[1]stages!$2:$2,0)-MATCH($D$1,[1]stages!$2:$2,0)+1,FALSE)</f>
        <v>【上級】果実達の大宴会</v>
      </c>
      <c r="G5" s="39">
        <v>1</v>
      </c>
      <c r="H5" s="20" t="str">
        <f t="shared" si="2"/>
        <v>11207_1-1</v>
      </c>
      <c r="I5" s="40">
        <v>51</v>
      </c>
      <c r="J5" s="26" t="e">
        <f ca="1">VLOOKUP($I5,OFFSET([2]enemies!$A$1,0,0,COUNTA([2]enemies!$A:$A),MATCH(J$1,[2]enemies!$2:$2,0)-MATCH($I$1,[2]enemies!$2:$2,0)+1),MATCH(J$1,[2]enemies!$2:$2,0)-MATCH($I$1,[2]enemies!$2:$2,0)+1,FALSE)</f>
        <v>#N/A</v>
      </c>
      <c r="K5" s="29" t="e">
        <f ca="1">VLOOKUP($I5,OFFSET([2]enemies!$A$1,0,0,COUNTA([2]enemies!$A:$A),MATCH(K$1,[2]enemies!$2:$2,0)-MATCH($I$1,[2]enemies!$2:$2,0)+1),MATCH(K$1,[2]enemies!$2:$2,0)-MATCH($I$1,[2]enemies!$2:$2,0)+1,FALSE)</f>
        <v>#N/A</v>
      </c>
      <c r="L5" s="29" t="e">
        <f ca="1">VLOOKUP($I5,OFFSET([3]characters!$A$1,0,0,COUNTA([3]characters!$A:$A),MATCH(L$1,[3]characters!$2:$2,0)-MATCH($I$1,[3]characters!$2:$2,0)+1),MATCH(L$1,[3]characters!$2:$2,0)-MATCH($I$1,[3]characters!$2:$2,0)+1,FALSE)</f>
        <v>#N/A</v>
      </c>
      <c r="M5" s="28" t="e">
        <f ca="1">VLOOKUP($I5,OFFSET([3]characters!$A$1,0,0,COUNTA([3]characters!$A:$A),MATCH(M$1,[3]characters!$2:$2,0)-MATCH($I$1,[3]characters!$2:$2,0)+2),MATCH(M$1,[3]characters!$2:$2,0)-MATCH($I$1,[3]characters!$2:$2,0)+2,FALSE)</f>
        <v>#N/A</v>
      </c>
      <c r="N5" s="5" t="e">
        <f ca="1">VLOOKUP($I5,OFFSET([2]enemies!$A$1,0,0,COUNTA([2]enemies!$A:$A),MATCH(N$1,[2]enemies!$2:$2,0)-MATCH($I$1,[2]enemies!$2:$2,0)+1),MATCH(N$1,[2]enemies!$2:$2,0)-MATCH($I$1,[2]enemies!$2:$2,0)+1,FALSE)</f>
        <v>#N/A</v>
      </c>
      <c r="O5" s="6">
        <v>16</v>
      </c>
      <c r="P5" s="34">
        <v>0.7</v>
      </c>
      <c r="Q5" s="34">
        <v>1</v>
      </c>
      <c r="R5" s="6">
        <v>0</v>
      </c>
      <c r="S5" s="5" t="str">
        <f ca="1">VLOOKUP($T5,OFFSET([4]enemy_skill_sets!$B$1,0,0,COUNTA([4]enemy_skill_sets!$B:$B),MATCH(J$1,[4]enemy_skill_sets!$1:$1,0)-MATCH($T$1,[4]enemy_skill_sets!$1:$1,0)+2),MATCH(J$1,[4]enemy_skill_sets!$1:$1,0)-MATCH($T$1,[4]enemy_skill_sets!$1:$1,0)+2,FALSE)</f>
        <v>次のターン強力な攻撃</v>
      </c>
      <c r="T5" s="46">
        <v>51</v>
      </c>
      <c r="U5" s="7">
        <v>1</v>
      </c>
      <c r="V5" s="7">
        <v>0</v>
      </c>
      <c r="W5" s="7">
        <v>1</v>
      </c>
      <c r="X5" s="47">
        <v>2</v>
      </c>
      <c r="Y5" s="40">
        <v>51</v>
      </c>
      <c r="Z5" s="5" t="str">
        <f ca="1">IFERROR(VLOOKUP($Y5,OFFSET([3]characters!$A$1,0,0,COUNTA([3]characters!$A:$A),MATCH(Z$1,[3]characters!$2:$2,0)-MATCH("character_id",[3]characters!$2:$2,0)+1),MATCH(Z$1,[3]characters!$2:$2,0)-MATCH("character_id",[3]characters!$2:$2,0)+1,FALSE),"")</f>
        <v/>
      </c>
      <c r="AA5" s="5" t="str">
        <f ca="1">IFERROR(VLOOKUP($Y5,OFFSET([3]characters!$A$1,0,0,COUNTA([3]characters!$A:$A),MATCH(AA$1,[3]characters!$2:$2,0)-MATCH("character_id",[3]characters!$2:$2,0)+1),MATCH(AA$1,[3]characters!$2:$2,0)-MATCH("character_id",[3]characters!$2:$2,0)+1,FALSE),"")</f>
        <v/>
      </c>
      <c r="AB5" s="5" t="str">
        <f ca="1">IFERROR(VLOOKUP($Y5,OFFSET([3]characters!$A$1,0,0,COUNTA([3]characters!$A:$A),MATCH(AB$1,[3]characters!$2:$2,0)-MATCH("character_id",[3]characters!$2:$2,0)+1),MATCH(AB$1,[3]characters!$2:$2,0)-MATCH("character_id",[3]characters!$2:$2,0)+1,FALSE),"")</f>
        <v/>
      </c>
      <c r="AC5" s="37">
        <v>1</v>
      </c>
      <c r="AD5" s="41" t="str">
        <f t="shared" ca="1" si="3"/>
        <v/>
      </c>
      <c r="AE5" s="9">
        <v>0</v>
      </c>
      <c r="AF5" s="37">
        <v>0</v>
      </c>
      <c r="AG5" s="37">
        <v>0</v>
      </c>
      <c r="AH5" s="37">
        <v>0</v>
      </c>
      <c r="AI5" s="37">
        <v>0</v>
      </c>
      <c r="AJ5" s="37">
        <v>1</v>
      </c>
    </row>
    <row r="6" spans="1:36" ht="21" customHeight="1" x14ac:dyDescent="0.15">
      <c r="A6" s="21" t="str">
        <f t="shared" si="0"/>
        <v>11207_1-2/121&lt;lv16&gt;s1</v>
      </c>
      <c r="B6" s="37">
        <v>11207</v>
      </c>
      <c r="C6" s="38">
        <v>1</v>
      </c>
      <c r="D6" s="20" t="str">
        <f t="shared" si="1"/>
        <v>11207_1</v>
      </c>
      <c r="E6" s="5" t="str">
        <f ca="1">VLOOKUP($B6,OFFSET([1]quests!$A$1,0,0,COUNTA([1]quests!$A:$A),MATCH(E$1,[1]quests!$1:$1,0)-MATCH($B$1,[1]quests!$1:$1,0)+1),MATCH(E$1,[1]quests!$1:$1,0)-MATCH($B$1,[1]quests!$1:$1,0)+1,FALSE)</f>
        <v>果実達の大宴会</v>
      </c>
      <c r="F6" s="5" t="str">
        <f ca="1">VLOOKUP($D6,OFFSET([1]stages!$A$1,0,0,COUNTA([1]stages!$A:$A),MATCH(F$1,[1]stages!$2:$2,0)-MATCH($D$1,[1]stages!$2:$2,0)+1),MATCH(F$1,[1]stages!$2:$2,0)-MATCH($D$1,[1]stages!$2:$2,0)+1,FALSE)</f>
        <v>【上級】果実達の大宴会</v>
      </c>
      <c r="G6" s="42">
        <v>2</v>
      </c>
      <c r="H6" s="20" t="str">
        <f t="shared" si="2"/>
        <v>11207_1-2</v>
      </c>
      <c r="I6" s="40">
        <v>121</v>
      </c>
      <c r="J6" s="26" t="e">
        <f ca="1">VLOOKUP($I6,OFFSET([2]enemies!$A$1,0,0,COUNTA([2]enemies!$A:$A),MATCH(J$1,[2]enemies!$2:$2,0)-MATCH($I$1,[2]enemies!$2:$2,0)+1),MATCH(J$1,[2]enemies!$2:$2,0)-MATCH($I$1,[2]enemies!$2:$2,0)+1,FALSE)</f>
        <v>#N/A</v>
      </c>
      <c r="K6" s="29" t="e">
        <f ca="1">VLOOKUP($I6,OFFSET([2]enemies!$A$1,0,0,COUNTA([2]enemies!$A:$A),MATCH(K$1,[2]enemies!$2:$2,0)-MATCH($I$1,[2]enemies!$2:$2,0)+1),MATCH(K$1,[2]enemies!$2:$2,0)-MATCH($I$1,[2]enemies!$2:$2,0)+1,FALSE)</f>
        <v>#N/A</v>
      </c>
      <c r="L6" s="29" t="e">
        <f ca="1">VLOOKUP($I6,OFFSET([3]characters!$A$1,0,0,COUNTA([3]characters!$A:$A),MATCH(L$1,[3]characters!$2:$2,0)-MATCH($I$1,[3]characters!$2:$2,0)+1),MATCH(L$1,[3]characters!$2:$2,0)-MATCH($I$1,[3]characters!$2:$2,0)+1,FALSE)</f>
        <v>#N/A</v>
      </c>
      <c r="M6" s="28" t="e">
        <f ca="1">VLOOKUP($I6,OFFSET([3]characters!$A$1,0,0,COUNTA([3]characters!$A:$A),MATCH(M$1,[3]characters!$2:$2,0)-MATCH($I$1,[3]characters!$2:$2,0)+2),MATCH(M$1,[3]characters!$2:$2,0)-MATCH($I$1,[3]characters!$2:$2,0)+2,FALSE)</f>
        <v>#N/A</v>
      </c>
      <c r="N6" s="5" t="e">
        <f ca="1">VLOOKUP($I6,OFFSET([2]enemies!$A$1,0,0,COUNTA([2]enemies!$A:$A),MATCH(N$1,[2]enemies!$2:$2,0)-MATCH($I$1,[2]enemies!$2:$2,0)+1),MATCH(N$1,[2]enemies!$2:$2,0)-MATCH($I$1,[2]enemies!$2:$2,0)+1,FALSE)</f>
        <v>#N/A</v>
      </c>
      <c r="O6" s="6">
        <v>16</v>
      </c>
      <c r="P6" s="34">
        <v>0.7</v>
      </c>
      <c r="Q6" s="34">
        <v>1</v>
      </c>
      <c r="R6" s="6">
        <v>0</v>
      </c>
      <c r="S6" s="5" t="str">
        <f ca="1">VLOOKUP($T6,OFFSET([4]enemy_skill_sets!$B$1,0,0,COUNTA([4]enemy_skill_sets!$B:$B),MATCH(J$1,[4]enemy_skill_sets!$1:$1,0)-MATCH($T$1,[4]enemy_skill_sets!$1:$1,0)+2),MATCH(J$1,[4]enemy_skill_sets!$1:$1,0)-MATCH($T$1,[4]enemy_skill_sets!$1:$1,0)+2,FALSE)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6" s="46">
        <v>0</v>
      </c>
      <c r="U6" s="7">
        <v>0</v>
      </c>
      <c r="V6" s="7">
        <v>100</v>
      </c>
      <c r="W6" s="7">
        <v>0</v>
      </c>
      <c r="X6" s="47">
        <v>1</v>
      </c>
      <c r="Y6" s="40">
        <v>121</v>
      </c>
      <c r="Z6" s="5" t="str">
        <f ca="1">IFERROR(VLOOKUP($Y6,OFFSET([3]characters!$A$1,0,0,COUNTA([3]characters!$A:$A),MATCH(Z$1,[3]characters!$2:$2,0)-MATCH("character_id",[3]characters!$2:$2,0)+1),MATCH(Z$1,[3]characters!$2:$2,0)-MATCH("character_id",[3]characters!$2:$2,0)+1,FALSE),"")</f>
        <v/>
      </c>
      <c r="AA6" s="5" t="str">
        <f ca="1">IFERROR(VLOOKUP($Y6,OFFSET([3]characters!$A$1,0,0,COUNTA([3]characters!$A:$A),MATCH(AA$1,[3]characters!$2:$2,0)-MATCH("character_id",[3]characters!$2:$2,0)+1),MATCH(AA$1,[3]characters!$2:$2,0)-MATCH("character_id",[3]characters!$2:$2,0)+1,FALSE),"")</f>
        <v/>
      </c>
      <c r="AB6" s="5" t="str">
        <f ca="1">IFERROR(VLOOKUP($Y6,OFFSET([3]characters!$A$1,0,0,COUNTA([3]characters!$A:$A),MATCH(AB$1,[3]characters!$2:$2,0)-MATCH("character_id",[3]characters!$2:$2,0)+1),MATCH(AB$1,[3]characters!$2:$2,0)-MATCH("character_id",[3]characters!$2:$2,0)+1,FALSE),"")</f>
        <v/>
      </c>
      <c r="AC6" s="37">
        <v>1</v>
      </c>
      <c r="AD6" s="41" t="str">
        <f t="shared" ca="1" si="3"/>
        <v/>
      </c>
      <c r="AE6" s="9">
        <v>100</v>
      </c>
      <c r="AF6" s="37">
        <v>0</v>
      </c>
      <c r="AG6" s="37">
        <v>0</v>
      </c>
      <c r="AH6" s="37">
        <v>0</v>
      </c>
      <c r="AI6" s="37">
        <v>0</v>
      </c>
      <c r="AJ6" s="37">
        <v>1</v>
      </c>
    </row>
    <row r="7" spans="1:36" ht="21" customHeight="1" x14ac:dyDescent="0.15">
      <c r="A7" s="21" t="str">
        <f t="shared" si="0"/>
        <v>11207_1-2/122&lt;lv16&gt;s3</v>
      </c>
      <c r="B7" s="37">
        <v>11207</v>
      </c>
      <c r="C7" s="38">
        <v>1</v>
      </c>
      <c r="D7" s="20" t="str">
        <f t="shared" si="1"/>
        <v>11207_1</v>
      </c>
      <c r="E7" s="5" t="str">
        <f ca="1">VLOOKUP($B7,OFFSET([1]quests!$A$1,0,0,COUNTA([1]quests!$A:$A),MATCH(E$1,[1]quests!$1:$1,0)-MATCH($B$1,[1]quests!$1:$1,0)+1),MATCH(E$1,[1]quests!$1:$1,0)-MATCH($B$1,[1]quests!$1:$1,0)+1,FALSE)</f>
        <v>果実達の大宴会</v>
      </c>
      <c r="F7" s="5" t="str">
        <f ca="1">VLOOKUP($D7,OFFSET([1]stages!$A$1,0,0,COUNTA([1]stages!$A:$A),MATCH(F$1,[1]stages!$2:$2,0)-MATCH($D$1,[1]stages!$2:$2,0)+1),MATCH(F$1,[1]stages!$2:$2,0)-MATCH($D$1,[1]stages!$2:$2,0)+1,FALSE)</f>
        <v>【上級】果実達の大宴会</v>
      </c>
      <c r="G7" s="42">
        <v>2</v>
      </c>
      <c r="H7" s="20" t="str">
        <f t="shared" si="2"/>
        <v>11207_1-2</v>
      </c>
      <c r="I7" s="40">
        <v>122</v>
      </c>
      <c r="J7" s="26" t="e">
        <f ca="1">VLOOKUP($I7,OFFSET([2]enemies!$A$1,0,0,COUNTA([2]enemies!$A:$A),MATCH(J$1,[2]enemies!$2:$2,0)-MATCH($I$1,[2]enemies!$2:$2,0)+1),MATCH(J$1,[2]enemies!$2:$2,0)-MATCH($I$1,[2]enemies!$2:$2,0)+1,FALSE)</f>
        <v>#N/A</v>
      </c>
      <c r="K7" s="29" t="e">
        <f ca="1">VLOOKUP($I7,OFFSET([2]enemies!$A$1,0,0,COUNTA([2]enemies!$A:$A),MATCH(K$1,[2]enemies!$2:$2,0)-MATCH($I$1,[2]enemies!$2:$2,0)+1),MATCH(K$1,[2]enemies!$2:$2,0)-MATCH($I$1,[2]enemies!$2:$2,0)+1,FALSE)</f>
        <v>#N/A</v>
      </c>
      <c r="L7" s="29" t="e">
        <f ca="1">VLOOKUP($I7,OFFSET([3]characters!$A$1,0,0,COUNTA([3]characters!$A:$A),MATCH(L$1,[3]characters!$2:$2,0)-MATCH($I$1,[3]characters!$2:$2,0)+1),MATCH(L$1,[3]characters!$2:$2,0)-MATCH($I$1,[3]characters!$2:$2,0)+1,FALSE)</f>
        <v>#N/A</v>
      </c>
      <c r="M7" s="28" t="e">
        <f ca="1">VLOOKUP($I7,OFFSET([3]characters!$A$1,0,0,COUNTA([3]characters!$A:$A),MATCH(M$1,[3]characters!$2:$2,0)-MATCH($I$1,[3]characters!$2:$2,0)+2),MATCH(M$1,[3]characters!$2:$2,0)-MATCH($I$1,[3]characters!$2:$2,0)+2,FALSE)</f>
        <v>#N/A</v>
      </c>
      <c r="N7" s="5" t="e">
        <f ca="1">VLOOKUP($I7,OFFSET([2]enemies!$A$1,0,0,COUNTA([2]enemies!$A:$A),MATCH(N$1,[2]enemies!$2:$2,0)-MATCH($I$1,[2]enemies!$2:$2,0)+1),MATCH(N$1,[2]enemies!$2:$2,0)-MATCH($I$1,[2]enemies!$2:$2,0)+1,FALSE)</f>
        <v>#N/A</v>
      </c>
      <c r="O7" s="6">
        <v>16</v>
      </c>
      <c r="P7" s="34">
        <v>0.7</v>
      </c>
      <c r="Q7" s="34">
        <v>1</v>
      </c>
      <c r="R7" s="6">
        <v>0</v>
      </c>
      <c r="S7" s="5" t="str">
        <f ca="1">VLOOKUP($T7,OFFSET([4]enemy_skill_sets!$B$1,0,0,COUNTA([4]enemy_skill_sets!$B:$B),MATCH(J$1,[4]enemy_skill_sets!$1:$1,0)-MATCH($T$1,[4]enemy_skill_sets!$1:$1,0)+2),MATCH(J$1,[4]enemy_skill_sets!$1:$1,0)-MATCH($T$1,[4]enemy_skill_sets!$1:$1,0)+2,FALSE)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7" s="46">
        <v>0</v>
      </c>
      <c r="U7" s="7">
        <v>0</v>
      </c>
      <c r="V7" s="7">
        <v>100</v>
      </c>
      <c r="W7" s="7">
        <v>0</v>
      </c>
      <c r="X7" s="47">
        <v>3</v>
      </c>
      <c r="Y7" s="40">
        <v>122</v>
      </c>
      <c r="Z7" s="5" t="str">
        <f ca="1">IFERROR(VLOOKUP($Y7,OFFSET([3]characters!$A$1,0,0,COUNTA([3]characters!$A:$A),MATCH(Z$1,[3]characters!$2:$2,0)-MATCH("character_id",[3]characters!$2:$2,0)+1),MATCH(Z$1,[3]characters!$2:$2,0)-MATCH("character_id",[3]characters!$2:$2,0)+1,FALSE),"")</f>
        <v/>
      </c>
      <c r="AA7" s="5" t="str">
        <f ca="1">IFERROR(VLOOKUP($Y7,OFFSET([3]characters!$A$1,0,0,COUNTA([3]characters!$A:$A),MATCH(AA$1,[3]characters!$2:$2,0)-MATCH("character_id",[3]characters!$2:$2,0)+1),MATCH(AA$1,[3]characters!$2:$2,0)-MATCH("character_id",[3]characters!$2:$2,0)+1,FALSE),"")</f>
        <v/>
      </c>
      <c r="AB7" s="5" t="str">
        <f ca="1">IFERROR(VLOOKUP($Y7,OFFSET([3]characters!$A$1,0,0,COUNTA([3]characters!$A:$A),MATCH(AB$1,[3]characters!$2:$2,0)-MATCH("character_id",[3]characters!$2:$2,0)+1),MATCH(AB$1,[3]characters!$2:$2,0)-MATCH("character_id",[3]characters!$2:$2,0)+1,FALSE),"")</f>
        <v/>
      </c>
      <c r="AC7" s="37">
        <v>1</v>
      </c>
      <c r="AD7" s="41" t="str">
        <f t="shared" ca="1" si="3"/>
        <v/>
      </c>
      <c r="AE7" s="9">
        <v>100</v>
      </c>
      <c r="AF7" s="37">
        <v>0</v>
      </c>
      <c r="AG7" s="37">
        <v>0</v>
      </c>
      <c r="AH7" s="37">
        <v>0</v>
      </c>
      <c r="AI7" s="37">
        <v>0</v>
      </c>
      <c r="AJ7" s="37">
        <v>1</v>
      </c>
    </row>
    <row r="8" spans="1:36" ht="21" customHeight="1" x14ac:dyDescent="0.15">
      <c r="A8" s="21" t="str">
        <f t="shared" si="0"/>
        <v>11207_1-2/123&lt;lv16&gt;s2</v>
      </c>
      <c r="B8" s="37">
        <v>11207</v>
      </c>
      <c r="C8" s="38">
        <v>1</v>
      </c>
      <c r="D8" s="20" t="str">
        <f t="shared" si="1"/>
        <v>11207_1</v>
      </c>
      <c r="E8" s="5" t="str">
        <f ca="1">VLOOKUP($B8,OFFSET([1]quests!$A$1,0,0,COUNTA([1]quests!$A:$A),MATCH(E$1,[1]quests!$1:$1,0)-MATCH($B$1,[1]quests!$1:$1,0)+1),MATCH(E$1,[1]quests!$1:$1,0)-MATCH($B$1,[1]quests!$1:$1,0)+1,FALSE)</f>
        <v>果実達の大宴会</v>
      </c>
      <c r="F8" s="5" t="str">
        <f ca="1">VLOOKUP($D8,OFFSET([1]stages!$A$1,0,0,COUNTA([1]stages!$A:$A),MATCH(F$1,[1]stages!$2:$2,0)-MATCH($D$1,[1]stages!$2:$2,0)+1),MATCH(F$1,[1]stages!$2:$2,0)-MATCH($D$1,[1]stages!$2:$2,0)+1,FALSE)</f>
        <v>【上級】果実達の大宴会</v>
      </c>
      <c r="G8" s="42">
        <v>2</v>
      </c>
      <c r="H8" s="20" t="str">
        <f t="shared" si="2"/>
        <v>11207_1-2</v>
      </c>
      <c r="I8" s="40">
        <v>123</v>
      </c>
      <c r="J8" s="26" t="e">
        <f ca="1">VLOOKUP($I8,OFFSET([2]enemies!$A$1,0,0,COUNTA([2]enemies!$A:$A),MATCH(J$1,[2]enemies!$2:$2,0)-MATCH($I$1,[2]enemies!$2:$2,0)+1),MATCH(J$1,[2]enemies!$2:$2,0)-MATCH($I$1,[2]enemies!$2:$2,0)+1,FALSE)</f>
        <v>#N/A</v>
      </c>
      <c r="K8" s="29" t="e">
        <f ca="1">VLOOKUP($I8,OFFSET([2]enemies!$A$1,0,0,COUNTA([2]enemies!$A:$A),MATCH(K$1,[2]enemies!$2:$2,0)-MATCH($I$1,[2]enemies!$2:$2,0)+1),MATCH(K$1,[2]enemies!$2:$2,0)-MATCH($I$1,[2]enemies!$2:$2,0)+1,FALSE)</f>
        <v>#N/A</v>
      </c>
      <c r="L8" s="29" t="e">
        <f ca="1">VLOOKUP($I8,OFFSET([3]characters!$A$1,0,0,COUNTA([3]characters!$A:$A),MATCH(L$1,[3]characters!$2:$2,0)-MATCH($I$1,[3]characters!$2:$2,0)+1),MATCH(L$1,[3]characters!$2:$2,0)-MATCH($I$1,[3]characters!$2:$2,0)+1,FALSE)</f>
        <v>#N/A</v>
      </c>
      <c r="M8" s="28" t="e">
        <f ca="1">VLOOKUP($I8,OFFSET([3]characters!$A$1,0,0,COUNTA([3]characters!$A:$A),MATCH(M$1,[3]characters!$2:$2,0)-MATCH($I$1,[3]characters!$2:$2,0)+2),MATCH(M$1,[3]characters!$2:$2,0)-MATCH($I$1,[3]characters!$2:$2,0)+2,FALSE)</f>
        <v>#N/A</v>
      </c>
      <c r="N8" s="5" t="e">
        <f ca="1">VLOOKUP($I8,OFFSET([2]enemies!$A$1,0,0,COUNTA([2]enemies!$A:$A),MATCH(N$1,[2]enemies!$2:$2,0)-MATCH($I$1,[2]enemies!$2:$2,0)+1),MATCH(N$1,[2]enemies!$2:$2,0)-MATCH($I$1,[2]enemies!$2:$2,0)+1,FALSE)</f>
        <v>#N/A</v>
      </c>
      <c r="O8" s="6">
        <v>16</v>
      </c>
      <c r="P8" s="34">
        <v>0.7</v>
      </c>
      <c r="Q8" s="34">
        <v>1</v>
      </c>
      <c r="R8" s="6">
        <v>0</v>
      </c>
      <c r="S8" s="5" t="str">
        <f ca="1">VLOOKUP($T8,OFFSET([4]enemy_skill_sets!$B$1,0,0,COUNTA([4]enemy_skill_sets!$B:$B),MATCH(J$1,[4]enemy_skill_sets!$1:$1,0)-MATCH($T$1,[4]enemy_skill_sets!$1:$1,0)+2),MATCH(J$1,[4]enemy_skill_sets!$1:$1,0)-MATCH($T$1,[4]enemy_skill_sets!$1:$1,0)+2,FALSE)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8" s="46">
        <v>0</v>
      </c>
      <c r="U8" s="7">
        <v>0</v>
      </c>
      <c r="V8" s="7">
        <v>100</v>
      </c>
      <c r="W8" s="7">
        <v>0</v>
      </c>
      <c r="X8" s="47">
        <v>2</v>
      </c>
      <c r="Y8" s="40">
        <v>123</v>
      </c>
      <c r="Z8" s="5" t="str">
        <f ca="1">IFERROR(VLOOKUP($Y8,OFFSET([3]characters!$A$1,0,0,COUNTA([3]characters!$A:$A),MATCH(Z$1,[3]characters!$2:$2,0)-MATCH("character_id",[3]characters!$2:$2,0)+1),MATCH(Z$1,[3]characters!$2:$2,0)-MATCH("character_id",[3]characters!$2:$2,0)+1,FALSE),"")</f>
        <v/>
      </c>
      <c r="AA8" s="5" t="str">
        <f ca="1">IFERROR(VLOOKUP($Y8,OFFSET([3]characters!$A$1,0,0,COUNTA([3]characters!$A:$A),MATCH(AA$1,[3]characters!$2:$2,0)-MATCH("character_id",[3]characters!$2:$2,0)+1),MATCH(AA$1,[3]characters!$2:$2,0)-MATCH("character_id",[3]characters!$2:$2,0)+1,FALSE),"")</f>
        <v/>
      </c>
      <c r="AB8" s="5" t="str">
        <f ca="1">IFERROR(VLOOKUP($Y8,OFFSET([3]characters!$A$1,0,0,COUNTA([3]characters!$A:$A),MATCH(AB$1,[3]characters!$2:$2,0)-MATCH("character_id",[3]characters!$2:$2,0)+1),MATCH(AB$1,[3]characters!$2:$2,0)-MATCH("character_id",[3]characters!$2:$2,0)+1,FALSE),"")</f>
        <v/>
      </c>
      <c r="AC8" s="37">
        <v>1</v>
      </c>
      <c r="AD8" s="41" t="str">
        <f t="shared" ca="1" si="3"/>
        <v/>
      </c>
      <c r="AE8" s="9">
        <v>100</v>
      </c>
      <c r="AF8" s="37">
        <v>0</v>
      </c>
      <c r="AG8" s="37">
        <v>0</v>
      </c>
      <c r="AH8" s="37">
        <v>0</v>
      </c>
      <c r="AI8" s="37">
        <v>0</v>
      </c>
      <c r="AJ8" s="37">
        <v>1</v>
      </c>
    </row>
    <row r="9" spans="1:36" ht="21" customHeight="1" x14ac:dyDescent="0.15">
      <c r="A9" s="21" t="str">
        <f t="shared" si="0"/>
        <v>11207_1-2/53&lt;lv16&gt;s2</v>
      </c>
      <c r="B9" s="37">
        <v>11207</v>
      </c>
      <c r="C9" s="38">
        <v>1</v>
      </c>
      <c r="D9" s="20" t="str">
        <f t="shared" si="1"/>
        <v>11207_1</v>
      </c>
      <c r="E9" s="5" t="str">
        <f ca="1">VLOOKUP($B9,OFFSET([1]quests!$A$1,0,0,COUNTA([1]quests!$A:$A),MATCH(E$1,[1]quests!$1:$1,0)-MATCH($B$1,[1]quests!$1:$1,0)+1),MATCH(E$1,[1]quests!$1:$1,0)-MATCH($B$1,[1]quests!$1:$1,0)+1,FALSE)</f>
        <v>果実達の大宴会</v>
      </c>
      <c r="F9" s="5" t="str">
        <f ca="1">VLOOKUP($D9,OFFSET([1]stages!$A$1,0,0,COUNTA([1]stages!$A:$A),MATCH(F$1,[1]stages!$2:$2,0)-MATCH($D$1,[1]stages!$2:$2,0)+1),MATCH(F$1,[1]stages!$2:$2,0)-MATCH($D$1,[1]stages!$2:$2,0)+1,FALSE)</f>
        <v>【上級】果実達の大宴会</v>
      </c>
      <c r="G9" s="42">
        <v>2</v>
      </c>
      <c r="H9" s="20" t="str">
        <f t="shared" si="2"/>
        <v>11207_1-2</v>
      </c>
      <c r="I9" s="40">
        <v>53</v>
      </c>
      <c r="J9" s="26" t="e">
        <f ca="1">VLOOKUP($I9,OFFSET([2]enemies!$A$1,0,0,COUNTA([2]enemies!$A:$A),MATCH(J$1,[2]enemies!$2:$2,0)-MATCH($I$1,[2]enemies!$2:$2,0)+1),MATCH(J$1,[2]enemies!$2:$2,0)-MATCH($I$1,[2]enemies!$2:$2,0)+1,FALSE)</f>
        <v>#N/A</v>
      </c>
      <c r="K9" s="29" t="e">
        <f ca="1">VLOOKUP($I9,OFFSET([2]enemies!$A$1,0,0,COUNTA([2]enemies!$A:$A),MATCH(K$1,[2]enemies!$2:$2,0)-MATCH($I$1,[2]enemies!$2:$2,0)+1),MATCH(K$1,[2]enemies!$2:$2,0)-MATCH($I$1,[2]enemies!$2:$2,0)+1,FALSE)</f>
        <v>#N/A</v>
      </c>
      <c r="L9" s="29" t="e">
        <f ca="1">VLOOKUP($I9,OFFSET([3]characters!$A$1,0,0,COUNTA([3]characters!$A:$A),MATCH(L$1,[3]characters!$2:$2,0)-MATCH($I$1,[3]characters!$2:$2,0)+1),MATCH(L$1,[3]characters!$2:$2,0)-MATCH($I$1,[3]characters!$2:$2,0)+1,FALSE)</f>
        <v>#N/A</v>
      </c>
      <c r="M9" s="28" t="e">
        <f ca="1">VLOOKUP($I9,OFFSET([3]characters!$A$1,0,0,COUNTA([3]characters!$A:$A),MATCH(M$1,[3]characters!$2:$2,0)-MATCH($I$1,[3]characters!$2:$2,0)+2),MATCH(M$1,[3]characters!$2:$2,0)-MATCH($I$1,[3]characters!$2:$2,0)+2,FALSE)</f>
        <v>#N/A</v>
      </c>
      <c r="N9" s="5" t="e">
        <f ca="1">VLOOKUP($I9,OFFSET([2]enemies!$A$1,0,0,COUNTA([2]enemies!$A:$A),MATCH(N$1,[2]enemies!$2:$2,0)-MATCH($I$1,[2]enemies!$2:$2,0)+1),MATCH(N$1,[2]enemies!$2:$2,0)-MATCH($I$1,[2]enemies!$2:$2,0)+1,FALSE)</f>
        <v>#N/A</v>
      </c>
      <c r="O9" s="6">
        <v>16</v>
      </c>
      <c r="P9" s="34">
        <v>0.7</v>
      </c>
      <c r="Q9" s="34">
        <v>1</v>
      </c>
      <c r="R9" s="6">
        <v>0</v>
      </c>
      <c r="S9" s="5" t="str">
        <f ca="1">VLOOKUP($T9,OFFSET([4]enemy_skill_sets!$B$1,0,0,COUNTA([4]enemy_skill_sets!$B:$B),MATCH(J$1,[4]enemy_skill_sets!$1:$1,0)-MATCH($T$1,[4]enemy_skill_sets!$1:$1,0)+2),MATCH(J$1,[4]enemy_skill_sets!$1:$1,0)-MATCH($T$1,[4]enemy_skill_sets!$1:$1,0)+2,FALSE)</f>
        <v>効いてしまうと２ターン行動できない</v>
      </c>
      <c r="T9" s="46">
        <v>53</v>
      </c>
      <c r="U9" s="7">
        <v>1</v>
      </c>
      <c r="V9" s="7">
        <v>0</v>
      </c>
      <c r="W9" s="7">
        <v>1</v>
      </c>
      <c r="X9" s="47">
        <v>2</v>
      </c>
      <c r="Y9" s="40">
        <v>53</v>
      </c>
      <c r="Z9" s="5" t="str">
        <f ca="1">IFERROR(VLOOKUP($Y9,OFFSET([3]characters!$A$1,0,0,COUNTA([3]characters!$A:$A),MATCH(Z$1,[3]characters!$2:$2,0)-MATCH("character_id",[3]characters!$2:$2,0)+1),MATCH(Z$1,[3]characters!$2:$2,0)-MATCH("character_id",[3]characters!$2:$2,0)+1,FALSE),"")</f>
        <v/>
      </c>
      <c r="AA9" s="5" t="str">
        <f ca="1">IFERROR(VLOOKUP($Y9,OFFSET([3]characters!$A$1,0,0,COUNTA([3]characters!$A:$A),MATCH(AA$1,[3]characters!$2:$2,0)-MATCH("character_id",[3]characters!$2:$2,0)+1),MATCH(AA$1,[3]characters!$2:$2,0)-MATCH("character_id",[3]characters!$2:$2,0)+1,FALSE),"")</f>
        <v/>
      </c>
      <c r="AB9" s="5" t="str">
        <f ca="1">IFERROR(VLOOKUP($Y9,OFFSET([3]characters!$A$1,0,0,COUNTA([3]characters!$A:$A),MATCH(AB$1,[3]characters!$2:$2,0)-MATCH("character_id",[3]characters!$2:$2,0)+1),MATCH(AB$1,[3]characters!$2:$2,0)-MATCH("character_id",[3]characters!$2:$2,0)+1,FALSE),"")</f>
        <v/>
      </c>
      <c r="AC9" s="37">
        <v>1</v>
      </c>
      <c r="AD9" s="41" t="str">
        <f t="shared" ca="1" si="3"/>
        <v/>
      </c>
      <c r="AE9" s="9">
        <v>0</v>
      </c>
      <c r="AF9" s="37">
        <v>0</v>
      </c>
      <c r="AG9" s="37">
        <v>0</v>
      </c>
      <c r="AH9" s="37">
        <v>0</v>
      </c>
      <c r="AI9" s="37">
        <v>0</v>
      </c>
      <c r="AJ9" s="37">
        <v>1</v>
      </c>
    </row>
    <row r="10" spans="1:36" ht="21" customHeight="1" x14ac:dyDescent="0.15">
      <c r="A10" s="21" t="str">
        <f t="shared" si="0"/>
        <v>11207_1-3/121&lt;lv16&gt;s1</v>
      </c>
      <c r="B10" s="37">
        <v>11207</v>
      </c>
      <c r="C10" s="38">
        <v>1</v>
      </c>
      <c r="D10" s="20" t="str">
        <f t="shared" si="1"/>
        <v>11207_1</v>
      </c>
      <c r="E10" s="5" t="str">
        <f ca="1">VLOOKUP($B10,OFFSET([1]quests!$A$1,0,0,COUNTA([1]quests!$A:$A),MATCH(E$1,[1]quests!$1:$1,0)-MATCH($B$1,[1]quests!$1:$1,0)+1),MATCH(E$1,[1]quests!$1:$1,0)-MATCH($B$1,[1]quests!$1:$1,0)+1,FALSE)</f>
        <v>果実達の大宴会</v>
      </c>
      <c r="F10" s="5" t="str">
        <f ca="1">VLOOKUP($D10,OFFSET([1]stages!$A$1,0,0,COUNTA([1]stages!$A:$A),MATCH(F$1,[1]stages!$2:$2,0)-MATCH($D$1,[1]stages!$2:$2,0)+1),MATCH(F$1,[1]stages!$2:$2,0)-MATCH($D$1,[1]stages!$2:$2,0)+1,FALSE)</f>
        <v>【上級】果実達の大宴会</v>
      </c>
      <c r="G10" s="39">
        <v>3</v>
      </c>
      <c r="H10" s="20" t="str">
        <f t="shared" si="2"/>
        <v>11207_1-3</v>
      </c>
      <c r="I10" s="40">
        <v>121</v>
      </c>
      <c r="J10" s="26" t="e">
        <f ca="1">VLOOKUP($I10,OFFSET([2]enemies!$A$1,0,0,COUNTA([2]enemies!$A:$A),MATCH(J$1,[2]enemies!$2:$2,0)-MATCH($I$1,[2]enemies!$2:$2,0)+1),MATCH(J$1,[2]enemies!$2:$2,0)-MATCH($I$1,[2]enemies!$2:$2,0)+1,FALSE)</f>
        <v>#N/A</v>
      </c>
      <c r="K10" s="29" t="e">
        <f ca="1">VLOOKUP($I10,OFFSET([2]enemies!$A$1,0,0,COUNTA([2]enemies!$A:$A),MATCH(K$1,[2]enemies!$2:$2,0)-MATCH($I$1,[2]enemies!$2:$2,0)+1),MATCH(K$1,[2]enemies!$2:$2,0)-MATCH($I$1,[2]enemies!$2:$2,0)+1,FALSE)</f>
        <v>#N/A</v>
      </c>
      <c r="L10" s="29" t="e">
        <f ca="1">VLOOKUP($I10,OFFSET([3]characters!$A$1,0,0,COUNTA([3]characters!$A:$A),MATCH(L$1,[3]characters!$2:$2,0)-MATCH($I$1,[3]characters!$2:$2,0)+1),MATCH(L$1,[3]characters!$2:$2,0)-MATCH($I$1,[3]characters!$2:$2,0)+1,FALSE)</f>
        <v>#N/A</v>
      </c>
      <c r="M10" s="28" t="e">
        <f ca="1">VLOOKUP($I10,OFFSET([3]characters!$A$1,0,0,COUNTA([3]characters!$A:$A),MATCH(M$1,[3]characters!$2:$2,0)-MATCH($I$1,[3]characters!$2:$2,0)+2),MATCH(M$1,[3]characters!$2:$2,0)-MATCH($I$1,[3]characters!$2:$2,0)+2,FALSE)</f>
        <v>#N/A</v>
      </c>
      <c r="N10" s="5" t="e">
        <f ca="1">VLOOKUP($I10,OFFSET([2]enemies!$A$1,0,0,COUNTA([2]enemies!$A:$A),MATCH(N$1,[2]enemies!$2:$2,0)-MATCH($I$1,[2]enemies!$2:$2,0)+1),MATCH(N$1,[2]enemies!$2:$2,0)-MATCH($I$1,[2]enemies!$2:$2,0)+1,FALSE)</f>
        <v>#N/A</v>
      </c>
      <c r="O10" s="6">
        <v>16</v>
      </c>
      <c r="P10" s="34">
        <v>0.7</v>
      </c>
      <c r="Q10" s="34">
        <v>1</v>
      </c>
      <c r="R10" s="6">
        <v>0</v>
      </c>
      <c r="S10" s="5" t="str">
        <f ca="1">VLOOKUP($T10,OFFSET([4]enemy_skill_sets!$B$1,0,0,COUNTA([4]enemy_skill_sets!$B:$B),MATCH(J$1,[4]enemy_skill_sets!$1:$1,0)-MATCH($T$1,[4]enemy_skill_sets!$1:$1,0)+2),MATCH(J$1,[4]enemy_skill_sets!$1:$1,0)-MATCH($T$1,[4]enemy_skill_sets!$1:$1,0)+2,FALSE)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0" s="46">
        <v>0</v>
      </c>
      <c r="U10" s="7">
        <v>0</v>
      </c>
      <c r="V10" s="7">
        <v>100</v>
      </c>
      <c r="W10" s="7">
        <v>0</v>
      </c>
      <c r="X10" s="47">
        <v>1</v>
      </c>
      <c r="Y10" s="40">
        <v>121</v>
      </c>
      <c r="Z10" s="5" t="str">
        <f ca="1">IFERROR(VLOOKUP($Y10,OFFSET([3]characters!$A$1,0,0,COUNTA([3]characters!$A:$A),MATCH(Z$1,[3]characters!$2:$2,0)-MATCH("character_id",[3]characters!$2:$2,0)+1),MATCH(Z$1,[3]characters!$2:$2,0)-MATCH("character_id",[3]characters!$2:$2,0)+1,FALSE),"")</f>
        <v/>
      </c>
      <c r="AA10" s="5" t="str">
        <f ca="1">IFERROR(VLOOKUP($Y10,OFFSET([3]characters!$A$1,0,0,COUNTA([3]characters!$A:$A),MATCH(AA$1,[3]characters!$2:$2,0)-MATCH("character_id",[3]characters!$2:$2,0)+1),MATCH(AA$1,[3]characters!$2:$2,0)-MATCH("character_id",[3]characters!$2:$2,0)+1,FALSE),"")</f>
        <v/>
      </c>
      <c r="AB10" s="5" t="str">
        <f ca="1">IFERROR(VLOOKUP($Y10,OFFSET([3]characters!$A$1,0,0,COUNTA([3]characters!$A:$A),MATCH(AB$1,[3]characters!$2:$2,0)-MATCH("character_id",[3]characters!$2:$2,0)+1),MATCH(AB$1,[3]characters!$2:$2,0)-MATCH("character_id",[3]characters!$2:$2,0)+1,FALSE),"")</f>
        <v/>
      </c>
      <c r="AC10" s="37">
        <v>1</v>
      </c>
      <c r="AD10" s="41" t="str">
        <f t="shared" ca="1" si="3"/>
        <v/>
      </c>
      <c r="AE10" s="9">
        <v>100</v>
      </c>
      <c r="AF10" s="37">
        <v>0</v>
      </c>
      <c r="AG10" s="37">
        <v>0</v>
      </c>
      <c r="AH10" s="37">
        <v>0</v>
      </c>
      <c r="AI10" s="37">
        <v>0</v>
      </c>
      <c r="AJ10" s="37">
        <v>1</v>
      </c>
    </row>
    <row r="11" spans="1:36" ht="21" customHeight="1" x14ac:dyDescent="0.15">
      <c r="A11" s="21" t="str">
        <f t="shared" si="0"/>
        <v>11207_1-3/122&lt;lv16&gt;s3</v>
      </c>
      <c r="B11" s="37">
        <v>11207</v>
      </c>
      <c r="C11" s="38">
        <v>1</v>
      </c>
      <c r="D11" s="20" t="str">
        <f t="shared" si="1"/>
        <v>11207_1</v>
      </c>
      <c r="E11" s="5" t="str">
        <f ca="1">VLOOKUP($B11,OFFSET([1]quests!$A$1,0,0,COUNTA([1]quests!$A:$A),MATCH(E$1,[1]quests!$1:$1,0)-MATCH($B$1,[1]quests!$1:$1,0)+1),MATCH(E$1,[1]quests!$1:$1,0)-MATCH($B$1,[1]quests!$1:$1,0)+1,FALSE)</f>
        <v>果実達の大宴会</v>
      </c>
      <c r="F11" s="5" t="str">
        <f ca="1">VLOOKUP($D11,OFFSET([1]stages!$A$1,0,0,COUNTA([1]stages!$A:$A),MATCH(F$1,[1]stages!$2:$2,0)-MATCH($D$1,[1]stages!$2:$2,0)+1),MATCH(F$1,[1]stages!$2:$2,0)-MATCH($D$1,[1]stages!$2:$2,0)+1,FALSE)</f>
        <v>【上級】果実達の大宴会</v>
      </c>
      <c r="G11" s="39">
        <v>3</v>
      </c>
      <c r="H11" s="20" t="str">
        <f t="shared" si="2"/>
        <v>11207_1-3</v>
      </c>
      <c r="I11" s="40">
        <v>122</v>
      </c>
      <c r="J11" s="26" t="e">
        <f ca="1">VLOOKUP($I11,OFFSET([2]enemies!$A$1,0,0,COUNTA([2]enemies!$A:$A),MATCH(J$1,[2]enemies!$2:$2,0)-MATCH($I$1,[2]enemies!$2:$2,0)+1),MATCH(J$1,[2]enemies!$2:$2,0)-MATCH($I$1,[2]enemies!$2:$2,0)+1,FALSE)</f>
        <v>#N/A</v>
      </c>
      <c r="K11" s="29" t="e">
        <f ca="1">VLOOKUP($I11,OFFSET([2]enemies!$A$1,0,0,COUNTA([2]enemies!$A:$A),MATCH(K$1,[2]enemies!$2:$2,0)-MATCH($I$1,[2]enemies!$2:$2,0)+1),MATCH(K$1,[2]enemies!$2:$2,0)-MATCH($I$1,[2]enemies!$2:$2,0)+1,FALSE)</f>
        <v>#N/A</v>
      </c>
      <c r="L11" s="29" t="e">
        <f ca="1">VLOOKUP($I11,OFFSET([3]characters!$A$1,0,0,COUNTA([3]characters!$A:$A),MATCH(L$1,[3]characters!$2:$2,0)-MATCH($I$1,[3]characters!$2:$2,0)+1),MATCH(L$1,[3]characters!$2:$2,0)-MATCH($I$1,[3]characters!$2:$2,0)+1,FALSE)</f>
        <v>#N/A</v>
      </c>
      <c r="M11" s="28" t="e">
        <f ca="1">VLOOKUP($I11,OFFSET([3]characters!$A$1,0,0,COUNTA([3]characters!$A:$A),MATCH(M$1,[3]characters!$2:$2,0)-MATCH($I$1,[3]characters!$2:$2,0)+2),MATCH(M$1,[3]characters!$2:$2,0)-MATCH($I$1,[3]characters!$2:$2,0)+2,FALSE)</f>
        <v>#N/A</v>
      </c>
      <c r="N11" s="5" t="e">
        <f ca="1">VLOOKUP($I11,OFFSET([2]enemies!$A$1,0,0,COUNTA([2]enemies!$A:$A),MATCH(N$1,[2]enemies!$2:$2,0)-MATCH($I$1,[2]enemies!$2:$2,0)+1),MATCH(N$1,[2]enemies!$2:$2,0)-MATCH($I$1,[2]enemies!$2:$2,0)+1,FALSE)</f>
        <v>#N/A</v>
      </c>
      <c r="O11" s="6">
        <v>16</v>
      </c>
      <c r="P11" s="34">
        <v>0.7</v>
      </c>
      <c r="Q11" s="34">
        <v>1</v>
      </c>
      <c r="R11" s="6">
        <v>0</v>
      </c>
      <c r="S11" s="5" t="str">
        <f ca="1">VLOOKUP($T11,OFFSET([4]enemy_skill_sets!$B$1,0,0,COUNTA([4]enemy_skill_sets!$B:$B),MATCH(J$1,[4]enemy_skill_sets!$1:$1,0)-MATCH($T$1,[4]enemy_skill_sets!$1:$1,0)+2),MATCH(J$1,[4]enemy_skill_sets!$1:$1,0)-MATCH($T$1,[4]enemy_skill_sets!$1:$1,0)+2,FALSE)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1" s="46">
        <v>0</v>
      </c>
      <c r="U11" s="7">
        <v>0</v>
      </c>
      <c r="V11" s="7">
        <v>100</v>
      </c>
      <c r="W11" s="7">
        <v>0</v>
      </c>
      <c r="X11" s="47">
        <v>3</v>
      </c>
      <c r="Y11" s="40">
        <v>122</v>
      </c>
      <c r="Z11" s="5" t="str">
        <f ca="1">IFERROR(VLOOKUP($Y11,OFFSET([3]characters!$A$1,0,0,COUNTA([3]characters!$A:$A),MATCH(Z$1,[3]characters!$2:$2,0)-MATCH("character_id",[3]characters!$2:$2,0)+1),MATCH(Z$1,[3]characters!$2:$2,0)-MATCH("character_id",[3]characters!$2:$2,0)+1,FALSE),"")</f>
        <v/>
      </c>
      <c r="AA11" s="5" t="str">
        <f ca="1">IFERROR(VLOOKUP($Y11,OFFSET([3]characters!$A$1,0,0,COUNTA([3]characters!$A:$A),MATCH(AA$1,[3]characters!$2:$2,0)-MATCH("character_id",[3]characters!$2:$2,0)+1),MATCH(AA$1,[3]characters!$2:$2,0)-MATCH("character_id",[3]characters!$2:$2,0)+1,FALSE),"")</f>
        <v/>
      </c>
      <c r="AB11" s="5" t="str">
        <f ca="1">IFERROR(VLOOKUP($Y11,OFFSET([3]characters!$A$1,0,0,COUNTA([3]characters!$A:$A),MATCH(AB$1,[3]characters!$2:$2,0)-MATCH("character_id",[3]characters!$2:$2,0)+1),MATCH(AB$1,[3]characters!$2:$2,0)-MATCH("character_id",[3]characters!$2:$2,0)+1,FALSE),"")</f>
        <v/>
      </c>
      <c r="AC11" s="37">
        <v>1</v>
      </c>
      <c r="AD11" s="41" t="str">
        <f t="shared" ca="1" si="3"/>
        <v/>
      </c>
      <c r="AE11" s="9">
        <v>100</v>
      </c>
      <c r="AF11" s="37">
        <v>0</v>
      </c>
      <c r="AG11" s="37">
        <v>0</v>
      </c>
      <c r="AH11" s="37">
        <v>0</v>
      </c>
      <c r="AI11" s="37">
        <v>0</v>
      </c>
      <c r="AJ11" s="37">
        <v>1</v>
      </c>
    </row>
    <row r="12" spans="1:36" ht="21" customHeight="1" x14ac:dyDescent="0.15">
      <c r="A12" s="21" t="str">
        <f t="shared" si="0"/>
        <v>11207_1-3/123&lt;lv16&gt;s2</v>
      </c>
      <c r="B12" s="37">
        <v>11207</v>
      </c>
      <c r="C12" s="38">
        <v>1</v>
      </c>
      <c r="D12" s="20" t="str">
        <f t="shared" si="1"/>
        <v>11207_1</v>
      </c>
      <c r="E12" s="5" t="str">
        <f ca="1">VLOOKUP($B12,OFFSET([1]quests!$A$1,0,0,COUNTA([1]quests!$A:$A),MATCH(E$1,[1]quests!$1:$1,0)-MATCH($B$1,[1]quests!$1:$1,0)+1),MATCH(E$1,[1]quests!$1:$1,0)-MATCH($B$1,[1]quests!$1:$1,0)+1,FALSE)</f>
        <v>果実達の大宴会</v>
      </c>
      <c r="F12" s="5" t="str">
        <f ca="1">VLOOKUP($D12,OFFSET([1]stages!$A$1,0,0,COUNTA([1]stages!$A:$A),MATCH(F$1,[1]stages!$2:$2,0)-MATCH($D$1,[1]stages!$2:$2,0)+1),MATCH(F$1,[1]stages!$2:$2,0)-MATCH($D$1,[1]stages!$2:$2,0)+1,FALSE)</f>
        <v>【上級】果実達の大宴会</v>
      </c>
      <c r="G12" s="39">
        <v>3</v>
      </c>
      <c r="H12" s="20" t="str">
        <f t="shared" si="2"/>
        <v>11207_1-3</v>
      </c>
      <c r="I12" s="40">
        <v>123</v>
      </c>
      <c r="J12" s="26" t="e">
        <f ca="1">VLOOKUP($I12,OFFSET([2]enemies!$A$1,0,0,COUNTA([2]enemies!$A:$A),MATCH(J$1,[2]enemies!$2:$2,0)-MATCH($I$1,[2]enemies!$2:$2,0)+1),MATCH(J$1,[2]enemies!$2:$2,0)-MATCH($I$1,[2]enemies!$2:$2,0)+1,FALSE)</f>
        <v>#N/A</v>
      </c>
      <c r="K12" s="29" t="e">
        <f ca="1">VLOOKUP($I12,OFFSET([2]enemies!$A$1,0,0,COUNTA([2]enemies!$A:$A),MATCH(K$1,[2]enemies!$2:$2,0)-MATCH($I$1,[2]enemies!$2:$2,0)+1),MATCH(K$1,[2]enemies!$2:$2,0)-MATCH($I$1,[2]enemies!$2:$2,0)+1,FALSE)</f>
        <v>#N/A</v>
      </c>
      <c r="L12" s="29" t="e">
        <f ca="1">VLOOKUP($I12,OFFSET([3]characters!$A$1,0,0,COUNTA([3]characters!$A:$A),MATCH(L$1,[3]characters!$2:$2,0)-MATCH($I$1,[3]characters!$2:$2,0)+1),MATCH(L$1,[3]characters!$2:$2,0)-MATCH($I$1,[3]characters!$2:$2,0)+1,FALSE)</f>
        <v>#N/A</v>
      </c>
      <c r="M12" s="28" t="e">
        <f ca="1">VLOOKUP($I12,OFFSET([3]characters!$A$1,0,0,COUNTA([3]characters!$A:$A),MATCH(M$1,[3]characters!$2:$2,0)-MATCH($I$1,[3]characters!$2:$2,0)+2),MATCH(M$1,[3]characters!$2:$2,0)-MATCH($I$1,[3]characters!$2:$2,0)+2,FALSE)</f>
        <v>#N/A</v>
      </c>
      <c r="N12" s="5" t="e">
        <f ca="1">VLOOKUP($I12,OFFSET([2]enemies!$A$1,0,0,COUNTA([2]enemies!$A:$A),MATCH(N$1,[2]enemies!$2:$2,0)-MATCH($I$1,[2]enemies!$2:$2,0)+1),MATCH(N$1,[2]enemies!$2:$2,0)-MATCH($I$1,[2]enemies!$2:$2,0)+1,FALSE)</f>
        <v>#N/A</v>
      </c>
      <c r="O12" s="6">
        <v>16</v>
      </c>
      <c r="P12" s="34">
        <v>0.7</v>
      </c>
      <c r="Q12" s="34">
        <v>1</v>
      </c>
      <c r="R12" s="6">
        <v>0</v>
      </c>
      <c r="S12" s="5" t="str">
        <f ca="1">VLOOKUP($T12,OFFSET([4]enemy_skill_sets!$B$1,0,0,COUNTA([4]enemy_skill_sets!$B:$B),MATCH(J$1,[4]enemy_skill_sets!$1:$1,0)-MATCH($T$1,[4]enemy_skill_sets!$1:$1,0)+2),MATCH(J$1,[4]enemy_skill_sets!$1:$1,0)-MATCH($T$1,[4]enemy_skill_sets!$1:$1,0)+2,FALSE)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2" s="46">
        <v>0</v>
      </c>
      <c r="U12" s="7">
        <v>0</v>
      </c>
      <c r="V12" s="7">
        <v>100</v>
      </c>
      <c r="W12" s="7">
        <v>0</v>
      </c>
      <c r="X12" s="47">
        <v>2</v>
      </c>
      <c r="Y12" s="40">
        <v>123</v>
      </c>
      <c r="Z12" s="5" t="str">
        <f ca="1">IFERROR(VLOOKUP($Y12,OFFSET([3]characters!$A$1,0,0,COUNTA([3]characters!$A:$A),MATCH(Z$1,[3]characters!$2:$2,0)-MATCH("character_id",[3]characters!$2:$2,0)+1),MATCH(Z$1,[3]characters!$2:$2,0)-MATCH("character_id",[3]characters!$2:$2,0)+1,FALSE),"")</f>
        <v/>
      </c>
      <c r="AA12" s="5" t="str">
        <f ca="1">IFERROR(VLOOKUP($Y12,OFFSET([3]characters!$A$1,0,0,COUNTA([3]characters!$A:$A),MATCH(AA$1,[3]characters!$2:$2,0)-MATCH("character_id",[3]characters!$2:$2,0)+1),MATCH(AA$1,[3]characters!$2:$2,0)-MATCH("character_id",[3]characters!$2:$2,0)+1,FALSE),"")</f>
        <v/>
      </c>
      <c r="AB12" s="5" t="str">
        <f ca="1">IFERROR(VLOOKUP($Y12,OFFSET([3]characters!$A$1,0,0,COUNTA([3]characters!$A:$A),MATCH(AB$1,[3]characters!$2:$2,0)-MATCH("character_id",[3]characters!$2:$2,0)+1),MATCH(AB$1,[3]characters!$2:$2,0)-MATCH("character_id",[3]characters!$2:$2,0)+1,FALSE),"")</f>
        <v/>
      </c>
      <c r="AC12" s="37">
        <v>1</v>
      </c>
      <c r="AD12" s="41" t="str">
        <f t="shared" ca="1" si="3"/>
        <v/>
      </c>
      <c r="AE12" s="9">
        <v>100</v>
      </c>
      <c r="AF12" s="37">
        <v>0</v>
      </c>
      <c r="AG12" s="37">
        <v>0</v>
      </c>
      <c r="AH12" s="37">
        <v>0</v>
      </c>
      <c r="AI12" s="37">
        <v>0</v>
      </c>
      <c r="AJ12" s="37">
        <v>1</v>
      </c>
    </row>
    <row r="13" spans="1:36" ht="21" customHeight="1" x14ac:dyDescent="0.15">
      <c r="A13" s="21" t="str">
        <f t="shared" si="0"/>
        <v>11207_1-3/41&lt;lv16&gt;s1</v>
      </c>
      <c r="B13" s="37">
        <v>11207</v>
      </c>
      <c r="C13" s="38">
        <v>1</v>
      </c>
      <c r="D13" s="20" t="str">
        <f t="shared" si="1"/>
        <v>11207_1</v>
      </c>
      <c r="E13" s="5" t="str">
        <f ca="1">VLOOKUP($B13,OFFSET([1]quests!$A$1,0,0,COUNTA([1]quests!$A:$A),MATCH(E$1,[1]quests!$1:$1,0)-MATCH($B$1,[1]quests!$1:$1,0)+1),MATCH(E$1,[1]quests!$1:$1,0)-MATCH($B$1,[1]quests!$1:$1,0)+1,FALSE)</f>
        <v>果実達の大宴会</v>
      </c>
      <c r="F13" s="5" t="str">
        <f ca="1">VLOOKUP($D13,OFFSET([1]stages!$A$1,0,0,COUNTA([1]stages!$A:$A),MATCH(F$1,[1]stages!$2:$2,0)-MATCH($D$1,[1]stages!$2:$2,0)+1),MATCH(F$1,[1]stages!$2:$2,0)-MATCH($D$1,[1]stages!$2:$2,0)+1,FALSE)</f>
        <v>【上級】果実達の大宴会</v>
      </c>
      <c r="G13" s="39">
        <v>3</v>
      </c>
      <c r="H13" s="20" t="str">
        <f t="shared" si="2"/>
        <v>11207_1-3</v>
      </c>
      <c r="I13" s="40">
        <v>41</v>
      </c>
      <c r="J13" s="26" t="e">
        <f ca="1">VLOOKUP($I13,OFFSET([2]enemies!$A$1,0,0,COUNTA([2]enemies!$A:$A),MATCH(J$1,[2]enemies!$2:$2,0)-MATCH($I$1,[2]enemies!$2:$2,0)+1),MATCH(J$1,[2]enemies!$2:$2,0)-MATCH($I$1,[2]enemies!$2:$2,0)+1,FALSE)</f>
        <v>#N/A</v>
      </c>
      <c r="K13" s="29" t="e">
        <f ca="1">VLOOKUP($I13,OFFSET([2]enemies!$A$1,0,0,COUNTA([2]enemies!$A:$A),MATCH(K$1,[2]enemies!$2:$2,0)-MATCH($I$1,[2]enemies!$2:$2,0)+1),MATCH(K$1,[2]enemies!$2:$2,0)-MATCH($I$1,[2]enemies!$2:$2,0)+1,FALSE)</f>
        <v>#N/A</v>
      </c>
      <c r="L13" s="29" t="e">
        <f ca="1">VLOOKUP($I13,OFFSET([3]characters!$A$1,0,0,COUNTA([3]characters!$A:$A),MATCH(L$1,[3]characters!$2:$2,0)-MATCH($I$1,[3]characters!$2:$2,0)+1),MATCH(L$1,[3]characters!$2:$2,0)-MATCH($I$1,[3]characters!$2:$2,0)+1,FALSE)</f>
        <v>#N/A</v>
      </c>
      <c r="M13" s="28" t="e">
        <f ca="1">VLOOKUP($I13,OFFSET([3]characters!$A$1,0,0,COUNTA([3]characters!$A:$A),MATCH(M$1,[3]characters!$2:$2,0)-MATCH($I$1,[3]characters!$2:$2,0)+2),MATCH(M$1,[3]characters!$2:$2,0)-MATCH($I$1,[3]characters!$2:$2,0)+2,FALSE)</f>
        <v>#N/A</v>
      </c>
      <c r="N13" s="5" t="e">
        <f ca="1">VLOOKUP($I13,OFFSET([2]enemies!$A$1,0,0,COUNTA([2]enemies!$A:$A),MATCH(N$1,[2]enemies!$2:$2,0)-MATCH($I$1,[2]enemies!$2:$2,0)+1),MATCH(N$1,[2]enemies!$2:$2,0)-MATCH($I$1,[2]enemies!$2:$2,0)+1,FALSE)</f>
        <v>#N/A</v>
      </c>
      <c r="O13" s="6">
        <v>16</v>
      </c>
      <c r="P13" s="34">
        <v>0.7</v>
      </c>
      <c r="Q13" s="34">
        <v>1</v>
      </c>
      <c r="R13" s="6">
        <v>0</v>
      </c>
      <c r="S13" s="5" t="str">
        <f ca="1">VLOOKUP($T13,OFFSET([4]enemy_skill_sets!$B$1,0,0,COUNTA([4]enemy_skill_sets!$B:$B),MATCH(J$1,[4]enemy_skill_sets!$1:$1,0)-MATCH($T$1,[4]enemy_skill_sets!$1:$1,0)+2),MATCH(J$1,[4]enemy_skill_sets!$1:$1,0)-MATCH($T$1,[4]enemy_skill_sets!$1:$1,0)+2,FALSE)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3" s="46">
        <v>0</v>
      </c>
      <c r="U13" s="7">
        <v>1</v>
      </c>
      <c r="V13" s="7">
        <v>0</v>
      </c>
      <c r="W13" s="7">
        <v>1</v>
      </c>
      <c r="X13" s="47">
        <v>1</v>
      </c>
      <c r="Y13" s="40">
        <v>41</v>
      </c>
      <c r="Z13" s="5" t="str">
        <f ca="1">IFERROR(VLOOKUP($Y13,OFFSET([3]characters!$A$1,0,0,COUNTA([3]characters!$A:$A),MATCH(Z$1,[3]characters!$2:$2,0)-MATCH("character_id",[3]characters!$2:$2,0)+1),MATCH(Z$1,[3]characters!$2:$2,0)-MATCH("character_id",[3]characters!$2:$2,0)+1,FALSE),"")</f>
        <v/>
      </c>
      <c r="AA13" s="5" t="str">
        <f ca="1">IFERROR(VLOOKUP($Y13,OFFSET([3]characters!$A$1,0,0,COUNTA([3]characters!$A:$A),MATCH(AA$1,[3]characters!$2:$2,0)-MATCH("character_id",[3]characters!$2:$2,0)+1),MATCH(AA$1,[3]characters!$2:$2,0)-MATCH("character_id",[3]characters!$2:$2,0)+1,FALSE),"")</f>
        <v/>
      </c>
      <c r="AB13" s="5" t="str">
        <f ca="1">IFERROR(VLOOKUP($Y13,OFFSET([3]characters!$A$1,0,0,COUNTA([3]characters!$A:$A),MATCH(AB$1,[3]characters!$2:$2,0)-MATCH("character_id",[3]characters!$2:$2,0)+1),MATCH(AB$1,[3]characters!$2:$2,0)-MATCH("character_id",[3]characters!$2:$2,0)+1,FALSE),"")</f>
        <v/>
      </c>
      <c r="AC13" s="37">
        <v>1</v>
      </c>
      <c r="AD13" s="41" t="str">
        <f t="shared" ca="1" si="3"/>
        <v/>
      </c>
      <c r="AE13" s="9">
        <v>0</v>
      </c>
      <c r="AF13" s="37">
        <v>0</v>
      </c>
      <c r="AG13" s="37">
        <v>0</v>
      </c>
      <c r="AH13" s="37">
        <v>0</v>
      </c>
      <c r="AI13" s="37">
        <v>0</v>
      </c>
      <c r="AJ13" s="37">
        <v>1</v>
      </c>
    </row>
    <row r="14" spans="1:36" ht="21" customHeight="1" x14ac:dyDescent="0.15">
      <c r="A14" s="21" t="str">
        <f t="shared" si="0"/>
        <v>11207_1-4/121&lt;lv16&gt;s1</v>
      </c>
      <c r="B14" s="37">
        <v>11207</v>
      </c>
      <c r="C14" s="38">
        <v>1</v>
      </c>
      <c r="D14" s="20" t="str">
        <f t="shared" si="1"/>
        <v>11207_1</v>
      </c>
      <c r="E14" s="5" t="str">
        <f ca="1">VLOOKUP($B14,OFFSET([1]quests!$A$1,0,0,COUNTA([1]quests!$A:$A),MATCH(E$1,[1]quests!$1:$1,0)-MATCH($B$1,[1]quests!$1:$1,0)+1),MATCH(E$1,[1]quests!$1:$1,0)-MATCH($B$1,[1]quests!$1:$1,0)+1,FALSE)</f>
        <v>果実達の大宴会</v>
      </c>
      <c r="F14" s="5" t="str">
        <f ca="1">VLOOKUP($D14,OFFSET([1]stages!$A$1,0,0,COUNTA([1]stages!$A:$A),MATCH(F$1,[1]stages!$2:$2,0)-MATCH($D$1,[1]stages!$2:$2,0)+1),MATCH(F$1,[1]stages!$2:$2,0)-MATCH($D$1,[1]stages!$2:$2,0)+1,FALSE)</f>
        <v>【上級】果実達の大宴会</v>
      </c>
      <c r="G14" s="42">
        <v>4</v>
      </c>
      <c r="H14" s="20" t="str">
        <f t="shared" si="2"/>
        <v>11207_1-4</v>
      </c>
      <c r="I14" s="40">
        <v>121</v>
      </c>
      <c r="J14" s="26" t="e">
        <f ca="1">VLOOKUP($I14,OFFSET([2]enemies!$A$1,0,0,COUNTA([2]enemies!$A:$A),MATCH(J$1,[2]enemies!$2:$2,0)-MATCH($I$1,[2]enemies!$2:$2,0)+1),MATCH(J$1,[2]enemies!$2:$2,0)-MATCH($I$1,[2]enemies!$2:$2,0)+1,FALSE)</f>
        <v>#N/A</v>
      </c>
      <c r="K14" s="29" t="e">
        <f ca="1">VLOOKUP($I14,OFFSET([2]enemies!$A$1,0,0,COUNTA([2]enemies!$A:$A),MATCH(K$1,[2]enemies!$2:$2,0)-MATCH($I$1,[2]enemies!$2:$2,0)+1),MATCH(K$1,[2]enemies!$2:$2,0)-MATCH($I$1,[2]enemies!$2:$2,0)+1,FALSE)</f>
        <v>#N/A</v>
      </c>
      <c r="L14" s="29" t="e">
        <f ca="1">VLOOKUP($I14,OFFSET([3]characters!$A$1,0,0,COUNTA([3]characters!$A:$A),MATCH(L$1,[3]characters!$2:$2,0)-MATCH($I$1,[3]characters!$2:$2,0)+1),MATCH(L$1,[3]characters!$2:$2,0)-MATCH($I$1,[3]characters!$2:$2,0)+1,FALSE)</f>
        <v>#N/A</v>
      </c>
      <c r="M14" s="28" t="e">
        <f ca="1">VLOOKUP($I14,OFFSET([3]characters!$A$1,0,0,COUNTA([3]characters!$A:$A),MATCH(M$1,[3]characters!$2:$2,0)-MATCH($I$1,[3]characters!$2:$2,0)+2),MATCH(M$1,[3]characters!$2:$2,0)-MATCH($I$1,[3]characters!$2:$2,0)+2,FALSE)</f>
        <v>#N/A</v>
      </c>
      <c r="N14" s="5" t="e">
        <f ca="1">VLOOKUP($I14,OFFSET([2]enemies!$A$1,0,0,COUNTA([2]enemies!$A:$A),MATCH(N$1,[2]enemies!$2:$2,0)-MATCH($I$1,[2]enemies!$2:$2,0)+1),MATCH(N$1,[2]enemies!$2:$2,0)-MATCH($I$1,[2]enemies!$2:$2,0)+1,FALSE)</f>
        <v>#N/A</v>
      </c>
      <c r="O14" s="6">
        <v>16</v>
      </c>
      <c r="P14" s="34">
        <v>0.7</v>
      </c>
      <c r="Q14" s="34">
        <v>1</v>
      </c>
      <c r="R14" s="6">
        <v>0</v>
      </c>
      <c r="S14" s="5" t="str">
        <f ca="1">VLOOKUP($T14,OFFSET([4]enemy_skill_sets!$B$1,0,0,COUNTA([4]enemy_skill_sets!$B:$B),MATCH(J$1,[4]enemy_skill_sets!$1:$1,0)-MATCH($T$1,[4]enemy_skill_sets!$1:$1,0)+2),MATCH(J$1,[4]enemy_skill_sets!$1:$1,0)-MATCH($T$1,[4]enemy_skill_sets!$1:$1,0)+2,FALSE)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4" s="46">
        <v>0</v>
      </c>
      <c r="U14" s="7">
        <v>0</v>
      </c>
      <c r="V14" s="7">
        <v>33</v>
      </c>
      <c r="W14" s="7">
        <v>0</v>
      </c>
      <c r="X14" s="47">
        <v>1</v>
      </c>
      <c r="Y14" s="40">
        <v>121</v>
      </c>
      <c r="Z14" s="5" t="str">
        <f ca="1">IFERROR(VLOOKUP($Y14,OFFSET([3]characters!$A$1,0,0,COUNTA([3]characters!$A:$A),MATCH(Z$1,[3]characters!$2:$2,0)-MATCH("character_id",[3]characters!$2:$2,0)+1),MATCH(Z$1,[3]characters!$2:$2,0)-MATCH("character_id",[3]characters!$2:$2,0)+1,FALSE),"")</f>
        <v/>
      </c>
      <c r="AA14" s="5" t="str">
        <f ca="1">IFERROR(VLOOKUP($Y14,OFFSET([3]characters!$A$1,0,0,COUNTA([3]characters!$A:$A),MATCH(AA$1,[3]characters!$2:$2,0)-MATCH("character_id",[3]characters!$2:$2,0)+1),MATCH(AA$1,[3]characters!$2:$2,0)-MATCH("character_id",[3]characters!$2:$2,0)+1,FALSE),"")</f>
        <v/>
      </c>
      <c r="AB14" s="5" t="str">
        <f ca="1">IFERROR(VLOOKUP($Y14,OFFSET([3]characters!$A$1,0,0,COUNTA([3]characters!$A:$A),MATCH(AB$1,[3]characters!$2:$2,0)-MATCH("character_id",[3]characters!$2:$2,0)+1),MATCH(AB$1,[3]characters!$2:$2,0)-MATCH("character_id",[3]characters!$2:$2,0)+1,FALSE),"")</f>
        <v/>
      </c>
      <c r="AC14" s="37">
        <v>1</v>
      </c>
      <c r="AD14" s="41" t="str">
        <f t="shared" ca="1" si="3"/>
        <v/>
      </c>
      <c r="AE14" s="9">
        <v>100</v>
      </c>
      <c r="AF14" s="37">
        <v>0</v>
      </c>
      <c r="AG14" s="37">
        <v>0</v>
      </c>
      <c r="AH14" s="37">
        <v>0</v>
      </c>
      <c r="AI14" s="37">
        <v>0</v>
      </c>
      <c r="AJ14" s="37">
        <v>1</v>
      </c>
    </row>
    <row r="15" spans="1:36" ht="21" customHeight="1" x14ac:dyDescent="0.15">
      <c r="A15" s="21" t="str">
        <f t="shared" si="0"/>
        <v>11207_1-4/122&lt;lv16&gt;s1</v>
      </c>
      <c r="B15" s="37">
        <v>11207</v>
      </c>
      <c r="C15" s="38">
        <v>1</v>
      </c>
      <c r="D15" s="20" t="str">
        <f t="shared" si="1"/>
        <v>11207_1</v>
      </c>
      <c r="E15" s="5" t="str">
        <f ca="1">VLOOKUP($B15,OFFSET([1]quests!$A$1,0,0,COUNTA([1]quests!$A:$A),MATCH(E$1,[1]quests!$1:$1,0)-MATCH($B$1,[1]quests!$1:$1,0)+1),MATCH(E$1,[1]quests!$1:$1,0)-MATCH($B$1,[1]quests!$1:$1,0)+1,FALSE)</f>
        <v>果実達の大宴会</v>
      </c>
      <c r="F15" s="5" t="str">
        <f ca="1">VLOOKUP($D15,OFFSET([1]stages!$A$1,0,0,COUNTA([1]stages!$A:$A),MATCH(F$1,[1]stages!$2:$2,0)-MATCH($D$1,[1]stages!$2:$2,0)+1),MATCH(F$1,[1]stages!$2:$2,0)-MATCH($D$1,[1]stages!$2:$2,0)+1,FALSE)</f>
        <v>【上級】果実達の大宴会</v>
      </c>
      <c r="G15" s="42">
        <v>4</v>
      </c>
      <c r="H15" s="20" t="str">
        <f t="shared" si="2"/>
        <v>11207_1-4</v>
      </c>
      <c r="I15" s="40">
        <v>122</v>
      </c>
      <c r="J15" s="26" t="e">
        <f ca="1">VLOOKUP($I15,OFFSET([2]enemies!$A$1,0,0,COUNTA([2]enemies!$A:$A),MATCH(J$1,[2]enemies!$2:$2,0)-MATCH($I$1,[2]enemies!$2:$2,0)+1),MATCH(J$1,[2]enemies!$2:$2,0)-MATCH($I$1,[2]enemies!$2:$2,0)+1,FALSE)</f>
        <v>#N/A</v>
      </c>
      <c r="K15" s="29" t="e">
        <f ca="1">VLOOKUP($I15,OFFSET([2]enemies!$A$1,0,0,COUNTA([2]enemies!$A:$A),MATCH(K$1,[2]enemies!$2:$2,0)-MATCH($I$1,[2]enemies!$2:$2,0)+1),MATCH(K$1,[2]enemies!$2:$2,0)-MATCH($I$1,[2]enemies!$2:$2,0)+1,FALSE)</f>
        <v>#N/A</v>
      </c>
      <c r="L15" s="29" t="e">
        <f ca="1">VLOOKUP($I15,OFFSET([3]characters!$A$1,0,0,COUNTA([3]characters!$A:$A),MATCH(L$1,[3]characters!$2:$2,0)-MATCH($I$1,[3]characters!$2:$2,0)+1),MATCH(L$1,[3]characters!$2:$2,0)-MATCH($I$1,[3]characters!$2:$2,0)+1,FALSE)</f>
        <v>#N/A</v>
      </c>
      <c r="M15" s="28" t="e">
        <f ca="1">VLOOKUP($I15,OFFSET([3]characters!$A$1,0,0,COUNTA([3]characters!$A:$A),MATCH(M$1,[3]characters!$2:$2,0)-MATCH($I$1,[3]characters!$2:$2,0)+2),MATCH(M$1,[3]characters!$2:$2,0)-MATCH($I$1,[3]characters!$2:$2,0)+2,FALSE)</f>
        <v>#N/A</v>
      </c>
      <c r="N15" s="5" t="e">
        <f ca="1">VLOOKUP($I15,OFFSET([2]enemies!$A$1,0,0,COUNTA([2]enemies!$A:$A),MATCH(N$1,[2]enemies!$2:$2,0)-MATCH($I$1,[2]enemies!$2:$2,0)+1),MATCH(N$1,[2]enemies!$2:$2,0)-MATCH($I$1,[2]enemies!$2:$2,0)+1,FALSE)</f>
        <v>#N/A</v>
      </c>
      <c r="O15" s="6">
        <v>16</v>
      </c>
      <c r="P15" s="34">
        <v>0.7</v>
      </c>
      <c r="Q15" s="34">
        <v>1</v>
      </c>
      <c r="R15" s="6">
        <v>0</v>
      </c>
      <c r="S15" s="5" t="str">
        <f ca="1">VLOOKUP($T15,OFFSET([4]enemy_skill_sets!$B$1,0,0,COUNTA([4]enemy_skill_sets!$B:$B),MATCH(J$1,[4]enemy_skill_sets!$1:$1,0)-MATCH($T$1,[4]enemy_skill_sets!$1:$1,0)+2),MATCH(J$1,[4]enemy_skill_sets!$1:$1,0)-MATCH($T$1,[4]enemy_skill_sets!$1:$1,0)+2,FALSE)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5" s="46">
        <v>0</v>
      </c>
      <c r="U15" s="7">
        <v>0</v>
      </c>
      <c r="V15" s="7">
        <v>33</v>
      </c>
      <c r="W15" s="7">
        <v>0</v>
      </c>
      <c r="X15" s="47">
        <v>1</v>
      </c>
      <c r="Y15" s="40">
        <v>122</v>
      </c>
      <c r="Z15" s="5" t="str">
        <f ca="1">IFERROR(VLOOKUP($Y15,OFFSET([3]characters!$A$1,0,0,COUNTA([3]characters!$A:$A),MATCH(Z$1,[3]characters!$2:$2,0)-MATCH("character_id",[3]characters!$2:$2,0)+1),MATCH(Z$1,[3]characters!$2:$2,0)-MATCH("character_id",[3]characters!$2:$2,0)+1,FALSE),"")</f>
        <v/>
      </c>
      <c r="AA15" s="5" t="str">
        <f ca="1">IFERROR(VLOOKUP($Y15,OFFSET([3]characters!$A$1,0,0,COUNTA([3]characters!$A:$A),MATCH(AA$1,[3]characters!$2:$2,0)-MATCH("character_id",[3]characters!$2:$2,0)+1),MATCH(AA$1,[3]characters!$2:$2,0)-MATCH("character_id",[3]characters!$2:$2,0)+1,FALSE),"")</f>
        <v/>
      </c>
      <c r="AB15" s="5" t="str">
        <f ca="1">IFERROR(VLOOKUP($Y15,OFFSET([3]characters!$A$1,0,0,COUNTA([3]characters!$A:$A),MATCH(AB$1,[3]characters!$2:$2,0)-MATCH("character_id",[3]characters!$2:$2,0)+1),MATCH(AB$1,[3]characters!$2:$2,0)-MATCH("character_id",[3]characters!$2:$2,0)+1,FALSE),"")</f>
        <v/>
      </c>
      <c r="AC15" s="37">
        <v>1</v>
      </c>
      <c r="AD15" s="41" t="str">
        <f t="shared" ca="1" si="3"/>
        <v/>
      </c>
      <c r="AE15" s="9">
        <v>100</v>
      </c>
      <c r="AF15" s="37">
        <v>0</v>
      </c>
      <c r="AG15" s="37">
        <v>0</v>
      </c>
      <c r="AH15" s="37">
        <v>0</v>
      </c>
      <c r="AI15" s="37">
        <v>0</v>
      </c>
      <c r="AJ15" s="37">
        <v>1</v>
      </c>
    </row>
    <row r="16" spans="1:36" ht="21" customHeight="1" x14ac:dyDescent="0.15">
      <c r="A16" s="21" t="str">
        <f t="shared" si="0"/>
        <v>11207_1-4/123&lt;lv16&gt;s1</v>
      </c>
      <c r="B16" s="37">
        <v>11207</v>
      </c>
      <c r="C16" s="38">
        <v>1</v>
      </c>
      <c r="D16" s="20" t="str">
        <f t="shared" si="1"/>
        <v>11207_1</v>
      </c>
      <c r="E16" s="5" t="str">
        <f ca="1">VLOOKUP($B16,OFFSET([1]quests!$A$1,0,0,COUNTA([1]quests!$A:$A),MATCH(E$1,[1]quests!$1:$1,0)-MATCH($B$1,[1]quests!$1:$1,0)+1),MATCH(E$1,[1]quests!$1:$1,0)-MATCH($B$1,[1]quests!$1:$1,0)+1,FALSE)</f>
        <v>果実達の大宴会</v>
      </c>
      <c r="F16" s="5" t="str">
        <f ca="1">VLOOKUP($D16,OFFSET([1]stages!$A$1,0,0,COUNTA([1]stages!$A:$A),MATCH(F$1,[1]stages!$2:$2,0)-MATCH($D$1,[1]stages!$2:$2,0)+1),MATCH(F$1,[1]stages!$2:$2,0)-MATCH($D$1,[1]stages!$2:$2,0)+1,FALSE)</f>
        <v>【上級】果実達の大宴会</v>
      </c>
      <c r="G16" s="42">
        <v>4</v>
      </c>
      <c r="H16" s="20" t="str">
        <f t="shared" si="2"/>
        <v>11207_1-4</v>
      </c>
      <c r="I16" s="40">
        <v>123</v>
      </c>
      <c r="J16" s="26" t="e">
        <f ca="1">VLOOKUP($I16,OFFSET([2]enemies!$A$1,0,0,COUNTA([2]enemies!$A:$A),MATCH(J$1,[2]enemies!$2:$2,0)-MATCH($I$1,[2]enemies!$2:$2,0)+1),MATCH(J$1,[2]enemies!$2:$2,0)-MATCH($I$1,[2]enemies!$2:$2,0)+1,FALSE)</f>
        <v>#N/A</v>
      </c>
      <c r="K16" s="29" t="e">
        <f ca="1">VLOOKUP($I16,OFFSET([2]enemies!$A$1,0,0,COUNTA([2]enemies!$A:$A),MATCH(K$1,[2]enemies!$2:$2,0)-MATCH($I$1,[2]enemies!$2:$2,0)+1),MATCH(K$1,[2]enemies!$2:$2,0)-MATCH($I$1,[2]enemies!$2:$2,0)+1,FALSE)</f>
        <v>#N/A</v>
      </c>
      <c r="L16" s="29" t="e">
        <f ca="1">VLOOKUP($I16,OFFSET([3]characters!$A$1,0,0,COUNTA([3]characters!$A:$A),MATCH(L$1,[3]characters!$2:$2,0)-MATCH($I$1,[3]characters!$2:$2,0)+1),MATCH(L$1,[3]characters!$2:$2,0)-MATCH($I$1,[3]characters!$2:$2,0)+1,FALSE)</f>
        <v>#N/A</v>
      </c>
      <c r="M16" s="28" t="e">
        <f ca="1">VLOOKUP($I16,OFFSET([3]characters!$A$1,0,0,COUNTA([3]characters!$A:$A),MATCH(M$1,[3]characters!$2:$2,0)-MATCH($I$1,[3]characters!$2:$2,0)+2),MATCH(M$1,[3]characters!$2:$2,0)-MATCH($I$1,[3]characters!$2:$2,0)+2,FALSE)</f>
        <v>#N/A</v>
      </c>
      <c r="N16" s="5" t="e">
        <f ca="1">VLOOKUP($I16,OFFSET([2]enemies!$A$1,0,0,COUNTA([2]enemies!$A:$A),MATCH(N$1,[2]enemies!$2:$2,0)-MATCH($I$1,[2]enemies!$2:$2,0)+1),MATCH(N$1,[2]enemies!$2:$2,0)-MATCH($I$1,[2]enemies!$2:$2,0)+1,FALSE)</f>
        <v>#N/A</v>
      </c>
      <c r="O16" s="6">
        <v>16</v>
      </c>
      <c r="P16" s="34">
        <v>0.7</v>
      </c>
      <c r="Q16" s="34">
        <v>1</v>
      </c>
      <c r="R16" s="6">
        <v>0</v>
      </c>
      <c r="S16" s="5" t="str">
        <f ca="1">VLOOKUP($T16,OFFSET([4]enemy_skill_sets!$B$1,0,0,COUNTA([4]enemy_skill_sets!$B:$B),MATCH(J$1,[4]enemy_skill_sets!$1:$1,0)-MATCH($T$1,[4]enemy_skill_sets!$1:$1,0)+2),MATCH(J$1,[4]enemy_skill_sets!$1:$1,0)-MATCH($T$1,[4]enemy_skill_sets!$1:$1,0)+2,FALSE)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6" s="46">
        <v>0</v>
      </c>
      <c r="U16" s="7">
        <v>0</v>
      </c>
      <c r="V16" s="7">
        <v>33</v>
      </c>
      <c r="W16" s="7">
        <v>0</v>
      </c>
      <c r="X16" s="47">
        <v>1</v>
      </c>
      <c r="Y16" s="40">
        <v>123</v>
      </c>
      <c r="Z16" s="5" t="str">
        <f ca="1">IFERROR(VLOOKUP($Y16,OFFSET([3]characters!$A$1,0,0,COUNTA([3]characters!$A:$A),MATCH(Z$1,[3]characters!$2:$2,0)-MATCH("character_id",[3]characters!$2:$2,0)+1),MATCH(Z$1,[3]characters!$2:$2,0)-MATCH("character_id",[3]characters!$2:$2,0)+1,FALSE),"")</f>
        <v/>
      </c>
      <c r="AA16" s="5" t="str">
        <f ca="1">IFERROR(VLOOKUP($Y16,OFFSET([3]characters!$A$1,0,0,COUNTA([3]characters!$A:$A),MATCH(AA$1,[3]characters!$2:$2,0)-MATCH("character_id",[3]characters!$2:$2,0)+1),MATCH(AA$1,[3]characters!$2:$2,0)-MATCH("character_id",[3]characters!$2:$2,0)+1,FALSE),"")</f>
        <v/>
      </c>
      <c r="AB16" s="5" t="str">
        <f ca="1">IFERROR(VLOOKUP($Y16,OFFSET([3]characters!$A$1,0,0,COUNTA([3]characters!$A:$A),MATCH(AB$1,[3]characters!$2:$2,0)-MATCH("character_id",[3]characters!$2:$2,0)+1),MATCH(AB$1,[3]characters!$2:$2,0)-MATCH("character_id",[3]characters!$2:$2,0)+1,FALSE),"")</f>
        <v/>
      </c>
      <c r="AC16" s="37">
        <v>1</v>
      </c>
      <c r="AD16" s="41" t="str">
        <f t="shared" ca="1" si="3"/>
        <v/>
      </c>
      <c r="AE16" s="9">
        <v>100</v>
      </c>
      <c r="AF16" s="37">
        <v>0</v>
      </c>
      <c r="AG16" s="37">
        <v>0</v>
      </c>
      <c r="AH16" s="37">
        <v>0</v>
      </c>
      <c r="AI16" s="37">
        <v>0</v>
      </c>
      <c r="AJ16" s="37">
        <v>1</v>
      </c>
    </row>
    <row r="17" spans="1:36" ht="21" customHeight="1" x14ac:dyDescent="0.15">
      <c r="A17" s="21" t="str">
        <f t="shared" si="0"/>
        <v>11207_1-4/125&lt;lv16&gt;s1</v>
      </c>
      <c r="B17" s="37">
        <v>11207</v>
      </c>
      <c r="C17" s="38">
        <v>1</v>
      </c>
      <c r="D17" s="20" t="str">
        <f t="shared" si="1"/>
        <v>11207_1</v>
      </c>
      <c r="E17" s="5" t="str">
        <f ca="1">VLOOKUP($B17,OFFSET([1]quests!$A$1,0,0,COUNTA([1]quests!$A:$A),MATCH(E$1,[1]quests!$1:$1,0)-MATCH($B$1,[1]quests!$1:$1,0)+1),MATCH(E$1,[1]quests!$1:$1,0)-MATCH($B$1,[1]quests!$1:$1,0)+1,FALSE)</f>
        <v>果実達の大宴会</v>
      </c>
      <c r="F17" s="5" t="str">
        <f ca="1">VLOOKUP($D17,OFFSET([1]stages!$A$1,0,0,COUNTA([1]stages!$A:$A),MATCH(F$1,[1]stages!$2:$2,0)-MATCH($D$1,[1]stages!$2:$2,0)+1),MATCH(F$1,[1]stages!$2:$2,0)-MATCH($D$1,[1]stages!$2:$2,0)+1,FALSE)</f>
        <v>【上級】果実達の大宴会</v>
      </c>
      <c r="G17" s="42">
        <v>4</v>
      </c>
      <c r="H17" s="20" t="str">
        <f t="shared" si="2"/>
        <v>11207_1-4</v>
      </c>
      <c r="I17" s="40">
        <v>125</v>
      </c>
      <c r="J17" s="26" t="e">
        <f ca="1">VLOOKUP($I17,OFFSET([2]enemies!$A$1,0,0,COUNTA([2]enemies!$A:$A),MATCH(J$1,[2]enemies!$2:$2,0)-MATCH($I$1,[2]enemies!$2:$2,0)+1),MATCH(J$1,[2]enemies!$2:$2,0)-MATCH($I$1,[2]enemies!$2:$2,0)+1,FALSE)</f>
        <v>#N/A</v>
      </c>
      <c r="K17" s="29" t="e">
        <f ca="1">VLOOKUP($I17,OFFSET([2]enemies!$A$1,0,0,COUNTA([2]enemies!$A:$A),MATCH(K$1,[2]enemies!$2:$2,0)-MATCH($I$1,[2]enemies!$2:$2,0)+1),MATCH(K$1,[2]enemies!$2:$2,0)-MATCH($I$1,[2]enemies!$2:$2,0)+1,FALSE)</f>
        <v>#N/A</v>
      </c>
      <c r="L17" s="29" t="e">
        <f ca="1">VLOOKUP($I17,OFFSET([3]characters!$A$1,0,0,COUNTA([3]characters!$A:$A),MATCH(L$1,[3]characters!$2:$2,0)-MATCH($I$1,[3]characters!$2:$2,0)+1),MATCH(L$1,[3]characters!$2:$2,0)-MATCH($I$1,[3]characters!$2:$2,0)+1,FALSE)</f>
        <v>#N/A</v>
      </c>
      <c r="M17" s="28" t="e">
        <f ca="1">VLOOKUP($I17,OFFSET([3]characters!$A$1,0,0,COUNTA([3]characters!$A:$A),MATCH(M$1,[3]characters!$2:$2,0)-MATCH($I$1,[3]characters!$2:$2,0)+2),MATCH(M$1,[3]characters!$2:$2,0)-MATCH($I$1,[3]characters!$2:$2,0)+2,FALSE)</f>
        <v>#N/A</v>
      </c>
      <c r="N17" s="5" t="e">
        <f ca="1">VLOOKUP($I17,OFFSET([2]enemies!$A$1,0,0,COUNTA([2]enemies!$A:$A),MATCH(N$1,[2]enemies!$2:$2,0)-MATCH($I$1,[2]enemies!$2:$2,0)+1),MATCH(N$1,[2]enemies!$2:$2,0)-MATCH($I$1,[2]enemies!$2:$2,0)+1,FALSE)</f>
        <v>#N/A</v>
      </c>
      <c r="O17" s="6">
        <v>16</v>
      </c>
      <c r="P17" s="34">
        <v>0.7</v>
      </c>
      <c r="Q17" s="34">
        <v>1</v>
      </c>
      <c r="R17" s="6">
        <v>0</v>
      </c>
      <c r="S17" s="5" t="str">
        <f ca="1">VLOOKUP($T17,OFFSET([4]enemy_skill_sets!$B$1,0,0,COUNTA([4]enemy_skill_sets!$B:$B),MATCH(J$1,[4]enemy_skill_sets!$1:$1,0)-MATCH($T$1,[4]enemy_skill_sets!$1:$1,0)+2),MATCH(J$1,[4]enemy_skill_sets!$1:$1,0)-MATCH($T$1,[4]enemy_skill_sets!$1:$1,0)+2,FALSE)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7" s="46">
        <v>0</v>
      </c>
      <c r="U17" s="7">
        <v>0</v>
      </c>
      <c r="V17" s="7">
        <v>5</v>
      </c>
      <c r="W17" s="7">
        <v>0</v>
      </c>
      <c r="X17" s="47">
        <v>1</v>
      </c>
      <c r="Y17" s="40">
        <v>125</v>
      </c>
      <c r="Z17" s="5" t="str">
        <f ca="1">IFERROR(VLOOKUP($Y17,OFFSET([3]characters!$A$1,0,0,COUNTA([3]characters!$A:$A),MATCH(Z$1,[3]characters!$2:$2,0)-MATCH("character_id",[3]characters!$2:$2,0)+1),MATCH(Z$1,[3]characters!$2:$2,0)-MATCH("character_id",[3]characters!$2:$2,0)+1,FALSE),"")</f>
        <v/>
      </c>
      <c r="AA17" s="5" t="str">
        <f ca="1">IFERROR(VLOOKUP($Y17,OFFSET([3]characters!$A$1,0,0,COUNTA([3]characters!$A:$A),MATCH(AA$1,[3]characters!$2:$2,0)-MATCH("character_id",[3]characters!$2:$2,0)+1),MATCH(AA$1,[3]characters!$2:$2,0)-MATCH("character_id",[3]characters!$2:$2,0)+1,FALSE),"")</f>
        <v/>
      </c>
      <c r="AB17" s="5" t="str">
        <f ca="1">IFERROR(VLOOKUP($Y17,OFFSET([3]characters!$A$1,0,0,COUNTA([3]characters!$A:$A),MATCH(AB$1,[3]characters!$2:$2,0)-MATCH("character_id",[3]characters!$2:$2,0)+1),MATCH(AB$1,[3]characters!$2:$2,0)-MATCH("character_id",[3]characters!$2:$2,0)+1,FALSE),"")</f>
        <v/>
      </c>
      <c r="AC17" s="37">
        <v>1</v>
      </c>
      <c r="AD17" s="41" t="str">
        <f t="shared" ca="1" si="3"/>
        <v/>
      </c>
      <c r="AE17" s="9">
        <v>100</v>
      </c>
      <c r="AF17" s="37">
        <v>0</v>
      </c>
      <c r="AG17" s="37">
        <v>0</v>
      </c>
      <c r="AH17" s="37">
        <v>0</v>
      </c>
      <c r="AI17" s="37">
        <v>0</v>
      </c>
      <c r="AJ17" s="37">
        <v>1</v>
      </c>
    </row>
    <row r="18" spans="1:36" ht="21" customHeight="1" x14ac:dyDescent="0.15">
      <c r="A18" s="21" t="str">
        <f t="shared" si="0"/>
        <v>11207_2-1/121&lt;lv32&gt;s1</v>
      </c>
      <c r="B18" s="37">
        <v>11207</v>
      </c>
      <c r="C18" s="38">
        <v>2</v>
      </c>
      <c r="D18" s="20" t="str">
        <f t="shared" si="1"/>
        <v>11207_2</v>
      </c>
      <c r="E18" s="5" t="str">
        <f ca="1">VLOOKUP($B18,OFFSET([1]quests!$A$1,0,0,COUNTA([1]quests!$A:$A),MATCH(E$1,[1]quests!$1:$1,0)-MATCH($B$1,[1]quests!$1:$1,0)+1),MATCH(E$1,[1]quests!$1:$1,0)-MATCH($B$1,[1]quests!$1:$1,0)+1,FALSE)</f>
        <v>果実達の大宴会</v>
      </c>
      <c r="F18" s="5" t="str">
        <f ca="1">VLOOKUP($D18,OFFSET([1]stages!$A$1,0,0,COUNTA([1]stages!$A:$A),MATCH(F$1,[1]stages!$2:$2,0)-MATCH($D$1,[1]stages!$2:$2,0)+1),MATCH(F$1,[1]stages!$2:$2,0)-MATCH($D$1,[1]stages!$2:$2,0)+1,FALSE)</f>
        <v>【超級】果実達の大宴会</v>
      </c>
      <c r="G18" s="42">
        <v>1</v>
      </c>
      <c r="H18" s="20" t="str">
        <f t="shared" si="2"/>
        <v>11207_2-1</v>
      </c>
      <c r="I18" s="40">
        <v>121</v>
      </c>
      <c r="J18" s="26" t="e">
        <f ca="1">VLOOKUP($I18,OFFSET([2]enemies!$A$1,0,0,COUNTA([2]enemies!$A:$A),MATCH(J$1,[2]enemies!$2:$2,0)-MATCH($I$1,[2]enemies!$2:$2,0)+1),MATCH(J$1,[2]enemies!$2:$2,0)-MATCH($I$1,[2]enemies!$2:$2,0)+1,FALSE)</f>
        <v>#N/A</v>
      </c>
      <c r="K18" s="29" t="e">
        <f ca="1">VLOOKUP($I18,OFFSET([2]enemies!$A$1,0,0,COUNTA([2]enemies!$A:$A),MATCH(K$1,[2]enemies!$2:$2,0)-MATCH($I$1,[2]enemies!$2:$2,0)+1),MATCH(K$1,[2]enemies!$2:$2,0)-MATCH($I$1,[2]enemies!$2:$2,0)+1,FALSE)</f>
        <v>#N/A</v>
      </c>
      <c r="L18" s="29" t="e">
        <f ca="1">VLOOKUP($I18,OFFSET([3]characters!$A$1,0,0,COUNTA([3]characters!$A:$A),MATCH(L$1,[3]characters!$2:$2,0)-MATCH($I$1,[3]characters!$2:$2,0)+1),MATCH(L$1,[3]characters!$2:$2,0)-MATCH($I$1,[3]characters!$2:$2,0)+1,FALSE)</f>
        <v>#N/A</v>
      </c>
      <c r="M18" s="28" t="e">
        <f ca="1">VLOOKUP($I18,OFFSET([3]characters!$A$1,0,0,COUNTA([3]characters!$A:$A),MATCH(M$1,[3]characters!$2:$2,0)-MATCH($I$1,[3]characters!$2:$2,0)+2),MATCH(M$1,[3]characters!$2:$2,0)-MATCH($I$1,[3]characters!$2:$2,0)+2,FALSE)</f>
        <v>#N/A</v>
      </c>
      <c r="N18" s="5" t="e">
        <f ca="1">VLOOKUP($I18,OFFSET([2]enemies!$A$1,0,0,COUNTA([2]enemies!$A:$A),MATCH(N$1,[2]enemies!$2:$2,0)-MATCH($I$1,[2]enemies!$2:$2,0)+1),MATCH(N$1,[2]enemies!$2:$2,0)-MATCH($I$1,[2]enemies!$2:$2,0)+1,FALSE)</f>
        <v>#N/A</v>
      </c>
      <c r="O18" s="6">
        <v>32</v>
      </c>
      <c r="P18" s="34">
        <v>0.4</v>
      </c>
      <c r="Q18" s="34">
        <v>1</v>
      </c>
      <c r="R18" s="6">
        <v>0</v>
      </c>
      <c r="S18" s="5" t="str">
        <f ca="1">VLOOKUP($T18,OFFSET([4]enemy_skill_sets!$B$1,0,0,COUNTA([4]enemy_skill_sets!$B:$B),MATCH(J$1,[4]enemy_skill_sets!$1:$1,0)-MATCH($T$1,[4]enemy_skill_sets!$1:$1,0)+2),MATCH(J$1,[4]enemy_skill_sets!$1:$1,0)-MATCH($T$1,[4]enemy_skill_sets!$1:$1,0)+2,FALSE)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8" s="46">
        <v>0</v>
      </c>
      <c r="U18" s="7">
        <v>0</v>
      </c>
      <c r="V18" s="7">
        <v>100</v>
      </c>
      <c r="W18" s="7">
        <v>0</v>
      </c>
      <c r="X18" s="47">
        <v>1</v>
      </c>
      <c r="Y18" s="40">
        <v>121</v>
      </c>
      <c r="Z18" s="5" t="str">
        <f ca="1">IFERROR(VLOOKUP($Y18,OFFSET([3]characters!$A$1,0,0,COUNTA([3]characters!$A:$A),MATCH(Z$1,[3]characters!$2:$2,0)-MATCH("character_id",[3]characters!$2:$2,0)+1),MATCH(Z$1,[3]characters!$2:$2,0)-MATCH("character_id",[3]characters!$2:$2,0)+1,FALSE),"")</f>
        <v/>
      </c>
      <c r="AA18" s="5" t="str">
        <f ca="1">IFERROR(VLOOKUP($Y18,OFFSET([3]characters!$A$1,0,0,COUNTA([3]characters!$A:$A),MATCH(AA$1,[3]characters!$2:$2,0)-MATCH("character_id",[3]characters!$2:$2,0)+1),MATCH(AA$1,[3]characters!$2:$2,0)-MATCH("character_id",[3]characters!$2:$2,0)+1,FALSE),"")</f>
        <v/>
      </c>
      <c r="AB18" s="5" t="str">
        <f ca="1">IFERROR(VLOOKUP($Y18,OFFSET([3]characters!$A$1,0,0,COUNTA([3]characters!$A:$A),MATCH(AB$1,[3]characters!$2:$2,0)-MATCH("character_id",[3]characters!$2:$2,0)+1),MATCH(AB$1,[3]characters!$2:$2,0)-MATCH("character_id",[3]characters!$2:$2,0)+1,FALSE),"")</f>
        <v/>
      </c>
      <c r="AC18" s="37">
        <v>1</v>
      </c>
      <c r="AD18" s="41" t="str">
        <f t="shared" ca="1" si="3"/>
        <v/>
      </c>
      <c r="AE18" s="9">
        <v>100</v>
      </c>
      <c r="AF18" s="37">
        <v>0</v>
      </c>
      <c r="AG18" s="37">
        <v>0</v>
      </c>
      <c r="AH18" s="37">
        <v>0</v>
      </c>
      <c r="AI18" s="37">
        <v>0</v>
      </c>
      <c r="AJ18" s="37">
        <v>1</v>
      </c>
    </row>
    <row r="19" spans="1:36" ht="21" customHeight="1" x14ac:dyDescent="0.15">
      <c r="A19" s="21" t="str">
        <f t="shared" si="0"/>
        <v>11207_2-1/122&lt;lv32&gt;s1</v>
      </c>
      <c r="B19" s="37">
        <v>11207</v>
      </c>
      <c r="C19" s="38">
        <v>2</v>
      </c>
      <c r="D19" s="20" t="str">
        <f t="shared" si="1"/>
        <v>11207_2</v>
      </c>
      <c r="E19" s="5" t="str">
        <f ca="1">VLOOKUP($B19,OFFSET([1]quests!$A$1,0,0,COUNTA([1]quests!$A:$A),MATCH(E$1,[1]quests!$1:$1,0)-MATCH($B$1,[1]quests!$1:$1,0)+1),MATCH(E$1,[1]quests!$1:$1,0)-MATCH($B$1,[1]quests!$1:$1,0)+1,FALSE)</f>
        <v>果実達の大宴会</v>
      </c>
      <c r="F19" s="5" t="str">
        <f ca="1">VLOOKUP($D19,OFFSET([1]stages!$A$1,0,0,COUNTA([1]stages!$A:$A),MATCH(F$1,[1]stages!$2:$2,0)-MATCH($D$1,[1]stages!$2:$2,0)+1),MATCH(F$1,[1]stages!$2:$2,0)-MATCH($D$1,[1]stages!$2:$2,0)+1,FALSE)</f>
        <v>【超級】果実達の大宴会</v>
      </c>
      <c r="G19" s="42">
        <v>1</v>
      </c>
      <c r="H19" s="20" t="str">
        <f t="shared" si="2"/>
        <v>11207_2-1</v>
      </c>
      <c r="I19" s="40">
        <v>122</v>
      </c>
      <c r="J19" s="26" t="e">
        <f ca="1">VLOOKUP($I19,OFFSET([2]enemies!$A$1,0,0,COUNTA([2]enemies!$A:$A),MATCH(J$1,[2]enemies!$2:$2,0)-MATCH($I$1,[2]enemies!$2:$2,0)+1),MATCH(J$1,[2]enemies!$2:$2,0)-MATCH($I$1,[2]enemies!$2:$2,0)+1,FALSE)</f>
        <v>#N/A</v>
      </c>
      <c r="K19" s="29" t="e">
        <f ca="1">VLOOKUP($I19,OFFSET([2]enemies!$A$1,0,0,COUNTA([2]enemies!$A:$A),MATCH(K$1,[2]enemies!$2:$2,0)-MATCH($I$1,[2]enemies!$2:$2,0)+1),MATCH(K$1,[2]enemies!$2:$2,0)-MATCH($I$1,[2]enemies!$2:$2,0)+1,FALSE)</f>
        <v>#N/A</v>
      </c>
      <c r="L19" s="29" t="e">
        <f ca="1">VLOOKUP($I19,OFFSET([3]characters!$A$1,0,0,COUNTA([3]characters!$A:$A),MATCH(L$1,[3]characters!$2:$2,0)-MATCH($I$1,[3]characters!$2:$2,0)+1),MATCH(L$1,[3]characters!$2:$2,0)-MATCH($I$1,[3]characters!$2:$2,0)+1,FALSE)</f>
        <v>#N/A</v>
      </c>
      <c r="M19" s="28" t="e">
        <f ca="1">VLOOKUP($I19,OFFSET([3]characters!$A$1,0,0,COUNTA([3]characters!$A:$A),MATCH(M$1,[3]characters!$2:$2,0)-MATCH($I$1,[3]characters!$2:$2,0)+2),MATCH(M$1,[3]characters!$2:$2,0)-MATCH($I$1,[3]characters!$2:$2,0)+2,FALSE)</f>
        <v>#N/A</v>
      </c>
      <c r="N19" s="5" t="e">
        <f ca="1">VLOOKUP($I19,OFFSET([2]enemies!$A$1,0,0,COUNTA([2]enemies!$A:$A),MATCH(N$1,[2]enemies!$2:$2,0)-MATCH($I$1,[2]enemies!$2:$2,0)+1),MATCH(N$1,[2]enemies!$2:$2,0)-MATCH($I$1,[2]enemies!$2:$2,0)+1,FALSE)</f>
        <v>#N/A</v>
      </c>
      <c r="O19" s="6">
        <v>32</v>
      </c>
      <c r="P19" s="34">
        <v>0.4</v>
      </c>
      <c r="Q19" s="34">
        <v>1</v>
      </c>
      <c r="R19" s="6">
        <v>0</v>
      </c>
      <c r="S19" s="5" t="str">
        <f ca="1">VLOOKUP($T19,OFFSET([4]enemy_skill_sets!$B$1,0,0,COUNTA([4]enemy_skill_sets!$B:$B),MATCH(J$1,[4]enemy_skill_sets!$1:$1,0)-MATCH($T$1,[4]enemy_skill_sets!$1:$1,0)+2),MATCH(J$1,[4]enemy_skill_sets!$1:$1,0)-MATCH($T$1,[4]enemy_skill_sets!$1:$1,0)+2,FALSE)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9" s="46">
        <v>0</v>
      </c>
      <c r="U19" s="7">
        <v>0</v>
      </c>
      <c r="V19" s="7">
        <v>100</v>
      </c>
      <c r="W19" s="7">
        <v>0</v>
      </c>
      <c r="X19" s="47">
        <v>1</v>
      </c>
      <c r="Y19" s="40">
        <v>122</v>
      </c>
      <c r="Z19" s="5" t="str">
        <f ca="1">IFERROR(VLOOKUP($Y19,OFFSET([3]characters!$A$1,0,0,COUNTA([3]characters!$A:$A),MATCH(Z$1,[3]characters!$2:$2,0)-MATCH("character_id",[3]characters!$2:$2,0)+1),MATCH(Z$1,[3]characters!$2:$2,0)-MATCH("character_id",[3]characters!$2:$2,0)+1,FALSE),"")</f>
        <v/>
      </c>
      <c r="AA19" s="5" t="str">
        <f ca="1">IFERROR(VLOOKUP($Y19,OFFSET([3]characters!$A$1,0,0,COUNTA([3]characters!$A:$A),MATCH(AA$1,[3]characters!$2:$2,0)-MATCH("character_id",[3]characters!$2:$2,0)+1),MATCH(AA$1,[3]characters!$2:$2,0)-MATCH("character_id",[3]characters!$2:$2,0)+1,FALSE),"")</f>
        <v/>
      </c>
      <c r="AB19" s="5" t="str">
        <f ca="1">IFERROR(VLOOKUP($Y19,OFFSET([3]characters!$A$1,0,0,COUNTA([3]characters!$A:$A),MATCH(AB$1,[3]characters!$2:$2,0)-MATCH("character_id",[3]characters!$2:$2,0)+1),MATCH(AB$1,[3]characters!$2:$2,0)-MATCH("character_id",[3]characters!$2:$2,0)+1,FALSE),"")</f>
        <v/>
      </c>
      <c r="AC19" s="37">
        <v>1</v>
      </c>
      <c r="AD19" s="41" t="str">
        <f t="shared" ca="1" si="3"/>
        <v/>
      </c>
      <c r="AE19" s="9">
        <v>100</v>
      </c>
      <c r="AF19" s="37">
        <v>0</v>
      </c>
      <c r="AG19" s="37">
        <v>0</v>
      </c>
      <c r="AH19" s="37">
        <v>0</v>
      </c>
      <c r="AI19" s="37">
        <v>0</v>
      </c>
      <c r="AJ19" s="37">
        <v>1</v>
      </c>
    </row>
    <row r="20" spans="1:36" ht="21" customHeight="1" x14ac:dyDescent="0.15">
      <c r="A20" s="21" t="str">
        <f t="shared" si="0"/>
        <v>11207_2-1/123&lt;lv32&gt;s1</v>
      </c>
      <c r="B20" s="37">
        <v>11207</v>
      </c>
      <c r="C20" s="38">
        <v>2</v>
      </c>
      <c r="D20" s="20" t="str">
        <f t="shared" si="1"/>
        <v>11207_2</v>
      </c>
      <c r="E20" s="5" t="str">
        <f ca="1">VLOOKUP($B20,OFFSET([1]quests!$A$1,0,0,COUNTA([1]quests!$A:$A),MATCH(E$1,[1]quests!$1:$1,0)-MATCH($B$1,[1]quests!$1:$1,0)+1),MATCH(E$1,[1]quests!$1:$1,0)-MATCH($B$1,[1]quests!$1:$1,0)+1,FALSE)</f>
        <v>果実達の大宴会</v>
      </c>
      <c r="F20" s="5" t="str">
        <f ca="1">VLOOKUP($D20,OFFSET([1]stages!$A$1,0,0,COUNTA([1]stages!$A:$A),MATCH(F$1,[1]stages!$2:$2,0)-MATCH($D$1,[1]stages!$2:$2,0)+1),MATCH(F$1,[1]stages!$2:$2,0)-MATCH($D$1,[1]stages!$2:$2,0)+1,FALSE)</f>
        <v>【超級】果実達の大宴会</v>
      </c>
      <c r="G20" s="42">
        <v>1</v>
      </c>
      <c r="H20" s="20" t="str">
        <f t="shared" si="2"/>
        <v>11207_2-1</v>
      </c>
      <c r="I20" s="40">
        <v>123</v>
      </c>
      <c r="J20" s="26" t="e">
        <f ca="1">VLOOKUP($I20,OFFSET([2]enemies!$A$1,0,0,COUNTA([2]enemies!$A:$A),MATCH(J$1,[2]enemies!$2:$2,0)-MATCH($I$1,[2]enemies!$2:$2,0)+1),MATCH(J$1,[2]enemies!$2:$2,0)-MATCH($I$1,[2]enemies!$2:$2,0)+1,FALSE)</f>
        <v>#N/A</v>
      </c>
      <c r="K20" s="29" t="e">
        <f ca="1">VLOOKUP($I20,OFFSET([2]enemies!$A$1,0,0,COUNTA([2]enemies!$A:$A),MATCH(K$1,[2]enemies!$2:$2,0)-MATCH($I$1,[2]enemies!$2:$2,0)+1),MATCH(K$1,[2]enemies!$2:$2,0)-MATCH($I$1,[2]enemies!$2:$2,0)+1,FALSE)</f>
        <v>#N/A</v>
      </c>
      <c r="L20" s="29" t="e">
        <f ca="1">VLOOKUP($I20,OFFSET([3]characters!$A$1,0,0,COUNTA([3]characters!$A:$A),MATCH(L$1,[3]characters!$2:$2,0)-MATCH($I$1,[3]characters!$2:$2,0)+1),MATCH(L$1,[3]characters!$2:$2,0)-MATCH($I$1,[3]characters!$2:$2,0)+1,FALSE)</f>
        <v>#N/A</v>
      </c>
      <c r="M20" s="28" t="e">
        <f ca="1">VLOOKUP($I20,OFFSET([3]characters!$A$1,0,0,COUNTA([3]characters!$A:$A),MATCH(M$1,[3]characters!$2:$2,0)-MATCH($I$1,[3]characters!$2:$2,0)+2),MATCH(M$1,[3]characters!$2:$2,0)-MATCH($I$1,[3]characters!$2:$2,0)+2,FALSE)</f>
        <v>#N/A</v>
      </c>
      <c r="N20" s="5" t="e">
        <f ca="1">VLOOKUP($I20,OFFSET([2]enemies!$A$1,0,0,COUNTA([2]enemies!$A:$A),MATCH(N$1,[2]enemies!$2:$2,0)-MATCH($I$1,[2]enemies!$2:$2,0)+1),MATCH(N$1,[2]enemies!$2:$2,0)-MATCH($I$1,[2]enemies!$2:$2,0)+1,FALSE)</f>
        <v>#N/A</v>
      </c>
      <c r="O20" s="6">
        <v>32</v>
      </c>
      <c r="P20" s="34">
        <v>0.4</v>
      </c>
      <c r="Q20" s="34">
        <v>1</v>
      </c>
      <c r="R20" s="6">
        <v>0</v>
      </c>
      <c r="S20" s="5" t="str">
        <f ca="1">VLOOKUP($T20,OFFSET([4]enemy_skill_sets!$B$1,0,0,COUNTA([4]enemy_skill_sets!$B:$B),MATCH(J$1,[4]enemy_skill_sets!$1:$1,0)-MATCH($T$1,[4]enemy_skill_sets!$1:$1,0)+2),MATCH(J$1,[4]enemy_skill_sets!$1:$1,0)-MATCH($T$1,[4]enemy_skill_sets!$1:$1,0)+2,FALSE)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0" s="46">
        <v>0</v>
      </c>
      <c r="U20" s="7">
        <v>0</v>
      </c>
      <c r="V20" s="7">
        <v>100</v>
      </c>
      <c r="W20" s="7">
        <v>0</v>
      </c>
      <c r="X20" s="47">
        <v>1</v>
      </c>
      <c r="Y20" s="40">
        <v>123</v>
      </c>
      <c r="Z20" s="5" t="str">
        <f ca="1">IFERROR(VLOOKUP($Y20,OFFSET([3]characters!$A$1,0,0,COUNTA([3]characters!$A:$A),MATCH(Z$1,[3]characters!$2:$2,0)-MATCH("character_id",[3]characters!$2:$2,0)+1),MATCH(Z$1,[3]characters!$2:$2,0)-MATCH("character_id",[3]characters!$2:$2,0)+1,FALSE),"")</f>
        <v/>
      </c>
      <c r="AA20" s="5" t="str">
        <f ca="1">IFERROR(VLOOKUP($Y20,OFFSET([3]characters!$A$1,0,0,COUNTA([3]characters!$A:$A),MATCH(AA$1,[3]characters!$2:$2,0)-MATCH("character_id",[3]characters!$2:$2,0)+1),MATCH(AA$1,[3]characters!$2:$2,0)-MATCH("character_id",[3]characters!$2:$2,0)+1,FALSE),"")</f>
        <v/>
      </c>
      <c r="AB20" s="5" t="str">
        <f ca="1">IFERROR(VLOOKUP($Y20,OFFSET([3]characters!$A$1,0,0,COUNTA([3]characters!$A:$A),MATCH(AB$1,[3]characters!$2:$2,0)-MATCH("character_id",[3]characters!$2:$2,0)+1),MATCH(AB$1,[3]characters!$2:$2,0)-MATCH("character_id",[3]characters!$2:$2,0)+1,FALSE),"")</f>
        <v/>
      </c>
      <c r="AC20" s="37">
        <v>1</v>
      </c>
      <c r="AD20" s="41" t="str">
        <f t="shared" ca="1" si="3"/>
        <v/>
      </c>
      <c r="AE20" s="9">
        <v>100</v>
      </c>
      <c r="AF20" s="37">
        <v>0</v>
      </c>
      <c r="AG20" s="37">
        <v>0</v>
      </c>
      <c r="AH20" s="37">
        <v>0</v>
      </c>
      <c r="AI20" s="37">
        <v>0</v>
      </c>
      <c r="AJ20" s="37">
        <v>1</v>
      </c>
    </row>
    <row r="21" spans="1:36" ht="21" customHeight="1" x14ac:dyDescent="0.15">
      <c r="A21" s="21" t="str">
        <f t="shared" si="0"/>
        <v>11207_2-2/607&lt;lv32&gt;s1</v>
      </c>
      <c r="B21" s="37">
        <v>11207</v>
      </c>
      <c r="C21" s="38">
        <v>2</v>
      </c>
      <c r="D21" s="20" t="str">
        <f t="shared" si="1"/>
        <v>11207_2</v>
      </c>
      <c r="E21" s="5" t="str">
        <f ca="1">VLOOKUP($B21,OFFSET([1]quests!$A$1,0,0,COUNTA([1]quests!$A:$A),MATCH(E$1,[1]quests!$1:$1,0)-MATCH($B$1,[1]quests!$1:$1,0)+1),MATCH(E$1,[1]quests!$1:$1,0)-MATCH($B$1,[1]quests!$1:$1,0)+1,FALSE)</f>
        <v>果実達の大宴会</v>
      </c>
      <c r="F21" s="5" t="str">
        <f ca="1">VLOOKUP($D21,OFFSET([1]stages!$A$1,0,0,COUNTA([1]stages!$A:$A),MATCH(F$1,[1]stages!$2:$2,0)-MATCH($D$1,[1]stages!$2:$2,0)+1),MATCH(F$1,[1]stages!$2:$2,0)-MATCH($D$1,[1]stages!$2:$2,0)+1,FALSE)</f>
        <v>【超級】果実達の大宴会</v>
      </c>
      <c r="G21" s="39">
        <v>2</v>
      </c>
      <c r="H21" s="20" t="str">
        <f t="shared" si="2"/>
        <v>11207_2-2</v>
      </c>
      <c r="I21" s="43">
        <v>607</v>
      </c>
      <c r="J21" s="26" t="e">
        <f ca="1">VLOOKUP($I21,OFFSET([2]enemies!$A$1,0,0,COUNTA([2]enemies!$A:$A),MATCH(J$1,[2]enemies!$2:$2,0)-MATCH($I$1,[2]enemies!$2:$2,0)+1),MATCH(J$1,[2]enemies!$2:$2,0)-MATCH($I$1,[2]enemies!$2:$2,0)+1,FALSE)</f>
        <v>#N/A</v>
      </c>
      <c r="K21" s="29" t="e">
        <f ca="1">VLOOKUP($I21,OFFSET([2]enemies!$A$1,0,0,COUNTA([2]enemies!$A:$A),MATCH(K$1,[2]enemies!$2:$2,0)-MATCH($I$1,[2]enemies!$2:$2,0)+1),MATCH(K$1,[2]enemies!$2:$2,0)-MATCH($I$1,[2]enemies!$2:$2,0)+1,FALSE)</f>
        <v>#N/A</v>
      </c>
      <c r="L21" s="29" t="e">
        <f ca="1">VLOOKUP($I21,OFFSET([3]characters!$A$1,0,0,COUNTA([3]characters!$A:$A),MATCH(L$1,[3]characters!$2:$2,0)-MATCH($I$1,[3]characters!$2:$2,0)+1),MATCH(L$1,[3]characters!$2:$2,0)-MATCH($I$1,[3]characters!$2:$2,0)+1,FALSE)</f>
        <v>#N/A</v>
      </c>
      <c r="M21" s="28" t="e">
        <f ca="1">VLOOKUP($I21,OFFSET([3]characters!$A$1,0,0,COUNTA([3]characters!$A:$A),MATCH(M$1,[3]characters!$2:$2,0)-MATCH($I$1,[3]characters!$2:$2,0)+2),MATCH(M$1,[3]characters!$2:$2,0)-MATCH($I$1,[3]characters!$2:$2,0)+2,FALSE)</f>
        <v>#N/A</v>
      </c>
      <c r="N21" s="5" t="e">
        <f ca="1">VLOOKUP($I21,OFFSET([2]enemies!$A$1,0,0,COUNTA([2]enemies!$A:$A),MATCH(N$1,[2]enemies!$2:$2,0)-MATCH($I$1,[2]enemies!$2:$2,0)+1),MATCH(N$1,[2]enemies!$2:$2,0)-MATCH($I$1,[2]enemies!$2:$2,0)+1,FALSE)</f>
        <v>#N/A</v>
      </c>
      <c r="O21" s="6">
        <v>32</v>
      </c>
      <c r="P21" s="34">
        <v>0.4</v>
      </c>
      <c r="Q21" s="34">
        <v>1</v>
      </c>
      <c r="R21" s="6">
        <v>0</v>
      </c>
      <c r="S21" s="5" t="str">
        <f ca="1">VLOOKUP($T21,OFFSET([4]enemy_skill_sets!$B$1,0,0,COUNTA([4]enemy_skill_sets!$B:$B),MATCH(J$1,[4]enemy_skill_sets!$1:$1,0)-MATCH($T$1,[4]enemy_skill_sets!$1:$1,0)+2),MATCH(J$1,[4]enemy_skill_sets!$1:$1,0)-MATCH($T$1,[4]enemy_skill_sets!$1:$1,0)+2,FALSE)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1" s="46">
        <v>0</v>
      </c>
      <c r="U21" s="7">
        <v>1</v>
      </c>
      <c r="V21" s="7">
        <v>0</v>
      </c>
      <c r="W21" s="7">
        <v>1</v>
      </c>
      <c r="X21" s="47">
        <v>1</v>
      </c>
      <c r="Y21" s="43">
        <v>607</v>
      </c>
      <c r="Z21" s="5" t="str">
        <f ca="1">IFERROR(VLOOKUP($Y21,OFFSET([3]characters!$A$1,0,0,COUNTA([3]characters!$A:$A),MATCH(Z$1,[3]characters!$2:$2,0)-MATCH("character_id",[3]characters!$2:$2,0)+1),MATCH(Z$1,[3]characters!$2:$2,0)-MATCH("character_id",[3]characters!$2:$2,0)+1,FALSE),"")</f>
        <v/>
      </c>
      <c r="AA21" s="5" t="str">
        <f ca="1">IFERROR(VLOOKUP($Y21,OFFSET([3]characters!$A$1,0,0,COUNTA([3]characters!$A:$A),MATCH(AA$1,[3]characters!$2:$2,0)-MATCH("character_id",[3]characters!$2:$2,0)+1),MATCH(AA$1,[3]characters!$2:$2,0)-MATCH("character_id",[3]characters!$2:$2,0)+1,FALSE),"")</f>
        <v/>
      </c>
      <c r="AB21" s="5" t="str">
        <f ca="1">IFERROR(VLOOKUP($Y21,OFFSET([3]characters!$A$1,0,0,COUNTA([3]characters!$A:$A),MATCH(AB$1,[3]characters!$2:$2,0)-MATCH("character_id",[3]characters!$2:$2,0)+1),MATCH(AB$1,[3]characters!$2:$2,0)-MATCH("character_id",[3]characters!$2:$2,0)+1,FALSE),"")</f>
        <v/>
      </c>
      <c r="AC21" s="37">
        <v>1</v>
      </c>
      <c r="AD21" s="41" t="str">
        <f t="shared" ca="1" si="3"/>
        <v/>
      </c>
      <c r="AE21" s="44">
        <v>100</v>
      </c>
      <c r="AF21" s="37">
        <v>0</v>
      </c>
      <c r="AG21" s="37">
        <v>0</v>
      </c>
      <c r="AH21" s="37">
        <v>0</v>
      </c>
      <c r="AI21" s="37">
        <v>0</v>
      </c>
      <c r="AJ21" s="37">
        <v>1</v>
      </c>
    </row>
    <row r="22" spans="1:36" ht="21" customHeight="1" x14ac:dyDescent="0.15">
      <c r="A22" s="21" t="str">
        <f t="shared" si="0"/>
        <v>11207_2-2/121&lt;lv32&gt;s1</v>
      </c>
      <c r="B22" s="37">
        <v>11207</v>
      </c>
      <c r="C22" s="38">
        <v>2</v>
      </c>
      <c r="D22" s="20" t="str">
        <f t="shared" si="1"/>
        <v>11207_2</v>
      </c>
      <c r="E22" s="5" t="str">
        <f ca="1">VLOOKUP($B22,OFFSET([1]quests!$A$1,0,0,COUNTA([1]quests!$A:$A),MATCH(E$1,[1]quests!$1:$1,0)-MATCH($B$1,[1]quests!$1:$1,0)+1),MATCH(E$1,[1]quests!$1:$1,0)-MATCH($B$1,[1]quests!$1:$1,0)+1,FALSE)</f>
        <v>果実達の大宴会</v>
      </c>
      <c r="F22" s="5" t="str">
        <f ca="1">VLOOKUP($D22,OFFSET([1]stages!$A$1,0,0,COUNTA([1]stages!$A:$A),MATCH(F$1,[1]stages!$2:$2,0)-MATCH($D$1,[1]stages!$2:$2,0)+1),MATCH(F$1,[1]stages!$2:$2,0)-MATCH($D$1,[1]stages!$2:$2,0)+1,FALSE)</f>
        <v>【超級】果実達の大宴会</v>
      </c>
      <c r="G22" s="39">
        <v>2</v>
      </c>
      <c r="H22" s="20" t="str">
        <f t="shared" si="2"/>
        <v>11207_2-2</v>
      </c>
      <c r="I22" s="40">
        <v>121</v>
      </c>
      <c r="J22" s="26" t="e">
        <f ca="1">VLOOKUP($I22,OFFSET([2]enemies!$A$1,0,0,COUNTA([2]enemies!$A:$A),MATCH(J$1,[2]enemies!$2:$2,0)-MATCH($I$1,[2]enemies!$2:$2,0)+1),MATCH(J$1,[2]enemies!$2:$2,0)-MATCH($I$1,[2]enemies!$2:$2,0)+1,FALSE)</f>
        <v>#N/A</v>
      </c>
      <c r="K22" s="29" t="e">
        <f ca="1">VLOOKUP($I22,OFFSET([2]enemies!$A$1,0,0,COUNTA([2]enemies!$A:$A),MATCH(K$1,[2]enemies!$2:$2,0)-MATCH($I$1,[2]enemies!$2:$2,0)+1),MATCH(K$1,[2]enemies!$2:$2,0)-MATCH($I$1,[2]enemies!$2:$2,0)+1,FALSE)</f>
        <v>#N/A</v>
      </c>
      <c r="L22" s="29" t="e">
        <f ca="1">VLOOKUP($I22,OFFSET([3]characters!$A$1,0,0,COUNTA([3]characters!$A:$A),MATCH(L$1,[3]characters!$2:$2,0)-MATCH($I$1,[3]characters!$2:$2,0)+1),MATCH(L$1,[3]characters!$2:$2,0)-MATCH($I$1,[3]characters!$2:$2,0)+1,FALSE)</f>
        <v>#N/A</v>
      </c>
      <c r="M22" s="28" t="e">
        <f ca="1">VLOOKUP($I22,OFFSET([3]characters!$A$1,0,0,COUNTA([3]characters!$A:$A),MATCH(M$1,[3]characters!$2:$2,0)-MATCH($I$1,[3]characters!$2:$2,0)+2),MATCH(M$1,[3]characters!$2:$2,0)-MATCH($I$1,[3]characters!$2:$2,0)+2,FALSE)</f>
        <v>#N/A</v>
      </c>
      <c r="N22" s="5" t="e">
        <f ca="1">VLOOKUP($I22,OFFSET([2]enemies!$A$1,0,0,COUNTA([2]enemies!$A:$A),MATCH(N$1,[2]enemies!$2:$2,0)-MATCH($I$1,[2]enemies!$2:$2,0)+1),MATCH(N$1,[2]enemies!$2:$2,0)-MATCH($I$1,[2]enemies!$2:$2,0)+1,FALSE)</f>
        <v>#N/A</v>
      </c>
      <c r="O22" s="6">
        <v>32</v>
      </c>
      <c r="P22" s="34">
        <v>0.4</v>
      </c>
      <c r="Q22" s="34">
        <v>1</v>
      </c>
      <c r="R22" s="6">
        <v>0</v>
      </c>
      <c r="S22" s="5" t="str">
        <f ca="1">VLOOKUP($T22,OFFSET([4]enemy_skill_sets!$B$1,0,0,COUNTA([4]enemy_skill_sets!$B:$B),MATCH(J$1,[4]enemy_skill_sets!$1:$1,0)-MATCH($T$1,[4]enemy_skill_sets!$1:$1,0)+2),MATCH(J$1,[4]enemy_skill_sets!$1:$1,0)-MATCH($T$1,[4]enemy_skill_sets!$1:$1,0)+2,FALSE)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2" s="46">
        <v>0</v>
      </c>
      <c r="U22" s="7">
        <v>0</v>
      </c>
      <c r="V22" s="7">
        <v>100</v>
      </c>
      <c r="W22" s="7">
        <v>0</v>
      </c>
      <c r="X22" s="47">
        <v>1</v>
      </c>
      <c r="Y22" s="40">
        <v>121</v>
      </c>
      <c r="Z22" s="5" t="str">
        <f ca="1">IFERROR(VLOOKUP($Y22,OFFSET([3]characters!$A$1,0,0,COUNTA([3]characters!$A:$A),MATCH(Z$1,[3]characters!$2:$2,0)-MATCH("character_id",[3]characters!$2:$2,0)+1),MATCH(Z$1,[3]characters!$2:$2,0)-MATCH("character_id",[3]characters!$2:$2,0)+1,FALSE),"")</f>
        <v/>
      </c>
      <c r="AA22" s="5" t="str">
        <f ca="1">IFERROR(VLOOKUP($Y22,OFFSET([3]characters!$A$1,0,0,COUNTA([3]characters!$A:$A),MATCH(AA$1,[3]characters!$2:$2,0)-MATCH("character_id",[3]characters!$2:$2,0)+1),MATCH(AA$1,[3]characters!$2:$2,0)-MATCH("character_id",[3]characters!$2:$2,0)+1,FALSE),"")</f>
        <v/>
      </c>
      <c r="AB22" s="5" t="str">
        <f ca="1">IFERROR(VLOOKUP($Y22,OFFSET([3]characters!$A$1,0,0,COUNTA([3]characters!$A:$A),MATCH(AB$1,[3]characters!$2:$2,0)-MATCH("character_id",[3]characters!$2:$2,0)+1),MATCH(AB$1,[3]characters!$2:$2,0)-MATCH("character_id",[3]characters!$2:$2,0)+1,FALSE),"")</f>
        <v/>
      </c>
      <c r="AC22" s="37">
        <v>1</v>
      </c>
      <c r="AD22" s="41" t="str">
        <f t="shared" ca="1" si="3"/>
        <v/>
      </c>
      <c r="AE22" s="44">
        <v>0</v>
      </c>
      <c r="AF22" s="37">
        <v>0</v>
      </c>
      <c r="AG22" s="37">
        <v>0</v>
      </c>
      <c r="AH22" s="37">
        <v>0</v>
      </c>
      <c r="AI22" s="37">
        <v>0</v>
      </c>
      <c r="AJ22" s="37">
        <v>1</v>
      </c>
    </row>
    <row r="23" spans="1:36" ht="21" customHeight="1" x14ac:dyDescent="0.15">
      <c r="A23" s="21" t="str">
        <f t="shared" si="0"/>
        <v>11207_2-2/122&lt;lv32&gt;s1</v>
      </c>
      <c r="B23" s="37">
        <v>11207</v>
      </c>
      <c r="C23" s="38">
        <v>2</v>
      </c>
      <c r="D23" s="20" t="str">
        <f t="shared" si="1"/>
        <v>11207_2</v>
      </c>
      <c r="E23" s="5" t="str">
        <f ca="1">VLOOKUP($B23,OFFSET([1]quests!$A$1,0,0,COUNTA([1]quests!$A:$A),MATCH(E$1,[1]quests!$1:$1,0)-MATCH($B$1,[1]quests!$1:$1,0)+1),MATCH(E$1,[1]quests!$1:$1,0)-MATCH($B$1,[1]quests!$1:$1,0)+1,FALSE)</f>
        <v>果実達の大宴会</v>
      </c>
      <c r="F23" s="5" t="str">
        <f ca="1">VLOOKUP($D23,OFFSET([1]stages!$A$1,0,0,COUNTA([1]stages!$A:$A),MATCH(F$1,[1]stages!$2:$2,0)-MATCH($D$1,[1]stages!$2:$2,0)+1),MATCH(F$1,[1]stages!$2:$2,0)-MATCH($D$1,[1]stages!$2:$2,0)+1,FALSE)</f>
        <v>【超級】果実達の大宴会</v>
      </c>
      <c r="G23" s="39">
        <v>2</v>
      </c>
      <c r="H23" s="20" t="str">
        <f t="shared" si="2"/>
        <v>11207_2-2</v>
      </c>
      <c r="I23" s="40">
        <v>122</v>
      </c>
      <c r="J23" s="26" t="e">
        <f ca="1">VLOOKUP($I23,OFFSET([2]enemies!$A$1,0,0,COUNTA([2]enemies!$A:$A),MATCH(J$1,[2]enemies!$2:$2,0)-MATCH($I$1,[2]enemies!$2:$2,0)+1),MATCH(J$1,[2]enemies!$2:$2,0)-MATCH($I$1,[2]enemies!$2:$2,0)+1,FALSE)</f>
        <v>#N/A</v>
      </c>
      <c r="K23" s="29" t="e">
        <f ca="1">VLOOKUP($I23,OFFSET([2]enemies!$A$1,0,0,COUNTA([2]enemies!$A:$A),MATCH(K$1,[2]enemies!$2:$2,0)-MATCH($I$1,[2]enemies!$2:$2,0)+1),MATCH(K$1,[2]enemies!$2:$2,0)-MATCH($I$1,[2]enemies!$2:$2,0)+1,FALSE)</f>
        <v>#N/A</v>
      </c>
      <c r="L23" s="29" t="e">
        <f ca="1">VLOOKUP($I23,OFFSET([3]characters!$A$1,0,0,COUNTA([3]characters!$A:$A),MATCH(L$1,[3]characters!$2:$2,0)-MATCH($I$1,[3]characters!$2:$2,0)+1),MATCH(L$1,[3]characters!$2:$2,0)-MATCH($I$1,[3]characters!$2:$2,0)+1,FALSE)</f>
        <v>#N/A</v>
      </c>
      <c r="M23" s="28" t="e">
        <f ca="1">VLOOKUP($I23,OFFSET([3]characters!$A$1,0,0,COUNTA([3]characters!$A:$A),MATCH(M$1,[3]characters!$2:$2,0)-MATCH($I$1,[3]characters!$2:$2,0)+2),MATCH(M$1,[3]characters!$2:$2,0)-MATCH($I$1,[3]characters!$2:$2,0)+2,FALSE)</f>
        <v>#N/A</v>
      </c>
      <c r="N23" s="5" t="e">
        <f ca="1">VLOOKUP($I23,OFFSET([2]enemies!$A$1,0,0,COUNTA([2]enemies!$A:$A),MATCH(N$1,[2]enemies!$2:$2,0)-MATCH($I$1,[2]enemies!$2:$2,0)+1),MATCH(N$1,[2]enemies!$2:$2,0)-MATCH($I$1,[2]enemies!$2:$2,0)+1,FALSE)</f>
        <v>#N/A</v>
      </c>
      <c r="O23" s="6">
        <v>32</v>
      </c>
      <c r="P23" s="34">
        <v>0.4</v>
      </c>
      <c r="Q23" s="34">
        <v>1</v>
      </c>
      <c r="R23" s="6">
        <v>0</v>
      </c>
      <c r="S23" s="5" t="str">
        <f ca="1">VLOOKUP($T23,OFFSET([4]enemy_skill_sets!$B$1,0,0,COUNTA([4]enemy_skill_sets!$B:$B),MATCH(J$1,[4]enemy_skill_sets!$1:$1,0)-MATCH($T$1,[4]enemy_skill_sets!$1:$1,0)+2),MATCH(J$1,[4]enemy_skill_sets!$1:$1,0)-MATCH($T$1,[4]enemy_skill_sets!$1:$1,0)+2,FALSE)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3" s="46">
        <v>0</v>
      </c>
      <c r="U23" s="7">
        <v>0</v>
      </c>
      <c r="V23" s="7">
        <v>100</v>
      </c>
      <c r="W23" s="7">
        <v>0</v>
      </c>
      <c r="X23" s="47">
        <v>1</v>
      </c>
      <c r="Y23" s="40">
        <v>122</v>
      </c>
      <c r="Z23" s="5" t="str">
        <f ca="1">IFERROR(VLOOKUP($Y23,OFFSET([3]characters!$A$1,0,0,COUNTA([3]characters!$A:$A),MATCH(Z$1,[3]characters!$2:$2,0)-MATCH("character_id",[3]characters!$2:$2,0)+1),MATCH(Z$1,[3]characters!$2:$2,0)-MATCH("character_id",[3]characters!$2:$2,0)+1,FALSE),"")</f>
        <v/>
      </c>
      <c r="AA23" s="5" t="str">
        <f ca="1">IFERROR(VLOOKUP($Y23,OFFSET([3]characters!$A$1,0,0,COUNTA([3]characters!$A:$A),MATCH(AA$1,[3]characters!$2:$2,0)-MATCH("character_id",[3]characters!$2:$2,0)+1),MATCH(AA$1,[3]characters!$2:$2,0)-MATCH("character_id",[3]characters!$2:$2,0)+1,FALSE),"")</f>
        <v/>
      </c>
      <c r="AB23" s="5" t="str">
        <f ca="1">IFERROR(VLOOKUP($Y23,OFFSET([3]characters!$A$1,0,0,COUNTA([3]characters!$A:$A),MATCH(AB$1,[3]characters!$2:$2,0)-MATCH("character_id",[3]characters!$2:$2,0)+1),MATCH(AB$1,[3]characters!$2:$2,0)-MATCH("character_id",[3]characters!$2:$2,0)+1,FALSE),"")</f>
        <v/>
      </c>
      <c r="AC23" s="37">
        <v>1</v>
      </c>
      <c r="AD23" s="41" t="str">
        <f t="shared" ca="1" si="3"/>
        <v/>
      </c>
      <c r="AE23" s="44">
        <v>0</v>
      </c>
      <c r="AF23" s="37">
        <v>0</v>
      </c>
      <c r="AG23" s="37">
        <v>0</v>
      </c>
      <c r="AH23" s="37">
        <v>0</v>
      </c>
      <c r="AI23" s="37">
        <v>0</v>
      </c>
      <c r="AJ23" s="37">
        <v>1</v>
      </c>
    </row>
    <row r="24" spans="1:36" ht="21" customHeight="1" x14ac:dyDescent="0.15">
      <c r="A24" s="21" t="str">
        <f t="shared" si="0"/>
        <v>11207_2-2/123&lt;lv32&gt;s1</v>
      </c>
      <c r="B24" s="37">
        <v>11207</v>
      </c>
      <c r="C24" s="38">
        <v>2</v>
      </c>
      <c r="D24" s="20" t="str">
        <f t="shared" si="1"/>
        <v>11207_2</v>
      </c>
      <c r="E24" s="5" t="str">
        <f ca="1">VLOOKUP($B24,OFFSET([1]quests!$A$1,0,0,COUNTA([1]quests!$A:$A),MATCH(E$1,[1]quests!$1:$1,0)-MATCH($B$1,[1]quests!$1:$1,0)+1),MATCH(E$1,[1]quests!$1:$1,0)-MATCH($B$1,[1]quests!$1:$1,0)+1,FALSE)</f>
        <v>果実達の大宴会</v>
      </c>
      <c r="F24" s="5" t="str">
        <f ca="1">VLOOKUP($D24,OFFSET([1]stages!$A$1,0,0,COUNTA([1]stages!$A:$A),MATCH(F$1,[1]stages!$2:$2,0)-MATCH($D$1,[1]stages!$2:$2,0)+1),MATCH(F$1,[1]stages!$2:$2,0)-MATCH($D$1,[1]stages!$2:$2,0)+1,FALSE)</f>
        <v>【超級】果実達の大宴会</v>
      </c>
      <c r="G24" s="39">
        <v>2</v>
      </c>
      <c r="H24" s="20" t="str">
        <f t="shared" si="2"/>
        <v>11207_2-2</v>
      </c>
      <c r="I24" s="40">
        <v>123</v>
      </c>
      <c r="J24" s="26" t="e">
        <f ca="1">VLOOKUP($I24,OFFSET([2]enemies!$A$1,0,0,COUNTA([2]enemies!$A:$A),MATCH(J$1,[2]enemies!$2:$2,0)-MATCH($I$1,[2]enemies!$2:$2,0)+1),MATCH(J$1,[2]enemies!$2:$2,0)-MATCH($I$1,[2]enemies!$2:$2,0)+1,FALSE)</f>
        <v>#N/A</v>
      </c>
      <c r="K24" s="29" t="e">
        <f ca="1">VLOOKUP($I24,OFFSET([2]enemies!$A$1,0,0,COUNTA([2]enemies!$A:$A),MATCH(K$1,[2]enemies!$2:$2,0)-MATCH($I$1,[2]enemies!$2:$2,0)+1),MATCH(K$1,[2]enemies!$2:$2,0)-MATCH($I$1,[2]enemies!$2:$2,0)+1,FALSE)</f>
        <v>#N/A</v>
      </c>
      <c r="L24" s="29" t="e">
        <f ca="1">VLOOKUP($I24,OFFSET([3]characters!$A$1,0,0,COUNTA([3]characters!$A:$A),MATCH(L$1,[3]characters!$2:$2,0)-MATCH($I$1,[3]characters!$2:$2,0)+1),MATCH(L$1,[3]characters!$2:$2,0)-MATCH($I$1,[3]characters!$2:$2,0)+1,FALSE)</f>
        <v>#N/A</v>
      </c>
      <c r="M24" s="28" t="e">
        <f ca="1">VLOOKUP($I24,OFFSET([3]characters!$A$1,0,0,COUNTA([3]characters!$A:$A),MATCH(M$1,[3]characters!$2:$2,0)-MATCH($I$1,[3]characters!$2:$2,0)+2),MATCH(M$1,[3]characters!$2:$2,0)-MATCH($I$1,[3]characters!$2:$2,0)+2,FALSE)</f>
        <v>#N/A</v>
      </c>
      <c r="N24" s="5" t="e">
        <f ca="1">VLOOKUP($I24,OFFSET([2]enemies!$A$1,0,0,COUNTA([2]enemies!$A:$A),MATCH(N$1,[2]enemies!$2:$2,0)-MATCH($I$1,[2]enemies!$2:$2,0)+1),MATCH(N$1,[2]enemies!$2:$2,0)-MATCH($I$1,[2]enemies!$2:$2,0)+1,FALSE)</f>
        <v>#N/A</v>
      </c>
      <c r="O24" s="6">
        <v>32</v>
      </c>
      <c r="P24" s="34">
        <v>0.4</v>
      </c>
      <c r="Q24" s="34">
        <v>1</v>
      </c>
      <c r="R24" s="6">
        <v>0</v>
      </c>
      <c r="S24" s="5" t="str">
        <f ca="1">VLOOKUP($T24,OFFSET([4]enemy_skill_sets!$B$1,0,0,COUNTA([4]enemy_skill_sets!$B:$B),MATCH(J$1,[4]enemy_skill_sets!$1:$1,0)-MATCH($T$1,[4]enemy_skill_sets!$1:$1,0)+2),MATCH(J$1,[4]enemy_skill_sets!$1:$1,0)-MATCH($T$1,[4]enemy_skill_sets!$1:$1,0)+2,FALSE)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4" s="46">
        <v>0</v>
      </c>
      <c r="U24" s="7">
        <v>0</v>
      </c>
      <c r="V24" s="7">
        <v>100</v>
      </c>
      <c r="W24" s="7">
        <v>0</v>
      </c>
      <c r="X24" s="47">
        <v>1</v>
      </c>
      <c r="Y24" s="40">
        <v>123</v>
      </c>
      <c r="Z24" s="5" t="str">
        <f ca="1">IFERROR(VLOOKUP($Y24,OFFSET([3]characters!$A$1,0,0,COUNTA([3]characters!$A:$A),MATCH(Z$1,[3]characters!$2:$2,0)-MATCH("character_id",[3]characters!$2:$2,0)+1),MATCH(Z$1,[3]characters!$2:$2,0)-MATCH("character_id",[3]characters!$2:$2,0)+1,FALSE),"")</f>
        <v/>
      </c>
      <c r="AA24" s="5" t="str">
        <f ca="1">IFERROR(VLOOKUP($Y24,OFFSET([3]characters!$A$1,0,0,COUNTA([3]characters!$A:$A),MATCH(AA$1,[3]characters!$2:$2,0)-MATCH("character_id",[3]characters!$2:$2,0)+1),MATCH(AA$1,[3]characters!$2:$2,0)-MATCH("character_id",[3]characters!$2:$2,0)+1,FALSE),"")</f>
        <v/>
      </c>
      <c r="AB24" s="5" t="str">
        <f ca="1">IFERROR(VLOOKUP($Y24,OFFSET([3]characters!$A$1,0,0,COUNTA([3]characters!$A:$A),MATCH(AB$1,[3]characters!$2:$2,0)-MATCH("character_id",[3]characters!$2:$2,0)+1),MATCH(AB$1,[3]characters!$2:$2,0)-MATCH("character_id",[3]characters!$2:$2,0)+1,FALSE),"")</f>
        <v/>
      </c>
      <c r="AC24" s="37">
        <v>1</v>
      </c>
      <c r="AD24" s="41" t="str">
        <f t="shared" ca="1" si="3"/>
        <v/>
      </c>
      <c r="AE24" s="44">
        <v>0</v>
      </c>
      <c r="AF24" s="37">
        <v>0</v>
      </c>
      <c r="AG24" s="37">
        <v>0</v>
      </c>
      <c r="AH24" s="37">
        <v>0</v>
      </c>
      <c r="AI24" s="37">
        <v>0</v>
      </c>
      <c r="AJ24" s="37">
        <v>1</v>
      </c>
    </row>
    <row r="25" spans="1:36" ht="21" customHeight="1" x14ac:dyDescent="0.15">
      <c r="A25" s="21" t="str">
        <f t="shared" si="0"/>
        <v>11207_2-3/609&lt;lv32&gt;s1</v>
      </c>
      <c r="B25" s="37">
        <v>11207</v>
      </c>
      <c r="C25" s="38">
        <v>2</v>
      </c>
      <c r="D25" s="20" t="str">
        <f t="shared" si="1"/>
        <v>11207_2</v>
      </c>
      <c r="E25" s="5" t="str">
        <f ca="1">VLOOKUP($B25,OFFSET([1]quests!$A$1,0,0,COUNTA([1]quests!$A:$A),MATCH(E$1,[1]quests!$1:$1,0)-MATCH($B$1,[1]quests!$1:$1,0)+1),MATCH(E$1,[1]quests!$1:$1,0)-MATCH($B$1,[1]quests!$1:$1,0)+1,FALSE)</f>
        <v>果実達の大宴会</v>
      </c>
      <c r="F25" s="5" t="str">
        <f ca="1">VLOOKUP($D25,OFFSET([1]stages!$A$1,0,0,COUNTA([1]stages!$A:$A),MATCH(F$1,[1]stages!$2:$2,0)-MATCH($D$1,[1]stages!$2:$2,0)+1),MATCH(F$1,[1]stages!$2:$2,0)-MATCH($D$1,[1]stages!$2:$2,0)+1,FALSE)</f>
        <v>【超級】果実達の大宴会</v>
      </c>
      <c r="G25" s="42">
        <v>3</v>
      </c>
      <c r="H25" s="20" t="str">
        <f t="shared" si="2"/>
        <v>11207_2-3</v>
      </c>
      <c r="I25" s="43">
        <v>609</v>
      </c>
      <c r="J25" s="26" t="e">
        <f ca="1">VLOOKUP($I25,OFFSET([2]enemies!$A$1,0,0,COUNTA([2]enemies!$A:$A),MATCH(J$1,[2]enemies!$2:$2,0)-MATCH($I$1,[2]enemies!$2:$2,0)+1),MATCH(J$1,[2]enemies!$2:$2,0)-MATCH($I$1,[2]enemies!$2:$2,0)+1,FALSE)</f>
        <v>#N/A</v>
      </c>
      <c r="K25" s="29" t="e">
        <f ca="1">VLOOKUP($I25,OFFSET([2]enemies!$A$1,0,0,COUNTA([2]enemies!$A:$A),MATCH(K$1,[2]enemies!$2:$2,0)-MATCH($I$1,[2]enemies!$2:$2,0)+1),MATCH(K$1,[2]enemies!$2:$2,0)-MATCH($I$1,[2]enemies!$2:$2,0)+1,FALSE)</f>
        <v>#N/A</v>
      </c>
      <c r="L25" s="29" t="e">
        <f ca="1">VLOOKUP($I25,OFFSET([3]characters!$A$1,0,0,COUNTA([3]characters!$A:$A),MATCH(L$1,[3]characters!$2:$2,0)-MATCH($I$1,[3]characters!$2:$2,0)+1),MATCH(L$1,[3]characters!$2:$2,0)-MATCH($I$1,[3]characters!$2:$2,0)+1,FALSE)</f>
        <v>#N/A</v>
      </c>
      <c r="M25" s="28" t="e">
        <f ca="1">VLOOKUP($I25,OFFSET([3]characters!$A$1,0,0,COUNTA([3]characters!$A:$A),MATCH(M$1,[3]characters!$2:$2,0)-MATCH($I$1,[3]characters!$2:$2,0)+2),MATCH(M$1,[3]characters!$2:$2,0)-MATCH($I$1,[3]characters!$2:$2,0)+2,FALSE)</f>
        <v>#N/A</v>
      </c>
      <c r="N25" s="5" t="e">
        <f ca="1">VLOOKUP($I25,OFFSET([2]enemies!$A$1,0,0,COUNTA([2]enemies!$A:$A),MATCH(N$1,[2]enemies!$2:$2,0)-MATCH($I$1,[2]enemies!$2:$2,0)+1),MATCH(N$1,[2]enemies!$2:$2,0)-MATCH($I$1,[2]enemies!$2:$2,0)+1,FALSE)</f>
        <v>#N/A</v>
      </c>
      <c r="O25" s="6">
        <v>32</v>
      </c>
      <c r="P25" s="34">
        <v>0.4</v>
      </c>
      <c r="Q25" s="34">
        <v>1</v>
      </c>
      <c r="R25" s="6">
        <v>0</v>
      </c>
      <c r="S25" s="5" t="str">
        <f ca="1">VLOOKUP($T25,OFFSET([4]enemy_skill_sets!$B$1,0,0,COUNTA([4]enemy_skill_sets!$B:$B),MATCH(J$1,[4]enemy_skill_sets!$1:$1,0)-MATCH($T$1,[4]enemy_skill_sets!$1:$1,0)+2),MATCH(J$1,[4]enemy_skill_sets!$1:$1,0)-MATCH($T$1,[4]enemy_skill_sets!$1:$1,0)+2,FALSE)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5" s="46">
        <v>0</v>
      </c>
      <c r="U25" s="7">
        <v>1</v>
      </c>
      <c r="V25" s="7">
        <v>0</v>
      </c>
      <c r="W25" s="7">
        <v>1</v>
      </c>
      <c r="X25" s="47">
        <v>1</v>
      </c>
      <c r="Y25" s="43">
        <v>609</v>
      </c>
      <c r="Z25" s="5" t="str">
        <f ca="1">IFERROR(VLOOKUP($Y25,OFFSET([3]characters!$A$1,0,0,COUNTA([3]characters!$A:$A),MATCH(Z$1,[3]characters!$2:$2,0)-MATCH("character_id",[3]characters!$2:$2,0)+1),MATCH(Z$1,[3]characters!$2:$2,0)-MATCH("character_id",[3]characters!$2:$2,0)+1,FALSE),"")</f>
        <v/>
      </c>
      <c r="AA25" s="5" t="str">
        <f ca="1">IFERROR(VLOOKUP($Y25,OFFSET([3]characters!$A$1,0,0,COUNTA([3]characters!$A:$A),MATCH(AA$1,[3]characters!$2:$2,0)-MATCH("character_id",[3]characters!$2:$2,0)+1),MATCH(AA$1,[3]characters!$2:$2,0)-MATCH("character_id",[3]characters!$2:$2,0)+1,FALSE),"")</f>
        <v/>
      </c>
      <c r="AB25" s="5" t="str">
        <f ca="1">IFERROR(VLOOKUP($Y25,OFFSET([3]characters!$A$1,0,0,COUNTA([3]characters!$A:$A),MATCH(AB$1,[3]characters!$2:$2,0)-MATCH("character_id",[3]characters!$2:$2,0)+1),MATCH(AB$1,[3]characters!$2:$2,0)-MATCH("character_id",[3]characters!$2:$2,0)+1,FALSE),"")</f>
        <v/>
      </c>
      <c r="AC25" s="37">
        <v>1</v>
      </c>
      <c r="AD25" s="41" t="str">
        <f t="shared" ca="1" si="3"/>
        <v/>
      </c>
      <c r="AE25" s="44">
        <v>100</v>
      </c>
      <c r="AF25" s="37">
        <v>0</v>
      </c>
      <c r="AG25" s="37">
        <v>0</v>
      </c>
      <c r="AH25" s="37">
        <v>0</v>
      </c>
      <c r="AI25" s="37">
        <v>0</v>
      </c>
      <c r="AJ25" s="37">
        <v>1</v>
      </c>
    </row>
    <row r="26" spans="1:36" ht="21" customHeight="1" x14ac:dyDescent="0.15">
      <c r="A26" s="21" t="str">
        <f t="shared" si="0"/>
        <v>11207_2-3/121&lt;lv32&gt;s1</v>
      </c>
      <c r="B26" s="37">
        <v>11207</v>
      </c>
      <c r="C26" s="38">
        <v>2</v>
      </c>
      <c r="D26" s="20" t="str">
        <f t="shared" si="1"/>
        <v>11207_2</v>
      </c>
      <c r="E26" s="5" t="str">
        <f ca="1">VLOOKUP($B26,OFFSET([1]quests!$A$1,0,0,COUNTA([1]quests!$A:$A),MATCH(E$1,[1]quests!$1:$1,0)-MATCH($B$1,[1]quests!$1:$1,0)+1),MATCH(E$1,[1]quests!$1:$1,0)-MATCH($B$1,[1]quests!$1:$1,0)+1,FALSE)</f>
        <v>果実達の大宴会</v>
      </c>
      <c r="F26" s="5" t="str">
        <f ca="1">VLOOKUP($D26,OFFSET([1]stages!$A$1,0,0,COUNTA([1]stages!$A:$A),MATCH(F$1,[1]stages!$2:$2,0)-MATCH($D$1,[1]stages!$2:$2,0)+1),MATCH(F$1,[1]stages!$2:$2,0)-MATCH($D$1,[1]stages!$2:$2,0)+1,FALSE)</f>
        <v>【超級】果実達の大宴会</v>
      </c>
      <c r="G26" s="42">
        <v>3</v>
      </c>
      <c r="H26" s="20" t="str">
        <f t="shared" si="2"/>
        <v>11207_2-3</v>
      </c>
      <c r="I26" s="40">
        <v>121</v>
      </c>
      <c r="J26" s="26" t="e">
        <f ca="1">VLOOKUP($I26,OFFSET([2]enemies!$A$1,0,0,COUNTA([2]enemies!$A:$A),MATCH(J$1,[2]enemies!$2:$2,0)-MATCH($I$1,[2]enemies!$2:$2,0)+1),MATCH(J$1,[2]enemies!$2:$2,0)-MATCH($I$1,[2]enemies!$2:$2,0)+1,FALSE)</f>
        <v>#N/A</v>
      </c>
      <c r="K26" s="29" t="e">
        <f ca="1">VLOOKUP($I26,OFFSET([2]enemies!$A$1,0,0,COUNTA([2]enemies!$A:$A),MATCH(K$1,[2]enemies!$2:$2,0)-MATCH($I$1,[2]enemies!$2:$2,0)+1),MATCH(K$1,[2]enemies!$2:$2,0)-MATCH($I$1,[2]enemies!$2:$2,0)+1,FALSE)</f>
        <v>#N/A</v>
      </c>
      <c r="L26" s="29" t="e">
        <f ca="1">VLOOKUP($I26,OFFSET([3]characters!$A$1,0,0,COUNTA([3]characters!$A:$A),MATCH(L$1,[3]characters!$2:$2,0)-MATCH($I$1,[3]characters!$2:$2,0)+1),MATCH(L$1,[3]characters!$2:$2,0)-MATCH($I$1,[3]characters!$2:$2,0)+1,FALSE)</f>
        <v>#N/A</v>
      </c>
      <c r="M26" s="28" t="e">
        <f ca="1">VLOOKUP($I26,OFFSET([3]characters!$A$1,0,0,COUNTA([3]characters!$A:$A),MATCH(M$1,[3]characters!$2:$2,0)-MATCH($I$1,[3]characters!$2:$2,0)+2),MATCH(M$1,[3]characters!$2:$2,0)-MATCH($I$1,[3]characters!$2:$2,0)+2,FALSE)</f>
        <v>#N/A</v>
      </c>
      <c r="N26" s="5" t="e">
        <f ca="1">VLOOKUP($I26,OFFSET([2]enemies!$A$1,0,0,COUNTA([2]enemies!$A:$A),MATCH(N$1,[2]enemies!$2:$2,0)-MATCH($I$1,[2]enemies!$2:$2,0)+1),MATCH(N$1,[2]enemies!$2:$2,0)-MATCH($I$1,[2]enemies!$2:$2,0)+1,FALSE)</f>
        <v>#N/A</v>
      </c>
      <c r="O26" s="6">
        <v>32</v>
      </c>
      <c r="P26" s="34">
        <v>0.4</v>
      </c>
      <c r="Q26" s="34">
        <v>1</v>
      </c>
      <c r="R26" s="6">
        <v>0</v>
      </c>
      <c r="S26" s="5" t="str">
        <f ca="1">VLOOKUP($T26,OFFSET([4]enemy_skill_sets!$B$1,0,0,COUNTA([4]enemy_skill_sets!$B:$B),MATCH(J$1,[4]enemy_skill_sets!$1:$1,0)-MATCH($T$1,[4]enemy_skill_sets!$1:$1,0)+2),MATCH(J$1,[4]enemy_skill_sets!$1:$1,0)-MATCH($T$1,[4]enemy_skill_sets!$1:$1,0)+2,FALSE)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6" s="46">
        <v>0</v>
      </c>
      <c r="U26" s="7">
        <v>0</v>
      </c>
      <c r="V26" s="7">
        <v>100</v>
      </c>
      <c r="W26" s="7">
        <v>0</v>
      </c>
      <c r="X26" s="47">
        <v>1</v>
      </c>
      <c r="Y26" s="40">
        <v>121</v>
      </c>
      <c r="Z26" s="5" t="str">
        <f ca="1">IFERROR(VLOOKUP($Y26,OFFSET([3]characters!$A$1,0,0,COUNTA([3]characters!$A:$A),MATCH(Z$1,[3]characters!$2:$2,0)-MATCH("character_id",[3]characters!$2:$2,0)+1),MATCH(Z$1,[3]characters!$2:$2,0)-MATCH("character_id",[3]characters!$2:$2,0)+1,FALSE),"")</f>
        <v/>
      </c>
      <c r="AA26" s="5" t="str">
        <f ca="1">IFERROR(VLOOKUP($Y26,OFFSET([3]characters!$A$1,0,0,COUNTA([3]characters!$A:$A),MATCH(AA$1,[3]characters!$2:$2,0)-MATCH("character_id",[3]characters!$2:$2,0)+1),MATCH(AA$1,[3]characters!$2:$2,0)-MATCH("character_id",[3]characters!$2:$2,0)+1,FALSE),"")</f>
        <v/>
      </c>
      <c r="AB26" s="5" t="str">
        <f ca="1">IFERROR(VLOOKUP($Y26,OFFSET([3]characters!$A$1,0,0,COUNTA([3]characters!$A:$A),MATCH(AB$1,[3]characters!$2:$2,0)-MATCH("character_id",[3]characters!$2:$2,0)+1),MATCH(AB$1,[3]characters!$2:$2,0)-MATCH("character_id",[3]characters!$2:$2,0)+1,FALSE),"")</f>
        <v/>
      </c>
      <c r="AC26" s="37">
        <v>1</v>
      </c>
      <c r="AD26" s="41" t="str">
        <f t="shared" ca="1" si="3"/>
        <v/>
      </c>
      <c r="AE26" s="44">
        <v>0</v>
      </c>
      <c r="AF26" s="37">
        <v>0</v>
      </c>
      <c r="AG26" s="37">
        <v>0</v>
      </c>
      <c r="AH26" s="37">
        <v>0</v>
      </c>
      <c r="AI26" s="37">
        <v>0</v>
      </c>
      <c r="AJ26" s="37">
        <v>1</v>
      </c>
    </row>
    <row r="27" spans="1:36" ht="21" customHeight="1" x14ac:dyDescent="0.15">
      <c r="A27" s="21" t="str">
        <f t="shared" si="0"/>
        <v>11207_2-3/122&lt;lv32&gt;s1</v>
      </c>
      <c r="B27" s="37">
        <v>11207</v>
      </c>
      <c r="C27" s="38">
        <v>2</v>
      </c>
      <c r="D27" s="20" t="str">
        <f t="shared" si="1"/>
        <v>11207_2</v>
      </c>
      <c r="E27" s="5" t="str">
        <f ca="1">VLOOKUP($B27,OFFSET([1]quests!$A$1,0,0,COUNTA([1]quests!$A:$A),MATCH(E$1,[1]quests!$1:$1,0)-MATCH($B$1,[1]quests!$1:$1,0)+1),MATCH(E$1,[1]quests!$1:$1,0)-MATCH($B$1,[1]quests!$1:$1,0)+1,FALSE)</f>
        <v>果実達の大宴会</v>
      </c>
      <c r="F27" s="5" t="str">
        <f ca="1">VLOOKUP($D27,OFFSET([1]stages!$A$1,0,0,COUNTA([1]stages!$A:$A),MATCH(F$1,[1]stages!$2:$2,0)-MATCH($D$1,[1]stages!$2:$2,0)+1),MATCH(F$1,[1]stages!$2:$2,0)-MATCH($D$1,[1]stages!$2:$2,0)+1,FALSE)</f>
        <v>【超級】果実達の大宴会</v>
      </c>
      <c r="G27" s="42">
        <v>3</v>
      </c>
      <c r="H27" s="20" t="str">
        <f t="shared" si="2"/>
        <v>11207_2-3</v>
      </c>
      <c r="I27" s="40">
        <v>122</v>
      </c>
      <c r="J27" s="26" t="e">
        <f ca="1">VLOOKUP($I27,OFFSET([2]enemies!$A$1,0,0,COUNTA([2]enemies!$A:$A),MATCH(J$1,[2]enemies!$2:$2,0)-MATCH($I$1,[2]enemies!$2:$2,0)+1),MATCH(J$1,[2]enemies!$2:$2,0)-MATCH($I$1,[2]enemies!$2:$2,0)+1,FALSE)</f>
        <v>#N/A</v>
      </c>
      <c r="K27" s="29" t="e">
        <f ca="1">VLOOKUP($I27,OFFSET([2]enemies!$A$1,0,0,COUNTA([2]enemies!$A:$A),MATCH(K$1,[2]enemies!$2:$2,0)-MATCH($I$1,[2]enemies!$2:$2,0)+1),MATCH(K$1,[2]enemies!$2:$2,0)-MATCH($I$1,[2]enemies!$2:$2,0)+1,FALSE)</f>
        <v>#N/A</v>
      </c>
      <c r="L27" s="29" t="e">
        <f ca="1">VLOOKUP($I27,OFFSET([3]characters!$A$1,0,0,COUNTA([3]characters!$A:$A),MATCH(L$1,[3]characters!$2:$2,0)-MATCH($I$1,[3]characters!$2:$2,0)+1),MATCH(L$1,[3]characters!$2:$2,0)-MATCH($I$1,[3]characters!$2:$2,0)+1,FALSE)</f>
        <v>#N/A</v>
      </c>
      <c r="M27" s="28" t="e">
        <f ca="1">VLOOKUP($I27,OFFSET([3]characters!$A$1,0,0,COUNTA([3]characters!$A:$A),MATCH(M$1,[3]characters!$2:$2,0)-MATCH($I$1,[3]characters!$2:$2,0)+2),MATCH(M$1,[3]characters!$2:$2,0)-MATCH($I$1,[3]characters!$2:$2,0)+2,FALSE)</f>
        <v>#N/A</v>
      </c>
      <c r="N27" s="5" t="e">
        <f ca="1">VLOOKUP($I27,OFFSET([2]enemies!$A$1,0,0,COUNTA([2]enemies!$A:$A),MATCH(N$1,[2]enemies!$2:$2,0)-MATCH($I$1,[2]enemies!$2:$2,0)+1),MATCH(N$1,[2]enemies!$2:$2,0)-MATCH($I$1,[2]enemies!$2:$2,0)+1,FALSE)</f>
        <v>#N/A</v>
      </c>
      <c r="O27" s="6">
        <v>32</v>
      </c>
      <c r="P27" s="34">
        <v>0.4</v>
      </c>
      <c r="Q27" s="34">
        <v>1</v>
      </c>
      <c r="R27" s="6">
        <v>0</v>
      </c>
      <c r="S27" s="5" t="str">
        <f ca="1">VLOOKUP($T27,OFFSET([4]enemy_skill_sets!$B$1,0,0,COUNTA([4]enemy_skill_sets!$B:$B),MATCH(J$1,[4]enemy_skill_sets!$1:$1,0)-MATCH($T$1,[4]enemy_skill_sets!$1:$1,0)+2),MATCH(J$1,[4]enemy_skill_sets!$1:$1,0)-MATCH($T$1,[4]enemy_skill_sets!$1:$1,0)+2,FALSE)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7" s="46">
        <v>0</v>
      </c>
      <c r="U27" s="7">
        <v>0</v>
      </c>
      <c r="V27" s="7">
        <v>100</v>
      </c>
      <c r="W27" s="7">
        <v>0</v>
      </c>
      <c r="X27" s="47">
        <v>1</v>
      </c>
      <c r="Y27" s="40">
        <v>122</v>
      </c>
      <c r="Z27" s="5" t="str">
        <f ca="1">IFERROR(VLOOKUP($Y27,OFFSET([3]characters!$A$1,0,0,COUNTA([3]characters!$A:$A),MATCH(Z$1,[3]characters!$2:$2,0)-MATCH("character_id",[3]characters!$2:$2,0)+1),MATCH(Z$1,[3]characters!$2:$2,0)-MATCH("character_id",[3]characters!$2:$2,0)+1,FALSE),"")</f>
        <v/>
      </c>
      <c r="AA27" s="5" t="str">
        <f ca="1">IFERROR(VLOOKUP($Y27,OFFSET([3]characters!$A$1,0,0,COUNTA([3]characters!$A:$A),MATCH(AA$1,[3]characters!$2:$2,0)-MATCH("character_id",[3]characters!$2:$2,0)+1),MATCH(AA$1,[3]characters!$2:$2,0)-MATCH("character_id",[3]characters!$2:$2,0)+1,FALSE),"")</f>
        <v/>
      </c>
      <c r="AB27" s="5" t="str">
        <f ca="1">IFERROR(VLOOKUP($Y27,OFFSET([3]characters!$A$1,0,0,COUNTA([3]characters!$A:$A),MATCH(AB$1,[3]characters!$2:$2,0)-MATCH("character_id",[3]characters!$2:$2,0)+1),MATCH(AB$1,[3]characters!$2:$2,0)-MATCH("character_id",[3]characters!$2:$2,0)+1,FALSE),"")</f>
        <v/>
      </c>
      <c r="AC27" s="37">
        <v>1</v>
      </c>
      <c r="AD27" s="41" t="str">
        <f t="shared" ca="1" si="3"/>
        <v/>
      </c>
      <c r="AE27" s="44">
        <v>0</v>
      </c>
      <c r="AF27" s="37">
        <v>0</v>
      </c>
      <c r="AG27" s="37">
        <v>0</v>
      </c>
      <c r="AH27" s="37">
        <v>0</v>
      </c>
      <c r="AI27" s="37">
        <v>0</v>
      </c>
      <c r="AJ27" s="37">
        <v>1</v>
      </c>
    </row>
    <row r="28" spans="1:36" ht="21" customHeight="1" x14ac:dyDescent="0.15">
      <c r="A28" s="21" t="str">
        <f t="shared" si="0"/>
        <v>11207_2-3/123&lt;lv32&gt;s1</v>
      </c>
      <c r="B28" s="37">
        <v>11207</v>
      </c>
      <c r="C28" s="38">
        <v>2</v>
      </c>
      <c r="D28" s="20" t="str">
        <f t="shared" si="1"/>
        <v>11207_2</v>
      </c>
      <c r="E28" s="5" t="str">
        <f ca="1">VLOOKUP($B28,OFFSET([1]quests!$A$1,0,0,COUNTA([1]quests!$A:$A),MATCH(E$1,[1]quests!$1:$1,0)-MATCH($B$1,[1]quests!$1:$1,0)+1),MATCH(E$1,[1]quests!$1:$1,0)-MATCH($B$1,[1]quests!$1:$1,0)+1,FALSE)</f>
        <v>果実達の大宴会</v>
      </c>
      <c r="F28" s="5" t="str">
        <f ca="1">VLOOKUP($D28,OFFSET([1]stages!$A$1,0,0,COUNTA([1]stages!$A:$A),MATCH(F$1,[1]stages!$2:$2,0)-MATCH($D$1,[1]stages!$2:$2,0)+1),MATCH(F$1,[1]stages!$2:$2,0)-MATCH($D$1,[1]stages!$2:$2,0)+1,FALSE)</f>
        <v>【超級】果実達の大宴会</v>
      </c>
      <c r="G28" s="42">
        <v>3</v>
      </c>
      <c r="H28" s="20" t="str">
        <f t="shared" si="2"/>
        <v>11207_2-3</v>
      </c>
      <c r="I28" s="40">
        <v>123</v>
      </c>
      <c r="J28" s="26" t="e">
        <f ca="1">VLOOKUP($I28,OFFSET([2]enemies!$A$1,0,0,COUNTA([2]enemies!$A:$A),MATCH(J$1,[2]enemies!$2:$2,0)-MATCH($I$1,[2]enemies!$2:$2,0)+1),MATCH(J$1,[2]enemies!$2:$2,0)-MATCH($I$1,[2]enemies!$2:$2,0)+1,FALSE)</f>
        <v>#N/A</v>
      </c>
      <c r="K28" s="29" t="e">
        <f ca="1">VLOOKUP($I28,OFFSET([2]enemies!$A$1,0,0,COUNTA([2]enemies!$A:$A),MATCH(K$1,[2]enemies!$2:$2,0)-MATCH($I$1,[2]enemies!$2:$2,0)+1),MATCH(K$1,[2]enemies!$2:$2,0)-MATCH($I$1,[2]enemies!$2:$2,0)+1,FALSE)</f>
        <v>#N/A</v>
      </c>
      <c r="L28" s="29" t="e">
        <f ca="1">VLOOKUP($I28,OFFSET([3]characters!$A$1,0,0,COUNTA([3]characters!$A:$A),MATCH(L$1,[3]characters!$2:$2,0)-MATCH($I$1,[3]characters!$2:$2,0)+1),MATCH(L$1,[3]characters!$2:$2,0)-MATCH($I$1,[3]characters!$2:$2,0)+1,FALSE)</f>
        <v>#N/A</v>
      </c>
      <c r="M28" s="28" t="e">
        <f ca="1">VLOOKUP($I28,OFFSET([3]characters!$A$1,0,0,COUNTA([3]characters!$A:$A),MATCH(M$1,[3]characters!$2:$2,0)-MATCH($I$1,[3]characters!$2:$2,0)+2),MATCH(M$1,[3]characters!$2:$2,0)-MATCH($I$1,[3]characters!$2:$2,0)+2,FALSE)</f>
        <v>#N/A</v>
      </c>
      <c r="N28" s="5" t="e">
        <f ca="1">VLOOKUP($I28,OFFSET([2]enemies!$A$1,0,0,COUNTA([2]enemies!$A:$A),MATCH(N$1,[2]enemies!$2:$2,0)-MATCH($I$1,[2]enemies!$2:$2,0)+1),MATCH(N$1,[2]enemies!$2:$2,0)-MATCH($I$1,[2]enemies!$2:$2,0)+1,FALSE)</f>
        <v>#N/A</v>
      </c>
      <c r="O28" s="6">
        <v>32</v>
      </c>
      <c r="P28" s="34">
        <v>0.4</v>
      </c>
      <c r="Q28" s="34">
        <v>1</v>
      </c>
      <c r="R28" s="6">
        <v>0</v>
      </c>
      <c r="S28" s="5" t="str">
        <f ca="1">VLOOKUP($T28,OFFSET([4]enemy_skill_sets!$B$1,0,0,COUNTA([4]enemy_skill_sets!$B:$B),MATCH(J$1,[4]enemy_skill_sets!$1:$1,0)-MATCH($T$1,[4]enemy_skill_sets!$1:$1,0)+2),MATCH(J$1,[4]enemy_skill_sets!$1:$1,0)-MATCH($T$1,[4]enemy_skill_sets!$1:$1,0)+2,FALSE)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8" s="46">
        <v>0</v>
      </c>
      <c r="U28" s="7">
        <v>0</v>
      </c>
      <c r="V28" s="7">
        <v>100</v>
      </c>
      <c r="W28" s="7">
        <v>0</v>
      </c>
      <c r="X28" s="47">
        <v>1</v>
      </c>
      <c r="Y28" s="40">
        <v>123</v>
      </c>
      <c r="Z28" s="5" t="str">
        <f ca="1">IFERROR(VLOOKUP($Y28,OFFSET([3]characters!$A$1,0,0,COUNTA([3]characters!$A:$A),MATCH(Z$1,[3]characters!$2:$2,0)-MATCH("character_id",[3]characters!$2:$2,0)+1),MATCH(Z$1,[3]characters!$2:$2,0)-MATCH("character_id",[3]characters!$2:$2,0)+1,FALSE),"")</f>
        <v/>
      </c>
      <c r="AA28" s="5" t="str">
        <f ca="1">IFERROR(VLOOKUP($Y28,OFFSET([3]characters!$A$1,0,0,COUNTA([3]characters!$A:$A),MATCH(AA$1,[3]characters!$2:$2,0)-MATCH("character_id",[3]characters!$2:$2,0)+1),MATCH(AA$1,[3]characters!$2:$2,0)-MATCH("character_id",[3]characters!$2:$2,0)+1,FALSE),"")</f>
        <v/>
      </c>
      <c r="AB28" s="5" t="str">
        <f ca="1">IFERROR(VLOOKUP($Y28,OFFSET([3]characters!$A$1,0,0,COUNTA([3]characters!$A:$A),MATCH(AB$1,[3]characters!$2:$2,0)-MATCH("character_id",[3]characters!$2:$2,0)+1),MATCH(AB$1,[3]characters!$2:$2,0)-MATCH("character_id",[3]characters!$2:$2,0)+1,FALSE),"")</f>
        <v/>
      </c>
      <c r="AC28" s="37">
        <v>1</v>
      </c>
      <c r="AD28" s="41" t="str">
        <f t="shared" ca="1" si="3"/>
        <v/>
      </c>
      <c r="AE28" s="44">
        <v>0</v>
      </c>
      <c r="AF28" s="37">
        <v>0</v>
      </c>
      <c r="AG28" s="37">
        <v>0</v>
      </c>
      <c r="AH28" s="37">
        <v>0</v>
      </c>
      <c r="AI28" s="37">
        <v>0</v>
      </c>
      <c r="AJ28" s="37">
        <v>1</v>
      </c>
    </row>
    <row r="29" spans="1:36" ht="21" customHeight="1" x14ac:dyDescent="0.15">
      <c r="A29" s="21" t="str">
        <f t="shared" si="0"/>
        <v>11207_2-4/608&lt;lv32&gt;s1</v>
      </c>
      <c r="B29" s="37">
        <v>11207</v>
      </c>
      <c r="C29" s="38">
        <v>2</v>
      </c>
      <c r="D29" s="20" t="str">
        <f t="shared" si="1"/>
        <v>11207_2</v>
      </c>
      <c r="E29" s="5" t="str">
        <f ca="1">VLOOKUP($B29,OFFSET([1]quests!$A$1,0,0,COUNTA([1]quests!$A:$A),MATCH(E$1,[1]quests!$1:$1,0)-MATCH($B$1,[1]quests!$1:$1,0)+1),MATCH(E$1,[1]quests!$1:$1,0)-MATCH($B$1,[1]quests!$1:$1,0)+1,FALSE)</f>
        <v>果実達の大宴会</v>
      </c>
      <c r="F29" s="5" t="str">
        <f ca="1">VLOOKUP($D29,OFFSET([1]stages!$A$1,0,0,COUNTA([1]stages!$A:$A),MATCH(F$1,[1]stages!$2:$2,0)-MATCH($D$1,[1]stages!$2:$2,0)+1),MATCH(F$1,[1]stages!$2:$2,0)-MATCH($D$1,[1]stages!$2:$2,0)+1,FALSE)</f>
        <v>【超級】果実達の大宴会</v>
      </c>
      <c r="G29" s="39">
        <v>4</v>
      </c>
      <c r="H29" s="20" t="str">
        <f t="shared" si="2"/>
        <v>11207_2-4</v>
      </c>
      <c r="I29" s="43">
        <v>608</v>
      </c>
      <c r="J29" s="26" t="e">
        <f ca="1">VLOOKUP($I29,OFFSET([2]enemies!$A$1,0,0,COUNTA([2]enemies!$A:$A),MATCH(J$1,[2]enemies!$2:$2,0)-MATCH($I$1,[2]enemies!$2:$2,0)+1),MATCH(J$1,[2]enemies!$2:$2,0)-MATCH($I$1,[2]enemies!$2:$2,0)+1,FALSE)</f>
        <v>#N/A</v>
      </c>
      <c r="K29" s="29" t="e">
        <f ca="1">VLOOKUP($I29,OFFSET([2]enemies!$A$1,0,0,COUNTA([2]enemies!$A:$A),MATCH(K$1,[2]enemies!$2:$2,0)-MATCH($I$1,[2]enemies!$2:$2,0)+1),MATCH(K$1,[2]enemies!$2:$2,0)-MATCH($I$1,[2]enemies!$2:$2,0)+1,FALSE)</f>
        <v>#N/A</v>
      </c>
      <c r="L29" s="29" t="e">
        <f ca="1">VLOOKUP($I29,OFFSET([3]characters!$A$1,0,0,COUNTA([3]characters!$A:$A),MATCH(L$1,[3]characters!$2:$2,0)-MATCH($I$1,[3]characters!$2:$2,0)+1),MATCH(L$1,[3]characters!$2:$2,0)-MATCH($I$1,[3]characters!$2:$2,0)+1,FALSE)</f>
        <v>#N/A</v>
      </c>
      <c r="M29" s="28" t="e">
        <f ca="1">VLOOKUP($I29,OFFSET([3]characters!$A$1,0,0,COUNTA([3]characters!$A:$A),MATCH(M$1,[3]characters!$2:$2,0)-MATCH($I$1,[3]characters!$2:$2,0)+2),MATCH(M$1,[3]characters!$2:$2,0)-MATCH($I$1,[3]characters!$2:$2,0)+2,FALSE)</f>
        <v>#N/A</v>
      </c>
      <c r="N29" s="5" t="e">
        <f ca="1">VLOOKUP($I29,OFFSET([2]enemies!$A$1,0,0,COUNTA([2]enemies!$A:$A),MATCH(N$1,[2]enemies!$2:$2,0)-MATCH($I$1,[2]enemies!$2:$2,0)+1),MATCH(N$1,[2]enemies!$2:$2,0)-MATCH($I$1,[2]enemies!$2:$2,0)+1,FALSE)</f>
        <v>#N/A</v>
      </c>
      <c r="O29" s="6">
        <v>32</v>
      </c>
      <c r="P29" s="34">
        <v>0.4</v>
      </c>
      <c r="Q29" s="34">
        <v>1</v>
      </c>
      <c r="R29" s="6">
        <v>0</v>
      </c>
      <c r="S29" s="5" t="str">
        <f ca="1">VLOOKUP($T29,OFFSET([4]enemy_skill_sets!$B$1,0,0,COUNTA([4]enemy_skill_sets!$B:$B),MATCH(J$1,[4]enemy_skill_sets!$1:$1,0)-MATCH($T$1,[4]enemy_skill_sets!$1:$1,0)+2),MATCH(J$1,[4]enemy_skill_sets!$1:$1,0)-MATCH($T$1,[4]enemy_skill_sets!$1:$1,0)+2,FALSE)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9" s="46">
        <v>0</v>
      </c>
      <c r="U29" s="7">
        <v>1</v>
      </c>
      <c r="V29" s="7">
        <v>0</v>
      </c>
      <c r="W29" s="7">
        <v>1</v>
      </c>
      <c r="X29" s="47">
        <v>1</v>
      </c>
      <c r="Y29" s="43">
        <v>608</v>
      </c>
      <c r="Z29" s="5" t="str">
        <f ca="1">IFERROR(VLOOKUP($Y29,OFFSET([3]characters!$A$1,0,0,COUNTA([3]characters!$A:$A),MATCH(Z$1,[3]characters!$2:$2,0)-MATCH("character_id",[3]characters!$2:$2,0)+1),MATCH(Z$1,[3]characters!$2:$2,0)-MATCH("character_id",[3]characters!$2:$2,0)+1,FALSE),"")</f>
        <v/>
      </c>
      <c r="AA29" s="5" t="str">
        <f ca="1">IFERROR(VLOOKUP($Y29,OFFSET([3]characters!$A$1,0,0,COUNTA([3]characters!$A:$A),MATCH(AA$1,[3]characters!$2:$2,0)-MATCH("character_id",[3]characters!$2:$2,0)+1),MATCH(AA$1,[3]characters!$2:$2,0)-MATCH("character_id",[3]characters!$2:$2,0)+1,FALSE),"")</f>
        <v/>
      </c>
      <c r="AB29" s="5" t="str">
        <f ca="1">IFERROR(VLOOKUP($Y29,OFFSET([3]characters!$A$1,0,0,COUNTA([3]characters!$A:$A),MATCH(AB$1,[3]characters!$2:$2,0)-MATCH("character_id",[3]characters!$2:$2,0)+1),MATCH(AB$1,[3]characters!$2:$2,0)-MATCH("character_id",[3]characters!$2:$2,0)+1,FALSE),"")</f>
        <v/>
      </c>
      <c r="AC29" s="37">
        <v>1</v>
      </c>
      <c r="AD29" s="41" t="str">
        <f t="shared" ca="1" si="3"/>
        <v/>
      </c>
      <c r="AE29" s="44">
        <v>100</v>
      </c>
      <c r="AF29" s="37">
        <v>0</v>
      </c>
      <c r="AG29" s="37">
        <v>0</v>
      </c>
      <c r="AH29" s="37">
        <v>0</v>
      </c>
      <c r="AI29" s="37">
        <v>0</v>
      </c>
      <c r="AJ29" s="37">
        <v>1</v>
      </c>
    </row>
    <row r="30" spans="1:36" ht="21" customHeight="1" x14ac:dyDescent="0.15">
      <c r="A30" s="21" t="str">
        <f t="shared" si="0"/>
        <v>11207_2-4/121&lt;lv32&gt;s1</v>
      </c>
      <c r="B30" s="37">
        <v>11207</v>
      </c>
      <c r="C30" s="38">
        <v>2</v>
      </c>
      <c r="D30" s="20" t="str">
        <f t="shared" si="1"/>
        <v>11207_2</v>
      </c>
      <c r="E30" s="5" t="str">
        <f ca="1">VLOOKUP($B30,OFFSET([1]quests!$A$1,0,0,COUNTA([1]quests!$A:$A),MATCH(E$1,[1]quests!$1:$1,0)-MATCH($B$1,[1]quests!$1:$1,0)+1),MATCH(E$1,[1]quests!$1:$1,0)-MATCH($B$1,[1]quests!$1:$1,0)+1,FALSE)</f>
        <v>果実達の大宴会</v>
      </c>
      <c r="F30" s="5" t="str">
        <f ca="1">VLOOKUP($D30,OFFSET([1]stages!$A$1,0,0,COUNTA([1]stages!$A:$A),MATCH(F$1,[1]stages!$2:$2,0)-MATCH($D$1,[1]stages!$2:$2,0)+1),MATCH(F$1,[1]stages!$2:$2,0)-MATCH($D$1,[1]stages!$2:$2,0)+1,FALSE)</f>
        <v>【超級】果実達の大宴会</v>
      </c>
      <c r="G30" s="39">
        <v>4</v>
      </c>
      <c r="H30" s="20" t="str">
        <f t="shared" si="2"/>
        <v>11207_2-4</v>
      </c>
      <c r="I30" s="40">
        <v>121</v>
      </c>
      <c r="J30" s="26" t="e">
        <f ca="1">VLOOKUP($I30,OFFSET([2]enemies!$A$1,0,0,COUNTA([2]enemies!$A:$A),MATCH(J$1,[2]enemies!$2:$2,0)-MATCH($I$1,[2]enemies!$2:$2,0)+1),MATCH(J$1,[2]enemies!$2:$2,0)-MATCH($I$1,[2]enemies!$2:$2,0)+1,FALSE)</f>
        <v>#N/A</v>
      </c>
      <c r="K30" s="29" t="e">
        <f ca="1">VLOOKUP($I30,OFFSET([2]enemies!$A$1,0,0,COUNTA([2]enemies!$A:$A),MATCH(K$1,[2]enemies!$2:$2,0)-MATCH($I$1,[2]enemies!$2:$2,0)+1),MATCH(K$1,[2]enemies!$2:$2,0)-MATCH($I$1,[2]enemies!$2:$2,0)+1,FALSE)</f>
        <v>#N/A</v>
      </c>
      <c r="L30" s="29" t="e">
        <f ca="1">VLOOKUP($I30,OFFSET([3]characters!$A$1,0,0,COUNTA([3]characters!$A:$A),MATCH(L$1,[3]characters!$2:$2,0)-MATCH($I$1,[3]characters!$2:$2,0)+1),MATCH(L$1,[3]characters!$2:$2,0)-MATCH($I$1,[3]characters!$2:$2,0)+1,FALSE)</f>
        <v>#N/A</v>
      </c>
      <c r="M30" s="28" t="e">
        <f ca="1">VLOOKUP($I30,OFFSET([3]characters!$A$1,0,0,COUNTA([3]characters!$A:$A),MATCH(M$1,[3]characters!$2:$2,0)-MATCH($I$1,[3]characters!$2:$2,0)+2),MATCH(M$1,[3]characters!$2:$2,0)-MATCH($I$1,[3]characters!$2:$2,0)+2,FALSE)</f>
        <v>#N/A</v>
      </c>
      <c r="N30" s="5" t="e">
        <f ca="1">VLOOKUP($I30,OFFSET([2]enemies!$A$1,0,0,COUNTA([2]enemies!$A:$A),MATCH(N$1,[2]enemies!$2:$2,0)-MATCH($I$1,[2]enemies!$2:$2,0)+1),MATCH(N$1,[2]enemies!$2:$2,0)-MATCH($I$1,[2]enemies!$2:$2,0)+1,FALSE)</f>
        <v>#N/A</v>
      </c>
      <c r="O30" s="6">
        <v>32</v>
      </c>
      <c r="P30" s="34">
        <v>0.4</v>
      </c>
      <c r="Q30" s="34">
        <v>1</v>
      </c>
      <c r="R30" s="6">
        <v>0</v>
      </c>
      <c r="S30" s="5" t="str">
        <f ca="1">VLOOKUP($T30,OFFSET([4]enemy_skill_sets!$B$1,0,0,COUNTA([4]enemy_skill_sets!$B:$B),MATCH(J$1,[4]enemy_skill_sets!$1:$1,0)-MATCH($T$1,[4]enemy_skill_sets!$1:$1,0)+2),MATCH(J$1,[4]enemy_skill_sets!$1:$1,0)-MATCH($T$1,[4]enemy_skill_sets!$1:$1,0)+2,FALSE)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0" s="46">
        <v>0</v>
      </c>
      <c r="U30" s="7">
        <v>0</v>
      </c>
      <c r="V30" s="7">
        <v>100</v>
      </c>
      <c r="W30" s="7">
        <v>0</v>
      </c>
      <c r="X30" s="47">
        <v>1</v>
      </c>
      <c r="Y30" s="40">
        <v>121</v>
      </c>
      <c r="Z30" s="5" t="str">
        <f ca="1">IFERROR(VLOOKUP($Y30,OFFSET([3]characters!$A$1,0,0,COUNTA([3]characters!$A:$A),MATCH(Z$1,[3]characters!$2:$2,0)-MATCH("character_id",[3]characters!$2:$2,0)+1),MATCH(Z$1,[3]characters!$2:$2,0)-MATCH("character_id",[3]characters!$2:$2,0)+1,FALSE),"")</f>
        <v/>
      </c>
      <c r="AA30" s="5" t="str">
        <f ca="1">IFERROR(VLOOKUP($Y30,OFFSET([3]characters!$A$1,0,0,COUNTA([3]characters!$A:$A),MATCH(AA$1,[3]characters!$2:$2,0)-MATCH("character_id",[3]characters!$2:$2,0)+1),MATCH(AA$1,[3]characters!$2:$2,0)-MATCH("character_id",[3]characters!$2:$2,0)+1,FALSE),"")</f>
        <v/>
      </c>
      <c r="AB30" s="5" t="str">
        <f ca="1">IFERROR(VLOOKUP($Y30,OFFSET([3]characters!$A$1,0,0,COUNTA([3]characters!$A:$A),MATCH(AB$1,[3]characters!$2:$2,0)-MATCH("character_id",[3]characters!$2:$2,0)+1),MATCH(AB$1,[3]characters!$2:$2,0)-MATCH("character_id",[3]characters!$2:$2,0)+1,FALSE),"")</f>
        <v/>
      </c>
      <c r="AC30" s="37">
        <v>1</v>
      </c>
      <c r="AD30" s="41" t="str">
        <f t="shared" ca="1" si="3"/>
        <v/>
      </c>
      <c r="AE30" s="44">
        <v>0</v>
      </c>
      <c r="AF30" s="37">
        <v>0</v>
      </c>
      <c r="AG30" s="37">
        <v>0</v>
      </c>
      <c r="AH30" s="37">
        <v>0</v>
      </c>
      <c r="AI30" s="37">
        <v>0</v>
      </c>
      <c r="AJ30" s="37">
        <v>1</v>
      </c>
    </row>
    <row r="31" spans="1:36" ht="21" customHeight="1" x14ac:dyDescent="0.15">
      <c r="A31" s="21" t="str">
        <f t="shared" si="0"/>
        <v>11207_2-4/122&lt;lv32&gt;s1</v>
      </c>
      <c r="B31" s="37">
        <v>11207</v>
      </c>
      <c r="C31" s="38">
        <v>2</v>
      </c>
      <c r="D31" s="20" t="str">
        <f t="shared" si="1"/>
        <v>11207_2</v>
      </c>
      <c r="E31" s="5" t="str">
        <f ca="1">VLOOKUP($B31,OFFSET([1]quests!$A$1,0,0,COUNTA([1]quests!$A:$A),MATCH(E$1,[1]quests!$1:$1,0)-MATCH($B$1,[1]quests!$1:$1,0)+1),MATCH(E$1,[1]quests!$1:$1,0)-MATCH($B$1,[1]quests!$1:$1,0)+1,FALSE)</f>
        <v>果実達の大宴会</v>
      </c>
      <c r="F31" s="5" t="str">
        <f ca="1">VLOOKUP($D31,OFFSET([1]stages!$A$1,0,0,COUNTA([1]stages!$A:$A),MATCH(F$1,[1]stages!$2:$2,0)-MATCH($D$1,[1]stages!$2:$2,0)+1),MATCH(F$1,[1]stages!$2:$2,0)-MATCH($D$1,[1]stages!$2:$2,0)+1,FALSE)</f>
        <v>【超級】果実達の大宴会</v>
      </c>
      <c r="G31" s="39">
        <v>4</v>
      </c>
      <c r="H31" s="20" t="str">
        <f t="shared" si="2"/>
        <v>11207_2-4</v>
      </c>
      <c r="I31" s="40">
        <v>122</v>
      </c>
      <c r="J31" s="26" t="e">
        <f ca="1">VLOOKUP($I31,OFFSET([2]enemies!$A$1,0,0,COUNTA([2]enemies!$A:$A),MATCH(J$1,[2]enemies!$2:$2,0)-MATCH($I$1,[2]enemies!$2:$2,0)+1),MATCH(J$1,[2]enemies!$2:$2,0)-MATCH($I$1,[2]enemies!$2:$2,0)+1,FALSE)</f>
        <v>#N/A</v>
      </c>
      <c r="K31" s="29" t="e">
        <f ca="1">VLOOKUP($I31,OFFSET([2]enemies!$A$1,0,0,COUNTA([2]enemies!$A:$A),MATCH(K$1,[2]enemies!$2:$2,0)-MATCH($I$1,[2]enemies!$2:$2,0)+1),MATCH(K$1,[2]enemies!$2:$2,0)-MATCH($I$1,[2]enemies!$2:$2,0)+1,FALSE)</f>
        <v>#N/A</v>
      </c>
      <c r="L31" s="29" t="e">
        <f ca="1">VLOOKUP($I31,OFFSET([3]characters!$A$1,0,0,COUNTA([3]characters!$A:$A),MATCH(L$1,[3]characters!$2:$2,0)-MATCH($I$1,[3]characters!$2:$2,0)+1),MATCH(L$1,[3]characters!$2:$2,0)-MATCH($I$1,[3]characters!$2:$2,0)+1,FALSE)</f>
        <v>#N/A</v>
      </c>
      <c r="M31" s="28" t="e">
        <f ca="1">VLOOKUP($I31,OFFSET([3]characters!$A$1,0,0,COUNTA([3]characters!$A:$A),MATCH(M$1,[3]characters!$2:$2,0)-MATCH($I$1,[3]characters!$2:$2,0)+2),MATCH(M$1,[3]characters!$2:$2,0)-MATCH($I$1,[3]characters!$2:$2,0)+2,FALSE)</f>
        <v>#N/A</v>
      </c>
      <c r="N31" s="5" t="e">
        <f ca="1">VLOOKUP($I31,OFFSET([2]enemies!$A$1,0,0,COUNTA([2]enemies!$A:$A),MATCH(N$1,[2]enemies!$2:$2,0)-MATCH($I$1,[2]enemies!$2:$2,0)+1),MATCH(N$1,[2]enemies!$2:$2,0)-MATCH($I$1,[2]enemies!$2:$2,0)+1,FALSE)</f>
        <v>#N/A</v>
      </c>
      <c r="O31" s="6">
        <v>32</v>
      </c>
      <c r="P31" s="34">
        <v>0.4</v>
      </c>
      <c r="Q31" s="34">
        <v>1</v>
      </c>
      <c r="R31" s="6">
        <v>0</v>
      </c>
      <c r="S31" s="5" t="str">
        <f ca="1">VLOOKUP($T31,OFFSET([4]enemy_skill_sets!$B$1,0,0,COUNTA([4]enemy_skill_sets!$B:$B),MATCH(J$1,[4]enemy_skill_sets!$1:$1,0)-MATCH($T$1,[4]enemy_skill_sets!$1:$1,0)+2),MATCH(J$1,[4]enemy_skill_sets!$1:$1,0)-MATCH($T$1,[4]enemy_skill_sets!$1:$1,0)+2,FALSE)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1" s="46">
        <v>0</v>
      </c>
      <c r="U31" s="7">
        <v>0</v>
      </c>
      <c r="V31" s="7">
        <v>100</v>
      </c>
      <c r="W31" s="7">
        <v>0</v>
      </c>
      <c r="X31" s="47">
        <v>1</v>
      </c>
      <c r="Y31" s="40">
        <v>122</v>
      </c>
      <c r="Z31" s="5" t="str">
        <f ca="1">IFERROR(VLOOKUP($Y31,OFFSET([3]characters!$A$1,0,0,COUNTA([3]characters!$A:$A),MATCH(Z$1,[3]characters!$2:$2,0)-MATCH("character_id",[3]characters!$2:$2,0)+1),MATCH(Z$1,[3]characters!$2:$2,0)-MATCH("character_id",[3]characters!$2:$2,0)+1,FALSE),"")</f>
        <v/>
      </c>
      <c r="AA31" s="5" t="str">
        <f ca="1">IFERROR(VLOOKUP($Y31,OFFSET([3]characters!$A$1,0,0,COUNTA([3]characters!$A:$A),MATCH(AA$1,[3]characters!$2:$2,0)-MATCH("character_id",[3]characters!$2:$2,0)+1),MATCH(AA$1,[3]characters!$2:$2,0)-MATCH("character_id",[3]characters!$2:$2,0)+1,FALSE),"")</f>
        <v/>
      </c>
      <c r="AB31" s="5" t="str">
        <f ca="1">IFERROR(VLOOKUP($Y31,OFFSET([3]characters!$A$1,0,0,COUNTA([3]characters!$A:$A),MATCH(AB$1,[3]characters!$2:$2,0)-MATCH("character_id",[3]characters!$2:$2,0)+1),MATCH(AB$1,[3]characters!$2:$2,0)-MATCH("character_id",[3]characters!$2:$2,0)+1,FALSE),"")</f>
        <v/>
      </c>
      <c r="AC31" s="37">
        <v>1</v>
      </c>
      <c r="AD31" s="41" t="str">
        <f t="shared" ca="1" si="3"/>
        <v/>
      </c>
      <c r="AE31" s="44">
        <v>0</v>
      </c>
      <c r="AF31" s="37">
        <v>0</v>
      </c>
      <c r="AG31" s="37">
        <v>0</v>
      </c>
      <c r="AH31" s="37">
        <v>0</v>
      </c>
      <c r="AI31" s="37">
        <v>0</v>
      </c>
      <c r="AJ31" s="37">
        <v>1</v>
      </c>
    </row>
    <row r="32" spans="1:36" ht="21" customHeight="1" x14ac:dyDescent="0.15">
      <c r="A32" s="21" t="str">
        <f t="shared" si="0"/>
        <v>11207_2-4/123&lt;lv32&gt;s1</v>
      </c>
      <c r="B32" s="37">
        <v>11207</v>
      </c>
      <c r="C32" s="38">
        <v>2</v>
      </c>
      <c r="D32" s="20" t="str">
        <f t="shared" si="1"/>
        <v>11207_2</v>
      </c>
      <c r="E32" s="5" t="str">
        <f ca="1">VLOOKUP($B32,OFFSET([1]quests!$A$1,0,0,COUNTA([1]quests!$A:$A),MATCH(E$1,[1]quests!$1:$1,0)-MATCH($B$1,[1]quests!$1:$1,0)+1),MATCH(E$1,[1]quests!$1:$1,0)-MATCH($B$1,[1]quests!$1:$1,0)+1,FALSE)</f>
        <v>果実達の大宴会</v>
      </c>
      <c r="F32" s="5" t="str">
        <f ca="1">VLOOKUP($D32,OFFSET([1]stages!$A$1,0,0,COUNTA([1]stages!$A:$A),MATCH(F$1,[1]stages!$2:$2,0)-MATCH($D$1,[1]stages!$2:$2,0)+1),MATCH(F$1,[1]stages!$2:$2,0)-MATCH($D$1,[1]stages!$2:$2,0)+1,FALSE)</f>
        <v>【超級】果実達の大宴会</v>
      </c>
      <c r="G32" s="39">
        <v>4</v>
      </c>
      <c r="H32" s="20" t="str">
        <f t="shared" si="2"/>
        <v>11207_2-4</v>
      </c>
      <c r="I32" s="40">
        <v>123</v>
      </c>
      <c r="J32" s="26" t="e">
        <f ca="1">VLOOKUP($I32,OFFSET([2]enemies!$A$1,0,0,COUNTA([2]enemies!$A:$A),MATCH(J$1,[2]enemies!$2:$2,0)-MATCH($I$1,[2]enemies!$2:$2,0)+1),MATCH(J$1,[2]enemies!$2:$2,0)-MATCH($I$1,[2]enemies!$2:$2,0)+1,FALSE)</f>
        <v>#N/A</v>
      </c>
      <c r="K32" s="29" t="e">
        <f ca="1">VLOOKUP($I32,OFFSET([2]enemies!$A$1,0,0,COUNTA([2]enemies!$A:$A),MATCH(K$1,[2]enemies!$2:$2,0)-MATCH($I$1,[2]enemies!$2:$2,0)+1),MATCH(K$1,[2]enemies!$2:$2,0)-MATCH($I$1,[2]enemies!$2:$2,0)+1,FALSE)</f>
        <v>#N/A</v>
      </c>
      <c r="L32" s="29" t="e">
        <f ca="1">VLOOKUP($I32,OFFSET([3]characters!$A$1,0,0,COUNTA([3]characters!$A:$A),MATCH(L$1,[3]characters!$2:$2,0)-MATCH($I$1,[3]characters!$2:$2,0)+1),MATCH(L$1,[3]characters!$2:$2,0)-MATCH($I$1,[3]characters!$2:$2,0)+1,FALSE)</f>
        <v>#N/A</v>
      </c>
      <c r="M32" s="28" t="e">
        <f ca="1">VLOOKUP($I32,OFFSET([3]characters!$A$1,0,0,COUNTA([3]characters!$A:$A),MATCH(M$1,[3]characters!$2:$2,0)-MATCH($I$1,[3]characters!$2:$2,0)+2),MATCH(M$1,[3]characters!$2:$2,0)-MATCH($I$1,[3]characters!$2:$2,0)+2,FALSE)</f>
        <v>#N/A</v>
      </c>
      <c r="N32" s="5" t="e">
        <f ca="1">VLOOKUP($I32,OFFSET([2]enemies!$A$1,0,0,COUNTA([2]enemies!$A:$A),MATCH(N$1,[2]enemies!$2:$2,0)-MATCH($I$1,[2]enemies!$2:$2,0)+1),MATCH(N$1,[2]enemies!$2:$2,0)-MATCH($I$1,[2]enemies!$2:$2,0)+1,FALSE)</f>
        <v>#N/A</v>
      </c>
      <c r="O32" s="6">
        <v>32</v>
      </c>
      <c r="P32" s="34">
        <v>0.4</v>
      </c>
      <c r="Q32" s="34">
        <v>1</v>
      </c>
      <c r="R32" s="6">
        <v>0</v>
      </c>
      <c r="S32" s="5" t="str">
        <f ca="1">VLOOKUP($T32,OFFSET([4]enemy_skill_sets!$B$1,0,0,COUNTA([4]enemy_skill_sets!$B:$B),MATCH(J$1,[4]enemy_skill_sets!$1:$1,0)-MATCH($T$1,[4]enemy_skill_sets!$1:$1,0)+2),MATCH(J$1,[4]enemy_skill_sets!$1:$1,0)-MATCH($T$1,[4]enemy_skill_sets!$1:$1,0)+2,FALSE)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2" s="46">
        <v>0</v>
      </c>
      <c r="U32" s="7">
        <v>0</v>
      </c>
      <c r="V32" s="7">
        <v>100</v>
      </c>
      <c r="W32" s="7">
        <v>0</v>
      </c>
      <c r="X32" s="47">
        <v>1</v>
      </c>
      <c r="Y32" s="40">
        <v>123</v>
      </c>
      <c r="Z32" s="5" t="str">
        <f ca="1">IFERROR(VLOOKUP($Y32,OFFSET([3]characters!$A$1,0,0,COUNTA([3]characters!$A:$A),MATCH(Z$1,[3]characters!$2:$2,0)-MATCH("character_id",[3]characters!$2:$2,0)+1),MATCH(Z$1,[3]characters!$2:$2,0)-MATCH("character_id",[3]characters!$2:$2,0)+1,FALSE),"")</f>
        <v/>
      </c>
      <c r="AA32" s="5" t="str">
        <f ca="1">IFERROR(VLOOKUP($Y32,OFFSET([3]characters!$A$1,0,0,COUNTA([3]characters!$A:$A),MATCH(AA$1,[3]characters!$2:$2,0)-MATCH("character_id",[3]characters!$2:$2,0)+1),MATCH(AA$1,[3]characters!$2:$2,0)-MATCH("character_id",[3]characters!$2:$2,0)+1,FALSE),"")</f>
        <v/>
      </c>
      <c r="AB32" s="5" t="str">
        <f ca="1">IFERROR(VLOOKUP($Y32,OFFSET([3]characters!$A$1,0,0,COUNTA([3]characters!$A:$A),MATCH(AB$1,[3]characters!$2:$2,0)-MATCH("character_id",[3]characters!$2:$2,0)+1),MATCH(AB$1,[3]characters!$2:$2,0)-MATCH("character_id",[3]characters!$2:$2,0)+1,FALSE),"")</f>
        <v/>
      </c>
      <c r="AC32" s="37">
        <v>1</v>
      </c>
      <c r="AD32" s="41" t="str">
        <f t="shared" ca="1" si="3"/>
        <v/>
      </c>
      <c r="AE32" s="44">
        <v>0</v>
      </c>
      <c r="AF32" s="37">
        <v>0</v>
      </c>
      <c r="AG32" s="37">
        <v>0</v>
      </c>
      <c r="AH32" s="37">
        <v>0</v>
      </c>
      <c r="AI32" s="37">
        <v>0</v>
      </c>
      <c r="AJ32" s="37">
        <v>1</v>
      </c>
    </row>
    <row r="33" spans="1:36" ht="21" customHeight="1" x14ac:dyDescent="0.15">
      <c r="A33" s="21" t="str">
        <f t="shared" si="0"/>
        <v>11207_2-5/610&lt;lv32&gt;s1</v>
      </c>
      <c r="B33" s="37">
        <v>11207</v>
      </c>
      <c r="C33" s="38">
        <v>2</v>
      </c>
      <c r="D33" s="20" t="str">
        <f t="shared" si="1"/>
        <v>11207_2</v>
      </c>
      <c r="E33" s="5" t="str">
        <f ca="1">VLOOKUP($B33,OFFSET([1]quests!$A$1,0,0,COUNTA([1]quests!$A:$A),MATCH(E$1,[1]quests!$1:$1,0)-MATCH($B$1,[1]quests!$1:$1,0)+1),MATCH(E$1,[1]quests!$1:$1,0)-MATCH($B$1,[1]quests!$1:$1,0)+1,FALSE)</f>
        <v>果実達の大宴会</v>
      </c>
      <c r="F33" s="5" t="str">
        <f ca="1">VLOOKUP($D33,OFFSET([1]stages!$A$1,0,0,COUNTA([1]stages!$A:$A),MATCH(F$1,[1]stages!$2:$2,0)-MATCH($D$1,[1]stages!$2:$2,0)+1),MATCH(F$1,[1]stages!$2:$2,0)-MATCH($D$1,[1]stages!$2:$2,0)+1,FALSE)</f>
        <v>【超級】果実達の大宴会</v>
      </c>
      <c r="G33" s="42">
        <v>5</v>
      </c>
      <c r="H33" s="20" t="str">
        <f t="shared" si="2"/>
        <v>11207_2-5</v>
      </c>
      <c r="I33" s="43">
        <v>610</v>
      </c>
      <c r="J33" s="26" t="e">
        <f ca="1">VLOOKUP($I33,OFFSET([2]enemies!$A$1,0,0,COUNTA([2]enemies!$A:$A),MATCH(J$1,[2]enemies!$2:$2,0)-MATCH($I$1,[2]enemies!$2:$2,0)+1),MATCH(J$1,[2]enemies!$2:$2,0)-MATCH($I$1,[2]enemies!$2:$2,0)+1,FALSE)</f>
        <v>#N/A</v>
      </c>
      <c r="K33" s="29" t="e">
        <f ca="1">VLOOKUP($I33,OFFSET([2]enemies!$A$1,0,0,COUNTA([2]enemies!$A:$A),MATCH(K$1,[2]enemies!$2:$2,0)-MATCH($I$1,[2]enemies!$2:$2,0)+1),MATCH(K$1,[2]enemies!$2:$2,0)-MATCH($I$1,[2]enemies!$2:$2,0)+1,FALSE)</f>
        <v>#N/A</v>
      </c>
      <c r="L33" s="29" t="e">
        <f ca="1">VLOOKUP($I33,OFFSET([3]characters!$A$1,0,0,COUNTA([3]characters!$A:$A),MATCH(L$1,[3]characters!$2:$2,0)-MATCH($I$1,[3]characters!$2:$2,0)+1),MATCH(L$1,[3]characters!$2:$2,0)-MATCH($I$1,[3]characters!$2:$2,0)+1,FALSE)</f>
        <v>#N/A</v>
      </c>
      <c r="M33" s="28" t="e">
        <f ca="1">VLOOKUP($I33,OFFSET([3]characters!$A$1,0,0,COUNTA([3]characters!$A:$A),MATCH(M$1,[3]characters!$2:$2,0)-MATCH($I$1,[3]characters!$2:$2,0)+2),MATCH(M$1,[3]characters!$2:$2,0)-MATCH($I$1,[3]characters!$2:$2,0)+2,FALSE)</f>
        <v>#N/A</v>
      </c>
      <c r="N33" s="5" t="e">
        <f ca="1">VLOOKUP($I33,OFFSET([2]enemies!$A$1,0,0,COUNTA([2]enemies!$A:$A),MATCH(N$1,[2]enemies!$2:$2,0)-MATCH($I$1,[2]enemies!$2:$2,0)+1),MATCH(N$1,[2]enemies!$2:$2,0)-MATCH($I$1,[2]enemies!$2:$2,0)+1,FALSE)</f>
        <v>#N/A</v>
      </c>
      <c r="O33" s="6">
        <v>32</v>
      </c>
      <c r="P33" s="34">
        <v>0.4</v>
      </c>
      <c r="Q33" s="34">
        <v>1</v>
      </c>
      <c r="R33" s="6">
        <v>0</v>
      </c>
      <c r="S33" s="5" t="str">
        <f ca="1">VLOOKUP($T33,OFFSET([4]enemy_skill_sets!$B$1,0,0,COUNTA([4]enemy_skill_sets!$B:$B),MATCH(J$1,[4]enemy_skill_sets!$1:$1,0)-MATCH($T$1,[4]enemy_skill_sets!$1:$1,0)+2),MATCH(J$1,[4]enemy_skill_sets!$1:$1,0)-MATCH($T$1,[4]enemy_skill_sets!$1:$1,0)+2,FALSE)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3" s="46">
        <v>0</v>
      </c>
      <c r="U33" s="45">
        <v>0</v>
      </c>
      <c r="V33" s="45">
        <v>34</v>
      </c>
      <c r="W33" s="45">
        <v>1</v>
      </c>
      <c r="X33" s="47">
        <v>1</v>
      </c>
      <c r="Y33" s="43">
        <v>610</v>
      </c>
      <c r="Z33" s="5" t="str">
        <f ca="1">IFERROR(VLOOKUP($Y33,OFFSET([3]characters!$A$1,0,0,COUNTA([3]characters!$A:$A),MATCH(Z$1,[3]characters!$2:$2,0)-MATCH("character_id",[3]characters!$2:$2,0)+1),MATCH(Z$1,[3]characters!$2:$2,0)-MATCH("character_id",[3]characters!$2:$2,0)+1,FALSE),"")</f>
        <v/>
      </c>
      <c r="AA33" s="5" t="str">
        <f ca="1">IFERROR(VLOOKUP($Y33,OFFSET([3]characters!$A$1,0,0,COUNTA([3]characters!$A:$A),MATCH(AA$1,[3]characters!$2:$2,0)-MATCH("character_id",[3]characters!$2:$2,0)+1),MATCH(AA$1,[3]characters!$2:$2,0)-MATCH("character_id",[3]characters!$2:$2,0)+1,FALSE),"")</f>
        <v/>
      </c>
      <c r="AB33" s="5" t="str">
        <f ca="1">IFERROR(VLOOKUP($Y33,OFFSET([3]characters!$A$1,0,0,COUNTA([3]characters!$A:$A),MATCH(AB$1,[3]characters!$2:$2,0)-MATCH("character_id",[3]characters!$2:$2,0)+1),MATCH(AB$1,[3]characters!$2:$2,0)-MATCH("character_id",[3]characters!$2:$2,0)+1,FALSE),"")</f>
        <v/>
      </c>
      <c r="AC33" s="37">
        <v>1</v>
      </c>
      <c r="AD33" s="41" t="str">
        <f t="shared" ca="1" si="3"/>
        <v/>
      </c>
      <c r="AE33" s="9">
        <v>100</v>
      </c>
      <c r="AF33" s="37">
        <v>0</v>
      </c>
      <c r="AG33" s="37">
        <v>0</v>
      </c>
      <c r="AH33" s="37">
        <v>0</v>
      </c>
      <c r="AI33" s="37">
        <v>0</v>
      </c>
      <c r="AJ33" s="37">
        <v>1</v>
      </c>
    </row>
    <row r="34" spans="1:36" ht="21" customHeight="1" x14ac:dyDescent="0.15">
      <c r="A34" s="21" t="str">
        <f t="shared" si="0"/>
        <v>11207_2-5/607&lt;lv32&gt;s1</v>
      </c>
      <c r="B34" s="37">
        <v>11207</v>
      </c>
      <c r="C34" s="38">
        <v>2</v>
      </c>
      <c r="D34" s="20" t="str">
        <f t="shared" si="1"/>
        <v>11207_2</v>
      </c>
      <c r="E34" s="5" t="str">
        <f ca="1">VLOOKUP($B34,OFFSET([1]quests!$A$1,0,0,COUNTA([1]quests!$A:$A),MATCH(E$1,[1]quests!$1:$1,0)-MATCH($B$1,[1]quests!$1:$1,0)+1),MATCH(E$1,[1]quests!$1:$1,0)-MATCH($B$1,[1]quests!$1:$1,0)+1,FALSE)</f>
        <v>果実達の大宴会</v>
      </c>
      <c r="F34" s="5" t="str">
        <f ca="1">VLOOKUP($D34,OFFSET([1]stages!$A$1,0,0,COUNTA([1]stages!$A:$A),MATCH(F$1,[1]stages!$2:$2,0)-MATCH($D$1,[1]stages!$2:$2,0)+1),MATCH(F$1,[1]stages!$2:$2,0)-MATCH($D$1,[1]stages!$2:$2,0)+1,FALSE)</f>
        <v>【超級】果実達の大宴会</v>
      </c>
      <c r="G34" s="42">
        <v>5</v>
      </c>
      <c r="H34" s="20" t="str">
        <f t="shared" si="2"/>
        <v>11207_2-5</v>
      </c>
      <c r="I34" s="43">
        <v>607</v>
      </c>
      <c r="J34" s="26" t="e">
        <f ca="1">VLOOKUP($I34,OFFSET([2]enemies!$A$1,0,0,COUNTA([2]enemies!$A:$A),MATCH(J$1,[2]enemies!$2:$2,0)-MATCH($I$1,[2]enemies!$2:$2,0)+1),MATCH(J$1,[2]enemies!$2:$2,0)-MATCH($I$1,[2]enemies!$2:$2,0)+1,FALSE)</f>
        <v>#N/A</v>
      </c>
      <c r="K34" s="29" t="e">
        <f ca="1">VLOOKUP($I34,OFFSET([2]enemies!$A$1,0,0,COUNTA([2]enemies!$A:$A),MATCH(K$1,[2]enemies!$2:$2,0)-MATCH($I$1,[2]enemies!$2:$2,0)+1),MATCH(K$1,[2]enemies!$2:$2,0)-MATCH($I$1,[2]enemies!$2:$2,0)+1,FALSE)</f>
        <v>#N/A</v>
      </c>
      <c r="L34" s="29" t="e">
        <f ca="1">VLOOKUP($I34,OFFSET([3]characters!$A$1,0,0,COUNTA([3]characters!$A:$A),MATCH(L$1,[3]characters!$2:$2,0)-MATCH($I$1,[3]characters!$2:$2,0)+1),MATCH(L$1,[3]characters!$2:$2,0)-MATCH($I$1,[3]characters!$2:$2,0)+1,FALSE)</f>
        <v>#N/A</v>
      </c>
      <c r="M34" s="28" t="e">
        <f ca="1">VLOOKUP($I34,OFFSET([3]characters!$A$1,0,0,COUNTA([3]characters!$A:$A),MATCH(M$1,[3]characters!$2:$2,0)-MATCH($I$1,[3]characters!$2:$2,0)+2),MATCH(M$1,[3]characters!$2:$2,0)-MATCH($I$1,[3]characters!$2:$2,0)+2,FALSE)</f>
        <v>#N/A</v>
      </c>
      <c r="N34" s="5" t="e">
        <f ca="1">VLOOKUP($I34,OFFSET([2]enemies!$A$1,0,0,COUNTA([2]enemies!$A:$A),MATCH(N$1,[2]enemies!$2:$2,0)-MATCH($I$1,[2]enemies!$2:$2,0)+1),MATCH(N$1,[2]enemies!$2:$2,0)-MATCH($I$1,[2]enemies!$2:$2,0)+1,FALSE)</f>
        <v>#N/A</v>
      </c>
      <c r="O34" s="6">
        <v>32</v>
      </c>
      <c r="P34" s="34">
        <v>0.4</v>
      </c>
      <c r="Q34" s="34">
        <v>1</v>
      </c>
      <c r="R34" s="6">
        <v>0</v>
      </c>
      <c r="S34" s="5" t="str">
        <f ca="1">VLOOKUP($T34,OFFSET([4]enemy_skill_sets!$B$1,0,0,COUNTA([4]enemy_skill_sets!$B:$B),MATCH(J$1,[4]enemy_skill_sets!$1:$1,0)-MATCH($T$1,[4]enemy_skill_sets!$1:$1,0)+2),MATCH(J$1,[4]enemy_skill_sets!$1:$1,0)-MATCH($T$1,[4]enemy_skill_sets!$1:$1,0)+2,FALSE)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4" s="46">
        <v>0</v>
      </c>
      <c r="U34" s="45">
        <v>0</v>
      </c>
      <c r="V34" s="45">
        <v>100</v>
      </c>
      <c r="W34" s="45">
        <v>0</v>
      </c>
      <c r="X34" s="47">
        <v>1</v>
      </c>
      <c r="Y34" s="43">
        <v>607</v>
      </c>
      <c r="Z34" s="5" t="str">
        <f ca="1">IFERROR(VLOOKUP($Y34,OFFSET([3]characters!$A$1,0,0,COUNTA([3]characters!$A:$A),MATCH(Z$1,[3]characters!$2:$2,0)-MATCH("character_id",[3]characters!$2:$2,0)+1),MATCH(Z$1,[3]characters!$2:$2,0)-MATCH("character_id",[3]characters!$2:$2,0)+1,FALSE),"")</f>
        <v/>
      </c>
      <c r="AA34" s="5" t="str">
        <f ca="1">IFERROR(VLOOKUP($Y34,OFFSET([3]characters!$A$1,0,0,COUNTA([3]characters!$A:$A),MATCH(AA$1,[3]characters!$2:$2,0)-MATCH("character_id",[3]characters!$2:$2,0)+1),MATCH(AA$1,[3]characters!$2:$2,0)-MATCH("character_id",[3]characters!$2:$2,0)+1,FALSE),"")</f>
        <v/>
      </c>
      <c r="AB34" s="5" t="str">
        <f ca="1">IFERROR(VLOOKUP($Y34,OFFSET([3]characters!$A$1,0,0,COUNTA([3]characters!$A:$A),MATCH(AB$1,[3]characters!$2:$2,0)-MATCH("character_id",[3]characters!$2:$2,0)+1),MATCH(AB$1,[3]characters!$2:$2,0)-MATCH("character_id",[3]characters!$2:$2,0)+1,FALSE),"")</f>
        <v/>
      </c>
      <c r="AC34" s="37">
        <v>1</v>
      </c>
      <c r="AD34" s="41" t="str">
        <f t="shared" ca="1" si="3"/>
        <v/>
      </c>
      <c r="AE34" s="9">
        <v>100</v>
      </c>
      <c r="AF34" s="37">
        <v>0</v>
      </c>
      <c r="AG34" s="37">
        <v>0</v>
      </c>
      <c r="AH34" s="37">
        <v>0</v>
      </c>
      <c r="AI34" s="37">
        <v>0</v>
      </c>
      <c r="AJ34" s="37">
        <v>1</v>
      </c>
    </row>
    <row r="35" spans="1:36" ht="21" customHeight="1" x14ac:dyDescent="0.15">
      <c r="A35" s="21" t="str">
        <f t="shared" si="0"/>
        <v>11207_2-5/608&lt;lv32&gt;s1</v>
      </c>
      <c r="B35" s="37">
        <v>11207</v>
      </c>
      <c r="C35" s="38">
        <v>2</v>
      </c>
      <c r="D35" s="20" t="str">
        <f t="shared" si="1"/>
        <v>11207_2</v>
      </c>
      <c r="E35" s="5" t="str">
        <f ca="1">VLOOKUP($B35,OFFSET([1]quests!$A$1,0,0,COUNTA([1]quests!$A:$A),MATCH(E$1,[1]quests!$1:$1,0)-MATCH($B$1,[1]quests!$1:$1,0)+1),MATCH(E$1,[1]quests!$1:$1,0)-MATCH($B$1,[1]quests!$1:$1,0)+1,FALSE)</f>
        <v>果実達の大宴会</v>
      </c>
      <c r="F35" s="5" t="str">
        <f ca="1">VLOOKUP($D35,OFFSET([1]stages!$A$1,0,0,COUNTA([1]stages!$A:$A),MATCH(F$1,[1]stages!$2:$2,0)-MATCH($D$1,[1]stages!$2:$2,0)+1),MATCH(F$1,[1]stages!$2:$2,0)-MATCH($D$1,[1]stages!$2:$2,0)+1,FALSE)</f>
        <v>【超級】果実達の大宴会</v>
      </c>
      <c r="G35" s="42">
        <v>5</v>
      </c>
      <c r="H35" s="20" t="str">
        <f t="shared" si="2"/>
        <v>11207_2-5</v>
      </c>
      <c r="I35" s="43">
        <v>608</v>
      </c>
      <c r="J35" s="26" t="e">
        <f ca="1">VLOOKUP($I35,OFFSET([2]enemies!$A$1,0,0,COUNTA([2]enemies!$A:$A),MATCH(J$1,[2]enemies!$2:$2,0)-MATCH($I$1,[2]enemies!$2:$2,0)+1),MATCH(J$1,[2]enemies!$2:$2,0)-MATCH($I$1,[2]enemies!$2:$2,0)+1,FALSE)</f>
        <v>#N/A</v>
      </c>
      <c r="K35" s="29" t="e">
        <f ca="1">VLOOKUP($I35,OFFSET([2]enemies!$A$1,0,0,COUNTA([2]enemies!$A:$A),MATCH(K$1,[2]enemies!$2:$2,0)-MATCH($I$1,[2]enemies!$2:$2,0)+1),MATCH(K$1,[2]enemies!$2:$2,0)-MATCH($I$1,[2]enemies!$2:$2,0)+1,FALSE)</f>
        <v>#N/A</v>
      </c>
      <c r="L35" s="29" t="e">
        <f ca="1">VLOOKUP($I35,OFFSET([3]characters!$A$1,0,0,COUNTA([3]characters!$A:$A),MATCH(L$1,[3]characters!$2:$2,0)-MATCH($I$1,[3]characters!$2:$2,0)+1),MATCH(L$1,[3]characters!$2:$2,0)-MATCH($I$1,[3]characters!$2:$2,0)+1,FALSE)</f>
        <v>#N/A</v>
      </c>
      <c r="M35" s="28" t="e">
        <f ca="1">VLOOKUP($I35,OFFSET([3]characters!$A$1,0,0,COUNTA([3]characters!$A:$A),MATCH(M$1,[3]characters!$2:$2,0)-MATCH($I$1,[3]characters!$2:$2,0)+2),MATCH(M$1,[3]characters!$2:$2,0)-MATCH($I$1,[3]characters!$2:$2,0)+2,FALSE)</f>
        <v>#N/A</v>
      </c>
      <c r="N35" s="5" t="e">
        <f ca="1">VLOOKUP($I35,OFFSET([2]enemies!$A$1,0,0,COUNTA([2]enemies!$A:$A),MATCH(N$1,[2]enemies!$2:$2,0)-MATCH($I$1,[2]enemies!$2:$2,0)+1),MATCH(N$1,[2]enemies!$2:$2,0)-MATCH($I$1,[2]enemies!$2:$2,0)+1,FALSE)</f>
        <v>#N/A</v>
      </c>
      <c r="O35" s="6">
        <v>32</v>
      </c>
      <c r="P35" s="34">
        <v>0.4</v>
      </c>
      <c r="Q35" s="34">
        <v>1</v>
      </c>
      <c r="R35" s="6">
        <v>0</v>
      </c>
      <c r="S35" s="5" t="str">
        <f ca="1">VLOOKUP($T35,OFFSET([4]enemy_skill_sets!$B$1,0,0,COUNTA([4]enemy_skill_sets!$B:$B),MATCH(J$1,[4]enemy_skill_sets!$1:$1,0)-MATCH($T$1,[4]enemy_skill_sets!$1:$1,0)+2),MATCH(J$1,[4]enemy_skill_sets!$1:$1,0)-MATCH($T$1,[4]enemy_skill_sets!$1:$1,0)+2,FALSE)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5" s="46">
        <v>0</v>
      </c>
      <c r="U35" s="45">
        <v>0</v>
      </c>
      <c r="V35" s="45">
        <v>100</v>
      </c>
      <c r="W35" s="45">
        <v>0</v>
      </c>
      <c r="X35" s="47">
        <v>1</v>
      </c>
      <c r="Y35" s="43">
        <v>608</v>
      </c>
      <c r="Z35" s="5" t="str">
        <f ca="1">IFERROR(VLOOKUP($Y35,OFFSET([3]characters!$A$1,0,0,COUNTA([3]characters!$A:$A),MATCH(Z$1,[3]characters!$2:$2,0)-MATCH("character_id",[3]characters!$2:$2,0)+1),MATCH(Z$1,[3]characters!$2:$2,0)-MATCH("character_id",[3]characters!$2:$2,0)+1,FALSE),"")</f>
        <v/>
      </c>
      <c r="AA35" s="5" t="str">
        <f ca="1">IFERROR(VLOOKUP($Y35,OFFSET([3]characters!$A$1,0,0,COUNTA([3]characters!$A:$A),MATCH(AA$1,[3]characters!$2:$2,0)-MATCH("character_id",[3]characters!$2:$2,0)+1),MATCH(AA$1,[3]characters!$2:$2,0)-MATCH("character_id",[3]characters!$2:$2,0)+1,FALSE),"")</f>
        <v/>
      </c>
      <c r="AB35" s="5" t="str">
        <f ca="1">IFERROR(VLOOKUP($Y35,OFFSET([3]characters!$A$1,0,0,COUNTA([3]characters!$A:$A),MATCH(AB$1,[3]characters!$2:$2,0)-MATCH("character_id",[3]characters!$2:$2,0)+1),MATCH(AB$1,[3]characters!$2:$2,0)-MATCH("character_id",[3]characters!$2:$2,0)+1,FALSE),"")</f>
        <v/>
      </c>
      <c r="AC35" s="37">
        <v>1</v>
      </c>
      <c r="AD35" s="41" t="str">
        <f t="shared" ca="1" si="3"/>
        <v/>
      </c>
      <c r="AE35" s="9">
        <v>100</v>
      </c>
      <c r="AF35" s="37">
        <v>0</v>
      </c>
      <c r="AG35" s="37">
        <v>0</v>
      </c>
      <c r="AH35" s="37">
        <v>0</v>
      </c>
      <c r="AI35" s="37">
        <v>0</v>
      </c>
      <c r="AJ35" s="37">
        <v>1</v>
      </c>
    </row>
    <row r="36" spans="1:36" ht="21" customHeight="1" x14ac:dyDescent="0.15">
      <c r="A36" s="21" t="str">
        <f t="shared" si="0"/>
        <v>11207_2-5/609&lt;lv32&gt;s1</v>
      </c>
      <c r="B36" s="37">
        <v>11207</v>
      </c>
      <c r="C36" s="38">
        <v>2</v>
      </c>
      <c r="D36" s="20" t="str">
        <f t="shared" si="1"/>
        <v>11207_2</v>
      </c>
      <c r="E36" s="5" t="str">
        <f ca="1">VLOOKUP($B36,OFFSET([1]quests!$A$1,0,0,COUNTA([1]quests!$A:$A),MATCH(E$1,[1]quests!$1:$1,0)-MATCH($B$1,[1]quests!$1:$1,0)+1),MATCH(E$1,[1]quests!$1:$1,0)-MATCH($B$1,[1]quests!$1:$1,0)+1,FALSE)</f>
        <v>果実達の大宴会</v>
      </c>
      <c r="F36" s="5" t="str">
        <f ca="1">VLOOKUP($D36,OFFSET([1]stages!$A$1,0,0,COUNTA([1]stages!$A:$A),MATCH(F$1,[1]stages!$2:$2,0)-MATCH($D$1,[1]stages!$2:$2,0)+1),MATCH(F$1,[1]stages!$2:$2,0)-MATCH($D$1,[1]stages!$2:$2,0)+1,FALSE)</f>
        <v>【超級】果実達の大宴会</v>
      </c>
      <c r="G36" s="42">
        <v>5</v>
      </c>
      <c r="H36" s="20" t="str">
        <f t="shared" si="2"/>
        <v>11207_2-5</v>
      </c>
      <c r="I36" s="43">
        <v>609</v>
      </c>
      <c r="J36" s="26" t="e">
        <f ca="1">VLOOKUP($I36,OFFSET([2]enemies!$A$1,0,0,COUNTA([2]enemies!$A:$A),MATCH(J$1,[2]enemies!$2:$2,0)-MATCH($I$1,[2]enemies!$2:$2,0)+1),MATCH(J$1,[2]enemies!$2:$2,0)-MATCH($I$1,[2]enemies!$2:$2,0)+1,FALSE)</f>
        <v>#N/A</v>
      </c>
      <c r="K36" s="29" t="e">
        <f ca="1">VLOOKUP($I36,OFFSET([2]enemies!$A$1,0,0,COUNTA([2]enemies!$A:$A),MATCH(K$1,[2]enemies!$2:$2,0)-MATCH($I$1,[2]enemies!$2:$2,0)+1),MATCH(K$1,[2]enemies!$2:$2,0)-MATCH($I$1,[2]enemies!$2:$2,0)+1,FALSE)</f>
        <v>#N/A</v>
      </c>
      <c r="L36" s="29" t="e">
        <f ca="1">VLOOKUP($I36,OFFSET([3]characters!$A$1,0,0,COUNTA([3]characters!$A:$A),MATCH(L$1,[3]characters!$2:$2,0)-MATCH($I$1,[3]characters!$2:$2,0)+1),MATCH(L$1,[3]characters!$2:$2,0)-MATCH($I$1,[3]characters!$2:$2,0)+1,FALSE)</f>
        <v>#N/A</v>
      </c>
      <c r="M36" s="28" t="e">
        <f ca="1">VLOOKUP($I36,OFFSET([3]characters!$A$1,0,0,COUNTA([3]characters!$A:$A),MATCH(M$1,[3]characters!$2:$2,0)-MATCH($I$1,[3]characters!$2:$2,0)+2),MATCH(M$1,[3]characters!$2:$2,0)-MATCH($I$1,[3]characters!$2:$2,0)+2,FALSE)</f>
        <v>#N/A</v>
      </c>
      <c r="N36" s="5" t="e">
        <f ca="1">VLOOKUP($I36,OFFSET([2]enemies!$A$1,0,0,COUNTA([2]enemies!$A:$A),MATCH(N$1,[2]enemies!$2:$2,0)-MATCH($I$1,[2]enemies!$2:$2,0)+1),MATCH(N$1,[2]enemies!$2:$2,0)-MATCH($I$1,[2]enemies!$2:$2,0)+1,FALSE)</f>
        <v>#N/A</v>
      </c>
      <c r="O36" s="6">
        <v>32</v>
      </c>
      <c r="P36" s="34">
        <v>0.4</v>
      </c>
      <c r="Q36" s="34">
        <v>1</v>
      </c>
      <c r="R36" s="6">
        <v>0</v>
      </c>
      <c r="S36" s="5" t="str">
        <f ca="1">VLOOKUP($T36,OFFSET([4]enemy_skill_sets!$B$1,0,0,COUNTA([4]enemy_skill_sets!$B:$B),MATCH(J$1,[4]enemy_skill_sets!$1:$1,0)-MATCH($T$1,[4]enemy_skill_sets!$1:$1,0)+2),MATCH(J$1,[4]enemy_skill_sets!$1:$1,0)-MATCH($T$1,[4]enemy_skill_sets!$1:$1,0)+2,FALSE)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6" s="46">
        <v>0</v>
      </c>
      <c r="U36" s="45">
        <v>0</v>
      </c>
      <c r="V36" s="45">
        <v>100</v>
      </c>
      <c r="W36" s="45">
        <v>0</v>
      </c>
      <c r="X36" s="47">
        <v>1</v>
      </c>
      <c r="Y36" s="43">
        <v>609</v>
      </c>
      <c r="Z36" s="5" t="str">
        <f ca="1">IFERROR(VLOOKUP($Y36,OFFSET([3]characters!$A$1,0,0,COUNTA([3]characters!$A:$A),MATCH(Z$1,[3]characters!$2:$2,0)-MATCH("character_id",[3]characters!$2:$2,0)+1),MATCH(Z$1,[3]characters!$2:$2,0)-MATCH("character_id",[3]characters!$2:$2,0)+1,FALSE),"")</f>
        <v/>
      </c>
      <c r="AA36" s="5" t="str">
        <f ca="1">IFERROR(VLOOKUP($Y36,OFFSET([3]characters!$A$1,0,0,COUNTA([3]characters!$A:$A),MATCH(AA$1,[3]characters!$2:$2,0)-MATCH("character_id",[3]characters!$2:$2,0)+1),MATCH(AA$1,[3]characters!$2:$2,0)-MATCH("character_id",[3]characters!$2:$2,0)+1,FALSE),"")</f>
        <v/>
      </c>
      <c r="AB36" s="5" t="str">
        <f ca="1">IFERROR(VLOOKUP($Y36,OFFSET([3]characters!$A$1,0,0,COUNTA([3]characters!$A:$A),MATCH(AB$1,[3]characters!$2:$2,0)-MATCH("character_id",[3]characters!$2:$2,0)+1),MATCH(AB$1,[3]characters!$2:$2,0)-MATCH("character_id",[3]characters!$2:$2,0)+1,FALSE),"")</f>
        <v/>
      </c>
      <c r="AC36" s="37">
        <v>1</v>
      </c>
      <c r="AD36" s="41" t="str">
        <f t="shared" ca="1" si="3"/>
        <v/>
      </c>
      <c r="AE36" s="9">
        <v>100</v>
      </c>
      <c r="AF36" s="37">
        <v>0</v>
      </c>
      <c r="AG36" s="37">
        <v>0</v>
      </c>
      <c r="AH36" s="37">
        <v>0</v>
      </c>
      <c r="AI36" s="37">
        <v>0</v>
      </c>
      <c r="AJ36" s="37">
        <v>1</v>
      </c>
    </row>
    <row r="37" spans="1:36" ht="21" customHeight="1" x14ac:dyDescent="0.15">
      <c r="A37" s="21" t="str">
        <f t="shared" ref="A37:A39" si="4">B37&amp;"_"&amp;C37&amp;"-"&amp;G37&amp;"/"&amp;I37&amp;"&lt;lv"&amp;O37&amp;"&gt;s"&amp;X37</f>
        <v>11207_2-5/611&lt;lv32&gt;s1</v>
      </c>
      <c r="B37" s="37">
        <v>11207</v>
      </c>
      <c r="C37" s="38">
        <v>2</v>
      </c>
      <c r="D37" s="20" t="str">
        <f t="shared" ref="D37:D39" si="5">B37&amp;"_"&amp;C37</f>
        <v>11207_2</v>
      </c>
      <c r="E37" s="5" t="str">
        <f ca="1">VLOOKUP($B37,OFFSET([1]quests!$A$1,0,0,COUNTA([1]quests!$A:$A),MATCH(E$1,[1]quests!$1:$1,0)-MATCH($B$1,[1]quests!$1:$1,0)+1),MATCH(E$1,[1]quests!$1:$1,0)-MATCH($B$1,[1]quests!$1:$1,0)+1,FALSE)</f>
        <v>果実達の大宴会</v>
      </c>
      <c r="F37" s="5" t="str">
        <f ca="1">VLOOKUP($D37,OFFSET([1]stages!$A$1,0,0,COUNTA([1]stages!$A:$A),MATCH(F$1,[1]stages!$2:$2,0)-MATCH($D$1,[1]stages!$2:$2,0)+1),MATCH(F$1,[1]stages!$2:$2,0)-MATCH($D$1,[1]stages!$2:$2,0)+1,FALSE)</f>
        <v>【超級】果実達の大宴会</v>
      </c>
      <c r="G37" s="42">
        <v>5</v>
      </c>
      <c r="H37" s="20" t="str">
        <f t="shared" ref="H37:H39" si="6">B37&amp;"_"&amp;C37&amp;"-"&amp;G37</f>
        <v>11207_2-5</v>
      </c>
      <c r="I37" s="43">
        <v>611</v>
      </c>
      <c r="J37" s="26" t="e">
        <f ca="1">VLOOKUP($I37,OFFSET([2]enemies!$A$1,0,0,COUNTA([2]enemies!$A:$A),MATCH(J$1,[2]enemies!$2:$2,0)-MATCH($I$1,[2]enemies!$2:$2,0)+1),MATCH(J$1,[2]enemies!$2:$2,0)-MATCH($I$1,[2]enemies!$2:$2,0)+1,FALSE)</f>
        <v>#N/A</v>
      </c>
      <c r="K37" s="29" t="e">
        <f ca="1">VLOOKUP($I37,OFFSET([2]enemies!$A$1,0,0,COUNTA([2]enemies!$A:$A),MATCH(K$1,[2]enemies!$2:$2,0)-MATCH($I$1,[2]enemies!$2:$2,0)+1),MATCH(K$1,[2]enemies!$2:$2,0)-MATCH($I$1,[2]enemies!$2:$2,0)+1,FALSE)</f>
        <v>#N/A</v>
      </c>
      <c r="L37" s="29" t="e">
        <f ca="1">VLOOKUP($I37,OFFSET([3]characters!$A$1,0,0,COUNTA([3]characters!$A:$A),MATCH(L$1,[3]characters!$2:$2,0)-MATCH($I$1,[3]characters!$2:$2,0)+1),MATCH(L$1,[3]characters!$2:$2,0)-MATCH($I$1,[3]characters!$2:$2,0)+1,FALSE)</f>
        <v>#N/A</v>
      </c>
      <c r="M37" s="28" t="e">
        <f ca="1">VLOOKUP($I37,OFFSET([3]characters!$A$1,0,0,COUNTA([3]characters!$A:$A),MATCH(M$1,[3]characters!$2:$2,0)-MATCH($I$1,[3]characters!$2:$2,0)+2),MATCH(M$1,[3]characters!$2:$2,0)-MATCH($I$1,[3]characters!$2:$2,0)+2,FALSE)</f>
        <v>#N/A</v>
      </c>
      <c r="N37" s="5" t="e">
        <f ca="1">VLOOKUP($I37,OFFSET([2]enemies!$A$1,0,0,COUNTA([2]enemies!$A:$A),MATCH(N$1,[2]enemies!$2:$2,0)-MATCH($I$1,[2]enemies!$2:$2,0)+1),MATCH(N$1,[2]enemies!$2:$2,0)-MATCH($I$1,[2]enemies!$2:$2,0)+1,FALSE)</f>
        <v>#N/A</v>
      </c>
      <c r="O37" s="6">
        <v>32</v>
      </c>
      <c r="P37" s="34">
        <v>0.4</v>
      </c>
      <c r="Q37" s="34">
        <v>1</v>
      </c>
      <c r="R37" s="6">
        <v>0</v>
      </c>
      <c r="S37" s="5" t="str">
        <f ca="1">VLOOKUP($T37,OFFSET([4]enemy_skill_sets!$B$1,0,0,COUNTA([4]enemy_skill_sets!$B:$B),MATCH(J$1,[4]enemy_skill_sets!$1:$1,0)-MATCH($T$1,[4]enemy_skill_sets!$1:$1,0)+2),MATCH(J$1,[4]enemy_skill_sets!$1:$1,0)-MATCH($T$1,[4]enemy_skill_sets!$1:$1,0)+2,FALSE)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7" s="46">
        <v>0</v>
      </c>
      <c r="U37" s="45">
        <v>0</v>
      </c>
      <c r="V37" s="45">
        <v>100</v>
      </c>
      <c r="W37" s="45">
        <v>0</v>
      </c>
      <c r="X37" s="47">
        <v>1</v>
      </c>
      <c r="Y37" s="43">
        <v>611</v>
      </c>
      <c r="Z37" s="5" t="str">
        <f ca="1">IFERROR(VLOOKUP($Y37,OFFSET([3]characters!$A$1,0,0,COUNTA([3]characters!$A:$A),MATCH(Z$1,[3]characters!$2:$2,0)-MATCH("character_id",[3]characters!$2:$2,0)+1),MATCH(Z$1,[3]characters!$2:$2,0)-MATCH("character_id",[3]characters!$2:$2,0)+1,FALSE),"")</f>
        <v/>
      </c>
      <c r="AA37" s="5" t="str">
        <f ca="1">IFERROR(VLOOKUP($Y37,OFFSET([3]characters!$A$1,0,0,COUNTA([3]characters!$A:$A),MATCH(AA$1,[3]characters!$2:$2,0)-MATCH("character_id",[3]characters!$2:$2,0)+1),MATCH(AA$1,[3]characters!$2:$2,0)-MATCH("character_id",[3]characters!$2:$2,0)+1,FALSE),"")</f>
        <v/>
      </c>
      <c r="AB37" s="5" t="str">
        <f ca="1">IFERROR(VLOOKUP($Y37,OFFSET([3]characters!$A$1,0,0,COUNTA([3]characters!$A:$A),MATCH(AB$1,[3]characters!$2:$2,0)-MATCH("character_id",[3]characters!$2:$2,0)+1),MATCH(AB$1,[3]characters!$2:$2,0)-MATCH("character_id",[3]characters!$2:$2,0)+1,FALSE),"")</f>
        <v/>
      </c>
      <c r="AC37" s="37">
        <v>1</v>
      </c>
      <c r="AD37" s="41" t="str">
        <f t="shared" ref="AD37:AD39" ca="1" si="7">AA37</f>
        <v/>
      </c>
      <c r="AE37" s="9">
        <v>100</v>
      </c>
      <c r="AF37" s="37">
        <v>0</v>
      </c>
      <c r="AG37" s="37">
        <v>0</v>
      </c>
      <c r="AH37" s="37">
        <v>0</v>
      </c>
      <c r="AI37" s="37">
        <v>0</v>
      </c>
      <c r="AJ37" s="37">
        <v>1</v>
      </c>
    </row>
    <row r="38" spans="1:36" ht="21" customHeight="1" x14ac:dyDescent="0.15">
      <c r="A38" s="21" t="str">
        <f t="shared" si="4"/>
        <v>11207_2-5/612&lt;lv32&gt;s1</v>
      </c>
      <c r="B38" s="37">
        <v>11207</v>
      </c>
      <c r="C38" s="38">
        <v>2</v>
      </c>
      <c r="D38" s="20" t="str">
        <f t="shared" si="5"/>
        <v>11207_2</v>
      </c>
      <c r="E38" s="5" t="str">
        <f ca="1">VLOOKUP($B38,OFFSET([1]quests!$A$1,0,0,COUNTA([1]quests!$A:$A),MATCH(E$1,[1]quests!$1:$1,0)-MATCH($B$1,[1]quests!$1:$1,0)+1),MATCH(E$1,[1]quests!$1:$1,0)-MATCH($B$1,[1]quests!$1:$1,0)+1,FALSE)</f>
        <v>果実達の大宴会</v>
      </c>
      <c r="F38" s="5" t="str">
        <f ca="1">VLOOKUP($D38,OFFSET([1]stages!$A$1,0,0,COUNTA([1]stages!$A:$A),MATCH(F$1,[1]stages!$2:$2,0)-MATCH($D$1,[1]stages!$2:$2,0)+1),MATCH(F$1,[1]stages!$2:$2,0)-MATCH($D$1,[1]stages!$2:$2,0)+1,FALSE)</f>
        <v>【超級】果実達の大宴会</v>
      </c>
      <c r="G38" s="42">
        <v>5</v>
      </c>
      <c r="H38" s="20" t="str">
        <f t="shared" si="6"/>
        <v>11207_2-5</v>
      </c>
      <c r="I38" s="43">
        <v>612</v>
      </c>
      <c r="J38" s="26" t="e">
        <f ca="1">VLOOKUP($I38,OFFSET([2]enemies!$A$1,0,0,COUNTA([2]enemies!$A:$A),MATCH(J$1,[2]enemies!$2:$2,0)-MATCH($I$1,[2]enemies!$2:$2,0)+1),MATCH(J$1,[2]enemies!$2:$2,0)-MATCH($I$1,[2]enemies!$2:$2,0)+1,FALSE)</f>
        <v>#N/A</v>
      </c>
      <c r="K38" s="29" t="e">
        <f ca="1">VLOOKUP($I38,OFFSET([2]enemies!$A$1,0,0,COUNTA([2]enemies!$A:$A),MATCH(K$1,[2]enemies!$2:$2,0)-MATCH($I$1,[2]enemies!$2:$2,0)+1),MATCH(K$1,[2]enemies!$2:$2,0)-MATCH($I$1,[2]enemies!$2:$2,0)+1,FALSE)</f>
        <v>#N/A</v>
      </c>
      <c r="L38" s="29" t="e">
        <f ca="1">VLOOKUP($I38,OFFSET([3]characters!$A$1,0,0,COUNTA([3]characters!$A:$A),MATCH(L$1,[3]characters!$2:$2,0)-MATCH($I$1,[3]characters!$2:$2,0)+1),MATCH(L$1,[3]characters!$2:$2,0)-MATCH($I$1,[3]characters!$2:$2,0)+1,FALSE)</f>
        <v>#N/A</v>
      </c>
      <c r="M38" s="28" t="e">
        <f ca="1">VLOOKUP($I38,OFFSET([3]characters!$A$1,0,0,COUNTA([3]characters!$A:$A),MATCH(M$1,[3]characters!$2:$2,0)-MATCH($I$1,[3]characters!$2:$2,0)+2),MATCH(M$1,[3]characters!$2:$2,0)-MATCH($I$1,[3]characters!$2:$2,0)+2,FALSE)</f>
        <v>#N/A</v>
      </c>
      <c r="N38" s="5" t="e">
        <f ca="1">VLOOKUP($I38,OFFSET([2]enemies!$A$1,0,0,COUNTA([2]enemies!$A:$A),MATCH(N$1,[2]enemies!$2:$2,0)-MATCH($I$1,[2]enemies!$2:$2,0)+1),MATCH(N$1,[2]enemies!$2:$2,0)-MATCH($I$1,[2]enemies!$2:$2,0)+1,FALSE)</f>
        <v>#N/A</v>
      </c>
      <c r="O38" s="6">
        <v>32</v>
      </c>
      <c r="P38" s="34">
        <v>0.4</v>
      </c>
      <c r="Q38" s="34">
        <v>1</v>
      </c>
      <c r="R38" s="6">
        <v>0</v>
      </c>
      <c r="S38" s="5" t="str">
        <f ca="1">VLOOKUP($T38,OFFSET([4]enemy_skill_sets!$B$1,0,0,COUNTA([4]enemy_skill_sets!$B:$B),MATCH(J$1,[4]enemy_skill_sets!$1:$1,0)-MATCH($T$1,[4]enemy_skill_sets!$1:$1,0)+2),MATCH(J$1,[4]enemy_skill_sets!$1:$1,0)-MATCH($T$1,[4]enemy_skill_sets!$1:$1,0)+2,FALSE)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8" s="46">
        <v>0</v>
      </c>
      <c r="U38" s="45">
        <v>0</v>
      </c>
      <c r="V38" s="45">
        <v>100</v>
      </c>
      <c r="W38" s="45">
        <v>0</v>
      </c>
      <c r="X38" s="47">
        <v>1</v>
      </c>
      <c r="Y38" s="43">
        <v>612</v>
      </c>
      <c r="Z38" s="5" t="str">
        <f ca="1">IFERROR(VLOOKUP($Y38,OFFSET([3]characters!$A$1,0,0,COUNTA([3]characters!$A:$A),MATCH(Z$1,[3]characters!$2:$2,0)-MATCH("character_id",[3]characters!$2:$2,0)+1),MATCH(Z$1,[3]characters!$2:$2,0)-MATCH("character_id",[3]characters!$2:$2,0)+1,FALSE),"")</f>
        <v/>
      </c>
      <c r="AA38" s="5" t="str">
        <f ca="1">IFERROR(VLOOKUP($Y38,OFFSET([3]characters!$A$1,0,0,COUNTA([3]characters!$A:$A),MATCH(AA$1,[3]characters!$2:$2,0)-MATCH("character_id",[3]characters!$2:$2,0)+1),MATCH(AA$1,[3]characters!$2:$2,0)-MATCH("character_id",[3]characters!$2:$2,0)+1,FALSE),"")</f>
        <v/>
      </c>
      <c r="AB38" s="5" t="str">
        <f ca="1">IFERROR(VLOOKUP($Y38,OFFSET([3]characters!$A$1,0,0,COUNTA([3]characters!$A:$A),MATCH(AB$1,[3]characters!$2:$2,0)-MATCH("character_id",[3]characters!$2:$2,0)+1),MATCH(AB$1,[3]characters!$2:$2,0)-MATCH("character_id",[3]characters!$2:$2,0)+1,FALSE),"")</f>
        <v/>
      </c>
      <c r="AC38" s="37">
        <v>1</v>
      </c>
      <c r="AD38" s="41" t="str">
        <f t="shared" ca="1" si="7"/>
        <v/>
      </c>
      <c r="AE38" s="9">
        <v>100</v>
      </c>
      <c r="AF38" s="37">
        <v>0</v>
      </c>
      <c r="AG38" s="37">
        <v>0</v>
      </c>
      <c r="AH38" s="37">
        <v>0</v>
      </c>
      <c r="AI38" s="37">
        <v>0</v>
      </c>
      <c r="AJ38" s="37">
        <v>1</v>
      </c>
    </row>
    <row r="39" spans="1:36" ht="21" customHeight="1" x14ac:dyDescent="0.15">
      <c r="A39" s="21" t="str">
        <f t="shared" si="4"/>
        <v>11207_2-5/613&lt;lv32&gt;s1</v>
      </c>
      <c r="B39" s="37">
        <v>11207</v>
      </c>
      <c r="C39" s="38">
        <v>2</v>
      </c>
      <c r="D39" s="20" t="str">
        <f t="shared" si="5"/>
        <v>11207_2</v>
      </c>
      <c r="E39" s="5" t="str">
        <f ca="1">VLOOKUP($B39,OFFSET([1]quests!$A$1,0,0,COUNTA([1]quests!$A:$A),MATCH(E$1,[1]quests!$1:$1,0)-MATCH($B$1,[1]quests!$1:$1,0)+1),MATCH(E$1,[1]quests!$1:$1,0)-MATCH($B$1,[1]quests!$1:$1,0)+1,FALSE)</f>
        <v>果実達の大宴会</v>
      </c>
      <c r="F39" s="5" t="str">
        <f ca="1">VLOOKUP($D39,OFFSET([1]stages!$A$1,0,0,COUNTA([1]stages!$A:$A),MATCH(F$1,[1]stages!$2:$2,0)-MATCH($D$1,[1]stages!$2:$2,0)+1),MATCH(F$1,[1]stages!$2:$2,0)-MATCH($D$1,[1]stages!$2:$2,0)+1,FALSE)</f>
        <v>【超級】果実達の大宴会</v>
      </c>
      <c r="G39" s="42">
        <v>5</v>
      </c>
      <c r="H39" s="20" t="str">
        <f t="shared" si="6"/>
        <v>11207_2-5</v>
      </c>
      <c r="I39" s="43">
        <v>613</v>
      </c>
      <c r="J39" s="26" t="e">
        <f ca="1">VLOOKUP($I39,OFFSET([2]enemies!$A$1,0,0,COUNTA([2]enemies!$A:$A),MATCH(J$1,[2]enemies!$2:$2,0)-MATCH($I$1,[2]enemies!$2:$2,0)+1),MATCH(J$1,[2]enemies!$2:$2,0)-MATCH($I$1,[2]enemies!$2:$2,0)+1,FALSE)</f>
        <v>#N/A</v>
      </c>
      <c r="K39" s="29" t="e">
        <f ca="1">VLOOKUP($I39,OFFSET([2]enemies!$A$1,0,0,COUNTA([2]enemies!$A:$A),MATCH(K$1,[2]enemies!$2:$2,0)-MATCH($I$1,[2]enemies!$2:$2,0)+1),MATCH(K$1,[2]enemies!$2:$2,0)-MATCH($I$1,[2]enemies!$2:$2,0)+1,FALSE)</f>
        <v>#N/A</v>
      </c>
      <c r="L39" s="29" t="e">
        <f ca="1">VLOOKUP($I39,OFFSET([3]characters!$A$1,0,0,COUNTA([3]characters!$A:$A),MATCH(L$1,[3]characters!$2:$2,0)-MATCH($I$1,[3]characters!$2:$2,0)+1),MATCH(L$1,[3]characters!$2:$2,0)-MATCH($I$1,[3]characters!$2:$2,0)+1,FALSE)</f>
        <v>#N/A</v>
      </c>
      <c r="M39" s="28" t="e">
        <f ca="1">VLOOKUP($I39,OFFSET([3]characters!$A$1,0,0,COUNTA([3]characters!$A:$A),MATCH(M$1,[3]characters!$2:$2,0)-MATCH($I$1,[3]characters!$2:$2,0)+2),MATCH(M$1,[3]characters!$2:$2,0)-MATCH($I$1,[3]characters!$2:$2,0)+2,FALSE)</f>
        <v>#N/A</v>
      </c>
      <c r="N39" s="5" t="e">
        <f ca="1">VLOOKUP($I39,OFFSET([2]enemies!$A$1,0,0,COUNTA([2]enemies!$A:$A),MATCH(N$1,[2]enemies!$2:$2,0)-MATCH($I$1,[2]enemies!$2:$2,0)+1),MATCH(N$1,[2]enemies!$2:$2,0)-MATCH($I$1,[2]enemies!$2:$2,0)+1,FALSE)</f>
        <v>#N/A</v>
      </c>
      <c r="O39" s="6">
        <v>32</v>
      </c>
      <c r="P39" s="34">
        <v>0.4</v>
      </c>
      <c r="Q39" s="34">
        <v>1</v>
      </c>
      <c r="R39" s="6">
        <v>0</v>
      </c>
      <c r="S39" s="5" t="str">
        <f ca="1">VLOOKUP($T39,OFFSET([4]enemy_skill_sets!$B$1,0,0,COUNTA([4]enemy_skill_sets!$B:$B),MATCH(J$1,[4]enemy_skill_sets!$1:$1,0)-MATCH($T$1,[4]enemy_skill_sets!$1:$1,0)+2),MATCH(J$1,[4]enemy_skill_sets!$1:$1,0)-MATCH($T$1,[4]enemy_skill_sets!$1:$1,0)+2,FALSE)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9" s="46">
        <v>0</v>
      </c>
      <c r="U39" s="45">
        <v>0</v>
      </c>
      <c r="V39" s="45">
        <v>100</v>
      </c>
      <c r="W39" s="45">
        <v>0</v>
      </c>
      <c r="X39" s="47">
        <v>1</v>
      </c>
      <c r="Y39" s="43">
        <v>613</v>
      </c>
      <c r="Z39" s="5" t="str">
        <f ca="1">IFERROR(VLOOKUP($Y39,OFFSET([3]characters!$A$1,0,0,COUNTA([3]characters!$A:$A),MATCH(Z$1,[3]characters!$2:$2,0)-MATCH("character_id",[3]characters!$2:$2,0)+1),MATCH(Z$1,[3]characters!$2:$2,0)-MATCH("character_id",[3]characters!$2:$2,0)+1,FALSE),"")</f>
        <v/>
      </c>
      <c r="AA39" s="5" t="str">
        <f ca="1">IFERROR(VLOOKUP($Y39,OFFSET([3]characters!$A$1,0,0,COUNTA([3]characters!$A:$A),MATCH(AA$1,[3]characters!$2:$2,0)-MATCH("character_id",[3]characters!$2:$2,0)+1),MATCH(AA$1,[3]characters!$2:$2,0)-MATCH("character_id",[3]characters!$2:$2,0)+1,FALSE),"")</f>
        <v/>
      </c>
      <c r="AB39" s="5" t="str">
        <f ca="1">IFERROR(VLOOKUP($Y39,OFFSET([3]characters!$A$1,0,0,COUNTA([3]characters!$A:$A),MATCH(AB$1,[3]characters!$2:$2,0)-MATCH("character_id",[3]characters!$2:$2,0)+1),MATCH(AB$1,[3]characters!$2:$2,0)-MATCH("character_id",[3]characters!$2:$2,0)+1,FALSE),"")</f>
        <v/>
      </c>
      <c r="AC39" s="37">
        <v>1</v>
      </c>
      <c r="AD39" s="41" t="str">
        <f t="shared" ca="1" si="7"/>
        <v/>
      </c>
      <c r="AE39" s="9">
        <v>100</v>
      </c>
      <c r="AF39" s="37">
        <v>0</v>
      </c>
      <c r="AG39" s="37">
        <v>0</v>
      </c>
      <c r="AH39" s="37">
        <v>0</v>
      </c>
      <c r="AI39" s="37">
        <v>0</v>
      </c>
      <c r="AJ39" s="37">
        <v>1</v>
      </c>
    </row>
  </sheetData>
  <sheetProtection selectLockedCells="1" selectUnlockedCells="1"/>
  <autoFilter ref="B1:AE2"/>
  <phoneticPr fontId="4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F115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F19" sqref="F19"/>
    </sheetView>
  </sheetViews>
  <sheetFormatPr baseColWidth="12" defaultColWidth="13" defaultRowHeight="15" x14ac:dyDescent="0.15"/>
  <cols>
    <col min="1" max="1" width="10.1640625" style="23" bestFit="1" customWidth="1"/>
    <col min="2" max="2" width="8.1640625" bestFit="1" customWidth="1"/>
    <col min="3" max="3" width="10.33203125" bestFit="1" customWidth="1"/>
    <col min="4" max="4" width="7.33203125" bestFit="1" customWidth="1"/>
    <col min="5" max="5" width="12.6640625" bestFit="1" customWidth="1"/>
    <col min="6" max="6" width="13.1640625" bestFit="1" customWidth="1"/>
  </cols>
  <sheetData>
    <row r="1" spans="1:6" s="16" customFormat="1" x14ac:dyDescent="0.15">
      <c r="A1" s="16">
        <f>MATCH(A2,INDIRECT(C1&amp;"!A:A"),0)-2</f>
        <v>-1</v>
      </c>
      <c r="B1" s="17" t="str">
        <f>"$"&amp;2+$A$1&amp;":$"&amp;2+$A$1</f>
        <v>$1:$1</v>
      </c>
      <c r="C1" s="16" t="str">
        <f>SUBSTITUTE(RIGHT(CELL("filename",$C$1),LEN(CELL("filename",$C$1))-FIND("]",CELL("filename",$C$1))),".tmp","")</f>
        <v>floors_cp_quests2_1</v>
      </c>
    </row>
    <row r="2" spans="1:6" s="18" customFormat="1" x14ac:dyDescent="0.15">
      <c r="A2" s="23" t="s">
        <v>19</v>
      </c>
      <c r="B2" s="18" t="s">
        <v>0</v>
      </c>
      <c r="C2" s="18" t="s">
        <v>1</v>
      </c>
      <c r="D2" s="18" t="s">
        <v>12</v>
      </c>
      <c r="E2" s="18" t="s">
        <v>13</v>
      </c>
      <c r="F2" s="18" t="s">
        <v>14</v>
      </c>
    </row>
    <row r="3" spans="1:6" x14ac:dyDescent="0.15">
      <c r="A3" s="24" t="str">
        <f t="shared" ref="A3:A11" si="0">INDIRECT(ADDRESS(ROW()+$A$1,COLUMN(),1,TRUE,$C$1))</f>
        <v>11207_1-1</v>
      </c>
      <c r="B3" s="19">
        <f t="shared" ref="B3:F11" si="1">VLOOKUP($A3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11207</v>
      </c>
      <c r="C3" s="19">
        <f t="shared" si="1"/>
        <v>1</v>
      </c>
      <c r="D3" s="19">
        <f t="shared" si="1"/>
        <v>1</v>
      </c>
      <c r="E3" s="19">
        <f t="shared" si="1"/>
        <v>35</v>
      </c>
      <c r="F3" s="19">
        <f t="shared" si="1"/>
        <v>35</v>
      </c>
    </row>
    <row r="4" spans="1:6" x14ac:dyDescent="0.15">
      <c r="A4" s="24" t="str">
        <f t="shared" si="0"/>
        <v>11207_1-2</v>
      </c>
      <c r="B4" s="19">
        <f t="shared" si="1"/>
        <v>11207</v>
      </c>
      <c r="C4" s="19">
        <f t="shared" si="1"/>
        <v>1</v>
      </c>
      <c r="D4" s="19">
        <f t="shared" si="1"/>
        <v>2</v>
      </c>
      <c r="E4" s="19">
        <f t="shared" si="1"/>
        <v>35</v>
      </c>
      <c r="F4" s="19">
        <f t="shared" si="1"/>
        <v>35</v>
      </c>
    </row>
    <row r="5" spans="1:6" x14ac:dyDescent="0.15">
      <c r="A5" s="24" t="str">
        <f t="shared" si="0"/>
        <v>11207_1-3</v>
      </c>
      <c r="B5" s="19">
        <f t="shared" si="1"/>
        <v>11207</v>
      </c>
      <c r="C5" s="19">
        <f t="shared" si="1"/>
        <v>1</v>
      </c>
      <c r="D5" s="19">
        <f t="shared" si="1"/>
        <v>3</v>
      </c>
      <c r="E5" s="19">
        <f t="shared" si="1"/>
        <v>35</v>
      </c>
      <c r="F5" s="19">
        <f t="shared" si="1"/>
        <v>35</v>
      </c>
    </row>
    <row r="6" spans="1:6" x14ac:dyDescent="0.15">
      <c r="A6" s="24" t="str">
        <f t="shared" si="0"/>
        <v>11207_1-4</v>
      </c>
      <c r="B6" s="19">
        <f t="shared" si="1"/>
        <v>11207</v>
      </c>
      <c r="C6" s="19">
        <f t="shared" si="1"/>
        <v>1</v>
      </c>
      <c r="D6" s="19">
        <f t="shared" si="1"/>
        <v>4</v>
      </c>
      <c r="E6" s="19">
        <f t="shared" si="1"/>
        <v>20</v>
      </c>
      <c r="F6" s="19">
        <f t="shared" si="1"/>
        <v>20</v>
      </c>
    </row>
    <row r="7" spans="1:6" x14ac:dyDescent="0.15">
      <c r="A7" s="24" t="str">
        <f t="shared" si="0"/>
        <v>11207_2-1</v>
      </c>
      <c r="B7" s="19">
        <f t="shared" si="1"/>
        <v>11207</v>
      </c>
      <c r="C7" s="19">
        <f t="shared" si="1"/>
        <v>2</v>
      </c>
      <c r="D7" s="19">
        <f t="shared" si="1"/>
        <v>1</v>
      </c>
      <c r="E7" s="19">
        <f t="shared" si="1"/>
        <v>60</v>
      </c>
      <c r="F7" s="19">
        <f t="shared" si="1"/>
        <v>60</v>
      </c>
    </row>
    <row r="8" spans="1:6" x14ac:dyDescent="0.15">
      <c r="A8" s="24" t="str">
        <f t="shared" si="0"/>
        <v>11207_2-2</v>
      </c>
      <c r="B8" s="19">
        <f t="shared" si="1"/>
        <v>11207</v>
      </c>
      <c r="C8" s="19">
        <f t="shared" si="1"/>
        <v>2</v>
      </c>
      <c r="D8" s="19">
        <f t="shared" si="1"/>
        <v>2</v>
      </c>
      <c r="E8" s="19">
        <f t="shared" si="1"/>
        <v>60</v>
      </c>
      <c r="F8" s="19">
        <f t="shared" si="1"/>
        <v>60</v>
      </c>
    </row>
    <row r="9" spans="1:6" x14ac:dyDescent="0.15">
      <c r="A9" s="24" t="str">
        <f t="shared" si="0"/>
        <v>11207_2-3</v>
      </c>
      <c r="B9" s="19">
        <f t="shared" si="1"/>
        <v>11207</v>
      </c>
      <c r="C9" s="19">
        <f t="shared" si="1"/>
        <v>2</v>
      </c>
      <c r="D9" s="19">
        <f t="shared" si="1"/>
        <v>3</v>
      </c>
      <c r="E9" s="19">
        <f t="shared" si="1"/>
        <v>60</v>
      </c>
      <c r="F9" s="19">
        <f t="shared" si="1"/>
        <v>60</v>
      </c>
    </row>
    <row r="10" spans="1:6" x14ac:dyDescent="0.15">
      <c r="A10" s="24" t="str">
        <f t="shared" si="0"/>
        <v>11207_2-4</v>
      </c>
      <c r="B10" s="19">
        <f t="shared" si="1"/>
        <v>11207</v>
      </c>
      <c r="C10" s="19">
        <f t="shared" si="1"/>
        <v>2</v>
      </c>
      <c r="D10" s="19">
        <f t="shared" si="1"/>
        <v>4</v>
      </c>
      <c r="E10" s="19">
        <f t="shared" si="1"/>
        <v>60</v>
      </c>
      <c r="F10" s="19">
        <f t="shared" si="1"/>
        <v>60</v>
      </c>
    </row>
    <row r="11" spans="1:6" x14ac:dyDescent="0.15">
      <c r="A11" s="24" t="str">
        <f t="shared" si="0"/>
        <v>11207_2-5</v>
      </c>
      <c r="B11" s="19">
        <f t="shared" si="1"/>
        <v>11207</v>
      </c>
      <c r="C11" s="19">
        <f t="shared" si="1"/>
        <v>2</v>
      </c>
      <c r="D11" s="19">
        <f t="shared" si="1"/>
        <v>5</v>
      </c>
      <c r="E11" s="19">
        <f t="shared" si="1"/>
        <v>20</v>
      </c>
      <c r="F11" s="19">
        <f t="shared" si="1"/>
        <v>20</v>
      </c>
    </row>
    <row r="12" spans="1:6" x14ac:dyDescent="0.15">
      <c r="A12"/>
    </row>
    <row r="13" spans="1:6" x14ac:dyDescent="0.15">
      <c r="A13"/>
    </row>
    <row r="14" spans="1:6" x14ac:dyDescent="0.15">
      <c r="A14"/>
    </row>
    <row r="15" spans="1:6" x14ac:dyDescent="0.15">
      <c r="A15"/>
    </row>
    <row r="16" spans="1:6" x14ac:dyDescent="0.15">
      <c r="A16"/>
    </row>
    <row r="17" spans="1:1" x14ac:dyDescent="0.15">
      <c r="A17"/>
    </row>
    <row r="18" spans="1:1" x14ac:dyDescent="0.15">
      <c r="A18"/>
    </row>
    <row r="19" spans="1:1" x14ac:dyDescent="0.15">
      <c r="A19"/>
    </row>
    <row r="20" spans="1:1" x14ac:dyDescent="0.15">
      <c r="A20"/>
    </row>
    <row r="21" spans="1:1" x14ac:dyDescent="0.15">
      <c r="A21"/>
    </row>
    <row r="22" spans="1:1" x14ac:dyDescent="0.15">
      <c r="A22"/>
    </row>
    <row r="23" spans="1:1" x14ac:dyDescent="0.15">
      <c r="A23"/>
    </row>
    <row r="24" spans="1:1" x14ac:dyDescent="0.15">
      <c r="A24"/>
    </row>
    <row r="25" spans="1:1" x14ac:dyDescent="0.15">
      <c r="A25"/>
    </row>
    <row r="26" spans="1:1" x14ac:dyDescent="0.15">
      <c r="A26"/>
    </row>
    <row r="27" spans="1:1" x14ac:dyDescent="0.15">
      <c r="A27"/>
    </row>
    <row r="28" spans="1:1" x14ac:dyDescent="0.15">
      <c r="A28"/>
    </row>
    <row r="29" spans="1:1" x14ac:dyDescent="0.15">
      <c r="A29"/>
    </row>
    <row r="30" spans="1:1" x14ac:dyDescent="0.15">
      <c r="A30"/>
    </row>
    <row r="31" spans="1:1" x14ac:dyDescent="0.15">
      <c r="A31"/>
    </row>
    <row r="32" spans="1:1" x14ac:dyDescent="0.15">
      <c r="A32"/>
    </row>
    <row r="33" spans="1:1" x14ac:dyDescent="0.15">
      <c r="A33"/>
    </row>
    <row r="34" spans="1:1" x14ac:dyDescent="0.15">
      <c r="A34"/>
    </row>
    <row r="35" spans="1:1" x14ac:dyDescent="0.15">
      <c r="A35"/>
    </row>
    <row r="36" spans="1:1" x14ac:dyDescent="0.15">
      <c r="A36"/>
    </row>
    <row r="37" spans="1:1" x14ac:dyDescent="0.15">
      <c r="A37"/>
    </row>
    <row r="38" spans="1:1" x14ac:dyDescent="0.15">
      <c r="A38"/>
    </row>
    <row r="39" spans="1:1" x14ac:dyDescent="0.15">
      <c r="A39"/>
    </row>
    <row r="40" spans="1:1" x14ac:dyDescent="0.15">
      <c r="A40"/>
    </row>
    <row r="41" spans="1:1" x14ac:dyDescent="0.15">
      <c r="A41"/>
    </row>
    <row r="42" spans="1:1" x14ac:dyDescent="0.15">
      <c r="A42"/>
    </row>
    <row r="43" spans="1:1" x14ac:dyDescent="0.15">
      <c r="A43"/>
    </row>
    <row r="44" spans="1:1" x14ac:dyDescent="0.15">
      <c r="A44"/>
    </row>
    <row r="45" spans="1:1" x14ac:dyDescent="0.15">
      <c r="A45"/>
    </row>
    <row r="46" spans="1:1" x14ac:dyDescent="0.15">
      <c r="A46"/>
    </row>
    <row r="47" spans="1:1" x14ac:dyDescent="0.15">
      <c r="A47"/>
    </row>
    <row r="48" spans="1:1" x14ac:dyDescent="0.15">
      <c r="A48"/>
    </row>
    <row r="49" spans="1:1" x14ac:dyDescent="0.15">
      <c r="A49"/>
    </row>
    <row r="50" spans="1:1" x14ac:dyDescent="0.15">
      <c r="A50"/>
    </row>
    <row r="51" spans="1:1" x14ac:dyDescent="0.15">
      <c r="A51"/>
    </row>
    <row r="52" spans="1:1" x14ac:dyDescent="0.15">
      <c r="A52"/>
    </row>
    <row r="53" spans="1:1" x14ac:dyDescent="0.15">
      <c r="A53"/>
    </row>
    <row r="54" spans="1:1" x14ac:dyDescent="0.15">
      <c r="A54"/>
    </row>
    <row r="55" spans="1:1" x14ac:dyDescent="0.15">
      <c r="A55"/>
    </row>
    <row r="56" spans="1:1" x14ac:dyDescent="0.15">
      <c r="A56"/>
    </row>
    <row r="57" spans="1:1" x14ac:dyDescent="0.15">
      <c r="A57"/>
    </row>
    <row r="58" spans="1:1" x14ac:dyDescent="0.15">
      <c r="A58"/>
    </row>
    <row r="59" spans="1:1" x14ac:dyDescent="0.15">
      <c r="A59"/>
    </row>
    <row r="60" spans="1:1" x14ac:dyDescent="0.15">
      <c r="A60"/>
    </row>
    <row r="61" spans="1:1" x14ac:dyDescent="0.15">
      <c r="A61"/>
    </row>
    <row r="62" spans="1:1" x14ac:dyDescent="0.15">
      <c r="A62"/>
    </row>
    <row r="63" spans="1:1" x14ac:dyDescent="0.15">
      <c r="A63"/>
    </row>
    <row r="64" spans="1:1" x14ac:dyDescent="0.15">
      <c r="A64"/>
    </row>
    <row r="65" spans="1:1" x14ac:dyDescent="0.15">
      <c r="A65"/>
    </row>
    <row r="66" spans="1:1" x14ac:dyDescent="0.15">
      <c r="A66"/>
    </row>
    <row r="67" spans="1:1" x14ac:dyDescent="0.15">
      <c r="A67"/>
    </row>
    <row r="68" spans="1:1" x14ac:dyDescent="0.15">
      <c r="A68"/>
    </row>
    <row r="69" spans="1:1" x14ac:dyDescent="0.15">
      <c r="A69"/>
    </row>
    <row r="70" spans="1:1" x14ac:dyDescent="0.15">
      <c r="A70"/>
    </row>
    <row r="71" spans="1:1" x14ac:dyDescent="0.15">
      <c r="A71"/>
    </row>
    <row r="72" spans="1:1" x14ac:dyDescent="0.15">
      <c r="A72"/>
    </row>
    <row r="73" spans="1:1" x14ac:dyDescent="0.15">
      <c r="A73"/>
    </row>
    <row r="74" spans="1:1" x14ac:dyDescent="0.15">
      <c r="A74"/>
    </row>
    <row r="75" spans="1:1" x14ac:dyDescent="0.15">
      <c r="A75"/>
    </row>
    <row r="76" spans="1:1" x14ac:dyDescent="0.15">
      <c r="A76"/>
    </row>
    <row r="77" spans="1:1" x14ac:dyDescent="0.15">
      <c r="A77"/>
    </row>
    <row r="78" spans="1:1" x14ac:dyDescent="0.15">
      <c r="A78"/>
    </row>
    <row r="79" spans="1:1" x14ac:dyDescent="0.15">
      <c r="A79"/>
    </row>
    <row r="80" spans="1:1" x14ac:dyDescent="0.15">
      <c r="A80"/>
    </row>
    <row r="81" spans="1:1" x14ac:dyDescent="0.15">
      <c r="A81"/>
    </row>
    <row r="82" spans="1:1" x14ac:dyDescent="0.15">
      <c r="A82"/>
    </row>
    <row r="83" spans="1:1" x14ac:dyDescent="0.15">
      <c r="A83"/>
    </row>
    <row r="84" spans="1:1" x14ac:dyDescent="0.15">
      <c r="A84"/>
    </row>
    <row r="85" spans="1:1" x14ac:dyDescent="0.15">
      <c r="A85"/>
    </row>
    <row r="86" spans="1:1" x14ac:dyDescent="0.15">
      <c r="A86"/>
    </row>
    <row r="87" spans="1:1" x14ac:dyDescent="0.15">
      <c r="A87"/>
    </row>
    <row r="88" spans="1:1" x14ac:dyDescent="0.15">
      <c r="A88"/>
    </row>
    <row r="89" spans="1:1" x14ac:dyDescent="0.15">
      <c r="A89"/>
    </row>
    <row r="90" spans="1:1" x14ac:dyDescent="0.15">
      <c r="A90"/>
    </row>
    <row r="91" spans="1:1" x14ac:dyDescent="0.15">
      <c r="A91"/>
    </row>
    <row r="92" spans="1:1" x14ac:dyDescent="0.15">
      <c r="A92"/>
    </row>
    <row r="93" spans="1:1" x14ac:dyDescent="0.15">
      <c r="A93"/>
    </row>
    <row r="94" spans="1:1" x14ac:dyDescent="0.15">
      <c r="A94"/>
    </row>
    <row r="95" spans="1:1" x14ac:dyDescent="0.15">
      <c r="A95"/>
    </row>
    <row r="96" spans="1:1" x14ac:dyDescent="0.15">
      <c r="A96"/>
    </row>
    <row r="97" spans="1:1" x14ac:dyDescent="0.15">
      <c r="A97"/>
    </row>
    <row r="98" spans="1:1" x14ac:dyDescent="0.15">
      <c r="A98"/>
    </row>
    <row r="99" spans="1:1" x14ac:dyDescent="0.15">
      <c r="A99"/>
    </row>
    <row r="100" spans="1:1" x14ac:dyDescent="0.15">
      <c r="A100"/>
    </row>
    <row r="101" spans="1:1" x14ac:dyDescent="0.15">
      <c r="A101"/>
    </row>
    <row r="102" spans="1:1" x14ac:dyDescent="0.15">
      <c r="A102"/>
    </row>
    <row r="103" spans="1:1" x14ac:dyDescent="0.15">
      <c r="A103"/>
    </row>
    <row r="104" spans="1:1" x14ac:dyDescent="0.15">
      <c r="A104"/>
    </row>
    <row r="105" spans="1:1" x14ac:dyDescent="0.15">
      <c r="A105"/>
    </row>
    <row r="106" spans="1:1" x14ac:dyDescent="0.15">
      <c r="A106"/>
    </row>
    <row r="107" spans="1:1" x14ac:dyDescent="0.15">
      <c r="A107"/>
    </row>
    <row r="108" spans="1:1" x14ac:dyDescent="0.15">
      <c r="A108"/>
    </row>
    <row r="109" spans="1:1" x14ac:dyDescent="0.15">
      <c r="A109"/>
    </row>
    <row r="110" spans="1:1" x14ac:dyDescent="0.15">
      <c r="A110"/>
    </row>
    <row r="111" spans="1:1" x14ac:dyDescent="0.15">
      <c r="A111"/>
    </row>
    <row r="112" spans="1:1" x14ac:dyDescent="0.15">
      <c r="A112"/>
    </row>
    <row r="113" spans="1:1" x14ac:dyDescent="0.15">
      <c r="A113"/>
    </row>
    <row r="114" spans="1:1" x14ac:dyDescent="0.15">
      <c r="A114"/>
    </row>
    <row r="115" spans="1:1" x14ac:dyDescent="0.15">
      <c r="A115"/>
    </row>
  </sheetData>
  <phoneticPr fontId="4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W382"/>
  <sheetViews>
    <sheetView tabSelected="1" zoomScale="75" zoomScaleNormal="75" zoomScalePageLayoutView="75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J11" sqref="J11"/>
    </sheetView>
  </sheetViews>
  <sheetFormatPr baseColWidth="12" defaultColWidth="13" defaultRowHeight="15" x14ac:dyDescent="0.15"/>
  <cols>
    <col min="1" max="1" width="13" style="23" bestFit="1" customWidth="1"/>
    <col min="2" max="2" width="8.1640625" bestFit="1" customWidth="1"/>
    <col min="3" max="3" width="18.33203125" bestFit="1" customWidth="1"/>
    <col min="4" max="4" width="7.33203125" bestFit="1" customWidth="1"/>
    <col min="5" max="5" width="11.6640625" bestFit="1" customWidth="1"/>
    <col min="6" max="6" width="5.33203125" bestFit="1" customWidth="1"/>
    <col min="7" max="7" width="13.5" bestFit="1" customWidth="1"/>
    <col min="8" max="8" width="16.6640625" bestFit="1" customWidth="1"/>
    <col min="9" max="9" width="17.6640625" bestFit="1" customWidth="1"/>
    <col min="10" max="10" width="10" bestFit="1" customWidth="1"/>
    <col min="11" max="11" width="8.83203125" bestFit="1" customWidth="1"/>
    <col min="12" max="12" width="9.5" bestFit="1" customWidth="1"/>
    <col min="13" max="13" width="8" bestFit="1" customWidth="1"/>
    <col min="14" max="14" width="6.5" bestFit="1" customWidth="1"/>
    <col min="15" max="15" width="11" bestFit="1" customWidth="1"/>
    <col min="16" max="16" width="13.5" bestFit="1" customWidth="1"/>
    <col min="17" max="18" width="13" bestFit="1" customWidth="1"/>
  </cols>
  <sheetData>
    <row r="1" spans="1:23" s="16" customFormat="1" x14ac:dyDescent="0.15">
      <c r="A1" s="16">
        <f>MATCH(A2,INDIRECT(C1&amp;"!A:A"),0)-2</f>
        <v>-1</v>
      </c>
      <c r="B1" s="17" t="str">
        <f>"$"&amp;2+$A$1&amp;":$"&amp;2+$A$1</f>
        <v>$1:$1</v>
      </c>
      <c r="C1" s="16" t="str">
        <f>SUBSTITUTE(RIGHT(CELL("filename",$C$1),LEN(CELL("filename",$C$1))-FIND("]",CELL("filename",$C$1))),".tmp","")</f>
        <v>enemy_habitats_cp_quests2_1</v>
      </c>
      <c r="G1" s="35"/>
      <c r="H1" s="35"/>
      <c r="I1" s="35"/>
    </row>
    <row r="2" spans="1:23" s="18" customFormat="1" x14ac:dyDescent="0.15">
      <c r="A2" s="23" t="s">
        <v>17</v>
      </c>
      <c r="B2" s="18" t="s">
        <v>0</v>
      </c>
      <c r="C2" s="18" t="s">
        <v>1</v>
      </c>
      <c r="D2" s="18" t="s">
        <v>12</v>
      </c>
      <c r="E2" s="18" t="s">
        <v>2</v>
      </c>
      <c r="F2" s="18" t="s">
        <v>3</v>
      </c>
      <c r="G2" s="18" t="s">
        <v>29</v>
      </c>
      <c r="H2" s="18" t="s">
        <v>30</v>
      </c>
      <c r="I2" s="18" t="s">
        <v>31</v>
      </c>
      <c r="J2" s="18" t="s">
        <v>16</v>
      </c>
      <c r="K2" s="18" t="s">
        <v>4</v>
      </c>
      <c r="L2" s="18" t="s">
        <v>5</v>
      </c>
      <c r="M2" s="18" t="s">
        <v>6</v>
      </c>
      <c r="N2" s="18" t="s">
        <v>7</v>
      </c>
      <c r="O2" s="18" t="s">
        <v>8</v>
      </c>
      <c r="P2" s="18" t="s">
        <v>9</v>
      </c>
      <c r="Q2" s="18" t="s">
        <v>10</v>
      </c>
      <c r="R2" s="18" t="s">
        <v>11</v>
      </c>
      <c r="S2" s="18" t="s">
        <v>24</v>
      </c>
      <c r="T2" s="18" t="s">
        <v>25</v>
      </c>
      <c r="U2" s="18" t="s">
        <v>26</v>
      </c>
      <c r="V2" s="18" t="s">
        <v>27</v>
      </c>
      <c r="W2" s="18" t="s">
        <v>28</v>
      </c>
    </row>
    <row r="3" spans="1:23" x14ac:dyDescent="0.15">
      <c r="A3" s="24" t="str">
        <f>INDIRECT(ADDRESS(ROW()+$A$1,COLUMN(),1,TRUE,$C$1))</f>
        <v>11207_1-1/121&lt;lv16&gt;s1</v>
      </c>
      <c r="B3" s="19">
        <v>11207</v>
      </c>
      <c r="C3" s="19">
        <v>1</v>
      </c>
      <c r="D3" s="19">
        <v>1</v>
      </c>
      <c r="E3" s="19">
        <v>121</v>
      </c>
      <c r="F3" s="19">
        <v>16</v>
      </c>
      <c r="G3" s="19">
        <v>0.7</v>
      </c>
      <c r="H3" s="19">
        <v>1</v>
      </c>
      <c r="I3" s="19">
        <v>0</v>
      </c>
      <c r="J3" s="19">
        <v>0</v>
      </c>
      <c r="K3" s="19">
        <v>0</v>
      </c>
      <c r="L3" s="19">
        <v>100</v>
      </c>
      <c r="M3" s="19">
        <v>0</v>
      </c>
      <c r="N3" s="19">
        <v>1</v>
      </c>
      <c r="O3" s="19">
        <v>121</v>
      </c>
      <c r="P3" s="19">
        <v>1</v>
      </c>
      <c r="Q3" s="19">
        <v>3</v>
      </c>
      <c r="R3" s="19">
        <v>100</v>
      </c>
      <c r="S3" s="19">
        <v>0</v>
      </c>
      <c r="T3" s="19">
        <v>0</v>
      </c>
      <c r="U3" s="19">
        <v>0</v>
      </c>
      <c r="V3" s="19">
        <v>0</v>
      </c>
      <c r="W3" s="19">
        <v>1</v>
      </c>
    </row>
    <row r="4" spans="1:23" x14ac:dyDescent="0.15">
      <c r="A4" s="24" t="str">
        <f t="shared" ref="A4:A40" si="0">INDIRECT(ADDRESS(ROW()+$A$1,COLUMN(),1,TRUE,$C$1))</f>
        <v>11207_1-1/122&lt;lv16&gt;s3</v>
      </c>
      <c r="B4" s="19">
        <v>11207</v>
      </c>
      <c r="C4" s="19">
        <v>1</v>
      </c>
      <c r="D4" s="19">
        <v>1</v>
      </c>
      <c r="E4" s="19">
        <v>122</v>
      </c>
      <c r="F4" s="19">
        <v>16</v>
      </c>
      <c r="G4" s="19">
        <v>0.7</v>
      </c>
      <c r="H4" s="19">
        <v>1</v>
      </c>
      <c r="I4" s="19">
        <v>0</v>
      </c>
      <c r="J4" s="19">
        <v>0</v>
      </c>
      <c r="K4" s="19">
        <v>0</v>
      </c>
      <c r="L4" s="19">
        <v>100</v>
      </c>
      <c r="M4" s="19">
        <v>0</v>
      </c>
      <c r="N4" s="19">
        <v>3</v>
      </c>
      <c r="O4" s="19">
        <v>122</v>
      </c>
      <c r="P4" s="19">
        <v>1</v>
      </c>
      <c r="Q4" s="19">
        <v>3</v>
      </c>
      <c r="R4" s="19">
        <v>100</v>
      </c>
      <c r="S4" s="19">
        <v>0</v>
      </c>
      <c r="T4" s="19">
        <v>0</v>
      </c>
      <c r="U4" s="19">
        <v>0</v>
      </c>
      <c r="V4" s="19">
        <v>0</v>
      </c>
      <c r="W4" s="19">
        <v>1</v>
      </c>
    </row>
    <row r="5" spans="1:23" x14ac:dyDescent="0.15">
      <c r="A5" s="24" t="str">
        <f t="shared" si="0"/>
        <v>11207_1-1/123&lt;lv16&gt;s2</v>
      </c>
      <c r="B5" s="19">
        <v>11207</v>
      </c>
      <c r="C5" s="19">
        <v>1</v>
      </c>
      <c r="D5" s="19">
        <v>1</v>
      </c>
      <c r="E5" s="19">
        <v>123</v>
      </c>
      <c r="F5" s="19">
        <v>16</v>
      </c>
      <c r="G5" s="19">
        <v>0.7</v>
      </c>
      <c r="H5" s="19">
        <v>1</v>
      </c>
      <c r="I5" s="19">
        <v>0</v>
      </c>
      <c r="J5" s="19">
        <v>0</v>
      </c>
      <c r="K5" s="19">
        <v>0</v>
      </c>
      <c r="L5" s="19">
        <v>100</v>
      </c>
      <c r="M5" s="19">
        <v>0</v>
      </c>
      <c r="N5" s="19">
        <v>2</v>
      </c>
      <c r="O5" s="19">
        <v>123</v>
      </c>
      <c r="P5" s="19">
        <v>1</v>
      </c>
      <c r="Q5" s="19">
        <v>3</v>
      </c>
      <c r="R5" s="19">
        <v>100</v>
      </c>
      <c r="S5" s="19">
        <v>0</v>
      </c>
      <c r="T5" s="19">
        <v>0</v>
      </c>
      <c r="U5" s="19">
        <v>0</v>
      </c>
      <c r="V5" s="19">
        <v>0</v>
      </c>
      <c r="W5" s="19">
        <v>1</v>
      </c>
    </row>
    <row r="6" spans="1:23" x14ac:dyDescent="0.15">
      <c r="A6" s="24" t="str">
        <f t="shared" si="0"/>
        <v>11207_1-1/51&lt;lv16&gt;s2</v>
      </c>
      <c r="B6" s="19">
        <v>11207</v>
      </c>
      <c r="C6" s="19">
        <v>1</v>
      </c>
      <c r="D6" s="19">
        <v>1</v>
      </c>
      <c r="E6" s="19">
        <v>51</v>
      </c>
      <c r="F6" s="19">
        <v>16</v>
      </c>
      <c r="G6" s="19">
        <v>0.7</v>
      </c>
      <c r="H6" s="19">
        <v>1</v>
      </c>
      <c r="I6" s="19">
        <v>0</v>
      </c>
      <c r="J6" s="19">
        <v>51</v>
      </c>
      <c r="K6" s="19">
        <v>1</v>
      </c>
      <c r="L6" s="19">
        <v>0</v>
      </c>
      <c r="M6" s="19">
        <v>1</v>
      </c>
      <c r="N6" s="19">
        <v>2</v>
      </c>
      <c r="O6" s="19">
        <v>51</v>
      </c>
      <c r="P6" s="19">
        <v>1</v>
      </c>
      <c r="Q6" s="19">
        <v>2</v>
      </c>
      <c r="R6" s="19">
        <v>0</v>
      </c>
      <c r="S6" s="19">
        <v>0</v>
      </c>
      <c r="T6" s="19">
        <v>0</v>
      </c>
      <c r="U6" s="19">
        <v>0</v>
      </c>
      <c r="V6" s="19">
        <v>0</v>
      </c>
      <c r="W6" s="19">
        <v>1</v>
      </c>
    </row>
    <row r="7" spans="1:23" x14ac:dyDescent="0.15">
      <c r="A7" s="24" t="str">
        <f t="shared" si="0"/>
        <v>11207_1-2/121&lt;lv16&gt;s1</v>
      </c>
      <c r="B7" s="19">
        <v>11207</v>
      </c>
      <c r="C7" s="19">
        <v>1</v>
      </c>
      <c r="D7" s="19">
        <v>2</v>
      </c>
      <c r="E7" s="19">
        <v>121</v>
      </c>
      <c r="F7" s="19">
        <v>16</v>
      </c>
      <c r="G7" s="19">
        <v>0.7</v>
      </c>
      <c r="H7" s="19">
        <v>1</v>
      </c>
      <c r="I7" s="19">
        <v>0</v>
      </c>
      <c r="J7" s="19">
        <v>0</v>
      </c>
      <c r="K7" s="19">
        <v>0</v>
      </c>
      <c r="L7" s="19">
        <v>100</v>
      </c>
      <c r="M7" s="19">
        <v>0</v>
      </c>
      <c r="N7" s="19">
        <v>1</v>
      </c>
      <c r="O7" s="19">
        <v>121</v>
      </c>
      <c r="P7" s="19">
        <v>1</v>
      </c>
      <c r="Q7" s="19">
        <v>3</v>
      </c>
      <c r="R7" s="19">
        <v>100</v>
      </c>
      <c r="S7" s="19">
        <v>0</v>
      </c>
      <c r="T7" s="19">
        <v>0</v>
      </c>
      <c r="U7" s="19">
        <v>0</v>
      </c>
      <c r="V7" s="19">
        <v>0</v>
      </c>
      <c r="W7" s="19">
        <v>1</v>
      </c>
    </row>
    <row r="8" spans="1:23" x14ac:dyDescent="0.15">
      <c r="A8" s="24" t="str">
        <f t="shared" si="0"/>
        <v>11207_1-2/122&lt;lv16&gt;s3</v>
      </c>
      <c r="B8" s="19">
        <v>11207</v>
      </c>
      <c r="C8" s="19">
        <v>1</v>
      </c>
      <c r="D8" s="19">
        <v>2</v>
      </c>
      <c r="E8" s="19">
        <v>122</v>
      </c>
      <c r="F8" s="19">
        <v>16</v>
      </c>
      <c r="G8" s="19">
        <v>0.7</v>
      </c>
      <c r="H8" s="19">
        <v>1</v>
      </c>
      <c r="I8" s="19">
        <v>0</v>
      </c>
      <c r="J8" s="19">
        <v>0</v>
      </c>
      <c r="K8" s="19">
        <v>0</v>
      </c>
      <c r="L8" s="19">
        <v>100</v>
      </c>
      <c r="M8" s="19">
        <v>0</v>
      </c>
      <c r="N8" s="19">
        <v>3</v>
      </c>
      <c r="O8" s="19">
        <v>122</v>
      </c>
      <c r="P8" s="19">
        <v>1</v>
      </c>
      <c r="Q8" s="19">
        <v>3</v>
      </c>
      <c r="R8" s="19">
        <v>100</v>
      </c>
      <c r="S8" s="19">
        <v>0</v>
      </c>
      <c r="T8" s="19">
        <v>0</v>
      </c>
      <c r="U8" s="19">
        <v>0</v>
      </c>
      <c r="V8" s="19">
        <v>0</v>
      </c>
      <c r="W8" s="19">
        <v>1</v>
      </c>
    </row>
    <row r="9" spans="1:23" x14ac:dyDescent="0.15">
      <c r="A9" s="24" t="str">
        <f t="shared" si="0"/>
        <v>11207_1-2/123&lt;lv16&gt;s2</v>
      </c>
      <c r="B9" s="19">
        <v>11207</v>
      </c>
      <c r="C9" s="19">
        <v>1</v>
      </c>
      <c r="D9" s="19">
        <v>2</v>
      </c>
      <c r="E9" s="19">
        <v>123</v>
      </c>
      <c r="F9" s="19">
        <v>16</v>
      </c>
      <c r="G9" s="19">
        <v>0.7</v>
      </c>
      <c r="H9" s="19">
        <v>1</v>
      </c>
      <c r="I9" s="19">
        <v>0</v>
      </c>
      <c r="J9" s="19">
        <v>0</v>
      </c>
      <c r="K9" s="19">
        <v>0</v>
      </c>
      <c r="L9" s="19">
        <v>100</v>
      </c>
      <c r="M9" s="19">
        <v>0</v>
      </c>
      <c r="N9" s="19">
        <v>2</v>
      </c>
      <c r="O9" s="19">
        <v>123</v>
      </c>
      <c r="P9" s="19">
        <v>1</v>
      </c>
      <c r="Q9" s="19">
        <v>3</v>
      </c>
      <c r="R9" s="19">
        <v>100</v>
      </c>
      <c r="S9" s="19">
        <v>0</v>
      </c>
      <c r="T9" s="19">
        <v>0</v>
      </c>
      <c r="U9" s="19">
        <v>0</v>
      </c>
      <c r="V9" s="19">
        <v>0</v>
      </c>
      <c r="W9" s="19">
        <v>1</v>
      </c>
    </row>
    <row r="10" spans="1:23" x14ac:dyDescent="0.15">
      <c r="A10" s="24" t="str">
        <f t="shared" si="0"/>
        <v>11207_1-2/53&lt;lv16&gt;s2</v>
      </c>
      <c r="B10" s="19">
        <v>11207</v>
      </c>
      <c r="C10" s="19">
        <v>1</v>
      </c>
      <c r="D10" s="19">
        <v>2</v>
      </c>
      <c r="E10" s="19">
        <v>53</v>
      </c>
      <c r="F10" s="19">
        <v>16</v>
      </c>
      <c r="G10" s="19">
        <v>0.7</v>
      </c>
      <c r="H10" s="19">
        <v>1</v>
      </c>
      <c r="I10" s="19">
        <v>0</v>
      </c>
      <c r="J10" s="19">
        <v>53</v>
      </c>
      <c r="K10" s="19">
        <v>1</v>
      </c>
      <c r="L10" s="19">
        <v>0</v>
      </c>
      <c r="M10" s="19">
        <v>1</v>
      </c>
      <c r="N10" s="19">
        <v>2</v>
      </c>
      <c r="O10" s="19">
        <v>53</v>
      </c>
      <c r="P10" s="19">
        <v>1</v>
      </c>
      <c r="Q10" s="19">
        <v>2</v>
      </c>
      <c r="R10" s="19">
        <v>0</v>
      </c>
      <c r="S10" s="19">
        <v>0</v>
      </c>
      <c r="T10" s="19">
        <v>0</v>
      </c>
      <c r="U10" s="19">
        <v>0</v>
      </c>
      <c r="V10" s="19">
        <v>0</v>
      </c>
      <c r="W10" s="19">
        <v>1</v>
      </c>
    </row>
    <row r="11" spans="1:23" x14ac:dyDescent="0.15">
      <c r="A11" s="24" t="str">
        <f t="shared" si="0"/>
        <v>11207_1-3/121&lt;lv16&gt;s1</v>
      </c>
      <c r="B11" s="19">
        <v>11207</v>
      </c>
      <c r="C11" s="19">
        <v>1</v>
      </c>
      <c r="D11" s="19">
        <v>3</v>
      </c>
      <c r="E11" s="19">
        <v>121</v>
      </c>
      <c r="F11" s="19">
        <v>16</v>
      </c>
      <c r="G11" s="19">
        <v>0.7</v>
      </c>
      <c r="H11" s="19">
        <v>1</v>
      </c>
      <c r="I11" s="19">
        <v>0</v>
      </c>
      <c r="J11" s="19">
        <v>0</v>
      </c>
      <c r="K11" s="19">
        <v>0</v>
      </c>
      <c r="L11" s="19">
        <v>100</v>
      </c>
      <c r="M11" s="19">
        <v>0</v>
      </c>
      <c r="N11" s="19">
        <v>1</v>
      </c>
      <c r="O11" s="19">
        <v>121</v>
      </c>
      <c r="P11" s="19">
        <v>1</v>
      </c>
      <c r="Q11" s="19">
        <v>3</v>
      </c>
      <c r="R11" s="19">
        <v>100</v>
      </c>
      <c r="S11" s="19">
        <v>0</v>
      </c>
      <c r="T11" s="19">
        <v>0</v>
      </c>
      <c r="U11" s="19">
        <v>0</v>
      </c>
      <c r="V11" s="19">
        <v>0</v>
      </c>
      <c r="W11" s="19">
        <v>1</v>
      </c>
    </row>
    <row r="12" spans="1:23" x14ac:dyDescent="0.15">
      <c r="A12" s="24" t="str">
        <f t="shared" si="0"/>
        <v>11207_1-3/122&lt;lv16&gt;s3</v>
      </c>
      <c r="B12" s="19">
        <v>11207</v>
      </c>
      <c r="C12" s="19">
        <v>1</v>
      </c>
      <c r="D12" s="19">
        <v>3</v>
      </c>
      <c r="E12" s="19">
        <v>122</v>
      </c>
      <c r="F12" s="19">
        <v>16</v>
      </c>
      <c r="G12" s="19">
        <v>0.7</v>
      </c>
      <c r="H12" s="19">
        <v>1</v>
      </c>
      <c r="I12" s="19">
        <v>0</v>
      </c>
      <c r="J12" s="19">
        <v>0</v>
      </c>
      <c r="K12" s="19">
        <v>0</v>
      </c>
      <c r="L12" s="19">
        <v>100</v>
      </c>
      <c r="M12" s="19">
        <v>0</v>
      </c>
      <c r="N12" s="19">
        <v>3</v>
      </c>
      <c r="O12" s="19">
        <v>122</v>
      </c>
      <c r="P12" s="19">
        <v>1</v>
      </c>
      <c r="Q12" s="19">
        <v>3</v>
      </c>
      <c r="R12" s="19">
        <v>100</v>
      </c>
      <c r="S12" s="19">
        <v>0</v>
      </c>
      <c r="T12" s="19">
        <v>0</v>
      </c>
      <c r="U12" s="19">
        <v>0</v>
      </c>
      <c r="V12" s="19">
        <v>0</v>
      </c>
      <c r="W12" s="19">
        <v>1</v>
      </c>
    </row>
    <row r="13" spans="1:23" x14ac:dyDescent="0.15">
      <c r="A13" s="24" t="str">
        <f t="shared" si="0"/>
        <v>11207_1-3/123&lt;lv16&gt;s2</v>
      </c>
      <c r="B13" s="19">
        <v>11207</v>
      </c>
      <c r="C13" s="19">
        <v>1</v>
      </c>
      <c r="D13" s="19">
        <v>3</v>
      </c>
      <c r="E13" s="19">
        <v>123</v>
      </c>
      <c r="F13" s="19">
        <v>16</v>
      </c>
      <c r="G13" s="19">
        <v>0.7</v>
      </c>
      <c r="H13" s="19">
        <v>1</v>
      </c>
      <c r="I13" s="19">
        <v>0</v>
      </c>
      <c r="J13" s="19">
        <v>0</v>
      </c>
      <c r="K13" s="19">
        <v>0</v>
      </c>
      <c r="L13" s="19">
        <v>100</v>
      </c>
      <c r="M13" s="19">
        <v>0</v>
      </c>
      <c r="N13" s="19">
        <v>2</v>
      </c>
      <c r="O13" s="19">
        <v>123</v>
      </c>
      <c r="P13" s="19">
        <v>1</v>
      </c>
      <c r="Q13" s="19">
        <v>3</v>
      </c>
      <c r="R13" s="19">
        <v>100</v>
      </c>
      <c r="S13" s="19">
        <v>0</v>
      </c>
      <c r="T13" s="19">
        <v>0</v>
      </c>
      <c r="U13" s="19">
        <v>0</v>
      </c>
      <c r="V13" s="19">
        <v>0</v>
      </c>
      <c r="W13" s="19">
        <v>1</v>
      </c>
    </row>
    <row r="14" spans="1:23" x14ac:dyDescent="0.15">
      <c r="A14" s="24" t="str">
        <f t="shared" si="0"/>
        <v>11207_1-3/41&lt;lv16&gt;s1</v>
      </c>
      <c r="B14" s="19">
        <v>11207</v>
      </c>
      <c r="C14" s="19">
        <v>1</v>
      </c>
      <c r="D14" s="19">
        <v>3</v>
      </c>
      <c r="E14" s="19">
        <v>41</v>
      </c>
      <c r="F14" s="19">
        <v>16</v>
      </c>
      <c r="G14" s="19">
        <v>0.7</v>
      </c>
      <c r="H14" s="19">
        <v>1</v>
      </c>
      <c r="I14" s="19">
        <v>0</v>
      </c>
      <c r="J14" s="19">
        <v>0</v>
      </c>
      <c r="K14" s="19">
        <v>1</v>
      </c>
      <c r="L14" s="19">
        <v>0</v>
      </c>
      <c r="M14" s="19">
        <v>1</v>
      </c>
      <c r="N14" s="19">
        <v>1</v>
      </c>
      <c r="O14" s="19">
        <v>41</v>
      </c>
      <c r="P14" s="19">
        <v>1</v>
      </c>
      <c r="Q14" s="19">
        <v>2</v>
      </c>
      <c r="R14" s="19">
        <v>0</v>
      </c>
      <c r="S14" s="19">
        <v>0</v>
      </c>
      <c r="T14" s="19">
        <v>0</v>
      </c>
      <c r="U14" s="19">
        <v>0</v>
      </c>
      <c r="V14" s="19">
        <v>0</v>
      </c>
      <c r="W14" s="19">
        <v>1</v>
      </c>
    </row>
    <row r="15" spans="1:23" x14ac:dyDescent="0.15">
      <c r="A15" s="24" t="str">
        <f t="shared" si="0"/>
        <v>11207_1-4/121&lt;lv16&gt;s1</v>
      </c>
      <c r="B15" s="19">
        <v>11207</v>
      </c>
      <c r="C15" s="19">
        <v>1</v>
      </c>
      <c r="D15" s="19">
        <v>4</v>
      </c>
      <c r="E15" s="19">
        <v>121</v>
      </c>
      <c r="F15" s="19">
        <v>16</v>
      </c>
      <c r="G15" s="19">
        <v>0.7</v>
      </c>
      <c r="H15" s="19">
        <v>1</v>
      </c>
      <c r="I15" s="19">
        <v>0</v>
      </c>
      <c r="J15" s="19">
        <v>0</v>
      </c>
      <c r="K15" s="19">
        <v>0</v>
      </c>
      <c r="L15" s="19">
        <v>33</v>
      </c>
      <c r="M15" s="19">
        <v>0</v>
      </c>
      <c r="N15" s="19">
        <v>1</v>
      </c>
      <c r="O15" s="19">
        <v>121</v>
      </c>
      <c r="P15" s="19">
        <v>1</v>
      </c>
      <c r="Q15" s="19">
        <v>3</v>
      </c>
      <c r="R15" s="19">
        <v>100</v>
      </c>
      <c r="S15" s="19">
        <v>0</v>
      </c>
      <c r="T15" s="19">
        <v>0</v>
      </c>
      <c r="U15" s="19">
        <v>0</v>
      </c>
      <c r="V15" s="19">
        <v>0</v>
      </c>
      <c r="W15" s="19">
        <v>1</v>
      </c>
    </row>
    <row r="16" spans="1:23" x14ac:dyDescent="0.15">
      <c r="A16" s="24" t="str">
        <f t="shared" si="0"/>
        <v>11207_1-4/122&lt;lv16&gt;s1</v>
      </c>
      <c r="B16" s="19">
        <v>11207</v>
      </c>
      <c r="C16" s="19">
        <v>1</v>
      </c>
      <c r="D16" s="19">
        <v>4</v>
      </c>
      <c r="E16" s="19">
        <v>122</v>
      </c>
      <c r="F16" s="19">
        <v>16</v>
      </c>
      <c r="G16" s="19">
        <v>0.7</v>
      </c>
      <c r="H16" s="19">
        <v>1</v>
      </c>
      <c r="I16" s="19">
        <v>0</v>
      </c>
      <c r="J16" s="19">
        <v>0</v>
      </c>
      <c r="K16" s="19">
        <v>0</v>
      </c>
      <c r="L16" s="19">
        <v>33</v>
      </c>
      <c r="M16" s="19">
        <v>0</v>
      </c>
      <c r="N16" s="19">
        <v>1</v>
      </c>
      <c r="O16" s="19">
        <v>122</v>
      </c>
      <c r="P16" s="19">
        <v>1</v>
      </c>
      <c r="Q16" s="19">
        <v>3</v>
      </c>
      <c r="R16" s="19">
        <v>100</v>
      </c>
      <c r="S16" s="19">
        <v>0</v>
      </c>
      <c r="T16" s="19">
        <v>0</v>
      </c>
      <c r="U16" s="19">
        <v>0</v>
      </c>
      <c r="V16" s="19">
        <v>0</v>
      </c>
      <c r="W16" s="19">
        <v>1</v>
      </c>
    </row>
    <row r="17" spans="1:23" x14ac:dyDescent="0.15">
      <c r="A17" s="24" t="str">
        <f t="shared" si="0"/>
        <v>11207_1-4/123&lt;lv16&gt;s1</v>
      </c>
      <c r="B17" s="19">
        <v>11207</v>
      </c>
      <c r="C17" s="19">
        <v>1</v>
      </c>
      <c r="D17" s="19">
        <v>4</v>
      </c>
      <c r="E17" s="19">
        <v>123</v>
      </c>
      <c r="F17" s="19">
        <v>16</v>
      </c>
      <c r="G17" s="19">
        <v>0.7</v>
      </c>
      <c r="H17" s="19">
        <v>1</v>
      </c>
      <c r="I17" s="19">
        <v>0</v>
      </c>
      <c r="J17" s="19">
        <v>0</v>
      </c>
      <c r="K17" s="19">
        <v>0</v>
      </c>
      <c r="L17" s="19">
        <v>33</v>
      </c>
      <c r="M17" s="19">
        <v>0</v>
      </c>
      <c r="N17" s="19">
        <v>1</v>
      </c>
      <c r="O17" s="19">
        <v>123</v>
      </c>
      <c r="P17" s="19">
        <v>1</v>
      </c>
      <c r="Q17" s="19">
        <v>3</v>
      </c>
      <c r="R17" s="19">
        <v>100</v>
      </c>
      <c r="S17" s="19">
        <v>0</v>
      </c>
      <c r="T17" s="19">
        <v>0</v>
      </c>
      <c r="U17" s="19">
        <v>0</v>
      </c>
      <c r="V17" s="19">
        <v>0</v>
      </c>
      <c r="W17" s="19">
        <v>1</v>
      </c>
    </row>
    <row r="18" spans="1:23" x14ac:dyDescent="0.15">
      <c r="A18" s="24" t="str">
        <f t="shared" si="0"/>
        <v>11207_1-4/125&lt;lv16&gt;s1</v>
      </c>
      <c r="B18" s="19">
        <v>11207</v>
      </c>
      <c r="C18" s="19">
        <v>1</v>
      </c>
      <c r="D18" s="19">
        <v>4</v>
      </c>
      <c r="E18" s="19">
        <v>125</v>
      </c>
      <c r="F18" s="19">
        <v>16</v>
      </c>
      <c r="G18" s="19">
        <v>0.7</v>
      </c>
      <c r="H18" s="19">
        <v>1</v>
      </c>
      <c r="I18" s="19">
        <v>0</v>
      </c>
      <c r="J18" s="19">
        <v>0</v>
      </c>
      <c r="K18" s="19">
        <v>0</v>
      </c>
      <c r="L18" s="19">
        <v>5</v>
      </c>
      <c r="M18" s="19">
        <v>0</v>
      </c>
      <c r="N18" s="19">
        <v>1</v>
      </c>
      <c r="O18" s="19">
        <v>125</v>
      </c>
      <c r="P18" s="19">
        <v>1</v>
      </c>
      <c r="Q18" s="19">
        <v>3</v>
      </c>
      <c r="R18" s="19">
        <v>100</v>
      </c>
      <c r="S18" s="19">
        <v>0</v>
      </c>
      <c r="T18" s="19">
        <v>0</v>
      </c>
      <c r="U18" s="19">
        <v>0</v>
      </c>
      <c r="V18" s="19">
        <v>0</v>
      </c>
      <c r="W18" s="19">
        <v>1</v>
      </c>
    </row>
    <row r="19" spans="1:23" x14ac:dyDescent="0.15">
      <c r="A19" s="24" t="str">
        <f t="shared" si="0"/>
        <v>11207_2-1/121&lt;lv32&gt;s1</v>
      </c>
      <c r="B19" s="19">
        <v>11207</v>
      </c>
      <c r="C19" s="19">
        <v>2</v>
      </c>
      <c r="D19" s="19">
        <v>1</v>
      </c>
      <c r="E19" s="19">
        <v>121</v>
      </c>
      <c r="F19" s="19">
        <v>32</v>
      </c>
      <c r="G19" s="19">
        <v>0.4</v>
      </c>
      <c r="H19" s="19">
        <v>1</v>
      </c>
      <c r="I19" s="19">
        <v>0</v>
      </c>
      <c r="J19" s="19">
        <v>0</v>
      </c>
      <c r="K19" s="19">
        <v>0</v>
      </c>
      <c r="L19" s="19">
        <v>100</v>
      </c>
      <c r="M19" s="19">
        <v>0</v>
      </c>
      <c r="N19" s="19">
        <v>1</v>
      </c>
      <c r="O19" s="19">
        <v>121</v>
      </c>
      <c r="P19" s="19">
        <v>1</v>
      </c>
      <c r="Q19" s="19">
        <v>3</v>
      </c>
      <c r="R19" s="19">
        <v>100</v>
      </c>
      <c r="S19" s="19">
        <v>0</v>
      </c>
      <c r="T19" s="19">
        <v>0</v>
      </c>
      <c r="U19" s="19">
        <v>0</v>
      </c>
      <c r="V19" s="19">
        <v>0</v>
      </c>
      <c r="W19" s="19">
        <v>1</v>
      </c>
    </row>
    <row r="20" spans="1:23" x14ac:dyDescent="0.15">
      <c r="A20" s="24" t="str">
        <f t="shared" si="0"/>
        <v>11207_2-1/122&lt;lv32&gt;s1</v>
      </c>
      <c r="B20" s="19">
        <v>11207</v>
      </c>
      <c r="C20" s="19">
        <v>2</v>
      </c>
      <c r="D20" s="19">
        <v>1</v>
      </c>
      <c r="E20" s="19">
        <v>122</v>
      </c>
      <c r="F20" s="19">
        <v>32</v>
      </c>
      <c r="G20" s="19">
        <v>0.4</v>
      </c>
      <c r="H20" s="19">
        <v>1</v>
      </c>
      <c r="I20" s="19">
        <v>0</v>
      </c>
      <c r="J20" s="19">
        <v>0</v>
      </c>
      <c r="K20" s="19">
        <v>0</v>
      </c>
      <c r="L20" s="19">
        <v>100</v>
      </c>
      <c r="M20" s="19">
        <v>0</v>
      </c>
      <c r="N20" s="19">
        <v>1</v>
      </c>
      <c r="O20" s="19">
        <v>122</v>
      </c>
      <c r="P20" s="19">
        <v>1</v>
      </c>
      <c r="Q20" s="19">
        <v>3</v>
      </c>
      <c r="R20" s="19">
        <v>100</v>
      </c>
      <c r="S20" s="19">
        <v>0</v>
      </c>
      <c r="T20" s="19">
        <v>0</v>
      </c>
      <c r="U20" s="19">
        <v>0</v>
      </c>
      <c r="V20" s="19">
        <v>0</v>
      </c>
      <c r="W20" s="19">
        <v>1</v>
      </c>
    </row>
    <row r="21" spans="1:23" x14ac:dyDescent="0.15">
      <c r="A21" s="24" t="str">
        <f t="shared" si="0"/>
        <v>11207_2-1/123&lt;lv32&gt;s1</v>
      </c>
      <c r="B21" s="19">
        <v>11207</v>
      </c>
      <c r="C21" s="19">
        <v>2</v>
      </c>
      <c r="D21" s="19">
        <v>1</v>
      </c>
      <c r="E21" s="19">
        <v>123</v>
      </c>
      <c r="F21" s="19">
        <v>32</v>
      </c>
      <c r="G21" s="19">
        <v>0.4</v>
      </c>
      <c r="H21" s="19">
        <v>1</v>
      </c>
      <c r="I21" s="19">
        <v>0</v>
      </c>
      <c r="J21" s="19">
        <v>0</v>
      </c>
      <c r="K21" s="19">
        <v>0</v>
      </c>
      <c r="L21" s="19">
        <v>100</v>
      </c>
      <c r="M21" s="19">
        <v>0</v>
      </c>
      <c r="N21" s="19">
        <v>1</v>
      </c>
      <c r="O21" s="19">
        <v>123</v>
      </c>
      <c r="P21" s="19">
        <v>1</v>
      </c>
      <c r="Q21" s="19">
        <v>3</v>
      </c>
      <c r="R21" s="19">
        <v>100</v>
      </c>
      <c r="S21" s="19">
        <v>0</v>
      </c>
      <c r="T21" s="19">
        <v>0</v>
      </c>
      <c r="U21" s="19">
        <v>0</v>
      </c>
      <c r="V21" s="19">
        <v>0</v>
      </c>
      <c r="W21" s="19">
        <v>1</v>
      </c>
    </row>
    <row r="22" spans="1:23" x14ac:dyDescent="0.15">
      <c r="A22" s="24" t="str">
        <f t="shared" si="0"/>
        <v>11207_2-2/607&lt;lv32&gt;s1</v>
      </c>
      <c r="B22" s="19">
        <v>11207</v>
      </c>
      <c r="C22" s="19">
        <v>2</v>
      </c>
      <c r="D22" s="19">
        <v>2</v>
      </c>
      <c r="E22" s="19">
        <v>607</v>
      </c>
      <c r="F22" s="19">
        <v>32</v>
      </c>
      <c r="G22" s="19">
        <v>0.4</v>
      </c>
      <c r="H22" s="19">
        <v>1</v>
      </c>
      <c r="I22" s="19">
        <v>0</v>
      </c>
      <c r="J22" s="19">
        <v>0</v>
      </c>
      <c r="K22" s="19">
        <v>1</v>
      </c>
      <c r="L22" s="19">
        <v>0</v>
      </c>
      <c r="M22" s="19">
        <v>1</v>
      </c>
      <c r="N22" s="19">
        <v>1</v>
      </c>
      <c r="O22" s="19">
        <v>607</v>
      </c>
      <c r="P22" s="19">
        <v>1</v>
      </c>
      <c r="Q22" s="19">
        <v>4</v>
      </c>
      <c r="R22" s="19">
        <v>100</v>
      </c>
      <c r="S22" s="19">
        <v>0</v>
      </c>
      <c r="T22" s="19">
        <v>0</v>
      </c>
      <c r="U22" s="19">
        <v>0</v>
      </c>
      <c r="V22" s="19">
        <v>0</v>
      </c>
      <c r="W22" s="19">
        <v>1</v>
      </c>
    </row>
    <row r="23" spans="1:23" x14ac:dyDescent="0.15">
      <c r="A23" s="24" t="str">
        <f t="shared" si="0"/>
        <v>11207_2-2/121&lt;lv32&gt;s1</v>
      </c>
      <c r="B23" s="19">
        <v>11207</v>
      </c>
      <c r="C23" s="19">
        <v>2</v>
      </c>
      <c r="D23" s="19">
        <v>2</v>
      </c>
      <c r="E23" s="19">
        <v>121</v>
      </c>
      <c r="F23" s="19">
        <v>32</v>
      </c>
      <c r="G23" s="19">
        <v>0.4</v>
      </c>
      <c r="H23" s="19">
        <v>1</v>
      </c>
      <c r="I23" s="19">
        <v>0</v>
      </c>
      <c r="J23" s="19">
        <v>0</v>
      </c>
      <c r="K23" s="19">
        <v>0</v>
      </c>
      <c r="L23" s="19">
        <v>100</v>
      </c>
      <c r="M23" s="19">
        <v>0</v>
      </c>
      <c r="N23" s="19">
        <v>1</v>
      </c>
      <c r="O23" s="19">
        <v>121</v>
      </c>
      <c r="P23" s="19">
        <v>1</v>
      </c>
      <c r="Q23" s="19">
        <v>3</v>
      </c>
      <c r="R23" s="19">
        <v>0</v>
      </c>
      <c r="S23" s="19">
        <v>0</v>
      </c>
      <c r="T23" s="19">
        <v>0</v>
      </c>
      <c r="U23" s="19">
        <v>0</v>
      </c>
      <c r="V23" s="19">
        <v>0</v>
      </c>
      <c r="W23" s="19">
        <v>1</v>
      </c>
    </row>
    <row r="24" spans="1:23" x14ac:dyDescent="0.15">
      <c r="A24" s="24" t="str">
        <f t="shared" si="0"/>
        <v>11207_2-2/122&lt;lv32&gt;s1</v>
      </c>
      <c r="B24" s="19">
        <v>11207</v>
      </c>
      <c r="C24" s="19">
        <v>2</v>
      </c>
      <c r="D24" s="19">
        <v>2</v>
      </c>
      <c r="E24" s="19">
        <v>122</v>
      </c>
      <c r="F24" s="19">
        <v>32</v>
      </c>
      <c r="G24" s="19">
        <v>0.4</v>
      </c>
      <c r="H24" s="19">
        <v>1</v>
      </c>
      <c r="I24" s="19">
        <v>0</v>
      </c>
      <c r="J24" s="19">
        <v>0</v>
      </c>
      <c r="K24" s="19">
        <v>0</v>
      </c>
      <c r="L24" s="19">
        <v>100</v>
      </c>
      <c r="M24" s="19">
        <v>0</v>
      </c>
      <c r="N24" s="19">
        <v>1</v>
      </c>
      <c r="O24" s="19">
        <v>122</v>
      </c>
      <c r="P24" s="19">
        <v>1</v>
      </c>
      <c r="Q24" s="19">
        <v>3</v>
      </c>
      <c r="R24" s="19">
        <v>0</v>
      </c>
      <c r="S24" s="19">
        <v>0</v>
      </c>
      <c r="T24" s="19">
        <v>0</v>
      </c>
      <c r="U24" s="19">
        <v>0</v>
      </c>
      <c r="V24" s="19">
        <v>0</v>
      </c>
      <c r="W24" s="19">
        <v>1</v>
      </c>
    </row>
    <row r="25" spans="1:23" x14ac:dyDescent="0.15">
      <c r="A25" s="24" t="str">
        <f t="shared" si="0"/>
        <v>11207_2-2/123&lt;lv32&gt;s1</v>
      </c>
      <c r="B25" s="19">
        <v>11207</v>
      </c>
      <c r="C25" s="19">
        <v>2</v>
      </c>
      <c r="D25" s="19">
        <v>2</v>
      </c>
      <c r="E25" s="19">
        <v>123</v>
      </c>
      <c r="F25" s="19">
        <v>32</v>
      </c>
      <c r="G25" s="19">
        <v>0.4</v>
      </c>
      <c r="H25" s="19">
        <v>1</v>
      </c>
      <c r="I25" s="19">
        <v>0</v>
      </c>
      <c r="J25" s="19">
        <v>0</v>
      </c>
      <c r="K25" s="19">
        <v>0</v>
      </c>
      <c r="L25" s="19">
        <v>100</v>
      </c>
      <c r="M25" s="19">
        <v>0</v>
      </c>
      <c r="N25" s="19">
        <v>1</v>
      </c>
      <c r="O25" s="19">
        <v>123</v>
      </c>
      <c r="P25" s="19">
        <v>1</v>
      </c>
      <c r="Q25" s="19">
        <v>3</v>
      </c>
      <c r="R25" s="19">
        <v>0</v>
      </c>
      <c r="S25" s="19">
        <v>0</v>
      </c>
      <c r="T25" s="19">
        <v>0</v>
      </c>
      <c r="U25" s="19">
        <v>0</v>
      </c>
      <c r="V25" s="19">
        <v>0</v>
      </c>
      <c r="W25" s="19">
        <v>1</v>
      </c>
    </row>
    <row r="26" spans="1:23" x14ac:dyDescent="0.15">
      <c r="A26" s="24" t="str">
        <f t="shared" si="0"/>
        <v>11207_2-3/609&lt;lv32&gt;s1</v>
      </c>
      <c r="B26" s="19">
        <v>11207</v>
      </c>
      <c r="C26" s="19">
        <v>2</v>
      </c>
      <c r="D26" s="19">
        <v>3</v>
      </c>
      <c r="E26" s="19">
        <v>609</v>
      </c>
      <c r="F26" s="19">
        <v>32</v>
      </c>
      <c r="G26" s="19">
        <v>0.4</v>
      </c>
      <c r="H26" s="19">
        <v>1</v>
      </c>
      <c r="I26" s="19">
        <v>0</v>
      </c>
      <c r="J26" s="19">
        <v>0</v>
      </c>
      <c r="K26" s="19">
        <v>1</v>
      </c>
      <c r="L26" s="19">
        <v>0</v>
      </c>
      <c r="M26" s="19">
        <v>1</v>
      </c>
      <c r="N26" s="19">
        <v>1</v>
      </c>
      <c r="O26" s="19">
        <v>609</v>
      </c>
      <c r="P26" s="19">
        <v>1</v>
      </c>
      <c r="Q26" s="19">
        <v>4</v>
      </c>
      <c r="R26" s="19">
        <v>100</v>
      </c>
      <c r="S26" s="19">
        <v>0</v>
      </c>
      <c r="T26" s="19">
        <v>0</v>
      </c>
      <c r="U26" s="19">
        <v>0</v>
      </c>
      <c r="V26" s="19">
        <v>0</v>
      </c>
      <c r="W26" s="19">
        <v>1</v>
      </c>
    </row>
    <row r="27" spans="1:23" x14ac:dyDescent="0.15">
      <c r="A27" s="24" t="str">
        <f t="shared" si="0"/>
        <v>11207_2-3/121&lt;lv32&gt;s1</v>
      </c>
      <c r="B27" s="19">
        <v>11207</v>
      </c>
      <c r="C27" s="19">
        <v>2</v>
      </c>
      <c r="D27" s="19">
        <v>3</v>
      </c>
      <c r="E27" s="19">
        <v>121</v>
      </c>
      <c r="F27" s="19">
        <v>32</v>
      </c>
      <c r="G27" s="19">
        <v>0.4</v>
      </c>
      <c r="H27" s="19">
        <v>1</v>
      </c>
      <c r="I27" s="19">
        <v>0</v>
      </c>
      <c r="J27" s="19">
        <v>0</v>
      </c>
      <c r="K27" s="19">
        <v>0</v>
      </c>
      <c r="L27" s="19">
        <v>100</v>
      </c>
      <c r="M27" s="19">
        <v>0</v>
      </c>
      <c r="N27" s="19">
        <v>1</v>
      </c>
      <c r="O27" s="19">
        <v>121</v>
      </c>
      <c r="P27" s="19">
        <v>1</v>
      </c>
      <c r="Q27" s="19">
        <v>3</v>
      </c>
      <c r="R27" s="19">
        <v>0</v>
      </c>
      <c r="S27" s="19">
        <v>0</v>
      </c>
      <c r="T27" s="19">
        <v>0</v>
      </c>
      <c r="U27" s="19">
        <v>0</v>
      </c>
      <c r="V27" s="19">
        <v>0</v>
      </c>
      <c r="W27" s="19">
        <v>1</v>
      </c>
    </row>
    <row r="28" spans="1:23" x14ac:dyDescent="0.15">
      <c r="A28" s="24" t="str">
        <f t="shared" si="0"/>
        <v>11207_2-3/122&lt;lv32&gt;s1</v>
      </c>
      <c r="B28" s="19">
        <v>11207</v>
      </c>
      <c r="C28" s="19">
        <v>2</v>
      </c>
      <c r="D28" s="19">
        <v>3</v>
      </c>
      <c r="E28" s="19">
        <v>122</v>
      </c>
      <c r="F28" s="19">
        <v>32</v>
      </c>
      <c r="G28" s="19">
        <v>0.4</v>
      </c>
      <c r="H28" s="19">
        <v>1</v>
      </c>
      <c r="I28" s="19">
        <v>0</v>
      </c>
      <c r="J28" s="19">
        <v>0</v>
      </c>
      <c r="K28" s="19">
        <v>0</v>
      </c>
      <c r="L28" s="19">
        <v>100</v>
      </c>
      <c r="M28" s="19">
        <v>0</v>
      </c>
      <c r="N28" s="19">
        <v>1</v>
      </c>
      <c r="O28" s="19">
        <v>122</v>
      </c>
      <c r="P28" s="19">
        <v>1</v>
      </c>
      <c r="Q28" s="19">
        <v>3</v>
      </c>
      <c r="R28" s="19">
        <v>0</v>
      </c>
      <c r="S28" s="19">
        <v>0</v>
      </c>
      <c r="T28" s="19">
        <v>0</v>
      </c>
      <c r="U28" s="19">
        <v>0</v>
      </c>
      <c r="V28" s="19">
        <v>0</v>
      </c>
      <c r="W28" s="19">
        <v>1</v>
      </c>
    </row>
    <row r="29" spans="1:23" x14ac:dyDescent="0.15">
      <c r="A29" s="24" t="str">
        <f t="shared" si="0"/>
        <v>11207_2-3/123&lt;lv32&gt;s1</v>
      </c>
      <c r="B29" s="19">
        <v>11207</v>
      </c>
      <c r="C29" s="19">
        <v>2</v>
      </c>
      <c r="D29" s="19">
        <v>3</v>
      </c>
      <c r="E29" s="19">
        <v>123</v>
      </c>
      <c r="F29" s="19">
        <v>32</v>
      </c>
      <c r="G29" s="19">
        <v>0.4</v>
      </c>
      <c r="H29" s="19">
        <v>1</v>
      </c>
      <c r="I29" s="19">
        <v>0</v>
      </c>
      <c r="J29" s="19">
        <v>0</v>
      </c>
      <c r="K29" s="19">
        <v>0</v>
      </c>
      <c r="L29" s="19">
        <v>100</v>
      </c>
      <c r="M29" s="19">
        <v>0</v>
      </c>
      <c r="N29" s="19">
        <v>1</v>
      </c>
      <c r="O29" s="19">
        <v>123</v>
      </c>
      <c r="P29" s="19">
        <v>1</v>
      </c>
      <c r="Q29" s="19">
        <v>3</v>
      </c>
      <c r="R29" s="19">
        <v>0</v>
      </c>
      <c r="S29" s="19">
        <v>0</v>
      </c>
      <c r="T29" s="19">
        <v>0</v>
      </c>
      <c r="U29" s="19">
        <v>0</v>
      </c>
      <c r="V29" s="19">
        <v>0</v>
      </c>
      <c r="W29" s="19">
        <v>1</v>
      </c>
    </row>
    <row r="30" spans="1:23" x14ac:dyDescent="0.15">
      <c r="A30" s="24" t="str">
        <f t="shared" si="0"/>
        <v>11207_2-4/608&lt;lv32&gt;s1</v>
      </c>
      <c r="B30" s="19">
        <v>11207</v>
      </c>
      <c r="C30" s="19">
        <v>2</v>
      </c>
      <c r="D30" s="19">
        <v>4</v>
      </c>
      <c r="E30" s="19">
        <v>608</v>
      </c>
      <c r="F30" s="19">
        <v>32</v>
      </c>
      <c r="G30" s="19">
        <v>0.4</v>
      </c>
      <c r="H30" s="19">
        <v>1</v>
      </c>
      <c r="I30" s="19">
        <v>0</v>
      </c>
      <c r="J30" s="19">
        <v>0</v>
      </c>
      <c r="K30" s="19">
        <v>1</v>
      </c>
      <c r="L30" s="19">
        <v>0</v>
      </c>
      <c r="M30" s="19">
        <v>1</v>
      </c>
      <c r="N30" s="19">
        <v>1</v>
      </c>
      <c r="O30" s="19">
        <v>608</v>
      </c>
      <c r="P30" s="19">
        <v>1</v>
      </c>
      <c r="Q30" s="19">
        <v>4</v>
      </c>
      <c r="R30" s="19">
        <v>100</v>
      </c>
      <c r="S30" s="19">
        <v>0</v>
      </c>
      <c r="T30" s="19">
        <v>0</v>
      </c>
      <c r="U30" s="19">
        <v>0</v>
      </c>
      <c r="V30" s="19">
        <v>0</v>
      </c>
      <c r="W30" s="19">
        <v>1</v>
      </c>
    </row>
    <row r="31" spans="1:23" x14ac:dyDescent="0.15">
      <c r="A31" s="24" t="str">
        <f t="shared" si="0"/>
        <v>11207_2-4/121&lt;lv32&gt;s1</v>
      </c>
      <c r="B31" s="19">
        <v>11207</v>
      </c>
      <c r="C31" s="19">
        <v>2</v>
      </c>
      <c r="D31" s="19">
        <v>4</v>
      </c>
      <c r="E31" s="19">
        <v>121</v>
      </c>
      <c r="F31" s="19">
        <v>32</v>
      </c>
      <c r="G31" s="19">
        <v>0.4</v>
      </c>
      <c r="H31" s="19">
        <v>1</v>
      </c>
      <c r="I31" s="19">
        <v>0</v>
      </c>
      <c r="J31" s="19">
        <v>0</v>
      </c>
      <c r="K31" s="19">
        <v>0</v>
      </c>
      <c r="L31" s="19">
        <v>100</v>
      </c>
      <c r="M31" s="19">
        <v>0</v>
      </c>
      <c r="N31" s="19">
        <v>1</v>
      </c>
      <c r="O31" s="19">
        <v>121</v>
      </c>
      <c r="P31" s="19">
        <v>1</v>
      </c>
      <c r="Q31" s="19">
        <v>3</v>
      </c>
      <c r="R31" s="19">
        <v>0</v>
      </c>
      <c r="S31" s="19">
        <v>0</v>
      </c>
      <c r="T31" s="19">
        <v>0</v>
      </c>
      <c r="U31" s="19">
        <v>0</v>
      </c>
      <c r="V31" s="19">
        <v>0</v>
      </c>
      <c r="W31" s="19">
        <v>1</v>
      </c>
    </row>
    <row r="32" spans="1:23" x14ac:dyDescent="0.15">
      <c r="A32" s="24" t="str">
        <f t="shared" si="0"/>
        <v>11207_2-4/122&lt;lv32&gt;s1</v>
      </c>
      <c r="B32" s="19">
        <v>11207</v>
      </c>
      <c r="C32" s="19">
        <v>2</v>
      </c>
      <c r="D32" s="19">
        <v>4</v>
      </c>
      <c r="E32" s="19">
        <v>122</v>
      </c>
      <c r="F32" s="19">
        <v>32</v>
      </c>
      <c r="G32" s="19">
        <v>0.4</v>
      </c>
      <c r="H32" s="19">
        <v>1</v>
      </c>
      <c r="I32" s="19">
        <v>0</v>
      </c>
      <c r="J32" s="19">
        <v>0</v>
      </c>
      <c r="K32" s="19">
        <v>0</v>
      </c>
      <c r="L32" s="19">
        <v>100</v>
      </c>
      <c r="M32" s="19">
        <v>0</v>
      </c>
      <c r="N32" s="19">
        <v>1</v>
      </c>
      <c r="O32" s="19">
        <v>122</v>
      </c>
      <c r="P32" s="19">
        <v>1</v>
      </c>
      <c r="Q32" s="19">
        <v>3</v>
      </c>
      <c r="R32" s="19">
        <v>0</v>
      </c>
      <c r="S32" s="19">
        <v>0</v>
      </c>
      <c r="T32" s="19">
        <v>0</v>
      </c>
      <c r="U32" s="19">
        <v>0</v>
      </c>
      <c r="V32" s="19">
        <v>0</v>
      </c>
      <c r="W32" s="19">
        <v>1</v>
      </c>
    </row>
    <row r="33" spans="1:23" x14ac:dyDescent="0.15">
      <c r="A33" s="24" t="str">
        <f t="shared" si="0"/>
        <v>11207_2-4/123&lt;lv32&gt;s1</v>
      </c>
      <c r="B33" s="19">
        <v>11207</v>
      </c>
      <c r="C33" s="19">
        <v>2</v>
      </c>
      <c r="D33" s="19">
        <v>4</v>
      </c>
      <c r="E33" s="19">
        <v>123</v>
      </c>
      <c r="F33" s="19">
        <v>32</v>
      </c>
      <c r="G33" s="19">
        <v>0.4</v>
      </c>
      <c r="H33" s="19">
        <v>1</v>
      </c>
      <c r="I33" s="19">
        <v>0</v>
      </c>
      <c r="J33" s="19">
        <v>0</v>
      </c>
      <c r="K33" s="19">
        <v>0</v>
      </c>
      <c r="L33" s="19">
        <v>100</v>
      </c>
      <c r="M33" s="19">
        <v>0</v>
      </c>
      <c r="N33" s="19">
        <v>1</v>
      </c>
      <c r="O33" s="19">
        <v>123</v>
      </c>
      <c r="P33" s="19">
        <v>1</v>
      </c>
      <c r="Q33" s="19">
        <v>3</v>
      </c>
      <c r="R33" s="19">
        <v>0</v>
      </c>
      <c r="S33" s="19">
        <v>0</v>
      </c>
      <c r="T33" s="19">
        <v>0</v>
      </c>
      <c r="U33" s="19">
        <v>0</v>
      </c>
      <c r="V33" s="19">
        <v>0</v>
      </c>
      <c r="W33" s="19">
        <v>1</v>
      </c>
    </row>
    <row r="34" spans="1:23" x14ac:dyDescent="0.15">
      <c r="A34" s="24" t="str">
        <f t="shared" si="0"/>
        <v>11207_2-5/610&lt;lv32&gt;s1</v>
      </c>
      <c r="B34" s="19">
        <v>11207</v>
      </c>
      <c r="C34" s="19">
        <v>2</v>
      </c>
      <c r="D34" s="19">
        <v>5</v>
      </c>
      <c r="E34" s="19">
        <v>610</v>
      </c>
      <c r="F34" s="19">
        <v>32</v>
      </c>
      <c r="G34" s="19">
        <v>0.4</v>
      </c>
      <c r="H34" s="19">
        <v>1</v>
      </c>
      <c r="I34" s="19">
        <v>0</v>
      </c>
      <c r="J34" s="19">
        <v>0</v>
      </c>
      <c r="K34" s="19">
        <v>0</v>
      </c>
      <c r="L34" s="19">
        <v>34</v>
      </c>
      <c r="M34" s="19">
        <v>1</v>
      </c>
      <c r="N34" s="19">
        <v>1</v>
      </c>
      <c r="O34" s="19">
        <v>610</v>
      </c>
      <c r="P34" s="19">
        <v>1</v>
      </c>
      <c r="Q34" s="19">
        <v>4</v>
      </c>
      <c r="R34" s="19">
        <v>100</v>
      </c>
      <c r="S34" s="19">
        <v>0</v>
      </c>
      <c r="T34" s="19">
        <v>0</v>
      </c>
      <c r="U34" s="19">
        <v>0</v>
      </c>
      <c r="V34" s="19">
        <v>0</v>
      </c>
      <c r="W34" s="19">
        <v>1</v>
      </c>
    </row>
    <row r="35" spans="1:23" x14ac:dyDescent="0.15">
      <c r="A35" s="24" t="str">
        <f t="shared" si="0"/>
        <v>11207_2-5/607&lt;lv32&gt;s1</v>
      </c>
      <c r="B35" s="19">
        <v>11207</v>
      </c>
      <c r="C35" s="19">
        <v>2</v>
      </c>
      <c r="D35" s="19">
        <v>5</v>
      </c>
      <c r="E35" s="19">
        <v>607</v>
      </c>
      <c r="F35" s="19">
        <v>32</v>
      </c>
      <c r="G35" s="19">
        <v>0.4</v>
      </c>
      <c r="H35" s="19">
        <v>1</v>
      </c>
      <c r="I35" s="19">
        <v>0</v>
      </c>
      <c r="J35" s="19">
        <v>0</v>
      </c>
      <c r="K35" s="19">
        <v>0</v>
      </c>
      <c r="L35" s="19">
        <v>100</v>
      </c>
      <c r="M35" s="19">
        <v>0</v>
      </c>
      <c r="N35" s="19">
        <v>1</v>
      </c>
      <c r="O35" s="19">
        <v>607</v>
      </c>
      <c r="P35" s="19">
        <v>1</v>
      </c>
      <c r="Q35" s="19">
        <v>4</v>
      </c>
      <c r="R35" s="19">
        <v>100</v>
      </c>
      <c r="S35" s="19">
        <v>0</v>
      </c>
      <c r="T35" s="19">
        <v>0</v>
      </c>
      <c r="U35" s="19">
        <v>0</v>
      </c>
      <c r="V35" s="19">
        <v>0</v>
      </c>
      <c r="W35" s="19">
        <v>1</v>
      </c>
    </row>
    <row r="36" spans="1:23" x14ac:dyDescent="0.15">
      <c r="A36" s="24" t="str">
        <f t="shared" si="0"/>
        <v>11207_2-5/608&lt;lv32&gt;s1</v>
      </c>
      <c r="B36" s="19">
        <v>11207</v>
      </c>
      <c r="C36" s="19">
        <v>2</v>
      </c>
      <c r="D36" s="19">
        <v>5</v>
      </c>
      <c r="E36" s="19">
        <v>608</v>
      </c>
      <c r="F36" s="19">
        <v>32</v>
      </c>
      <c r="G36" s="19">
        <v>0.4</v>
      </c>
      <c r="H36" s="19">
        <v>1</v>
      </c>
      <c r="I36" s="19">
        <v>0</v>
      </c>
      <c r="J36" s="19">
        <v>0</v>
      </c>
      <c r="K36" s="19">
        <v>0</v>
      </c>
      <c r="L36" s="19">
        <v>100</v>
      </c>
      <c r="M36" s="19">
        <v>0</v>
      </c>
      <c r="N36" s="19">
        <v>1</v>
      </c>
      <c r="O36" s="19">
        <v>608</v>
      </c>
      <c r="P36" s="19">
        <v>1</v>
      </c>
      <c r="Q36" s="19">
        <v>4</v>
      </c>
      <c r="R36" s="19">
        <v>100</v>
      </c>
      <c r="S36" s="19">
        <v>0</v>
      </c>
      <c r="T36" s="19">
        <v>0</v>
      </c>
      <c r="U36" s="19">
        <v>0</v>
      </c>
      <c r="V36" s="19">
        <v>0</v>
      </c>
      <c r="W36" s="19">
        <v>1</v>
      </c>
    </row>
    <row r="37" spans="1:23" x14ac:dyDescent="0.15">
      <c r="A37" s="24" t="str">
        <f t="shared" si="0"/>
        <v>11207_2-5/609&lt;lv32&gt;s1</v>
      </c>
      <c r="B37" s="19">
        <v>11207</v>
      </c>
      <c r="C37" s="19">
        <v>2</v>
      </c>
      <c r="D37" s="19">
        <v>5</v>
      </c>
      <c r="E37" s="19">
        <v>609</v>
      </c>
      <c r="F37" s="19">
        <v>32</v>
      </c>
      <c r="G37" s="19">
        <v>0.4</v>
      </c>
      <c r="H37" s="19">
        <v>1</v>
      </c>
      <c r="I37" s="19">
        <v>0</v>
      </c>
      <c r="J37" s="19">
        <v>0</v>
      </c>
      <c r="K37" s="19">
        <v>0</v>
      </c>
      <c r="L37" s="19">
        <v>100</v>
      </c>
      <c r="M37" s="19">
        <v>0</v>
      </c>
      <c r="N37" s="19">
        <v>1</v>
      </c>
      <c r="O37" s="19">
        <v>609</v>
      </c>
      <c r="P37" s="19">
        <v>1</v>
      </c>
      <c r="Q37" s="19">
        <v>4</v>
      </c>
      <c r="R37" s="19">
        <v>100</v>
      </c>
      <c r="S37" s="19">
        <v>0</v>
      </c>
      <c r="T37" s="19">
        <v>0</v>
      </c>
      <c r="U37" s="19">
        <v>0</v>
      </c>
      <c r="V37" s="19">
        <v>0</v>
      </c>
      <c r="W37" s="19">
        <v>1</v>
      </c>
    </row>
    <row r="38" spans="1:23" x14ac:dyDescent="0.15">
      <c r="A38" s="24" t="str">
        <f t="shared" si="0"/>
        <v>11207_2-5/611&lt;lv32&gt;s1</v>
      </c>
      <c r="B38" s="19">
        <v>11207</v>
      </c>
      <c r="C38" s="19">
        <v>2</v>
      </c>
      <c r="D38" s="19">
        <v>5</v>
      </c>
      <c r="E38" s="19">
        <v>611</v>
      </c>
      <c r="F38" s="19">
        <v>32</v>
      </c>
      <c r="G38" s="19">
        <v>0.4</v>
      </c>
      <c r="H38" s="19">
        <v>1</v>
      </c>
      <c r="I38" s="19">
        <v>0</v>
      </c>
      <c r="J38" s="19">
        <v>0</v>
      </c>
      <c r="K38" s="19">
        <v>0</v>
      </c>
      <c r="L38" s="19">
        <v>100</v>
      </c>
      <c r="M38" s="19">
        <v>0</v>
      </c>
      <c r="N38" s="19">
        <v>1</v>
      </c>
      <c r="O38" s="19">
        <v>611</v>
      </c>
      <c r="P38" s="19">
        <v>1</v>
      </c>
      <c r="Q38" s="19">
        <v>5</v>
      </c>
      <c r="R38" s="19">
        <v>100</v>
      </c>
      <c r="S38" s="19">
        <v>0</v>
      </c>
      <c r="T38" s="19">
        <v>0</v>
      </c>
      <c r="U38" s="19">
        <v>0</v>
      </c>
      <c r="V38" s="19">
        <v>0</v>
      </c>
      <c r="W38" s="19">
        <v>1</v>
      </c>
    </row>
    <row r="39" spans="1:23" x14ac:dyDescent="0.15">
      <c r="A39" s="24" t="str">
        <f t="shared" si="0"/>
        <v>11207_2-5/612&lt;lv32&gt;s1</v>
      </c>
      <c r="B39" s="19">
        <v>11207</v>
      </c>
      <c r="C39" s="19">
        <v>2</v>
      </c>
      <c r="D39" s="19">
        <v>5</v>
      </c>
      <c r="E39" s="19">
        <v>612</v>
      </c>
      <c r="F39" s="19">
        <v>32</v>
      </c>
      <c r="G39" s="19">
        <v>0.4</v>
      </c>
      <c r="H39" s="19">
        <v>1</v>
      </c>
      <c r="I39" s="19">
        <v>0</v>
      </c>
      <c r="J39" s="19">
        <v>0</v>
      </c>
      <c r="K39" s="19">
        <v>0</v>
      </c>
      <c r="L39" s="19">
        <v>100</v>
      </c>
      <c r="M39" s="19">
        <v>0</v>
      </c>
      <c r="N39" s="19">
        <v>1</v>
      </c>
      <c r="O39" s="19">
        <v>612</v>
      </c>
      <c r="P39" s="19">
        <v>1</v>
      </c>
      <c r="Q39" s="19">
        <v>5</v>
      </c>
      <c r="R39" s="19">
        <v>100</v>
      </c>
      <c r="S39" s="19">
        <v>0</v>
      </c>
      <c r="T39" s="19">
        <v>0</v>
      </c>
      <c r="U39" s="19">
        <v>0</v>
      </c>
      <c r="V39" s="19">
        <v>0</v>
      </c>
      <c r="W39" s="19">
        <v>1</v>
      </c>
    </row>
    <row r="40" spans="1:23" x14ac:dyDescent="0.15">
      <c r="A40" s="24" t="str">
        <f t="shared" si="0"/>
        <v>11207_2-5/613&lt;lv32&gt;s1</v>
      </c>
      <c r="B40" s="19">
        <v>11207</v>
      </c>
      <c r="C40" s="19">
        <v>2</v>
      </c>
      <c r="D40" s="19">
        <v>5</v>
      </c>
      <c r="E40" s="19">
        <v>613</v>
      </c>
      <c r="F40" s="19">
        <v>32</v>
      </c>
      <c r="G40" s="19">
        <v>0.4</v>
      </c>
      <c r="H40" s="19">
        <v>1</v>
      </c>
      <c r="I40" s="19">
        <v>0</v>
      </c>
      <c r="J40" s="19">
        <v>0</v>
      </c>
      <c r="K40" s="19">
        <v>0</v>
      </c>
      <c r="L40" s="19">
        <v>100</v>
      </c>
      <c r="M40" s="19">
        <v>0</v>
      </c>
      <c r="N40" s="19">
        <v>1</v>
      </c>
      <c r="O40" s="19">
        <v>613</v>
      </c>
      <c r="P40" s="19">
        <v>1</v>
      </c>
      <c r="Q40" s="19">
        <v>5</v>
      </c>
      <c r="R40" s="19">
        <v>100</v>
      </c>
      <c r="S40" s="19">
        <v>0</v>
      </c>
      <c r="T40" s="19">
        <v>0</v>
      </c>
      <c r="U40" s="19">
        <v>0</v>
      </c>
      <c r="V40" s="19">
        <v>0</v>
      </c>
      <c r="W40" s="19">
        <v>1</v>
      </c>
    </row>
    <row r="41" spans="1:23" x14ac:dyDescent="0.15">
      <c r="A41"/>
    </row>
    <row r="42" spans="1:23" x14ac:dyDescent="0.15">
      <c r="A42"/>
    </row>
    <row r="43" spans="1:23" x14ac:dyDescent="0.15">
      <c r="A43"/>
    </row>
    <row r="44" spans="1:23" x14ac:dyDescent="0.15">
      <c r="A44"/>
    </row>
    <row r="45" spans="1:23" x14ac:dyDescent="0.15">
      <c r="A45"/>
    </row>
    <row r="46" spans="1:23" x14ac:dyDescent="0.15">
      <c r="A46"/>
    </row>
    <row r="47" spans="1:23" x14ac:dyDescent="0.15">
      <c r="A47"/>
    </row>
    <row r="48" spans="1:23" x14ac:dyDescent="0.15">
      <c r="A48"/>
    </row>
    <row r="49" spans="1:1" x14ac:dyDescent="0.15">
      <c r="A49"/>
    </row>
    <row r="50" spans="1:1" x14ac:dyDescent="0.15">
      <c r="A50"/>
    </row>
    <row r="51" spans="1:1" x14ac:dyDescent="0.15">
      <c r="A51"/>
    </row>
    <row r="52" spans="1:1" x14ac:dyDescent="0.15">
      <c r="A52"/>
    </row>
    <row r="53" spans="1:1" x14ac:dyDescent="0.15">
      <c r="A53"/>
    </row>
    <row r="54" spans="1:1" x14ac:dyDescent="0.15">
      <c r="A54"/>
    </row>
    <row r="55" spans="1:1" x14ac:dyDescent="0.15">
      <c r="A55"/>
    </row>
    <row r="56" spans="1:1" x14ac:dyDescent="0.15">
      <c r="A56"/>
    </row>
    <row r="57" spans="1:1" x14ac:dyDescent="0.15">
      <c r="A57"/>
    </row>
    <row r="58" spans="1:1" x14ac:dyDescent="0.15">
      <c r="A58"/>
    </row>
    <row r="59" spans="1:1" x14ac:dyDescent="0.15">
      <c r="A59"/>
    </row>
    <row r="60" spans="1:1" x14ac:dyDescent="0.15">
      <c r="A60"/>
    </row>
    <row r="61" spans="1:1" x14ac:dyDescent="0.15">
      <c r="A61"/>
    </row>
    <row r="62" spans="1:1" x14ac:dyDescent="0.15">
      <c r="A62"/>
    </row>
    <row r="63" spans="1:1" x14ac:dyDescent="0.15">
      <c r="A63"/>
    </row>
    <row r="64" spans="1:1" x14ac:dyDescent="0.15">
      <c r="A64"/>
    </row>
    <row r="65" spans="1:1" x14ac:dyDescent="0.15">
      <c r="A65"/>
    </row>
    <row r="66" spans="1:1" x14ac:dyDescent="0.15">
      <c r="A66"/>
    </row>
    <row r="67" spans="1:1" x14ac:dyDescent="0.15">
      <c r="A67"/>
    </row>
    <row r="68" spans="1:1" x14ac:dyDescent="0.15">
      <c r="A68"/>
    </row>
    <row r="69" spans="1:1" x14ac:dyDescent="0.15">
      <c r="A69"/>
    </row>
    <row r="70" spans="1:1" x14ac:dyDescent="0.15">
      <c r="A70"/>
    </row>
    <row r="71" spans="1:1" x14ac:dyDescent="0.15">
      <c r="A71"/>
    </row>
    <row r="72" spans="1:1" x14ac:dyDescent="0.15">
      <c r="A72"/>
    </row>
    <row r="73" spans="1:1" x14ac:dyDescent="0.15">
      <c r="A73"/>
    </row>
    <row r="74" spans="1:1" x14ac:dyDescent="0.15">
      <c r="A74"/>
    </row>
    <row r="75" spans="1:1" x14ac:dyDescent="0.15">
      <c r="A75"/>
    </row>
    <row r="76" spans="1:1" x14ac:dyDescent="0.15">
      <c r="A76"/>
    </row>
    <row r="77" spans="1:1" x14ac:dyDescent="0.15">
      <c r="A77"/>
    </row>
    <row r="78" spans="1:1" x14ac:dyDescent="0.15">
      <c r="A78"/>
    </row>
    <row r="79" spans="1:1" x14ac:dyDescent="0.15">
      <c r="A79"/>
    </row>
    <row r="80" spans="1:1" x14ac:dyDescent="0.15">
      <c r="A80"/>
    </row>
    <row r="81" spans="1:1" x14ac:dyDescent="0.15">
      <c r="A81"/>
    </row>
    <row r="82" spans="1:1" x14ac:dyDescent="0.15">
      <c r="A82"/>
    </row>
    <row r="83" spans="1:1" x14ac:dyDescent="0.15">
      <c r="A83"/>
    </row>
    <row r="84" spans="1:1" x14ac:dyDescent="0.15">
      <c r="A84"/>
    </row>
    <row r="85" spans="1:1" x14ac:dyDescent="0.15">
      <c r="A85"/>
    </row>
    <row r="86" spans="1:1" x14ac:dyDescent="0.15">
      <c r="A86"/>
    </row>
    <row r="87" spans="1:1" x14ac:dyDescent="0.15">
      <c r="A87"/>
    </row>
    <row r="88" spans="1:1" x14ac:dyDescent="0.15">
      <c r="A88"/>
    </row>
    <row r="89" spans="1:1" x14ac:dyDescent="0.15">
      <c r="A89"/>
    </row>
    <row r="90" spans="1:1" x14ac:dyDescent="0.15">
      <c r="A90"/>
    </row>
    <row r="91" spans="1:1" x14ac:dyDescent="0.15">
      <c r="A91"/>
    </row>
    <row r="92" spans="1:1" x14ac:dyDescent="0.15">
      <c r="A92"/>
    </row>
    <row r="93" spans="1:1" x14ac:dyDescent="0.15">
      <c r="A93"/>
    </row>
    <row r="94" spans="1:1" x14ac:dyDescent="0.15">
      <c r="A94"/>
    </row>
    <row r="95" spans="1:1" x14ac:dyDescent="0.15">
      <c r="A95"/>
    </row>
    <row r="96" spans="1:1" x14ac:dyDescent="0.15">
      <c r="A96"/>
    </row>
    <row r="97" spans="1:1" x14ac:dyDescent="0.15">
      <c r="A97"/>
    </row>
    <row r="98" spans="1:1" x14ac:dyDescent="0.15">
      <c r="A98"/>
    </row>
    <row r="99" spans="1:1" x14ac:dyDescent="0.15">
      <c r="A99"/>
    </row>
    <row r="100" spans="1:1" x14ac:dyDescent="0.15">
      <c r="A100"/>
    </row>
    <row r="101" spans="1:1" x14ac:dyDescent="0.15">
      <c r="A101"/>
    </row>
    <row r="102" spans="1:1" x14ac:dyDescent="0.15">
      <c r="A102"/>
    </row>
    <row r="103" spans="1:1" x14ac:dyDescent="0.15">
      <c r="A103"/>
    </row>
    <row r="104" spans="1:1" x14ac:dyDescent="0.15">
      <c r="A104"/>
    </row>
    <row r="105" spans="1:1" x14ac:dyDescent="0.15">
      <c r="A105"/>
    </row>
    <row r="106" spans="1:1" x14ac:dyDescent="0.15">
      <c r="A106"/>
    </row>
    <row r="107" spans="1:1" x14ac:dyDescent="0.15">
      <c r="A107"/>
    </row>
    <row r="108" spans="1:1" x14ac:dyDescent="0.15">
      <c r="A108"/>
    </row>
    <row r="109" spans="1:1" x14ac:dyDescent="0.15">
      <c r="A109"/>
    </row>
    <row r="110" spans="1:1" x14ac:dyDescent="0.15">
      <c r="A110"/>
    </row>
    <row r="111" spans="1:1" x14ac:dyDescent="0.15">
      <c r="A111"/>
    </row>
    <row r="112" spans="1:1" x14ac:dyDescent="0.15">
      <c r="A112"/>
    </row>
    <row r="113" spans="1:1" x14ac:dyDescent="0.15">
      <c r="A113"/>
    </row>
    <row r="114" spans="1:1" x14ac:dyDescent="0.15">
      <c r="A114"/>
    </row>
    <row r="115" spans="1:1" x14ac:dyDescent="0.15">
      <c r="A115"/>
    </row>
    <row r="116" spans="1:1" x14ac:dyDescent="0.15">
      <c r="A116"/>
    </row>
    <row r="117" spans="1:1" x14ac:dyDescent="0.15">
      <c r="A117"/>
    </row>
    <row r="118" spans="1:1" x14ac:dyDescent="0.15">
      <c r="A118"/>
    </row>
    <row r="119" spans="1:1" x14ac:dyDescent="0.15">
      <c r="A119"/>
    </row>
    <row r="120" spans="1:1" x14ac:dyDescent="0.15">
      <c r="A120"/>
    </row>
    <row r="121" spans="1:1" x14ac:dyDescent="0.15">
      <c r="A121"/>
    </row>
    <row r="122" spans="1:1" x14ac:dyDescent="0.15">
      <c r="A122"/>
    </row>
    <row r="123" spans="1:1" x14ac:dyDescent="0.15">
      <c r="A123"/>
    </row>
    <row r="124" spans="1:1" x14ac:dyDescent="0.15">
      <c r="A124"/>
    </row>
    <row r="125" spans="1:1" x14ac:dyDescent="0.15">
      <c r="A125"/>
    </row>
    <row r="126" spans="1:1" x14ac:dyDescent="0.15">
      <c r="A126"/>
    </row>
    <row r="127" spans="1:1" x14ac:dyDescent="0.15">
      <c r="A127"/>
    </row>
    <row r="128" spans="1:1" x14ac:dyDescent="0.15">
      <c r="A128"/>
    </row>
    <row r="129" spans="1:1" x14ac:dyDescent="0.15">
      <c r="A129"/>
    </row>
    <row r="130" spans="1:1" x14ac:dyDescent="0.15">
      <c r="A130"/>
    </row>
    <row r="131" spans="1:1" x14ac:dyDescent="0.15">
      <c r="A131"/>
    </row>
    <row r="132" spans="1:1" x14ac:dyDescent="0.15">
      <c r="A132"/>
    </row>
    <row r="133" spans="1:1" x14ac:dyDescent="0.15">
      <c r="A133"/>
    </row>
    <row r="134" spans="1:1" x14ac:dyDescent="0.15">
      <c r="A134"/>
    </row>
    <row r="135" spans="1:1" x14ac:dyDescent="0.15">
      <c r="A135"/>
    </row>
    <row r="136" spans="1:1" x14ac:dyDescent="0.15">
      <c r="A136"/>
    </row>
    <row r="137" spans="1:1" x14ac:dyDescent="0.15">
      <c r="A137"/>
    </row>
    <row r="138" spans="1:1" x14ac:dyDescent="0.15">
      <c r="A138"/>
    </row>
    <row r="139" spans="1:1" x14ac:dyDescent="0.15">
      <c r="A139"/>
    </row>
    <row r="140" spans="1:1" x14ac:dyDescent="0.15">
      <c r="A140"/>
    </row>
    <row r="141" spans="1:1" x14ac:dyDescent="0.15">
      <c r="A141"/>
    </row>
    <row r="142" spans="1:1" x14ac:dyDescent="0.15">
      <c r="A142"/>
    </row>
    <row r="143" spans="1:1" x14ac:dyDescent="0.15">
      <c r="A143"/>
    </row>
    <row r="144" spans="1:1" x14ac:dyDescent="0.15">
      <c r="A144"/>
    </row>
    <row r="145" spans="1:1" x14ac:dyDescent="0.15">
      <c r="A145"/>
    </row>
    <row r="146" spans="1:1" x14ac:dyDescent="0.15">
      <c r="A146"/>
    </row>
    <row r="147" spans="1:1" x14ac:dyDescent="0.15">
      <c r="A147"/>
    </row>
    <row r="148" spans="1:1" x14ac:dyDescent="0.15">
      <c r="A148"/>
    </row>
    <row r="149" spans="1:1" x14ac:dyDescent="0.15">
      <c r="A149"/>
    </row>
    <row r="150" spans="1:1" x14ac:dyDescent="0.15">
      <c r="A150"/>
    </row>
    <row r="151" spans="1:1" x14ac:dyDescent="0.15">
      <c r="A151"/>
    </row>
    <row r="152" spans="1:1" x14ac:dyDescent="0.15">
      <c r="A152"/>
    </row>
    <row r="153" spans="1:1" x14ac:dyDescent="0.15">
      <c r="A153"/>
    </row>
    <row r="154" spans="1:1" x14ac:dyDescent="0.15">
      <c r="A154"/>
    </row>
    <row r="155" spans="1:1" x14ac:dyDescent="0.15">
      <c r="A155"/>
    </row>
    <row r="156" spans="1:1" x14ac:dyDescent="0.15">
      <c r="A156"/>
    </row>
    <row r="157" spans="1:1" x14ac:dyDescent="0.15">
      <c r="A157"/>
    </row>
    <row r="158" spans="1:1" x14ac:dyDescent="0.15">
      <c r="A158"/>
    </row>
    <row r="159" spans="1:1" x14ac:dyDescent="0.15">
      <c r="A159"/>
    </row>
    <row r="160" spans="1:1" x14ac:dyDescent="0.15">
      <c r="A160"/>
    </row>
    <row r="161" spans="1:1" x14ac:dyDescent="0.15">
      <c r="A161"/>
    </row>
    <row r="162" spans="1:1" x14ac:dyDescent="0.15">
      <c r="A162"/>
    </row>
    <row r="163" spans="1:1" x14ac:dyDescent="0.15">
      <c r="A163"/>
    </row>
    <row r="164" spans="1:1" x14ac:dyDescent="0.15">
      <c r="A164"/>
    </row>
    <row r="165" spans="1:1" x14ac:dyDescent="0.15">
      <c r="A165"/>
    </row>
    <row r="166" spans="1:1" x14ac:dyDescent="0.15">
      <c r="A166"/>
    </row>
    <row r="167" spans="1:1" x14ac:dyDescent="0.15">
      <c r="A167"/>
    </row>
    <row r="168" spans="1:1" x14ac:dyDescent="0.15">
      <c r="A168"/>
    </row>
    <row r="169" spans="1:1" x14ac:dyDescent="0.15">
      <c r="A169"/>
    </row>
    <row r="170" spans="1:1" x14ac:dyDescent="0.15">
      <c r="A170"/>
    </row>
    <row r="171" spans="1:1" x14ac:dyDescent="0.15">
      <c r="A171"/>
    </row>
    <row r="172" spans="1:1" x14ac:dyDescent="0.15">
      <c r="A172"/>
    </row>
    <row r="173" spans="1:1" x14ac:dyDescent="0.15">
      <c r="A173"/>
    </row>
    <row r="174" spans="1:1" x14ac:dyDescent="0.15">
      <c r="A174"/>
    </row>
    <row r="175" spans="1:1" x14ac:dyDescent="0.15">
      <c r="A175"/>
    </row>
    <row r="176" spans="1:1" x14ac:dyDescent="0.15">
      <c r="A176"/>
    </row>
    <row r="177" spans="1:1" x14ac:dyDescent="0.15">
      <c r="A177"/>
    </row>
    <row r="178" spans="1:1" x14ac:dyDescent="0.15">
      <c r="A178"/>
    </row>
    <row r="179" spans="1:1" x14ac:dyDescent="0.15">
      <c r="A179"/>
    </row>
    <row r="180" spans="1:1" x14ac:dyDescent="0.15">
      <c r="A180"/>
    </row>
    <row r="181" spans="1:1" x14ac:dyDescent="0.15">
      <c r="A181"/>
    </row>
    <row r="182" spans="1:1" x14ac:dyDescent="0.15">
      <c r="A182"/>
    </row>
    <row r="183" spans="1:1" x14ac:dyDescent="0.15">
      <c r="A183"/>
    </row>
    <row r="184" spans="1:1" x14ac:dyDescent="0.15">
      <c r="A184"/>
    </row>
    <row r="185" spans="1:1" x14ac:dyDescent="0.15">
      <c r="A185"/>
    </row>
    <row r="186" spans="1:1" x14ac:dyDescent="0.15">
      <c r="A186"/>
    </row>
    <row r="187" spans="1:1" x14ac:dyDescent="0.15">
      <c r="A187"/>
    </row>
    <row r="188" spans="1:1" x14ac:dyDescent="0.15">
      <c r="A188"/>
    </row>
    <row r="189" spans="1:1" x14ac:dyDescent="0.15">
      <c r="A189"/>
    </row>
    <row r="190" spans="1:1" x14ac:dyDescent="0.15">
      <c r="A190"/>
    </row>
    <row r="191" spans="1:1" x14ac:dyDescent="0.15">
      <c r="A191"/>
    </row>
    <row r="192" spans="1:1" x14ac:dyDescent="0.15">
      <c r="A192"/>
    </row>
    <row r="193" spans="1:1" x14ac:dyDescent="0.15">
      <c r="A193"/>
    </row>
    <row r="194" spans="1:1" x14ac:dyDescent="0.15">
      <c r="A194"/>
    </row>
    <row r="195" spans="1:1" x14ac:dyDescent="0.15">
      <c r="A195"/>
    </row>
    <row r="196" spans="1:1" x14ac:dyDescent="0.15">
      <c r="A196"/>
    </row>
    <row r="197" spans="1:1" x14ac:dyDescent="0.15">
      <c r="A197"/>
    </row>
    <row r="198" spans="1:1" x14ac:dyDescent="0.15">
      <c r="A198"/>
    </row>
    <row r="199" spans="1:1" x14ac:dyDescent="0.15">
      <c r="A199"/>
    </row>
    <row r="200" spans="1:1" x14ac:dyDescent="0.15">
      <c r="A200"/>
    </row>
    <row r="201" spans="1:1" x14ac:dyDescent="0.15">
      <c r="A201"/>
    </row>
    <row r="202" spans="1:1" x14ac:dyDescent="0.15">
      <c r="A202"/>
    </row>
    <row r="203" spans="1:1" x14ac:dyDescent="0.15">
      <c r="A203"/>
    </row>
    <row r="204" spans="1:1" x14ac:dyDescent="0.15">
      <c r="A204"/>
    </row>
    <row r="205" spans="1:1" x14ac:dyDescent="0.15">
      <c r="A205"/>
    </row>
    <row r="206" spans="1:1" x14ac:dyDescent="0.15">
      <c r="A206"/>
    </row>
    <row r="207" spans="1:1" x14ac:dyDescent="0.15">
      <c r="A207"/>
    </row>
    <row r="208" spans="1:1" x14ac:dyDescent="0.15">
      <c r="A208"/>
    </row>
    <row r="209" spans="1:1" x14ac:dyDescent="0.15">
      <c r="A209"/>
    </row>
    <row r="210" spans="1:1" x14ac:dyDescent="0.15">
      <c r="A210"/>
    </row>
    <row r="211" spans="1:1" x14ac:dyDescent="0.15">
      <c r="A211"/>
    </row>
    <row r="212" spans="1:1" x14ac:dyDescent="0.15">
      <c r="A212"/>
    </row>
    <row r="213" spans="1:1" x14ac:dyDescent="0.15">
      <c r="A213"/>
    </row>
    <row r="214" spans="1:1" x14ac:dyDescent="0.15">
      <c r="A214"/>
    </row>
    <row r="215" spans="1:1" x14ac:dyDescent="0.15">
      <c r="A215"/>
    </row>
    <row r="216" spans="1:1" x14ac:dyDescent="0.15">
      <c r="A216"/>
    </row>
    <row r="217" spans="1:1" x14ac:dyDescent="0.15">
      <c r="A217"/>
    </row>
    <row r="218" spans="1:1" x14ac:dyDescent="0.15">
      <c r="A218"/>
    </row>
    <row r="219" spans="1:1" x14ac:dyDescent="0.15">
      <c r="A219"/>
    </row>
    <row r="220" spans="1:1" x14ac:dyDescent="0.15">
      <c r="A220"/>
    </row>
    <row r="221" spans="1:1" x14ac:dyDescent="0.15">
      <c r="A221"/>
    </row>
    <row r="222" spans="1:1" x14ac:dyDescent="0.15">
      <c r="A222"/>
    </row>
    <row r="223" spans="1:1" x14ac:dyDescent="0.15">
      <c r="A223"/>
    </row>
    <row r="224" spans="1:1" x14ac:dyDescent="0.15">
      <c r="A224"/>
    </row>
    <row r="225" spans="1:1" x14ac:dyDescent="0.15">
      <c r="A225"/>
    </row>
    <row r="226" spans="1:1" x14ac:dyDescent="0.15">
      <c r="A226"/>
    </row>
    <row r="227" spans="1:1" x14ac:dyDescent="0.15">
      <c r="A227"/>
    </row>
    <row r="228" spans="1:1" x14ac:dyDescent="0.15">
      <c r="A228"/>
    </row>
    <row r="229" spans="1:1" x14ac:dyDescent="0.15">
      <c r="A229"/>
    </row>
    <row r="230" spans="1:1" x14ac:dyDescent="0.15">
      <c r="A230"/>
    </row>
    <row r="231" spans="1:1" x14ac:dyDescent="0.15">
      <c r="A231"/>
    </row>
    <row r="232" spans="1:1" x14ac:dyDescent="0.15">
      <c r="A232"/>
    </row>
    <row r="233" spans="1:1" x14ac:dyDescent="0.15">
      <c r="A233"/>
    </row>
    <row r="234" spans="1:1" x14ac:dyDescent="0.15">
      <c r="A234"/>
    </row>
    <row r="235" spans="1:1" x14ac:dyDescent="0.15">
      <c r="A235"/>
    </row>
    <row r="236" spans="1:1" x14ac:dyDescent="0.15">
      <c r="A236"/>
    </row>
    <row r="237" spans="1:1" x14ac:dyDescent="0.15">
      <c r="A237"/>
    </row>
    <row r="238" spans="1:1" x14ac:dyDescent="0.15">
      <c r="A238"/>
    </row>
    <row r="239" spans="1:1" x14ac:dyDescent="0.15">
      <c r="A239"/>
    </row>
    <row r="240" spans="1:1" x14ac:dyDescent="0.15">
      <c r="A240"/>
    </row>
    <row r="241" spans="1:1" x14ac:dyDescent="0.15">
      <c r="A241"/>
    </row>
    <row r="242" spans="1:1" x14ac:dyDescent="0.15">
      <c r="A242"/>
    </row>
    <row r="243" spans="1:1" x14ac:dyDescent="0.15">
      <c r="A243"/>
    </row>
    <row r="244" spans="1:1" x14ac:dyDescent="0.15">
      <c r="A244"/>
    </row>
    <row r="245" spans="1:1" x14ac:dyDescent="0.15">
      <c r="A245"/>
    </row>
    <row r="246" spans="1:1" x14ac:dyDescent="0.15">
      <c r="A246"/>
    </row>
    <row r="247" spans="1:1" x14ac:dyDescent="0.15">
      <c r="A247"/>
    </row>
    <row r="248" spans="1:1" x14ac:dyDescent="0.15">
      <c r="A248"/>
    </row>
    <row r="249" spans="1:1" x14ac:dyDescent="0.15">
      <c r="A249"/>
    </row>
    <row r="250" spans="1:1" x14ac:dyDescent="0.15">
      <c r="A250"/>
    </row>
    <row r="251" spans="1:1" x14ac:dyDescent="0.15">
      <c r="A251"/>
    </row>
    <row r="252" spans="1:1" x14ac:dyDescent="0.15">
      <c r="A252"/>
    </row>
    <row r="253" spans="1:1" x14ac:dyDescent="0.15">
      <c r="A253"/>
    </row>
    <row r="254" spans="1:1" x14ac:dyDescent="0.15">
      <c r="A254"/>
    </row>
    <row r="255" spans="1:1" x14ac:dyDescent="0.15">
      <c r="A255"/>
    </row>
    <row r="256" spans="1:1" x14ac:dyDescent="0.15">
      <c r="A256"/>
    </row>
    <row r="257" spans="1:1" x14ac:dyDescent="0.15">
      <c r="A257"/>
    </row>
    <row r="258" spans="1:1" x14ac:dyDescent="0.15">
      <c r="A258"/>
    </row>
    <row r="259" spans="1:1" x14ac:dyDescent="0.15">
      <c r="A259"/>
    </row>
    <row r="260" spans="1:1" x14ac:dyDescent="0.15">
      <c r="A260"/>
    </row>
    <row r="261" spans="1:1" x14ac:dyDescent="0.15">
      <c r="A261"/>
    </row>
    <row r="262" spans="1:1" x14ac:dyDescent="0.15">
      <c r="A262"/>
    </row>
    <row r="263" spans="1:1" x14ac:dyDescent="0.15">
      <c r="A263"/>
    </row>
    <row r="264" spans="1:1" x14ac:dyDescent="0.15">
      <c r="A264"/>
    </row>
    <row r="265" spans="1:1" x14ac:dyDescent="0.15">
      <c r="A265"/>
    </row>
    <row r="266" spans="1:1" x14ac:dyDescent="0.15">
      <c r="A266"/>
    </row>
    <row r="267" spans="1:1" x14ac:dyDescent="0.15">
      <c r="A267"/>
    </row>
    <row r="268" spans="1:1" x14ac:dyDescent="0.15">
      <c r="A268"/>
    </row>
    <row r="269" spans="1:1" x14ac:dyDescent="0.15">
      <c r="A269"/>
    </row>
    <row r="270" spans="1:1" x14ac:dyDescent="0.15">
      <c r="A270"/>
    </row>
    <row r="271" spans="1:1" x14ac:dyDescent="0.15">
      <c r="A271"/>
    </row>
    <row r="272" spans="1:1" x14ac:dyDescent="0.15">
      <c r="A272"/>
    </row>
    <row r="273" spans="1:1" x14ac:dyDescent="0.15">
      <c r="A273"/>
    </row>
    <row r="274" spans="1:1" x14ac:dyDescent="0.15">
      <c r="A274"/>
    </row>
    <row r="275" spans="1:1" x14ac:dyDescent="0.15">
      <c r="A275"/>
    </row>
    <row r="276" spans="1:1" x14ac:dyDescent="0.15">
      <c r="A276"/>
    </row>
    <row r="277" spans="1:1" x14ac:dyDescent="0.15">
      <c r="A277"/>
    </row>
    <row r="278" spans="1:1" x14ac:dyDescent="0.15">
      <c r="A278"/>
    </row>
    <row r="279" spans="1:1" x14ac:dyDescent="0.15">
      <c r="A279"/>
    </row>
    <row r="280" spans="1:1" x14ac:dyDescent="0.15">
      <c r="A280"/>
    </row>
    <row r="281" spans="1:1" x14ac:dyDescent="0.15">
      <c r="A281"/>
    </row>
    <row r="282" spans="1:1" x14ac:dyDescent="0.15">
      <c r="A282"/>
    </row>
    <row r="283" spans="1:1" x14ac:dyDescent="0.15">
      <c r="A283"/>
    </row>
    <row r="284" spans="1:1" x14ac:dyDescent="0.15">
      <c r="A284"/>
    </row>
    <row r="285" spans="1:1" x14ac:dyDescent="0.15">
      <c r="A285"/>
    </row>
    <row r="286" spans="1:1" x14ac:dyDescent="0.15">
      <c r="A286"/>
    </row>
    <row r="287" spans="1:1" x14ac:dyDescent="0.15">
      <c r="A287"/>
    </row>
    <row r="288" spans="1:1" x14ac:dyDescent="0.15">
      <c r="A288"/>
    </row>
    <row r="289" spans="1:1" x14ac:dyDescent="0.15">
      <c r="A289"/>
    </row>
    <row r="290" spans="1:1" x14ac:dyDescent="0.15">
      <c r="A290"/>
    </row>
    <row r="291" spans="1:1" x14ac:dyDescent="0.15">
      <c r="A291"/>
    </row>
    <row r="292" spans="1:1" x14ac:dyDescent="0.15">
      <c r="A292"/>
    </row>
    <row r="293" spans="1:1" x14ac:dyDescent="0.15">
      <c r="A293"/>
    </row>
    <row r="294" spans="1:1" x14ac:dyDescent="0.15">
      <c r="A294"/>
    </row>
    <row r="295" spans="1:1" x14ac:dyDescent="0.15">
      <c r="A295"/>
    </row>
    <row r="296" spans="1:1" x14ac:dyDescent="0.15">
      <c r="A296"/>
    </row>
    <row r="297" spans="1:1" x14ac:dyDescent="0.15">
      <c r="A297"/>
    </row>
    <row r="298" spans="1:1" x14ac:dyDescent="0.15">
      <c r="A298"/>
    </row>
    <row r="299" spans="1:1" x14ac:dyDescent="0.15">
      <c r="A299"/>
    </row>
    <row r="300" spans="1:1" x14ac:dyDescent="0.15">
      <c r="A300"/>
    </row>
    <row r="301" spans="1:1" x14ac:dyDescent="0.15">
      <c r="A301"/>
    </row>
    <row r="302" spans="1:1" x14ac:dyDescent="0.15">
      <c r="A302"/>
    </row>
    <row r="303" spans="1:1" x14ac:dyDescent="0.15">
      <c r="A303"/>
    </row>
    <row r="304" spans="1:1" x14ac:dyDescent="0.15">
      <c r="A304"/>
    </row>
    <row r="305" spans="1:1" x14ac:dyDescent="0.15">
      <c r="A305"/>
    </row>
    <row r="306" spans="1:1" x14ac:dyDescent="0.15">
      <c r="A306"/>
    </row>
    <row r="307" spans="1:1" x14ac:dyDescent="0.15">
      <c r="A307"/>
    </row>
    <row r="308" spans="1:1" x14ac:dyDescent="0.15">
      <c r="A308"/>
    </row>
    <row r="309" spans="1:1" x14ac:dyDescent="0.15">
      <c r="A309"/>
    </row>
    <row r="310" spans="1:1" x14ac:dyDescent="0.15">
      <c r="A310"/>
    </row>
    <row r="311" spans="1:1" x14ac:dyDescent="0.15">
      <c r="A311"/>
    </row>
    <row r="312" spans="1:1" x14ac:dyDescent="0.15">
      <c r="A312"/>
    </row>
    <row r="313" spans="1:1" x14ac:dyDescent="0.15">
      <c r="A313"/>
    </row>
    <row r="314" spans="1:1" x14ac:dyDescent="0.15">
      <c r="A314"/>
    </row>
    <row r="315" spans="1:1" x14ac:dyDescent="0.15">
      <c r="A315"/>
    </row>
    <row r="316" spans="1:1" x14ac:dyDescent="0.15">
      <c r="A316"/>
    </row>
    <row r="317" spans="1:1" x14ac:dyDescent="0.15">
      <c r="A317"/>
    </row>
    <row r="318" spans="1:1" x14ac:dyDescent="0.15">
      <c r="A318"/>
    </row>
    <row r="319" spans="1:1" x14ac:dyDescent="0.15">
      <c r="A319"/>
    </row>
    <row r="320" spans="1:1" x14ac:dyDescent="0.15">
      <c r="A320"/>
    </row>
    <row r="321" spans="1:1" x14ac:dyDescent="0.15">
      <c r="A321"/>
    </row>
    <row r="322" spans="1:1" x14ac:dyDescent="0.15">
      <c r="A322"/>
    </row>
    <row r="323" spans="1:1" x14ac:dyDescent="0.15">
      <c r="A323"/>
    </row>
    <row r="324" spans="1:1" x14ac:dyDescent="0.15">
      <c r="A324"/>
    </row>
    <row r="325" spans="1:1" x14ac:dyDescent="0.15">
      <c r="A325"/>
    </row>
    <row r="326" spans="1:1" x14ac:dyDescent="0.15">
      <c r="A326"/>
    </row>
    <row r="327" spans="1:1" x14ac:dyDescent="0.15">
      <c r="A327"/>
    </row>
    <row r="328" spans="1:1" x14ac:dyDescent="0.15">
      <c r="A328"/>
    </row>
    <row r="329" spans="1:1" x14ac:dyDescent="0.15">
      <c r="A329"/>
    </row>
    <row r="330" spans="1:1" x14ac:dyDescent="0.15">
      <c r="A330"/>
    </row>
    <row r="331" spans="1:1" x14ac:dyDescent="0.15">
      <c r="A331"/>
    </row>
    <row r="332" spans="1:1" x14ac:dyDescent="0.15">
      <c r="A332"/>
    </row>
    <row r="333" spans="1:1" x14ac:dyDescent="0.15">
      <c r="A333"/>
    </row>
    <row r="334" spans="1:1" x14ac:dyDescent="0.15">
      <c r="A334"/>
    </row>
    <row r="335" spans="1:1" x14ac:dyDescent="0.15">
      <c r="A335"/>
    </row>
    <row r="336" spans="1:1" x14ac:dyDescent="0.15">
      <c r="A336"/>
    </row>
    <row r="337" spans="1:1" x14ac:dyDescent="0.15">
      <c r="A337"/>
    </row>
    <row r="338" spans="1:1" x14ac:dyDescent="0.15">
      <c r="A338"/>
    </row>
    <row r="339" spans="1:1" x14ac:dyDescent="0.15">
      <c r="A339"/>
    </row>
    <row r="340" spans="1:1" x14ac:dyDescent="0.15">
      <c r="A340"/>
    </row>
    <row r="341" spans="1:1" x14ac:dyDescent="0.15">
      <c r="A341"/>
    </row>
    <row r="342" spans="1:1" x14ac:dyDescent="0.15">
      <c r="A342"/>
    </row>
    <row r="343" spans="1:1" x14ac:dyDescent="0.15">
      <c r="A343"/>
    </row>
    <row r="344" spans="1:1" x14ac:dyDescent="0.15">
      <c r="A344"/>
    </row>
    <row r="345" spans="1:1" x14ac:dyDescent="0.15">
      <c r="A345"/>
    </row>
    <row r="346" spans="1:1" x14ac:dyDescent="0.15">
      <c r="A346"/>
    </row>
    <row r="347" spans="1:1" x14ac:dyDescent="0.15">
      <c r="A347"/>
    </row>
    <row r="348" spans="1:1" x14ac:dyDescent="0.15">
      <c r="A348"/>
    </row>
    <row r="349" spans="1:1" x14ac:dyDescent="0.15">
      <c r="A349"/>
    </row>
    <row r="350" spans="1:1" x14ac:dyDescent="0.15">
      <c r="A350"/>
    </row>
    <row r="351" spans="1:1" x14ac:dyDescent="0.15">
      <c r="A351"/>
    </row>
    <row r="352" spans="1:1" x14ac:dyDescent="0.15">
      <c r="A352"/>
    </row>
    <row r="353" spans="1:1" x14ac:dyDescent="0.15">
      <c r="A353"/>
    </row>
    <row r="354" spans="1:1" x14ac:dyDescent="0.15">
      <c r="A354"/>
    </row>
    <row r="355" spans="1:1" x14ac:dyDescent="0.15">
      <c r="A355"/>
    </row>
    <row r="356" spans="1:1" x14ac:dyDescent="0.15">
      <c r="A356"/>
    </row>
    <row r="357" spans="1:1" x14ac:dyDescent="0.15">
      <c r="A357"/>
    </row>
    <row r="358" spans="1:1" x14ac:dyDescent="0.15">
      <c r="A358"/>
    </row>
    <row r="359" spans="1:1" x14ac:dyDescent="0.15">
      <c r="A359"/>
    </row>
    <row r="360" spans="1:1" x14ac:dyDescent="0.15">
      <c r="A360"/>
    </row>
    <row r="361" spans="1:1" x14ac:dyDescent="0.15">
      <c r="A361"/>
    </row>
    <row r="362" spans="1:1" x14ac:dyDescent="0.15">
      <c r="A362"/>
    </row>
    <row r="363" spans="1:1" x14ac:dyDescent="0.15">
      <c r="A363"/>
    </row>
    <row r="364" spans="1:1" x14ac:dyDescent="0.15">
      <c r="A364"/>
    </row>
    <row r="365" spans="1:1" x14ac:dyDescent="0.15">
      <c r="A365"/>
    </row>
    <row r="366" spans="1:1" x14ac:dyDescent="0.15">
      <c r="A366"/>
    </row>
    <row r="367" spans="1:1" x14ac:dyDescent="0.15">
      <c r="A367"/>
    </row>
    <row r="368" spans="1:1" x14ac:dyDescent="0.15">
      <c r="A368"/>
    </row>
    <row r="369" spans="1:1" x14ac:dyDescent="0.15">
      <c r="A369"/>
    </row>
    <row r="370" spans="1:1" x14ac:dyDescent="0.15">
      <c r="A370"/>
    </row>
    <row r="371" spans="1:1" x14ac:dyDescent="0.15">
      <c r="A371"/>
    </row>
    <row r="372" spans="1:1" x14ac:dyDescent="0.15">
      <c r="A372"/>
    </row>
    <row r="373" spans="1:1" x14ac:dyDescent="0.15">
      <c r="A373"/>
    </row>
    <row r="374" spans="1:1" x14ac:dyDescent="0.15">
      <c r="A374"/>
    </row>
    <row r="375" spans="1:1" x14ac:dyDescent="0.15">
      <c r="A375"/>
    </row>
    <row r="376" spans="1:1" x14ac:dyDescent="0.15">
      <c r="A376"/>
    </row>
    <row r="377" spans="1:1" x14ac:dyDescent="0.15">
      <c r="A377"/>
    </row>
    <row r="378" spans="1:1" x14ac:dyDescent="0.15">
      <c r="A378"/>
    </row>
    <row r="379" spans="1:1" x14ac:dyDescent="0.15">
      <c r="A379"/>
    </row>
    <row r="380" spans="1:1" x14ac:dyDescent="0.15">
      <c r="A380"/>
    </row>
    <row r="381" spans="1:1" x14ac:dyDescent="0.15">
      <c r="A381"/>
    </row>
    <row r="382" spans="1:1" x14ac:dyDescent="0.15">
      <c r="A382"/>
    </row>
  </sheetData>
  <phoneticPr fontId="4"/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floors_cp_quests2_1</vt:lpstr>
      <vt:lpstr>enemy_habitats_cp_quests2_1</vt:lpstr>
      <vt:lpstr>floors_cp_quests2_1.tmp</vt:lpstr>
      <vt:lpstr>enemy_habitats_cp_quests2_1.tmp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2017-02-28T10:25:59Z</dcterms:modified>
</cp:coreProperties>
</file>