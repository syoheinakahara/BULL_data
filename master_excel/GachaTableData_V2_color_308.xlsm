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00" yWindow="140" windowWidth="24640" windowHeight="15120" tabRatio="943" activeTab="8"/>
  </bookViews>
  <sheets>
    <sheet name="Sheet1" sheetId="107" r:id="rId1"/>
    <sheet name="output" sheetId="103" r:id="rId2"/>
    <sheet name="input_1" sheetId="106" r:id="rId3"/>
    <sheet name="tables_1" sheetId="82" r:id="rId4"/>
    <sheet name="input_2" sheetId="108" r:id="rId5"/>
    <sheet name="tables_2" sheetId="109" r:id="rId6"/>
    <sheet name="input_3" sheetId="110" r:id="rId7"/>
    <sheet name="tables_3" sheetId="111" r:id="rId8"/>
    <sheet name="input_4" sheetId="112" r:id="rId9"/>
    <sheet name="tables_4" sheetId="113" r:id="rId10"/>
    <sheet name="input_5" sheetId="114" r:id="rId11"/>
    <sheet name="tables_5" sheetId="115" r:id="rId12"/>
    <sheet name="input_6" sheetId="116" r:id="rId13"/>
    <sheet name="tables_6" sheetId="117" r:id="rId14"/>
    <sheet name="gacha_bonus_tables" sheetId="98" r:id="rId15"/>
    <sheet name="bug_conf_sheet" sheetId="104" r:id="rId16"/>
    <sheet name="check_sheet" sheetId="105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3" hidden="1">tables_1!$A$1:$S$245</definedName>
    <definedName name="_xlnm._FilterDatabase" localSheetId="5" hidden="1">tables_2!$A$1:$S$245</definedName>
    <definedName name="_xlnm._FilterDatabase" localSheetId="7" hidden="1">tables_3!$A$1:$S$245</definedName>
    <definedName name="_xlnm._FilterDatabase" localSheetId="9" hidden="1">tables_4!$A$1:$S$245</definedName>
    <definedName name="_xlnm._FilterDatabase" localSheetId="11" hidden="1">tables_5!$A$1:$S$245</definedName>
    <definedName name="_xlnm._FilterDatabase" localSheetId="13" hidden="1">tables_6!$A$1:$S$245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5" i="116" l="1"/>
  <c r="B24" i="106"/>
  <c r="E7" i="103"/>
  <c r="E6" i="103"/>
  <c r="E3" i="103"/>
  <c r="E5" i="103"/>
  <c r="B45" i="114"/>
  <c r="B45" i="112"/>
  <c r="D45" i="116"/>
  <c r="G45" i="116"/>
  <c r="H45" i="116"/>
  <c r="L246" i="117"/>
  <c r="A246" i="117"/>
  <c r="B39" i="116"/>
  <c r="B40" i="116"/>
  <c r="B42" i="116"/>
  <c r="D42" i="116"/>
  <c r="G42" i="116"/>
  <c r="H42" i="116"/>
  <c r="L245" i="117"/>
  <c r="A245" i="117"/>
  <c r="L244" i="117"/>
  <c r="A244" i="117"/>
  <c r="L243" i="117"/>
  <c r="A243" i="117"/>
  <c r="B41" i="116"/>
  <c r="D41" i="116"/>
  <c r="G41" i="116"/>
  <c r="H41" i="116"/>
  <c r="L242" i="117"/>
  <c r="A242" i="117"/>
  <c r="L241" i="117"/>
  <c r="A241" i="117"/>
  <c r="L240" i="117"/>
  <c r="A240" i="117"/>
  <c r="L239" i="117"/>
  <c r="A239" i="117"/>
  <c r="L238" i="117"/>
  <c r="A238" i="117"/>
  <c r="L237" i="117"/>
  <c r="A237" i="117"/>
  <c r="L236" i="117"/>
  <c r="A236" i="117"/>
  <c r="L235" i="117"/>
  <c r="A235" i="117"/>
  <c r="L234" i="117"/>
  <c r="A234" i="117"/>
  <c r="L233" i="117"/>
  <c r="A233" i="117"/>
  <c r="L232" i="117"/>
  <c r="A232" i="117"/>
  <c r="L231" i="117"/>
  <c r="A231" i="117"/>
  <c r="L230" i="117"/>
  <c r="A230" i="117"/>
  <c r="L229" i="117"/>
  <c r="A229" i="117"/>
  <c r="L228" i="117"/>
  <c r="A228" i="117"/>
  <c r="L227" i="117"/>
  <c r="A227" i="117"/>
  <c r="L226" i="117"/>
  <c r="A226" i="117"/>
  <c r="L225" i="117"/>
  <c r="A225" i="117"/>
  <c r="L224" i="117"/>
  <c r="A224" i="117"/>
  <c r="L223" i="117"/>
  <c r="A223" i="117"/>
  <c r="L222" i="117"/>
  <c r="A222" i="117"/>
  <c r="L221" i="117"/>
  <c r="A221" i="117"/>
  <c r="L220" i="117"/>
  <c r="A220" i="117"/>
  <c r="L219" i="117"/>
  <c r="A219" i="117"/>
  <c r="L218" i="117"/>
  <c r="A218" i="117"/>
  <c r="L217" i="117"/>
  <c r="A217" i="117"/>
  <c r="L216" i="117"/>
  <c r="A216" i="117"/>
  <c r="L215" i="117"/>
  <c r="A215" i="117"/>
  <c r="L214" i="117"/>
  <c r="A214" i="117"/>
  <c r="L213" i="117"/>
  <c r="A213" i="117"/>
  <c r="L212" i="117"/>
  <c r="A212" i="117"/>
  <c r="L211" i="117"/>
  <c r="A211" i="117"/>
  <c r="L210" i="117"/>
  <c r="A210" i="117"/>
  <c r="L209" i="117"/>
  <c r="A209" i="117"/>
  <c r="L208" i="117"/>
  <c r="A208" i="117"/>
  <c r="L207" i="117"/>
  <c r="A207" i="117"/>
  <c r="L206" i="117"/>
  <c r="A206" i="117"/>
  <c r="L205" i="117"/>
  <c r="A205" i="117"/>
  <c r="L204" i="117"/>
  <c r="A204" i="117"/>
  <c r="L203" i="117"/>
  <c r="A203" i="117"/>
  <c r="L202" i="117"/>
  <c r="A202" i="117"/>
  <c r="L201" i="117"/>
  <c r="A201" i="117"/>
  <c r="L200" i="117"/>
  <c r="A200" i="117"/>
  <c r="L199" i="117"/>
  <c r="A199" i="117"/>
  <c r="L198" i="117"/>
  <c r="A198" i="117"/>
  <c r="L197" i="117"/>
  <c r="A197" i="117"/>
  <c r="L196" i="117"/>
  <c r="A196" i="117"/>
  <c r="L195" i="117"/>
  <c r="A195" i="117"/>
  <c r="L194" i="117"/>
  <c r="A194" i="117"/>
  <c r="L193" i="117"/>
  <c r="A193" i="117"/>
  <c r="L192" i="117"/>
  <c r="A192" i="117"/>
  <c r="L191" i="117"/>
  <c r="A191" i="117"/>
  <c r="L190" i="117"/>
  <c r="A190" i="117"/>
  <c r="L189" i="117"/>
  <c r="A189" i="117"/>
  <c r="L188" i="117"/>
  <c r="A188" i="117"/>
  <c r="L187" i="117"/>
  <c r="A187" i="117"/>
  <c r="L186" i="117"/>
  <c r="A186" i="117"/>
  <c r="L185" i="117"/>
  <c r="A185" i="117"/>
  <c r="L184" i="117"/>
  <c r="A184" i="117"/>
  <c r="L183" i="117"/>
  <c r="A183" i="117"/>
  <c r="L182" i="117"/>
  <c r="A182" i="117"/>
  <c r="L181" i="117"/>
  <c r="A181" i="117"/>
  <c r="L180" i="117"/>
  <c r="A180" i="117"/>
  <c r="L179" i="117"/>
  <c r="A179" i="117"/>
  <c r="L178" i="117"/>
  <c r="A178" i="117"/>
  <c r="L177" i="117"/>
  <c r="A177" i="117"/>
  <c r="L176" i="117"/>
  <c r="A176" i="117"/>
  <c r="L175" i="117"/>
  <c r="A175" i="117"/>
  <c r="L174" i="117"/>
  <c r="A174" i="117"/>
  <c r="L173" i="117"/>
  <c r="A173" i="117"/>
  <c r="L172" i="117"/>
  <c r="A172" i="117"/>
  <c r="L171" i="117"/>
  <c r="A171" i="117"/>
  <c r="L170" i="117"/>
  <c r="A170" i="117"/>
  <c r="L169" i="117"/>
  <c r="A169" i="117"/>
  <c r="L168" i="117"/>
  <c r="A168" i="117"/>
  <c r="L167" i="117"/>
  <c r="A167" i="117"/>
  <c r="L166" i="117"/>
  <c r="A166" i="117"/>
  <c r="L165" i="117"/>
  <c r="A165" i="117"/>
  <c r="L164" i="117"/>
  <c r="A164" i="117"/>
  <c r="L163" i="117"/>
  <c r="A163" i="117"/>
  <c r="L162" i="117"/>
  <c r="A162" i="117"/>
  <c r="L161" i="117"/>
  <c r="A161" i="117"/>
  <c r="L160" i="117"/>
  <c r="A160" i="117"/>
  <c r="L159" i="117"/>
  <c r="A159" i="117"/>
  <c r="L158" i="117"/>
  <c r="A158" i="117"/>
  <c r="L157" i="117"/>
  <c r="A157" i="117"/>
  <c r="L156" i="117"/>
  <c r="A156" i="117"/>
  <c r="L155" i="117"/>
  <c r="A155" i="117"/>
  <c r="L154" i="117"/>
  <c r="A154" i="117"/>
  <c r="L153" i="117"/>
  <c r="A153" i="117"/>
  <c r="L152" i="117"/>
  <c r="A152" i="117"/>
  <c r="L151" i="117"/>
  <c r="A151" i="117"/>
  <c r="L150" i="117"/>
  <c r="A150" i="117"/>
  <c r="L149" i="117"/>
  <c r="A149" i="117"/>
  <c r="L148" i="117"/>
  <c r="A148" i="117"/>
  <c r="L147" i="117"/>
  <c r="A147" i="117"/>
  <c r="L146" i="117"/>
  <c r="A146" i="117"/>
  <c r="L145" i="117"/>
  <c r="A145" i="117"/>
  <c r="L144" i="117"/>
  <c r="A144" i="117"/>
  <c r="L143" i="117"/>
  <c r="A143" i="117"/>
  <c r="L142" i="117"/>
  <c r="A142" i="117"/>
  <c r="L141" i="117"/>
  <c r="A141" i="117"/>
  <c r="L140" i="117"/>
  <c r="A140" i="117"/>
  <c r="L139" i="117"/>
  <c r="A139" i="117"/>
  <c r="L138" i="117"/>
  <c r="A138" i="117"/>
  <c r="L137" i="117"/>
  <c r="A137" i="117"/>
  <c r="L136" i="117"/>
  <c r="A136" i="117"/>
  <c r="L135" i="117"/>
  <c r="A135" i="117"/>
  <c r="L134" i="117"/>
  <c r="A134" i="117"/>
  <c r="L133" i="117"/>
  <c r="A133" i="117"/>
  <c r="L132" i="117"/>
  <c r="A132" i="117"/>
  <c r="L131" i="117"/>
  <c r="A131" i="117"/>
  <c r="L130" i="117"/>
  <c r="A130" i="117"/>
  <c r="L129" i="117"/>
  <c r="A129" i="117"/>
  <c r="L128" i="117"/>
  <c r="A128" i="117"/>
  <c r="L127" i="117"/>
  <c r="A127" i="117"/>
  <c r="L126" i="117"/>
  <c r="A126" i="117"/>
  <c r="L125" i="117"/>
  <c r="A125" i="117"/>
  <c r="L124" i="117"/>
  <c r="A124" i="117"/>
  <c r="L123" i="117"/>
  <c r="A123" i="117"/>
  <c r="L122" i="117"/>
  <c r="A122" i="117"/>
  <c r="L121" i="117"/>
  <c r="A121" i="117"/>
  <c r="L120" i="117"/>
  <c r="A120" i="117"/>
  <c r="L119" i="117"/>
  <c r="A119" i="117"/>
  <c r="L118" i="117"/>
  <c r="A118" i="117"/>
  <c r="L117" i="117"/>
  <c r="A117" i="117"/>
  <c r="L116" i="117"/>
  <c r="A116" i="117"/>
  <c r="L115" i="117"/>
  <c r="A115" i="117"/>
  <c r="L114" i="117"/>
  <c r="A114" i="117"/>
  <c r="L113" i="117"/>
  <c r="A113" i="117"/>
  <c r="L112" i="117"/>
  <c r="A112" i="117"/>
  <c r="L111" i="117"/>
  <c r="A111" i="117"/>
  <c r="L110" i="117"/>
  <c r="A110" i="117"/>
  <c r="L109" i="117"/>
  <c r="A109" i="117"/>
  <c r="L108" i="117"/>
  <c r="A108" i="117"/>
  <c r="L107" i="117"/>
  <c r="A107" i="117"/>
  <c r="L106" i="117"/>
  <c r="A106" i="117"/>
  <c r="L105" i="117"/>
  <c r="A105" i="117"/>
  <c r="L104" i="117"/>
  <c r="A104" i="117"/>
  <c r="L103" i="117"/>
  <c r="A103" i="117"/>
  <c r="L102" i="117"/>
  <c r="A102" i="117"/>
  <c r="D40" i="116"/>
  <c r="G40" i="116"/>
  <c r="H40" i="116"/>
  <c r="L101" i="117"/>
  <c r="A101" i="117"/>
  <c r="L100" i="117"/>
  <c r="A100" i="117"/>
  <c r="L99" i="117"/>
  <c r="A99" i="117"/>
  <c r="D39" i="116"/>
  <c r="G39" i="116"/>
  <c r="H39" i="116"/>
  <c r="L98" i="117"/>
  <c r="A98" i="117"/>
  <c r="L97" i="117"/>
  <c r="A97" i="117"/>
  <c r="L96" i="117"/>
  <c r="A96" i="117"/>
  <c r="L95" i="117"/>
  <c r="A95" i="117"/>
  <c r="L94" i="117"/>
  <c r="A94" i="117"/>
  <c r="L93" i="117"/>
  <c r="A93" i="117"/>
  <c r="L92" i="117"/>
  <c r="A92" i="117"/>
  <c r="L91" i="117"/>
  <c r="A91" i="117"/>
  <c r="L90" i="117"/>
  <c r="A90" i="117"/>
  <c r="L89" i="117"/>
  <c r="A89" i="117"/>
  <c r="L88" i="117"/>
  <c r="A88" i="117"/>
  <c r="L87" i="117"/>
  <c r="A87" i="117"/>
  <c r="L86" i="117"/>
  <c r="A86" i="117"/>
  <c r="L85" i="117"/>
  <c r="A85" i="117"/>
  <c r="L84" i="117"/>
  <c r="A84" i="117"/>
  <c r="L83" i="117"/>
  <c r="A83" i="117"/>
  <c r="L82" i="117"/>
  <c r="A82" i="117"/>
  <c r="L81" i="117"/>
  <c r="A81" i="117"/>
  <c r="L80" i="117"/>
  <c r="A80" i="117"/>
  <c r="L79" i="117"/>
  <c r="A79" i="117"/>
  <c r="L78" i="117"/>
  <c r="A78" i="117"/>
  <c r="L77" i="117"/>
  <c r="A77" i="117"/>
  <c r="L76" i="117"/>
  <c r="A76" i="117"/>
  <c r="L75" i="117"/>
  <c r="A75" i="117"/>
  <c r="L74" i="117"/>
  <c r="A74" i="117"/>
  <c r="L73" i="117"/>
  <c r="A73" i="117"/>
  <c r="L72" i="117"/>
  <c r="A72" i="117"/>
  <c r="L71" i="117"/>
  <c r="A71" i="117"/>
  <c r="L70" i="117"/>
  <c r="A70" i="117"/>
  <c r="L69" i="117"/>
  <c r="A69" i="117"/>
  <c r="L68" i="117"/>
  <c r="A68" i="117"/>
  <c r="L67" i="117"/>
  <c r="A67" i="117"/>
  <c r="L66" i="117"/>
  <c r="A66" i="117"/>
  <c r="L65" i="117"/>
  <c r="A65" i="117"/>
  <c r="L64" i="117"/>
  <c r="A64" i="117"/>
  <c r="L63" i="117"/>
  <c r="A63" i="117"/>
  <c r="L62" i="117"/>
  <c r="A62" i="117"/>
  <c r="L61" i="117"/>
  <c r="A61" i="117"/>
  <c r="L60" i="117"/>
  <c r="A60" i="117"/>
  <c r="L59" i="117"/>
  <c r="A59" i="117"/>
  <c r="L58" i="117"/>
  <c r="A58" i="117"/>
  <c r="L57" i="117"/>
  <c r="A57" i="117"/>
  <c r="L56" i="117"/>
  <c r="A56" i="117"/>
  <c r="L55" i="117"/>
  <c r="A55" i="117"/>
  <c r="L54" i="117"/>
  <c r="A54" i="117"/>
  <c r="L53" i="117"/>
  <c r="A53" i="117"/>
  <c r="L52" i="117"/>
  <c r="A52" i="117"/>
  <c r="L51" i="117"/>
  <c r="A51" i="117"/>
  <c r="L50" i="117"/>
  <c r="A50" i="117"/>
  <c r="L49" i="117"/>
  <c r="A49" i="117"/>
  <c r="L48" i="117"/>
  <c r="A48" i="117"/>
  <c r="L47" i="117"/>
  <c r="A47" i="117"/>
  <c r="L46" i="117"/>
  <c r="A46" i="117"/>
  <c r="L45" i="117"/>
  <c r="A45" i="117"/>
  <c r="L44" i="117"/>
  <c r="A44" i="117"/>
  <c r="L43" i="117"/>
  <c r="A43" i="117"/>
  <c r="L42" i="117"/>
  <c r="A42" i="117"/>
  <c r="L41" i="117"/>
  <c r="A41" i="117"/>
  <c r="L40" i="117"/>
  <c r="A40" i="117"/>
  <c r="L39" i="117"/>
  <c r="A39" i="117"/>
  <c r="L38" i="117"/>
  <c r="A38" i="117"/>
  <c r="L37" i="117"/>
  <c r="A37" i="117"/>
  <c r="L36" i="117"/>
  <c r="A36" i="117"/>
  <c r="L35" i="117"/>
  <c r="A35" i="117"/>
  <c r="L34" i="117"/>
  <c r="A34" i="117"/>
  <c r="L33" i="117"/>
  <c r="A33" i="117"/>
  <c r="L32" i="117"/>
  <c r="A32" i="117"/>
  <c r="L31" i="117"/>
  <c r="A31" i="117"/>
  <c r="L30" i="117"/>
  <c r="A30" i="117"/>
  <c r="L29" i="117"/>
  <c r="A29" i="117"/>
  <c r="L28" i="117"/>
  <c r="A28" i="117"/>
  <c r="L27" i="117"/>
  <c r="A27" i="117"/>
  <c r="L26" i="117"/>
  <c r="A26" i="117"/>
  <c r="L25" i="117"/>
  <c r="A25" i="117"/>
  <c r="L24" i="117"/>
  <c r="A24" i="117"/>
  <c r="L23" i="117"/>
  <c r="A23" i="117"/>
  <c r="L22" i="117"/>
  <c r="A22" i="117"/>
  <c r="L21" i="117"/>
  <c r="A21" i="117"/>
  <c r="L20" i="117"/>
  <c r="A20" i="117"/>
  <c r="L19" i="117"/>
  <c r="A19" i="117"/>
  <c r="L18" i="117"/>
  <c r="A18" i="117"/>
  <c r="L17" i="117"/>
  <c r="A17" i="117"/>
  <c r="L16" i="117"/>
  <c r="A16" i="117"/>
  <c r="L15" i="117"/>
  <c r="A15" i="117"/>
  <c r="L14" i="117"/>
  <c r="A14" i="117"/>
  <c r="L13" i="117"/>
  <c r="A13" i="117"/>
  <c r="L12" i="117"/>
  <c r="A12" i="117"/>
  <c r="L11" i="117"/>
  <c r="A11" i="117"/>
  <c r="L10" i="117"/>
  <c r="A10" i="117"/>
  <c r="L9" i="117"/>
  <c r="A9" i="117"/>
  <c r="L8" i="117"/>
  <c r="A8" i="117"/>
  <c r="L7" i="117"/>
  <c r="A7" i="117"/>
  <c r="L6" i="117"/>
  <c r="A6" i="117"/>
  <c r="L5" i="117"/>
  <c r="A5" i="117"/>
  <c r="L4" i="117"/>
  <c r="A4" i="117"/>
  <c r="L3" i="117"/>
  <c r="A3" i="117"/>
  <c r="L2" i="117"/>
  <c r="A2" i="117"/>
  <c r="B67" i="116"/>
  <c r="B53" i="116"/>
  <c r="B54" i="116"/>
  <c r="B55" i="116"/>
  <c r="B56" i="116"/>
  <c r="B57" i="116"/>
  <c r="B58" i="116"/>
  <c r="B59" i="116"/>
  <c r="B60" i="116"/>
  <c r="B61" i="116"/>
  <c r="B62" i="116"/>
  <c r="B63" i="116"/>
  <c r="B64" i="116"/>
  <c r="B65" i="116"/>
  <c r="B66" i="116"/>
  <c r="B68" i="116"/>
  <c r="B69" i="116"/>
  <c r="B70" i="116"/>
  <c r="B71" i="116"/>
  <c r="B72" i="116"/>
  <c r="B73" i="116"/>
  <c r="B74" i="116"/>
  <c r="B75" i="116"/>
  <c r="C67" i="116"/>
  <c r="C74" i="116"/>
  <c r="F60" i="116"/>
  <c r="E45" i="116"/>
  <c r="E44" i="116"/>
  <c r="E43" i="116"/>
  <c r="E42" i="116"/>
  <c r="E41" i="116"/>
  <c r="E40" i="116"/>
  <c r="E39" i="116"/>
  <c r="E38" i="116"/>
  <c r="E37" i="116"/>
  <c r="E36" i="116"/>
  <c r="E35" i="116"/>
  <c r="E34" i="116"/>
  <c r="E33" i="116"/>
  <c r="E32" i="116"/>
  <c r="E31" i="116"/>
  <c r="E30" i="116"/>
  <c r="E29" i="116"/>
  <c r="E28" i="116"/>
  <c r="E27" i="116"/>
  <c r="E26" i="116"/>
  <c r="E25" i="116"/>
  <c r="E24" i="116"/>
  <c r="S246" i="117"/>
  <c r="R246" i="117"/>
  <c r="Q246" i="117"/>
  <c r="P246" i="117"/>
  <c r="O246" i="117"/>
  <c r="N246" i="117"/>
  <c r="F246" i="117"/>
  <c r="G246" i="117"/>
  <c r="H246" i="117"/>
  <c r="C246" i="117"/>
  <c r="B246" i="117"/>
  <c r="F2" i="117"/>
  <c r="G2" i="117"/>
  <c r="H2" i="117"/>
  <c r="C2" i="117"/>
  <c r="B2" i="117"/>
  <c r="F3" i="117"/>
  <c r="G3" i="117"/>
  <c r="H3" i="117"/>
  <c r="C3" i="117"/>
  <c r="B3" i="117"/>
  <c r="F4" i="117"/>
  <c r="G4" i="117"/>
  <c r="H4" i="117"/>
  <c r="C4" i="117"/>
  <c r="B4" i="117"/>
  <c r="F5" i="117"/>
  <c r="G5" i="117"/>
  <c r="H5" i="117"/>
  <c r="C5" i="117"/>
  <c r="B5" i="117"/>
  <c r="F6" i="117"/>
  <c r="G6" i="117"/>
  <c r="H6" i="117"/>
  <c r="C6" i="117"/>
  <c r="B6" i="117"/>
  <c r="F7" i="117"/>
  <c r="G7" i="117"/>
  <c r="H7" i="117"/>
  <c r="C7" i="117"/>
  <c r="B7" i="117"/>
  <c r="F8" i="117"/>
  <c r="G8" i="117"/>
  <c r="H8" i="117"/>
  <c r="C8" i="117"/>
  <c r="B8" i="117"/>
  <c r="F9" i="117"/>
  <c r="G9" i="117"/>
  <c r="H9" i="117"/>
  <c r="C9" i="117"/>
  <c r="B9" i="117"/>
  <c r="F10" i="117"/>
  <c r="G10" i="117"/>
  <c r="H10" i="117"/>
  <c r="C10" i="117"/>
  <c r="B10" i="117"/>
  <c r="F11" i="117"/>
  <c r="G11" i="117"/>
  <c r="H11" i="117"/>
  <c r="C11" i="117"/>
  <c r="B11" i="117"/>
  <c r="F12" i="117"/>
  <c r="G12" i="117"/>
  <c r="H12" i="117"/>
  <c r="C12" i="117"/>
  <c r="B12" i="117"/>
  <c r="F13" i="117"/>
  <c r="G13" i="117"/>
  <c r="H13" i="117"/>
  <c r="C13" i="117"/>
  <c r="B13" i="117"/>
  <c r="F14" i="117"/>
  <c r="G14" i="117"/>
  <c r="H14" i="117"/>
  <c r="C14" i="117"/>
  <c r="B14" i="117"/>
  <c r="F15" i="117"/>
  <c r="G15" i="117"/>
  <c r="H15" i="117"/>
  <c r="C15" i="117"/>
  <c r="B15" i="117"/>
  <c r="F16" i="117"/>
  <c r="G16" i="117"/>
  <c r="H16" i="117"/>
  <c r="C16" i="117"/>
  <c r="B16" i="117"/>
  <c r="F17" i="117"/>
  <c r="G17" i="117"/>
  <c r="H17" i="117"/>
  <c r="C17" i="117"/>
  <c r="B17" i="117"/>
  <c r="F18" i="117"/>
  <c r="G18" i="117"/>
  <c r="H18" i="117"/>
  <c r="C18" i="117"/>
  <c r="B18" i="117"/>
  <c r="F19" i="117"/>
  <c r="G19" i="117"/>
  <c r="H19" i="117"/>
  <c r="C19" i="117"/>
  <c r="B19" i="117"/>
  <c r="F20" i="117"/>
  <c r="G20" i="117"/>
  <c r="H20" i="117"/>
  <c r="C20" i="117"/>
  <c r="B20" i="117"/>
  <c r="F21" i="117"/>
  <c r="G21" i="117"/>
  <c r="H21" i="117"/>
  <c r="C21" i="117"/>
  <c r="B21" i="117"/>
  <c r="F22" i="117"/>
  <c r="G22" i="117"/>
  <c r="H22" i="117"/>
  <c r="C22" i="117"/>
  <c r="B22" i="117"/>
  <c r="F23" i="117"/>
  <c r="G23" i="117"/>
  <c r="H23" i="117"/>
  <c r="C23" i="117"/>
  <c r="B23" i="117"/>
  <c r="F24" i="117"/>
  <c r="G24" i="117"/>
  <c r="H24" i="117"/>
  <c r="C24" i="117"/>
  <c r="B24" i="117"/>
  <c r="F25" i="117"/>
  <c r="G25" i="117"/>
  <c r="H25" i="117"/>
  <c r="C25" i="117"/>
  <c r="B25" i="117"/>
  <c r="F26" i="117"/>
  <c r="G26" i="117"/>
  <c r="H26" i="117"/>
  <c r="C26" i="117"/>
  <c r="B26" i="117"/>
  <c r="F27" i="117"/>
  <c r="G27" i="117"/>
  <c r="H27" i="117"/>
  <c r="C27" i="117"/>
  <c r="B27" i="117"/>
  <c r="F28" i="117"/>
  <c r="G28" i="117"/>
  <c r="H28" i="117"/>
  <c r="C28" i="117"/>
  <c r="B28" i="117"/>
  <c r="F29" i="117"/>
  <c r="G29" i="117"/>
  <c r="H29" i="117"/>
  <c r="C29" i="117"/>
  <c r="B29" i="117"/>
  <c r="F30" i="117"/>
  <c r="G30" i="117"/>
  <c r="H30" i="117"/>
  <c r="C30" i="117"/>
  <c r="B30" i="117"/>
  <c r="F31" i="117"/>
  <c r="G31" i="117"/>
  <c r="H31" i="117"/>
  <c r="C31" i="117"/>
  <c r="B31" i="117"/>
  <c r="F32" i="117"/>
  <c r="G32" i="117"/>
  <c r="H32" i="117"/>
  <c r="C32" i="117"/>
  <c r="B32" i="117"/>
  <c r="F33" i="117"/>
  <c r="G33" i="117"/>
  <c r="H33" i="117"/>
  <c r="C33" i="117"/>
  <c r="B33" i="117"/>
  <c r="F34" i="117"/>
  <c r="G34" i="117"/>
  <c r="H34" i="117"/>
  <c r="C34" i="117"/>
  <c r="B34" i="117"/>
  <c r="F35" i="117"/>
  <c r="G35" i="117"/>
  <c r="H35" i="117"/>
  <c r="C35" i="117"/>
  <c r="B35" i="117"/>
  <c r="F36" i="117"/>
  <c r="G36" i="117"/>
  <c r="H36" i="117"/>
  <c r="C36" i="117"/>
  <c r="B36" i="117"/>
  <c r="F37" i="117"/>
  <c r="G37" i="117"/>
  <c r="H37" i="117"/>
  <c r="C37" i="117"/>
  <c r="B37" i="117"/>
  <c r="F38" i="117"/>
  <c r="G38" i="117"/>
  <c r="H38" i="117"/>
  <c r="C38" i="117"/>
  <c r="B38" i="117"/>
  <c r="F39" i="117"/>
  <c r="G39" i="117"/>
  <c r="H39" i="117"/>
  <c r="C39" i="117"/>
  <c r="B39" i="117"/>
  <c r="F40" i="117"/>
  <c r="G40" i="117"/>
  <c r="H40" i="117"/>
  <c r="C40" i="117"/>
  <c r="B40" i="117"/>
  <c r="F41" i="117"/>
  <c r="G41" i="117"/>
  <c r="H41" i="117"/>
  <c r="C41" i="117"/>
  <c r="B41" i="117"/>
  <c r="F42" i="117"/>
  <c r="G42" i="117"/>
  <c r="H42" i="117"/>
  <c r="C42" i="117"/>
  <c r="B42" i="117"/>
  <c r="F43" i="117"/>
  <c r="G43" i="117"/>
  <c r="H43" i="117"/>
  <c r="C43" i="117"/>
  <c r="B43" i="117"/>
  <c r="F44" i="117"/>
  <c r="G44" i="117"/>
  <c r="H44" i="117"/>
  <c r="C44" i="117"/>
  <c r="B44" i="117"/>
  <c r="F45" i="117"/>
  <c r="G45" i="117"/>
  <c r="H45" i="117"/>
  <c r="C45" i="117"/>
  <c r="B45" i="117"/>
  <c r="F46" i="117"/>
  <c r="G46" i="117"/>
  <c r="H46" i="117"/>
  <c r="C46" i="117"/>
  <c r="B46" i="117"/>
  <c r="F47" i="117"/>
  <c r="G47" i="117"/>
  <c r="H47" i="117"/>
  <c r="C47" i="117"/>
  <c r="B47" i="117"/>
  <c r="F48" i="117"/>
  <c r="G48" i="117"/>
  <c r="H48" i="117"/>
  <c r="C48" i="117"/>
  <c r="B48" i="117"/>
  <c r="F49" i="117"/>
  <c r="G49" i="117"/>
  <c r="H49" i="117"/>
  <c r="C49" i="117"/>
  <c r="B49" i="117"/>
  <c r="F50" i="117"/>
  <c r="G50" i="117"/>
  <c r="H50" i="117"/>
  <c r="C50" i="117"/>
  <c r="B50" i="117"/>
  <c r="F51" i="117"/>
  <c r="G51" i="117"/>
  <c r="H51" i="117"/>
  <c r="C51" i="117"/>
  <c r="B51" i="117"/>
  <c r="F52" i="117"/>
  <c r="G52" i="117"/>
  <c r="H52" i="117"/>
  <c r="C52" i="117"/>
  <c r="B52" i="117"/>
  <c r="F53" i="117"/>
  <c r="G53" i="117"/>
  <c r="H53" i="117"/>
  <c r="C53" i="117"/>
  <c r="B53" i="117"/>
  <c r="F54" i="117"/>
  <c r="G54" i="117"/>
  <c r="H54" i="117"/>
  <c r="C54" i="117"/>
  <c r="B54" i="117"/>
  <c r="F55" i="117"/>
  <c r="G55" i="117"/>
  <c r="H55" i="117"/>
  <c r="C55" i="117"/>
  <c r="B55" i="117"/>
  <c r="F56" i="117"/>
  <c r="G56" i="117"/>
  <c r="H56" i="117"/>
  <c r="C56" i="117"/>
  <c r="B56" i="117"/>
  <c r="F57" i="117"/>
  <c r="G57" i="117"/>
  <c r="H57" i="117"/>
  <c r="C57" i="117"/>
  <c r="B57" i="117"/>
  <c r="F58" i="117"/>
  <c r="G58" i="117"/>
  <c r="H58" i="117"/>
  <c r="C58" i="117"/>
  <c r="B58" i="117"/>
  <c r="F59" i="117"/>
  <c r="G59" i="117"/>
  <c r="H59" i="117"/>
  <c r="C59" i="117"/>
  <c r="B59" i="117"/>
  <c r="F60" i="117"/>
  <c r="G60" i="117"/>
  <c r="H60" i="117"/>
  <c r="C60" i="117"/>
  <c r="B60" i="117"/>
  <c r="F61" i="117"/>
  <c r="G61" i="117"/>
  <c r="H61" i="117"/>
  <c r="C61" i="117"/>
  <c r="B61" i="117"/>
  <c r="F62" i="117"/>
  <c r="G62" i="117"/>
  <c r="H62" i="117"/>
  <c r="C62" i="117"/>
  <c r="B62" i="117"/>
  <c r="F63" i="117"/>
  <c r="G63" i="117"/>
  <c r="H63" i="117"/>
  <c r="C63" i="117"/>
  <c r="B63" i="117"/>
  <c r="F64" i="117"/>
  <c r="G64" i="117"/>
  <c r="H64" i="117"/>
  <c r="C64" i="117"/>
  <c r="B64" i="117"/>
  <c r="F65" i="117"/>
  <c r="G65" i="117"/>
  <c r="H65" i="117"/>
  <c r="C65" i="117"/>
  <c r="B65" i="117"/>
  <c r="F66" i="117"/>
  <c r="G66" i="117"/>
  <c r="H66" i="117"/>
  <c r="C66" i="117"/>
  <c r="B66" i="117"/>
  <c r="F67" i="117"/>
  <c r="G67" i="117"/>
  <c r="H67" i="117"/>
  <c r="C67" i="117"/>
  <c r="B67" i="117"/>
  <c r="F68" i="117"/>
  <c r="G68" i="117"/>
  <c r="H68" i="117"/>
  <c r="C68" i="117"/>
  <c r="B68" i="117"/>
  <c r="F69" i="117"/>
  <c r="G69" i="117"/>
  <c r="H69" i="117"/>
  <c r="C69" i="117"/>
  <c r="B69" i="117"/>
  <c r="F70" i="117"/>
  <c r="G70" i="117"/>
  <c r="H70" i="117"/>
  <c r="C70" i="117"/>
  <c r="B70" i="117"/>
  <c r="F71" i="117"/>
  <c r="G71" i="117"/>
  <c r="H71" i="117"/>
  <c r="C71" i="117"/>
  <c r="B71" i="117"/>
  <c r="F72" i="117"/>
  <c r="G72" i="117"/>
  <c r="H72" i="117"/>
  <c r="C72" i="117"/>
  <c r="B72" i="117"/>
  <c r="F73" i="117"/>
  <c r="G73" i="117"/>
  <c r="H73" i="117"/>
  <c r="C73" i="117"/>
  <c r="B73" i="117"/>
  <c r="F74" i="117"/>
  <c r="G74" i="117"/>
  <c r="H74" i="117"/>
  <c r="C74" i="117"/>
  <c r="B74" i="117"/>
  <c r="F75" i="117"/>
  <c r="G75" i="117"/>
  <c r="H75" i="117"/>
  <c r="C75" i="117"/>
  <c r="B75" i="117"/>
  <c r="F76" i="117"/>
  <c r="G76" i="117"/>
  <c r="H76" i="117"/>
  <c r="C76" i="117"/>
  <c r="B76" i="117"/>
  <c r="F77" i="117"/>
  <c r="G77" i="117"/>
  <c r="H77" i="117"/>
  <c r="C77" i="117"/>
  <c r="B77" i="117"/>
  <c r="F78" i="117"/>
  <c r="G78" i="117"/>
  <c r="H78" i="117"/>
  <c r="C78" i="117"/>
  <c r="B78" i="117"/>
  <c r="F79" i="117"/>
  <c r="G79" i="117"/>
  <c r="H79" i="117"/>
  <c r="C79" i="117"/>
  <c r="B79" i="117"/>
  <c r="F80" i="117"/>
  <c r="G80" i="117"/>
  <c r="H80" i="117"/>
  <c r="C80" i="117"/>
  <c r="B80" i="117"/>
  <c r="F81" i="117"/>
  <c r="G81" i="117"/>
  <c r="H81" i="117"/>
  <c r="C81" i="117"/>
  <c r="B81" i="117"/>
  <c r="F82" i="117"/>
  <c r="G82" i="117"/>
  <c r="H82" i="117"/>
  <c r="C82" i="117"/>
  <c r="B82" i="117"/>
  <c r="F83" i="117"/>
  <c r="G83" i="117"/>
  <c r="H83" i="117"/>
  <c r="C83" i="117"/>
  <c r="B83" i="117"/>
  <c r="F84" i="117"/>
  <c r="G84" i="117"/>
  <c r="H84" i="117"/>
  <c r="C84" i="117"/>
  <c r="B84" i="117"/>
  <c r="F85" i="117"/>
  <c r="G85" i="117"/>
  <c r="H85" i="117"/>
  <c r="C85" i="117"/>
  <c r="B85" i="117"/>
  <c r="F86" i="117"/>
  <c r="G86" i="117"/>
  <c r="H86" i="117"/>
  <c r="C86" i="117"/>
  <c r="B86" i="117"/>
  <c r="F87" i="117"/>
  <c r="G87" i="117"/>
  <c r="H87" i="117"/>
  <c r="C87" i="117"/>
  <c r="B87" i="117"/>
  <c r="F88" i="117"/>
  <c r="G88" i="117"/>
  <c r="H88" i="117"/>
  <c r="C88" i="117"/>
  <c r="B88" i="117"/>
  <c r="F89" i="117"/>
  <c r="G89" i="117"/>
  <c r="H89" i="117"/>
  <c r="C89" i="117"/>
  <c r="B89" i="117"/>
  <c r="F90" i="117"/>
  <c r="G90" i="117"/>
  <c r="H90" i="117"/>
  <c r="C90" i="117"/>
  <c r="B90" i="117"/>
  <c r="F91" i="117"/>
  <c r="G91" i="117"/>
  <c r="H91" i="117"/>
  <c r="C91" i="117"/>
  <c r="B91" i="117"/>
  <c r="F92" i="117"/>
  <c r="G92" i="117"/>
  <c r="H92" i="117"/>
  <c r="C92" i="117"/>
  <c r="B92" i="117"/>
  <c r="F93" i="117"/>
  <c r="G93" i="117"/>
  <c r="H93" i="117"/>
  <c r="C93" i="117"/>
  <c r="B93" i="117"/>
  <c r="F94" i="117"/>
  <c r="G94" i="117"/>
  <c r="H94" i="117"/>
  <c r="C94" i="117"/>
  <c r="B94" i="117"/>
  <c r="F95" i="117"/>
  <c r="G95" i="117"/>
  <c r="H95" i="117"/>
  <c r="C95" i="117"/>
  <c r="B95" i="117"/>
  <c r="F96" i="117"/>
  <c r="G96" i="117"/>
  <c r="H96" i="117"/>
  <c r="C96" i="117"/>
  <c r="B96" i="117"/>
  <c r="F97" i="117"/>
  <c r="G97" i="117"/>
  <c r="H97" i="117"/>
  <c r="C97" i="117"/>
  <c r="B97" i="117"/>
  <c r="F98" i="117"/>
  <c r="G98" i="117"/>
  <c r="H98" i="117"/>
  <c r="C98" i="117"/>
  <c r="B98" i="117"/>
  <c r="F99" i="117"/>
  <c r="G99" i="117"/>
  <c r="H99" i="117"/>
  <c r="C99" i="117"/>
  <c r="B99" i="117"/>
  <c r="F100" i="117"/>
  <c r="G100" i="117"/>
  <c r="H100" i="117"/>
  <c r="C100" i="117"/>
  <c r="B100" i="117"/>
  <c r="F101" i="117"/>
  <c r="G101" i="117"/>
  <c r="H101" i="117"/>
  <c r="C101" i="117"/>
  <c r="B101" i="117"/>
  <c r="F102" i="117"/>
  <c r="G102" i="117"/>
  <c r="H102" i="117"/>
  <c r="C102" i="117"/>
  <c r="B102" i="117"/>
  <c r="F103" i="117"/>
  <c r="G103" i="117"/>
  <c r="H103" i="117"/>
  <c r="C103" i="117"/>
  <c r="B103" i="117"/>
  <c r="F104" i="117"/>
  <c r="G104" i="117"/>
  <c r="H104" i="117"/>
  <c r="C104" i="117"/>
  <c r="B104" i="117"/>
  <c r="F105" i="117"/>
  <c r="G105" i="117"/>
  <c r="H105" i="117"/>
  <c r="C105" i="117"/>
  <c r="B105" i="117"/>
  <c r="F106" i="117"/>
  <c r="G106" i="117"/>
  <c r="H106" i="117"/>
  <c r="C106" i="117"/>
  <c r="B106" i="117"/>
  <c r="F107" i="117"/>
  <c r="G107" i="117"/>
  <c r="H107" i="117"/>
  <c r="C107" i="117"/>
  <c r="B107" i="117"/>
  <c r="F108" i="117"/>
  <c r="G108" i="117"/>
  <c r="H108" i="117"/>
  <c r="C108" i="117"/>
  <c r="B108" i="117"/>
  <c r="F109" i="117"/>
  <c r="G109" i="117"/>
  <c r="H109" i="117"/>
  <c r="C109" i="117"/>
  <c r="B109" i="117"/>
  <c r="F110" i="117"/>
  <c r="G110" i="117"/>
  <c r="H110" i="117"/>
  <c r="C110" i="117"/>
  <c r="B110" i="117"/>
  <c r="F111" i="117"/>
  <c r="G111" i="117"/>
  <c r="H111" i="117"/>
  <c r="C111" i="117"/>
  <c r="B111" i="117"/>
  <c r="F112" i="117"/>
  <c r="G112" i="117"/>
  <c r="H112" i="117"/>
  <c r="C112" i="117"/>
  <c r="B112" i="117"/>
  <c r="F113" i="117"/>
  <c r="G113" i="117"/>
  <c r="H113" i="117"/>
  <c r="C113" i="117"/>
  <c r="B113" i="117"/>
  <c r="F114" i="117"/>
  <c r="G114" i="117"/>
  <c r="H114" i="117"/>
  <c r="C114" i="117"/>
  <c r="B114" i="117"/>
  <c r="F115" i="117"/>
  <c r="G115" i="117"/>
  <c r="H115" i="117"/>
  <c r="C115" i="117"/>
  <c r="B115" i="117"/>
  <c r="F116" i="117"/>
  <c r="G116" i="117"/>
  <c r="H116" i="117"/>
  <c r="C116" i="117"/>
  <c r="B116" i="117"/>
  <c r="F117" i="117"/>
  <c r="G117" i="117"/>
  <c r="H117" i="117"/>
  <c r="C117" i="117"/>
  <c r="B117" i="117"/>
  <c r="F118" i="117"/>
  <c r="G118" i="117"/>
  <c r="H118" i="117"/>
  <c r="C118" i="117"/>
  <c r="B118" i="117"/>
  <c r="F119" i="117"/>
  <c r="G119" i="117"/>
  <c r="H119" i="117"/>
  <c r="C119" i="117"/>
  <c r="B119" i="117"/>
  <c r="F120" i="117"/>
  <c r="G120" i="117"/>
  <c r="H120" i="117"/>
  <c r="C120" i="117"/>
  <c r="B120" i="117"/>
  <c r="F121" i="117"/>
  <c r="G121" i="117"/>
  <c r="H121" i="117"/>
  <c r="C121" i="117"/>
  <c r="B121" i="117"/>
  <c r="F122" i="117"/>
  <c r="G122" i="117"/>
  <c r="H122" i="117"/>
  <c r="C122" i="117"/>
  <c r="B122" i="117"/>
  <c r="F123" i="117"/>
  <c r="G123" i="117"/>
  <c r="H123" i="117"/>
  <c r="C123" i="117"/>
  <c r="B123" i="117"/>
  <c r="F124" i="117"/>
  <c r="G124" i="117"/>
  <c r="H124" i="117"/>
  <c r="C124" i="117"/>
  <c r="B124" i="117"/>
  <c r="F125" i="117"/>
  <c r="G125" i="117"/>
  <c r="H125" i="117"/>
  <c r="C125" i="117"/>
  <c r="B125" i="117"/>
  <c r="F126" i="117"/>
  <c r="G126" i="117"/>
  <c r="H126" i="117"/>
  <c r="C126" i="117"/>
  <c r="B126" i="117"/>
  <c r="F127" i="117"/>
  <c r="G127" i="117"/>
  <c r="H127" i="117"/>
  <c r="C127" i="117"/>
  <c r="B127" i="117"/>
  <c r="F128" i="117"/>
  <c r="G128" i="117"/>
  <c r="H128" i="117"/>
  <c r="C128" i="117"/>
  <c r="B128" i="117"/>
  <c r="F129" i="117"/>
  <c r="G129" i="117"/>
  <c r="H129" i="117"/>
  <c r="C129" i="117"/>
  <c r="B129" i="117"/>
  <c r="F130" i="117"/>
  <c r="G130" i="117"/>
  <c r="H130" i="117"/>
  <c r="C130" i="117"/>
  <c r="B130" i="117"/>
  <c r="F131" i="117"/>
  <c r="G131" i="117"/>
  <c r="H131" i="117"/>
  <c r="C131" i="117"/>
  <c r="B131" i="117"/>
  <c r="F132" i="117"/>
  <c r="G132" i="117"/>
  <c r="H132" i="117"/>
  <c r="C132" i="117"/>
  <c r="B132" i="117"/>
  <c r="F133" i="117"/>
  <c r="G133" i="117"/>
  <c r="H133" i="117"/>
  <c r="C133" i="117"/>
  <c r="B133" i="117"/>
  <c r="F134" i="117"/>
  <c r="G134" i="117"/>
  <c r="H134" i="117"/>
  <c r="C134" i="117"/>
  <c r="B134" i="117"/>
  <c r="F135" i="117"/>
  <c r="G135" i="117"/>
  <c r="H135" i="117"/>
  <c r="C135" i="117"/>
  <c r="B135" i="117"/>
  <c r="F136" i="117"/>
  <c r="G136" i="117"/>
  <c r="H136" i="117"/>
  <c r="C136" i="117"/>
  <c r="B136" i="117"/>
  <c r="F137" i="117"/>
  <c r="G137" i="117"/>
  <c r="H137" i="117"/>
  <c r="C137" i="117"/>
  <c r="B137" i="117"/>
  <c r="F138" i="117"/>
  <c r="G138" i="117"/>
  <c r="H138" i="117"/>
  <c r="C138" i="117"/>
  <c r="B138" i="117"/>
  <c r="F139" i="117"/>
  <c r="G139" i="117"/>
  <c r="H139" i="117"/>
  <c r="C139" i="117"/>
  <c r="B139" i="117"/>
  <c r="F140" i="117"/>
  <c r="G140" i="117"/>
  <c r="H140" i="117"/>
  <c r="C140" i="117"/>
  <c r="B140" i="117"/>
  <c r="F141" i="117"/>
  <c r="G141" i="117"/>
  <c r="H141" i="117"/>
  <c r="C141" i="117"/>
  <c r="B141" i="117"/>
  <c r="F142" i="117"/>
  <c r="G142" i="117"/>
  <c r="H142" i="117"/>
  <c r="C142" i="117"/>
  <c r="B142" i="117"/>
  <c r="F143" i="117"/>
  <c r="G143" i="117"/>
  <c r="H143" i="117"/>
  <c r="C143" i="117"/>
  <c r="B143" i="117"/>
  <c r="F144" i="117"/>
  <c r="G144" i="117"/>
  <c r="H144" i="117"/>
  <c r="C144" i="117"/>
  <c r="B144" i="117"/>
  <c r="F145" i="117"/>
  <c r="G145" i="117"/>
  <c r="H145" i="117"/>
  <c r="C145" i="117"/>
  <c r="B145" i="117"/>
  <c r="F146" i="117"/>
  <c r="G146" i="117"/>
  <c r="H146" i="117"/>
  <c r="C146" i="117"/>
  <c r="B146" i="117"/>
  <c r="F147" i="117"/>
  <c r="G147" i="117"/>
  <c r="H147" i="117"/>
  <c r="C147" i="117"/>
  <c r="B147" i="117"/>
  <c r="F148" i="117"/>
  <c r="G148" i="117"/>
  <c r="H148" i="117"/>
  <c r="C148" i="117"/>
  <c r="B148" i="117"/>
  <c r="F149" i="117"/>
  <c r="G149" i="117"/>
  <c r="H149" i="117"/>
  <c r="C149" i="117"/>
  <c r="B149" i="117"/>
  <c r="F150" i="117"/>
  <c r="G150" i="117"/>
  <c r="H150" i="117"/>
  <c r="C150" i="117"/>
  <c r="B150" i="117"/>
  <c r="F151" i="117"/>
  <c r="G151" i="117"/>
  <c r="H151" i="117"/>
  <c r="C151" i="117"/>
  <c r="B151" i="117"/>
  <c r="F152" i="117"/>
  <c r="G152" i="117"/>
  <c r="H152" i="117"/>
  <c r="C152" i="117"/>
  <c r="B152" i="117"/>
  <c r="F153" i="117"/>
  <c r="G153" i="117"/>
  <c r="H153" i="117"/>
  <c r="C153" i="117"/>
  <c r="B153" i="117"/>
  <c r="F154" i="117"/>
  <c r="G154" i="117"/>
  <c r="H154" i="117"/>
  <c r="C154" i="117"/>
  <c r="B154" i="117"/>
  <c r="F155" i="117"/>
  <c r="G155" i="117"/>
  <c r="H155" i="117"/>
  <c r="C155" i="117"/>
  <c r="B155" i="117"/>
  <c r="F156" i="117"/>
  <c r="G156" i="117"/>
  <c r="H156" i="117"/>
  <c r="C156" i="117"/>
  <c r="B156" i="117"/>
  <c r="F157" i="117"/>
  <c r="G157" i="117"/>
  <c r="H157" i="117"/>
  <c r="C157" i="117"/>
  <c r="B157" i="117"/>
  <c r="F158" i="117"/>
  <c r="G158" i="117"/>
  <c r="H158" i="117"/>
  <c r="C158" i="117"/>
  <c r="B158" i="117"/>
  <c r="F159" i="117"/>
  <c r="G159" i="117"/>
  <c r="H159" i="117"/>
  <c r="C159" i="117"/>
  <c r="B159" i="117"/>
  <c r="F160" i="117"/>
  <c r="G160" i="117"/>
  <c r="H160" i="117"/>
  <c r="C160" i="117"/>
  <c r="B160" i="117"/>
  <c r="F161" i="117"/>
  <c r="G161" i="117"/>
  <c r="H161" i="117"/>
  <c r="C161" i="117"/>
  <c r="B161" i="117"/>
  <c r="F162" i="117"/>
  <c r="G162" i="117"/>
  <c r="H162" i="117"/>
  <c r="C162" i="117"/>
  <c r="B162" i="117"/>
  <c r="F163" i="117"/>
  <c r="G163" i="117"/>
  <c r="H163" i="117"/>
  <c r="C163" i="117"/>
  <c r="B163" i="117"/>
  <c r="F164" i="117"/>
  <c r="G164" i="117"/>
  <c r="H164" i="117"/>
  <c r="C164" i="117"/>
  <c r="B164" i="117"/>
  <c r="F165" i="117"/>
  <c r="G165" i="117"/>
  <c r="H165" i="117"/>
  <c r="C165" i="117"/>
  <c r="B165" i="117"/>
  <c r="F166" i="117"/>
  <c r="G166" i="117"/>
  <c r="H166" i="117"/>
  <c r="C166" i="117"/>
  <c r="B166" i="117"/>
  <c r="F167" i="117"/>
  <c r="G167" i="117"/>
  <c r="H167" i="117"/>
  <c r="C167" i="117"/>
  <c r="B167" i="117"/>
  <c r="F168" i="117"/>
  <c r="G168" i="117"/>
  <c r="H168" i="117"/>
  <c r="C168" i="117"/>
  <c r="B168" i="117"/>
  <c r="F169" i="117"/>
  <c r="G169" i="117"/>
  <c r="H169" i="117"/>
  <c r="C169" i="117"/>
  <c r="B169" i="117"/>
  <c r="F170" i="117"/>
  <c r="G170" i="117"/>
  <c r="H170" i="117"/>
  <c r="C170" i="117"/>
  <c r="B170" i="117"/>
  <c r="F171" i="117"/>
  <c r="G171" i="117"/>
  <c r="H171" i="117"/>
  <c r="C171" i="117"/>
  <c r="B171" i="117"/>
  <c r="F172" i="117"/>
  <c r="G172" i="117"/>
  <c r="H172" i="117"/>
  <c r="C172" i="117"/>
  <c r="B172" i="117"/>
  <c r="F173" i="117"/>
  <c r="G173" i="117"/>
  <c r="H173" i="117"/>
  <c r="C173" i="117"/>
  <c r="B173" i="117"/>
  <c r="F174" i="117"/>
  <c r="G174" i="117"/>
  <c r="H174" i="117"/>
  <c r="C174" i="117"/>
  <c r="B174" i="117"/>
  <c r="F175" i="117"/>
  <c r="G175" i="117"/>
  <c r="H175" i="117"/>
  <c r="C175" i="117"/>
  <c r="B175" i="117"/>
  <c r="F176" i="117"/>
  <c r="G176" i="117"/>
  <c r="H176" i="117"/>
  <c r="C176" i="117"/>
  <c r="B176" i="117"/>
  <c r="F177" i="117"/>
  <c r="G177" i="117"/>
  <c r="H177" i="117"/>
  <c r="C177" i="117"/>
  <c r="B177" i="117"/>
  <c r="F178" i="117"/>
  <c r="G178" i="117"/>
  <c r="H178" i="117"/>
  <c r="C178" i="117"/>
  <c r="B178" i="117"/>
  <c r="F179" i="117"/>
  <c r="G179" i="117"/>
  <c r="H179" i="117"/>
  <c r="C179" i="117"/>
  <c r="B179" i="117"/>
  <c r="F180" i="117"/>
  <c r="G180" i="117"/>
  <c r="H180" i="117"/>
  <c r="C180" i="117"/>
  <c r="B180" i="117"/>
  <c r="F181" i="117"/>
  <c r="G181" i="117"/>
  <c r="H181" i="117"/>
  <c r="C181" i="117"/>
  <c r="B181" i="117"/>
  <c r="F182" i="117"/>
  <c r="G182" i="117"/>
  <c r="H182" i="117"/>
  <c r="C182" i="117"/>
  <c r="B182" i="117"/>
  <c r="F183" i="117"/>
  <c r="G183" i="117"/>
  <c r="H183" i="117"/>
  <c r="C183" i="117"/>
  <c r="B183" i="117"/>
  <c r="F184" i="117"/>
  <c r="G184" i="117"/>
  <c r="H184" i="117"/>
  <c r="C184" i="117"/>
  <c r="B184" i="117"/>
  <c r="F185" i="117"/>
  <c r="G185" i="117"/>
  <c r="H185" i="117"/>
  <c r="C185" i="117"/>
  <c r="B185" i="117"/>
  <c r="F186" i="117"/>
  <c r="G186" i="117"/>
  <c r="H186" i="117"/>
  <c r="C186" i="117"/>
  <c r="B186" i="117"/>
  <c r="F187" i="117"/>
  <c r="G187" i="117"/>
  <c r="H187" i="117"/>
  <c r="C187" i="117"/>
  <c r="B187" i="117"/>
  <c r="F188" i="117"/>
  <c r="G188" i="117"/>
  <c r="H188" i="117"/>
  <c r="C188" i="117"/>
  <c r="B188" i="117"/>
  <c r="F189" i="117"/>
  <c r="G189" i="117"/>
  <c r="H189" i="117"/>
  <c r="C189" i="117"/>
  <c r="B189" i="117"/>
  <c r="F190" i="117"/>
  <c r="G190" i="117"/>
  <c r="H190" i="117"/>
  <c r="C190" i="117"/>
  <c r="B190" i="117"/>
  <c r="F191" i="117"/>
  <c r="G191" i="117"/>
  <c r="H191" i="117"/>
  <c r="C191" i="117"/>
  <c r="B191" i="117"/>
  <c r="F192" i="117"/>
  <c r="G192" i="117"/>
  <c r="H192" i="117"/>
  <c r="C192" i="117"/>
  <c r="B192" i="117"/>
  <c r="F193" i="117"/>
  <c r="G193" i="117"/>
  <c r="H193" i="117"/>
  <c r="C193" i="117"/>
  <c r="B193" i="117"/>
  <c r="F194" i="117"/>
  <c r="G194" i="117"/>
  <c r="H194" i="117"/>
  <c r="C194" i="117"/>
  <c r="B194" i="117"/>
  <c r="F195" i="117"/>
  <c r="G195" i="117"/>
  <c r="H195" i="117"/>
  <c r="C195" i="117"/>
  <c r="B195" i="117"/>
  <c r="F196" i="117"/>
  <c r="G196" i="117"/>
  <c r="H196" i="117"/>
  <c r="C196" i="117"/>
  <c r="B196" i="117"/>
  <c r="F197" i="117"/>
  <c r="G197" i="117"/>
  <c r="H197" i="117"/>
  <c r="C197" i="117"/>
  <c r="B197" i="117"/>
  <c r="F198" i="117"/>
  <c r="G198" i="117"/>
  <c r="H198" i="117"/>
  <c r="C198" i="117"/>
  <c r="B198" i="117"/>
  <c r="F199" i="117"/>
  <c r="G199" i="117"/>
  <c r="H199" i="117"/>
  <c r="C199" i="117"/>
  <c r="B199" i="117"/>
  <c r="F200" i="117"/>
  <c r="G200" i="117"/>
  <c r="H200" i="117"/>
  <c r="C200" i="117"/>
  <c r="B200" i="117"/>
  <c r="F201" i="117"/>
  <c r="G201" i="117"/>
  <c r="H201" i="117"/>
  <c r="C201" i="117"/>
  <c r="B201" i="117"/>
  <c r="F202" i="117"/>
  <c r="G202" i="117"/>
  <c r="H202" i="117"/>
  <c r="C202" i="117"/>
  <c r="B202" i="117"/>
  <c r="F203" i="117"/>
  <c r="G203" i="117"/>
  <c r="H203" i="117"/>
  <c r="C203" i="117"/>
  <c r="B203" i="117"/>
  <c r="F204" i="117"/>
  <c r="G204" i="117"/>
  <c r="H204" i="117"/>
  <c r="C204" i="117"/>
  <c r="B204" i="117"/>
  <c r="F205" i="117"/>
  <c r="G205" i="117"/>
  <c r="H205" i="117"/>
  <c r="C205" i="117"/>
  <c r="B205" i="117"/>
  <c r="F206" i="117"/>
  <c r="G206" i="117"/>
  <c r="H206" i="117"/>
  <c r="C206" i="117"/>
  <c r="B206" i="117"/>
  <c r="F207" i="117"/>
  <c r="G207" i="117"/>
  <c r="H207" i="117"/>
  <c r="C207" i="117"/>
  <c r="B207" i="117"/>
  <c r="F208" i="117"/>
  <c r="G208" i="117"/>
  <c r="H208" i="117"/>
  <c r="C208" i="117"/>
  <c r="B208" i="117"/>
  <c r="F209" i="117"/>
  <c r="G209" i="117"/>
  <c r="H209" i="117"/>
  <c r="C209" i="117"/>
  <c r="B209" i="117"/>
  <c r="F210" i="117"/>
  <c r="G210" i="117"/>
  <c r="H210" i="117"/>
  <c r="C210" i="117"/>
  <c r="B210" i="117"/>
  <c r="F211" i="117"/>
  <c r="G211" i="117"/>
  <c r="H211" i="117"/>
  <c r="C211" i="117"/>
  <c r="B211" i="117"/>
  <c r="F212" i="117"/>
  <c r="G212" i="117"/>
  <c r="H212" i="117"/>
  <c r="C212" i="117"/>
  <c r="B212" i="117"/>
  <c r="F213" i="117"/>
  <c r="G213" i="117"/>
  <c r="H213" i="117"/>
  <c r="C213" i="117"/>
  <c r="B213" i="117"/>
  <c r="F214" i="117"/>
  <c r="G214" i="117"/>
  <c r="H214" i="117"/>
  <c r="C214" i="117"/>
  <c r="B214" i="117"/>
  <c r="F215" i="117"/>
  <c r="G215" i="117"/>
  <c r="H215" i="117"/>
  <c r="C215" i="117"/>
  <c r="B215" i="117"/>
  <c r="F216" i="117"/>
  <c r="G216" i="117"/>
  <c r="H216" i="117"/>
  <c r="C216" i="117"/>
  <c r="B216" i="117"/>
  <c r="F217" i="117"/>
  <c r="G217" i="117"/>
  <c r="H217" i="117"/>
  <c r="C217" i="117"/>
  <c r="B217" i="117"/>
  <c r="F218" i="117"/>
  <c r="G218" i="117"/>
  <c r="H218" i="117"/>
  <c r="C218" i="117"/>
  <c r="B218" i="117"/>
  <c r="F219" i="117"/>
  <c r="G219" i="117"/>
  <c r="H219" i="117"/>
  <c r="C219" i="117"/>
  <c r="B219" i="117"/>
  <c r="F220" i="117"/>
  <c r="G220" i="117"/>
  <c r="H220" i="117"/>
  <c r="C220" i="117"/>
  <c r="B220" i="117"/>
  <c r="F221" i="117"/>
  <c r="G221" i="117"/>
  <c r="H221" i="117"/>
  <c r="C221" i="117"/>
  <c r="B221" i="117"/>
  <c r="F222" i="117"/>
  <c r="G222" i="117"/>
  <c r="H222" i="117"/>
  <c r="C222" i="117"/>
  <c r="B222" i="117"/>
  <c r="F223" i="117"/>
  <c r="G223" i="117"/>
  <c r="H223" i="117"/>
  <c r="C223" i="117"/>
  <c r="B223" i="117"/>
  <c r="F224" i="117"/>
  <c r="G224" i="117"/>
  <c r="H224" i="117"/>
  <c r="C224" i="117"/>
  <c r="B224" i="117"/>
  <c r="F225" i="117"/>
  <c r="G225" i="117"/>
  <c r="H225" i="117"/>
  <c r="C225" i="117"/>
  <c r="B225" i="117"/>
  <c r="F226" i="117"/>
  <c r="G226" i="117"/>
  <c r="H226" i="117"/>
  <c r="C226" i="117"/>
  <c r="B226" i="117"/>
  <c r="F227" i="117"/>
  <c r="G227" i="117"/>
  <c r="H227" i="117"/>
  <c r="C227" i="117"/>
  <c r="B227" i="117"/>
  <c r="F228" i="117"/>
  <c r="G228" i="117"/>
  <c r="H228" i="117"/>
  <c r="C228" i="117"/>
  <c r="B228" i="117"/>
  <c r="F229" i="117"/>
  <c r="G229" i="117"/>
  <c r="H229" i="117"/>
  <c r="C229" i="117"/>
  <c r="B229" i="117"/>
  <c r="F230" i="117"/>
  <c r="G230" i="117"/>
  <c r="H230" i="117"/>
  <c r="C230" i="117"/>
  <c r="B230" i="117"/>
  <c r="F231" i="117"/>
  <c r="G231" i="117"/>
  <c r="H231" i="117"/>
  <c r="C231" i="117"/>
  <c r="B231" i="117"/>
  <c r="F232" i="117"/>
  <c r="G232" i="117"/>
  <c r="H232" i="117"/>
  <c r="C232" i="117"/>
  <c r="B232" i="117"/>
  <c r="F233" i="117"/>
  <c r="G233" i="117"/>
  <c r="H233" i="117"/>
  <c r="C233" i="117"/>
  <c r="B233" i="117"/>
  <c r="F234" i="117"/>
  <c r="G234" i="117"/>
  <c r="H234" i="117"/>
  <c r="C234" i="117"/>
  <c r="B234" i="117"/>
  <c r="F235" i="117"/>
  <c r="G235" i="117"/>
  <c r="H235" i="117"/>
  <c r="C235" i="117"/>
  <c r="B235" i="117"/>
  <c r="F236" i="117"/>
  <c r="G236" i="117"/>
  <c r="H236" i="117"/>
  <c r="C236" i="117"/>
  <c r="B236" i="117"/>
  <c r="F237" i="117"/>
  <c r="G237" i="117"/>
  <c r="H237" i="117"/>
  <c r="C237" i="117"/>
  <c r="B237" i="117"/>
  <c r="F238" i="117"/>
  <c r="G238" i="117"/>
  <c r="H238" i="117"/>
  <c r="C238" i="117"/>
  <c r="B238" i="117"/>
  <c r="F239" i="117"/>
  <c r="G239" i="117"/>
  <c r="H239" i="117"/>
  <c r="C239" i="117"/>
  <c r="B239" i="117"/>
  <c r="F240" i="117"/>
  <c r="G240" i="117"/>
  <c r="H240" i="117"/>
  <c r="C240" i="117"/>
  <c r="B240" i="117"/>
  <c r="F241" i="117"/>
  <c r="G241" i="117"/>
  <c r="H241" i="117"/>
  <c r="C241" i="117"/>
  <c r="B241" i="117"/>
  <c r="F242" i="117"/>
  <c r="G242" i="117"/>
  <c r="H242" i="117"/>
  <c r="C242" i="117"/>
  <c r="B242" i="117"/>
  <c r="F243" i="117"/>
  <c r="G243" i="117"/>
  <c r="H243" i="117"/>
  <c r="C243" i="117"/>
  <c r="B243" i="117"/>
  <c r="F244" i="117"/>
  <c r="G244" i="117"/>
  <c r="H244" i="117"/>
  <c r="C244" i="117"/>
  <c r="B244" i="117"/>
  <c r="F245" i="117"/>
  <c r="G245" i="117"/>
  <c r="H245" i="117"/>
  <c r="C245" i="117"/>
  <c r="B245" i="117"/>
  <c r="M246" i="117"/>
  <c r="K246" i="117"/>
  <c r="J246" i="117"/>
  <c r="I246" i="117"/>
  <c r="E246" i="117"/>
  <c r="S245" i="117"/>
  <c r="R245" i="117"/>
  <c r="Q245" i="117"/>
  <c r="P245" i="117"/>
  <c r="O245" i="117"/>
  <c r="N245" i="117"/>
  <c r="M245" i="117"/>
  <c r="K245" i="117"/>
  <c r="J245" i="117"/>
  <c r="I245" i="117"/>
  <c r="E245" i="117"/>
  <c r="S244" i="117"/>
  <c r="R244" i="117"/>
  <c r="Q244" i="117"/>
  <c r="P244" i="117"/>
  <c r="O244" i="117"/>
  <c r="N244" i="117"/>
  <c r="M244" i="117"/>
  <c r="K244" i="117"/>
  <c r="J244" i="117"/>
  <c r="I244" i="117"/>
  <c r="E244" i="117"/>
  <c r="S243" i="117"/>
  <c r="R243" i="117"/>
  <c r="Q243" i="117"/>
  <c r="P243" i="117"/>
  <c r="O243" i="117"/>
  <c r="N243" i="117"/>
  <c r="M243" i="117"/>
  <c r="K243" i="117"/>
  <c r="J243" i="117"/>
  <c r="I243" i="117"/>
  <c r="E243" i="117"/>
  <c r="S242" i="117"/>
  <c r="R242" i="117"/>
  <c r="Q242" i="117"/>
  <c r="P242" i="117"/>
  <c r="O242" i="117"/>
  <c r="N242" i="117"/>
  <c r="M242" i="117"/>
  <c r="K242" i="117"/>
  <c r="J242" i="117"/>
  <c r="I242" i="117"/>
  <c r="E242" i="117"/>
  <c r="S241" i="117"/>
  <c r="R241" i="117"/>
  <c r="Q241" i="117"/>
  <c r="P241" i="117"/>
  <c r="O241" i="117"/>
  <c r="N241" i="117"/>
  <c r="M241" i="117"/>
  <c r="K241" i="117"/>
  <c r="J241" i="117"/>
  <c r="I241" i="117"/>
  <c r="E241" i="117"/>
  <c r="S240" i="117"/>
  <c r="R240" i="117"/>
  <c r="Q240" i="117"/>
  <c r="P240" i="117"/>
  <c r="O240" i="117"/>
  <c r="N240" i="117"/>
  <c r="M240" i="117"/>
  <c r="K240" i="117"/>
  <c r="J240" i="117"/>
  <c r="I240" i="117"/>
  <c r="E240" i="117"/>
  <c r="S239" i="117"/>
  <c r="R239" i="117"/>
  <c r="Q239" i="117"/>
  <c r="P239" i="117"/>
  <c r="O239" i="117"/>
  <c r="N239" i="117"/>
  <c r="M239" i="117"/>
  <c r="K239" i="117"/>
  <c r="J239" i="117"/>
  <c r="I239" i="117"/>
  <c r="E239" i="117"/>
  <c r="S238" i="117"/>
  <c r="R238" i="117"/>
  <c r="Q238" i="117"/>
  <c r="P238" i="117"/>
  <c r="O238" i="117"/>
  <c r="N238" i="117"/>
  <c r="M238" i="117"/>
  <c r="K238" i="117"/>
  <c r="J238" i="117"/>
  <c r="I238" i="117"/>
  <c r="E238" i="117"/>
  <c r="S237" i="117"/>
  <c r="R237" i="117"/>
  <c r="Q237" i="117"/>
  <c r="P237" i="117"/>
  <c r="O237" i="117"/>
  <c r="N237" i="117"/>
  <c r="M237" i="117"/>
  <c r="K237" i="117"/>
  <c r="J237" i="117"/>
  <c r="I237" i="117"/>
  <c r="E237" i="117"/>
  <c r="S236" i="117"/>
  <c r="R236" i="117"/>
  <c r="Q236" i="117"/>
  <c r="P236" i="117"/>
  <c r="O236" i="117"/>
  <c r="N236" i="117"/>
  <c r="M236" i="117"/>
  <c r="K236" i="117"/>
  <c r="J236" i="117"/>
  <c r="I236" i="117"/>
  <c r="E236" i="117"/>
  <c r="S235" i="117"/>
  <c r="R235" i="117"/>
  <c r="Q235" i="117"/>
  <c r="P235" i="117"/>
  <c r="O235" i="117"/>
  <c r="N235" i="117"/>
  <c r="M235" i="117"/>
  <c r="K235" i="117"/>
  <c r="J235" i="117"/>
  <c r="I235" i="117"/>
  <c r="E235" i="117"/>
  <c r="S234" i="117"/>
  <c r="R234" i="117"/>
  <c r="Q234" i="117"/>
  <c r="P234" i="117"/>
  <c r="O234" i="117"/>
  <c r="N234" i="117"/>
  <c r="M234" i="117"/>
  <c r="K234" i="117"/>
  <c r="J234" i="117"/>
  <c r="I234" i="117"/>
  <c r="E234" i="117"/>
  <c r="S233" i="117"/>
  <c r="R233" i="117"/>
  <c r="Q233" i="117"/>
  <c r="P233" i="117"/>
  <c r="O233" i="117"/>
  <c r="N233" i="117"/>
  <c r="M233" i="117"/>
  <c r="K233" i="117"/>
  <c r="J233" i="117"/>
  <c r="I233" i="117"/>
  <c r="E233" i="117"/>
  <c r="S232" i="117"/>
  <c r="R232" i="117"/>
  <c r="Q232" i="117"/>
  <c r="P232" i="117"/>
  <c r="O232" i="117"/>
  <c r="N232" i="117"/>
  <c r="M232" i="117"/>
  <c r="K232" i="117"/>
  <c r="J232" i="117"/>
  <c r="I232" i="117"/>
  <c r="E232" i="117"/>
  <c r="S231" i="117"/>
  <c r="R231" i="117"/>
  <c r="Q231" i="117"/>
  <c r="P231" i="117"/>
  <c r="O231" i="117"/>
  <c r="N231" i="117"/>
  <c r="M231" i="117"/>
  <c r="K231" i="117"/>
  <c r="J231" i="117"/>
  <c r="I231" i="117"/>
  <c r="E231" i="117"/>
  <c r="S230" i="117"/>
  <c r="R230" i="117"/>
  <c r="Q230" i="117"/>
  <c r="P230" i="117"/>
  <c r="O230" i="117"/>
  <c r="N230" i="117"/>
  <c r="M230" i="117"/>
  <c r="K230" i="117"/>
  <c r="J230" i="117"/>
  <c r="I230" i="117"/>
  <c r="E230" i="117"/>
  <c r="S229" i="117"/>
  <c r="R229" i="117"/>
  <c r="Q229" i="117"/>
  <c r="P229" i="117"/>
  <c r="O229" i="117"/>
  <c r="N229" i="117"/>
  <c r="M229" i="117"/>
  <c r="K229" i="117"/>
  <c r="J229" i="117"/>
  <c r="I229" i="117"/>
  <c r="E229" i="117"/>
  <c r="S228" i="117"/>
  <c r="R228" i="117"/>
  <c r="Q228" i="117"/>
  <c r="P228" i="117"/>
  <c r="O228" i="117"/>
  <c r="N228" i="117"/>
  <c r="M228" i="117"/>
  <c r="K228" i="117"/>
  <c r="J228" i="117"/>
  <c r="I228" i="117"/>
  <c r="E228" i="117"/>
  <c r="S227" i="117"/>
  <c r="R227" i="117"/>
  <c r="Q227" i="117"/>
  <c r="P227" i="117"/>
  <c r="O227" i="117"/>
  <c r="N227" i="117"/>
  <c r="M227" i="117"/>
  <c r="K227" i="117"/>
  <c r="J227" i="117"/>
  <c r="I227" i="117"/>
  <c r="E227" i="117"/>
  <c r="S226" i="117"/>
  <c r="R226" i="117"/>
  <c r="Q226" i="117"/>
  <c r="P226" i="117"/>
  <c r="O226" i="117"/>
  <c r="N226" i="117"/>
  <c r="M226" i="117"/>
  <c r="K226" i="117"/>
  <c r="J226" i="117"/>
  <c r="I226" i="117"/>
  <c r="E226" i="117"/>
  <c r="S225" i="117"/>
  <c r="R225" i="117"/>
  <c r="Q225" i="117"/>
  <c r="P225" i="117"/>
  <c r="O225" i="117"/>
  <c r="N225" i="117"/>
  <c r="M225" i="117"/>
  <c r="K225" i="117"/>
  <c r="J225" i="117"/>
  <c r="I225" i="117"/>
  <c r="E225" i="117"/>
  <c r="S224" i="117"/>
  <c r="R224" i="117"/>
  <c r="Q224" i="117"/>
  <c r="P224" i="117"/>
  <c r="O224" i="117"/>
  <c r="N224" i="117"/>
  <c r="M224" i="117"/>
  <c r="K224" i="117"/>
  <c r="J224" i="117"/>
  <c r="I224" i="117"/>
  <c r="E224" i="117"/>
  <c r="S223" i="117"/>
  <c r="R223" i="117"/>
  <c r="Q223" i="117"/>
  <c r="P223" i="117"/>
  <c r="O223" i="117"/>
  <c r="N223" i="117"/>
  <c r="M223" i="117"/>
  <c r="K223" i="117"/>
  <c r="J223" i="117"/>
  <c r="I223" i="117"/>
  <c r="E223" i="117"/>
  <c r="S222" i="117"/>
  <c r="R222" i="117"/>
  <c r="Q222" i="117"/>
  <c r="P222" i="117"/>
  <c r="O222" i="117"/>
  <c r="N222" i="117"/>
  <c r="M222" i="117"/>
  <c r="K222" i="117"/>
  <c r="J222" i="117"/>
  <c r="I222" i="117"/>
  <c r="E222" i="117"/>
  <c r="S221" i="117"/>
  <c r="R221" i="117"/>
  <c r="Q221" i="117"/>
  <c r="P221" i="117"/>
  <c r="O221" i="117"/>
  <c r="N221" i="117"/>
  <c r="M221" i="117"/>
  <c r="K221" i="117"/>
  <c r="J221" i="117"/>
  <c r="I221" i="117"/>
  <c r="E221" i="117"/>
  <c r="S220" i="117"/>
  <c r="R220" i="117"/>
  <c r="Q220" i="117"/>
  <c r="P220" i="117"/>
  <c r="O220" i="117"/>
  <c r="N220" i="117"/>
  <c r="M220" i="117"/>
  <c r="K220" i="117"/>
  <c r="J220" i="117"/>
  <c r="I220" i="117"/>
  <c r="E220" i="117"/>
  <c r="S219" i="117"/>
  <c r="R219" i="117"/>
  <c r="Q219" i="117"/>
  <c r="P219" i="117"/>
  <c r="O219" i="117"/>
  <c r="N219" i="117"/>
  <c r="M219" i="117"/>
  <c r="K219" i="117"/>
  <c r="J219" i="117"/>
  <c r="I219" i="117"/>
  <c r="E219" i="117"/>
  <c r="S218" i="117"/>
  <c r="R218" i="117"/>
  <c r="Q218" i="117"/>
  <c r="P218" i="117"/>
  <c r="O218" i="117"/>
  <c r="N218" i="117"/>
  <c r="M218" i="117"/>
  <c r="K218" i="117"/>
  <c r="J218" i="117"/>
  <c r="I218" i="117"/>
  <c r="E218" i="117"/>
  <c r="S217" i="117"/>
  <c r="R217" i="117"/>
  <c r="Q217" i="117"/>
  <c r="P217" i="117"/>
  <c r="O217" i="117"/>
  <c r="N217" i="117"/>
  <c r="M217" i="117"/>
  <c r="K217" i="117"/>
  <c r="J217" i="117"/>
  <c r="I217" i="117"/>
  <c r="E217" i="117"/>
  <c r="S216" i="117"/>
  <c r="R216" i="117"/>
  <c r="Q216" i="117"/>
  <c r="P216" i="117"/>
  <c r="O216" i="117"/>
  <c r="N216" i="117"/>
  <c r="M216" i="117"/>
  <c r="K216" i="117"/>
  <c r="J216" i="117"/>
  <c r="I216" i="117"/>
  <c r="E216" i="117"/>
  <c r="S215" i="117"/>
  <c r="R215" i="117"/>
  <c r="Q215" i="117"/>
  <c r="P215" i="117"/>
  <c r="O215" i="117"/>
  <c r="N215" i="117"/>
  <c r="M215" i="117"/>
  <c r="K215" i="117"/>
  <c r="J215" i="117"/>
  <c r="I215" i="117"/>
  <c r="E215" i="117"/>
  <c r="S214" i="117"/>
  <c r="R214" i="117"/>
  <c r="Q214" i="117"/>
  <c r="P214" i="117"/>
  <c r="O214" i="117"/>
  <c r="N214" i="117"/>
  <c r="M214" i="117"/>
  <c r="K214" i="117"/>
  <c r="J214" i="117"/>
  <c r="I214" i="117"/>
  <c r="E214" i="117"/>
  <c r="S213" i="117"/>
  <c r="R213" i="117"/>
  <c r="Q213" i="117"/>
  <c r="P213" i="117"/>
  <c r="O213" i="117"/>
  <c r="N213" i="117"/>
  <c r="M213" i="117"/>
  <c r="K213" i="117"/>
  <c r="J213" i="117"/>
  <c r="I213" i="117"/>
  <c r="E213" i="117"/>
  <c r="S212" i="117"/>
  <c r="R212" i="117"/>
  <c r="Q212" i="117"/>
  <c r="P212" i="117"/>
  <c r="O212" i="117"/>
  <c r="N212" i="117"/>
  <c r="M212" i="117"/>
  <c r="K212" i="117"/>
  <c r="J212" i="117"/>
  <c r="I212" i="117"/>
  <c r="E212" i="117"/>
  <c r="S211" i="117"/>
  <c r="R211" i="117"/>
  <c r="Q211" i="117"/>
  <c r="P211" i="117"/>
  <c r="O211" i="117"/>
  <c r="N211" i="117"/>
  <c r="M211" i="117"/>
  <c r="K211" i="117"/>
  <c r="J211" i="117"/>
  <c r="I211" i="117"/>
  <c r="E211" i="117"/>
  <c r="S210" i="117"/>
  <c r="R210" i="117"/>
  <c r="Q210" i="117"/>
  <c r="P210" i="117"/>
  <c r="O210" i="117"/>
  <c r="N210" i="117"/>
  <c r="M210" i="117"/>
  <c r="K210" i="117"/>
  <c r="J210" i="117"/>
  <c r="I210" i="117"/>
  <c r="E210" i="117"/>
  <c r="S209" i="117"/>
  <c r="R209" i="117"/>
  <c r="Q209" i="117"/>
  <c r="P209" i="117"/>
  <c r="O209" i="117"/>
  <c r="N209" i="117"/>
  <c r="M209" i="117"/>
  <c r="K209" i="117"/>
  <c r="J209" i="117"/>
  <c r="I209" i="117"/>
  <c r="E209" i="117"/>
  <c r="S208" i="117"/>
  <c r="R208" i="117"/>
  <c r="Q208" i="117"/>
  <c r="P208" i="117"/>
  <c r="O208" i="117"/>
  <c r="N208" i="117"/>
  <c r="M208" i="117"/>
  <c r="K208" i="117"/>
  <c r="J208" i="117"/>
  <c r="I208" i="117"/>
  <c r="E208" i="117"/>
  <c r="S207" i="117"/>
  <c r="R207" i="117"/>
  <c r="Q207" i="117"/>
  <c r="P207" i="117"/>
  <c r="O207" i="117"/>
  <c r="N207" i="117"/>
  <c r="M207" i="117"/>
  <c r="K207" i="117"/>
  <c r="J207" i="117"/>
  <c r="I207" i="117"/>
  <c r="E207" i="117"/>
  <c r="S206" i="117"/>
  <c r="R206" i="117"/>
  <c r="Q206" i="117"/>
  <c r="P206" i="117"/>
  <c r="O206" i="117"/>
  <c r="N206" i="117"/>
  <c r="M206" i="117"/>
  <c r="K206" i="117"/>
  <c r="J206" i="117"/>
  <c r="I206" i="117"/>
  <c r="E206" i="117"/>
  <c r="S205" i="117"/>
  <c r="R205" i="117"/>
  <c r="Q205" i="117"/>
  <c r="P205" i="117"/>
  <c r="O205" i="117"/>
  <c r="N205" i="117"/>
  <c r="M205" i="117"/>
  <c r="K205" i="117"/>
  <c r="J205" i="117"/>
  <c r="I205" i="117"/>
  <c r="E205" i="117"/>
  <c r="S204" i="117"/>
  <c r="R204" i="117"/>
  <c r="Q204" i="117"/>
  <c r="P204" i="117"/>
  <c r="O204" i="117"/>
  <c r="N204" i="117"/>
  <c r="M204" i="117"/>
  <c r="K204" i="117"/>
  <c r="J204" i="117"/>
  <c r="I204" i="117"/>
  <c r="E204" i="117"/>
  <c r="S203" i="117"/>
  <c r="R203" i="117"/>
  <c r="Q203" i="117"/>
  <c r="P203" i="117"/>
  <c r="O203" i="117"/>
  <c r="N203" i="117"/>
  <c r="M203" i="117"/>
  <c r="K203" i="117"/>
  <c r="J203" i="117"/>
  <c r="I203" i="117"/>
  <c r="E203" i="117"/>
  <c r="S202" i="117"/>
  <c r="R202" i="117"/>
  <c r="Q202" i="117"/>
  <c r="P202" i="117"/>
  <c r="O202" i="117"/>
  <c r="N202" i="117"/>
  <c r="M202" i="117"/>
  <c r="K202" i="117"/>
  <c r="J202" i="117"/>
  <c r="I202" i="117"/>
  <c r="E202" i="117"/>
  <c r="S201" i="117"/>
  <c r="R201" i="117"/>
  <c r="Q201" i="117"/>
  <c r="P201" i="117"/>
  <c r="O201" i="117"/>
  <c r="N201" i="117"/>
  <c r="M201" i="117"/>
  <c r="K201" i="117"/>
  <c r="J201" i="117"/>
  <c r="I201" i="117"/>
  <c r="E201" i="117"/>
  <c r="S200" i="117"/>
  <c r="R200" i="117"/>
  <c r="Q200" i="117"/>
  <c r="P200" i="117"/>
  <c r="O200" i="117"/>
  <c r="N200" i="117"/>
  <c r="M200" i="117"/>
  <c r="K200" i="117"/>
  <c r="J200" i="117"/>
  <c r="I200" i="117"/>
  <c r="E200" i="117"/>
  <c r="S199" i="117"/>
  <c r="R199" i="117"/>
  <c r="Q199" i="117"/>
  <c r="P199" i="117"/>
  <c r="O199" i="117"/>
  <c r="N199" i="117"/>
  <c r="M199" i="117"/>
  <c r="K199" i="117"/>
  <c r="J199" i="117"/>
  <c r="I199" i="117"/>
  <c r="E199" i="117"/>
  <c r="S198" i="117"/>
  <c r="R198" i="117"/>
  <c r="Q198" i="117"/>
  <c r="P198" i="117"/>
  <c r="O198" i="117"/>
  <c r="N198" i="117"/>
  <c r="M198" i="117"/>
  <c r="K198" i="117"/>
  <c r="J198" i="117"/>
  <c r="I198" i="117"/>
  <c r="E198" i="117"/>
  <c r="S197" i="117"/>
  <c r="R197" i="117"/>
  <c r="Q197" i="117"/>
  <c r="P197" i="117"/>
  <c r="O197" i="117"/>
  <c r="N197" i="117"/>
  <c r="M197" i="117"/>
  <c r="K197" i="117"/>
  <c r="J197" i="117"/>
  <c r="I197" i="117"/>
  <c r="E197" i="117"/>
  <c r="S196" i="117"/>
  <c r="R196" i="117"/>
  <c r="Q196" i="117"/>
  <c r="P196" i="117"/>
  <c r="O196" i="117"/>
  <c r="N196" i="117"/>
  <c r="M196" i="117"/>
  <c r="K196" i="117"/>
  <c r="J196" i="117"/>
  <c r="I196" i="117"/>
  <c r="E196" i="117"/>
  <c r="S195" i="117"/>
  <c r="R195" i="117"/>
  <c r="Q195" i="117"/>
  <c r="P195" i="117"/>
  <c r="O195" i="117"/>
  <c r="N195" i="117"/>
  <c r="M195" i="117"/>
  <c r="K195" i="117"/>
  <c r="J195" i="117"/>
  <c r="I195" i="117"/>
  <c r="E195" i="117"/>
  <c r="S194" i="117"/>
  <c r="R194" i="117"/>
  <c r="Q194" i="117"/>
  <c r="P194" i="117"/>
  <c r="O194" i="117"/>
  <c r="N194" i="117"/>
  <c r="M194" i="117"/>
  <c r="K194" i="117"/>
  <c r="J194" i="117"/>
  <c r="I194" i="117"/>
  <c r="E194" i="117"/>
  <c r="S193" i="117"/>
  <c r="R193" i="117"/>
  <c r="Q193" i="117"/>
  <c r="P193" i="117"/>
  <c r="O193" i="117"/>
  <c r="N193" i="117"/>
  <c r="M193" i="117"/>
  <c r="K193" i="117"/>
  <c r="J193" i="117"/>
  <c r="I193" i="117"/>
  <c r="E193" i="117"/>
  <c r="S192" i="117"/>
  <c r="R192" i="117"/>
  <c r="Q192" i="117"/>
  <c r="P192" i="117"/>
  <c r="O192" i="117"/>
  <c r="N192" i="117"/>
  <c r="M192" i="117"/>
  <c r="K192" i="117"/>
  <c r="J192" i="117"/>
  <c r="I192" i="117"/>
  <c r="E192" i="117"/>
  <c r="S191" i="117"/>
  <c r="R191" i="117"/>
  <c r="Q191" i="117"/>
  <c r="P191" i="117"/>
  <c r="O191" i="117"/>
  <c r="N191" i="117"/>
  <c r="M191" i="117"/>
  <c r="K191" i="117"/>
  <c r="J191" i="117"/>
  <c r="I191" i="117"/>
  <c r="E191" i="117"/>
  <c r="S190" i="117"/>
  <c r="R190" i="117"/>
  <c r="Q190" i="117"/>
  <c r="P190" i="117"/>
  <c r="O190" i="117"/>
  <c r="N190" i="117"/>
  <c r="M190" i="117"/>
  <c r="K190" i="117"/>
  <c r="J190" i="117"/>
  <c r="I190" i="117"/>
  <c r="E190" i="117"/>
  <c r="S189" i="117"/>
  <c r="R189" i="117"/>
  <c r="Q189" i="117"/>
  <c r="P189" i="117"/>
  <c r="O189" i="117"/>
  <c r="N189" i="117"/>
  <c r="M189" i="117"/>
  <c r="K189" i="117"/>
  <c r="J189" i="117"/>
  <c r="I189" i="117"/>
  <c r="E189" i="117"/>
  <c r="S188" i="117"/>
  <c r="R188" i="117"/>
  <c r="Q188" i="117"/>
  <c r="P188" i="117"/>
  <c r="O188" i="117"/>
  <c r="N188" i="117"/>
  <c r="M188" i="117"/>
  <c r="K188" i="117"/>
  <c r="J188" i="117"/>
  <c r="I188" i="117"/>
  <c r="E188" i="117"/>
  <c r="S187" i="117"/>
  <c r="R187" i="117"/>
  <c r="Q187" i="117"/>
  <c r="P187" i="117"/>
  <c r="O187" i="117"/>
  <c r="N187" i="117"/>
  <c r="M187" i="117"/>
  <c r="K187" i="117"/>
  <c r="J187" i="117"/>
  <c r="I187" i="117"/>
  <c r="E187" i="117"/>
  <c r="S186" i="117"/>
  <c r="R186" i="117"/>
  <c r="Q186" i="117"/>
  <c r="P186" i="117"/>
  <c r="O186" i="117"/>
  <c r="N186" i="117"/>
  <c r="M186" i="117"/>
  <c r="K186" i="117"/>
  <c r="J186" i="117"/>
  <c r="I186" i="117"/>
  <c r="E186" i="117"/>
  <c r="S185" i="117"/>
  <c r="R185" i="117"/>
  <c r="Q185" i="117"/>
  <c r="P185" i="117"/>
  <c r="O185" i="117"/>
  <c r="N185" i="117"/>
  <c r="M185" i="117"/>
  <c r="K185" i="117"/>
  <c r="J185" i="117"/>
  <c r="I185" i="117"/>
  <c r="E185" i="117"/>
  <c r="S184" i="117"/>
  <c r="R184" i="117"/>
  <c r="Q184" i="117"/>
  <c r="P184" i="117"/>
  <c r="O184" i="117"/>
  <c r="N184" i="117"/>
  <c r="M184" i="117"/>
  <c r="K184" i="117"/>
  <c r="J184" i="117"/>
  <c r="I184" i="117"/>
  <c r="E184" i="117"/>
  <c r="S183" i="117"/>
  <c r="R183" i="117"/>
  <c r="Q183" i="117"/>
  <c r="P183" i="117"/>
  <c r="O183" i="117"/>
  <c r="N183" i="117"/>
  <c r="M183" i="117"/>
  <c r="K183" i="117"/>
  <c r="J183" i="117"/>
  <c r="I183" i="117"/>
  <c r="E183" i="117"/>
  <c r="S182" i="117"/>
  <c r="R182" i="117"/>
  <c r="Q182" i="117"/>
  <c r="P182" i="117"/>
  <c r="O182" i="117"/>
  <c r="N182" i="117"/>
  <c r="M182" i="117"/>
  <c r="K182" i="117"/>
  <c r="J182" i="117"/>
  <c r="I182" i="117"/>
  <c r="E182" i="117"/>
  <c r="S181" i="117"/>
  <c r="R181" i="117"/>
  <c r="Q181" i="117"/>
  <c r="P181" i="117"/>
  <c r="O181" i="117"/>
  <c r="N181" i="117"/>
  <c r="M181" i="117"/>
  <c r="K181" i="117"/>
  <c r="J181" i="117"/>
  <c r="I181" i="117"/>
  <c r="E181" i="117"/>
  <c r="S180" i="117"/>
  <c r="R180" i="117"/>
  <c r="Q180" i="117"/>
  <c r="P180" i="117"/>
  <c r="O180" i="117"/>
  <c r="N180" i="117"/>
  <c r="M180" i="117"/>
  <c r="K180" i="117"/>
  <c r="J180" i="117"/>
  <c r="I180" i="117"/>
  <c r="E180" i="117"/>
  <c r="S179" i="117"/>
  <c r="R179" i="117"/>
  <c r="Q179" i="117"/>
  <c r="P179" i="117"/>
  <c r="O179" i="117"/>
  <c r="N179" i="117"/>
  <c r="M179" i="117"/>
  <c r="K179" i="117"/>
  <c r="J179" i="117"/>
  <c r="I179" i="117"/>
  <c r="E179" i="117"/>
  <c r="S178" i="117"/>
  <c r="R178" i="117"/>
  <c r="Q178" i="117"/>
  <c r="P178" i="117"/>
  <c r="O178" i="117"/>
  <c r="N178" i="117"/>
  <c r="M178" i="117"/>
  <c r="K178" i="117"/>
  <c r="J178" i="117"/>
  <c r="I178" i="117"/>
  <c r="E178" i="117"/>
  <c r="S177" i="117"/>
  <c r="R177" i="117"/>
  <c r="Q177" i="117"/>
  <c r="P177" i="117"/>
  <c r="O177" i="117"/>
  <c r="N177" i="117"/>
  <c r="M177" i="117"/>
  <c r="K177" i="117"/>
  <c r="J177" i="117"/>
  <c r="I177" i="117"/>
  <c r="E177" i="117"/>
  <c r="S176" i="117"/>
  <c r="R176" i="117"/>
  <c r="Q176" i="117"/>
  <c r="P176" i="117"/>
  <c r="O176" i="117"/>
  <c r="N176" i="117"/>
  <c r="M176" i="117"/>
  <c r="K176" i="117"/>
  <c r="J176" i="117"/>
  <c r="I176" i="117"/>
  <c r="E176" i="117"/>
  <c r="S175" i="117"/>
  <c r="R175" i="117"/>
  <c r="Q175" i="117"/>
  <c r="P175" i="117"/>
  <c r="O175" i="117"/>
  <c r="N175" i="117"/>
  <c r="M175" i="117"/>
  <c r="K175" i="117"/>
  <c r="J175" i="117"/>
  <c r="I175" i="117"/>
  <c r="E175" i="117"/>
  <c r="S174" i="117"/>
  <c r="R174" i="117"/>
  <c r="Q174" i="117"/>
  <c r="P174" i="117"/>
  <c r="O174" i="117"/>
  <c r="N174" i="117"/>
  <c r="M174" i="117"/>
  <c r="K174" i="117"/>
  <c r="J174" i="117"/>
  <c r="I174" i="117"/>
  <c r="E174" i="117"/>
  <c r="S173" i="117"/>
  <c r="R173" i="117"/>
  <c r="Q173" i="117"/>
  <c r="P173" i="117"/>
  <c r="O173" i="117"/>
  <c r="N173" i="117"/>
  <c r="M173" i="117"/>
  <c r="K173" i="117"/>
  <c r="J173" i="117"/>
  <c r="I173" i="117"/>
  <c r="E173" i="117"/>
  <c r="S172" i="117"/>
  <c r="R172" i="117"/>
  <c r="Q172" i="117"/>
  <c r="P172" i="117"/>
  <c r="O172" i="117"/>
  <c r="N172" i="117"/>
  <c r="M172" i="117"/>
  <c r="K172" i="117"/>
  <c r="J172" i="117"/>
  <c r="I172" i="117"/>
  <c r="E172" i="117"/>
  <c r="S171" i="117"/>
  <c r="R171" i="117"/>
  <c r="Q171" i="117"/>
  <c r="P171" i="117"/>
  <c r="O171" i="117"/>
  <c r="N171" i="117"/>
  <c r="M171" i="117"/>
  <c r="K171" i="117"/>
  <c r="J171" i="117"/>
  <c r="I171" i="117"/>
  <c r="E171" i="117"/>
  <c r="S170" i="117"/>
  <c r="R170" i="117"/>
  <c r="Q170" i="117"/>
  <c r="P170" i="117"/>
  <c r="O170" i="117"/>
  <c r="N170" i="117"/>
  <c r="M170" i="117"/>
  <c r="K170" i="117"/>
  <c r="J170" i="117"/>
  <c r="I170" i="117"/>
  <c r="E170" i="117"/>
  <c r="S169" i="117"/>
  <c r="R169" i="117"/>
  <c r="Q169" i="117"/>
  <c r="P169" i="117"/>
  <c r="O169" i="117"/>
  <c r="N169" i="117"/>
  <c r="M169" i="117"/>
  <c r="K169" i="117"/>
  <c r="J169" i="117"/>
  <c r="I169" i="117"/>
  <c r="E169" i="117"/>
  <c r="S168" i="117"/>
  <c r="R168" i="117"/>
  <c r="Q168" i="117"/>
  <c r="P168" i="117"/>
  <c r="O168" i="117"/>
  <c r="N168" i="117"/>
  <c r="M168" i="117"/>
  <c r="K168" i="117"/>
  <c r="J168" i="117"/>
  <c r="I168" i="117"/>
  <c r="E168" i="117"/>
  <c r="S167" i="117"/>
  <c r="R167" i="117"/>
  <c r="Q167" i="117"/>
  <c r="P167" i="117"/>
  <c r="O167" i="117"/>
  <c r="N167" i="117"/>
  <c r="M167" i="117"/>
  <c r="K167" i="117"/>
  <c r="J167" i="117"/>
  <c r="I167" i="117"/>
  <c r="E167" i="117"/>
  <c r="S166" i="117"/>
  <c r="R166" i="117"/>
  <c r="Q166" i="117"/>
  <c r="P166" i="117"/>
  <c r="O166" i="117"/>
  <c r="N166" i="117"/>
  <c r="M166" i="117"/>
  <c r="K166" i="117"/>
  <c r="J166" i="117"/>
  <c r="I166" i="117"/>
  <c r="E166" i="117"/>
  <c r="S165" i="117"/>
  <c r="R165" i="117"/>
  <c r="Q165" i="117"/>
  <c r="P165" i="117"/>
  <c r="O165" i="117"/>
  <c r="N165" i="117"/>
  <c r="M165" i="117"/>
  <c r="K165" i="117"/>
  <c r="J165" i="117"/>
  <c r="I165" i="117"/>
  <c r="E165" i="117"/>
  <c r="S164" i="117"/>
  <c r="R164" i="117"/>
  <c r="Q164" i="117"/>
  <c r="P164" i="117"/>
  <c r="O164" i="117"/>
  <c r="N164" i="117"/>
  <c r="M164" i="117"/>
  <c r="K164" i="117"/>
  <c r="J164" i="117"/>
  <c r="I164" i="117"/>
  <c r="E164" i="117"/>
  <c r="S163" i="117"/>
  <c r="R163" i="117"/>
  <c r="Q163" i="117"/>
  <c r="P163" i="117"/>
  <c r="O163" i="117"/>
  <c r="N163" i="117"/>
  <c r="M163" i="117"/>
  <c r="K163" i="117"/>
  <c r="J163" i="117"/>
  <c r="I163" i="117"/>
  <c r="E163" i="117"/>
  <c r="S162" i="117"/>
  <c r="R162" i="117"/>
  <c r="Q162" i="117"/>
  <c r="P162" i="117"/>
  <c r="O162" i="117"/>
  <c r="N162" i="117"/>
  <c r="M162" i="117"/>
  <c r="K162" i="117"/>
  <c r="J162" i="117"/>
  <c r="I162" i="117"/>
  <c r="E162" i="117"/>
  <c r="S161" i="117"/>
  <c r="R161" i="117"/>
  <c r="Q161" i="117"/>
  <c r="P161" i="117"/>
  <c r="O161" i="117"/>
  <c r="N161" i="117"/>
  <c r="M161" i="117"/>
  <c r="K161" i="117"/>
  <c r="J161" i="117"/>
  <c r="I161" i="117"/>
  <c r="E161" i="117"/>
  <c r="S160" i="117"/>
  <c r="R160" i="117"/>
  <c r="Q160" i="117"/>
  <c r="P160" i="117"/>
  <c r="O160" i="117"/>
  <c r="N160" i="117"/>
  <c r="M160" i="117"/>
  <c r="K160" i="117"/>
  <c r="J160" i="117"/>
  <c r="I160" i="117"/>
  <c r="E160" i="117"/>
  <c r="S159" i="117"/>
  <c r="R159" i="117"/>
  <c r="Q159" i="117"/>
  <c r="P159" i="117"/>
  <c r="O159" i="117"/>
  <c r="N159" i="117"/>
  <c r="M159" i="117"/>
  <c r="K159" i="117"/>
  <c r="J159" i="117"/>
  <c r="I159" i="117"/>
  <c r="E159" i="117"/>
  <c r="S158" i="117"/>
  <c r="R158" i="117"/>
  <c r="Q158" i="117"/>
  <c r="P158" i="117"/>
  <c r="O158" i="117"/>
  <c r="N158" i="117"/>
  <c r="M158" i="117"/>
  <c r="K158" i="117"/>
  <c r="J158" i="117"/>
  <c r="I158" i="117"/>
  <c r="E158" i="117"/>
  <c r="S157" i="117"/>
  <c r="R157" i="117"/>
  <c r="Q157" i="117"/>
  <c r="P157" i="117"/>
  <c r="O157" i="117"/>
  <c r="N157" i="117"/>
  <c r="M157" i="117"/>
  <c r="K157" i="117"/>
  <c r="J157" i="117"/>
  <c r="I157" i="117"/>
  <c r="E157" i="117"/>
  <c r="S156" i="117"/>
  <c r="R156" i="117"/>
  <c r="Q156" i="117"/>
  <c r="P156" i="117"/>
  <c r="O156" i="117"/>
  <c r="N156" i="117"/>
  <c r="M156" i="117"/>
  <c r="K156" i="117"/>
  <c r="J156" i="117"/>
  <c r="I156" i="117"/>
  <c r="E156" i="117"/>
  <c r="S155" i="117"/>
  <c r="R155" i="117"/>
  <c r="Q155" i="117"/>
  <c r="P155" i="117"/>
  <c r="O155" i="117"/>
  <c r="N155" i="117"/>
  <c r="M155" i="117"/>
  <c r="K155" i="117"/>
  <c r="J155" i="117"/>
  <c r="I155" i="117"/>
  <c r="E155" i="117"/>
  <c r="S154" i="117"/>
  <c r="R154" i="117"/>
  <c r="Q154" i="117"/>
  <c r="P154" i="117"/>
  <c r="O154" i="117"/>
  <c r="N154" i="117"/>
  <c r="M154" i="117"/>
  <c r="K154" i="117"/>
  <c r="J154" i="117"/>
  <c r="I154" i="117"/>
  <c r="E154" i="117"/>
  <c r="S153" i="117"/>
  <c r="R153" i="117"/>
  <c r="Q153" i="117"/>
  <c r="P153" i="117"/>
  <c r="O153" i="117"/>
  <c r="N153" i="117"/>
  <c r="M153" i="117"/>
  <c r="K153" i="117"/>
  <c r="J153" i="117"/>
  <c r="I153" i="117"/>
  <c r="E153" i="117"/>
  <c r="S152" i="117"/>
  <c r="R152" i="117"/>
  <c r="Q152" i="117"/>
  <c r="P152" i="117"/>
  <c r="O152" i="117"/>
  <c r="N152" i="117"/>
  <c r="M152" i="117"/>
  <c r="K152" i="117"/>
  <c r="J152" i="117"/>
  <c r="I152" i="117"/>
  <c r="E152" i="117"/>
  <c r="S151" i="117"/>
  <c r="R151" i="117"/>
  <c r="Q151" i="117"/>
  <c r="P151" i="117"/>
  <c r="O151" i="117"/>
  <c r="N151" i="117"/>
  <c r="M151" i="117"/>
  <c r="K151" i="117"/>
  <c r="J151" i="117"/>
  <c r="I151" i="117"/>
  <c r="E151" i="117"/>
  <c r="S150" i="117"/>
  <c r="R150" i="117"/>
  <c r="Q150" i="117"/>
  <c r="P150" i="117"/>
  <c r="O150" i="117"/>
  <c r="N150" i="117"/>
  <c r="M150" i="117"/>
  <c r="K150" i="117"/>
  <c r="J150" i="117"/>
  <c r="I150" i="117"/>
  <c r="E150" i="117"/>
  <c r="S149" i="117"/>
  <c r="R149" i="117"/>
  <c r="Q149" i="117"/>
  <c r="P149" i="117"/>
  <c r="O149" i="117"/>
  <c r="N149" i="117"/>
  <c r="M149" i="117"/>
  <c r="K149" i="117"/>
  <c r="J149" i="117"/>
  <c r="I149" i="117"/>
  <c r="E149" i="117"/>
  <c r="S148" i="117"/>
  <c r="R148" i="117"/>
  <c r="Q148" i="117"/>
  <c r="P148" i="117"/>
  <c r="O148" i="117"/>
  <c r="N148" i="117"/>
  <c r="M148" i="117"/>
  <c r="K148" i="117"/>
  <c r="J148" i="117"/>
  <c r="I148" i="117"/>
  <c r="E148" i="117"/>
  <c r="S147" i="117"/>
  <c r="R147" i="117"/>
  <c r="Q147" i="117"/>
  <c r="P147" i="117"/>
  <c r="O147" i="117"/>
  <c r="N147" i="117"/>
  <c r="M147" i="117"/>
  <c r="K147" i="117"/>
  <c r="J147" i="117"/>
  <c r="I147" i="117"/>
  <c r="E147" i="117"/>
  <c r="S146" i="117"/>
  <c r="R146" i="117"/>
  <c r="Q146" i="117"/>
  <c r="P146" i="117"/>
  <c r="O146" i="117"/>
  <c r="N146" i="117"/>
  <c r="M146" i="117"/>
  <c r="K146" i="117"/>
  <c r="J146" i="117"/>
  <c r="I146" i="117"/>
  <c r="E146" i="117"/>
  <c r="S145" i="117"/>
  <c r="R145" i="117"/>
  <c r="Q145" i="117"/>
  <c r="P145" i="117"/>
  <c r="O145" i="117"/>
  <c r="N145" i="117"/>
  <c r="M145" i="117"/>
  <c r="K145" i="117"/>
  <c r="J145" i="117"/>
  <c r="I145" i="117"/>
  <c r="E145" i="117"/>
  <c r="S144" i="117"/>
  <c r="R144" i="117"/>
  <c r="Q144" i="117"/>
  <c r="P144" i="117"/>
  <c r="O144" i="117"/>
  <c r="N144" i="117"/>
  <c r="M144" i="117"/>
  <c r="K144" i="117"/>
  <c r="J144" i="117"/>
  <c r="I144" i="117"/>
  <c r="E144" i="117"/>
  <c r="S143" i="117"/>
  <c r="R143" i="117"/>
  <c r="Q143" i="117"/>
  <c r="P143" i="117"/>
  <c r="O143" i="117"/>
  <c r="N143" i="117"/>
  <c r="M143" i="117"/>
  <c r="K143" i="117"/>
  <c r="J143" i="117"/>
  <c r="I143" i="117"/>
  <c r="E143" i="117"/>
  <c r="S142" i="117"/>
  <c r="R142" i="117"/>
  <c r="Q142" i="117"/>
  <c r="P142" i="117"/>
  <c r="O142" i="117"/>
  <c r="N142" i="117"/>
  <c r="M142" i="117"/>
  <c r="K142" i="117"/>
  <c r="J142" i="117"/>
  <c r="I142" i="117"/>
  <c r="E142" i="117"/>
  <c r="S141" i="117"/>
  <c r="R141" i="117"/>
  <c r="Q141" i="117"/>
  <c r="P141" i="117"/>
  <c r="O141" i="117"/>
  <c r="N141" i="117"/>
  <c r="M141" i="117"/>
  <c r="K141" i="117"/>
  <c r="J141" i="117"/>
  <c r="I141" i="117"/>
  <c r="E141" i="117"/>
  <c r="S140" i="117"/>
  <c r="R140" i="117"/>
  <c r="Q140" i="117"/>
  <c r="P140" i="117"/>
  <c r="O140" i="117"/>
  <c r="N140" i="117"/>
  <c r="M140" i="117"/>
  <c r="K140" i="117"/>
  <c r="J140" i="117"/>
  <c r="I140" i="117"/>
  <c r="E140" i="117"/>
  <c r="S139" i="117"/>
  <c r="R139" i="117"/>
  <c r="Q139" i="117"/>
  <c r="P139" i="117"/>
  <c r="O139" i="117"/>
  <c r="N139" i="117"/>
  <c r="M139" i="117"/>
  <c r="K139" i="117"/>
  <c r="J139" i="117"/>
  <c r="I139" i="117"/>
  <c r="E139" i="117"/>
  <c r="S138" i="117"/>
  <c r="R138" i="117"/>
  <c r="Q138" i="117"/>
  <c r="P138" i="117"/>
  <c r="O138" i="117"/>
  <c r="N138" i="117"/>
  <c r="M138" i="117"/>
  <c r="K138" i="117"/>
  <c r="J138" i="117"/>
  <c r="I138" i="117"/>
  <c r="E138" i="117"/>
  <c r="S137" i="117"/>
  <c r="R137" i="117"/>
  <c r="Q137" i="117"/>
  <c r="P137" i="117"/>
  <c r="O137" i="117"/>
  <c r="N137" i="117"/>
  <c r="M137" i="117"/>
  <c r="K137" i="117"/>
  <c r="J137" i="117"/>
  <c r="I137" i="117"/>
  <c r="E137" i="117"/>
  <c r="S136" i="117"/>
  <c r="R136" i="117"/>
  <c r="Q136" i="117"/>
  <c r="P136" i="117"/>
  <c r="O136" i="117"/>
  <c r="N136" i="117"/>
  <c r="M136" i="117"/>
  <c r="K136" i="117"/>
  <c r="J136" i="117"/>
  <c r="I136" i="117"/>
  <c r="E136" i="117"/>
  <c r="S135" i="117"/>
  <c r="R135" i="117"/>
  <c r="Q135" i="117"/>
  <c r="P135" i="117"/>
  <c r="O135" i="117"/>
  <c r="N135" i="117"/>
  <c r="M135" i="117"/>
  <c r="K135" i="117"/>
  <c r="J135" i="117"/>
  <c r="I135" i="117"/>
  <c r="E135" i="117"/>
  <c r="S134" i="117"/>
  <c r="R134" i="117"/>
  <c r="Q134" i="117"/>
  <c r="P134" i="117"/>
  <c r="O134" i="117"/>
  <c r="N134" i="117"/>
  <c r="M134" i="117"/>
  <c r="K134" i="117"/>
  <c r="J134" i="117"/>
  <c r="I134" i="117"/>
  <c r="E134" i="117"/>
  <c r="S133" i="117"/>
  <c r="R133" i="117"/>
  <c r="Q133" i="117"/>
  <c r="P133" i="117"/>
  <c r="O133" i="117"/>
  <c r="N133" i="117"/>
  <c r="M133" i="117"/>
  <c r="K133" i="117"/>
  <c r="J133" i="117"/>
  <c r="I133" i="117"/>
  <c r="E133" i="117"/>
  <c r="S132" i="117"/>
  <c r="R132" i="117"/>
  <c r="Q132" i="117"/>
  <c r="P132" i="117"/>
  <c r="O132" i="117"/>
  <c r="N132" i="117"/>
  <c r="M132" i="117"/>
  <c r="K132" i="117"/>
  <c r="J132" i="117"/>
  <c r="I132" i="117"/>
  <c r="E132" i="117"/>
  <c r="S131" i="117"/>
  <c r="R131" i="117"/>
  <c r="Q131" i="117"/>
  <c r="P131" i="117"/>
  <c r="O131" i="117"/>
  <c r="N131" i="117"/>
  <c r="M131" i="117"/>
  <c r="K131" i="117"/>
  <c r="J131" i="117"/>
  <c r="I131" i="117"/>
  <c r="E131" i="117"/>
  <c r="S130" i="117"/>
  <c r="R130" i="117"/>
  <c r="Q130" i="117"/>
  <c r="P130" i="117"/>
  <c r="O130" i="117"/>
  <c r="N130" i="117"/>
  <c r="M130" i="117"/>
  <c r="K130" i="117"/>
  <c r="J130" i="117"/>
  <c r="I130" i="117"/>
  <c r="E130" i="117"/>
  <c r="S129" i="117"/>
  <c r="R129" i="117"/>
  <c r="Q129" i="117"/>
  <c r="P129" i="117"/>
  <c r="O129" i="117"/>
  <c r="N129" i="117"/>
  <c r="M129" i="117"/>
  <c r="K129" i="117"/>
  <c r="J129" i="117"/>
  <c r="I129" i="117"/>
  <c r="E129" i="117"/>
  <c r="S128" i="117"/>
  <c r="R128" i="117"/>
  <c r="Q128" i="117"/>
  <c r="P128" i="117"/>
  <c r="O128" i="117"/>
  <c r="N128" i="117"/>
  <c r="M128" i="117"/>
  <c r="K128" i="117"/>
  <c r="J128" i="117"/>
  <c r="I128" i="117"/>
  <c r="E128" i="117"/>
  <c r="S127" i="117"/>
  <c r="R127" i="117"/>
  <c r="Q127" i="117"/>
  <c r="P127" i="117"/>
  <c r="O127" i="117"/>
  <c r="N127" i="117"/>
  <c r="M127" i="117"/>
  <c r="K127" i="117"/>
  <c r="J127" i="117"/>
  <c r="I127" i="117"/>
  <c r="E127" i="117"/>
  <c r="S126" i="117"/>
  <c r="R126" i="117"/>
  <c r="Q126" i="117"/>
  <c r="P126" i="117"/>
  <c r="O126" i="117"/>
  <c r="N126" i="117"/>
  <c r="M126" i="117"/>
  <c r="K126" i="117"/>
  <c r="J126" i="117"/>
  <c r="I126" i="117"/>
  <c r="E126" i="117"/>
  <c r="S125" i="117"/>
  <c r="R125" i="117"/>
  <c r="Q125" i="117"/>
  <c r="P125" i="117"/>
  <c r="O125" i="117"/>
  <c r="N125" i="117"/>
  <c r="M125" i="117"/>
  <c r="K125" i="117"/>
  <c r="J125" i="117"/>
  <c r="I125" i="117"/>
  <c r="E125" i="117"/>
  <c r="S124" i="117"/>
  <c r="R124" i="117"/>
  <c r="Q124" i="117"/>
  <c r="P124" i="117"/>
  <c r="O124" i="117"/>
  <c r="N124" i="117"/>
  <c r="M124" i="117"/>
  <c r="K124" i="117"/>
  <c r="J124" i="117"/>
  <c r="I124" i="117"/>
  <c r="E124" i="117"/>
  <c r="S123" i="117"/>
  <c r="R123" i="117"/>
  <c r="Q123" i="117"/>
  <c r="P123" i="117"/>
  <c r="O123" i="117"/>
  <c r="N123" i="117"/>
  <c r="M123" i="117"/>
  <c r="K123" i="117"/>
  <c r="J123" i="117"/>
  <c r="I123" i="117"/>
  <c r="E123" i="117"/>
  <c r="S122" i="117"/>
  <c r="R122" i="117"/>
  <c r="Q122" i="117"/>
  <c r="P122" i="117"/>
  <c r="O122" i="117"/>
  <c r="N122" i="117"/>
  <c r="M122" i="117"/>
  <c r="K122" i="117"/>
  <c r="J122" i="117"/>
  <c r="I122" i="117"/>
  <c r="E122" i="117"/>
  <c r="S121" i="117"/>
  <c r="R121" i="117"/>
  <c r="Q121" i="117"/>
  <c r="P121" i="117"/>
  <c r="O121" i="117"/>
  <c r="N121" i="117"/>
  <c r="M121" i="117"/>
  <c r="K121" i="117"/>
  <c r="J121" i="117"/>
  <c r="I121" i="117"/>
  <c r="E121" i="117"/>
  <c r="S120" i="117"/>
  <c r="R120" i="117"/>
  <c r="Q120" i="117"/>
  <c r="P120" i="117"/>
  <c r="O120" i="117"/>
  <c r="N120" i="117"/>
  <c r="M120" i="117"/>
  <c r="K120" i="117"/>
  <c r="J120" i="117"/>
  <c r="I120" i="117"/>
  <c r="E120" i="117"/>
  <c r="S119" i="117"/>
  <c r="R119" i="117"/>
  <c r="Q119" i="117"/>
  <c r="P119" i="117"/>
  <c r="O119" i="117"/>
  <c r="N119" i="117"/>
  <c r="M119" i="117"/>
  <c r="K119" i="117"/>
  <c r="J119" i="117"/>
  <c r="I119" i="117"/>
  <c r="E119" i="117"/>
  <c r="S118" i="117"/>
  <c r="R118" i="117"/>
  <c r="Q118" i="117"/>
  <c r="P118" i="117"/>
  <c r="O118" i="117"/>
  <c r="N118" i="117"/>
  <c r="M118" i="117"/>
  <c r="K118" i="117"/>
  <c r="J118" i="117"/>
  <c r="I118" i="117"/>
  <c r="E118" i="117"/>
  <c r="S117" i="117"/>
  <c r="R117" i="117"/>
  <c r="Q117" i="117"/>
  <c r="P117" i="117"/>
  <c r="O117" i="117"/>
  <c r="N117" i="117"/>
  <c r="M117" i="117"/>
  <c r="K117" i="117"/>
  <c r="J117" i="117"/>
  <c r="I117" i="117"/>
  <c r="E117" i="117"/>
  <c r="S116" i="117"/>
  <c r="R116" i="117"/>
  <c r="Q116" i="117"/>
  <c r="P116" i="117"/>
  <c r="O116" i="117"/>
  <c r="N116" i="117"/>
  <c r="M116" i="117"/>
  <c r="K116" i="117"/>
  <c r="J116" i="117"/>
  <c r="I116" i="117"/>
  <c r="E116" i="117"/>
  <c r="S115" i="117"/>
  <c r="R115" i="117"/>
  <c r="Q115" i="117"/>
  <c r="P115" i="117"/>
  <c r="O115" i="117"/>
  <c r="N115" i="117"/>
  <c r="M115" i="117"/>
  <c r="K115" i="117"/>
  <c r="J115" i="117"/>
  <c r="I115" i="117"/>
  <c r="E115" i="117"/>
  <c r="S114" i="117"/>
  <c r="R114" i="117"/>
  <c r="Q114" i="117"/>
  <c r="P114" i="117"/>
  <c r="O114" i="117"/>
  <c r="N114" i="117"/>
  <c r="M114" i="117"/>
  <c r="K114" i="117"/>
  <c r="J114" i="117"/>
  <c r="I114" i="117"/>
  <c r="E114" i="117"/>
  <c r="S113" i="117"/>
  <c r="R113" i="117"/>
  <c r="Q113" i="117"/>
  <c r="P113" i="117"/>
  <c r="O113" i="117"/>
  <c r="N113" i="117"/>
  <c r="M113" i="117"/>
  <c r="K113" i="117"/>
  <c r="J113" i="117"/>
  <c r="I113" i="117"/>
  <c r="E113" i="117"/>
  <c r="S112" i="117"/>
  <c r="R112" i="117"/>
  <c r="Q112" i="117"/>
  <c r="P112" i="117"/>
  <c r="O112" i="117"/>
  <c r="N112" i="117"/>
  <c r="M112" i="117"/>
  <c r="K112" i="117"/>
  <c r="J112" i="117"/>
  <c r="I112" i="117"/>
  <c r="E112" i="117"/>
  <c r="S111" i="117"/>
  <c r="R111" i="117"/>
  <c r="Q111" i="117"/>
  <c r="P111" i="117"/>
  <c r="O111" i="117"/>
  <c r="N111" i="117"/>
  <c r="M111" i="117"/>
  <c r="K111" i="117"/>
  <c r="J111" i="117"/>
  <c r="I111" i="117"/>
  <c r="E111" i="117"/>
  <c r="S110" i="117"/>
  <c r="R110" i="117"/>
  <c r="Q110" i="117"/>
  <c r="P110" i="117"/>
  <c r="O110" i="117"/>
  <c r="N110" i="117"/>
  <c r="M110" i="117"/>
  <c r="K110" i="117"/>
  <c r="J110" i="117"/>
  <c r="I110" i="117"/>
  <c r="E110" i="117"/>
  <c r="S109" i="117"/>
  <c r="R109" i="117"/>
  <c r="Q109" i="117"/>
  <c r="P109" i="117"/>
  <c r="O109" i="117"/>
  <c r="N109" i="117"/>
  <c r="M109" i="117"/>
  <c r="K109" i="117"/>
  <c r="J109" i="117"/>
  <c r="I109" i="117"/>
  <c r="E109" i="117"/>
  <c r="S108" i="117"/>
  <c r="R108" i="117"/>
  <c r="Q108" i="117"/>
  <c r="P108" i="117"/>
  <c r="O108" i="117"/>
  <c r="N108" i="117"/>
  <c r="M108" i="117"/>
  <c r="K108" i="117"/>
  <c r="J108" i="117"/>
  <c r="I108" i="117"/>
  <c r="E108" i="117"/>
  <c r="S107" i="117"/>
  <c r="R107" i="117"/>
  <c r="Q107" i="117"/>
  <c r="P107" i="117"/>
  <c r="O107" i="117"/>
  <c r="N107" i="117"/>
  <c r="M107" i="117"/>
  <c r="K107" i="117"/>
  <c r="J107" i="117"/>
  <c r="I107" i="117"/>
  <c r="E107" i="117"/>
  <c r="S106" i="117"/>
  <c r="R106" i="117"/>
  <c r="Q106" i="117"/>
  <c r="P106" i="117"/>
  <c r="O106" i="117"/>
  <c r="N106" i="117"/>
  <c r="M106" i="117"/>
  <c r="K106" i="117"/>
  <c r="J106" i="117"/>
  <c r="I106" i="117"/>
  <c r="E106" i="117"/>
  <c r="S105" i="117"/>
  <c r="R105" i="117"/>
  <c r="Q105" i="117"/>
  <c r="P105" i="117"/>
  <c r="O105" i="117"/>
  <c r="N105" i="117"/>
  <c r="M105" i="117"/>
  <c r="K105" i="117"/>
  <c r="J105" i="117"/>
  <c r="I105" i="117"/>
  <c r="E105" i="117"/>
  <c r="S104" i="117"/>
  <c r="R104" i="117"/>
  <c r="Q104" i="117"/>
  <c r="P104" i="117"/>
  <c r="O104" i="117"/>
  <c r="N104" i="117"/>
  <c r="M104" i="117"/>
  <c r="K104" i="117"/>
  <c r="J104" i="117"/>
  <c r="I104" i="117"/>
  <c r="E104" i="117"/>
  <c r="S103" i="117"/>
  <c r="R103" i="117"/>
  <c r="Q103" i="117"/>
  <c r="P103" i="117"/>
  <c r="O103" i="117"/>
  <c r="N103" i="117"/>
  <c r="M103" i="117"/>
  <c r="K103" i="117"/>
  <c r="J103" i="117"/>
  <c r="I103" i="117"/>
  <c r="E103" i="117"/>
  <c r="S102" i="117"/>
  <c r="R102" i="117"/>
  <c r="Q102" i="117"/>
  <c r="P102" i="117"/>
  <c r="O102" i="117"/>
  <c r="N102" i="117"/>
  <c r="M102" i="117"/>
  <c r="K102" i="117"/>
  <c r="J102" i="117"/>
  <c r="I102" i="117"/>
  <c r="E102" i="117"/>
  <c r="S101" i="117"/>
  <c r="R101" i="117"/>
  <c r="Q101" i="117"/>
  <c r="P101" i="117"/>
  <c r="O101" i="117"/>
  <c r="N101" i="117"/>
  <c r="M101" i="117"/>
  <c r="K101" i="117"/>
  <c r="J101" i="117"/>
  <c r="I101" i="117"/>
  <c r="E101" i="117"/>
  <c r="S100" i="117"/>
  <c r="R100" i="117"/>
  <c r="Q100" i="117"/>
  <c r="P100" i="117"/>
  <c r="O100" i="117"/>
  <c r="N100" i="117"/>
  <c r="M100" i="117"/>
  <c r="K100" i="117"/>
  <c r="J100" i="117"/>
  <c r="I100" i="117"/>
  <c r="E100" i="117"/>
  <c r="S99" i="117"/>
  <c r="R99" i="117"/>
  <c r="Q99" i="117"/>
  <c r="P99" i="117"/>
  <c r="O99" i="117"/>
  <c r="N99" i="117"/>
  <c r="M99" i="117"/>
  <c r="K99" i="117"/>
  <c r="J99" i="117"/>
  <c r="I99" i="117"/>
  <c r="E99" i="117"/>
  <c r="S98" i="117"/>
  <c r="R98" i="117"/>
  <c r="Q98" i="117"/>
  <c r="P98" i="117"/>
  <c r="O98" i="117"/>
  <c r="N98" i="117"/>
  <c r="M98" i="117"/>
  <c r="K98" i="117"/>
  <c r="J98" i="117"/>
  <c r="I98" i="117"/>
  <c r="E98" i="117"/>
  <c r="S97" i="117"/>
  <c r="R97" i="117"/>
  <c r="Q97" i="117"/>
  <c r="P97" i="117"/>
  <c r="O97" i="117"/>
  <c r="N97" i="117"/>
  <c r="M97" i="117"/>
  <c r="K97" i="117"/>
  <c r="J97" i="117"/>
  <c r="I97" i="117"/>
  <c r="E97" i="117"/>
  <c r="S96" i="117"/>
  <c r="R96" i="117"/>
  <c r="Q96" i="117"/>
  <c r="P96" i="117"/>
  <c r="O96" i="117"/>
  <c r="N96" i="117"/>
  <c r="M96" i="117"/>
  <c r="K96" i="117"/>
  <c r="J96" i="117"/>
  <c r="I96" i="117"/>
  <c r="E96" i="117"/>
  <c r="S95" i="117"/>
  <c r="R95" i="117"/>
  <c r="Q95" i="117"/>
  <c r="P95" i="117"/>
  <c r="O95" i="117"/>
  <c r="N95" i="117"/>
  <c r="M95" i="117"/>
  <c r="K95" i="117"/>
  <c r="J95" i="117"/>
  <c r="I95" i="117"/>
  <c r="E95" i="117"/>
  <c r="S94" i="117"/>
  <c r="R94" i="117"/>
  <c r="Q94" i="117"/>
  <c r="P94" i="117"/>
  <c r="O94" i="117"/>
  <c r="N94" i="117"/>
  <c r="M94" i="117"/>
  <c r="K94" i="117"/>
  <c r="J94" i="117"/>
  <c r="I94" i="117"/>
  <c r="E94" i="117"/>
  <c r="S93" i="117"/>
  <c r="R93" i="117"/>
  <c r="Q93" i="117"/>
  <c r="P93" i="117"/>
  <c r="O93" i="117"/>
  <c r="N93" i="117"/>
  <c r="M93" i="117"/>
  <c r="K93" i="117"/>
  <c r="J93" i="117"/>
  <c r="I93" i="117"/>
  <c r="E93" i="117"/>
  <c r="S92" i="117"/>
  <c r="R92" i="117"/>
  <c r="Q92" i="117"/>
  <c r="P92" i="117"/>
  <c r="O92" i="117"/>
  <c r="N92" i="117"/>
  <c r="M92" i="117"/>
  <c r="K92" i="117"/>
  <c r="J92" i="117"/>
  <c r="I92" i="117"/>
  <c r="E92" i="117"/>
  <c r="S91" i="117"/>
  <c r="R91" i="117"/>
  <c r="Q91" i="117"/>
  <c r="P91" i="117"/>
  <c r="O91" i="117"/>
  <c r="N91" i="117"/>
  <c r="M91" i="117"/>
  <c r="K91" i="117"/>
  <c r="J91" i="117"/>
  <c r="I91" i="117"/>
  <c r="E91" i="117"/>
  <c r="S90" i="117"/>
  <c r="R90" i="117"/>
  <c r="Q90" i="117"/>
  <c r="P90" i="117"/>
  <c r="O90" i="117"/>
  <c r="N90" i="117"/>
  <c r="M90" i="117"/>
  <c r="K90" i="117"/>
  <c r="J90" i="117"/>
  <c r="I90" i="117"/>
  <c r="E90" i="117"/>
  <c r="S89" i="117"/>
  <c r="R89" i="117"/>
  <c r="Q89" i="117"/>
  <c r="P89" i="117"/>
  <c r="O89" i="117"/>
  <c r="N89" i="117"/>
  <c r="M89" i="117"/>
  <c r="K89" i="117"/>
  <c r="J89" i="117"/>
  <c r="I89" i="117"/>
  <c r="E89" i="117"/>
  <c r="S88" i="117"/>
  <c r="R88" i="117"/>
  <c r="Q88" i="117"/>
  <c r="P88" i="117"/>
  <c r="O88" i="117"/>
  <c r="N88" i="117"/>
  <c r="M88" i="117"/>
  <c r="K88" i="117"/>
  <c r="J88" i="117"/>
  <c r="I88" i="117"/>
  <c r="E88" i="117"/>
  <c r="S87" i="117"/>
  <c r="R87" i="117"/>
  <c r="Q87" i="117"/>
  <c r="P87" i="117"/>
  <c r="O87" i="117"/>
  <c r="N87" i="117"/>
  <c r="M87" i="117"/>
  <c r="K87" i="117"/>
  <c r="J87" i="117"/>
  <c r="I87" i="117"/>
  <c r="E87" i="117"/>
  <c r="S86" i="117"/>
  <c r="R86" i="117"/>
  <c r="Q86" i="117"/>
  <c r="P86" i="117"/>
  <c r="O86" i="117"/>
  <c r="N86" i="117"/>
  <c r="M86" i="117"/>
  <c r="K86" i="117"/>
  <c r="J86" i="117"/>
  <c r="I86" i="117"/>
  <c r="E86" i="117"/>
  <c r="S85" i="117"/>
  <c r="R85" i="117"/>
  <c r="Q85" i="117"/>
  <c r="P85" i="117"/>
  <c r="O85" i="117"/>
  <c r="N85" i="117"/>
  <c r="M85" i="117"/>
  <c r="K85" i="117"/>
  <c r="J85" i="117"/>
  <c r="I85" i="117"/>
  <c r="E85" i="117"/>
  <c r="S84" i="117"/>
  <c r="R84" i="117"/>
  <c r="Q84" i="117"/>
  <c r="P84" i="117"/>
  <c r="O84" i="117"/>
  <c r="N84" i="117"/>
  <c r="M84" i="117"/>
  <c r="K84" i="117"/>
  <c r="J84" i="117"/>
  <c r="I84" i="117"/>
  <c r="E84" i="117"/>
  <c r="S83" i="117"/>
  <c r="R83" i="117"/>
  <c r="Q83" i="117"/>
  <c r="P83" i="117"/>
  <c r="O83" i="117"/>
  <c r="N83" i="117"/>
  <c r="M83" i="117"/>
  <c r="K83" i="117"/>
  <c r="J83" i="117"/>
  <c r="I83" i="117"/>
  <c r="E83" i="117"/>
  <c r="S82" i="117"/>
  <c r="R82" i="117"/>
  <c r="Q82" i="117"/>
  <c r="P82" i="117"/>
  <c r="O82" i="117"/>
  <c r="N82" i="117"/>
  <c r="M82" i="117"/>
  <c r="K82" i="117"/>
  <c r="J82" i="117"/>
  <c r="I82" i="117"/>
  <c r="E82" i="117"/>
  <c r="S81" i="117"/>
  <c r="R81" i="117"/>
  <c r="Q81" i="117"/>
  <c r="P81" i="117"/>
  <c r="O81" i="117"/>
  <c r="N81" i="117"/>
  <c r="M81" i="117"/>
  <c r="K81" i="117"/>
  <c r="J81" i="117"/>
  <c r="I81" i="117"/>
  <c r="E81" i="117"/>
  <c r="S80" i="117"/>
  <c r="R80" i="117"/>
  <c r="Q80" i="117"/>
  <c r="P80" i="117"/>
  <c r="O80" i="117"/>
  <c r="N80" i="117"/>
  <c r="M80" i="117"/>
  <c r="K80" i="117"/>
  <c r="J80" i="117"/>
  <c r="I80" i="117"/>
  <c r="E80" i="117"/>
  <c r="S79" i="117"/>
  <c r="R79" i="117"/>
  <c r="Q79" i="117"/>
  <c r="P79" i="117"/>
  <c r="O79" i="117"/>
  <c r="N79" i="117"/>
  <c r="M79" i="117"/>
  <c r="K79" i="117"/>
  <c r="J79" i="117"/>
  <c r="I79" i="117"/>
  <c r="E79" i="117"/>
  <c r="S78" i="117"/>
  <c r="R78" i="117"/>
  <c r="Q78" i="117"/>
  <c r="P78" i="117"/>
  <c r="O78" i="117"/>
  <c r="N78" i="117"/>
  <c r="M78" i="117"/>
  <c r="K78" i="117"/>
  <c r="J78" i="117"/>
  <c r="I78" i="117"/>
  <c r="E78" i="117"/>
  <c r="S77" i="117"/>
  <c r="R77" i="117"/>
  <c r="Q77" i="117"/>
  <c r="P77" i="117"/>
  <c r="O77" i="117"/>
  <c r="N77" i="117"/>
  <c r="M77" i="117"/>
  <c r="K77" i="117"/>
  <c r="J77" i="117"/>
  <c r="I77" i="117"/>
  <c r="E77" i="117"/>
  <c r="S76" i="117"/>
  <c r="R76" i="117"/>
  <c r="Q76" i="117"/>
  <c r="P76" i="117"/>
  <c r="O76" i="117"/>
  <c r="N76" i="117"/>
  <c r="M76" i="117"/>
  <c r="K76" i="117"/>
  <c r="J76" i="117"/>
  <c r="I76" i="117"/>
  <c r="E76" i="117"/>
  <c r="S75" i="117"/>
  <c r="R75" i="117"/>
  <c r="Q75" i="117"/>
  <c r="P75" i="117"/>
  <c r="O75" i="117"/>
  <c r="N75" i="117"/>
  <c r="M75" i="117"/>
  <c r="K75" i="117"/>
  <c r="J75" i="117"/>
  <c r="I75" i="117"/>
  <c r="E75" i="117"/>
  <c r="S74" i="117"/>
  <c r="R74" i="117"/>
  <c r="Q74" i="117"/>
  <c r="P74" i="117"/>
  <c r="O74" i="117"/>
  <c r="N74" i="117"/>
  <c r="M74" i="117"/>
  <c r="K74" i="117"/>
  <c r="J74" i="117"/>
  <c r="I74" i="117"/>
  <c r="E74" i="117"/>
  <c r="S73" i="117"/>
  <c r="R73" i="117"/>
  <c r="Q73" i="117"/>
  <c r="P73" i="117"/>
  <c r="O73" i="117"/>
  <c r="N73" i="117"/>
  <c r="M73" i="117"/>
  <c r="K73" i="117"/>
  <c r="J73" i="117"/>
  <c r="I73" i="117"/>
  <c r="E73" i="117"/>
  <c r="S72" i="117"/>
  <c r="R72" i="117"/>
  <c r="Q72" i="117"/>
  <c r="P72" i="117"/>
  <c r="O72" i="117"/>
  <c r="N72" i="117"/>
  <c r="M72" i="117"/>
  <c r="K72" i="117"/>
  <c r="J72" i="117"/>
  <c r="I72" i="117"/>
  <c r="E72" i="117"/>
  <c r="S71" i="117"/>
  <c r="R71" i="117"/>
  <c r="Q71" i="117"/>
  <c r="P71" i="117"/>
  <c r="O71" i="117"/>
  <c r="N71" i="117"/>
  <c r="M71" i="117"/>
  <c r="K71" i="117"/>
  <c r="J71" i="117"/>
  <c r="I71" i="117"/>
  <c r="E71" i="117"/>
  <c r="S70" i="117"/>
  <c r="R70" i="117"/>
  <c r="Q70" i="117"/>
  <c r="P70" i="117"/>
  <c r="O70" i="117"/>
  <c r="N70" i="117"/>
  <c r="M70" i="117"/>
  <c r="K70" i="117"/>
  <c r="J70" i="117"/>
  <c r="I70" i="117"/>
  <c r="E70" i="117"/>
  <c r="S69" i="117"/>
  <c r="R69" i="117"/>
  <c r="Q69" i="117"/>
  <c r="P69" i="117"/>
  <c r="O69" i="117"/>
  <c r="N69" i="117"/>
  <c r="M69" i="117"/>
  <c r="K69" i="117"/>
  <c r="J69" i="117"/>
  <c r="I69" i="117"/>
  <c r="E69" i="117"/>
  <c r="S68" i="117"/>
  <c r="R68" i="117"/>
  <c r="Q68" i="117"/>
  <c r="P68" i="117"/>
  <c r="O68" i="117"/>
  <c r="N68" i="117"/>
  <c r="M68" i="117"/>
  <c r="K68" i="117"/>
  <c r="J68" i="117"/>
  <c r="I68" i="117"/>
  <c r="E68" i="117"/>
  <c r="S67" i="117"/>
  <c r="R67" i="117"/>
  <c r="Q67" i="117"/>
  <c r="P67" i="117"/>
  <c r="O67" i="117"/>
  <c r="N67" i="117"/>
  <c r="M67" i="117"/>
  <c r="K67" i="117"/>
  <c r="J67" i="117"/>
  <c r="I67" i="117"/>
  <c r="E67" i="117"/>
  <c r="S66" i="117"/>
  <c r="R66" i="117"/>
  <c r="Q66" i="117"/>
  <c r="P66" i="117"/>
  <c r="O66" i="117"/>
  <c r="N66" i="117"/>
  <c r="M66" i="117"/>
  <c r="K66" i="117"/>
  <c r="J66" i="117"/>
  <c r="I66" i="117"/>
  <c r="E66" i="117"/>
  <c r="S65" i="117"/>
  <c r="R65" i="117"/>
  <c r="Q65" i="117"/>
  <c r="P65" i="117"/>
  <c r="O65" i="117"/>
  <c r="N65" i="117"/>
  <c r="M65" i="117"/>
  <c r="K65" i="117"/>
  <c r="J65" i="117"/>
  <c r="I65" i="117"/>
  <c r="E65" i="117"/>
  <c r="S64" i="117"/>
  <c r="R64" i="117"/>
  <c r="Q64" i="117"/>
  <c r="P64" i="117"/>
  <c r="O64" i="117"/>
  <c r="N64" i="117"/>
  <c r="M64" i="117"/>
  <c r="K64" i="117"/>
  <c r="J64" i="117"/>
  <c r="I64" i="117"/>
  <c r="E64" i="117"/>
  <c r="S63" i="117"/>
  <c r="R63" i="117"/>
  <c r="Q63" i="117"/>
  <c r="P63" i="117"/>
  <c r="O63" i="117"/>
  <c r="N63" i="117"/>
  <c r="M63" i="117"/>
  <c r="K63" i="117"/>
  <c r="J63" i="117"/>
  <c r="I63" i="117"/>
  <c r="E63" i="117"/>
  <c r="S62" i="117"/>
  <c r="R62" i="117"/>
  <c r="Q62" i="117"/>
  <c r="P62" i="117"/>
  <c r="O62" i="117"/>
  <c r="N62" i="117"/>
  <c r="M62" i="117"/>
  <c r="K62" i="117"/>
  <c r="J62" i="117"/>
  <c r="I62" i="117"/>
  <c r="E62" i="117"/>
  <c r="S61" i="117"/>
  <c r="R61" i="117"/>
  <c r="Q61" i="117"/>
  <c r="P61" i="117"/>
  <c r="O61" i="117"/>
  <c r="N61" i="117"/>
  <c r="M61" i="117"/>
  <c r="K61" i="117"/>
  <c r="J61" i="117"/>
  <c r="I61" i="117"/>
  <c r="E61" i="117"/>
  <c r="S60" i="117"/>
  <c r="R60" i="117"/>
  <c r="Q60" i="117"/>
  <c r="P60" i="117"/>
  <c r="O60" i="117"/>
  <c r="N60" i="117"/>
  <c r="M60" i="117"/>
  <c r="K60" i="117"/>
  <c r="J60" i="117"/>
  <c r="I60" i="117"/>
  <c r="E60" i="117"/>
  <c r="S59" i="117"/>
  <c r="R59" i="117"/>
  <c r="Q59" i="117"/>
  <c r="P59" i="117"/>
  <c r="O59" i="117"/>
  <c r="N59" i="117"/>
  <c r="M59" i="117"/>
  <c r="K59" i="117"/>
  <c r="J59" i="117"/>
  <c r="I59" i="117"/>
  <c r="E59" i="117"/>
  <c r="S58" i="117"/>
  <c r="R58" i="117"/>
  <c r="Q58" i="117"/>
  <c r="P58" i="117"/>
  <c r="O58" i="117"/>
  <c r="N58" i="117"/>
  <c r="M58" i="117"/>
  <c r="K58" i="117"/>
  <c r="J58" i="117"/>
  <c r="I58" i="117"/>
  <c r="E58" i="117"/>
  <c r="S57" i="117"/>
  <c r="R57" i="117"/>
  <c r="Q57" i="117"/>
  <c r="P57" i="117"/>
  <c r="O57" i="117"/>
  <c r="N57" i="117"/>
  <c r="M57" i="117"/>
  <c r="K57" i="117"/>
  <c r="J57" i="117"/>
  <c r="I57" i="117"/>
  <c r="E57" i="117"/>
  <c r="S56" i="117"/>
  <c r="R56" i="117"/>
  <c r="Q56" i="117"/>
  <c r="P56" i="117"/>
  <c r="O56" i="117"/>
  <c r="N56" i="117"/>
  <c r="M56" i="117"/>
  <c r="K56" i="117"/>
  <c r="J56" i="117"/>
  <c r="I56" i="117"/>
  <c r="E56" i="117"/>
  <c r="S55" i="117"/>
  <c r="R55" i="117"/>
  <c r="Q55" i="117"/>
  <c r="P55" i="117"/>
  <c r="O55" i="117"/>
  <c r="N55" i="117"/>
  <c r="M55" i="117"/>
  <c r="K55" i="117"/>
  <c r="J55" i="117"/>
  <c r="I55" i="117"/>
  <c r="E55" i="117"/>
  <c r="S54" i="117"/>
  <c r="R54" i="117"/>
  <c r="Q54" i="117"/>
  <c r="P54" i="117"/>
  <c r="O54" i="117"/>
  <c r="N54" i="117"/>
  <c r="M54" i="117"/>
  <c r="K54" i="117"/>
  <c r="J54" i="117"/>
  <c r="I54" i="117"/>
  <c r="E54" i="117"/>
  <c r="S53" i="117"/>
  <c r="R53" i="117"/>
  <c r="Q53" i="117"/>
  <c r="P53" i="117"/>
  <c r="O53" i="117"/>
  <c r="N53" i="117"/>
  <c r="M53" i="117"/>
  <c r="K53" i="117"/>
  <c r="J53" i="117"/>
  <c r="I53" i="117"/>
  <c r="E53" i="117"/>
  <c r="S52" i="117"/>
  <c r="R52" i="117"/>
  <c r="Q52" i="117"/>
  <c r="P52" i="117"/>
  <c r="O52" i="117"/>
  <c r="N52" i="117"/>
  <c r="M52" i="117"/>
  <c r="K52" i="117"/>
  <c r="J52" i="117"/>
  <c r="I52" i="117"/>
  <c r="E52" i="117"/>
  <c r="S51" i="117"/>
  <c r="R51" i="117"/>
  <c r="Q51" i="117"/>
  <c r="P51" i="117"/>
  <c r="O51" i="117"/>
  <c r="N51" i="117"/>
  <c r="M51" i="117"/>
  <c r="K51" i="117"/>
  <c r="J51" i="117"/>
  <c r="I51" i="117"/>
  <c r="E51" i="117"/>
  <c r="S50" i="117"/>
  <c r="R50" i="117"/>
  <c r="Q50" i="117"/>
  <c r="P50" i="117"/>
  <c r="O50" i="117"/>
  <c r="N50" i="117"/>
  <c r="M50" i="117"/>
  <c r="K50" i="117"/>
  <c r="J50" i="117"/>
  <c r="I50" i="117"/>
  <c r="E50" i="117"/>
  <c r="S49" i="117"/>
  <c r="R49" i="117"/>
  <c r="Q49" i="117"/>
  <c r="P49" i="117"/>
  <c r="O49" i="117"/>
  <c r="N49" i="117"/>
  <c r="M49" i="117"/>
  <c r="K49" i="117"/>
  <c r="J49" i="117"/>
  <c r="I49" i="117"/>
  <c r="E49" i="117"/>
  <c r="S48" i="117"/>
  <c r="R48" i="117"/>
  <c r="Q48" i="117"/>
  <c r="P48" i="117"/>
  <c r="O48" i="117"/>
  <c r="N48" i="117"/>
  <c r="M48" i="117"/>
  <c r="K48" i="117"/>
  <c r="J48" i="117"/>
  <c r="I48" i="117"/>
  <c r="E48" i="117"/>
  <c r="S47" i="117"/>
  <c r="R47" i="117"/>
  <c r="Q47" i="117"/>
  <c r="P47" i="117"/>
  <c r="O47" i="117"/>
  <c r="N47" i="117"/>
  <c r="M47" i="117"/>
  <c r="K47" i="117"/>
  <c r="J47" i="117"/>
  <c r="I47" i="117"/>
  <c r="E47" i="117"/>
  <c r="S46" i="117"/>
  <c r="R46" i="117"/>
  <c r="Q46" i="117"/>
  <c r="P46" i="117"/>
  <c r="O46" i="117"/>
  <c r="N46" i="117"/>
  <c r="M46" i="117"/>
  <c r="K46" i="117"/>
  <c r="J46" i="117"/>
  <c r="I46" i="117"/>
  <c r="E46" i="117"/>
  <c r="S45" i="117"/>
  <c r="R45" i="117"/>
  <c r="Q45" i="117"/>
  <c r="P45" i="117"/>
  <c r="O45" i="117"/>
  <c r="N45" i="117"/>
  <c r="M45" i="117"/>
  <c r="K45" i="117"/>
  <c r="J45" i="117"/>
  <c r="I45" i="117"/>
  <c r="E45" i="117"/>
  <c r="S44" i="117"/>
  <c r="R44" i="117"/>
  <c r="Q44" i="117"/>
  <c r="P44" i="117"/>
  <c r="O44" i="117"/>
  <c r="N44" i="117"/>
  <c r="M44" i="117"/>
  <c r="K44" i="117"/>
  <c r="J44" i="117"/>
  <c r="I44" i="117"/>
  <c r="E44" i="117"/>
  <c r="S43" i="117"/>
  <c r="R43" i="117"/>
  <c r="Q43" i="117"/>
  <c r="P43" i="117"/>
  <c r="O43" i="117"/>
  <c r="N43" i="117"/>
  <c r="M43" i="117"/>
  <c r="K43" i="117"/>
  <c r="J43" i="117"/>
  <c r="I43" i="117"/>
  <c r="E43" i="117"/>
  <c r="S42" i="117"/>
  <c r="R42" i="117"/>
  <c r="Q42" i="117"/>
  <c r="P42" i="117"/>
  <c r="O42" i="117"/>
  <c r="N42" i="117"/>
  <c r="M42" i="117"/>
  <c r="K42" i="117"/>
  <c r="J42" i="117"/>
  <c r="I42" i="117"/>
  <c r="E42" i="117"/>
  <c r="S41" i="117"/>
  <c r="R41" i="117"/>
  <c r="Q41" i="117"/>
  <c r="P41" i="117"/>
  <c r="O41" i="117"/>
  <c r="N41" i="117"/>
  <c r="M41" i="117"/>
  <c r="K41" i="117"/>
  <c r="J41" i="117"/>
  <c r="I41" i="117"/>
  <c r="E41" i="117"/>
  <c r="S40" i="117"/>
  <c r="R40" i="117"/>
  <c r="Q40" i="117"/>
  <c r="P40" i="117"/>
  <c r="O40" i="117"/>
  <c r="N40" i="117"/>
  <c r="M40" i="117"/>
  <c r="K40" i="117"/>
  <c r="J40" i="117"/>
  <c r="I40" i="117"/>
  <c r="E40" i="117"/>
  <c r="S39" i="117"/>
  <c r="R39" i="117"/>
  <c r="Q39" i="117"/>
  <c r="P39" i="117"/>
  <c r="O39" i="117"/>
  <c r="N39" i="117"/>
  <c r="M39" i="117"/>
  <c r="K39" i="117"/>
  <c r="J39" i="117"/>
  <c r="I39" i="117"/>
  <c r="E39" i="117"/>
  <c r="S38" i="117"/>
  <c r="R38" i="117"/>
  <c r="Q38" i="117"/>
  <c r="P38" i="117"/>
  <c r="O38" i="117"/>
  <c r="N38" i="117"/>
  <c r="M38" i="117"/>
  <c r="K38" i="117"/>
  <c r="J38" i="117"/>
  <c r="I38" i="117"/>
  <c r="E38" i="117"/>
  <c r="S37" i="117"/>
  <c r="R37" i="117"/>
  <c r="Q37" i="117"/>
  <c r="P37" i="117"/>
  <c r="O37" i="117"/>
  <c r="N37" i="117"/>
  <c r="M37" i="117"/>
  <c r="K37" i="117"/>
  <c r="J37" i="117"/>
  <c r="I37" i="117"/>
  <c r="E37" i="117"/>
  <c r="S36" i="117"/>
  <c r="R36" i="117"/>
  <c r="Q36" i="117"/>
  <c r="P36" i="117"/>
  <c r="O36" i="117"/>
  <c r="N36" i="117"/>
  <c r="M36" i="117"/>
  <c r="K36" i="117"/>
  <c r="J36" i="117"/>
  <c r="I36" i="117"/>
  <c r="E36" i="117"/>
  <c r="S35" i="117"/>
  <c r="R35" i="117"/>
  <c r="Q35" i="117"/>
  <c r="P35" i="117"/>
  <c r="O35" i="117"/>
  <c r="N35" i="117"/>
  <c r="M35" i="117"/>
  <c r="K35" i="117"/>
  <c r="J35" i="117"/>
  <c r="I35" i="117"/>
  <c r="E35" i="117"/>
  <c r="S34" i="117"/>
  <c r="R34" i="117"/>
  <c r="Q34" i="117"/>
  <c r="P34" i="117"/>
  <c r="O34" i="117"/>
  <c r="N34" i="117"/>
  <c r="M34" i="117"/>
  <c r="K34" i="117"/>
  <c r="J34" i="117"/>
  <c r="I34" i="117"/>
  <c r="E34" i="117"/>
  <c r="S33" i="117"/>
  <c r="R33" i="117"/>
  <c r="Q33" i="117"/>
  <c r="P33" i="117"/>
  <c r="O33" i="117"/>
  <c r="N33" i="117"/>
  <c r="M33" i="117"/>
  <c r="K33" i="117"/>
  <c r="J33" i="117"/>
  <c r="I33" i="117"/>
  <c r="E33" i="117"/>
  <c r="S32" i="117"/>
  <c r="R32" i="117"/>
  <c r="Q32" i="117"/>
  <c r="P32" i="117"/>
  <c r="O32" i="117"/>
  <c r="N32" i="117"/>
  <c r="M32" i="117"/>
  <c r="K32" i="117"/>
  <c r="J32" i="117"/>
  <c r="I32" i="117"/>
  <c r="E32" i="117"/>
  <c r="S31" i="117"/>
  <c r="R31" i="117"/>
  <c r="Q31" i="117"/>
  <c r="P31" i="117"/>
  <c r="O31" i="117"/>
  <c r="N31" i="117"/>
  <c r="M31" i="117"/>
  <c r="K31" i="117"/>
  <c r="J31" i="117"/>
  <c r="I31" i="117"/>
  <c r="E31" i="117"/>
  <c r="S30" i="117"/>
  <c r="R30" i="117"/>
  <c r="Q30" i="117"/>
  <c r="P30" i="117"/>
  <c r="O30" i="117"/>
  <c r="N30" i="117"/>
  <c r="M30" i="117"/>
  <c r="K30" i="117"/>
  <c r="J30" i="117"/>
  <c r="I30" i="117"/>
  <c r="E30" i="117"/>
  <c r="S29" i="117"/>
  <c r="R29" i="117"/>
  <c r="Q29" i="117"/>
  <c r="P29" i="117"/>
  <c r="O29" i="117"/>
  <c r="N29" i="117"/>
  <c r="M29" i="117"/>
  <c r="K29" i="117"/>
  <c r="J29" i="117"/>
  <c r="I29" i="117"/>
  <c r="E29" i="117"/>
  <c r="S28" i="117"/>
  <c r="R28" i="117"/>
  <c r="Q28" i="117"/>
  <c r="P28" i="117"/>
  <c r="O28" i="117"/>
  <c r="N28" i="117"/>
  <c r="M28" i="117"/>
  <c r="K28" i="117"/>
  <c r="J28" i="117"/>
  <c r="I28" i="117"/>
  <c r="E28" i="117"/>
  <c r="S27" i="117"/>
  <c r="R27" i="117"/>
  <c r="Q27" i="117"/>
  <c r="P27" i="117"/>
  <c r="O27" i="117"/>
  <c r="N27" i="117"/>
  <c r="M27" i="117"/>
  <c r="K27" i="117"/>
  <c r="J27" i="117"/>
  <c r="I27" i="117"/>
  <c r="E27" i="117"/>
  <c r="S26" i="117"/>
  <c r="R26" i="117"/>
  <c r="Q26" i="117"/>
  <c r="P26" i="117"/>
  <c r="O26" i="117"/>
  <c r="N26" i="117"/>
  <c r="M26" i="117"/>
  <c r="K26" i="117"/>
  <c r="J26" i="117"/>
  <c r="I26" i="117"/>
  <c r="E26" i="117"/>
  <c r="S25" i="117"/>
  <c r="R25" i="117"/>
  <c r="Q25" i="117"/>
  <c r="P25" i="117"/>
  <c r="O25" i="117"/>
  <c r="N25" i="117"/>
  <c r="M25" i="117"/>
  <c r="K25" i="117"/>
  <c r="J25" i="117"/>
  <c r="I25" i="117"/>
  <c r="E25" i="117"/>
  <c r="S24" i="117"/>
  <c r="R24" i="117"/>
  <c r="Q24" i="117"/>
  <c r="P24" i="117"/>
  <c r="O24" i="117"/>
  <c r="N24" i="117"/>
  <c r="M24" i="117"/>
  <c r="K24" i="117"/>
  <c r="J24" i="117"/>
  <c r="I24" i="117"/>
  <c r="E24" i="117"/>
  <c r="S23" i="117"/>
  <c r="R23" i="117"/>
  <c r="Q23" i="117"/>
  <c r="P23" i="117"/>
  <c r="O23" i="117"/>
  <c r="N23" i="117"/>
  <c r="M23" i="117"/>
  <c r="K23" i="117"/>
  <c r="J23" i="117"/>
  <c r="I23" i="117"/>
  <c r="E23" i="117"/>
  <c r="S22" i="117"/>
  <c r="R22" i="117"/>
  <c r="Q22" i="117"/>
  <c r="P22" i="117"/>
  <c r="O22" i="117"/>
  <c r="N22" i="117"/>
  <c r="M22" i="117"/>
  <c r="K22" i="117"/>
  <c r="J22" i="117"/>
  <c r="I22" i="117"/>
  <c r="E22" i="117"/>
  <c r="S21" i="117"/>
  <c r="R21" i="117"/>
  <c r="Q21" i="117"/>
  <c r="P21" i="117"/>
  <c r="O21" i="117"/>
  <c r="N21" i="117"/>
  <c r="M21" i="117"/>
  <c r="K21" i="117"/>
  <c r="J21" i="117"/>
  <c r="I21" i="117"/>
  <c r="E21" i="117"/>
  <c r="S20" i="117"/>
  <c r="R20" i="117"/>
  <c r="Q20" i="117"/>
  <c r="P20" i="117"/>
  <c r="O20" i="117"/>
  <c r="N20" i="117"/>
  <c r="M20" i="117"/>
  <c r="K20" i="117"/>
  <c r="J20" i="117"/>
  <c r="I20" i="117"/>
  <c r="E20" i="117"/>
  <c r="S19" i="117"/>
  <c r="R19" i="117"/>
  <c r="Q19" i="117"/>
  <c r="P19" i="117"/>
  <c r="O19" i="117"/>
  <c r="N19" i="117"/>
  <c r="M19" i="117"/>
  <c r="K19" i="117"/>
  <c r="J19" i="117"/>
  <c r="I19" i="117"/>
  <c r="E19" i="117"/>
  <c r="S18" i="117"/>
  <c r="R18" i="117"/>
  <c r="Q18" i="117"/>
  <c r="P18" i="117"/>
  <c r="O18" i="117"/>
  <c r="N18" i="117"/>
  <c r="M18" i="117"/>
  <c r="K18" i="117"/>
  <c r="J18" i="117"/>
  <c r="I18" i="117"/>
  <c r="E18" i="117"/>
  <c r="S17" i="117"/>
  <c r="R17" i="117"/>
  <c r="Q17" i="117"/>
  <c r="P17" i="117"/>
  <c r="O17" i="117"/>
  <c r="N17" i="117"/>
  <c r="M17" i="117"/>
  <c r="K17" i="117"/>
  <c r="J17" i="117"/>
  <c r="I17" i="117"/>
  <c r="E17" i="117"/>
  <c r="S16" i="117"/>
  <c r="R16" i="117"/>
  <c r="Q16" i="117"/>
  <c r="P16" i="117"/>
  <c r="O16" i="117"/>
  <c r="N16" i="117"/>
  <c r="M16" i="117"/>
  <c r="K16" i="117"/>
  <c r="J16" i="117"/>
  <c r="I16" i="117"/>
  <c r="E16" i="117"/>
  <c r="S15" i="117"/>
  <c r="R15" i="117"/>
  <c r="Q15" i="117"/>
  <c r="P15" i="117"/>
  <c r="O15" i="117"/>
  <c r="N15" i="117"/>
  <c r="M15" i="117"/>
  <c r="K15" i="117"/>
  <c r="J15" i="117"/>
  <c r="I15" i="117"/>
  <c r="E15" i="117"/>
  <c r="S14" i="117"/>
  <c r="R14" i="117"/>
  <c r="Q14" i="117"/>
  <c r="P14" i="117"/>
  <c r="O14" i="117"/>
  <c r="N14" i="117"/>
  <c r="M14" i="117"/>
  <c r="K14" i="117"/>
  <c r="J14" i="117"/>
  <c r="I14" i="117"/>
  <c r="E14" i="117"/>
  <c r="S13" i="117"/>
  <c r="R13" i="117"/>
  <c r="Q13" i="117"/>
  <c r="P13" i="117"/>
  <c r="O13" i="117"/>
  <c r="N13" i="117"/>
  <c r="M13" i="117"/>
  <c r="K13" i="117"/>
  <c r="J13" i="117"/>
  <c r="I13" i="117"/>
  <c r="E13" i="117"/>
  <c r="S12" i="117"/>
  <c r="R12" i="117"/>
  <c r="Q12" i="117"/>
  <c r="P12" i="117"/>
  <c r="O12" i="117"/>
  <c r="N12" i="117"/>
  <c r="M12" i="117"/>
  <c r="K12" i="117"/>
  <c r="J12" i="117"/>
  <c r="I12" i="117"/>
  <c r="E12" i="117"/>
  <c r="S11" i="117"/>
  <c r="R11" i="117"/>
  <c r="Q11" i="117"/>
  <c r="P11" i="117"/>
  <c r="O11" i="117"/>
  <c r="N11" i="117"/>
  <c r="M11" i="117"/>
  <c r="K11" i="117"/>
  <c r="J11" i="117"/>
  <c r="I11" i="117"/>
  <c r="E11" i="117"/>
  <c r="S10" i="117"/>
  <c r="R10" i="117"/>
  <c r="Q10" i="117"/>
  <c r="P10" i="117"/>
  <c r="O10" i="117"/>
  <c r="N10" i="117"/>
  <c r="M10" i="117"/>
  <c r="K10" i="117"/>
  <c r="J10" i="117"/>
  <c r="I10" i="117"/>
  <c r="E10" i="117"/>
  <c r="S9" i="117"/>
  <c r="R9" i="117"/>
  <c r="Q9" i="117"/>
  <c r="P9" i="117"/>
  <c r="O9" i="117"/>
  <c r="N9" i="117"/>
  <c r="M9" i="117"/>
  <c r="K9" i="117"/>
  <c r="J9" i="117"/>
  <c r="I9" i="117"/>
  <c r="E9" i="117"/>
  <c r="S8" i="117"/>
  <c r="R8" i="117"/>
  <c r="Q8" i="117"/>
  <c r="P8" i="117"/>
  <c r="O8" i="117"/>
  <c r="N8" i="117"/>
  <c r="M8" i="117"/>
  <c r="K8" i="117"/>
  <c r="J8" i="117"/>
  <c r="I8" i="117"/>
  <c r="E8" i="117"/>
  <c r="S7" i="117"/>
  <c r="R7" i="117"/>
  <c r="Q7" i="117"/>
  <c r="P7" i="117"/>
  <c r="O7" i="117"/>
  <c r="N7" i="117"/>
  <c r="M7" i="117"/>
  <c r="K7" i="117"/>
  <c r="J7" i="117"/>
  <c r="I7" i="117"/>
  <c r="E7" i="117"/>
  <c r="S6" i="117"/>
  <c r="R6" i="117"/>
  <c r="Q6" i="117"/>
  <c r="P6" i="117"/>
  <c r="O6" i="117"/>
  <c r="N6" i="117"/>
  <c r="M6" i="117"/>
  <c r="K6" i="117"/>
  <c r="J6" i="117"/>
  <c r="I6" i="117"/>
  <c r="E6" i="117"/>
  <c r="S5" i="117"/>
  <c r="R5" i="117"/>
  <c r="Q5" i="117"/>
  <c r="P5" i="117"/>
  <c r="O5" i="117"/>
  <c r="N5" i="117"/>
  <c r="M5" i="117"/>
  <c r="K5" i="117"/>
  <c r="J5" i="117"/>
  <c r="I5" i="117"/>
  <c r="E5" i="117"/>
  <c r="S4" i="117"/>
  <c r="R4" i="117"/>
  <c r="Q4" i="117"/>
  <c r="P4" i="117"/>
  <c r="O4" i="117"/>
  <c r="N4" i="117"/>
  <c r="M4" i="117"/>
  <c r="K4" i="117"/>
  <c r="J4" i="117"/>
  <c r="I4" i="117"/>
  <c r="E4" i="117"/>
  <c r="S3" i="117"/>
  <c r="R3" i="117"/>
  <c r="Q3" i="117"/>
  <c r="P3" i="117"/>
  <c r="O3" i="117"/>
  <c r="N3" i="117"/>
  <c r="M3" i="117"/>
  <c r="K3" i="117"/>
  <c r="J3" i="117"/>
  <c r="I3" i="117"/>
  <c r="E3" i="117"/>
  <c r="S2" i="117"/>
  <c r="R2" i="117"/>
  <c r="Q2" i="117"/>
  <c r="P2" i="117"/>
  <c r="O2" i="117"/>
  <c r="N2" i="117"/>
  <c r="M2" i="117"/>
  <c r="K2" i="117"/>
  <c r="J2" i="117"/>
  <c r="I2" i="117"/>
  <c r="E2" i="117"/>
  <c r="A53" i="116"/>
  <c r="A55" i="116"/>
  <c r="A57" i="116"/>
  <c r="A59" i="116"/>
  <c r="A61" i="116"/>
  <c r="A63" i="116"/>
  <c r="A65" i="116"/>
  <c r="A66" i="116"/>
  <c r="A68" i="116"/>
  <c r="A69" i="116"/>
  <c r="A70" i="116"/>
  <c r="A71" i="116"/>
  <c r="A72" i="116"/>
  <c r="A73" i="116"/>
  <c r="C73" i="116"/>
  <c r="C72" i="116"/>
  <c r="C71" i="116"/>
  <c r="C70" i="116"/>
  <c r="C69" i="116"/>
  <c r="C68" i="116"/>
  <c r="C66" i="116"/>
  <c r="C65" i="116"/>
  <c r="C64" i="116"/>
  <c r="C63" i="116"/>
  <c r="C62" i="116"/>
  <c r="C61" i="116"/>
  <c r="C60" i="116"/>
  <c r="F59" i="116"/>
  <c r="C59" i="116"/>
  <c r="F58" i="116"/>
  <c r="C58" i="116"/>
  <c r="C57" i="116"/>
  <c r="C56" i="116"/>
  <c r="F55" i="116"/>
  <c r="C55" i="116"/>
  <c r="F54" i="116"/>
  <c r="C54" i="116"/>
  <c r="C53" i="116"/>
  <c r="F53" i="116"/>
  <c r="A49" i="116"/>
  <c r="B5" i="116"/>
  <c r="B24" i="116"/>
  <c r="B25" i="116"/>
  <c r="B26" i="116"/>
  <c r="B27" i="116"/>
  <c r="B28" i="116"/>
  <c r="B29" i="116"/>
  <c r="B37" i="116"/>
  <c r="B30" i="116"/>
  <c r="B31" i="116"/>
  <c r="B32" i="116"/>
  <c r="B33" i="116"/>
  <c r="B34" i="116"/>
  <c r="B35" i="116"/>
  <c r="B46" i="116"/>
  <c r="A24" i="116"/>
  <c r="C24" i="116"/>
  <c r="C25" i="116"/>
  <c r="A26" i="116"/>
  <c r="C26" i="116"/>
  <c r="C27" i="116"/>
  <c r="A28" i="116"/>
  <c r="C28" i="116"/>
  <c r="C29" i="116"/>
  <c r="A30" i="116"/>
  <c r="C30" i="116"/>
  <c r="C31" i="116"/>
  <c r="A32" i="116"/>
  <c r="C32" i="116"/>
  <c r="C33" i="116"/>
  <c r="A34" i="116"/>
  <c r="C34" i="116"/>
  <c r="A35" i="116"/>
  <c r="C35" i="116"/>
  <c r="A36" i="116"/>
  <c r="C36" i="116"/>
  <c r="A37" i="116"/>
  <c r="C37" i="116"/>
  <c r="C38" i="116"/>
  <c r="A39" i="116"/>
  <c r="C39" i="116"/>
  <c r="A40" i="116"/>
  <c r="C40" i="116"/>
  <c r="A41" i="116"/>
  <c r="C41" i="116"/>
  <c r="A42" i="116"/>
  <c r="C42" i="116"/>
  <c r="A43" i="116"/>
  <c r="C43" i="116"/>
  <c r="A44" i="116"/>
  <c r="C44" i="116"/>
  <c r="C45" i="116"/>
  <c r="C46" i="116"/>
  <c r="D46" i="116"/>
  <c r="I45" i="116"/>
  <c r="J45" i="116"/>
  <c r="F45" i="116"/>
  <c r="D44" i="116"/>
  <c r="G44" i="116"/>
  <c r="H44" i="116"/>
  <c r="I44" i="116"/>
  <c r="J44" i="116"/>
  <c r="F44" i="116"/>
  <c r="D43" i="116"/>
  <c r="G43" i="116"/>
  <c r="H43" i="116"/>
  <c r="I43" i="116"/>
  <c r="J43" i="116"/>
  <c r="F43" i="116"/>
  <c r="I42" i="116"/>
  <c r="J42" i="116"/>
  <c r="F42" i="116"/>
  <c r="I41" i="116"/>
  <c r="J41" i="116"/>
  <c r="F41" i="116"/>
  <c r="I40" i="116"/>
  <c r="J40" i="116"/>
  <c r="F40" i="116"/>
  <c r="I39" i="116"/>
  <c r="J39" i="116"/>
  <c r="F39" i="116"/>
  <c r="D38" i="116"/>
  <c r="G38" i="116"/>
  <c r="H38" i="116"/>
  <c r="I38" i="116"/>
  <c r="J38" i="116"/>
  <c r="F38" i="116"/>
  <c r="D37" i="116"/>
  <c r="G37" i="116"/>
  <c r="H37" i="116"/>
  <c r="I37" i="116"/>
  <c r="J37" i="116"/>
  <c r="F37" i="116"/>
  <c r="D36" i="116"/>
  <c r="G36" i="116"/>
  <c r="H36" i="116"/>
  <c r="I36" i="116"/>
  <c r="J36" i="116"/>
  <c r="F36" i="116"/>
  <c r="D35" i="116"/>
  <c r="G35" i="116"/>
  <c r="H35" i="116"/>
  <c r="I35" i="116"/>
  <c r="J35" i="116"/>
  <c r="F35" i="116"/>
  <c r="D34" i="116"/>
  <c r="G34" i="116"/>
  <c r="H34" i="116"/>
  <c r="I34" i="116"/>
  <c r="J34" i="116"/>
  <c r="F34" i="116"/>
  <c r="D33" i="116"/>
  <c r="G33" i="116"/>
  <c r="H33" i="116"/>
  <c r="I33" i="116"/>
  <c r="J33" i="116"/>
  <c r="F33" i="116"/>
  <c r="D32" i="116"/>
  <c r="G32" i="116"/>
  <c r="H32" i="116"/>
  <c r="I32" i="116"/>
  <c r="J32" i="116"/>
  <c r="F32" i="116"/>
  <c r="D31" i="116"/>
  <c r="G31" i="116"/>
  <c r="H31" i="116"/>
  <c r="I31" i="116"/>
  <c r="J31" i="116"/>
  <c r="F31" i="116"/>
  <c r="D30" i="116"/>
  <c r="G30" i="116"/>
  <c r="H30" i="116"/>
  <c r="I30" i="116"/>
  <c r="J30" i="116"/>
  <c r="F30" i="116"/>
  <c r="D29" i="116"/>
  <c r="G29" i="116"/>
  <c r="H29" i="116"/>
  <c r="I29" i="116"/>
  <c r="J29" i="116"/>
  <c r="F29" i="116"/>
  <c r="D28" i="116"/>
  <c r="G28" i="116"/>
  <c r="H28" i="116"/>
  <c r="I28" i="116"/>
  <c r="J28" i="116"/>
  <c r="F28" i="116"/>
  <c r="D27" i="116"/>
  <c r="G27" i="116"/>
  <c r="H27" i="116"/>
  <c r="I27" i="116"/>
  <c r="J27" i="116"/>
  <c r="F27" i="116"/>
  <c r="D26" i="116"/>
  <c r="G26" i="116"/>
  <c r="H26" i="116"/>
  <c r="I26" i="116"/>
  <c r="J26" i="116"/>
  <c r="F26" i="116"/>
  <c r="D25" i="116"/>
  <c r="G25" i="116"/>
  <c r="H25" i="116"/>
  <c r="I25" i="116"/>
  <c r="J25" i="116"/>
  <c r="F25" i="116"/>
  <c r="D24" i="116"/>
  <c r="G24" i="116"/>
  <c r="H24" i="116"/>
  <c r="I24" i="116"/>
  <c r="J24" i="116"/>
  <c r="F24" i="116"/>
  <c r="B13" i="116"/>
  <c r="D45" i="114"/>
  <c r="G45" i="114"/>
  <c r="H45" i="114"/>
  <c r="L246" i="115"/>
  <c r="A246" i="115"/>
  <c r="B39" i="114"/>
  <c r="B40" i="114"/>
  <c r="B42" i="114"/>
  <c r="D42" i="114"/>
  <c r="G42" i="114"/>
  <c r="H42" i="114"/>
  <c r="L245" i="115"/>
  <c r="A245" i="115"/>
  <c r="L244" i="115"/>
  <c r="A244" i="115"/>
  <c r="L243" i="115"/>
  <c r="A243" i="115"/>
  <c r="B41" i="114"/>
  <c r="D41" i="114"/>
  <c r="G41" i="114"/>
  <c r="H41" i="114"/>
  <c r="L242" i="115"/>
  <c r="A242" i="115"/>
  <c r="L241" i="115"/>
  <c r="A241" i="115"/>
  <c r="L240" i="115"/>
  <c r="A240" i="115"/>
  <c r="L239" i="115"/>
  <c r="A239" i="115"/>
  <c r="L238" i="115"/>
  <c r="A238" i="115"/>
  <c r="L237" i="115"/>
  <c r="A237" i="115"/>
  <c r="L236" i="115"/>
  <c r="A236" i="115"/>
  <c r="L235" i="115"/>
  <c r="A235" i="115"/>
  <c r="L234" i="115"/>
  <c r="A234" i="115"/>
  <c r="L233" i="115"/>
  <c r="A233" i="115"/>
  <c r="L232" i="115"/>
  <c r="A232" i="115"/>
  <c r="L231" i="115"/>
  <c r="A231" i="115"/>
  <c r="L230" i="115"/>
  <c r="A230" i="115"/>
  <c r="L229" i="115"/>
  <c r="A229" i="115"/>
  <c r="L228" i="115"/>
  <c r="A228" i="115"/>
  <c r="L227" i="115"/>
  <c r="A227" i="115"/>
  <c r="L226" i="115"/>
  <c r="A226" i="115"/>
  <c r="L225" i="115"/>
  <c r="A225" i="115"/>
  <c r="L224" i="115"/>
  <c r="A224" i="115"/>
  <c r="L223" i="115"/>
  <c r="A223" i="115"/>
  <c r="L222" i="115"/>
  <c r="A222" i="115"/>
  <c r="L221" i="115"/>
  <c r="A221" i="115"/>
  <c r="L220" i="115"/>
  <c r="A220" i="115"/>
  <c r="L219" i="115"/>
  <c r="A219" i="115"/>
  <c r="L218" i="115"/>
  <c r="A218" i="115"/>
  <c r="L217" i="115"/>
  <c r="A217" i="115"/>
  <c r="L216" i="115"/>
  <c r="A216" i="115"/>
  <c r="L215" i="115"/>
  <c r="A215" i="115"/>
  <c r="L214" i="115"/>
  <c r="A214" i="115"/>
  <c r="L213" i="115"/>
  <c r="A213" i="115"/>
  <c r="L212" i="115"/>
  <c r="A212" i="115"/>
  <c r="L211" i="115"/>
  <c r="A211" i="115"/>
  <c r="L210" i="115"/>
  <c r="A210" i="115"/>
  <c r="L209" i="115"/>
  <c r="A209" i="115"/>
  <c r="L208" i="115"/>
  <c r="A208" i="115"/>
  <c r="L207" i="115"/>
  <c r="A207" i="115"/>
  <c r="L206" i="115"/>
  <c r="A206" i="115"/>
  <c r="L205" i="115"/>
  <c r="A205" i="115"/>
  <c r="L204" i="115"/>
  <c r="A204" i="115"/>
  <c r="L203" i="115"/>
  <c r="A203" i="115"/>
  <c r="L202" i="115"/>
  <c r="A202" i="115"/>
  <c r="L201" i="115"/>
  <c r="A201" i="115"/>
  <c r="L200" i="115"/>
  <c r="A200" i="115"/>
  <c r="L199" i="115"/>
  <c r="A199" i="115"/>
  <c r="L198" i="115"/>
  <c r="A198" i="115"/>
  <c r="L197" i="115"/>
  <c r="A197" i="115"/>
  <c r="L196" i="115"/>
  <c r="A196" i="115"/>
  <c r="L195" i="115"/>
  <c r="A195" i="115"/>
  <c r="L194" i="115"/>
  <c r="A194" i="115"/>
  <c r="L193" i="115"/>
  <c r="A193" i="115"/>
  <c r="L192" i="115"/>
  <c r="A192" i="115"/>
  <c r="L191" i="115"/>
  <c r="A191" i="115"/>
  <c r="L190" i="115"/>
  <c r="A190" i="115"/>
  <c r="L189" i="115"/>
  <c r="A189" i="115"/>
  <c r="L188" i="115"/>
  <c r="A188" i="115"/>
  <c r="L187" i="115"/>
  <c r="A187" i="115"/>
  <c r="L186" i="115"/>
  <c r="A186" i="115"/>
  <c r="L185" i="115"/>
  <c r="A185" i="115"/>
  <c r="L184" i="115"/>
  <c r="A184" i="115"/>
  <c r="L183" i="115"/>
  <c r="A183" i="115"/>
  <c r="L182" i="115"/>
  <c r="A182" i="115"/>
  <c r="L181" i="115"/>
  <c r="A181" i="115"/>
  <c r="L180" i="115"/>
  <c r="A180" i="115"/>
  <c r="L179" i="115"/>
  <c r="A179" i="115"/>
  <c r="L178" i="115"/>
  <c r="A178" i="115"/>
  <c r="L177" i="115"/>
  <c r="A177" i="115"/>
  <c r="L176" i="115"/>
  <c r="A176" i="115"/>
  <c r="L175" i="115"/>
  <c r="A175" i="115"/>
  <c r="L174" i="115"/>
  <c r="A174" i="115"/>
  <c r="L173" i="115"/>
  <c r="A173" i="115"/>
  <c r="L172" i="115"/>
  <c r="A172" i="115"/>
  <c r="L171" i="115"/>
  <c r="A171" i="115"/>
  <c r="L170" i="115"/>
  <c r="A170" i="115"/>
  <c r="L169" i="115"/>
  <c r="A169" i="115"/>
  <c r="L168" i="115"/>
  <c r="A168" i="115"/>
  <c r="L167" i="115"/>
  <c r="A167" i="115"/>
  <c r="L166" i="115"/>
  <c r="A166" i="115"/>
  <c r="L165" i="115"/>
  <c r="A165" i="115"/>
  <c r="L164" i="115"/>
  <c r="A164" i="115"/>
  <c r="L163" i="115"/>
  <c r="A163" i="115"/>
  <c r="L162" i="115"/>
  <c r="A162" i="115"/>
  <c r="L161" i="115"/>
  <c r="A161" i="115"/>
  <c r="L160" i="115"/>
  <c r="A160" i="115"/>
  <c r="L159" i="115"/>
  <c r="A159" i="115"/>
  <c r="L158" i="115"/>
  <c r="A158" i="115"/>
  <c r="L157" i="115"/>
  <c r="A157" i="115"/>
  <c r="L156" i="115"/>
  <c r="A156" i="115"/>
  <c r="L155" i="115"/>
  <c r="A155" i="115"/>
  <c r="L154" i="115"/>
  <c r="A154" i="115"/>
  <c r="L153" i="115"/>
  <c r="A153" i="115"/>
  <c r="L152" i="115"/>
  <c r="A152" i="115"/>
  <c r="L151" i="115"/>
  <c r="A151" i="115"/>
  <c r="L150" i="115"/>
  <c r="A150" i="115"/>
  <c r="L149" i="115"/>
  <c r="A149" i="115"/>
  <c r="L148" i="115"/>
  <c r="A148" i="115"/>
  <c r="L147" i="115"/>
  <c r="A147" i="115"/>
  <c r="L146" i="115"/>
  <c r="A146" i="115"/>
  <c r="L145" i="115"/>
  <c r="A145" i="115"/>
  <c r="L144" i="115"/>
  <c r="A144" i="115"/>
  <c r="L143" i="115"/>
  <c r="A143" i="115"/>
  <c r="L142" i="115"/>
  <c r="A142" i="115"/>
  <c r="L141" i="115"/>
  <c r="A141" i="115"/>
  <c r="L140" i="115"/>
  <c r="A140" i="115"/>
  <c r="L139" i="115"/>
  <c r="A139" i="115"/>
  <c r="L138" i="115"/>
  <c r="A138" i="115"/>
  <c r="L137" i="115"/>
  <c r="A137" i="115"/>
  <c r="L136" i="115"/>
  <c r="A136" i="115"/>
  <c r="L135" i="115"/>
  <c r="A135" i="115"/>
  <c r="L134" i="115"/>
  <c r="A134" i="115"/>
  <c r="L133" i="115"/>
  <c r="A133" i="115"/>
  <c r="L132" i="115"/>
  <c r="A132" i="115"/>
  <c r="L131" i="115"/>
  <c r="A131" i="115"/>
  <c r="L130" i="115"/>
  <c r="A130" i="115"/>
  <c r="L129" i="115"/>
  <c r="A129" i="115"/>
  <c r="L128" i="115"/>
  <c r="A128" i="115"/>
  <c r="L127" i="115"/>
  <c r="A127" i="115"/>
  <c r="L126" i="115"/>
  <c r="A126" i="115"/>
  <c r="L125" i="115"/>
  <c r="A125" i="115"/>
  <c r="L124" i="115"/>
  <c r="A124" i="115"/>
  <c r="L123" i="115"/>
  <c r="A123" i="115"/>
  <c r="L122" i="115"/>
  <c r="A122" i="115"/>
  <c r="L121" i="115"/>
  <c r="A121" i="115"/>
  <c r="L120" i="115"/>
  <c r="A120" i="115"/>
  <c r="L119" i="115"/>
  <c r="A119" i="115"/>
  <c r="L118" i="115"/>
  <c r="A118" i="115"/>
  <c r="L117" i="115"/>
  <c r="A117" i="115"/>
  <c r="L116" i="115"/>
  <c r="A116" i="115"/>
  <c r="L115" i="115"/>
  <c r="A115" i="115"/>
  <c r="L114" i="115"/>
  <c r="A114" i="115"/>
  <c r="L113" i="115"/>
  <c r="A113" i="115"/>
  <c r="L112" i="115"/>
  <c r="A112" i="115"/>
  <c r="L111" i="115"/>
  <c r="A111" i="115"/>
  <c r="L110" i="115"/>
  <c r="A110" i="115"/>
  <c r="L109" i="115"/>
  <c r="A109" i="115"/>
  <c r="L108" i="115"/>
  <c r="A108" i="115"/>
  <c r="L107" i="115"/>
  <c r="A107" i="115"/>
  <c r="L106" i="115"/>
  <c r="A106" i="115"/>
  <c r="L105" i="115"/>
  <c r="A105" i="115"/>
  <c r="L104" i="115"/>
  <c r="A104" i="115"/>
  <c r="L103" i="115"/>
  <c r="A103" i="115"/>
  <c r="L102" i="115"/>
  <c r="A102" i="115"/>
  <c r="D40" i="114"/>
  <c r="G40" i="114"/>
  <c r="H40" i="114"/>
  <c r="L101" i="115"/>
  <c r="A101" i="115"/>
  <c r="L100" i="115"/>
  <c r="A100" i="115"/>
  <c r="L99" i="115"/>
  <c r="A99" i="115"/>
  <c r="D39" i="114"/>
  <c r="G39" i="114"/>
  <c r="H39" i="114"/>
  <c r="L98" i="115"/>
  <c r="A98" i="115"/>
  <c r="L97" i="115"/>
  <c r="A97" i="115"/>
  <c r="L96" i="115"/>
  <c r="A96" i="115"/>
  <c r="L95" i="115"/>
  <c r="A95" i="115"/>
  <c r="L94" i="115"/>
  <c r="A94" i="115"/>
  <c r="L93" i="115"/>
  <c r="A93" i="115"/>
  <c r="L92" i="115"/>
  <c r="A92" i="115"/>
  <c r="L91" i="115"/>
  <c r="A91" i="115"/>
  <c r="L90" i="115"/>
  <c r="A90" i="115"/>
  <c r="L89" i="115"/>
  <c r="A89" i="115"/>
  <c r="L88" i="115"/>
  <c r="A88" i="115"/>
  <c r="L87" i="115"/>
  <c r="A87" i="115"/>
  <c r="L86" i="115"/>
  <c r="A86" i="115"/>
  <c r="L85" i="115"/>
  <c r="A85" i="115"/>
  <c r="L84" i="115"/>
  <c r="A84" i="115"/>
  <c r="L83" i="115"/>
  <c r="A83" i="115"/>
  <c r="L82" i="115"/>
  <c r="A82" i="115"/>
  <c r="L81" i="115"/>
  <c r="A81" i="115"/>
  <c r="L80" i="115"/>
  <c r="A80" i="115"/>
  <c r="L79" i="115"/>
  <c r="A79" i="115"/>
  <c r="L78" i="115"/>
  <c r="A78" i="115"/>
  <c r="L77" i="115"/>
  <c r="A77" i="115"/>
  <c r="L76" i="115"/>
  <c r="A76" i="115"/>
  <c r="L75" i="115"/>
  <c r="A75" i="115"/>
  <c r="L74" i="115"/>
  <c r="A74" i="115"/>
  <c r="L73" i="115"/>
  <c r="A73" i="115"/>
  <c r="L72" i="115"/>
  <c r="A72" i="115"/>
  <c r="L71" i="115"/>
  <c r="A71" i="115"/>
  <c r="L70" i="115"/>
  <c r="A70" i="115"/>
  <c r="L69" i="115"/>
  <c r="A69" i="115"/>
  <c r="L68" i="115"/>
  <c r="A68" i="115"/>
  <c r="L67" i="115"/>
  <c r="A67" i="115"/>
  <c r="L66" i="115"/>
  <c r="A66" i="115"/>
  <c r="L65" i="115"/>
  <c r="A65" i="115"/>
  <c r="L64" i="115"/>
  <c r="A64" i="115"/>
  <c r="L63" i="115"/>
  <c r="A63" i="115"/>
  <c r="L62" i="115"/>
  <c r="A62" i="115"/>
  <c r="L61" i="115"/>
  <c r="A61" i="115"/>
  <c r="L60" i="115"/>
  <c r="A60" i="115"/>
  <c r="L59" i="115"/>
  <c r="A59" i="115"/>
  <c r="L58" i="115"/>
  <c r="A58" i="115"/>
  <c r="L57" i="115"/>
  <c r="A57" i="115"/>
  <c r="L56" i="115"/>
  <c r="A56" i="115"/>
  <c r="L55" i="115"/>
  <c r="A55" i="115"/>
  <c r="L54" i="115"/>
  <c r="A54" i="115"/>
  <c r="L53" i="115"/>
  <c r="A53" i="115"/>
  <c r="L52" i="115"/>
  <c r="A52" i="115"/>
  <c r="L51" i="115"/>
  <c r="A51" i="115"/>
  <c r="L50" i="115"/>
  <c r="A50" i="115"/>
  <c r="L49" i="115"/>
  <c r="A49" i="115"/>
  <c r="L48" i="115"/>
  <c r="A48" i="115"/>
  <c r="L47" i="115"/>
  <c r="A47" i="115"/>
  <c r="L46" i="115"/>
  <c r="A46" i="115"/>
  <c r="L45" i="115"/>
  <c r="A45" i="115"/>
  <c r="L44" i="115"/>
  <c r="A44" i="115"/>
  <c r="L43" i="115"/>
  <c r="A43" i="115"/>
  <c r="L42" i="115"/>
  <c r="A42" i="115"/>
  <c r="L41" i="115"/>
  <c r="A41" i="115"/>
  <c r="L40" i="115"/>
  <c r="A40" i="115"/>
  <c r="L39" i="115"/>
  <c r="A39" i="115"/>
  <c r="L38" i="115"/>
  <c r="A38" i="115"/>
  <c r="L37" i="115"/>
  <c r="A37" i="115"/>
  <c r="L36" i="115"/>
  <c r="A36" i="115"/>
  <c r="L35" i="115"/>
  <c r="A35" i="115"/>
  <c r="L34" i="115"/>
  <c r="A34" i="115"/>
  <c r="L33" i="115"/>
  <c r="A33" i="115"/>
  <c r="L32" i="115"/>
  <c r="A32" i="115"/>
  <c r="L31" i="115"/>
  <c r="A31" i="115"/>
  <c r="L30" i="115"/>
  <c r="A30" i="115"/>
  <c r="L29" i="115"/>
  <c r="A29" i="115"/>
  <c r="L28" i="115"/>
  <c r="A28" i="115"/>
  <c r="L27" i="115"/>
  <c r="A27" i="115"/>
  <c r="L26" i="115"/>
  <c r="A26" i="115"/>
  <c r="L25" i="115"/>
  <c r="A25" i="115"/>
  <c r="L24" i="115"/>
  <c r="A24" i="115"/>
  <c r="L23" i="115"/>
  <c r="A23" i="115"/>
  <c r="L22" i="115"/>
  <c r="A22" i="115"/>
  <c r="L21" i="115"/>
  <c r="A21" i="115"/>
  <c r="L20" i="115"/>
  <c r="A20" i="115"/>
  <c r="L19" i="115"/>
  <c r="A19" i="115"/>
  <c r="L18" i="115"/>
  <c r="A18" i="115"/>
  <c r="L17" i="115"/>
  <c r="A17" i="115"/>
  <c r="L16" i="115"/>
  <c r="A16" i="115"/>
  <c r="L15" i="115"/>
  <c r="A15" i="115"/>
  <c r="L14" i="115"/>
  <c r="A14" i="115"/>
  <c r="L13" i="115"/>
  <c r="A13" i="115"/>
  <c r="L12" i="115"/>
  <c r="A12" i="115"/>
  <c r="L11" i="115"/>
  <c r="A11" i="115"/>
  <c r="L10" i="115"/>
  <c r="A10" i="115"/>
  <c r="L9" i="115"/>
  <c r="A9" i="115"/>
  <c r="L8" i="115"/>
  <c r="A8" i="115"/>
  <c r="L7" i="115"/>
  <c r="A7" i="115"/>
  <c r="L6" i="115"/>
  <c r="A6" i="115"/>
  <c r="L5" i="115"/>
  <c r="A5" i="115"/>
  <c r="L4" i="115"/>
  <c r="A4" i="115"/>
  <c r="L3" i="115"/>
  <c r="A3" i="115"/>
  <c r="L2" i="115"/>
  <c r="A2" i="115"/>
  <c r="B74" i="114"/>
  <c r="B73" i="114"/>
  <c r="B72" i="114"/>
  <c r="B71" i="114"/>
  <c r="B70" i="114"/>
  <c r="B69" i="114"/>
  <c r="B68" i="114"/>
  <c r="B67" i="114"/>
  <c r="B66" i="114"/>
  <c r="B65" i="114"/>
  <c r="B64" i="114"/>
  <c r="B63" i="114"/>
  <c r="B62" i="114"/>
  <c r="B61" i="114"/>
  <c r="B60" i="114"/>
  <c r="B59" i="114"/>
  <c r="B58" i="114"/>
  <c r="B57" i="114"/>
  <c r="B56" i="114"/>
  <c r="B55" i="114"/>
  <c r="B54" i="114"/>
  <c r="B53" i="114"/>
  <c r="E45" i="114"/>
  <c r="E44" i="114"/>
  <c r="E43" i="114"/>
  <c r="E42" i="114"/>
  <c r="E41" i="114"/>
  <c r="E40" i="114"/>
  <c r="E39" i="114"/>
  <c r="E38" i="114"/>
  <c r="E37" i="114"/>
  <c r="E36" i="114"/>
  <c r="E35" i="114"/>
  <c r="E34" i="114"/>
  <c r="E33" i="114"/>
  <c r="E32" i="114"/>
  <c r="E31" i="114"/>
  <c r="E30" i="114"/>
  <c r="E29" i="114"/>
  <c r="E28" i="114"/>
  <c r="E27" i="114"/>
  <c r="E26" i="114"/>
  <c r="E25" i="114"/>
  <c r="E24" i="114"/>
  <c r="S246" i="115"/>
  <c r="R246" i="115"/>
  <c r="Q246" i="115"/>
  <c r="P246" i="115"/>
  <c r="O246" i="115"/>
  <c r="N246" i="115"/>
  <c r="F246" i="115"/>
  <c r="G246" i="115"/>
  <c r="H246" i="115"/>
  <c r="C246" i="115"/>
  <c r="B246" i="115"/>
  <c r="F2" i="115"/>
  <c r="G2" i="115"/>
  <c r="H2" i="115"/>
  <c r="C2" i="115"/>
  <c r="B2" i="115"/>
  <c r="F3" i="115"/>
  <c r="G3" i="115"/>
  <c r="H3" i="115"/>
  <c r="C3" i="115"/>
  <c r="B3" i="115"/>
  <c r="F4" i="115"/>
  <c r="G4" i="115"/>
  <c r="H4" i="115"/>
  <c r="C4" i="115"/>
  <c r="B4" i="115"/>
  <c r="F5" i="115"/>
  <c r="G5" i="115"/>
  <c r="H5" i="115"/>
  <c r="C5" i="115"/>
  <c r="B5" i="115"/>
  <c r="F6" i="115"/>
  <c r="G6" i="115"/>
  <c r="H6" i="115"/>
  <c r="C6" i="115"/>
  <c r="B6" i="115"/>
  <c r="F7" i="115"/>
  <c r="G7" i="115"/>
  <c r="H7" i="115"/>
  <c r="C7" i="115"/>
  <c r="B7" i="115"/>
  <c r="F8" i="115"/>
  <c r="G8" i="115"/>
  <c r="H8" i="115"/>
  <c r="C8" i="115"/>
  <c r="B8" i="115"/>
  <c r="F9" i="115"/>
  <c r="G9" i="115"/>
  <c r="H9" i="115"/>
  <c r="C9" i="115"/>
  <c r="B9" i="115"/>
  <c r="F10" i="115"/>
  <c r="G10" i="115"/>
  <c r="H10" i="115"/>
  <c r="C10" i="115"/>
  <c r="B10" i="115"/>
  <c r="F11" i="115"/>
  <c r="G11" i="115"/>
  <c r="H11" i="115"/>
  <c r="C11" i="115"/>
  <c r="B11" i="115"/>
  <c r="F12" i="115"/>
  <c r="G12" i="115"/>
  <c r="H12" i="115"/>
  <c r="C12" i="115"/>
  <c r="B12" i="115"/>
  <c r="F13" i="115"/>
  <c r="G13" i="115"/>
  <c r="H13" i="115"/>
  <c r="C13" i="115"/>
  <c r="B13" i="115"/>
  <c r="F14" i="115"/>
  <c r="G14" i="115"/>
  <c r="H14" i="115"/>
  <c r="C14" i="115"/>
  <c r="B14" i="115"/>
  <c r="F15" i="115"/>
  <c r="G15" i="115"/>
  <c r="H15" i="115"/>
  <c r="C15" i="115"/>
  <c r="B15" i="115"/>
  <c r="F16" i="115"/>
  <c r="G16" i="115"/>
  <c r="H16" i="115"/>
  <c r="C16" i="115"/>
  <c r="B16" i="115"/>
  <c r="F17" i="115"/>
  <c r="G17" i="115"/>
  <c r="H17" i="115"/>
  <c r="C17" i="115"/>
  <c r="B17" i="115"/>
  <c r="F18" i="115"/>
  <c r="G18" i="115"/>
  <c r="H18" i="115"/>
  <c r="C18" i="115"/>
  <c r="B18" i="115"/>
  <c r="F19" i="115"/>
  <c r="G19" i="115"/>
  <c r="H19" i="115"/>
  <c r="C19" i="115"/>
  <c r="B19" i="115"/>
  <c r="F20" i="115"/>
  <c r="G20" i="115"/>
  <c r="H20" i="115"/>
  <c r="C20" i="115"/>
  <c r="B20" i="115"/>
  <c r="F21" i="115"/>
  <c r="G21" i="115"/>
  <c r="H21" i="115"/>
  <c r="C21" i="115"/>
  <c r="B21" i="115"/>
  <c r="F22" i="115"/>
  <c r="G22" i="115"/>
  <c r="H22" i="115"/>
  <c r="C22" i="115"/>
  <c r="B22" i="115"/>
  <c r="F23" i="115"/>
  <c r="G23" i="115"/>
  <c r="H23" i="115"/>
  <c r="C23" i="115"/>
  <c r="B23" i="115"/>
  <c r="F24" i="115"/>
  <c r="G24" i="115"/>
  <c r="H24" i="115"/>
  <c r="C24" i="115"/>
  <c r="B24" i="115"/>
  <c r="F25" i="115"/>
  <c r="G25" i="115"/>
  <c r="H25" i="115"/>
  <c r="C25" i="115"/>
  <c r="B25" i="115"/>
  <c r="F26" i="115"/>
  <c r="G26" i="115"/>
  <c r="H26" i="115"/>
  <c r="C26" i="115"/>
  <c r="B26" i="115"/>
  <c r="F27" i="115"/>
  <c r="G27" i="115"/>
  <c r="H27" i="115"/>
  <c r="C27" i="115"/>
  <c r="B27" i="115"/>
  <c r="F28" i="115"/>
  <c r="G28" i="115"/>
  <c r="H28" i="115"/>
  <c r="C28" i="115"/>
  <c r="B28" i="115"/>
  <c r="F29" i="115"/>
  <c r="G29" i="115"/>
  <c r="H29" i="115"/>
  <c r="C29" i="115"/>
  <c r="B29" i="115"/>
  <c r="F30" i="115"/>
  <c r="G30" i="115"/>
  <c r="H30" i="115"/>
  <c r="C30" i="115"/>
  <c r="B30" i="115"/>
  <c r="F31" i="115"/>
  <c r="G31" i="115"/>
  <c r="H31" i="115"/>
  <c r="C31" i="115"/>
  <c r="B31" i="115"/>
  <c r="F32" i="115"/>
  <c r="G32" i="115"/>
  <c r="H32" i="115"/>
  <c r="C32" i="115"/>
  <c r="B32" i="115"/>
  <c r="F33" i="115"/>
  <c r="G33" i="115"/>
  <c r="H33" i="115"/>
  <c r="C33" i="115"/>
  <c r="B33" i="115"/>
  <c r="F34" i="115"/>
  <c r="G34" i="115"/>
  <c r="H34" i="115"/>
  <c r="C34" i="115"/>
  <c r="B34" i="115"/>
  <c r="F35" i="115"/>
  <c r="G35" i="115"/>
  <c r="H35" i="115"/>
  <c r="C35" i="115"/>
  <c r="B35" i="115"/>
  <c r="F36" i="115"/>
  <c r="G36" i="115"/>
  <c r="H36" i="115"/>
  <c r="C36" i="115"/>
  <c r="B36" i="115"/>
  <c r="F37" i="115"/>
  <c r="G37" i="115"/>
  <c r="H37" i="115"/>
  <c r="C37" i="115"/>
  <c r="B37" i="115"/>
  <c r="F38" i="115"/>
  <c r="G38" i="115"/>
  <c r="H38" i="115"/>
  <c r="C38" i="115"/>
  <c r="B38" i="115"/>
  <c r="F39" i="115"/>
  <c r="G39" i="115"/>
  <c r="H39" i="115"/>
  <c r="C39" i="115"/>
  <c r="B39" i="115"/>
  <c r="F40" i="115"/>
  <c r="G40" i="115"/>
  <c r="H40" i="115"/>
  <c r="C40" i="115"/>
  <c r="B40" i="115"/>
  <c r="F41" i="115"/>
  <c r="G41" i="115"/>
  <c r="H41" i="115"/>
  <c r="C41" i="115"/>
  <c r="B41" i="115"/>
  <c r="F42" i="115"/>
  <c r="G42" i="115"/>
  <c r="H42" i="115"/>
  <c r="C42" i="115"/>
  <c r="B42" i="115"/>
  <c r="F43" i="115"/>
  <c r="G43" i="115"/>
  <c r="H43" i="115"/>
  <c r="C43" i="115"/>
  <c r="B43" i="115"/>
  <c r="F44" i="115"/>
  <c r="G44" i="115"/>
  <c r="H44" i="115"/>
  <c r="C44" i="115"/>
  <c r="B44" i="115"/>
  <c r="F45" i="115"/>
  <c r="G45" i="115"/>
  <c r="H45" i="115"/>
  <c r="C45" i="115"/>
  <c r="B45" i="115"/>
  <c r="F46" i="115"/>
  <c r="G46" i="115"/>
  <c r="H46" i="115"/>
  <c r="C46" i="115"/>
  <c r="B46" i="115"/>
  <c r="F47" i="115"/>
  <c r="G47" i="115"/>
  <c r="H47" i="115"/>
  <c r="C47" i="115"/>
  <c r="B47" i="115"/>
  <c r="F48" i="115"/>
  <c r="G48" i="115"/>
  <c r="H48" i="115"/>
  <c r="C48" i="115"/>
  <c r="B48" i="115"/>
  <c r="F49" i="115"/>
  <c r="G49" i="115"/>
  <c r="H49" i="115"/>
  <c r="C49" i="115"/>
  <c r="B49" i="115"/>
  <c r="F50" i="115"/>
  <c r="G50" i="115"/>
  <c r="H50" i="115"/>
  <c r="C50" i="115"/>
  <c r="B50" i="115"/>
  <c r="F51" i="115"/>
  <c r="G51" i="115"/>
  <c r="H51" i="115"/>
  <c r="C51" i="115"/>
  <c r="B51" i="115"/>
  <c r="F52" i="115"/>
  <c r="G52" i="115"/>
  <c r="H52" i="115"/>
  <c r="C52" i="115"/>
  <c r="B52" i="115"/>
  <c r="F53" i="115"/>
  <c r="G53" i="115"/>
  <c r="H53" i="115"/>
  <c r="C53" i="115"/>
  <c r="B53" i="115"/>
  <c r="F54" i="115"/>
  <c r="G54" i="115"/>
  <c r="H54" i="115"/>
  <c r="C54" i="115"/>
  <c r="B54" i="115"/>
  <c r="F55" i="115"/>
  <c r="G55" i="115"/>
  <c r="H55" i="115"/>
  <c r="C55" i="115"/>
  <c r="B55" i="115"/>
  <c r="F56" i="115"/>
  <c r="G56" i="115"/>
  <c r="H56" i="115"/>
  <c r="C56" i="115"/>
  <c r="B56" i="115"/>
  <c r="F57" i="115"/>
  <c r="G57" i="115"/>
  <c r="H57" i="115"/>
  <c r="C57" i="115"/>
  <c r="B57" i="115"/>
  <c r="F58" i="115"/>
  <c r="G58" i="115"/>
  <c r="H58" i="115"/>
  <c r="C58" i="115"/>
  <c r="B58" i="115"/>
  <c r="F59" i="115"/>
  <c r="G59" i="115"/>
  <c r="H59" i="115"/>
  <c r="C59" i="115"/>
  <c r="B59" i="115"/>
  <c r="F60" i="115"/>
  <c r="G60" i="115"/>
  <c r="H60" i="115"/>
  <c r="C60" i="115"/>
  <c r="B60" i="115"/>
  <c r="F61" i="115"/>
  <c r="G61" i="115"/>
  <c r="H61" i="115"/>
  <c r="C61" i="115"/>
  <c r="B61" i="115"/>
  <c r="F62" i="115"/>
  <c r="G62" i="115"/>
  <c r="H62" i="115"/>
  <c r="C62" i="115"/>
  <c r="B62" i="115"/>
  <c r="F63" i="115"/>
  <c r="G63" i="115"/>
  <c r="H63" i="115"/>
  <c r="C63" i="115"/>
  <c r="B63" i="115"/>
  <c r="F64" i="115"/>
  <c r="G64" i="115"/>
  <c r="H64" i="115"/>
  <c r="C64" i="115"/>
  <c r="B64" i="115"/>
  <c r="F65" i="115"/>
  <c r="G65" i="115"/>
  <c r="H65" i="115"/>
  <c r="C65" i="115"/>
  <c r="B65" i="115"/>
  <c r="F66" i="115"/>
  <c r="G66" i="115"/>
  <c r="H66" i="115"/>
  <c r="C66" i="115"/>
  <c r="B66" i="115"/>
  <c r="F67" i="115"/>
  <c r="G67" i="115"/>
  <c r="H67" i="115"/>
  <c r="C67" i="115"/>
  <c r="B67" i="115"/>
  <c r="F68" i="115"/>
  <c r="G68" i="115"/>
  <c r="H68" i="115"/>
  <c r="C68" i="115"/>
  <c r="B68" i="115"/>
  <c r="F69" i="115"/>
  <c r="G69" i="115"/>
  <c r="H69" i="115"/>
  <c r="C69" i="115"/>
  <c r="B69" i="115"/>
  <c r="F70" i="115"/>
  <c r="G70" i="115"/>
  <c r="H70" i="115"/>
  <c r="C70" i="115"/>
  <c r="B70" i="115"/>
  <c r="F71" i="115"/>
  <c r="G71" i="115"/>
  <c r="H71" i="115"/>
  <c r="C71" i="115"/>
  <c r="B71" i="115"/>
  <c r="F72" i="115"/>
  <c r="G72" i="115"/>
  <c r="H72" i="115"/>
  <c r="C72" i="115"/>
  <c r="B72" i="115"/>
  <c r="F73" i="115"/>
  <c r="G73" i="115"/>
  <c r="H73" i="115"/>
  <c r="C73" i="115"/>
  <c r="B73" i="115"/>
  <c r="F74" i="115"/>
  <c r="G74" i="115"/>
  <c r="H74" i="115"/>
  <c r="C74" i="115"/>
  <c r="B74" i="115"/>
  <c r="F75" i="115"/>
  <c r="G75" i="115"/>
  <c r="H75" i="115"/>
  <c r="C75" i="115"/>
  <c r="B75" i="115"/>
  <c r="F76" i="115"/>
  <c r="G76" i="115"/>
  <c r="H76" i="115"/>
  <c r="C76" i="115"/>
  <c r="B76" i="115"/>
  <c r="F77" i="115"/>
  <c r="G77" i="115"/>
  <c r="H77" i="115"/>
  <c r="C77" i="115"/>
  <c r="B77" i="115"/>
  <c r="F78" i="115"/>
  <c r="G78" i="115"/>
  <c r="H78" i="115"/>
  <c r="C78" i="115"/>
  <c r="B78" i="115"/>
  <c r="F79" i="115"/>
  <c r="G79" i="115"/>
  <c r="H79" i="115"/>
  <c r="C79" i="115"/>
  <c r="B79" i="115"/>
  <c r="F80" i="115"/>
  <c r="G80" i="115"/>
  <c r="H80" i="115"/>
  <c r="C80" i="115"/>
  <c r="B80" i="115"/>
  <c r="F81" i="115"/>
  <c r="G81" i="115"/>
  <c r="H81" i="115"/>
  <c r="C81" i="115"/>
  <c r="B81" i="115"/>
  <c r="F82" i="115"/>
  <c r="G82" i="115"/>
  <c r="H82" i="115"/>
  <c r="C82" i="115"/>
  <c r="B82" i="115"/>
  <c r="F83" i="115"/>
  <c r="G83" i="115"/>
  <c r="H83" i="115"/>
  <c r="C83" i="115"/>
  <c r="B83" i="115"/>
  <c r="F84" i="115"/>
  <c r="G84" i="115"/>
  <c r="H84" i="115"/>
  <c r="C84" i="115"/>
  <c r="B84" i="115"/>
  <c r="F85" i="115"/>
  <c r="G85" i="115"/>
  <c r="H85" i="115"/>
  <c r="C85" i="115"/>
  <c r="B85" i="115"/>
  <c r="F86" i="115"/>
  <c r="G86" i="115"/>
  <c r="H86" i="115"/>
  <c r="C86" i="115"/>
  <c r="B86" i="115"/>
  <c r="F87" i="115"/>
  <c r="G87" i="115"/>
  <c r="H87" i="115"/>
  <c r="C87" i="115"/>
  <c r="B87" i="115"/>
  <c r="F88" i="115"/>
  <c r="G88" i="115"/>
  <c r="H88" i="115"/>
  <c r="C88" i="115"/>
  <c r="B88" i="115"/>
  <c r="F89" i="115"/>
  <c r="G89" i="115"/>
  <c r="H89" i="115"/>
  <c r="C89" i="115"/>
  <c r="B89" i="115"/>
  <c r="F90" i="115"/>
  <c r="G90" i="115"/>
  <c r="H90" i="115"/>
  <c r="C90" i="115"/>
  <c r="B90" i="115"/>
  <c r="F91" i="115"/>
  <c r="G91" i="115"/>
  <c r="H91" i="115"/>
  <c r="C91" i="115"/>
  <c r="B91" i="115"/>
  <c r="F92" i="115"/>
  <c r="G92" i="115"/>
  <c r="H92" i="115"/>
  <c r="C92" i="115"/>
  <c r="B92" i="115"/>
  <c r="F93" i="115"/>
  <c r="G93" i="115"/>
  <c r="H93" i="115"/>
  <c r="C93" i="115"/>
  <c r="B93" i="115"/>
  <c r="F94" i="115"/>
  <c r="G94" i="115"/>
  <c r="H94" i="115"/>
  <c r="C94" i="115"/>
  <c r="B94" i="115"/>
  <c r="F95" i="115"/>
  <c r="G95" i="115"/>
  <c r="H95" i="115"/>
  <c r="C95" i="115"/>
  <c r="B95" i="115"/>
  <c r="F96" i="115"/>
  <c r="G96" i="115"/>
  <c r="H96" i="115"/>
  <c r="C96" i="115"/>
  <c r="B96" i="115"/>
  <c r="F97" i="115"/>
  <c r="G97" i="115"/>
  <c r="H97" i="115"/>
  <c r="C97" i="115"/>
  <c r="B97" i="115"/>
  <c r="F98" i="115"/>
  <c r="G98" i="115"/>
  <c r="H98" i="115"/>
  <c r="C98" i="115"/>
  <c r="B98" i="115"/>
  <c r="F99" i="115"/>
  <c r="G99" i="115"/>
  <c r="H99" i="115"/>
  <c r="C99" i="115"/>
  <c r="B99" i="115"/>
  <c r="F100" i="115"/>
  <c r="G100" i="115"/>
  <c r="H100" i="115"/>
  <c r="C100" i="115"/>
  <c r="B100" i="115"/>
  <c r="F101" i="115"/>
  <c r="G101" i="115"/>
  <c r="H101" i="115"/>
  <c r="C101" i="115"/>
  <c r="B101" i="115"/>
  <c r="F102" i="115"/>
  <c r="G102" i="115"/>
  <c r="H102" i="115"/>
  <c r="C102" i="115"/>
  <c r="B102" i="115"/>
  <c r="F103" i="115"/>
  <c r="G103" i="115"/>
  <c r="H103" i="115"/>
  <c r="C103" i="115"/>
  <c r="B103" i="115"/>
  <c r="F104" i="115"/>
  <c r="G104" i="115"/>
  <c r="H104" i="115"/>
  <c r="C104" i="115"/>
  <c r="B104" i="115"/>
  <c r="F105" i="115"/>
  <c r="G105" i="115"/>
  <c r="H105" i="115"/>
  <c r="C105" i="115"/>
  <c r="B105" i="115"/>
  <c r="F106" i="115"/>
  <c r="G106" i="115"/>
  <c r="H106" i="115"/>
  <c r="C106" i="115"/>
  <c r="B106" i="115"/>
  <c r="F107" i="115"/>
  <c r="G107" i="115"/>
  <c r="H107" i="115"/>
  <c r="C107" i="115"/>
  <c r="B107" i="115"/>
  <c r="F108" i="115"/>
  <c r="G108" i="115"/>
  <c r="H108" i="115"/>
  <c r="C108" i="115"/>
  <c r="B108" i="115"/>
  <c r="F109" i="115"/>
  <c r="G109" i="115"/>
  <c r="H109" i="115"/>
  <c r="C109" i="115"/>
  <c r="B109" i="115"/>
  <c r="F110" i="115"/>
  <c r="G110" i="115"/>
  <c r="H110" i="115"/>
  <c r="C110" i="115"/>
  <c r="B110" i="115"/>
  <c r="F111" i="115"/>
  <c r="G111" i="115"/>
  <c r="H111" i="115"/>
  <c r="C111" i="115"/>
  <c r="B111" i="115"/>
  <c r="F112" i="115"/>
  <c r="G112" i="115"/>
  <c r="H112" i="115"/>
  <c r="C112" i="115"/>
  <c r="B112" i="115"/>
  <c r="F113" i="115"/>
  <c r="G113" i="115"/>
  <c r="H113" i="115"/>
  <c r="C113" i="115"/>
  <c r="B113" i="115"/>
  <c r="F114" i="115"/>
  <c r="G114" i="115"/>
  <c r="H114" i="115"/>
  <c r="C114" i="115"/>
  <c r="B114" i="115"/>
  <c r="F115" i="115"/>
  <c r="G115" i="115"/>
  <c r="H115" i="115"/>
  <c r="C115" i="115"/>
  <c r="B115" i="115"/>
  <c r="F116" i="115"/>
  <c r="G116" i="115"/>
  <c r="H116" i="115"/>
  <c r="C116" i="115"/>
  <c r="B116" i="115"/>
  <c r="F117" i="115"/>
  <c r="G117" i="115"/>
  <c r="H117" i="115"/>
  <c r="C117" i="115"/>
  <c r="B117" i="115"/>
  <c r="F118" i="115"/>
  <c r="G118" i="115"/>
  <c r="H118" i="115"/>
  <c r="C118" i="115"/>
  <c r="B118" i="115"/>
  <c r="F119" i="115"/>
  <c r="G119" i="115"/>
  <c r="H119" i="115"/>
  <c r="C119" i="115"/>
  <c r="B119" i="115"/>
  <c r="F120" i="115"/>
  <c r="G120" i="115"/>
  <c r="H120" i="115"/>
  <c r="C120" i="115"/>
  <c r="B120" i="115"/>
  <c r="F121" i="115"/>
  <c r="G121" i="115"/>
  <c r="H121" i="115"/>
  <c r="C121" i="115"/>
  <c r="B121" i="115"/>
  <c r="F122" i="115"/>
  <c r="G122" i="115"/>
  <c r="H122" i="115"/>
  <c r="C122" i="115"/>
  <c r="B122" i="115"/>
  <c r="F123" i="115"/>
  <c r="G123" i="115"/>
  <c r="H123" i="115"/>
  <c r="C123" i="115"/>
  <c r="B123" i="115"/>
  <c r="F124" i="115"/>
  <c r="G124" i="115"/>
  <c r="H124" i="115"/>
  <c r="C124" i="115"/>
  <c r="B124" i="115"/>
  <c r="F125" i="115"/>
  <c r="G125" i="115"/>
  <c r="H125" i="115"/>
  <c r="C125" i="115"/>
  <c r="B125" i="115"/>
  <c r="F126" i="115"/>
  <c r="G126" i="115"/>
  <c r="H126" i="115"/>
  <c r="C126" i="115"/>
  <c r="B126" i="115"/>
  <c r="F127" i="115"/>
  <c r="G127" i="115"/>
  <c r="H127" i="115"/>
  <c r="C127" i="115"/>
  <c r="B127" i="115"/>
  <c r="F128" i="115"/>
  <c r="G128" i="115"/>
  <c r="H128" i="115"/>
  <c r="C128" i="115"/>
  <c r="B128" i="115"/>
  <c r="F129" i="115"/>
  <c r="G129" i="115"/>
  <c r="H129" i="115"/>
  <c r="C129" i="115"/>
  <c r="B129" i="115"/>
  <c r="F130" i="115"/>
  <c r="G130" i="115"/>
  <c r="H130" i="115"/>
  <c r="C130" i="115"/>
  <c r="B130" i="115"/>
  <c r="F131" i="115"/>
  <c r="G131" i="115"/>
  <c r="H131" i="115"/>
  <c r="C131" i="115"/>
  <c r="B131" i="115"/>
  <c r="F132" i="115"/>
  <c r="G132" i="115"/>
  <c r="H132" i="115"/>
  <c r="C132" i="115"/>
  <c r="B132" i="115"/>
  <c r="F133" i="115"/>
  <c r="G133" i="115"/>
  <c r="H133" i="115"/>
  <c r="C133" i="115"/>
  <c r="B133" i="115"/>
  <c r="F134" i="115"/>
  <c r="G134" i="115"/>
  <c r="H134" i="115"/>
  <c r="C134" i="115"/>
  <c r="B134" i="115"/>
  <c r="F135" i="115"/>
  <c r="G135" i="115"/>
  <c r="H135" i="115"/>
  <c r="C135" i="115"/>
  <c r="B135" i="115"/>
  <c r="F136" i="115"/>
  <c r="G136" i="115"/>
  <c r="H136" i="115"/>
  <c r="C136" i="115"/>
  <c r="B136" i="115"/>
  <c r="F137" i="115"/>
  <c r="G137" i="115"/>
  <c r="H137" i="115"/>
  <c r="C137" i="115"/>
  <c r="B137" i="115"/>
  <c r="F138" i="115"/>
  <c r="G138" i="115"/>
  <c r="H138" i="115"/>
  <c r="C138" i="115"/>
  <c r="B138" i="115"/>
  <c r="F139" i="115"/>
  <c r="G139" i="115"/>
  <c r="H139" i="115"/>
  <c r="C139" i="115"/>
  <c r="B139" i="115"/>
  <c r="F140" i="115"/>
  <c r="G140" i="115"/>
  <c r="H140" i="115"/>
  <c r="C140" i="115"/>
  <c r="B140" i="115"/>
  <c r="F141" i="115"/>
  <c r="G141" i="115"/>
  <c r="H141" i="115"/>
  <c r="C141" i="115"/>
  <c r="B141" i="115"/>
  <c r="F142" i="115"/>
  <c r="G142" i="115"/>
  <c r="H142" i="115"/>
  <c r="C142" i="115"/>
  <c r="B142" i="115"/>
  <c r="F143" i="115"/>
  <c r="G143" i="115"/>
  <c r="H143" i="115"/>
  <c r="C143" i="115"/>
  <c r="B143" i="115"/>
  <c r="F144" i="115"/>
  <c r="G144" i="115"/>
  <c r="H144" i="115"/>
  <c r="C144" i="115"/>
  <c r="B144" i="115"/>
  <c r="F145" i="115"/>
  <c r="G145" i="115"/>
  <c r="H145" i="115"/>
  <c r="C145" i="115"/>
  <c r="B145" i="115"/>
  <c r="F146" i="115"/>
  <c r="G146" i="115"/>
  <c r="H146" i="115"/>
  <c r="C146" i="115"/>
  <c r="B146" i="115"/>
  <c r="F147" i="115"/>
  <c r="G147" i="115"/>
  <c r="H147" i="115"/>
  <c r="C147" i="115"/>
  <c r="B147" i="115"/>
  <c r="F148" i="115"/>
  <c r="G148" i="115"/>
  <c r="H148" i="115"/>
  <c r="C148" i="115"/>
  <c r="B148" i="115"/>
  <c r="F149" i="115"/>
  <c r="G149" i="115"/>
  <c r="H149" i="115"/>
  <c r="C149" i="115"/>
  <c r="B149" i="115"/>
  <c r="F150" i="115"/>
  <c r="G150" i="115"/>
  <c r="H150" i="115"/>
  <c r="C150" i="115"/>
  <c r="B150" i="115"/>
  <c r="F151" i="115"/>
  <c r="G151" i="115"/>
  <c r="H151" i="115"/>
  <c r="C151" i="115"/>
  <c r="B151" i="115"/>
  <c r="F152" i="115"/>
  <c r="G152" i="115"/>
  <c r="H152" i="115"/>
  <c r="C152" i="115"/>
  <c r="B152" i="115"/>
  <c r="F153" i="115"/>
  <c r="G153" i="115"/>
  <c r="H153" i="115"/>
  <c r="C153" i="115"/>
  <c r="B153" i="115"/>
  <c r="F154" i="115"/>
  <c r="G154" i="115"/>
  <c r="H154" i="115"/>
  <c r="C154" i="115"/>
  <c r="B154" i="115"/>
  <c r="F155" i="115"/>
  <c r="G155" i="115"/>
  <c r="H155" i="115"/>
  <c r="C155" i="115"/>
  <c r="B155" i="115"/>
  <c r="F156" i="115"/>
  <c r="G156" i="115"/>
  <c r="H156" i="115"/>
  <c r="C156" i="115"/>
  <c r="B156" i="115"/>
  <c r="F157" i="115"/>
  <c r="G157" i="115"/>
  <c r="H157" i="115"/>
  <c r="C157" i="115"/>
  <c r="B157" i="115"/>
  <c r="F158" i="115"/>
  <c r="G158" i="115"/>
  <c r="H158" i="115"/>
  <c r="C158" i="115"/>
  <c r="B158" i="115"/>
  <c r="F159" i="115"/>
  <c r="G159" i="115"/>
  <c r="H159" i="115"/>
  <c r="C159" i="115"/>
  <c r="B159" i="115"/>
  <c r="F160" i="115"/>
  <c r="G160" i="115"/>
  <c r="H160" i="115"/>
  <c r="C160" i="115"/>
  <c r="B160" i="115"/>
  <c r="F161" i="115"/>
  <c r="G161" i="115"/>
  <c r="H161" i="115"/>
  <c r="C161" i="115"/>
  <c r="B161" i="115"/>
  <c r="F162" i="115"/>
  <c r="G162" i="115"/>
  <c r="H162" i="115"/>
  <c r="C162" i="115"/>
  <c r="B162" i="115"/>
  <c r="F163" i="115"/>
  <c r="G163" i="115"/>
  <c r="H163" i="115"/>
  <c r="C163" i="115"/>
  <c r="B163" i="115"/>
  <c r="F164" i="115"/>
  <c r="G164" i="115"/>
  <c r="H164" i="115"/>
  <c r="C164" i="115"/>
  <c r="B164" i="115"/>
  <c r="F165" i="115"/>
  <c r="G165" i="115"/>
  <c r="H165" i="115"/>
  <c r="C165" i="115"/>
  <c r="B165" i="115"/>
  <c r="F166" i="115"/>
  <c r="G166" i="115"/>
  <c r="H166" i="115"/>
  <c r="C166" i="115"/>
  <c r="B166" i="115"/>
  <c r="F167" i="115"/>
  <c r="G167" i="115"/>
  <c r="H167" i="115"/>
  <c r="C167" i="115"/>
  <c r="B167" i="115"/>
  <c r="F168" i="115"/>
  <c r="G168" i="115"/>
  <c r="H168" i="115"/>
  <c r="C168" i="115"/>
  <c r="B168" i="115"/>
  <c r="F169" i="115"/>
  <c r="G169" i="115"/>
  <c r="H169" i="115"/>
  <c r="C169" i="115"/>
  <c r="B169" i="115"/>
  <c r="F170" i="115"/>
  <c r="G170" i="115"/>
  <c r="H170" i="115"/>
  <c r="C170" i="115"/>
  <c r="B170" i="115"/>
  <c r="F171" i="115"/>
  <c r="G171" i="115"/>
  <c r="H171" i="115"/>
  <c r="C171" i="115"/>
  <c r="B171" i="115"/>
  <c r="F172" i="115"/>
  <c r="G172" i="115"/>
  <c r="H172" i="115"/>
  <c r="C172" i="115"/>
  <c r="B172" i="115"/>
  <c r="F173" i="115"/>
  <c r="G173" i="115"/>
  <c r="H173" i="115"/>
  <c r="C173" i="115"/>
  <c r="B173" i="115"/>
  <c r="F174" i="115"/>
  <c r="G174" i="115"/>
  <c r="H174" i="115"/>
  <c r="C174" i="115"/>
  <c r="B174" i="115"/>
  <c r="F175" i="115"/>
  <c r="G175" i="115"/>
  <c r="H175" i="115"/>
  <c r="C175" i="115"/>
  <c r="B175" i="115"/>
  <c r="F176" i="115"/>
  <c r="G176" i="115"/>
  <c r="H176" i="115"/>
  <c r="C176" i="115"/>
  <c r="B176" i="115"/>
  <c r="F177" i="115"/>
  <c r="G177" i="115"/>
  <c r="H177" i="115"/>
  <c r="C177" i="115"/>
  <c r="B177" i="115"/>
  <c r="F178" i="115"/>
  <c r="G178" i="115"/>
  <c r="H178" i="115"/>
  <c r="C178" i="115"/>
  <c r="B178" i="115"/>
  <c r="F179" i="115"/>
  <c r="G179" i="115"/>
  <c r="H179" i="115"/>
  <c r="C179" i="115"/>
  <c r="B179" i="115"/>
  <c r="F180" i="115"/>
  <c r="G180" i="115"/>
  <c r="H180" i="115"/>
  <c r="C180" i="115"/>
  <c r="B180" i="115"/>
  <c r="F181" i="115"/>
  <c r="G181" i="115"/>
  <c r="H181" i="115"/>
  <c r="C181" i="115"/>
  <c r="B181" i="115"/>
  <c r="F182" i="115"/>
  <c r="G182" i="115"/>
  <c r="H182" i="115"/>
  <c r="C182" i="115"/>
  <c r="B182" i="115"/>
  <c r="F183" i="115"/>
  <c r="G183" i="115"/>
  <c r="H183" i="115"/>
  <c r="C183" i="115"/>
  <c r="B183" i="115"/>
  <c r="F184" i="115"/>
  <c r="G184" i="115"/>
  <c r="H184" i="115"/>
  <c r="C184" i="115"/>
  <c r="B184" i="115"/>
  <c r="F185" i="115"/>
  <c r="G185" i="115"/>
  <c r="H185" i="115"/>
  <c r="C185" i="115"/>
  <c r="B185" i="115"/>
  <c r="F186" i="115"/>
  <c r="G186" i="115"/>
  <c r="H186" i="115"/>
  <c r="C186" i="115"/>
  <c r="B186" i="115"/>
  <c r="F187" i="115"/>
  <c r="G187" i="115"/>
  <c r="H187" i="115"/>
  <c r="C187" i="115"/>
  <c r="B187" i="115"/>
  <c r="F188" i="115"/>
  <c r="G188" i="115"/>
  <c r="H188" i="115"/>
  <c r="C188" i="115"/>
  <c r="B188" i="115"/>
  <c r="F189" i="115"/>
  <c r="G189" i="115"/>
  <c r="H189" i="115"/>
  <c r="C189" i="115"/>
  <c r="B189" i="115"/>
  <c r="F190" i="115"/>
  <c r="G190" i="115"/>
  <c r="H190" i="115"/>
  <c r="C190" i="115"/>
  <c r="B190" i="115"/>
  <c r="F191" i="115"/>
  <c r="G191" i="115"/>
  <c r="H191" i="115"/>
  <c r="C191" i="115"/>
  <c r="B191" i="115"/>
  <c r="F192" i="115"/>
  <c r="G192" i="115"/>
  <c r="H192" i="115"/>
  <c r="C192" i="115"/>
  <c r="B192" i="115"/>
  <c r="F193" i="115"/>
  <c r="G193" i="115"/>
  <c r="H193" i="115"/>
  <c r="C193" i="115"/>
  <c r="B193" i="115"/>
  <c r="F194" i="115"/>
  <c r="G194" i="115"/>
  <c r="H194" i="115"/>
  <c r="C194" i="115"/>
  <c r="B194" i="115"/>
  <c r="F195" i="115"/>
  <c r="G195" i="115"/>
  <c r="H195" i="115"/>
  <c r="C195" i="115"/>
  <c r="B195" i="115"/>
  <c r="F196" i="115"/>
  <c r="G196" i="115"/>
  <c r="H196" i="115"/>
  <c r="C196" i="115"/>
  <c r="B196" i="115"/>
  <c r="F197" i="115"/>
  <c r="G197" i="115"/>
  <c r="H197" i="115"/>
  <c r="C197" i="115"/>
  <c r="B197" i="115"/>
  <c r="F198" i="115"/>
  <c r="G198" i="115"/>
  <c r="H198" i="115"/>
  <c r="C198" i="115"/>
  <c r="B198" i="115"/>
  <c r="F199" i="115"/>
  <c r="G199" i="115"/>
  <c r="H199" i="115"/>
  <c r="C199" i="115"/>
  <c r="B199" i="115"/>
  <c r="F200" i="115"/>
  <c r="G200" i="115"/>
  <c r="H200" i="115"/>
  <c r="C200" i="115"/>
  <c r="B200" i="115"/>
  <c r="F201" i="115"/>
  <c r="G201" i="115"/>
  <c r="H201" i="115"/>
  <c r="C201" i="115"/>
  <c r="B201" i="115"/>
  <c r="F202" i="115"/>
  <c r="G202" i="115"/>
  <c r="H202" i="115"/>
  <c r="C202" i="115"/>
  <c r="B202" i="115"/>
  <c r="F203" i="115"/>
  <c r="G203" i="115"/>
  <c r="H203" i="115"/>
  <c r="C203" i="115"/>
  <c r="B203" i="115"/>
  <c r="F204" i="115"/>
  <c r="G204" i="115"/>
  <c r="H204" i="115"/>
  <c r="C204" i="115"/>
  <c r="B204" i="115"/>
  <c r="F205" i="115"/>
  <c r="G205" i="115"/>
  <c r="H205" i="115"/>
  <c r="C205" i="115"/>
  <c r="B205" i="115"/>
  <c r="F206" i="115"/>
  <c r="G206" i="115"/>
  <c r="H206" i="115"/>
  <c r="C206" i="115"/>
  <c r="B206" i="115"/>
  <c r="F207" i="115"/>
  <c r="G207" i="115"/>
  <c r="H207" i="115"/>
  <c r="C207" i="115"/>
  <c r="B207" i="115"/>
  <c r="F208" i="115"/>
  <c r="G208" i="115"/>
  <c r="H208" i="115"/>
  <c r="C208" i="115"/>
  <c r="B208" i="115"/>
  <c r="F209" i="115"/>
  <c r="G209" i="115"/>
  <c r="H209" i="115"/>
  <c r="C209" i="115"/>
  <c r="B209" i="115"/>
  <c r="F210" i="115"/>
  <c r="G210" i="115"/>
  <c r="H210" i="115"/>
  <c r="C210" i="115"/>
  <c r="B210" i="115"/>
  <c r="F211" i="115"/>
  <c r="G211" i="115"/>
  <c r="H211" i="115"/>
  <c r="C211" i="115"/>
  <c r="B211" i="115"/>
  <c r="F212" i="115"/>
  <c r="G212" i="115"/>
  <c r="H212" i="115"/>
  <c r="C212" i="115"/>
  <c r="B212" i="115"/>
  <c r="F213" i="115"/>
  <c r="G213" i="115"/>
  <c r="H213" i="115"/>
  <c r="C213" i="115"/>
  <c r="B213" i="115"/>
  <c r="F214" i="115"/>
  <c r="G214" i="115"/>
  <c r="H214" i="115"/>
  <c r="C214" i="115"/>
  <c r="B214" i="115"/>
  <c r="F215" i="115"/>
  <c r="G215" i="115"/>
  <c r="H215" i="115"/>
  <c r="C215" i="115"/>
  <c r="B215" i="115"/>
  <c r="F216" i="115"/>
  <c r="G216" i="115"/>
  <c r="H216" i="115"/>
  <c r="C216" i="115"/>
  <c r="B216" i="115"/>
  <c r="F217" i="115"/>
  <c r="G217" i="115"/>
  <c r="H217" i="115"/>
  <c r="C217" i="115"/>
  <c r="B217" i="115"/>
  <c r="F218" i="115"/>
  <c r="G218" i="115"/>
  <c r="H218" i="115"/>
  <c r="C218" i="115"/>
  <c r="B218" i="115"/>
  <c r="F219" i="115"/>
  <c r="G219" i="115"/>
  <c r="H219" i="115"/>
  <c r="C219" i="115"/>
  <c r="B219" i="115"/>
  <c r="F220" i="115"/>
  <c r="G220" i="115"/>
  <c r="H220" i="115"/>
  <c r="C220" i="115"/>
  <c r="B220" i="115"/>
  <c r="F221" i="115"/>
  <c r="G221" i="115"/>
  <c r="H221" i="115"/>
  <c r="C221" i="115"/>
  <c r="B221" i="115"/>
  <c r="F222" i="115"/>
  <c r="G222" i="115"/>
  <c r="H222" i="115"/>
  <c r="C222" i="115"/>
  <c r="B222" i="115"/>
  <c r="F223" i="115"/>
  <c r="G223" i="115"/>
  <c r="H223" i="115"/>
  <c r="C223" i="115"/>
  <c r="B223" i="115"/>
  <c r="F224" i="115"/>
  <c r="G224" i="115"/>
  <c r="H224" i="115"/>
  <c r="C224" i="115"/>
  <c r="B224" i="115"/>
  <c r="F225" i="115"/>
  <c r="G225" i="115"/>
  <c r="H225" i="115"/>
  <c r="C225" i="115"/>
  <c r="B225" i="115"/>
  <c r="F226" i="115"/>
  <c r="G226" i="115"/>
  <c r="H226" i="115"/>
  <c r="C226" i="115"/>
  <c r="B226" i="115"/>
  <c r="F227" i="115"/>
  <c r="G227" i="115"/>
  <c r="H227" i="115"/>
  <c r="C227" i="115"/>
  <c r="B227" i="115"/>
  <c r="F228" i="115"/>
  <c r="G228" i="115"/>
  <c r="H228" i="115"/>
  <c r="C228" i="115"/>
  <c r="B228" i="115"/>
  <c r="F229" i="115"/>
  <c r="G229" i="115"/>
  <c r="H229" i="115"/>
  <c r="C229" i="115"/>
  <c r="B229" i="115"/>
  <c r="F230" i="115"/>
  <c r="G230" i="115"/>
  <c r="H230" i="115"/>
  <c r="C230" i="115"/>
  <c r="B230" i="115"/>
  <c r="F231" i="115"/>
  <c r="G231" i="115"/>
  <c r="H231" i="115"/>
  <c r="C231" i="115"/>
  <c r="B231" i="115"/>
  <c r="F232" i="115"/>
  <c r="G232" i="115"/>
  <c r="H232" i="115"/>
  <c r="C232" i="115"/>
  <c r="B232" i="115"/>
  <c r="F233" i="115"/>
  <c r="G233" i="115"/>
  <c r="H233" i="115"/>
  <c r="C233" i="115"/>
  <c r="B233" i="115"/>
  <c r="F234" i="115"/>
  <c r="G234" i="115"/>
  <c r="H234" i="115"/>
  <c r="C234" i="115"/>
  <c r="B234" i="115"/>
  <c r="F235" i="115"/>
  <c r="G235" i="115"/>
  <c r="H235" i="115"/>
  <c r="C235" i="115"/>
  <c r="B235" i="115"/>
  <c r="F236" i="115"/>
  <c r="G236" i="115"/>
  <c r="H236" i="115"/>
  <c r="C236" i="115"/>
  <c r="B236" i="115"/>
  <c r="F237" i="115"/>
  <c r="G237" i="115"/>
  <c r="H237" i="115"/>
  <c r="C237" i="115"/>
  <c r="B237" i="115"/>
  <c r="F238" i="115"/>
  <c r="G238" i="115"/>
  <c r="H238" i="115"/>
  <c r="C238" i="115"/>
  <c r="B238" i="115"/>
  <c r="F239" i="115"/>
  <c r="G239" i="115"/>
  <c r="H239" i="115"/>
  <c r="C239" i="115"/>
  <c r="B239" i="115"/>
  <c r="F240" i="115"/>
  <c r="G240" i="115"/>
  <c r="H240" i="115"/>
  <c r="C240" i="115"/>
  <c r="B240" i="115"/>
  <c r="F241" i="115"/>
  <c r="G241" i="115"/>
  <c r="H241" i="115"/>
  <c r="C241" i="115"/>
  <c r="B241" i="115"/>
  <c r="F242" i="115"/>
  <c r="G242" i="115"/>
  <c r="H242" i="115"/>
  <c r="C242" i="115"/>
  <c r="B242" i="115"/>
  <c r="F243" i="115"/>
  <c r="G243" i="115"/>
  <c r="H243" i="115"/>
  <c r="C243" i="115"/>
  <c r="B243" i="115"/>
  <c r="F244" i="115"/>
  <c r="G244" i="115"/>
  <c r="H244" i="115"/>
  <c r="C244" i="115"/>
  <c r="B244" i="115"/>
  <c r="F245" i="115"/>
  <c r="G245" i="115"/>
  <c r="H245" i="115"/>
  <c r="C245" i="115"/>
  <c r="B245" i="115"/>
  <c r="M246" i="115"/>
  <c r="K246" i="115"/>
  <c r="J246" i="115"/>
  <c r="I246" i="115"/>
  <c r="E246" i="115"/>
  <c r="S245" i="115"/>
  <c r="R245" i="115"/>
  <c r="Q245" i="115"/>
  <c r="P245" i="115"/>
  <c r="O245" i="115"/>
  <c r="N245" i="115"/>
  <c r="M245" i="115"/>
  <c r="K245" i="115"/>
  <c r="J245" i="115"/>
  <c r="I245" i="115"/>
  <c r="E245" i="115"/>
  <c r="S244" i="115"/>
  <c r="R244" i="115"/>
  <c r="Q244" i="115"/>
  <c r="P244" i="115"/>
  <c r="O244" i="115"/>
  <c r="N244" i="115"/>
  <c r="M244" i="115"/>
  <c r="K244" i="115"/>
  <c r="J244" i="115"/>
  <c r="I244" i="115"/>
  <c r="E244" i="115"/>
  <c r="S243" i="115"/>
  <c r="R243" i="115"/>
  <c r="Q243" i="115"/>
  <c r="P243" i="115"/>
  <c r="O243" i="115"/>
  <c r="N243" i="115"/>
  <c r="M243" i="115"/>
  <c r="K243" i="115"/>
  <c r="J243" i="115"/>
  <c r="I243" i="115"/>
  <c r="E243" i="115"/>
  <c r="S242" i="115"/>
  <c r="R242" i="115"/>
  <c r="Q242" i="115"/>
  <c r="P242" i="115"/>
  <c r="O242" i="115"/>
  <c r="N242" i="115"/>
  <c r="M242" i="115"/>
  <c r="K242" i="115"/>
  <c r="J242" i="115"/>
  <c r="I242" i="115"/>
  <c r="E242" i="115"/>
  <c r="S241" i="115"/>
  <c r="R241" i="115"/>
  <c r="Q241" i="115"/>
  <c r="P241" i="115"/>
  <c r="O241" i="115"/>
  <c r="N241" i="115"/>
  <c r="M241" i="115"/>
  <c r="K241" i="115"/>
  <c r="J241" i="115"/>
  <c r="I241" i="115"/>
  <c r="E241" i="115"/>
  <c r="S240" i="115"/>
  <c r="R240" i="115"/>
  <c r="Q240" i="115"/>
  <c r="P240" i="115"/>
  <c r="O240" i="115"/>
  <c r="N240" i="115"/>
  <c r="M240" i="115"/>
  <c r="K240" i="115"/>
  <c r="J240" i="115"/>
  <c r="I240" i="115"/>
  <c r="E240" i="115"/>
  <c r="S239" i="115"/>
  <c r="R239" i="115"/>
  <c r="Q239" i="115"/>
  <c r="P239" i="115"/>
  <c r="O239" i="115"/>
  <c r="N239" i="115"/>
  <c r="M239" i="115"/>
  <c r="K239" i="115"/>
  <c r="J239" i="115"/>
  <c r="I239" i="115"/>
  <c r="E239" i="115"/>
  <c r="S238" i="115"/>
  <c r="R238" i="115"/>
  <c r="Q238" i="115"/>
  <c r="P238" i="115"/>
  <c r="O238" i="115"/>
  <c r="N238" i="115"/>
  <c r="M238" i="115"/>
  <c r="K238" i="115"/>
  <c r="J238" i="115"/>
  <c r="I238" i="115"/>
  <c r="E238" i="115"/>
  <c r="S237" i="115"/>
  <c r="R237" i="115"/>
  <c r="Q237" i="115"/>
  <c r="P237" i="115"/>
  <c r="O237" i="115"/>
  <c r="N237" i="115"/>
  <c r="M237" i="115"/>
  <c r="K237" i="115"/>
  <c r="J237" i="115"/>
  <c r="I237" i="115"/>
  <c r="E237" i="115"/>
  <c r="S236" i="115"/>
  <c r="R236" i="115"/>
  <c r="Q236" i="115"/>
  <c r="P236" i="115"/>
  <c r="O236" i="115"/>
  <c r="N236" i="115"/>
  <c r="M236" i="115"/>
  <c r="K236" i="115"/>
  <c r="J236" i="115"/>
  <c r="I236" i="115"/>
  <c r="E236" i="115"/>
  <c r="S235" i="115"/>
  <c r="R235" i="115"/>
  <c r="Q235" i="115"/>
  <c r="P235" i="115"/>
  <c r="O235" i="115"/>
  <c r="N235" i="115"/>
  <c r="M235" i="115"/>
  <c r="K235" i="115"/>
  <c r="J235" i="115"/>
  <c r="I235" i="115"/>
  <c r="E235" i="115"/>
  <c r="S234" i="115"/>
  <c r="R234" i="115"/>
  <c r="Q234" i="115"/>
  <c r="P234" i="115"/>
  <c r="O234" i="115"/>
  <c r="N234" i="115"/>
  <c r="M234" i="115"/>
  <c r="K234" i="115"/>
  <c r="J234" i="115"/>
  <c r="I234" i="115"/>
  <c r="E234" i="115"/>
  <c r="S233" i="115"/>
  <c r="R233" i="115"/>
  <c r="Q233" i="115"/>
  <c r="P233" i="115"/>
  <c r="O233" i="115"/>
  <c r="N233" i="115"/>
  <c r="M233" i="115"/>
  <c r="K233" i="115"/>
  <c r="J233" i="115"/>
  <c r="I233" i="115"/>
  <c r="E233" i="115"/>
  <c r="S232" i="115"/>
  <c r="R232" i="115"/>
  <c r="Q232" i="115"/>
  <c r="P232" i="115"/>
  <c r="O232" i="115"/>
  <c r="N232" i="115"/>
  <c r="M232" i="115"/>
  <c r="K232" i="115"/>
  <c r="J232" i="115"/>
  <c r="I232" i="115"/>
  <c r="E232" i="115"/>
  <c r="S231" i="115"/>
  <c r="R231" i="115"/>
  <c r="Q231" i="115"/>
  <c r="P231" i="115"/>
  <c r="O231" i="115"/>
  <c r="N231" i="115"/>
  <c r="M231" i="115"/>
  <c r="K231" i="115"/>
  <c r="J231" i="115"/>
  <c r="I231" i="115"/>
  <c r="E231" i="115"/>
  <c r="S230" i="115"/>
  <c r="R230" i="115"/>
  <c r="Q230" i="115"/>
  <c r="P230" i="115"/>
  <c r="O230" i="115"/>
  <c r="N230" i="115"/>
  <c r="M230" i="115"/>
  <c r="K230" i="115"/>
  <c r="J230" i="115"/>
  <c r="I230" i="115"/>
  <c r="E230" i="115"/>
  <c r="S229" i="115"/>
  <c r="R229" i="115"/>
  <c r="Q229" i="115"/>
  <c r="P229" i="115"/>
  <c r="O229" i="115"/>
  <c r="N229" i="115"/>
  <c r="M229" i="115"/>
  <c r="K229" i="115"/>
  <c r="J229" i="115"/>
  <c r="I229" i="115"/>
  <c r="E229" i="115"/>
  <c r="S228" i="115"/>
  <c r="R228" i="115"/>
  <c r="Q228" i="115"/>
  <c r="P228" i="115"/>
  <c r="O228" i="115"/>
  <c r="N228" i="115"/>
  <c r="M228" i="115"/>
  <c r="K228" i="115"/>
  <c r="J228" i="115"/>
  <c r="I228" i="115"/>
  <c r="E228" i="115"/>
  <c r="S227" i="115"/>
  <c r="R227" i="115"/>
  <c r="Q227" i="115"/>
  <c r="P227" i="115"/>
  <c r="O227" i="115"/>
  <c r="N227" i="115"/>
  <c r="M227" i="115"/>
  <c r="K227" i="115"/>
  <c r="J227" i="115"/>
  <c r="I227" i="115"/>
  <c r="E227" i="115"/>
  <c r="S226" i="115"/>
  <c r="R226" i="115"/>
  <c r="Q226" i="115"/>
  <c r="P226" i="115"/>
  <c r="O226" i="115"/>
  <c r="N226" i="115"/>
  <c r="M226" i="115"/>
  <c r="K226" i="115"/>
  <c r="J226" i="115"/>
  <c r="I226" i="115"/>
  <c r="E226" i="115"/>
  <c r="S225" i="115"/>
  <c r="R225" i="115"/>
  <c r="Q225" i="115"/>
  <c r="P225" i="115"/>
  <c r="O225" i="115"/>
  <c r="N225" i="115"/>
  <c r="M225" i="115"/>
  <c r="K225" i="115"/>
  <c r="J225" i="115"/>
  <c r="I225" i="115"/>
  <c r="E225" i="115"/>
  <c r="S224" i="115"/>
  <c r="R224" i="115"/>
  <c r="Q224" i="115"/>
  <c r="P224" i="115"/>
  <c r="O224" i="115"/>
  <c r="N224" i="115"/>
  <c r="M224" i="115"/>
  <c r="K224" i="115"/>
  <c r="J224" i="115"/>
  <c r="I224" i="115"/>
  <c r="E224" i="115"/>
  <c r="S223" i="115"/>
  <c r="R223" i="115"/>
  <c r="Q223" i="115"/>
  <c r="P223" i="115"/>
  <c r="O223" i="115"/>
  <c r="N223" i="115"/>
  <c r="M223" i="115"/>
  <c r="K223" i="115"/>
  <c r="J223" i="115"/>
  <c r="I223" i="115"/>
  <c r="E223" i="115"/>
  <c r="S222" i="115"/>
  <c r="R222" i="115"/>
  <c r="Q222" i="115"/>
  <c r="P222" i="115"/>
  <c r="O222" i="115"/>
  <c r="N222" i="115"/>
  <c r="M222" i="115"/>
  <c r="K222" i="115"/>
  <c r="J222" i="115"/>
  <c r="I222" i="115"/>
  <c r="E222" i="115"/>
  <c r="S221" i="115"/>
  <c r="R221" i="115"/>
  <c r="Q221" i="115"/>
  <c r="P221" i="115"/>
  <c r="O221" i="115"/>
  <c r="N221" i="115"/>
  <c r="M221" i="115"/>
  <c r="K221" i="115"/>
  <c r="J221" i="115"/>
  <c r="I221" i="115"/>
  <c r="E221" i="115"/>
  <c r="S220" i="115"/>
  <c r="R220" i="115"/>
  <c r="Q220" i="115"/>
  <c r="P220" i="115"/>
  <c r="O220" i="115"/>
  <c r="N220" i="115"/>
  <c r="M220" i="115"/>
  <c r="K220" i="115"/>
  <c r="J220" i="115"/>
  <c r="I220" i="115"/>
  <c r="E220" i="115"/>
  <c r="S219" i="115"/>
  <c r="R219" i="115"/>
  <c r="Q219" i="115"/>
  <c r="P219" i="115"/>
  <c r="O219" i="115"/>
  <c r="N219" i="115"/>
  <c r="M219" i="115"/>
  <c r="K219" i="115"/>
  <c r="J219" i="115"/>
  <c r="I219" i="115"/>
  <c r="E219" i="115"/>
  <c r="S218" i="115"/>
  <c r="R218" i="115"/>
  <c r="Q218" i="115"/>
  <c r="P218" i="115"/>
  <c r="O218" i="115"/>
  <c r="N218" i="115"/>
  <c r="M218" i="115"/>
  <c r="K218" i="115"/>
  <c r="J218" i="115"/>
  <c r="I218" i="115"/>
  <c r="E218" i="115"/>
  <c r="S217" i="115"/>
  <c r="R217" i="115"/>
  <c r="Q217" i="115"/>
  <c r="P217" i="115"/>
  <c r="O217" i="115"/>
  <c r="N217" i="115"/>
  <c r="M217" i="115"/>
  <c r="K217" i="115"/>
  <c r="J217" i="115"/>
  <c r="I217" i="115"/>
  <c r="E217" i="115"/>
  <c r="S216" i="115"/>
  <c r="R216" i="115"/>
  <c r="Q216" i="115"/>
  <c r="P216" i="115"/>
  <c r="O216" i="115"/>
  <c r="N216" i="115"/>
  <c r="M216" i="115"/>
  <c r="K216" i="115"/>
  <c r="J216" i="115"/>
  <c r="I216" i="115"/>
  <c r="E216" i="115"/>
  <c r="S215" i="115"/>
  <c r="R215" i="115"/>
  <c r="Q215" i="115"/>
  <c r="P215" i="115"/>
  <c r="O215" i="115"/>
  <c r="N215" i="115"/>
  <c r="M215" i="115"/>
  <c r="K215" i="115"/>
  <c r="J215" i="115"/>
  <c r="I215" i="115"/>
  <c r="E215" i="115"/>
  <c r="S214" i="115"/>
  <c r="R214" i="115"/>
  <c r="Q214" i="115"/>
  <c r="P214" i="115"/>
  <c r="O214" i="115"/>
  <c r="N214" i="115"/>
  <c r="M214" i="115"/>
  <c r="K214" i="115"/>
  <c r="J214" i="115"/>
  <c r="I214" i="115"/>
  <c r="E214" i="115"/>
  <c r="S213" i="115"/>
  <c r="R213" i="115"/>
  <c r="Q213" i="115"/>
  <c r="P213" i="115"/>
  <c r="O213" i="115"/>
  <c r="N213" i="115"/>
  <c r="M213" i="115"/>
  <c r="K213" i="115"/>
  <c r="J213" i="115"/>
  <c r="I213" i="115"/>
  <c r="E213" i="115"/>
  <c r="S212" i="115"/>
  <c r="R212" i="115"/>
  <c r="Q212" i="115"/>
  <c r="P212" i="115"/>
  <c r="O212" i="115"/>
  <c r="N212" i="115"/>
  <c r="M212" i="115"/>
  <c r="K212" i="115"/>
  <c r="J212" i="115"/>
  <c r="I212" i="115"/>
  <c r="E212" i="115"/>
  <c r="S211" i="115"/>
  <c r="R211" i="115"/>
  <c r="Q211" i="115"/>
  <c r="P211" i="115"/>
  <c r="O211" i="115"/>
  <c r="N211" i="115"/>
  <c r="M211" i="115"/>
  <c r="K211" i="115"/>
  <c r="J211" i="115"/>
  <c r="I211" i="115"/>
  <c r="E211" i="115"/>
  <c r="S210" i="115"/>
  <c r="R210" i="115"/>
  <c r="Q210" i="115"/>
  <c r="P210" i="115"/>
  <c r="O210" i="115"/>
  <c r="N210" i="115"/>
  <c r="M210" i="115"/>
  <c r="K210" i="115"/>
  <c r="J210" i="115"/>
  <c r="I210" i="115"/>
  <c r="E210" i="115"/>
  <c r="S209" i="115"/>
  <c r="R209" i="115"/>
  <c r="Q209" i="115"/>
  <c r="P209" i="115"/>
  <c r="O209" i="115"/>
  <c r="N209" i="115"/>
  <c r="M209" i="115"/>
  <c r="K209" i="115"/>
  <c r="J209" i="115"/>
  <c r="I209" i="115"/>
  <c r="E209" i="115"/>
  <c r="S208" i="115"/>
  <c r="R208" i="115"/>
  <c r="Q208" i="115"/>
  <c r="P208" i="115"/>
  <c r="O208" i="115"/>
  <c r="N208" i="115"/>
  <c r="M208" i="115"/>
  <c r="K208" i="115"/>
  <c r="J208" i="115"/>
  <c r="I208" i="115"/>
  <c r="E208" i="115"/>
  <c r="S207" i="115"/>
  <c r="R207" i="115"/>
  <c r="Q207" i="115"/>
  <c r="P207" i="115"/>
  <c r="O207" i="115"/>
  <c r="N207" i="115"/>
  <c r="M207" i="115"/>
  <c r="K207" i="115"/>
  <c r="J207" i="115"/>
  <c r="I207" i="115"/>
  <c r="E207" i="115"/>
  <c r="S206" i="115"/>
  <c r="R206" i="115"/>
  <c r="Q206" i="115"/>
  <c r="P206" i="115"/>
  <c r="O206" i="115"/>
  <c r="N206" i="115"/>
  <c r="M206" i="115"/>
  <c r="K206" i="115"/>
  <c r="J206" i="115"/>
  <c r="I206" i="115"/>
  <c r="E206" i="115"/>
  <c r="S205" i="115"/>
  <c r="R205" i="115"/>
  <c r="Q205" i="115"/>
  <c r="P205" i="115"/>
  <c r="O205" i="115"/>
  <c r="N205" i="115"/>
  <c r="M205" i="115"/>
  <c r="K205" i="115"/>
  <c r="J205" i="115"/>
  <c r="I205" i="115"/>
  <c r="E205" i="115"/>
  <c r="S204" i="115"/>
  <c r="R204" i="115"/>
  <c r="Q204" i="115"/>
  <c r="P204" i="115"/>
  <c r="O204" i="115"/>
  <c r="N204" i="115"/>
  <c r="M204" i="115"/>
  <c r="K204" i="115"/>
  <c r="J204" i="115"/>
  <c r="I204" i="115"/>
  <c r="E204" i="115"/>
  <c r="S203" i="115"/>
  <c r="R203" i="115"/>
  <c r="Q203" i="115"/>
  <c r="P203" i="115"/>
  <c r="O203" i="115"/>
  <c r="N203" i="115"/>
  <c r="M203" i="115"/>
  <c r="K203" i="115"/>
  <c r="J203" i="115"/>
  <c r="I203" i="115"/>
  <c r="E203" i="115"/>
  <c r="S202" i="115"/>
  <c r="R202" i="115"/>
  <c r="Q202" i="115"/>
  <c r="P202" i="115"/>
  <c r="O202" i="115"/>
  <c r="N202" i="115"/>
  <c r="M202" i="115"/>
  <c r="K202" i="115"/>
  <c r="J202" i="115"/>
  <c r="I202" i="115"/>
  <c r="E202" i="115"/>
  <c r="S201" i="115"/>
  <c r="R201" i="115"/>
  <c r="Q201" i="115"/>
  <c r="P201" i="115"/>
  <c r="O201" i="115"/>
  <c r="N201" i="115"/>
  <c r="M201" i="115"/>
  <c r="K201" i="115"/>
  <c r="J201" i="115"/>
  <c r="I201" i="115"/>
  <c r="E201" i="115"/>
  <c r="S200" i="115"/>
  <c r="R200" i="115"/>
  <c r="Q200" i="115"/>
  <c r="P200" i="115"/>
  <c r="O200" i="115"/>
  <c r="N200" i="115"/>
  <c r="M200" i="115"/>
  <c r="K200" i="115"/>
  <c r="J200" i="115"/>
  <c r="I200" i="115"/>
  <c r="E200" i="115"/>
  <c r="S199" i="115"/>
  <c r="R199" i="115"/>
  <c r="Q199" i="115"/>
  <c r="P199" i="115"/>
  <c r="O199" i="115"/>
  <c r="N199" i="115"/>
  <c r="M199" i="115"/>
  <c r="K199" i="115"/>
  <c r="J199" i="115"/>
  <c r="I199" i="115"/>
  <c r="E199" i="115"/>
  <c r="S198" i="115"/>
  <c r="R198" i="115"/>
  <c r="Q198" i="115"/>
  <c r="P198" i="115"/>
  <c r="O198" i="115"/>
  <c r="N198" i="115"/>
  <c r="M198" i="115"/>
  <c r="K198" i="115"/>
  <c r="J198" i="115"/>
  <c r="I198" i="115"/>
  <c r="E198" i="115"/>
  <c r="S197" i="115"/>
  <c r="R197" i="115"/>
  <c r="Q197" i="115"/>
  <c r="P197" i="115"/>
  <c r="O197" i="115"/>
  <c r="N197" i="115"/>
  <c r="M197" i="115"/>
  <c r="K197" i="115"/>
  <c r="J197" i="115"/>
  <c r="I197" i="115"/>
  <c r="E197" i="115"/>
  <c r="S196" i="115"/>
  <c r="R196" i="115"/>
  <c r="Q196" i="115"/>
  <c r="P196" i="115"/>
  <c r="O196" i="115"/>
  <c r="N196" i="115"/>
  <c r="M196" i="115"/>
  <c r="K196" i="115"/>
  <c r="J196" i="115"/>
  <c r="I196" i="115"/>
  <c r="E196" i="115"/>
  <c r="S195" i="115"/>
  <c r="R195" i="115"/>
  <c r="Q195" i="115"/>
  <c r="P195" i="115"/>
  <c r="O195" i="115"/>
  <c r="N195" i="115"/>
  <c r="M195" i="115"/>
  <c r="K195" i="115"/>
  <c r="J195" i="115"/>
  <c r="I195" i="115"/>
  <c r="E195" i="115"/>
  <c r="S194" i="115"/>
  <c r="R194" i="115"/>
  <c r="Q194" i="115"/>
  <c r="P194" i="115"/>
  <c r="O194" i="115"/>
  <c r="N194" i="115"/>
  <c r="M194" i="115"/>
  <c r="K194" i="115"/>
  <c r="J194" i="115"/>
  <c r="I194" i="115"/>
  <c r="E194" i="115"/>
  <c r="S193" i="115"/>
  <c r="R193" i="115"/>
  <c r="Q193" i="115"/>
  <c r="P193" i="115"/>
  <c r="O193" i="115"/>
  <c r="N193" i="115"/>
  <c r="M193" i="115"/>
  <c r="K193" i="115"/>
  <c r="J193" i="115"/>
  <c r="I193" i="115"/>
  <c r="E193" i="115"/>
  <c r="S192" i="115"/>
  <c r="R192" i="115"/>
  <c r="Q192" i="115"/>
  <c r="P192" i="115"/>
  <c r="O192" i="115"/>
  <c r="N192" i="115"/>
  <c r="M192" i="115"/>
  <c r="K192" i="115"/>
  <c r="J192" i="115"/>
  <c r="I192" i="115"/>
  <c r="E192" i="115"/>
  <c r="S191" i="115"/>
  <c r="R191" i="115"/>
  <c r="Q191" i="115"/>
  <c r="P191" i="115"/>
  <c r="O191" i="115"/>
  <c r="N191" i="115"/>
  <c r="M191" i="115"/>
  <c r="K191" i="115"/>
  <c r="J191" i="115"/>
  <c r="I191" i="115"/>
  <c r="E191" i="115"/>
  <c r="S190" i="115"/>
  <c r="R190" i="115"/>
  <c r="Q190" i="115"/>
  <c r="P190" i="115"/>
  <c r="O190" i="115"/>
  <c r="N190" i="115"/>
  <c r="M190" i="115"/>
  <c r="K190" i="115"/>
  <c r="J190" i="115"/>
  <c r="I190" i="115"/>
  <c r="E190" i="115"/>
  <c r="S189" i="115"/>
  <c r="R189" i="115"/>
  <c r="Q189" i="115"/>
  <c r="P189" i="115"/>
  <c r="O189" i="115"/>
  <c r="N189" i="115"/>
  <c r="M189" i="115"/>
  <c r="K189" i="115"/>
  <c r="J189" i="115"/>
  <c r="I189" i="115"/>
  <c r="E189" i="115"/>
  <c r="S188" i="115"/>
  <c r="R188" i="115"/>
  <c r="Q188" i="115"/>
  <c r="P188" i="115"/>
  <c r="O188" i="115"/>
  <c r="N188" i="115"/>
  <c r="M188" i="115"/>
  <c r="K188" i="115"/>
  <c r="J188" i="115"/>
  <c r="I188" i="115"/>
  <c r="E188" i="115"/>
  <c r="S187" i="115"/>
  <c r="R187" i="115"/>
  <c r="Q187" i="115"/>
  <c r="P187" i="115"/>
  <c r="O187" i="115"/>
  <c r="N187" i="115"/>
  <c r="M187" i="115"/>
  <c r="K187" i="115"/>
  <c r="J187" i="115"/>
  <c r="I187" i="115"/>
  <c r="E187" i="115"/>
  <c r="S186" i="115"/>
  <c r="R186" i="115"/>
  <c r="Q186" i="115"/>
  <c r="P186" i="115"/>
  <c r="O186" i="115"/>
  <c r="N186" i="115"/>
  <c r="M186" i="115"/>
  <c r="K186" i="115"/>
  <c r="J186" i="115"/>
  <c r="I186" i="115"/>
  <c r="E186" i="115"/>
  <c r="S185" i="115"/>
  <c r="R185" i="115"/>
  <c r="Q185" i="115"/>
  <c r="P185" i="115"/>
  <c r="O185" i="115"/>
  <c r="N185" i="115"/>
  <c r="M185" i="115"/>
  <c r="K185" i="115"/>
  <c r="J185" i="115"/>
  <c r="I185" i="115"/>
  <c r="E185" i="115"/>
  <c r="S184" i="115"/>
  <c r="R184" i="115"/>
  <c r="Q184" i="115"/>
  <c r="P184" i="115"/>
  <c r="O184" i="115"/>
  <c r="N184" i="115"/>
  <c r="M184" i="115"/>
  <c r="K184" i="115"/>
  <c r="J184" i="115"/>
  <c r="I184" i="115"/>
  <c r="E184" i="115"/>
  <c r="S183" i="115"/>
  <c r="R183" i="115"/>
  <c r="Q183" i="115"/>
  <c r="P183" i="115"/>
  <c r="O183" i="115"/>
  <c r="N183" i="115"/>
  <c r="M183" i="115"/>
  <c r="K183" i="115"/>
  <c r="J183" i="115"/>
  <c r="I183" i="115"/>
  <c r="E183" i="115"/>
  <c r="S182" i="115"/>
  <c r="R182" i="115"/>
  <c r="Q182" i="115"/>
  <c r="P182" i="115"/>
  <c r="O182" i="115"/>
  <c r="N182" i="115"/>
  <c r="M182" i="115"/>
  <c r="K182" i="115"/>
  <c r="J182" i="115"/>
  <c r="I182" i="115"/>
  <c r="E182" i="115"/>
  <c r="S181" i="115"/>
  <c r="R181" i="115"/>
  <c r="Q181" i="115"/>
  <c r="P181" i="115"/>
  <c r="O181" i="115"/>
  <c r="N181" i="115"/>
  <c r="M181" i="115"/>
  <c r="K181" i="115"/>
  <c r="J181" i="115"/>
  <c r="I181" i="115"/>
  <c r="E181" i="115"/>
  <c r="S180" i="115"/>
  <c r="R180" i="115"/>
  <c r="Q180" i="115"/>
  <c r="P180" i="115"/>
  <c r="O180" i="115"/>
  <c r="N180" i="115"/>
  <c r="M180" i="115"/>
  <c r="K180" i="115"/>
  <c r="J180" i="115"/>
  <c r="I180" i="115"/>
  <c r="E180" i="115"/>
  <c r="S179" i="115"/>
  <c r="R179" i="115"/>
  <c r="Q179" i="115"/>
  <c r="P179" i="115"/>
  <c r="O179" i="115"/>
  <c r="N179" i="115"/>
  <c r="M179" i="115"/>
  <c r="K179" i="115"/>
  <c r="J179" i="115"/>
  <c r="I179" i="115"/>
  <c r="E179" i="115"/>
  <c r="S178" i="115"/>
  <c r="R178" i="115"/>
  <c r="Q178" i="115"/>
  <c r="P178" i="115"/>
  <c r="O178" i="115"/>
  <c r="N178" i="115"/>
  <c r="M178" i="115"/>
  <c r="K178" i="115"/>
  <c r="J178" i="115"/>
  <c r="I178" i="115"/>
  <c r="E178" i="115"/>
  <c r="S177" i="115"/>
  <c r="R177" i="115"/>
  <c r="Q177" i="115"/>
  <c r="P177" i="115"/>
  <c r="O177" i="115"/>
  <c r="N177" i="115"/>
  <c r="M177" i="115"/>
  <c r="K177" i="115"/>
  <c r="J177" i="115"/>
  <c r="I177" i="115"/>
  <c r="E177" i="115"/>
  <c r="S176" i="115"/>
  <c r="R176" i="115"/>
  <c r="Q176" i="115"/>
  <c r="P176" i="115"/>
  <c r="O176" i="115"/>
  <c r="N176" i="115"/>
  <c r="M176" i="115"/>
  <c r="K176" i="115"/>
  <c r="J176" i="115"/>
  <c r="I176" i="115"/>
  <c r="E176" i="115"/>
  <c r="S175" i="115"/>
  <c r="R175" i="115"/>
  <c r="Q175" i="115"/>
  <c r="P175" i="115"/>
  <c r="O175" i="115"/>
  <c r="N175" i="115"/>
  <c r="M175" i="115"/>
  <c r="K175" i="115"/>
  <c r="J175" i="115"/>
  <c r="I175" i="115"/>
  <c r="E175" i="115"/>
  <c r="S174" i="115"/>
  <c r="R174" i="115"/>
  <c r="Q174" i="115"/>
  <c r="P174" i="115"/>
  <c r="O174" i="115"/>
  <c r="N174" i="115"/>
  <c r="M174" i="115"/>
  <c r="K174" i="115"/>
  <c r="J174" i="115"/>
  <c r="I174" i="115"/>
  <c r="E174" i="115"/>
  <c r="S173" i="115"/>
  <c r="R173" i="115"/>
  <c r="Q173" i="115"/>
  <c r="P173" i="115"/>
  <c r="O173" i="115"/>
  <c r="N173" i="115"/>
  <c r="M173" i="115"/>
  <c r="K173" i="115"/>
  <c r="J173" i="115"/>
  <c r="I173" i="115"/>
  <c r="E173" i="115"/>
  <c r="S172" i="115"/>
  <c r="R172" i="115"/>
  <c r="Q172" i="115"/>
  <c r="P172" i="115"/>
  <c r="O172" i="115"/>
  <c r="N172" i="115"/>
  <c r="M172" i="115"/>
  <c r="K172" i="115"/>
  <c r="J172" i="115"/>
  <c r="I172" i="115"/>
  <c r="E172" i="115"/>
  <c r="S171" i="115"/>
  <c r="R171" i="115"/>
  <c r="Q171" i="115"/>
  <c r="P171" i="115"/>
  <c r="O171" i="115"/>
  <c r="N171" i="115"/>
  <c r="M171" i="115"/>
  <c r="K171" i="115"/>
  <c r="J171" i="115"/>
  <c r="I171" i="115"/>
  <c r="E171" i="115"/>
  <c r="S170" i="115"/>
  <c r="R170" i="115"/>
  <c r="Q170" i="115"/>
  <c r="P170" i="115"/>
  <c r="O170" i="115"/>
  <c r="N170" i="115"/>
  <c r="M170" i="115"/>
  <c r="K170" i="115"/>
  <c r="J170" i="115"/>
  <c r="I170" i="115"/>
  <c r="E170" i="115"/>
  <c r="S169" i="115"/>
  <c r="R169" i="115"/>
  <c r="Q169" i="115"/>
  <c r="P169" i="115"/>
  <c r="O169" i="115"/>
  <c r="N169" i="115"/>
  <c r="M169" i="115"/>
  <c r="K169" i="115"/>
  <c r="J169" i="115"/>
  <c r="I169" i="115"/>
  <c r="E169" i="115"/>
  <c r="S168" i="115"/>
  <c r="R168" i="115"/>
  <c r="Q168" i="115"/>
  <c r="P168" i="115"/>
  <c r="O168" i="115"/>
  <c r="N168" i="115"/>
  <c r="M168" i="115"/>
  <c r="K168" i="115"/>
  <c r="J168" i="115"/>
  <c r="I168" i="115"/>
  <c r="E168" i="115"/>
  <c r="S167" i="115"/>
  <c r="R167" i="115"/>
  <c r="Q167" i="115"/>
  <c r="P167" i="115"/>
  <c r="O167" i="115"/>
  <c r="N167" i="115"/>
  <c r="M167" i="115"/>
  <c r="K167" i="115"/>
  <c r="J167" i="115"/>
  <c r="I167" i="115"/>
  <c r="E167" i="115"/>
  <c r="S166" i="115"/>
  <c r="R166" i="115"/>
  <c r="Q166" i="115"/>
  <c r="P166" i="115"/>
  <c r="O166" i="115"/>
  <c r="N166" i="115"/>
  <c r="M166" i="115"/>
  <c r="K166" i="115"/>
  <c r="J166" i="115"/>
  <c r="I166" i="115"/>
  <c r="E166" i="115"/>
  <c r="S165" i="115"/>
  <c r="R165" i="115"/>
  <c r="Q165" i="115"/>
  <c r="P165" i="115"/>
  <c r="O165" i="115"/>
  <c r="N165" i="115"/>
  <c r="M165" i="115"/>
  <c r="K165" i="115"/>
  <c r="J165" i="115"/>
  <c r="I165" i="115"/>
  <c r="E165" i="115"/>
  <c r="S164" i="115"/>
  <c r="R164" i="115"/>
  <c r="Q164" i="115"/>
  <c r="P164" i="115"/>
  <c r="O164" i="115"/>
  <c r="N164" i="115"/>
  <c r="M164" i="115"/>
  <c r="K164" i="115"/>
  <c r="J164" i="115"/>
  <c r="I164" i="115"/>
  <c r="E164" i="115"/>
  <c r="S163" i="115"/>
  <c r="R163" i="115"/>
  <c r="Q163" i="115"/>
  <c r="P163" i="115"/>
  <c r="O163" i="115"/>
  <c r="N163" i="115"/>
  <c r="M163" i="115"/>
  <c r="K163" i="115"/>
  <c r="J163" i="115"/>
  <c r="I163" i="115"/>
  <c r="E163" i="115"/>
  <c r="S162" i="115"/>
  <c r="R162" i="115"/>
  <c r="Q162" i="115"/>
  <c r="P162" i="115"/>
  <c r="O162" i="115"/>
  <c r="N162" i="115"/>
  <c r="M162" i="115"/>
  <c r="K162" i="115"/>
  <c r="J162" i="115"/>
  <c r="I162" i="115"/>
  <c r="E162" i="115"/>
  <c r="S161" i="115"/>
  <c r="R161" i="115"/>
  <c r="Q161" i="115"/>
  <c r="P161" i="115"/>
  <c r="O161" i="115"/>
  <c r="N161" i="115"/>
  <c r="M161" i="115"/>
  <c r="K161" i="115"/>
  <c r="J161" i="115"/>
  <c r="I161" i="115"/>
  <c r="E161" i="115"/>
  <c r="S160" i="115"/>
  <c r="R160" i="115"/>
  <c r="Q160" i="115"/>
  <c r="P160" i="115"/>
  <c r="O160" i="115"/>
  <c r="N160" i="115"/>
  <c r="M160" i="115"/>
  <c r="K160" i="115"/>
  <c r="J160" i="115"/>
  <c r="I160" i="115"/>
  <c r="E160" i="115"/>
  <c r="S159" i="115"/>
  <c r="R159" i="115"/>
  <c r="Q159" i="115"/>
  <c r="P159" i="115"/>
  <c r="O159" i="115"/>
  <c r="N159" i="115"/>
  <c r="M159" i="115"/>
  <c r="K159" i="115"/>
  <c r="J159" i="115"/>
  <c r="I159" i="115"/>
  <c r="E159" i="115"/>
  <c r="S158" i="115"/>
  <c r="R158" i="115"/>
  <c r="Q158" i="115"/>
  <c r="P158" i="115"/>
  <c r="O158" i="115"/>
  <c r="N158" i="115"/>
  <c r="M158" i="115"/>
  <c r="K158" i="115"/>
  <c r="J158" i="115"/>
  <c r="I158" i="115"/>
  <c r="E158" i="115"/>
  <c r="S157" i="115"/>
  <c r="R157" i="115"/>
  <c r="Q157" i="115"/>
  <c r="P157" i="115"/>
  <c r="O157" i="115"/>
  <c r="N157" i="115"/>
  <c r="M157" i="115"/>
  <c r="K157" i="115"/>
  <c r="J157" i="115"/>
  <c r="I157" i="115"/>
  <c r="E157" i="115"/>
  <c r="S156" i="115"/>
  <c r="R156" i="115"/>
  <c r="Q156" i="115"/>
  <c r="P156" i="115"/>
  <c r="O156" i="115"/>
  <c r="N156" i="115"/>
  <c r="M156" i="115"/>
  <c r="K156" i="115"/>
  <c r="J156" i="115"/>
  <c r="I156" i="115"/>
  <c r="E156" i="115"/>
  <c r="S155" i="115"/>
  <c r="R155" i="115"/>
  <c r="Q155" i="115"/>
  <c r="P155" i="115"/>
  <c r="O155" i="115"/>
  <c r="N155" i="115"/>
  <c r="M155" i="115"/>
  <c r="K155" i="115"/>
  <c r="J155" i="115"/>
  <c r="I155" i="115"/>
  <c r="E155" i="115"/>
  <c r="S154" i="115"/>
  <c r="R154" i="115"/>
  <c r="Q154" i="115"/>
  <c r="P154" i="115"/>
  <c r="O154" i="115"/>
  <c r="N154" i="115"/>
  <c r="M154" i="115"/>
  <c r="K154" i="115"/>
  <c r="J154" i="115"/>
  <c r="I154" i="115"/>
  <c r="E154" i="115"/>
  <c r="S153" i="115"/>
  <c r="R153" i="115"/>
  <c r="Q153" i="115"/>
  <c r="P153" i="115"/>
  <c r="O153" i="115"/>
  <c r="N153" i="115"/>
  <c r="M153" i="115"/>
  <c r="K153" i="115"/>
  <c r="J153" i="115"/>
  <c r="I153" i="115"/>
  <c r="E153" i="115"/>
  <c r="S152" i="115"/>
  <c r="R152" i="115"/>
  <c r="Q152" i="115"/>
  <c r="P152" i="115"/>
  <c r="O152" i="115"/>
  <c r="N152" i="115"/>
  <c r="M152" i="115"/>
  <c r="K152" i="115"/>
  <c r="J152" i="115"/>
  <c r="I152" i="115"/>
  <c r="E152" i="115"/>
  <c r="S151" i="115"/>
  <c r="R151" i="115"/>
  <c r="Q151" i="115"/>
  <c r="P151" i="115"/>
  <c r="O151" i="115"/>
  <c r="N151" i="115"/>
  <c r="M151" i="115"/>
  <c r="K151" i="115"/>
  <c r="J151" i="115"/>
  <c r="I151" i="115"/>
  <c r="E151" i="115"/>
  <c r="S150" i="115"/>
  <c r="R150" i="115"/>
  <c r="Q150" i="115"/>
  <c r="P150" i="115"/>
  <c r="O150" i="115"/>
  <c r="N150" i="115"/>
  <c r="M150" i="115"/>
  <c r="K150" i="115"/>
  <c r="J150" i="115"/>
  <c r="I150" i="115"/>
  <c r="E150" i="115"/>
  <c r="S149" i="115"/>
  <c r="R149" i="115"/>
  <c r="Q149" i="115"/>
  <c r="P149" i="115"/>
  <c r="O149" i="115"/>
  <c r="N149" i="115"/>
  <c r="M149" i="115"/>
  <c r="K149" i="115"/>
  <c r="J149" i="115"/>
  <c r="I149" i="115"/>
  <c r="E149" i="115"/>
  <c r="S148" i="115"/>
  <c r="R148" i="115"/>
  <c r="Q148" i="115"/>
  <c r="P148" i="115"/>
  <c r="O148" i="115"/>
  <c r="N148" i="115"/>
  <c r="M148" i="115"/>
  <c r="K148" i="115"/>
  <c r="J148" i="115"/>
  <c r="I148" i="115"/>
  <c r="E148" i="115"/>
  <c r="S147" i="115"/>
  <c r="R147" i="115"/>
  <c r="Q147" i="115"/>
  <c r="P147" i="115"/>
  <c r="O147" i="115"/>
  <c r="N147" i="115"/>
  <c r="M147" i="115"/>
  <c r="K147" i="115"/>
  <c r="J147" i="115"/>
  <c r="I147" i="115"/>
  <c r="E147" i="115"/>
  <c r="S146" i="115"/>
  <c r="R146" i="115"/>
  <c r="Q146" i="115"/>
  <c r="P146" i="115"/>
  <c r="O146" i="115"/>
  <c r="N146" i="115"/>
  <c r="M146" i="115"/>
  <c r="K146" i="115"/>
  <c r="J146" i="115"/>
  <c r="I146" i="115"/>
  <c r="E146" i="115"/>
  <c r="S145" i="115"/>
  <c r="R145" i="115"/>
  <c r="Q145" i="115"/>
  <c r="P145" i="115"/>
  <c r="O145" i="115"/>
  <c r="N145" i="115"/>
  <c r="M145" i="115"/>
  <c r="K145" i="115"/>
  <c r="J145" i="115"/>
  <c r="I145" i="115"/>
  <c r="E145" i="115"/>
  <c r="S144" i="115"/>
  <c r="R144" i="115"/>
  <c r="Q144" i="115"/>
  <c r="P144" i="115"/>
  <c r="O144" i="115"/>
  <c r="N144" i="115"/>
  <c r="M144" i="115"/>
  <c r="K144" i="115"/>
  <c r="J144" i="115"/>
  <c r="I144" i="115"/>
  <c r="E144" i="115"/>
  <c r="S143" i="115"/>
  <c r="R143" i="115"/>
  <c r="Q143" i="115"/>
  <c r="P143" i="115"/>
  <c r="O143" i="115"/>
  <c r="N143" i="115"/>
  <c r="M143" i="115"/>
  <c r="K143" i="115"/>
  <c r="J143" i="115"/>
  <c r="I143" i="115"/>
  <c r="E143" i="115"/>
  <c r="S142" i="115"/>
  <c r="R142" i="115"/>
  <c r="Q142" i="115"/>
  <c r="P142" i="115"/>
  <c r="O142" i="115"/>
  <c r="N142" i="115"/>
  <c r="M142" i="115"/>
  <c r="K142" i="115"/>
  <c r="J142" i="115"/>
  <c r="I142" i="115"/>
  <c r="E142" i="115"/>
  <c r="S141" i="115"/>
  <c r="R141" i="115"/>
  <c r="Q141" i="115"/>
  <c r="P141" i="115"/>
  <c r="O141" i="115"/>
  <c r="N141" i="115"/>
  <c r="M141" i="115"/>
  <c r="K141" i="115"/>
  <c r="J141" i="115"/>
  <c r="I141" i="115"/>
  <c r="E141" i="115"/>
  <c r="S140" i="115"/>
  <c r="R140" i="115"/>
  <c r="Q140" i="115"/>
  <c r="P140" i="115"/>
  <c r="O140" i="115"/>
  <c r="N140" i="115"/>
  <c r="M140" i="115"/>
  <c r="K140" i="115"/>
  <c r="J140" i="115"/>
  <c r="I140" i="115"/>
  <c r="E140" i="115"/>
  <c r="S139" i="115"/>
  <c r="R139" i="115"/>
  <c r="Q139" i="115"/>
  <c r="P139" i="115"/>
  <c r="O139" i="115"/>
  <c r="N139" i="115"/>
  <c r="M139" i="115"/>
  <c r="K139" i="115"/>
  <c r="J139" i="115"/>
  <c r="I139" i="115"/>
  <c r="E139" i="115"/>
  <c r="S138" i="115"/>
  <c r="R138" i="115"/>
  <c r="Q138" i="115"/>
  <c r="P138" i="115"/>
  <c r="O138" i="115"/>
  <c r="N138" i="115"/>
  <c r="M138" i="115"/>
  <c r="K138" i="115"/>
  <c r="J138" i="115"/>
  <c r="I138" i="115"/>
  <c r="E138" i="115"/>
  <c r="S137" i="115"/>
  <c r="R137" i="115"/>
  <c r="Q137" i="115"/>
  <c r="P137" i="115"/>
  <c r="O137" i="115"/>
  <c r="N137" i="115"/>
  <c r="M137" i="115"/>
  <c r="K137" i="115"/>
  <c r="J137" i="115"/>
  <c r="I137" i="115"/>
  <c r="E137" i="115"/>
  <c r="S136" i="115"/>
  <c r="R136" i="115"/>
  <c r="Q136" i="115"/>
  <c r="P136" i="115"/>
  <c r="O136" i="115"/>
  <c r="N136" i="115"/>
  <c r="M136" i="115"/>
  <c r="K136" i="115"/>
  <c r="J136" i="115"/>
  <c r="I136" i="115"/>
  <c r="E136" i="115"/>
  <c r="S135" i="115"/>
  <c r="R135" i="115"/>
  <c r="Q135" i="115"/>
  <c r="P135" i="115"/>
  <c r="O135" i="115"/>
  <c r="N135" i="115"/>
  <c r="M135" i="115"/>
  <c r="K135" i="115"/>
  <c r="J135" i="115"/>
  <c r="I135" i="115"/>
  <c r="E135" i="115"/>
  <c r="S134" i="115"/>
  <c r="R134" i="115"/>
  <c r="Q134" i="115"/>
  <c r="P134" i="115"/>
  <c r="O134" i="115"/>
  <c r="N134" i="115"/>
  <c r="M134" i="115"/>
  <c r="K134" i="115"/>
  <c r="J134" i="115"/>
  <c r="I134" i="115"/>
  <c r="E134" i="115"/>
  <c r="S133" i="115"/>
  <c r="R133" i="115"/>
  <c r="Q133" i="115"/>
  <c r="P133" i="115"/>
  <c r="O133" i="115"/>
  <c r="N133" i="115"/>
  <c r="M133" i="115"/>
  <c r="K133" i="115"/>
  <c r="J133" i="115"/>
  <c r="I133" i="115"/>
  <c r="E133" i="115"/>
  <c r="S132" i="115"/>
  <c r="R132" i="115"/>
  <c r="Q132" i="115"/>
  <c r="P132" i="115"/>
  <c r="O132" i="115"/>
  <c r="N132" i="115"/>
  <c r="M132" i="115"/>
  <c r="K132" i="115"/>
  <c r="J132" i="115"/>
  <c r="I132" i="115"/>
  <c r="E132" i="115"/>
  <c r="S131" i="115"/>
  <c r="R131" i="115"/>
  <c r="Q131" i="115"/>
  <c r="P131" i="115"/>
  <c r="O131" i="115"/>
  <c r="N131" i="115"/>
  <c r="M131" i="115"/>
  <c r="K131" i="115"/>
  <c r="J131" i="115"/>
  <c r="I131" i="115"/>
  <c r="E131" i="115"/>
  <c r="S130" i="115"/>
  <c r="R130" i="115"/>
  <c r="Q130" i="115"/>
  <c r="P130" i="115"/>
  <c r="O130" i="115"/>
  <c r="N130" i="115"/>
  <c r="M130" i="115"/>
  <c r="K130" i="115"/>
  <c r="J130" i="115"/>
  <c r="I130" i="115"/>
  <c r="E130" i="115"/>
  <c r="S129" i="115"/>
  <c r="R129" i="115"/>
  <c r="Q129" i="115"/>
  <c r="P129" i="115"/>
  <c r="O129" i="115"/>
  <c r="N129" i="115"/>
  <c r="M129" i="115"/>
  <c r="K129" i="115"/>
  <c r="J129" i="115"/>
  <c r="I129" i="115"/>
  <c r="E129" i="115"/>
  <c r="S128" i="115"/>
  <c r="R128" i="115"/>
  <c r="Q128" i="115"/>
  <c r="P128" i="115"/>
  <c r="O128" i="115"/>
  <c r="N128" i="115"/>
  <c r="M128" i="115"/>
  <c r="K128" i="115"/>
  <c r="J128" i="115"/>
  <c r="I128" i="115"/>
  <c r="E128" i="115"/>
  <c r="S127" i="115"/>
  <c r="R127" i="115"/>
  <c r="Q127" i="115"/>
  <c r="P127" i="115"/>
  <c r="O127" i="115"/>
  <c r="N127" i="115"/>
  <c r="M127" i="115"/>
  <c r="K127" i="115"/>
  <c r="J127" i="115"/>
  <c r="I127" i="115"/>
  <c r="E127" i="115"/>
  <c r="S126" i="115"/>
  <c r="R126" i="115"/>
  <c r="Q126" i="115"/>
  <c r="P126" i="115"/>
  <c r="O126" i="115"/>
  <c r="N126" i="115"/>
  <c r="M126" i="115"/>
  <c r="K126" i="115"/>
  <c r="J126" i="115"/>
  <c r="I126" i="115"/>
  <c r="E126" i="115"/>
  <c r="S125" i="115"/>
  <c r="R125" i="115"/>
  <c r="Q125" i="115"/>
  <c r="P125" i="115"/>
  <c r="O125" i="115"/>
  <c r="N125" i="115"/>
  <c r="M125" i="115"/>
  <c r="K125" i="115"/>
  <c r="J125" i="115"/>
  <c r="I125" i="115"/>
  <c r="E125" i="115"/>
  <c r="S124" i="115"/>
  <c r="R124" i="115"/>
  <c r="Q124" i="115"/>
  <c r="P124" i="115"/>
  <c r="O124" i="115"/>
  <c r="N124" i="115"/>
  <c r="M124" i="115"/>
  <c r="K124" i="115"/>
  <c r="J124" i="115"/>
  <c r="I124" i="115"/>
  <c r="E124" i="115"/>
  <c r="S123" i="115"/>
  <c r="R123" i="115"/>
  <c r="Q123" i="115"/>
  <c r="P123" i="115"/>
  <c r="O123" i="115"/>
  <c r="N123" i="115"/>
  <c r="M123" i="115"/>
  <c r="K123" i="115"/>
  <c r="J123" i="115"/>
  <c r="I123" i="115"/>
  <c r="E123" i="115"/>
  <c r="S122" i="115"/>
  <c r="R122" i="115"/>
  <c r="Q122" i="115"/>
  <c r="P122" i="115"/>
  <c r="O122" i="115"/>
  <c r="N122" i="115"/>
  <c r="M122" i="115"/>
  <c r="K122" i="115"/>
  <c r="J122" i="115"/>
  <c r="I122" i="115"/>
  <c r="E122" i="115"/>
  <c r="S121" i="115"/>
  <c r="R121" i="115"/>
  <c r="Q121" i="115"/>
  <c r="P121" i="115"/>
  <c r="O121" i="115"/>
  <c r="N121" i="115"/>
  <c r="M121" i="115"/>
  <c r="K121" i="115"/>
  <c r="J121" i="115"/>
  <c r="I121" i="115"/>
  <c r="E121" i="115"/>
  <c r="S120" i="115"/>
  <c r="R120" i="115"/>
  <c r="Q120" i="115"/>
  <c r="P120" i="115"/>
  <c r="O120" i="115"/>
  <c r="N120" i="115"/>
  <c r="M120" i="115"/>
  <c r="K120" i="115"/>
  <c r="J120" i="115"/>
  <c r="I120" i="115"/>
  <c r="E120" i="115"/>
  <c r="S119" i="115"/>
  <c r="R119" i="115"/>
  <c r="Q119" i="115"/>
  <c r="P119" i="115"/>
  <c r="O119" i="115"/>
  <c r="N119" i="115"/>
  <c r="M119" i="115"/>
  <c r="K119" i="115"/>
  <c r="J119" i="115"/>
  <c r="I119" i="115"/>
  <c r="E119" i="115"/>
  <c r="S118" i="115"/>
  <c r="R118" i="115"/>
  <c r="Q118" i="115"/>
  <c r="P118" i="115"/>
  <c r="O118" i="115"/>
  <c r="N118" i="115"/>
  <c r="M118" i="115"/>
  <c r="K118" i="115"/>
  <c r="J118" i="115"/>
  <c r="I118" i="115"/>
  <c r="E118" i="115"/>
  <c r="S117" i="115"/>
  <c r="R117" i="115"/>
  <c r="Q117" i="115"/>
  <c r="P117" i="115"/>
  <c r="O117" i="115"/>
  <c r="N117" i="115"/>
  <c r="M117" i="115"/>
  <c r="K117" i="115"/>
  <c r="J117" i="115"/>
  <c r="I117" i="115"/>
  <c r="E117" i="115"/>
  <c r="S116" i="115"/>
  <c r="R116" i="115"/>
  <c r="Q116" i="115"/>
  <c r="P116" i="115"/>
  <c r="O116" i="115"/>
  <c r="N116" i="115"/>
  <c r="M116" i="115"/>
  <c r="K116" i="115"/>
  <c r="J116" i="115"/>
  <c r="I116" i="115"/>
  <c r="E116" i="115"/>
  <c r="S115" i="115"/>
  <c r="R115" i="115"/>
  <c r="Q115" i="115"/>
  <c r="P115" i="115"/>
  <c r="O115" i="115"/>
  <c r="N115" i="115"/>
  <c r="M115" i="115"/>
  <c r="K115" i="115"/>
  <c r="J115" i="115"/>
  <c r="I115" i="115"/>
  <c r="E115" i="115"/>
  <c r="S114" i="115"/>
  <c r="R114" i="115"/>
  <c r="Q114" i="115"/>
  <c r="P114" i="115"/>
  <c r="O114" i="115"/>
  <c r="N114" i="115"/>
  <c r="M114" i="115"/>
  <c r="K114" i="115"/>
  <c r="J114" i="115"/>
  <c r="I114" i="115"/>
  <c r="E114" i="115"/>
  <c r="S113" i="115"/>
  <c r="R113" i="115"/>
  <c r="Q113" i="115"/>
  <c r="P113" i="115"/>
  <c r="O113" i="115"/>
  <c r="N113" i="115"/>
  <c r="M113" i="115"/>
  <c r="K113" i="115"/>
  <c r="J113" i="115"/>
  <c r="I113" i="115"/>
  <c r="E113" i="115"/>
  <c r="S112" i="115"/>
  <c r="R112" i="115"/>
  <c r="Q112" i="115"/>
  <c r="P112" i="115"/>
  <c r="O112" i="115"/>
  <c r="N112" i="115"/>
  <c r="M112" i="115"/>
  <c r="K112" i="115"/>
  <c r="J112" i="115"/>
  <c r="I112" i="115"/>
  <c r="E112" i="115"/>
  <c r="S111" i="115"/>
  <c r="R111" i="115"/>
  <c r="Q111" i="115"/>
  <c r="P111" i="115"/>
  <c r="O111" i="115"/>
  <c r="N111" i="115"/>
  <c r="M111" i="115"/>
  <c r="K111" i="115"/>
  <c r="J111" i="115"/>
  <c r="I111" i="115"/>
  <c r="E111" i="115"/>
  <c r="S110" i="115"/>
  <c r="R110" i="115"/>
  <c r="Q110" i="115"/>
  <c r="P110" i="115"/>
  <c r="O110" i="115"/>
  <c r="N110" i="115"/>
  <c r="M110" i="115"/>
  <c r="K110" i="115"/>
  <c r="J110" i="115"/>
  <c r="I110" i="115"/>
  <c r="E110" i="115"/>
  <c r="S109" i="115"/>
  <c r="R109" i="115"/>
  <c r="Q109" i="115"/>
  <c r="P109" i="115"/>
  <c r="O109" i="115"/>
  <c r="N109" i="115"/>
  <c r="M109" i="115"/>
  <c r="K109" i="115"/>
  <c r="J109" i="115"/>
  <c r="I109" i="115"/>
  <c r="E109" i="115"/>
  <c r="S108" i="115"/>
  <c r="R108" i="115"/>
  <c r="Q108" i="115"/>
  <c r="P108" i="115"/>
  <c r="O108" i="115"/>
  <c r="N108" i="115"/>
  <c r="M108" i="115"/>
  <c r="K108" i="115"/>
  <c r="J108" i="115"/>
  <c r="I108" i="115"/>
  <c r="E108" i="115"/>
  <c r="S107" i="115"/>
  <c r="R107" i="115"/>
  <c r="Q107" i="115"/>
  <c r="P107" i="115"/>
  <c r="O107" i="115"/>
  <c r="N107" i="115"/>
  <c r="M107" i="115"/>
  <c r="K107" i="115"/>
  <c r="J107" i="115"/>
  <c r="I107" i="115"/>
  <c r="E107" i="115"/>
  <c r="S106" i="115"/>
  <c r="R106" i="115"/>
  <c r="Q106" i="115"/>
  <c r="P106" i="115"/>
  <c r="O106" i="115"/>
  <c r="N106" i="115"/>
  <c r="M106" i="115"/>
  <c r="K106" i="115"/>
  <c r="J106" i="115"/>
  <c r="I106" i="115"/>
  <c r="E106" i="115"/>
  <c r="S105" i="115"/>
  <c r="R105" i="115"/>
  <c r="Q105" i="115"/>
  <c r="P105" i="115"/>
  <c r="O105" i="115"/>
  <c r="N105" i="115"/>
  <c r="M105" i="115"/>
  <c r="K105" i="115"/>
  <c r="J105" i="115"/>
  <c r="I105" i="115"/>
  <c r="E105" i="115"/>
  <c r="S104" i="115"/>
  <c r="R104" i="115"/>
  <c r="Q104" i="115"/>
  <c r="P104" i="115"/>
  <c r="O104" i="115"/>
  <c r="N104" i="115"/>
  <c r="M104" i="115"/>
  <c r="K104" i="115"/>
  <c r="J104" i="115"/>
  <c r="I104" i="115"/>
  <c r="E104" i="115"/>
  <c r="S103" i="115"/>
  <c r="R103" i="115"/>
  <c r="Q103" i="115"/>
  <c r="P103" i="115"/>
  <c r="O103" i="115"/>
  <c r="N103" i="115"/>
  <c r="M103" i="115"/>
  <c r="K103" i="115"/>
  <c r="J103" i="115"/>
  <c r="I103" i="115"/>
  <c r="E103" i="115"/>
  <c r="S102" i="115"/>
  <c r="R102" i="115"/>
  <c r="Q102" i="115"/>
  <c r="P102" i="115"/>
  <c r="O102" i="115"/>
  <c r="N102" i="115"/>
  <c r="M102" i="115"/>
  <c r="K102" i="115"/>
  <c r="J102" i="115"/>
  <c r="I102" i="115"/>
  <c r="E102" i="115"/>
  <c r="S101" i="115"/>
  <c r="R101" i="115"/>
  <c r="Q101" i="115"/>
  <c r="P101" i="115"/>
  <c r="O101" i="115"/>
  <c r="N101" i="115"/>
  <c r="M101" i="115"/>
  <c r="K101" i="115"/>
  <c r="J101" i="115"/>
  <c r="I101" i="115"/>
  <c r="E101" i="115"/>
  <c r="S100" i="115"/>
  <c r="R100" i="115"/>
  <c r="Q100" i="115"/>
  <c r="P100" i="115"/>
  <c r="O100" i="115"/>
  <c r="N100" i="115"/>
  <c r="M100" i="115"/>
  <c r="K100" i="115"/>
  <c r="J100" i="115"/>
  <c r="I100" i="115"/>
  <c r="E100" i="115"/>
  <c r="S99" i="115"/>
  <c r="R99" i="115"/>
  <c r="Q99" i="115"/>
  <c r="P99" i="115"/>
  <c r="O99" i="115"/>
  <c r="N99" i="115"/>
  <c r="M99" i="115"/>
  <c r="K99" i="115"/>
  <c r="J99" i="115"/>
  <c r="I99" i="115"/>
  <c r="E99" i="115"/>
  <c r="S98" i="115"/>
  <c r="R98" i="115"/>
  <c r="Q98" i="115"/>
  <c r="P98" i="115"/>
  <c r="O98" i="115"/>
  <c r="N98" i="115"/>
  <c r="M98" i="115"/>
  <c r="K98" i="115"/>
  <c r="J98" i="115"/>
  <c r="I98" i="115"/>
  <c r="E98" i="115"/>
  <c r="S97" i="115"/>
  <c r="R97" i="115"/>
  <c r="Q97" i="115"/>
  <c r="P97" i="115"/>
  <c r="O97" i="115"/>
  <c r="N97" i="115"/>
  <c r="M97" i="115"/>
  <c r="K97" i="115"/>
  <c r="J97" i="115"/>
  <c r="I97" i="115"/>
  <c r="E97" i="115"/>
  <c r="S96" i="115"/>
  <c r="R96" i="115"/>
  <c r="Q96" i="115"/>
  <c r="P96" i="115"/>
  <c r="O96" i="115"/>
  <c r="N96" i="115"/>
  <c r="M96" i="115"/>
  <c r="K96" i="115"/>
  <c r="J96" i="115"/>
  <c r="I96" i="115"/>
  <c r="E96" i="115"/>
  <c r="S95" i="115"/>
  <c r="R95" i="115"/>
  <c r="Q95" i="115"/>
  <c r="P95" i="115"/>
  <c r="O95" i="115"/>
  <c r="N95" i="115"/>
  <c r="M95" i="115"/>
  <c r="K95" i="115"/>
  <c r="J95" i="115"/>
  <c r="I95" i="115"/>
  <c r="E95" i="115"/>
  <c r="S94" i="115"/>
  <c r="R94" i="115"/>
  <c r="Q94" i="115"/>
  <c r="P94" i="115"/>
  <c r="O94" i="115"/>
  <c r="N94" i="115"/>
  <c r="M94" i="115"/>
  <c r="K94" i="115"/>
  <c r="J94" i="115"/>
  <c r="I94" i="115"/>
  <c r="E94" i="115"/>
  <c r="S93" i="115"/>
  <c r="R93" i="115"/>
  <c r="Q93" i="115"/>
  <c r="P93" i="115"/>
  <c r="O93" i="115"/>
  <c r="N93" i="115"/>
  <c r="M93" i="115"/>
  <c r="K93" i="115"/>
  <c r="J93" i="115"/>
  <c r="I93" i="115"/>
  <c r="E93" i="115"/>
  <c r="S92" i="115"/>
  <c r="R92" i="115"/>
  <c r="Q92" i="115"/>
  <c r="P92" i="115"/>
  <c r="O92" i="115"/>
  <c r="N92" i="115"/>
  <c r="M92" i="115"/>
  <c r="K92" i="115"/>
  <c r="J92" i="115"/>
  <c r="I92" i="115"/>
  <c r="E92" i="115"/>
  <c r="S91" i="115"/>
  <c r="R91" i="115"/>
  <c r="Q91" i="115"/>
  <c r="P91" i="115"/>
  <c r="O91" i="115"/>
  <c r="N91" i="115"/>
  <c r="M91" i="115"/>
  <c r="K91" i="115"/>
  <c r="J91" i="115"/>
  <c r="I91" i="115"/>
  <c r="E91" i="115"/>
  <c r="S90" i="115"/>
  <c r="R90" i="115"/>
  <c r="Q90" i="115"/>
  <c r="P90" i="115"/>
  <c r="O90" i="115"/>
  <c r="N90" i="115"/>
  <c r="M90" i="115"/>
  <c r="K90" i="115"/>
  <c r="J90" i="115"/>
  <c r="I90" i="115"/>
  <c r="E90" i="115"/>
  <c r="S89" i="115"/>
  <c r="R89" i="115"/>
  <c r="Q89" i="115"/>
  <c r="P89" i="115"/>
  <c r="O89" i="115"/>
  <c r="N89" i="115"/>
  <c r="M89" i="115"/>
  <c r="K89" i="115"/>
  <c r="J89" i="115"/>
  <c r="I89" i="115"/>
  <c r="E89" i="115"/>
  <c r="S88" i="115"/>
  <c r="R88" i="115"/>
  <c r="Q88" i="115"/>
  <c r="P88" i="115"/>
  <c r="O88" i="115"/>
  <c r="N88" i="115"/>
  <c r="M88" i="115"/>
  <c r="K88" i="115"/>
  <c r="J88" i="115"/>
  <c r="I88" i="115"/>
  <c r="E88" i="115"/>
  <c r="S87" i="115"/>
  <c r="R87" i="115"/>
  <c r="Q87" i="115"/>
  <c r="P87" i="115"/>
  <c r="O87" i="115"/>
  <c r="N87" i="115"/>
  <c r="M87" i="115"/>
  <c r="K87" i="115"/>
  <c r="J87" i="115"/>
  <c r="I87" i="115"/>
  <c r="E87" i="115"/>
  <c r="S86" i="115"/>
  <c r="R86" i="115"/>
  <c r="Q86" i="115"/>
  <c r="P86" i="115"/>
  <c r="O86" i="115"/>
  <c r="N86" i="115"/>
  <c r="M86" i="115"/>
  <c r="K86" i="115"/>
  <c r="J86" i="115"/>
  <c r="I86" i="115"/>
  <c r="E86" i="115"/>
  <c r="S85" i="115"/>
  <c r="R85" i="115"/>
  <c r="Q85" i="115"/>
  <c r="P85" i="115"/>
  <c r="O85" i="115"/>
  <c r="N85" i="115"/>
  <c r="M85" i="115"/>
  <c r="K85" i="115"/>
  <c r="J85" i="115"/>
  <c r="I85" i="115"/>
  <c r="E85" i="115"/>
  <c r="S84" i="115"/>
  <c r="R84" i="115"/>
  <c r="Q84" i="115"/>
  <c r="P84" i="115"/>
  <c r="O84" i="115"/>
  <c r="N84" i="115"/>
  <c r="M84" i="115"/>
  <c r="K84" i="115"/>
  <c r="J84" i="115"/>
  <c r="I84" i="115"/>
  <c r="E84" i="115"/>
  <c r="S83" i="115"/>
  <c r="R83" i="115"/>
  <c r="Q83" i="115"/>
  <c r="P83" i="115"/>
  <c r="O83" i="115"/>
  <c r="N83" i="115"/>
  <c r="M83" i="115"/>
  <c r="K83" i="115"/>
  <c r="J83" i="115"/>
  <c r="I83" i="115"/>
  <c r="E83" i="115"/>
  <c r="S82" i="115"/>
  <c r="R82" i="115"/>
  <c r="Q82" i="115"/>
  <c r="P82" i="115"/>
  <c r="O82" i="115"/>
  <c r="N82" i="115"/>
  <c r="M82" i="115"/>
  <c r="K82" i="115"/>
  <c r="J82" i="115"/>
  <c r="I82" i="115"/>
  <c r="E82" i="115"/>
  <c r="S81" i="115"/>
  <c r="R81" i="115"/>
  <c r="Q81" i="115"/>
  <c r="P81" i="115"/>
  <c r="O81" i="115"/>
  <c r="N81" i="115"/>
  <c r="M81" i="115"/>
  <c r="K81" i="115"/>
  <c r="J81" i="115"/>
  <c r="I81" i="115"/>
  <c r="E81" i="115"/>
  <c r="S80" i="115"/>
  <c r="R80" i="115"/>
  <c r="Q80" i="115"/>
  <c r="P80" i="115"/>
  <c r="O80" i="115"/>
  <c r="N80" i="115"/>
  <c r="M80" i="115"/>
  <c r="K80" i="115"/>
  <c r="J80" i="115"/>
  <c r="I80" i="115"/>
  <c r="E80" i="115"/>
  <c r="S79" i="115"/>
  <c r="R79" i="115"/>
  <c r="Q79" i="115"/>
  <c r="P79" i="115"/>
  <c r="O79" i="115"/>
  <c r="N79" i="115"/>
  <c r="M79" i="115"/>
  <c r="K79" i="115"/>
  <c r="J79" i="115"/>
  <c r="I79" i="115"/>
  <c r="E79" i="115"/>
  <c r="S78" i="115"/>
  <c r="R78" i="115"/>
  <c r="Q78" i="115"/>
  <c r="P78" i="115"/>
  <c r="O78" i="115"/>
  <c r="N78" i="115"/>
  <c r="M78" i="115"/>
  <c r="K78" i="115"/>
  <c r="J78" i="115"/>
  <c r="I78" i="115"/>
  <c r="E78" i="115"/>
  <c r="S77" i="115"/>
  <c r="R77" i="115"/>
  <c r="Q77" i="115"/>
  <c r="P77" i="115"/>
  <c r="O77" i="115"/>
  <c r="N77" i="115"/>
  <c r="M77" i="115"/>
  <c r="K77" i="115"/>
  <c r="J77" i="115"/>
  <c r="I77" i="115"/>
  <c r="E77" i="115"/>
  <c r="S76" i="115"/>
  <c r="R76" i="115"/>
  <c r="Q76" i="115"/>
  <c r="P76" i="115"/>
  <c r="O76" i="115"/>
  <c r="N76" i="115"/>
  <c r="M76" i="115"/>
  <c r="K76" i="115"/>
  <c r="J76" i="115"/>
  <c r="I76" i="115"/>
  <c r="E76" i="115"/>
  <c r="S75" i="115"/>
  <c r="R75" i="115"/>
  <c r="Q75" i="115"/>
  <c r="P75" i="115"/>
  <c r="O75" i="115"/>
  <c r="N75" i="115"/>
  <c r="M75" i="115"/>
  <c r="K75" i="115"/>
  <c r="J75" i="115"/>
  <c r="I75" i="115"/>
  <c r="E75" i="115"/>
  <c r="S74" i="115"/>
  <c r="R74" i="115"/>
  <c r="Q74" i="115"/>
  <c r="P74" i="115"/>
  <c r="O74" i="115"/>
  <c r="N74" i="115"/>
  <c r="M74" i="115"/>
  <c r="K74" i="115"/>
  <c r="J74" i="115"/>
  <c r="I74" i="115"/>
  <c r="E74" i="115"/>
  <c r="S73" i="115"/>
  <c r="R73" i="115"/>
  <c r="Q73" i="115"/>
  <c r="P73" i="115"/>
  <c r="O73" i="115"/>
  <c r="N73" i="115"/>
  <c r="M73" i="115"/>
  <c r="K73" i="115"/>
  <c r="J73" i="115"/>
  <c r="I73" i="115"/>
  <c r="E73" i="115"/>
  <c r="S72" i="115"/>
  <c r="R72" i="115"/>
  <c r="Q72" i="115"/>
  <c r="P72" i="115"/>
  <c r="O72" i="115"/>
  <c r="N72" i="115"/>
  <c r="M72" i="115"/>
  <c r="K72" i="115"/>
  <c r="J72" i="115"/>
  <c r="I72" i="115"/>
  <c r="E72" i="115"/>
  <c r="S71" i="115"/>
  <c r="R71" i="115"/>
  <c r="Q71" i="115"/>
  <c r="P71" i="115"/>
  <c r="O71" i="115"/>
  <c r="N71" i="115"/>
  <c r="M71" i="115"/>
  <c r="K71" i="115"/>
  <c r="J71" i="115"/>
  <c r="I71" i="115"/>
  <c r="E71" i="115"/>
  <c r="S70" i="115"/>
  <c r="R70" i="115"/>
  <c r="Q70" i="115"/>
  <c r="P70" i="115"/>
  <c r="O70" i="115"/>
  <c r="N70" i="115"/>
  <c r="M70" i="115"/>
  <c r="K70" i="115"/>
  <c r="J70" i="115"/>
  <c r="I70" i="115"/>
  <c r="E70" i="115"/>
  <c r="S69" i="115"/>
  <c r="R69" i="115"/>
  <c r="Q69" i="115"/>
  <c r="P69" i="115"/>
  <c r="O69" i="115"/>
  <c r="N69" i="115"/>
  <c r="M69" i="115"/>
  <c r="K69" i="115"/>
  <c r="J69" i="115"/>
  <c r="I69" i="115"/>
  <c r="E69" i="115"/>
  <c r="S68" i="115"/>
  <c r="R68" i="115"/>
  <c r="Q68" i="115"/>
  <c r="P68" i="115"/>
  <c r="O68" i="115"/>
  <c r="N68" i="115"/>
  <c r="M68" i="115"/>
  <c r="K68" i="115"/>
  <c r="J68" i="115"/>
  <c r="I68" i="115"/>
  <c r="E68" i="115"/>
  <c r="S67" i="115"/>
  <c r="R67" i="115"/>
  <c r="Q67" i="115"/>
  <c r="P67" i="115"/>
  <c r="O67" i="115"/>
  <c r="N67" i="115"/>
  <c r="M67" i="115"/>
  <c r="K67" i="115"/>
  <c r="J67" i="115"/>
  <c r="I67" i="115"/>
  <c r="E67" i="115"/>
  <c r="S66" i="115"/>
  <c r="R66" i="115"/>
  <c r="Q66" i="115"/>
  <c r="P66" i="115"/>
  <c r="O66" i="115"/>
  <c r="N66" i="115"/>
  <c r="M66" i="115"/>
  <c r="K66" i="115"/>
  <c r="J66" i="115"/>
  <c r="I66" i="115"/>
  <c r="E66" i="115"/>
  <c r="S65" i="115"/>
  <c r="R65" i="115"/>
  <c r="Q65" i="115"/>
  <c r="P65" i="115"/>
  <c r="O65" i="115"/>
  <c r="N65" i="115"/>
  <c r="M65" i="115"/>
  <c r="K65" i="115"/>
  <c r="J65" i="115"/>
  <c r="I65" i="115"/>
  <c r="E65" i="115"/>
  <c r="S64" i="115"/>
  <c r="R64" i="115"/>
  <c r="Q64" i="115"/>
  <c r="P64" i="115"/>
  <c r="O64" i="115"/>
  <c r="N64" i="115"/>
  <c r="M64" i="115"/>
  <c r="K64" i="115"/>
  <c r="J64" i="115"/>
  <c r="I64" i="115"/>
  <c r="E64" i="115"/>
  <c r="S63" i="115"/>
  <c r="R63" i="115"/>
  <c r="Q63" i="115"/>
  <c r="P63" i="115"/>
  <c r="O63" i="115"/>
  <c r="N63" i="115"/>
  <c r="M63" i="115"/>
  <c r="K63" i="115"/>
  <c r="J63" i="115"/>
  <c r="I63" i="115"/>
  <c r="E63" i="115"/>
  <c r="S62" i="115"/>
  <c r="R62" i="115"/>
  <c r="Q62" i="115"/>
  <c r="P62" i="115"/>
  <c r="O62" i="115"/>
  <c r="N62" i="115"/>
  <c r="M62" i="115"/>
  <c r="K62" i="115"/>
  <c r="J62" i="115"/>
  <c r="I62" i="115"/>
  <c r="E62" i="115"/>
  <c r="S61" i="115"/>
  <c r="R61" i="115"/>
  <c r="Q61" i="115"/>
  <c r="P61" i="115"/>
  <c r="O61" i="115"/>
  <c r="N61" i="115"/>
  <c r="M61" i="115"/>
  <c r="K61" i="115"/>
  <c r="J61" i="115"/>
  <c r="I61" i="115"/>
  <c r="E61" i="115"/>
  <c r="S60" i="115"/>
  <c r="R60" i="115"/>
  <c r="Q60" i="115"/>
  <c r="P60" i="115"/>
  <c r="O60" i="115"/>
  <c r="N60" i="115"/>
  <c r="M60" i="115"/>
  <c r="K60" i="115"/>
  <c r="J60" i="115"/>
  <c r="I60" i="115"/>
  <c r="E60" i="115"/>
  <c r="S59" i="115"/>
  <c r="R59" i="115"/>
  <c r="Q59" i="115"/>
  <c r="P59" i="115"/>
  <c r="O59" i="115"/>
  <c r="N59" i="115"/>
  <c r="M59" i="115"/>
  <c r="K59" i="115"/>
  <c r="J59" i="115"/>
  <c r="I59" i="115"/>
  <c r="E59" i="115"/>
  <c r="S58" i="115"/>
  <c r="R58" i="115"/>
  <c r="Q58" i="115"/>
  <c r="P58" i="115"/>
  <c r="O58" i="115"/>
  <c r="N58" i="115"/>
  <c r="M58" i="115"/>
  <c r="K58" i="115"/>
  <c r="J58" i="115"/>
  <c r="I58" i="115"/>
  <c r="E58" i="115"/>
  <c r="S57" i="115"/>
  <c r="R57" i="115"/>
  <c r="Q57" i="115"/>
  <c r="P57" i="115"/>
  <c r="O57" i="115"/>
  <c r="N57" i="115"/>
  <c r="M57" i="115"/>
  <c r="K57" i="115"/>
  <c r="J57" i="115"/>
  <c r="I57" i="115"/>
  <c r="E57" i="115"/>
  <c r="S56" i="115"/>
  <c r="R56" i="115"/>
  <c r="Q56" i="115"/>
  <c r="P56" i="115"/>
  <c r="O56" i="115"/>
  <c r="N56" i="115"/>
  <c r="M56" i="115"/>
  <c r="K56" i="115"/>
  <c r="J56" i="115"/>
  <c r="I56" i="115"/>
  <c r="E56" i="115"/>
  <c r="S55" i="115"/>
  <c r="R55" i="115"/>
  <c r="Q55" i="115"/>
  <c r="P55" i="115"/>
  <c r="O55" i="115"/>
  <c r="N55" i="115"/>
  <c r="M55" i="115"/>
  <c r="K55" i="115"/>
  <c r="J55" i="115"/>
  <c r="I55" i="115"/>
  <c r="E55" i="115"/>
  <c r="S54" i="115"/>
  <c r="R54" i="115"/>
  <c r="Q54" i="115"/>
  <c r="P54" i="115"/>
  <c r="O54" i="115"/>
  <c r="N54" i="115"/>
  <c r="M54" i="115"/>
  <c r="K54" i="115"/>
  <c r="J54" i="115"/>
  <c r="I54" i="115"/>
  <c r="E54" i="115"/>
  <c r="S53" i="115"/>
  <c r="R53" i="115"/>
  <c r="Q53" i="115"/>
  <c r="P53" i="115"/>
  <c r="O53" i="115"/>
  <c r="N53" i="115"/>
  <c r="M53" i="115"/>
  <c r="K53" i="115"/>
  <c r="J53" i="115"/>
  <c r="I53" i="115"/>
  <c r="E53" i="115"/>
  <c r="S52" i="115"/>
  <c r="R52" i="115"/>
  <c r="Q52" i="115"/>
  <c r="P52" i="115"/>
  <c r="O52" i="115"/>
  <c r="N52" i="115"/>
  <c r="M52" i="115"/>
  <c r="K52" i="115"/>
  <c r="J52" i="115"/>
  <c r="I52" i="115"/>
  <c r="E52" i="115"/>
  <c r="S51" i="115"/>
  <c r="R51" i="115"/>
  <c r="Q51" i="115"/>
  <c r="P51" i="115"/>
  <c r="O51" i="115"/>
  <c r="N51" i="115"/>
  <c r="M51" i="115"/>
  <c r="K51" i="115"/>
  <c r="J51" i="115"/>
  <c r="I51" i="115"/>
  <c r="E51" i="115"/>
  <c r="S50" i="115"/>
  <c r="R50" i="115"/>
  <c r="Q50" i="115"/>
  <c r="P50" i="115"/>
  <c r="O50" i="115"/>
  <c r="N50" i="115"/>
  <c r="M50" i="115"/>
  <c r="K50" i="115"/>
  <c r="J50" i="115"/>
  <c r="I50" i="115"/>
  <c r="E50" i="115"/>
  <c r="S49" i="115"/>
  <c r="R49" i="115"/>
  <c r="Q49" i="115"/>
  <c r="P49" i="115"/>
  <c r="O49" i="115"/>
  <c r="N49" i="115"/>
  <c r="M49" i="115"/>
  <c r="K49" i="115"/>
  <c r="J49" i="115"/>
  <c r="I49" i="115"/>
  <c r="E49" i="115"/>
  <c r="S48" i="115"/>
  <c r="R48" i="115"/>
  <c r="Q48" i="115"/>
  <c r="P48" i="115"/>
  <c r="O48" i="115"/>
  <c r="N48" i="115"/>
  <c r="M48" i="115"/>
  <c r="K48" i="115"/>
  <c r="J48" i="115"/>
  <c r="I48" i="115"/>
  <c r="E48" i="115"/>
  <c r="S47" i="115"/>
  <c r="R47" i="115"/>
  <c r="Q47" i="115"/>
  <c r="P47" i="115"/>
  <c r="O47" i="115"/>
  <c r="N47" i="115"/>
  <c r="M47" i="115"/>
  <c r="K47" i="115"/>
  <c r="J47" i="115"/>
  <c r="I47" i="115"/>
  <c r="E47" i="115"/>
  <c r="S46" i="115"/>
  <c r="R46" i="115"/>
  <c r="Q46" i="115"/>
  <c r="P46" i="115"/>
  <c r="O46" i="115"/>
  <c r="N46" i="115"/>
  <c r="M46" i="115"/>
  <c r="K46" i="115"/>
  <c r="J46" i="115"/>
  <c r="I46" i="115"/>
  <c r="E46" i="115"/>
  <c r="S45" i="115"/>
  <c r="R45" i="115"/>
  <c r="Q45" i="115"/>
  <c r="P45" i="115"/>
  <c r="O45" i="115"/>
  <c r="N45" i="115"/>
  <c r="M45" i="115"/>
  <c r="K45" i="115"/>
  <c r="J45" i="115"/>
  <c r="I45" i="115"/>
  <c r="E45" i="115"/>
  <c r="S44" i="115"/>
  <c r="R44" i="115"/>
  <c r="Q44" i="115"/>
  <c r="P44" i="115"/>
  <c r="O44" i="115"/>
  <c r="N44" i="115"/>
  <c r="M44" i="115"/>
  <c r="K44" i="115"/>
  <c r="J44" i="115"/>
  <c r="I44" i="115"/>
  <c r="E44" i="115"/>
  <c r="S43" i="115"/>
  <c r="R43" i="115"/>
  <c r="Q43" i="115"/>
  <c r="P43" i="115"/>
  <c r="O43" i="115"/>
  <c r="N43" i="115"/>
  <c r="M43" i="115"/>
  <c r="K43" i="115"/>
  <c r="J43" i="115"/>
  <c r="I43" i="115"/>
  <c r="E43" i="115"/>
  <c r="S42" i="115"/>
  <c r="R42" i="115"/>
  <c r="Q42" i="115"/>
  <c r="P42" i="115"/>
  <c r="O42" i="115"/>
  <c r="N42" i="115"/>
  <c r="M42" i="115"/>
  <c r="K42" i="115"/>
  <c r="J42" i="115"/>
  <c r="I42" i="115"/>
  <c r="E42" i="115"/>
  <c r="S41" i="115"/>
  <c r="R41" i="115"/>
  <c r="Q41" i="115"/>
  <c r="P41" i="115"/>
  <c r="O41" i="115"/>
  <c r="N41" i="115"/>
  <c r="M41" i="115"/>
  <c r="K41" i="115"/>
  <c r="J41" i="115"/>
  <c r="I41" i="115"/>
  <c r="E41" i="115"/>
  <c r="S40" i="115"/>
  <c r="R40" i="115"/>
  <c r="Q40" i="115"/>
  <c r="P40" i="115"/>
  <c r="O40" i="115"/>
  <c r="N40" i="115"/>
  <c r="M40" i="115"/>
  <c r="K40" i="115"/>
  <c r="J40" i="115"/>
  <c r="I40" i="115"/>
  <c r="E40" i="115"/>
  <c r="S39" i="115"/>
  <c r="R39" i="115"/>
  <c r="Q39" i="115"/>
  <c r="P39" i="115"/>
  <c r="O39" i="115"/>
  <c r="N39" i="115"/>
  <c r="M39" i="115"/>
  <c r="K39" i="115"/>
  <c r="J39" i="115"/>
  <c r="I39" i="115"/>
  <c r="E39" i="115"/>
  <c r="S38" i="115"/>
  <c r="R38" i="115"/>
  <c r="Q38" i="115"/>
  <c r="P38" i="115"/>
  <c r="O38" i="115"/>
  <c r="N38" i="115"/>
  <c r="M38" i="115"/>
  <c r="K38" i="115"/>
  <c r="J38" i="115"/>
  <c r="I38" i="115"/>
  <c r="E38" i="115"/>
  <c r="S37" i="115"/>
  <c r="R37" i="115"/>
  <c r="Q37" i="115"/>
  <c r="P37" i="115"/>
  <c r="O37" i="115"/>
  <c r="N37" i="115"/>
  <c r="M37" i="115"/>
  <c r="K37" i="115"/>
  <c r="J37" i="115"/>
  <c r="I37" i="115"/>
  <c r="E37" i="115"/>
  <c r="S36" i="115"/>
  <c r="R36" i="115"/>
  <c r="Q36" i="115"/>
  <c r="P36" i="115"/>
  <c r="O36" i="115"/>
  <c r="N36" i="115"/>
  <c r="M36" i="115"/>
  <c r="K36" i="115"/>
  <c r="J36" i="115"/>
  <c r="I36" i="115"/>
  <c r="E36" i="115"/>
  <c r="S35" i="115"/>
  <c r="R35" i="115"/>
  <c r="Q35" i="115"/>
  <c r="P35" i="115"/>
  <c r="O35" i="115"/>
  <c r="N35" i="115"/>
  <c r="M35" i="115"/>
  <c r="K35" i="115"/>
  <c r="J35" i="115"/>
  <c r="I35" i="115"/>
  <c r="E35" i="115"/>
  <c r="S34" i="115"/>
  <c r="R34" i="115"/>
  <c r="Q34" i="115"/>
  <c r="P34" i="115"/>
  <c r="O34" i="115"/>
  <c r="N34" i="115"/>
  <c r="M34" i="115"/>
  <c r="K34" i="115"/>
  <c r="J34" i="115"/>
  <c r="I34" i="115"/>
  <c r="E34" i="115"/>
  <c r="S33" i="115"/>
  <c r="R33" i="115"/>
  <c r="Q33" i="115"/>
  <c r="P33" i="115"/>
  <c r="O33" i="115"/>
  <c r="N33" i="115"/>
  <c r="M33" i="115"/>
  <c r="K33" i="115"/>
  <c r="J33" i="115"/>
  <c r="I33" i="115"/>
  <c r="E33" i="115"/>
  <c r="S32" i="115"/>
  <c r="R32" i="115"/>
  <c r="Q32" i="115"/>
  <c r="P32" i="115"/>
  <c r="O32" i="115"/>
  <c r="N32" i="115"/>
  <c r="M32" i="115"/>
  <c r="K32" i="115"/>
  <c r="J32" i="115"/>
  <c r="I32" i="115"/>
  <c r="E32" i="115"/>
  <c r="S31" i="115"/>
  <c r="R31" i="115"/>
  <c r="Q31" i="115"/>
  <c r="P31" i="115"/>
  <c r="O31" i="115"/>
  <c r="N31" i="115"/>
  <c r="M31" i="115"/>
  <c r="K31" i="115"/>
  <c r="J31" i="115"/>
  <c r="I31" i="115"/>
  <c r="E31" i="115"/>
  <c r="S30" i="115"/>
  <c r="R30" i="115"/>
  <c r="Q30" i="115"/>
  <c r="P30" i="115"/>
  <c r="O30" i="115"/>
  <c r="N30" i="115"/>
  <c r="M30" i="115"/>
  <c r="K30" i="115"/>
  <c r="J30" i="115"/>
  <c r="I30" i="115"/>
  <c r="E30" i="115"/>
  <c r="S29" i="115"/>
  <c r="R29" i="115"/>
  <c r="Q29" i="115"/>
  <c r="P29" i="115"/>
  <c r="O29" i="115"/>
  <c r="N29" i="115"/>
  <c r="M29" i="115"/>
  <c r="K29" i="115"/>
  <c r="J29" i="115"/>
  <c r="I29" i="115"/>
  <c r="E29" i="115"/>
  <c r="S28" i="115"/>
  <c r="R28" i="115"/>
  <c r="Q28" i="115"/>
  <c r="P28" i="115"/>
  <c r="O28" i="115"/>
  <c r="N28" i="115"/>
  <c r="M28" i="115"/>
  <c r="K28" i="115"/>
  <c r="J28" i="115"/>
  <c r="I28" i="115"/>
  <c r="E28" i="115"/>
  <c r="S27" i="115"/>
  <c r="R27" i="115"/>
  <c r="Q27" i="115"/>
  <c r="P27" i="115"/>
  <c r="O27" i="115"/>
  <c r="N27" i="115"/>
  <c r="M27" i="115"/>
  <c r="K27" i="115"/>
  <c r="J27" i="115"/>
  <c r="I27" i="115"/>
  <c r="E27" i="115"/>
  <c r="S26" i="115"/>
  <c r="R26" i="115"/>
  <c r="Q26" i="115"/>
  <c r="P26" i="115"/>
  <c r="O26" i="115"/>
  <c r="N26" i="115"/>
  <c r="M26" i="115"/>
  <c r="K26" i="115"/>
  <c r="J26" i="115"/>
  <c r="I26" i="115"/>
  <c r="E26" i="115"/>
  <c r="S25" i="115"/>
  <c r="R25" i="115"/>
  <c r="Q25" i="115"/>
  <c r="P25" i="115"/>
  <c r="O25" i="115"/>
  <c r="N25" i="115"/>
  <c r="M25" i="115"/>
  <c r="K25" i="115"/>
  <c r="J25" i="115"/>
  <c r="I25" i="115"/>
  <c r="E25" i="115"/>
  <c r="S24" i="115"/>
  <c r="R24" i="115"/>
  <c r="Q24" i="115"/>
  <c r="P24" i="115"/>
  <c r="O24" i="115"/>
  <c r="N24" i="115"/>
  <c r="M24" i="115"/>
  <c r="K24" i="115"/>
  <c r="J24" i="115"/>
  <c r="I24" i="115"/>
  <c r="E24" i="115"/>
  <c r="S23" i="115"/>
  <c r="R23" i="115"/>
  <c r="Q23" i="115"/>
  <c r="P23" i="115"/>
  <c r="O23" i="115"/>
  <c r="N23" i="115"/>
  <c r="M23" i="115"/>
  <c r="K23" i="115"/>
  <c r="J23" i="115"/>
  <c r="I23" i="115"/>
  <c r="E23" i="115"/>
  <c r="S22" i="115"/>
  <c r="R22" i="115"/>
  <c r="Q22" i="115"/>
  <c r="P22" i="115"/>
  <c r="O22" i="115"/>
  <c r="N22" i="115"/>
  <c r="M22" i="115"/>
  <c r="K22" i="115"/>
  <c r="J22" i="115"/>
  <c r="I22" i="115"/>
  <c r="E22" i="115"/>
  <c r="S21" i="115"/>
  <c r="R21" i="115"/>
  <c r="Q21" i="115"/>
  <c r="P21" i="115"/>
  <c r="O21" i="115"/>
  <c r="N21" i="115"/>
  <c r="M21" i="115"/>
  <c r="K21" i="115"/>
  <c r="J21" i="115"/>
  <c r="I21" i="115"/>
  <c r="E21" i="115"/>
  <c r="S20" i="115"/>
  <c r="R20" i="115"/>
  <c r="Q20" i="115"/>
  <c r="P20" i="115"/>
  <c r="O20" i="115"/>
  <c r="N20" i="115"/>
  <c r="M20" i="115"/>
  <c r="K20" i="115"/>
  <c r="J20" i="115"/>
  <c r="I20" i="115"/>
  <c r="E20" i="115"/>
  <c r="S19" i="115"/>
  <c r="R19" i="115"/>
  <c r="Q19" i="115"/>
  <c r="P19" i="115"/>
  <c r="O19" i="115"/>
  <c r="N19" i="115"/>
  <c r="M19" i="115"/>
  <c r="K19" i="115"/>
  <c r="J19" i="115"/>
  <c r="I19" i="115"/>
  <c r="E19" i="115"/>
  <c r="S18" i="115"/>
  <c r="R18" i="115"/>
  <c r="Q18" i="115"/>
  <c r="P18" i="115"/>
  <c r="O18" i="115"/>
  <c r="N18" i="115"/>
  <c r="M18" i="115"/>
  <c r="K18" i="115"/>
  <c r="J18" i="115"/>
  <c r="I18" i="115"/>
  <c r="E18" i="115"/>
  <c r="S17" i="115"/>
  <c r="R17" i="115"/>
  <c r="Q17" i="115"/>
  <c r="P17" i="115"/>
  <c r="O17" i="115"/>
  <c r="N17" i="115"/>
  <c r="M17" i="115"/>
  <c r="K17" i="115"/>
  <c r="J17" i="115"/>
  <c r="I17" i="115"/>
  <c r="E17" i="115"/>
  <c r="S16" i="115"/>
  <c r="R16" i="115"/>
  <c r="Q16" i="115"/>
  <c r="P16" i="115"/>
  <c r="O16" i="115"/>
  <c r="N16" i="115"/>
  <c r="M16" i="115"/>
  <c r="K16" i="115"/>
  <c r="J16" i="115"/>
  <c r="I16" i="115"/>
  <c r="E16" i="115"/>
  <c r="S15" i="115"/>
  <c r="R15" i="115"/>
  <c r="Q15" i="115"/>
  <c r="P15" i="115"/>
  <c r="O15" i="115"/>
  <c r="N15" i="115"/>
  <c r="M15" i="115"/>
  <c r="K15" i="115"/>
  <c r="J15" i="115"/>
  <c r="I15" i="115"/>
  <c r="E15" i="115"/>
  <c r="S14" i="115"/>
  <c r="R14" i="115"/>
  <c r="Q14" i="115"/>
  <c r="P14" i="115"/>
  <c r="O14" i="115"/>
  <c r="N14" i="115"/>
  <c r="M14" i="115"/>
  <c r="K14" i="115"/>
  <c r="J14" i="115"/>
  <c r="I14" i="115"/>
  <c r="E14" i="115"/>
  <c r="S13" i="115"/>
  <c r="R13" i="115"/>
  <c r="Q13" i="115"/>
  <c r="P13" i="115"/>
  <c r="O13" i="115"/>
  <c r="N13" i="115"/>
  <c r="M13" i="115"/>
  <c r="K13" i="115"/>
  <c r="J13" i="115"/>
  <c r="I13" i="115"/>
  <c r="E13" i="115"/>
  <c r="S12" i="115"/>
  <c r="R12" i="115"/>
  <c r="Q12" i="115"/>
  <c r="P12" i="115"/>
  <c r="O12" i="115"/>
  <c r="N12" i="115"/>
  <c r="M12" i="115"/>
  <c r="K12" i="115"/>
  <c r="J12" i="115"/>
  <c r="I12" i="115"/>
  <c r="E12" i="115"/>
  <c r="S11" i="115"/>
  <c r="R11" i="115"/>
  <c r="Q11" i="115"/>
  <c r="P11" i="115"/>
  <c r="O11" i="115"/>
  <c r="N11" i="115"/>
  <c r="M11" i="115"/>
  <c r="K11" i="115"/>
  <c r="J11" i="115"/>
  <c r="I11" i="115"/>
  <c r="E11" i="115"/>
  <c r="S10" i="115"/>
  <c r="R10" i="115"/>
  <c r="Q10" i="115"/>
  <c r="P10" i="115"/>
  <c r="O10" i="115"/>
  <c r="N10" i="115"/>
  <c r="M10" i="115"/>
  <c r="K10" i="115"/>
  <c r="J10" i="115"/>
  <c r="I10" i="115"/>
  <c r="E10" i="115"/>
  <c r="S9" i="115"/>
  <c r="R9" i="115"/>
  <c r="Q9" i="115"/>
  <c r="P9" i="115"/>
  <c r="O9" i="115"/>
  <c r="N9" i="115"/>
  <c r="M9" i="115"/>
  <c r="K9" i="115"/>
  <c r="J9" i="115"/>
  <c r="I9" i="115"/>
  <c r="E9" i="115"/>
  <c r="S8" i="115"/>
  <c r="R8" i="115"/>
  <c r="Q8" i="115"/>
  <c r="P8" i="115"/>
  <c r="O8" i="115"/>
  <c r="N8" i="115"/>
  <c r="M8" i="115"/>
  <c r="K8" i="115"/>
  <c r="J8" i="115"/>
  <c r="I8" i="115"/>
  <c r="E8" i="115"/>
  <c r="S7" i="115"/>
  <c r="R7" i="115"/>
  <c r="Q7" i="115"/>
  <c r="P7" i="115"/>
  <c r="O7" i="115"/>
  <c r="N7" i="115"/>
  <c r="M7" i="115"/>
  <c r="K7" i="115"/>
  <c r="J7" i="115"/>
  <c r="I7" i="115"/>
  <c r="E7" i="115"/>
  <c r="S6" i="115"/>
  <c r="R6" i="115"/>
  <c r="Q6" i="115"/>
  <c r="P6" i="115"/>
  <c r="O6" i="115"/>
  <c r="N6" i="115"/>
  <c r="M6" i="115"/>
  <c r="K6" i="115"/>
  <c r="J6" i="115"/>
  <c r="I6" i="115"/>
  <c r="E6" i="115"/>
  <c r="S5" i="115"/>
  <c r="R5" i="115"/>
  <c r="Q5" i="115"/>
  <c r="P5" i="115"/>
  <c r="O5" i="115"/>
  <c r="N5" i="115"/>
  <c r="M5" i="115"/>
  <c r="K5" i="115"/>
  <c r="J5" i="115"/>
  <c r="I5" i="115"/>
  <c r="E5" i="115"/>
  <c r="S4" i="115"/>
  <c r="R4" i="115"/>
  <c r="Q4" i="115"/>
  <c r="P4" i="115"/>
  <c r="O4" i="115"/>
  <c r="N4" i="115"/>
  <c r="M4" i="115"/>
  <c r="K4" i="115"/>
  <c r="J4" i="115"/>
  <c r="I4" i="115"/>
  <c r="E4" i="115"/>
  <c r="S3" i="115"/>
  <c r="R3" i="115"/>
  <c r="Q3" i="115"/>
  <c r="P3" i="115"/>
  <c r="O3" i="115"/>
  <c r="N3" i="115"/>
  <c r="M3" i="115"/>
  <c r="K3" i="115"/>
  <c r="J3" i="115"/>
  <c r="I3" i="115"/>
  <c r="E3" i="115"/>
  <c r="S2" i="115"/>
  <c r="R2" i="115"/>
  <c r="Q2" i="115"/>
  <c r="P2" i="115"/>
  <c r="O2" i="115"/>
  <c r="N2" i="115"/>
  <c r="M2" i="115"/>
  <c r="K2" i="115"/>
  <c r="J2" i="115"/>
  <c r="I2" i="115"/>
  <c r="E2" i="115"/>
  <c r="A53" i="114"/>
  <c r="A55" i="114"/>
  <c r="A57" i="114"/>
  <c r="A59" i="114"/>
  <c r="A61" i="114"/>
  <c r="A63" i="114"/>
  <c r="A65" i="114"/>
  <c r="A66" i="114"/>
  <c r="A68" i="114"/>
  <c r="A69" i="114"/>
  <c r="A70" i="114"/>
  <c r="A71" i="114"/>
  <c r="A72" i="114"/>
  <c r="A73" i="114"/>
  <c r="B75" i="114"/>
  <c r="C74" i="114"/>
  <c r="C73" i="114"/>
  <c r="C72" i="114"/>
  <c r="C71" i="114"/>
  <c r="C70" i="114"/>
  <c r="C69" i="114"/>
  <c r="C68" i="114"/>
  <c r="C67" i="114"/>
  <c r="C66" i="114"/>
  <c r="C65" i="114"/>
  <c r="C64" i="114"/>
  <c r="C63" i="114"/>
  <c r="C62" i="114"/>
  <c r="C61" i="114"/>
  <c r="F60" i="114"/>
  <c r="C60" i="114"/>
  <c r="F59" i="114"/>
  <c r="C59" i="114"/>
  <c r="F58" i="114"/>
  <c r="C58" i="114"/>
  <c r="C57" i="114"/>
  <c r="C56" i="114"/>
  <c r="F55" i="114"/>
  <c r="C55" i="114"/>
  <c r="F54" i="114"/>
  <c r="C54" i="114"/>
  <c r="C53" i="114"/>
  <c r="F53" i="114"/>
  <c r="A49" i="114"/>
  <c r="B5" i="114"/>
  <c r="B24" i="114"/>
  <c r="B25" i="114"/>
  <c r="B26" i="114"/>
  <c r="B27" i="114"/>
  <c r="B28" i="114"/>
  <c r="B29" i="114"/>
  <c r="B37" i="114"/>
  <c r="B30" i="114"/>
  <c r="B31" i="114"/>
  <c r="B32" i="114"/>
  <c r="B33" i="114"/>
  <c r="B34" i="114"/>
  <c r="B35" i="114"/>
  <c r="B46" i="114"/>
  <c r="A24" i="114"/>
  <c r="C24" i="114"/>
  <c r="C25" i="114"/>
  <c r="A26" i="114"/>
  <c r="C26" i="114"/>
  <c r="C27" i="114"/>
  <c r="A28" i="114"/>
  <c r="C28" i="114"/>
  <c r="C29" i="114"/>
  <c r="A30" i="114"/>
  <c r="C30" i="114"/>
  <c r="C31" i="114"/>
  <c r="A32" i="114"/>
  <c r="C32" i="114"/>
  <c r="C33" i="114"/>
  <c r="A34" i="114"/>
  <c r="C34" i="114"/>
  <c r="A35" i="114"/>
  <c r="C35" i="114"/>
  <c r="A36" i="114"/>
  <c r="C36" i="114"/>
  <c r="A37" i="114"/>
  <c r="C37" i="114"/>
  <c r="C38" i="114"/>
  <c r="A39" i="114"/>
  <c r="C39" i="114"/>
  <c r="A40" i="114"/>
  <c r="C40" i="114"/>
  <c r="A41" i="114"/>
  <c r="C41" i="114"/>
  <c r="A42" i="114"/>
  <c r="C42" i="114"/>
  <c r="A43" i="114"/>
  <c r="C43" i="114"/>
  <c r="A44" i="114"/>
  <c r="C44" i="114"/>
  <c r="C45" i="114"/>
  <c r="C46" i="114"/>
  <c r="D46" i="114"/>
  <c r="I45" i="114"/>
  <c r="J45" i="114"/>
  <c r="F45" i="114"/>
  <c r="D44" i="114"/>
  <c r="G44" i="114"/>
  <c r="H44" i="114"/>
  <c r="I44" i="114"/>
  <c r="J44" i="114"/>
  <c r="F44" i="114"/>
  <c r="D43" i="114"/>
  <c r="G43" i="114"/>
  <c r="H43" i="114"/>
  <c r="I43" i="114"/>
  <c r="J43" i="114"/>
  <c r="F43" i="114"/>
  <c r="I42" i="114"/>
  <c r="J42" i="114"/>
  <c r="F42" i="114"/>
  <c r="I41" i="114"/>
  <c r="J41" i="114"/>
  <c r="F41" i="114"/>
  <c r="I40" i="114"/>
  <c r="J40" i="114"/>
  <c r="F40" i="114"/>
  <c r="I39" i="114"/>
  <c r="J39" i="114"/>
  <c r="F39" i="114"/>
  <c r="D38" i="114"/>
  <c r="G38" i="114"/>
  <c r="H38" i="114"/>
  <c r="I38" i="114"/>
  <c r="J38" i="114"/>
  <c r="F38" i="114"/>
  <c r="D37" i="114"/>
  <c r="G37" i="114"/>
  <c r="H37" i="114"/>
  <c r="I37" i="114"/>
  <c r="J37" i="114"/>
  <c r="F37" i="114"/>
  <c r="D36" i="114"/>
  <c r="G36" i="114"/>
  <c r="H36" i="114"/>
  <c r="I36" i="114"/>
  <c r="J36" i="114"/>
  <c r="F36" i="114"/>
  <c r="D35" i="114"/>
  <c r="G35" i="114"/>
  <c r="H35" i="114"/>
  <c r="I35" i="114"/>
  <c r="J35" i="114"/>
  <c r="F35" i="114"/>
  <c r="D34" i="114"/>
  <c r="G34" i="114"/>
  <c r="H34" i="114"/>
  <c r="I34" i="114"/>
  <c r="J34" i="114"/>
  <c r="F34" i="114"/>
  <c r="D33" i="114"/>
  <c r="G33" i="114"/>
  <c r="H33" i="114"/>
  <c r="I33" i="114"/>
  <c r="J33" i="114"/>
  <c r="F33" i="114"/>
  <c r="D32" i="114"/>
  <c r="G32" i="114"/>
  <c r="H32" i="114"/>
  <c r="I32" i="114"/>
  <c r="J32" i="114"/>
  <c r="F32" i="114"/>
  <c r="D31" i="114"/>
  <c r="G31" i="114"/>
  <c r="H31" i="114"/>
  <c r="I31" i="114"/>
  <c r="J31" i="114"/>
  <c r="F31" i="114"/>
  <c r="D30" i="114"/>
  <c r="G30" i="114"/>
  <c r="H30" i="114"/>
  <c r="I30" i="114"/>
  <c r="J30" i="114"/>
  <c r="F30" i="114"/>
  <c r="D29" i="114"/>
  <c r="G29" i="114"/>
  <c r="H29" i="114"/>
  <c r="I29" i="114"/>
  <c r="J29" i="114"/>
  <c r="F29" i="114"/>
  <c r="D28" i="114"/>
  <c r="G28" i="114"/>
  <c r="H28" i="114"/>
  <c r="I28" i="114"/>
  <c r="J28" i="114"/>
  <c r="F28" i="114"/>
  <c r="D27" i="114"/>
  <c r="G27" i="114"/>
  <c r="H27" i="114"/>
  <c r="I27" i="114"/>
  <c r="J27" i="114"/>
  <c r="F27" i="114"/>
  <c r="D26" i="114"/>
  <c r="G26" i="114"/>
  <c r="H26" i="114"/>
  <c r="I26" i="114"/>
  <c r="J26" i="114"/>
  <c r="F26" i="114"/>
  <c r="D25" i="114"/>
  <c r="G25" i="114"/>
  <c r="H25" i="114"/>
  <c r="I25" i="114"/>
  <c r="J25" i="114"/>
  <c r="F25" i="114"/>
  <c r="D24" i="114"/>
  <c r="G24" i="114"/>
  <c r="H24" i="114"/>
  <c r="I24" i="114"/>
  <c r="J24" i="114"/>
  <c r="F24" i="114"/>
  <c r="B13" i="114"/>
  <c r="D45" i="112"/>
  <c r="G45" i="112"/>
  <c r="H45" i="112"/>
  <c r="L246" i="113"/>
  <c r="A246" i="113"/>
  <c r="B39" i="112"/>
  <c r="B40" i="112"/>
  <c r="B42" i="112"/>
  <c r="D42" i="112"/>
  <c r="G42" i="112"/>
  <c r="H42" i="112"/>
  <c r="L245" i="113"/>
  <c r="A245" i="113"/>
  <c r="L244" i="113"/>
  <c r="A244" i="113"/>
  <c r="L243" i="113"/>
  <c r="A243" i="113"/>
  <c r="B41" i="112"/>
  <c r="D41" i="112"/>
  <c r="G41" i="112"/>
  <c r="H41" i="112"/>
  <c r="L242" i="113"/>
  <c r="A242" i="113"/>
  <c r="L241" i="113"/>
  <c r="A241" i="113"/>
  <c r="L240" i="113"/>
  <c r="A240" i="113"/>
  <c r="L239" i="113"/>
  <c r="A239" i="113"/>
  <c r="L238" i="113"/>
  <c r="A238" i="113"/>
  <c r="L237" i="113"/>
  <c r="A237" i="113"/>
  <c r="L236" i="113"/>
  <c r="A236" i="113"/>
  <c r="L235" i="113"/>
  <c r="A235" i="113"/>
  <c r="L234" i="113"/>
  <c r="A234" i="113"/>
  <c r="L233" i="113"/>
  <c r="A233" i="113"/>
  <c r="L232" i="113"/>
  <c r="A232" i="113"/>
  <c r="L231" i="113"/>
  <c r="A231" i="113"/>
  <c r="L230" i="113"/>
  <c r="A230" i="113"/>
  <c r="L229" i="113"/>
  <c r="A229" i="113"/>
  <c r="L228" i="113"/>
  <c r="A228" i="113"/>
  <c r="L227" i="113"/>
  <c r="A227" i="113"/>
  <c r="L226" i="113"/>
  <c r="A226" i="113"/>
  <c r="L225" i="113"/>
  <c r="A225" i="113"/>
  <c r="L224" i="113"/>
  <c r="A224" i="113"/>
  <c r="L223" i="113"/>
  <c r="A223" i="113"/>
  <c r="L222" i="113"/>
  <c r="A222" i="113"/>
  <c r="L221" i="113"/>
  <c r="A221" i="113"/>
  <c r="L220" i="113"/>
  <c r="A220" i="113"/>
  <c r="L219" i="113"/>
  <c r="A219" i="113"/>
  <c r="L218" i="113"/>
  <c r="A218" i="113"/>
  <c r="L217" i="113"/>
  <c r="A217" i="113"/>
  <c r="L216" i="113"/>
  <c r="A216" i="113"/>
  <c r="L215" i="113"/>
  <c r="A215" i="113"/>
  <c r="L214" i="113"/>
  <c r="A214" i="113"/>
  <c r="L213" i="113"/>
  <c r="A213" i="113"/>
  <c r="L212" i="113"/>
  <c r="A212" i="113"/>
  <c r="L211" i="113"/>
  <c r="A211" i="113"/>
  <c r="L210" i="113"/>
  <c r="A210" i="113"/>
  <c r="L209" i="113"/>
  <c r="A209" i="113"/>
  <c r="L208" i="113"/>
  <c r="A208" i="113"/>
  <c r="L207" i="113"/>
  <c r="A207" i="113"/>
  <c r="L206" i="113"/>
  <c r="A206" i="113"/>
  <c r="L205" i="113"/>
  <c r="A205" i="113"/>
  <c r="L204" i="113"/>
  <c r="A204" i="113"/>
  <c r="L203" i="113"/>
  <c r="A203" i="113"/>
  <c r="L202" i="113"/>
  <c r="A202" i="113"/>
  <c r="L201" i="113"/>
  <c r="A201" i="113"/>
  <c r="L200" i="113"/>
  <c r="A200" i="113"/>
  <c r="L199" i="113"/>
  <c r="A199" i="113"/>
  <c r="L198" i="113"/>
  <c r="A198" i="113"/>
  <c r="L197" i="113"/>
  <c r="A197" i="113"/>
  <c r="L196" i="113"/>
  <c r="A196" i="113"/>
  <c r="L195" i="113"/>
  <c r="A195" i="113"/>
  <c r="L194" i="113"/>
  <c r="A194" i="113"/>
  <c r="L193" i="113"/>
  <c r="A193" i="113"/>
  <c r="L192" i="113"/>
  <c r="A192" i="113"/>
  <c r="L191" i="113"/>
  <c r="A191" i="113"/>
  <c r="L190" i="113"/>
  <c r="A190" i="113"/>
  <c r="L189" i="113"/>
  <c r="A189" i="113"/>
  <c r="L188" i="113"/>
  <c r="A188" i="113"/>
  <c r="L187" i="113"/>
  <c r="A187" i="113"/>
  <c r="L186" i="113"/>
  <c r="A186" i="113"/>
  <c r="L185" i="113"/>
  <c r="A185" i="113"/>
  <c r="L184" i="113"/>
  <c r="A184" i="113"/>
  <c r="L183" i="113"/>
  <c r="A183" i="113"/>
  <c r="L182" i="113"/>
  <c r="A182" i="113"/>
  <c r="L181" i="113"/>
  <c r="A181" i="113"/>
  <c r="L180" i="113"/>
  <c r="A180" i="113"/>
  <c r="L179" i="113"/>
  <c r="A179" i="113"/>
  <c r="L178" i="113"/>
  <c r="A178" i="113"/>
  <c r="L177" i="113"/>
  <c r="A177" i="113"/>
  <c r="L176" i="113"/>
  <c r="A176" i="113"/>
  <c r="L175" i="113"/>
  <c r="A175" i="113"/>
  <c r="L174" i="113"/>
  <c r="A174" i="113"/>
  <c r="L173" i="113"/>
  <c r="A173" i="113"/>
  <c r="L172" i="113"/>
  <c r="A172" i="113"/>
  <c r="L171" i="113"/>
  <c r="A171" i="113"/>
  <c r="L170" i="113"/>
  <c r="A170" i="113"/>
  <c r="L169" i="113"/>
  <c r="A169" i="113"/>
  <c r="L168" i="113"/>
  <c r="A168" i="113"/>
  <c r="L167" i="113"/>
  <c r="A167" i="113"/>
  <c r="L166" i="113"/>
  <c r="A166" i="113"/>
  <c r="L165" i="113"/>
  <c r="A165" i="113"/>
  <c r="L164" i="113"/>
  <c r="A164" i="113"/>
  <c r="L163" i="113"/>
  <c r="A163" i="113"/>
  <c r="L162" i="113"/>
  <c r="A162" i="113"/>
  <c r="L161" i="113"/>
  <c r="A161" i="113"/>
  <c r="L160" i="113"/>
  <c r="A160" i="113"/>
  <c r="L159" i="113"/>
  <c r="A159" i="113"/>
  <c r="L158" i="113"/>
  <c r="A158" i="113"/>
  <c r="L157" i="113"/>
  <c r="A157" i="113"/>
  <c r="L156" i="113"/>
  <c r="A156" i="113"/>
  <c r="L155" i="113"/>
  <c r="A155" i="113"/>
  <c r="L154" i="113"/>
  <c r="A154" i="113"/>
  <c r="L153" i="113"/>
  <c r="A153" i="113"/>
  <c r="L152" i="113"/>
  <c r="A152" i="113"/>
  <c r="L151" i="113"/>
  <c r="A151" i="113"/>
  <c r="L150" i="113"/>
  <c r="A150" i="113"/>
  <c r="L149" i="113"/>
  <c r="A149" i="113"/>
  <c r="L148" i="113"/>
  <c r="A148" i="113"/>
  <c r="L147" i="113"/>
  <c r="A147" i="113"/>
  <c r="L146" i="113"/>
  <c r="A146" i="113"/>
  <c r="L145" i="113"/>
  <c r="A145" i="113"/>
  <c r="L144" i="113"/>
  <c r="A144" i="113"/>
  <c r="L143" i="113"/>
  <c r="A143" i="113"/>
  <c r="L142" i="113"/>
  <c r="A142" i="113"/>
  <c r="L141" i="113"/>
  <c r="A141" i="113"/>
  <c r="L140" i="113"/>
  <c r="A140" i="113"/>
  <c r="L139" i="113"/>
  <c r="A139" i="113"/>
  <c r="L138" i="113"/>
  <c r="A138" i="113"/>
  <c r="L137" i="113"/>
  <c r="A137" i="113"/>
  <c r="L136" i="113"/>
  <c r="A136" i="113"/>
  <c r="L135" i="113"/>
  <c r="A135" i="113"/>
  <c r="L134" i="113"/>
  <c r="A134" i="113"/>
  <c r="L133" i="113"/>
  <c r="A133" i="113"/>
  <c r="L132" i="113"/>
  <c r="A132" i="113"/>
  <c r="L131" i="113"/>
  <c r="A131" i="113"/>
  <c r="L130" i="113"/>
  <c r="A130" i="113"/>
  <c r="L129" i="113"/>
  <c r="A129" i="113"/>
  <c r="L128" i="113"/>
  <c r="A128" i="113"/>
  <c r="L127" i="113"/>
  <c r="A127" i="113"/>
  <c r="L126" i="113"/>
  <c r="A126" i="113"/>
  <c r="L125" i="113"/>
  <c r="A125" i="113"/>
  <c r="L124" i="113"/>
  <c r="A124" i="113"/>
  <c r="L123" i="113"/>
  <c r="A123" i="113"/>
  <c r="L122" i="113"/>
  <c r="A122" i="113"/>
  <c r="L121" i="113"/>
  <c r="A121" i="113"/>
  <c r="L120" i="113"/>
  <c r="A120" i="113"/>
  <c r="L119" i="113"/>
  <c r="A119" i="113"/>
  <c r="L118" i="113"/>
  <c r="A118" i="113"/>
  <c r="L117" i="113"/>
  <c r="A117" i="113"/>
  <c r="L116" i="113"/>
  <c r="A116" i="113"/>
  <c r="L115" i="113"/>
  <c r="A115" i="113"/>
  <c r="L114" i="113"/>
  <c r="A114" i="113"/>
  <c r="L113" i="113"/>
  <c r="A113" i="113"/>
  <c r="L112" i="113"/>
  <c r="A112" i="113"/>
  <c r="L111" i="113"/>
  <c r="A111" i="113"/>
  <c r="L110" i="113"/>
  <c r="A110" i="113"/>
  <c r="L109" i="113"/>
  <c r="A109" i="113"/>
  <c r="L108" i="113"/>
  <c r="A108" i="113"/>
  <c r="L107" i="113"/>
  <c r="A107" i="113"/>
  <c r="L106" i="113"/>
  <c r="A106" i="113"/>
  <c r="L105" i="113"/>
  <c r="A105" i="113"/>
  <c r="L104" i="113"/>
  <c r="A104" i="113"/>
  <c r="L103" i="113"/>
  <c r="A103" i="113"/>
  <c r="L102" i="113"/>
  <c r="A102" i="113"/>
  <c r="D40" i="112"/>
  <c r="G40" i="112"/>
  <c r="H40" i="112"/>
  <c r="L101" i="113"/>
  <c r="A101" i="113"/>
  <c r="L100" i="113"/>
  <c r="A100" i="113"/>
  <c r="L99" i="113"/>
  <c r="A99" i="113"/>
  <c r="D39" i="112"/>
  <c r="G39" i="112"/>
  <c r="H39" i="112"/>
  <c r="L98" i="113"/>
  <c r="A98" i="113"/>
  <c r="L97" i="113"/>
  <c r="A97" i="113"/>
  <c r="L96" i="113"/>
  <c r="A96" i="113"/>
  <c r="L95" i="113"/>
  <c r="A95" i="113"/>
  <c r="L94" i="113"/>
  <c r="A94" i="113"/>
  <c r="L93" i="113"/>
  <c r="A93" i="113"/>
  <c r="L92" i="113"/>
  <c r="A92" i="113"/>
  <c r="L91" i="113"/>
  <c r="A91" i="113"/>
  <c r="L90" i="113"/>
  <c r="A90" i="113"/>
  <c r="L89" i="113"/>
  <c r="A89" i="113"/>
  <c r="L88" i="113"/>
  <c r="A88" i="113"/>
  <c r="L87" i="113"/>
  <c r="A87" i="113"/>
  <c r="L86" i="113"/>
  <c r="A86" i="113"/>
  <c r="L85" i="113"/>
  <c r="A85" i="113"/>
  <c r="L84" i="113"/>
  <c r="A84" i="113"/>
  <c r="L83" i="113"/>
  <c r="A83" i="113"/>
  <c r="L82" i="113"/>
  <c r="A82" i="113"/>
  <c r="L81" i="113"/>
  <c r="A81" i="113"/>
  <c r="L80" i="113"/>
  <c r="A80" i="113"/>
  <c r="L79" i="113"/>
  <c r="A79" i="113"/>
  <c r="L78" i="113"/>
  <c r="A78" i="113"/>
  <c r="L77" i="113"/>
  <c r="A77" i="113"/>
  <c r="L76" i="113"/>
  <c r="A76" i="113"/>
  <c r="L75" i="113"/>
  <c r="A75" i="113"/>
  <c r="L74" i="113"/>
  <c r="A74" i="113"/>
  <c r="L73" i="113"/>
  <c r="A73" i="113"/>
  <c r="L72" i="113"/>
  <c r="A72" i="113"/>
  <c r="L71" i="113"/>
  <c r="A71" i="113"/>
  <c r="L70" i="113"/>
  <c r="A70" i="113"/>
  <c r="L69" i="113"/>
  <c r="A69" i="113"/>
  <c r="L68" i="113"/>
  <c r="A68" i="113"/>
  <c r="L67" i="113"/>
  <c r="A67" i="113"/>
  <c r="L66" i="113"/>
  <c r="A66" i="113"/>
  <c r="L65" i="113"/>
  <c r="A65" i="113"/>
  <c r="L64" i="113"/>
  <c r="A64" i="113"/>
  <c r="L63" i="113"/>
  <c r="A63" i="113"/>
  <c r="L62" i="113"/>
  <c r="A62" i="113"/>
  <c r="L61" i="113"/>
  <c r="A61" i="113"/>
  <c r="L60" i="113"/>
  <c r="A60" i="113"/>
  <c r="L59" i="113"/>
  <c r="A59" i="113"/>
  <c r="L58" i="113"/>
  <c r="A58" i="113"/>
  <c r="L57" i="113"/>
  <c r="A57" i="113"/>
  <c r="L56" i="113"/>
  <c r="A56" i="113"/>
  <c r="L55" i="113"/>
  <c r="A55" i="113"/>
  <c r="L54" i="113"/>
  <c r="A54" i="113"/>
  <c r="L53" i="113"/>
  <c r="A53" i="113"/>
  <c r="L52" i="113"/>
  <c r="A52" i="113"/>
  <c r="L51" i="113"/>
  <c r="A51" i="113"/>
  <c r="L50" i="113"/>
  <c r="A50" i="113"/>
  <c r="L49" i="113"/>
  <c r="A49" i="113"/>
  <c r="L48" i="113"/>
  <c r="A48" i="113"/>
  <c r="L47" i="113"/>
  <c r="A47" i="113"/>
  <c r="L46" i="113"/>
  <c r="A46" i="113"/>
  <c r="L45" i="113"/>
  <c r="A45" i="113"/>
  <c r="L44" i="113"/>
  <c r="A44" i="113"/>
  <c r="L43" i="113"/>
  <c r="A43" i="113"/>
  <c r="L42" i="113"/>
  <c r="A42" i="113"/>
  <c r="L41" i="113"/>
  <c r="A41" i="113"/>
  <c r="L40" i="113"/>
  <c r="A40" i="113"/>
  <c r="L39" i="113"/>
  <c r="A39" i="113"/>
  <c r="L38" i="113"/>
  <c r="A38" i="113"/>
  <c r="L37" i="113"/>
  <c r="A37" i="113"/>
  <c r="L36" i="113"/>
  <c r="A36" i="113"/>
  <c r="L35" i="113"/>
  <c r="A35" i="113"/>
  <c r="L34" i="113"/>
  <c r="A34" i="113"/>
  <c r="L33" i="113"/>
  <c r="A33" i="113"/>
  <c r="L32" i="113"/>
  <c r="A32" i="113"/>
  <c r="L31" i="113"/>
  <c r="A31" i="113"/>
  <c r="L30" i="113"/>
  <c r="A30" i="113"/>
  <c r="L29" i="113"/>
  <c r="A29" i="113"/>
  <c r="L28" i="113"/>
  <c r="A28" i="113"/>
  <c r="L27" i="113"/>
  <c r="A27" i="113"/>
  <c r="L26" i="113"/>
  <c r="A26" i="113"/>
  <c r="L25" i="113"/>
  <c r="A25" i="113"/>
  <c r="L24" i="113"/>
  <c r="A24" i="113"/>
  <c r="L23" i="113"/>
  <c r="A23" i="113"/>
  <c r="L22" i="113"/>
  <c r="A22" i="113"/>
  <c r="L21" i="113"/>
  <c r="A21" i="113"/>
  <c r="L20" i="113"/>
  <c r="A20" i="113"/>
  <c r="L19" i="113"/>
  <c r="A19" i="113"/>
  <c r="L18" i="113"/>
  <c r="A18" i="113"/>
  <c r="L17" i="113"/>
  <c r="A17" i="113"/>
  <c r="L16" i="113"/>
  <c r="A16" i="113"/>
  <c r="L15" i="113"/>
  <c r="A15" i="113"/>
  <c r="L14" i="113"/>
  <c r="A14" i="113"/>
  <c r="L13" i="113"/>
  <c r="A13" i="113"/>
  <c r="L12" i="113"/>
  <c r="A12" i="113"/>
  <c r="L11" i="113"/>
  <c r="A11" i="113"/>
  <c r="L10" i="113"/>
  <c r="A10" i="113"/>
  <c r="L9" i="113"/>
  <c r="A9" i="113"/>
  <c r="L8" i="113"/>
  <c r="A8" i="113"/>
  <c r="L7" i="113"/>
  <c r="A7" i="113"/>
  <c r="L6" i="113"/>
  <c r="A6" i="113"/>
  <c r="L5" i="113"/>
  <c r="A5" i="113"/>
  <c r="L4" i="113"/>
  <c r="A4" i="113"/>
  <c r="L3" i="113"/>
  <c r="A3" i="113"/>
  <c r="L2" i="113"/>
  <c r="A2" i="113"/>
  <c r="B74" i="112"/>
  <c r="B73" i="112"/>
  <c r="B72" i="112"/>
  <c r="B71" i="112"/>
  <c r="B70" i="112"/>
  <c r="B69" i="112"/>
  <c r="B68" i="112"/>
  <c r="B67" i="112"/>
  <c r="B66" i="112"/>
  <c r="B65" i="112"/>
  <c r="B64" i="112"/>
  <c r="B63" i="112"/>
  <c r="B62" i="112"/>
  <c r="B61" i="112"/>
  <c r="B60" i="112"/>
  <c r="B59" i="112"/>
  <c r="B58" i="112"/>
  <c r="B57" i="112"/>
  <c r="B56" i="112"/>
  <c r="B55" i="112"/>
  <c r="B54" i="112"/>
  <c r="B53" i="112"/>
  <c r="E45" i="112"/>
  <c r="E44" i="112"/>
  <c r="E43" i="112"/>
  <c r="E42" i="112"/>
  <c r="E41" i="112"/>
  <c r="E40" i="112"/>
  <c r="E39" i="112"/>
  <c r="E38" i="112"/>
  <c r="E37" i="112"/>
  <c r="E36" i="112"/>
  <c r="E35" i="112"/>
  <c r="E34" i="112"/>
  <c r="E33" i="112"/>
  <c r="E32" i="112"/>
  <c r="E31" i="112"/>
  <c r="E30" i="112"/>
  <c r="E29" i="112"/>
  <c r="E28" i="112"/>
  <c r="E27" i="112"/>
  <c r="E26" i="112"/>
  <c r="E25" i="112"/>
  <c r="E24" i="112"/>
  <c r="S246" i="113"/>
  <c r="R246" i="113"/>
  <c r="Q246" i="113"/>
  <c r="P246" i="113"/>
  <c r="O246" i="113"/>
  <c r="N246" i="113"/>
  <c r="F246" i="113"/>
  <c r="G246" i="113"/>
  <c r="H246" i="113"/>
  <c r="C246" i="113"/>
  <c r="B246" i="113"/>
  <c r="F2" i="113"/>
  <c r="G2" i="113"/>
  <c r="H2" i="113"/>
  <c r="C2" i="113"/>
  <c r="B2" i="113"/>
  <c r="F3" i="113"/>
  <c r="G3" i="113"/>
  <c r="H3" i="113"/>
  <c r="C3" i="113"/>
  <c r="B3" i="113"/>
  <c r="F4" i="113"/>
  <c r="G4" i="113"/>
  <c r="H4" i="113"/>
  <c r="C4" i="113"/>
  <c r="B4" i="113"/>
  <c r="F5" i="113"/>
  <c r="G5" i="113"/>
  <c r="H5" i="113"/>
  <c r="C5" i="113"/>
  <c r="B5" i="113"/>
  <c r="F6" i="113"/>
  <c r="G6" i="113"/>
  <c r="H6" i="113"/>
  <c r="C6" i="113"/>
  <c r="B6" i="113"/>
  <c r="F7" i="113"/>
  <c r="G7" i="113"/>
  <c r="H7" i="113"/>
  <c r="C7" i="113"/>
  <c r="B7" i="113"/>
  <c r="F8" i="113"/>
  <c r="G8" i="113"/>
  <c r="H8" i="113"/>
  <c r="C8" i="113"/>
  <c r="B8" i="113"/>
  <c r="F9" i="113"/>
  <c r="G9" i="113"/>
  <c r="H9" i="113"/>
  <c r="C9" i="113"/>
  <c r="B9" i="113"/>
  <c r="F10" i="113"/>
  <c r="G10" i="113"/>
  <c r="H10" i="113"/>
  <c r="C10" i="113"/>
  <c r="B10" i="113"/>
  <c r="F11" i="113"/>
  <c r="G11" i="113"/>
  <c r="H11" i="113"/>
  <c r="C11" i="113"/>
  <c r="B11" i="113"/>
  <c r="F12" i="113"/>
  <c r="G12" i="113"/>
  <c r="H12" i="113"/>
  <c r="C12" i="113"/>
  <c r="B12" i="113"/>
  <c r="F13" i="113"/>
  <c r="G13" i="113"/>
  <c r="H13" i="113"/>
  <c r="C13" i="113"/>
  <c r="B13" i="113"/>
  <c r="F14" i="113"/>
  <c r="G14" i="113"/>
  <c r="H14" i="113"/>
  <c r="C14" i="113"/>
  <c r="B14" i="113"/>
  <c r="F15" i="113"/>
  <c r="G15" i="113"/>
  <c r="H15" i="113"/>
  <c r="C15" i="113"/>
  <c r="B15" i="113"/>
  <c r="F16" i="113"/>
  <c r="G16" i="113"/>
  <c r="H16" i="113"/>
  <c r="C16" i="113"/>
  <c r="B16" i="113"/>
  <c r="F17" i="113"/>
  <c r="G17" i="113"/>
  <c r="H17" i="113"/>
  <c r="C17" i="113"/>
  <c r="B17" i="113"/>
  <c r="F18" i="113"/>
  <c r="G18" i="113"/>
  <c r="H18" i="113"/>
  <c r="C18" i="113"/>
  <c r="B18" i="113"/>
  <c r="F19" i="113"/>
  <c r="G19" i="113"/>
  <c r="H19" i="113"/>
  <c r="C19" i="113"/>
  <c r="B19" i="113"/>
  <c r="F20" i="113"/>
  <c r="G20" i="113"/>
  <c r="H20" i="113"/>
  <c r="C20" i="113"/>
  <c r="B20" i="113"/>
  <c r="F21" i="113"/>
  <c r="G21" i="113"/>
  <c r="H21" i="113"/>
  <c r="C21" i="113"/>
  <c r="B21" i="113"/>
  <c r="F22" i="113"/>
  <c r="G22" i="113"/>
  <c r="H22" i="113"/>
  <c r="C22" i="113"/>
  <c r="B22" i="113"/>
  <c r="F23" i="113"/>
  <c r="G23" i="113"/>
  <c r="H23" i="113"/>
  <c r="C23" i="113"/>
  <c r="B23" i="113"/>
  <c r="F24" i="113"/>
  <c r="G24" i="113"/>
  <c r="H24" i="113"/>
  <c r="C24" i="113"/>
  <c r="B24" i="113"/>
  <c r="F25" i="113"/>
  <c r="G25" i="113"/>
  <c r="H25" i="113"/>
  <c r="C25" i="113"/>
  <c r="B25" i="113"/>
  <c r="F26" i="113"/>
  <c r="G26" i="113"/>
  <c r="H26" i="113"/>
  <c r="C26" i="113"/>
  <c r="B26" i="113"/>
  <c r="F27" i="113"/>
  <c r="G27" i="113"/>
  <c r="H27" i="113"/>
  <c r="C27" i="113"/>
  <c r="B27" i="113"/>
  <c r="F28" i="113"/>
  <c r="G28" i="113"/>
  <c r="H28" i="113"/>
  <c r="C28" i="113"/>
  <c r="B28" i="113"/>
  <c r="F29" i="113"/>
  <c r="G29" i="113"/>
  <c r="H29" i="113"/>
  <c r="C29" i="113"/>
  <c r="B29" i="113"/>
  <c r="F30" i="113"/>
  <c r="G30" i="113"/>
  <c r="H30" i="113"/>
  <c r="C30" i="113"/>
  <c r="B30" i="113"/>
  <c r="F31" i="113"/>
  <c r="G31" i="113"/>
  <c r="H31" i="113"/>
  <c r="C31" i="113"/>
  <c r="B31" i="113"/>
  <c r="F32" i="113"/>
  <c r="G32" i="113"/>
  <c r="H32" i="113"/>
  <c r="C32" i="113"/>
  <c r="B32" i="113"/>
  <c r="F33" i="113"/>
  <c r="G33" i="113"/>
  <c r="H33" i="113"/>
  <c r="C33" i="113"/>
  <c r="B33" i="113"/>
  <c r="F34" i="113"/>
  <c r="G34" i="113"/>
  <c r="H34" i="113"/>
  <c r="C34" i="113"/>
  <c r="B34" i="113"/>
  <c r="F35" i="113"/>
  <c r="G35" i="113"/>
  <c r="H35" i="113"/>
  <c r="C35" i="113"/>
  <c r="B35" i="113"/>
  <c r="F36" i="113"/>
  <c r="G36" i="113"/>
  <c r="H36" i="113"/>
  <c r="C36" i="113"/>
  <c r="B36" i="113"/>
  <c r="F37" i="113"/>
  <c r="G37" i="113"/>
  <c r="H37" i="113"/>
  <c r="C37" i="113"/>
  <c r="B37" i="113"/>
  <c r="F38" i="113"/>
  <c r="G38" i="113"/>
  <c r="H38" i="113"/>
  <c r="C38" i="113"/>
  <c r="B38" i="113"/>
  <c r="F39" i="113"/>
  <c r="G39" i="113"/>
  <c r="H39" i="113"/>
  <c r="C39" i="113"/>
  <c r="B39" i="113"/>
  <c r="F40" i="113"/>
  <c r="G40" i="113"/>
  <c r="H40" i="113"/>
  <c r="C40" i="113"/>
  <c r="B40" i="113"/>
  <c r="F41" i="113"/>
  <c r="G41" i="113"/>
  <c r="H41" i="113"/>
  <c r="C41" i="113"/>
  <c r="B41" i="113"/>
  <c r="F42" i="113"/>
  <c r="G42" i="113"/>
  <c r="H42" i="113"/>
  <c r="C42" i="113"/>
  <c r="B42" i="113"/>
  <c r="F43" i="113"/>
  <c r="G43" i="113"/>
  <c r="H43" i="113"/>
  <c r="C43" i="113"/>
  <c r="B43" i="113"/>
  <c r="F44" i="113"/>
  <c r="G44" i="113"/>
  <c r="H44" i="113"/>
  <c r="C44" i="113"/>
  <c r="B44" i="113"/>
  <c r="F45" i="113"/>
  <c r="G45" i="113"/>
  <c r="H45" i="113"/>
  <c r="C45" i="113"/>
  <c r="B45" i="113"/>
  <c r="F46" i="113"/>
  <c r="G46" i="113"/>
  <c r="H46" i="113"/>
  <c r="C46" i="113"/>
  <c r="B46" i="113"/>
  <c r="F47" i="113"/>
  <c r="G47" i="113"/>
  <c r="H47" i="113"/>
  <c r="C47" i="113"/>
  <c r="B47" i="113"/>
  <c r="F48" i="113"/>
  <c r="G48" i="113"/>
  <c r="H48" i="113"/>
  <c r="C48" i="113"/>
  <c r="B48" i="113"/>
  <c r="F49" i="113"/>
  <c r="G49" i="113"/>
  <c r="H49" i="113"/>
  <c r="C49" i="113"/>
  <c r="B49" i="113"/>
  <c r="F50" i="113"/>
  <c r="G50" i="113"/>
  <c r="H50" i="113"/>
  <c r="C50" i="113"/>
  <c r="B50" i="113"/>
  <c r="F51" i="113"/>
  <c r="G51" i="113"/>
  <c r="H51" i="113"/>
  <c r="C51" i="113"/>
  <c r="B51" i="113"/>
  <c r="F52" i="113"/>
  <c r="G52" i="113"/>
  <c r="H52" i="113"/>
  <c r="C52" i="113"/>
  <c r="B52" i="113"/>
  <c r="F53" i="113"/>
  <c r="G53" i="113"/>
  <c r="H53" i="113"/>
  <c r="C53" i="113"/>
  <c r="B53" i="113"/>
  <c r="F54" i="113"/>
  <c r="G54" i="113"/>
  <c r="H54" i="113"/>
  <c r="C54" i="113"/>
  <c r="B54" i="113"/>
  <c r="F55" i="113"/>
  <c r="G55" i="113"/>
  <c r="H55" i="113"/>
  <c r="C55" i="113"/>
  <c r="B55" i="113"/>
  <c r="F56" i="113"/>
  <c r="G56" i="113"/>
  <c r="H56" i="113"/>
  <c r="C56" i="113"/>
  <c r="B56" i="113"/>
  <c r="F57" i="113"/>
  <c r="G57" i="113"/>
  <c r="H57" i="113"/>
  <c r="C57" i="113"/>
  <c r="B57" i="113"/>
  <c r="F58" i="113"/>
  <c r="G58" i="113"/>
  <c r="H58" i="113"/>
  <c r="C58" i="113"/>
  <c r="B58" i="113"/>
  <c r="F59" i="113"/>
  <c r="G59" i="113"/>
  <c r="H59" i="113"/>
  <c r="C59" i="113"/>
  <c r="B59" i="113"/>
  <c r="F60" i="113"/>
  <c r="G60" i="113"/>
  <c r="H60" i="113"/>
  <c r="C60" i="113"/>
  <c r="B60" i="113"/>
  <c r="F61" i="113"/>
  <c r="G61" i="113"/>
  <c r="H61" i="113"/>
  <c r="C61" i="113"/>
  <c r="B61" i="113"/>
  <c r="F62" i="113"/>
  <c r="G62" i="113"/>
  <c r="H62" i="113"/>
  <c r="C62" i="113"/>
  <c r="B62" i="113"/>
  <c r="F63" i="113"/>
  <c r="G63" i="113"/>
  <c r="H63" i="113"/>
  <c r="C63" i="113"/>
  <c r="B63" i="113"/>
  <c r="F64" i="113"/>
  <c r="G64" i="113"/>
  <c r="H64" i="113"/>
  <c r="C64" i="113"/>
  <c r="B64" i="113"/>
  <c r="F65" i="113"/>
  <c r="G65" i="113"/>
  <c r="H65" i="113"/>
  <c r="C65" i="113"/>
  <c r="B65" i="113"/>
  <c r="F66" i="113"/>
  <c r="G66" i="113"/>
  <c r="H66" i="113"/>
  <c r="C66" i="113"/>
  <c r="B66" i="113"/>
  <c r="F67" i="113"/>
  <c r="G67" i="113"/>
  <c r="H67" i="113"/>
  <c r="C67" i="113"/>
  <c r="B67" i="113"/>
  <c r="F68" i="113"/>
  <c r="G68" i="113"/>
  <c r="H68" i="113"/>
  <c r="C68" i="113"/>
  <c r="B68" i="113"/>
  <c r="F69" i="113"/>
  <c r="G69" i="113"/>
  <c r="H69" i="113"/>
  <c r="C69" i="113"/>
  <c r="B69" i="113"/>
  <c r="F70" i="113"/>
  <c r="G70" i="113"/>
  <c r="H70" i="113"/>
  <c r="C70" i="113"/>
  <c r="B70" i="113"/>
  <c r="F71" i="113"/>
  <c r="G71" i="113"/>
  <c r="H71" i="113"/>
  <c r="C71" i="113"/>
  <c r="B71" i="113"/>
  <c r="F72" i="113"/>
  <c r="G72" i="113"/>
  <c r="H72" i="113"/>
  <c r="C72" i="113"/>
  <c r="B72" i="113"/>
  <c r="F73" i="113"/>
  <c r="G73" i="113"/>
  <c r="H73" i="113"/>
  <c r="C73" i="113"/>
  <c r="B73" i="113"/>
  <c r="F74" i="113"/>
  <c r="G74" i="113"/>
  <c r="H74" i="113"/>
  <c r="C74" i="113"/>
  <c r="B74" i="113"/>
  <c r="F75" i="113"/>
  <c r="G75" i="113"/>
  <c r="H75" i="113"/>
  <c r="C75" i="113"/>
  <c r="B75" i="113"/>
  <c r="F76" i="113"/>
  <c r="G76" i="113"/>
  <c r="H76" i="113"/>
  <c r="C76" i="113"/>
  <c r="B76" i="113"/>
  <c r="F77" i="113"/>
  <c r="G77" i="113"/>
  <c r="H77" i="113"/>
  <c r="C77" i="113"/>
  <c r="B77" i="113"/>
  <c r="F78" i="113"/>
  <c r="G78" i="113"/>
  <c r="H78" i="113"/>
  <c r="C78" i="113"/>
  <c r="B78" i="113"/>
  <c r="F79" i="113"/>
  <c r="G79" i="113"/>
  <c r="H79" i="113"/>
  <c r="C79" i="113"/>
  <c r="B79" i="113"/>
  <c r="F80" i="113"/>
  <c r="G80" i="113"/>
  <c r="H80" i="113"/>
  <c r="C80" i="113"/>
  <c r="B80" i="113"/>
  <c r="F81" i="113"/>
  <c r="G81" i="113"/>
  <c r="H81" i="113"/>
  <c r="C81" i="113"/>
  <c r="B81" i="113"/>
  <c r="F82" i="113"/>
  <c r="G82" i="113"/>
  <c r="H82" i="113"/>
  <c r="C82" i="113"/>
  <c r="B82" i="113"/>
  <c r="F83" i="113"/>
  <c r="G83" i="113"/>
  <c r="H83" i="113"/>
  <c r="C83" i="113"/>
  <c r="B83" i="113"/>
  <c r="F84" i="113"/>
  <c r="G84" i="113"/>
  <c r="H84" i="113"/>
  <c r="C84" i="113"/>
  <c r="B84" i="113"/>
  <c r="F85" i="113"/>
  <c r="G85" i="113"/>
  <c r="H85" i="113"/>
  <c r="C85" i="113"/>
  <c r="B85" i="113"/>
  <c r="F86" i="113"/>
  <c r="G86" i="113"/>
  <c r="H86" i="113"/>
  <c r="C86" i="113"/>
  <c r="B86" i="113"/>
  <c r="F87" i="113"/>
  <c r="G87" i="113"/>
  <c r="H87" i="113"/>
  <c r="C87" i="113"/>
  <c r="B87" i="113"/>
  <c r="F88" i="113"/>
  <c r="G88" i="113"/>
  <c r="H88" i="113"/>
  <c r="C88" i="113"/>
  <c r="B88" i="113"/>
  <c r="F89" i="113"/>
  <c r="G89" i="113"/>
  <c r="H89" i="113"/>
  <c r="C89" i="113"/>
  <c r="B89" i="113"/>
  <c r="F90" i="113"/>
  <c r="G90" i="113"/>
  <c r="H90" i="113"/>
  <c r="C90" i="113"/>
  <c r="B90" i="113"/>
  <c r="F91" i="113"/>
  <c r="G91" i="113"/>
  <c r="H91" i="113"/>
  <c r="C91" i="113"/>
  <c r="B91" i="113"/>
  <c r="F92" i="113"/>
  <c r="G92" i="113"/>
  <c r="H92" i="113"/>
  <c r="C92" i="113"/>
  <c r="B92" i="113"/>
  <c r="F93" i="113"/>
  <c r="G93" i="113"/>
  <c r="H93" i="113"/>
  <c r="C93" i="113"/>
  <c r="B93" i="113"/>
  <c r="F94" i="113"/>
  <c r="G94" i="113"/>
  <c r="H94" i="113"/>
  <c r="C94" i="113"/>
  <c r="B94" i="113"/>
  <c r="F95" i="113"/>
  <c r="G95" i="113"/>
  <c r="H95" i="113"/>
  <c r="C95" i="113"/>
  <c r="B95" i="113"/>
  <c r="F96" i="113"/>
  <c r="G96" i="113"/>
  <c r="H96" i="113"/>
  <c r="C96" i="113"/>
  <c r="B96" i="113"/>
  <c r="F97" i="113"/>
  <c r="G97" i="113"/>
  <c r="H97" i="113"/>
  <c r="C97" i="113"/>
  <c r="B97" i="113"/>
  <c r="F98" i="113"/>
  <c r="G98" i="113"/>
  <c r="H98" i="113"/>
  <c r="C98" i="113"/>
  <c r="B98" i="113"/>
  <c r="F99" i="113"/>
  <c r="G99" i="113"/>
  <c r="H99" i="113"/>
  <c r="C99" i="113"/>
  <c r="B99" i="113"/>
  <c r="F100" i="113"/>
  <c r="G100" i="113"/>
  <c r="H100" i="113"/>
  <c r="C100" i="113"/>
  <c r="B100" i="113"/>
  <c r="F101" i="113"/>
  <c r="G101" i="113"/>
  <c r="H101" i="113"/>
  <c r="C101" i="113"/>
  <c r="B101" i="113"/>
  <c r="F102" i="113"/>
  <c r="G102" i="113"/>
  <c r="H102" i="113"/>
  <c r="C102" i="113"/>
  <c r="B102" i="113"/>
  <c r="F103" i="113"/>
  <c r="G103" i="113"/>
  <c r="H103" i="113"/>
  <c r="C103" i="113"/>
  <c r="B103" i="113"/>
  <c r="F104" i="113"/>
  <c r="G104" i="113"/>
  <c r="H104" i="113"/>
  <c r="C104" i="113"/>
  <c r="B104" i="113"/>
  <c r="F105" i="113"/>
  <c r="G105" i="113"/>
  <c r="H105" i="113"/>
  <c r="C105" i="113"/>
  <c r="B105" i="113"/>
  <c r="F106" i="113"/>
  <c r="G106" i="113"/>
  <c r="H106" i="113"/>
  <c r="C106" i="113"/>
  <c r="B106" i="113"/>
  <c r="F107" i="113"/>
  <c r="G107" i="113"/>
  <c r="H107" i="113"/>
  <c r="C107" i="113"/>
  <c r="B107" i="113"/>
  <c r="F108" i="113"/>
  <c r="G108" i="113"/>
  <c r="H108" i="113"/>
  <c r="C108" i="113"/>
  <c r="B108" i="113"/>
  <c r="F109" i="113"/>
  <c r="G109" i="113"/>
  <c r="H109" i="113"/>
  <c r="C109" i="113"/>
  <c r="B109" i="113"/>
  <c r="F110" i="113"/>
  <c r="G110" i="113"/>
  <c r="H110" i="113"/>
  <c r="C110" i="113"/>
  <c r="B110" i="113"/>
  <c r="F111" i="113"/>
  <c r="G111" i="113"/>
  <c r="H111" i="113"/>
  <c r="C111" i="113"/>
  <c r="B111" i="113"/>
  <c r="F112" i="113"/>
  <c r="G112" i="113"/>
  <c r="H112" i="113"/>
  <c r="C112" i="113"/>
  <c r="B112" i="113"/>
  <c r="F113" i="113"/>
  <c r="G113" i="113"/>
  <c r="H113" i="113"/>
  <c r="C113" i="113"/>
  <c r="B113" i="113"/>
  <c r="F114" i="113"/>
  <c r="G114" i="113"/>
  <c r="H114" i="113"/>
  <c r="C114" i="113"/>
  <c r="B114" i="113"/>
  <c r="F115" i="113"/>
  <c r="G115" i="113"/>
  <c r="H115" i="113"/>
  <c r="C115" i="113"/>
  <c r="B115" i="113"/>
  <c r="F116" i="113"/>
  <c r="G116" i="113"/>
  <c r="H116" i="113"/>
  <c r="C116" i="113"/>
  <c r="B116" i="113"/>
  <c r="F117" i="113"/>
  <c r="G117" i="113"/>
  <c r="H117" i="113"/>
  <c r="C117" i="113"/>
  <c r="B117" i="113"/>
  <c r="F118" i="113"/>
  <c r="G118" i="113"/>
  <c r="H118" i="113"/>
  <c r="C118" i="113"/>
  <c r="B118" i="113"/>
  <c r="F119" i="113"/>
  <c r="G119" i="113"/>
  <c r="H119" i="113"/>
  <c r="C119" i="113"/>
  <c r="B119" i="113"/>
  <c r="F120" i="113"/>
  <c r="G120" i="113"/>
  <c r="H120" i="113"/>
  <c r="C120" i="113"/>
  <c r="B120" i="113"/>
  <c r="F121" i="113"/>
  <c r="G121" i="113"/>
  <c r="H121" i="113"/>
  <c r="C121" i="113"/>
  <c r="B121" i="113"/>
  <c r="F122" i="113"/>
  <c r="G122" i="113"/>
  <c r="H122" i="113"/>
  <c r="C122" i="113"/>
  <c r="B122" i="113"/>
  <c r="F123" i="113"/>
  <c r="G123" i="113"/>
  <c r="H123" i="113"/>
  <c r="C123" i="113"/>
  <c r="B123" i="113"/>
  <c r="F124" i="113"/>
  <c r="G124" i="113"/>
  <c r="H124" i="113"/>
  <c r="C124" i="113"/>
  <c r="B124" i="113"/>
  <c r="F125" i="113"/>
  <c r="G125" i="113"/>
  <c r="H125" i="113"/>
  <c r="C125" i="113"/>
  <c r="B125" i="113"/>
  <c r="F126" i="113"/>
  <c r="G126" i="113"/>
  <c r="H126" i="113"/>
  <c r="C126" i="113"/>
  <c r="B126" i="113"/>
  <c r="F127" i="113"/>
  <c r="G127" i="113"/>
  <c r="H127" i="113"/>
  <c r="C127" i="113"/>
  <c r="B127" i="113"/>
  <c r="F128" i="113"/>
  <c r="G128" i="113"/>
  <c r="H128" i="113"/>
  <c r="C128" i="113"/>
  <c r="B128" i="113"/>
  <c r="F129" i="113"/>
  <c r="G129" i="113"/>
  <c r="H129" i="113"/>
  <c r="C129" i="113"/>
  <c r="B129" i="113"/>
  <c r="F130" i="113"/>
  <c r="G130" i="113"/>
  <c r="H130" i="113"/>
  <c r="C130" i="113"/>
  <c r="B130" i="113"/>
  <c r="F131" i="113"/>
  <c r="G131" i="113"/>
  <c r="H131" i="113"/>
  <c r="C131" i="113"/>
  <c r="B131" i="113"/>
  <c r="F132" i="113"/>
  <c r="G132" i="113"/>
  <c r="H132" i="113"/>
  <c r="C132" i="113"/>
  <c r="B132" i="113"/>
  <c r="F133" i="113"/>
  <c r="G133" i="113"/>
  <c r="H133" i="113"/>
  <c r="C133" i="113"/>
  <c r="B133" i="113"/>
  <c r="F134" i="113"/>
  <c r="G134" i="113"/>
  <c r="H134" i="113"/>
  <c r="C134" i="113"/>
  <c r="B134" i="113"/>
  <c r="F135" i="113"/>
  <c r="G135" i="113"/>
  <c r="H135" i="113"/>
  <c r="C135" i="113"/>
  <c r="B135" i="113"/>
  <c r="F136" i="113"/>
  <c r="G136" i="113"/>
  <c r="H136" i="113"/>
  <c r="C136" i="113"/>
  <c r="B136" i="113"/>
  <c r="F137" i="113"/>
  <c r="G137" i="113"/>
  <c r="H137" i="113"/>
  <c r="C137" i="113"/>
  <c r="B137" i="113"/>
  <c r="F138" i="113"/>
  <c r="G138" i="113"/>
  <c r="H138" i="113"/>
  <c r="C138" i="113"/>
  <c r="B138" i="113"/>
  <c r="F139" i="113"/>
  <c r="G139" i="113"/>
  <c r="H139" i="113"/>
  <c r="C139" i="113"/>
  <c r="B139" i="113"/>
  <c r="F140" i="113"/>
  <c r="G140" i="113"/>
  <c r="H140" i="113"/>
  <c r="C140" i="113"/>
  <c r="B140" i="113"/>
  <c r="F141" i="113"/>
  <c r="G141" i="113"/>
  <c r="H141" i="113"/>
  <c r="C141" i="113"/>
  <c r="B141" i="113"/>
  <c r="F142" i="113"/>
  <c r="G142" i="113"/>
  <c r="H142" i="113"/>
  <c r="C142" i="113"/>
  <c r="B142" i="113"/>
  <c r="F143" i="113"/>
  <c r="G143" i="113"/>
  <c r="H143" i="113"/>
  <c r="C143" i="113"/>
  <c r="B143" i="113"/>
  <c r="F144" i="113"/>
  <c r="G144" i="113"/>
  <c r="H144" i="113"/>
  <c r="C144" i="113"/>
  <c r="B144" i="113"/>
  <c r="F145" i="113"/>
  <c r="G145" i="113"/>
  <c r="H145" i="113"/>
  <c r="C145" i="113"/>
  <c r="B145" i="113"/>
  <c r="F146" i="113"/>
  <c r="G146" i="113"/>
  <c r="H146" i="113"/>
  <c r="C146" i="113"/>
  <c r="B146" i="113"/>
  <c r="F147" i="113"/>
  <c r="G147" i="113"/>
  <c r="H147" i="113"/>
  <c r="C147" i="113"/>
  <c r="B147" i="113"/>
  <c r="F148" i="113"/>
  <c r="G148" i="113"/>
  <c r="H148" i="113"/>
  <c r="C148" i="113"/>
  <c r="B148" i="113"/>
  <c r="F149" i="113"/>
  <c r="G149" i="113"/>
  <c r="H149" i="113"/>
  <c r="C149" i="113"/>
  <c r="B149" i="113"/>
  <c r="F150" i="113"/>
  <c r="G150" i="113"/>
  <c r="H150" i="113"/>
  <c r="C150" i="113"/>
  <c r="B150" i="113"/>
  <c r="F151" i="113"/>
  <c r="G151" i="113"/>
  <c r="H151" i="113"/>
  <c r="C151" i="113"/>
  <c r="B151" i="113"/>
  <c r="F152" i="113"/>
  <c r="G152" i="113"/>
  <c r="H152" i="113"/>
  <c r="C152" i="113"/>
  <c r="B152" i="113"/>
  <c r="F153" i="113"/>
  <c r="G153" i="113"/>
  <c r="H153" i="113"/>
  <c r="C153" i="113"/>
  <c r="B153" i="113"/>
  <c r="F154" i="113"/>
  <c r="G154" i="113"/>
  <c r="H154" i="113"/>
  <c r="C154" i="113"/>
  <c r="B154" i="113"/>
  <c r="F155" i="113"/>
  <c r="G155" i="113"/>
  <c r="H155" i="113"/>
  <c r="C155" i="113"/>
  <c r="B155" i="113"/>
  <c r="F156" i="113"/>
  <c r="G156" i="113"/>
  <c r="H156" i="113"/>
  <c r="C156" i="113"/>
  <c r="B156" i="113"/>
  <c r="F157" i="113"/>
  <c r="G157" i="113"/>
  <c r="H157" i="113"/>
  <c r="C157" i="113"/>
  <c r="B157" i="113"/>
  <c r="F158" i="113"/>
  <c r="G158" i="113"/>
  <c r="H158" i="113"/>
  <c r="C158" i="113"/>
  <c r="B158" i="113"/>
  <c r="F159" i="113"/>
  <c r="G159" i="113"/>
  <c r="H159" i="113"/>
  <c r="C159" i="113"/>
  <c r="B159" i="113"/>
  <c r="F160" i="113"/>
  <c r="G160" i="113"/>
  <c r="H160" i="113"/>
  <c r="C160" i="113"/>
  <c r="B160" i="113"/>
  <c r="F161" i="113"/>
  <c r="G161" i="113"/>
  <c r="H161" i="113"/>
  <c r="C161" i="113"/>
  <c r="B161" i="113"/>
  <c r="F162" i="113"/>
  <c r="G162" i="113"/>
  <c r="H162" i="113"/>
  <c r="C162" i="113"/>
  <c r="B162" i="113"/>
  <c r="F163" i="113"/>
  <c r="G163" i="113"/>
  <c r="H163" i="113"/>
  <c r="C163" i="113"/>
  <c r="B163" i="113"/>
  <c r="F164" i="113"/>
  <c r="G164" i="113"/>
  <c r="H164" i="113"/>
  <c r="C164" i="113"/>
  <c r="B164" i="113"/>
  <c r="F165" i="113"/>
  <c r="G165" i="113"/>
  <c r="H165" i="113"/>
  <c r="C165" i="113"/>
  <c r="B165" i="113"/>
  <c r="F166" i="113"/>
  <c r="G166" i="113"/>
  <c r="H166" i="113"/>
  <c r="C166" i="113"/>
  <c r="B166" i="113"/>
  <c r="F167" i="113"/>
  <c r="G167" i="113"/>
  <c r="H167" i="113"/>
  <c r="C167" i="113"/>
  <c r="B167" i="113"/>
  <c r="F168" i="113"/>
  <c r="G168" i="113"/>
  <c r="H168" i="113"/>
  <c r="C168" i="113"/>
  <c r="B168" i="113"/>
  <c r="F169" i="113"/>
  <c r="G169" i="113"/>
  <c r="H169" i="113"/>
  <c r="C169" i="113"/>
  <c r="B169" i="113"/>
  <c r="F170" i="113"/>
  <c r="G170" i="113"/>
  <c r="H170" i="113"/>
  <c r="C170" i="113"/>
  <c r="B170" i="113"/>
  <c r="F171" i="113"/>
  <c r="G171" i="113"/>
  <c r="H171" i="113"/>
  <c r="C171" i="113"/>
  <c r="B171" i="113"/>
  <c r="F172" i="113"/>
  <c r="G172" i="113"/>
  <c r="H172" i="113"/>
  <c r="C172" i="113"/>
  <c r="B172" i="113"/>
  <c r="F173" i="113"/>
  <c r="G173" i="113"/>
  <c r="H173" i="113"/>
  <c r="C173" i="113"/>
  <c r="B173" i="113"/>
  <c r="F174" i="113"/>
  <c r="G174" i="113"/>
  <c r="H174" i="113"/>
  <c r="C174" i="113"/>
  <c r="B174" i="113"/>
  <c r="F175" i="113"/>
  <c r="G175" i="113"/>
  <c r="H175" i="113"/>
  <c r="C175" i="113"/>
  <c r="B175" i="113"/>
  <c r="F176" i="113"/>
  <c r="G176" i="113"/>
  <c r="H176" i="113"/>
  <c r="C176" i="113"/>
  <c r="B176" i="113"/>
  <c r="F177" i="113"/>
  <c r="G177" i="113"/>
  <c r="H177" i="113"/>
  <c r="C177" i="113"/>
  <c r="B177" i="113"/>
  <c r="F178" i="113"/>
  <c r="G178" i="113"/>
  <c r="H178" i="113"/>
  <c r="C178" i="113"/>
  <c r="B178" i="113"/>
  <c r="F179" i="113"/>
  <c r="G179" i="113"/>
  <c r="H179" i="113"/>
  <c r="C179" i="113"/>
  <c r="B179" i="113"/>
  <c r="F180" i="113"/>
  <c r="G180" i="113"/>
  <c r="H180" i="113"/>
  <c r="C180" i="113"/>
  <c r="B180" i="113"/>
  <c r="F181" i="113"/>
  <c r="G181" i="113"/>
  <c r="H181" i="113"/>
  <c r="C181" i="113"/>
  <c r="B181" i="113"/>
  <c r="F182" i="113"/>
  <c r="G182" i="113"/>
  <c r="H182" i="113"/>
  <c r="C182" i="113"/>
  <c r="B182" i="113"/>
  <c r="F183" i="113"/>
  <c r="G183" i="113"/>
  <c r="H183" i="113"/>
  <c r="C183" i="113"/>
  <c r="B183" i="113"/>
  <c r="F184" i="113"/>
  <c r="G184" i="113"/>
  <c r="H184" i="113"/>
  <c r="C184" i="113"/>
  <c r="B184" i="113"/>
  <c r="F185" i="113"/>
  <c r="G185" i="113"/>
  <c r="H185" i="113"/>
  <c r="C185" i="113"/>
  <c r="B185" i="113"/>
  <c r="F186" i="113"/>
  <c r="G186" i="113"/>
  <c r="H186" i="113"/>
  <c r="C186" i="113"/>
  <c r="B186" i="113"/>
  <c r="F187" i="113"/>
  <c r="G187" i="113"/>
  <c r="H187" i="113"/>
  <c r="C187" i="113"/>
  <c r="B187" i="113"/>
  <c r="F188" i="113"/>
  <c r="G188" i="113"/>
  <c r="H188" i="113"/>
  <c r="C188" i="113"/>
  <c r="B188" i="113"/>
  <c r="F189" i="113"/>
  <c r="G189" i="113"/>
  <c r="H189" i="113"/>
  <c r="C189" i="113"/>
  <c r="B189" i="113"/>
  <c r="F190" i="113"/>
  <c r="G190" i="113"/>
  <c r="H190" i="113"/>
  <c r="C190" i="113"/>
  <c r="B190" i="113"/>
  <c r="F191" i="113"/>
  <c r="G191" i="113"/>
  <c r="H191" i="113"/>
  <c r="C191" i="113"/>
  <c r="B191" i="113"/>
  <c r="F192" i="113"/>
  <c r="G192" i="113"/>
  <c r="H192" i="113"/>
  <c r="C192" i="113"/>
  <c r="B192" i="113"/>
  <c r="F193" i="113"/>
  <c r="G193" i="113"/>
  <c r="H193" i="113"/>
  <c r="C193" i="113"/>
  <c r="B193" i="113"/>
  <c r="F194" i="113"/>
  <c r="G194" i="113"/>
  <c r="H194" i="113"/>
  <c r="C194" i="113"/>
  <c r="B194" i="113"/>
  <c r="F195" i="113"/>
  <c r="G195" i="113"/>
  <c r="H195" i="113"/>
  <c r="C195" i="113"/>
  <c r="B195" i="113"/>
  <c r="F196" i="113"/>
  <c r="G196" i="113"/>
  <c r="H196" i="113"/>
  <c r="C196" i="113"/>
  <c r="B196" i="113"/>
  <c r="F197" i="113"/>
  <c r="G197" i="113"/>
  <c r="H197" i="113"/>
  <c r="C197" i="113"/>
  <c r="B197" i="113"/>
  <c r="F198" i="113"/>
  <c r="G198" i="113"/>
  <c r="H198" i="113"/>
  <c r="C198" i="113"/>
  <c r="B198" i="113"/>
  <c r="F199" i="113"/>
  <c r="G199" i="113"/>
  <c r="H199" i="113"/>
  <c r="C199" i="113"/>
  <c r="B199" i="113"/>
  <c r="F200" i="113"/>
  <c r="G200" i="113"/>
  <c r="H200" i="113"/>
  <c r="C200" i="113"/>
  <c r="B200" i="113"/>
  <c r="F201" i="113"/>
  <c r="G201" i="113"/>
  <c r="H201" i="113"/>
  <c r="C201" i="113"/>
  <c r="B201" i="113"/>
  <c r="F202" i="113"/>
  <c r="G202" i="113"/>
  <c r="H202" i="113"/>
  <c r="C202" i="113"/>
  <c r="B202" i="113"/>
  <c r="F203" i="113"/>
  <c r="G203" i="113"/>
  <c r="H203" i="113"/>
  <c r="C203" i="113"/>
  <c r="B203" i="113"/>
  <c r="F204" i="113"/>
  <c r="G204" i="113"/>
  <c r="H204" i="113"/>
  <c r="C204" i="113"/>
  <c r="B204" i="113"/>
  <c r="F205" i="113"/>
  <c r="G205" i="113"/>
  <c r="H205" i="113"/>
  <c r="C205" i="113"/>
  <c r="B205" i="113"/>
  <c r="F206" i="113"/>
  <c r="G206" i="113"/>
  <c r="H206" i="113"/>
  <c r="C206" i="113"/>
  <c r="B206" i="113"/>
  <c r="F207" i="113"/>
  <c r="G207" i="113"/>
  <c r="H207" i="113"/>
  <c r="C207" i="113"/>
  <c r="B207" i="113"/>
  <c r="F208" i="113"/>
  <c r="G208" i="113"/>
  <c r="H208" i="113"/>
  <c r="C208" i="113"/>
  <c r="B208" i="113"/>
  <c r="F209" i="113"/>
  <c r="G209" i="113"/>
  <c r="H209" i="113"/>
  <c r="C209" i="113"/>
  <c r="B209" i="113"/>
  <c r="F210" i="113"/>
  <c r="G210" i="113"/>
  <c r="H210" i="113"/>
  <c r="C210" i="113"/>
  <c r="B210" i="113"/>
  <c r="F211" i="113"/>
  <c r="G211" i="113"/>
  <c r="H211" i="113"/>
  <c r="C211" i="113"/>
  <c r="B211" i="113"/>
  <c r="F212" i="113"/>
  <c r="G212" i="113"/>
  <c r="H212" i="113"/>
  <c r="C212" i="113"/>
  <c r="B212" i="113"/>
  <c r="F213" i="113"/>
  <c r="G213" i="113"/>
  <c r="H213" i="113"/>
  <c r="C213" i="113"/>
  <c r="B213" i="113"/>
  <c r="F214" i="113"/>
  <c r="G214" i="113"/>
  <c r="H214" i="113"/>
  <c r="C214" i="113"/>
  <c r="B214" i="113"/>
  <c r="F215" i="113"/>
  <c r="G215" i="113"/>
  <c r="H215" i="113"/>
  <c r="C215" i="113"/>
  <c r="B215" i="113"/>
  <c r="F216" i="113"/>
  <c r="G216" i="113"/>
  <c r="H216" i="113"/>
  <c r="C216" i="113"/>
  <c r="B216" i="113"/>
  <c r="F217" i="113"/>
  <c r="G217" i="113"/>
  <c r="H217" i="113"/>
  <c r="C217" i="113"/>
  <c r="B217" i="113"/>
  <c r="F218" i="113"/>
  <c r="G218" i="113"/>
  <c r="H218" i="113"/>
  <c r="C218" i="113"/>
  <c r="B218" i="113"/>
  <c r="F219" i="113"/>
  <c r="G219" i="113"/>
  <c r="H219" i="113"/>
  <c r="C219" i="113"/>
  <c r="B219" i="113"/>
  <c r="F220" i="113"/>
  <c r="G220" i="113"/>
  <c r="H220" i="113"/>
  <c r="C220" i="113"/>
  <c r="B220" i="113"/>
  <c r="F221" i="113"/>
  <c r="G221" i="113"/>
  <c r="H221" i="113"/>
  <c r="C221" i="113"/>
  <c r="B221" i="113"/>
  <c r="F222" i="113"/>
  <c r="G222" i="113"/>
  <c r="H222" i="113"/>
  <c r="C222" i="113"/>
  <c r="B222" i="113"/>
  <c r="F223" i="113"/>
  <c r="G223" i="113"/>
  <c r="H223" i="113"/>
  <c r="C223" i="113"/>
  <c r="B223" i="113"/>
  <c r="F224" i="113"/>
  <c r="G224" i="113"/>
  <c r="H224" i="113"/>
  <c r="C224" i="113"/>
  <c r="B224" i="113"/>
  <c r="F225" i="113"/>
  <c r="G225" i="113"/>
  <c r="H225" i="113"/>
  <c r="C225" i="113"/>
  <c r="B225" i="113"/>
  <c r="F226" i="113"/>
  <c r="G226" i="113"/>
  <c r="H226" i="113"/>
  <c r="C226" i="113"/>
  <c r="B226" i="113"/>
  <c r="F227" i="113"/>
  <c r="G227" i="113"/>
  <c r="H227" i="113"/>
  <c r="C227" i="113"/>
  <c r="B227" i="113"/>
  <c r="F228" i="113"/>
  <c r="G228" i="113"/>
  <c r="H228" i="113"/>
  <c r="C228" i="113"/>
  <c r="B228" i="113"/>
  <c r="F229" i="113"/>
  <c r="G229" i="113"/>
  <c r="H229" i="113"/>
  <c r="C229" i="113"/>
  <c r="B229" i="113"/>
  <c r="F230" i="113"/>
  <c r="G230" i="113"/>
  <c r="H230" i="113"/>
  <c r="C230" i="113"/>
  <c r="B230" i="113"/>
  <c r="F231" i="113"/>
  <c r="G231" i="113"/>
  <c r="H231" i="113"/>
  <c r="C231" i="113"/>
  <c r="B231" i="113"/>
  <c r="F232" i="113"/>
  <c r="G232" i="113"/>
  <c r="H232" i="113"/>
  <c r="C232" i="113"/>
  <c r="B232" i="113"/>
  <c r="F233" i="113"/>
  <c r="G233" i="113"/>
  <c r="H233" i="113"/>
  <c r="C233" i="113"/>
  <c r="B233" i="113"/>
  <c r="F234" i="113"/>
  <c r="G234" i="113"/>
  <c r="H234" i="113"/>
  <c r="C234" i="113"/>
  <c r="B234" i="113"/>
  <c r="F235" i="113"/>
  <c r="G235" i="113"/>
  <c r="H235" i="113"/>
  <c r="C235" i="113"/>
  <c r="B235" i="113"/>
  <c r="F236" i="113"/>
  <c r="G236" i="113"/>
  <c r="H236" i="113"/>
  <c r="C236" i="113"/>
  <c r="B236" i="113"/>
  <c r="F237" i="113"/>
  <c r="G237" i="113"/>
  <c r="H237" i="113"/>
  <c r="C237" i="113"/>
  <c r="B237" i="113"/>
  <c r="F238" i="113"/>
  <c r="G238" i="113"/>
  <c r="H238" i="113"/>
  <c r="C238" i="113"/>
  <c r="B238" i="113"/>
  <c r="F239" i="113"/>
  <c r="G239" i="113"/>
  <c r="H239" i="113"/>
  <c r="C239" i="113"/>
  <c r="B239" i="113"/>
  <c r="F240" i="113"/>
  <c r="G240" i="113"/>
  <c r="H240" i="113"/>
  <c r="C240" i="113"/>
  <c r="B240" i="113"/>
  <c r="F241" i="113"/>
  <c r="G241" i="113"/>
  <c r="H241" i="113"/>
  <c r="C241" i="113"/>
  <c r="B241" i="113"/>
  <c r="F242" i="113"/>
  <c r="G242" i="113"/>
  <c r="H242" i="113"/>
  <c r="C242" i="113"/>
  <c r="B242" i="113"/>
  <c r="F243" i="113"/>
  <c r="G243" i="113"/>
  <c r="H243" i="113"/>
  <c r="C243" i="113"/>
  <c r="B243" i="113"/>
  <c r="F244" i="113"/>
  <c r="G244" i="113"/>
  <c r="H244" i="113"/>
  <c r="C244" i="113"/>
  <c r="B244" i="113"/>
  <c r="F245" i="113"/>
  <c r="G245" i="113"/>
  <c r="H245" i="113"/>
  <c r="C245" i="113"/>
  <c r="B245" i="113"/>
  <c r="M246" i="113"/>
  <c r="K246" i="113"/>
  <c r="J246" i="113"/>
  <c r="I246" i="113"/>
  <c r="E246" i="113"/>
  <c r="S245" i="113"/>
  <c r="R245" i="113"/>
  <c r="Q245" i="113"/>
  <c r="P245" i="113"/>
  <c r="O245" i="113"/>
  <c r="N245" i="113"/>
  <c r="M245" i="113"/>
  <c r="K245" i="113"/>
  <c r="J245" i="113"/>
  <c r="I245" i="113"/>
  <c r="E245" i="113"/>
  <c r="S244" i="113"/>
  <c r="R244" i="113"/>
  <c r="Q244" i="113"/>
  <c r="P244" i="113"/>
  <c r="O244" i="113"/>
  <c r="N244" i="113"/>
  <c r="M244" i="113"/>
  <c r="K244" i="113"/>
  <c r="J244" i="113"/>
  <c r="I244" i="113"/>
  <c r="E244" i="113"/>
  <c r="S243" i="113"/>
  <c r="R243" i="113"/>
  <c r="Q243" i="113"/>
  <c r="P243" i="113"/>
  <c r="O243" i="113"/>
  <c r="N243" i="113"/>
  <c r="M243" i="113"/>
  <c r="K243" i="113"/>
  <c r="J243" i="113"/>
  <c r="I243" i="113"/>
  <c r="E243" i="113"/>
  <c r="S242" i="113"/>
  <c r="R242" i="113"/>
  <c r="Q242" i="113"/>
  <c r="P242" i="113"/>
  <c r="O242" i="113"/>
  <c r="N242" i="113"/>
  <c r="M242" i="113"/>
  <c r="K242" i="113"/>
  <c r="J242" i="113"/>
  <c r="I242" i="113"/>
  <c r="E242" i="113"/>
  <c r="S241" i="113"/>
  <c r="R241" i="113"/>
  <c r="Q241" i="113"/>
  <c r="P241" i="113"/>
  <c r="O241" i="113"/>
  <c r="N241" i="113"/>
  <c r="M241" i="113"/>
  <c r="K241" i="113"/>
  <c r="J241" i="113"/>
  <c r="I241" i="113"/>
  <c r="E241" i="113"/>
  <c r="S240" i="113"/>
  <c r="R240" i="113"/>
  <c r="Q240" i="113"/>
  <c r="P240" i="113"/>
  <c r="O240" i="113"/>
  <c r="N240" i="113"/>
  <c r="M240" i="113"/>
  <c r="K240" i="113"/>
  <c r="J240" i="113"/>
  <c r="I240" i="113"/>
  <c r="E240" i="113"/>
  <c r="S239" i="113"/>
  <c r="R239" i="113"/>
  <c r="Q239" i="113"/>
  <c r="P239" i="113"/>
  <c r="O239" i="113"/>
  <c r="N239" i="113"/>
  <c r="M239" i="113"/>
  <c r="K239" i="113"/>
  <c r="J239" i="113"/>
  <c r="I239" i="113"/>
  <c r="E239" i="113"/>
  <c r="S238" i="113"/>
  <c r="R238" i="113"/>
  <c r="Q238" i="113"/>
  <c r="P238" i="113"/>
  <c r="O238" i="113"/>
  <c r="N238" i="113"/>
  <c r="M238" i="113"/>
  <c r="K238" i="113"/>
  <c r="J238" i="113"/>
  <c r="I238" i="113"/>
  <c r="E238" i="113"/>
  <c r="S237" i="113"/>
  <c r="R237" i="113"/>
  <c r="Q237" i="113"/>
  <c r="P237" i="113"/>
  <c r="O237" i="113"/>
  <c r="N237" i="113"/>
  <c r="M237" i="113"/>
  <c r="K237" i="113"/>
  <c r="J237" i="113"/>
  <c r="I237" i="113"/>
  <c r="E237" i="113"/>
  <c r="S236" i="113"/>
  <c r="R236" i="113"/>
  <c r="Q236" i="113"/>
  <c r="P236" i="113"/>
  <c r="O236" i="113"/>
  <c r="N236" i="113"/>
  <c r="M236" i="113"/>
  <c r="K236" i="113"/>
  <c r="J236" i="113"/>
  <c r="I236" i="113"/>
  <c r="E236" i="113"/>
  <c r="S235" i="113"/>
  <c r="R235" i="113"/>
  <c r="Q235" i="113"/>
  <c r="P235" i="113"/>
  <c r="O235" i="113"/>
  <c r="N235" i="113"/>
  <c r="M235" i="113"/>
  <c r="K235" i="113"/>
  <c r="J235" i="113"/>
  <c r="I235" i="113"/>
  <c r="E235" i="113"/>
  <c r="S234" i="113"/>
  <c r="R234" i="113"/>
  <c r="Q234" i="113"/>
  <c r="P234" i="113"/>
  <c r="O234" i="113"/>
  <c r="N234" i="113"/>
  <c r="M234" i="113"/>
  <c r="K234" i="113"/>
  <c r="J234" i="113"/>
  <c r="I234" i="113"/>
  <c r="E234" i="113"/>
  <c r="S233" i="113"/>
  <c r="R233" i="113"/>
  <c r="Q233" i="113"/>
  <c r="P233" i="113"/>
  <c r="O233" i="113"/>
  <c r="N233" i="113"/>
  <c r="M233" i="113"/>
  <c r="K233" i="113"/>
  <c r="J233" i="113"/>
  <c r="I233" i="113"/>
  <c r="E233" i="113"/>
  <c r="S232" i="113"/>
  <c r="R232" i="113"/>
  <c r="Q232" i="113"/>
  <c r="P232" i="113"/>
  <c r="O232" i="113"/>
  <c r="N232" i="113"/>
  <c r="M232" i="113"/>
  <c r="K232" i="113"/>
  <c r="J232" i="113"/>
  <c r="I232" i="113"/>
  <c r="E232" i="113"/>
  <c r="S231" i="113"/>
  <c r="R231" i="113"/>
  <c r="Q231" i="113"/>
  <c r="P231" i="113"/>
  <c r="O231" i="113"/>
  <c r="N231" i="113"/>
  <c r="M231" i="113"/>
  <c r="K231" i="113"/>
  <c r="J231" i="113"/>
  <c r="I231" i="113"/>
  <c r="E231" i="113"/>
  <c r="S230" i="113"/>
  <c r="R230" i="113"/>
  <c r="Q230" i="113"/>
  <c r="P230" i="113"/>
  <c r="O230" i="113"/>
  <c r="N230" i="113"/>
  <c r="M230" i="113"/>
  <c r="K230" i="113"/>
  <c r="J230" i="113"/>
  <c r="I230" i="113"/>
  <c r="E230" i="113"/>
  <c r="S229" i="113"/>
  <c r="R229" i="113"/>
  <c r="Q229" i="113"/>
  <c r="P229" i="113"/>
  <c r="O229" i="113"/>
  <c r="N229" i="113"/>
  <c r="M229" i="113"/>
  <c r="K229" i="113"/>
  <c r="J229" i="113"/>
  <c r="I229" i="113"/>
  <c r="E229" i="113"/>
  <c r="S228" i="113"/>
  <c r="R228" i="113"/>
  <c r="Q228" i="113"/>
  <c r="P228" i="113"/>
  <c r="O228" i="113"/>
  <c r="N228" i="113"/>
  <c r="M228" i="113"/>
  <c r="K228" i="113"/>
  <c r="J228" i="113"/>
  <c r="I228" i="113"/>
  <c r="E228" i="113"/>
  <c r="S227" i="113"/>
  <c r="R227" i="113"/>
  <c r="Q227" i="113"/>
  <c r="P227" i="113"/>
  <c r="O227" i="113"/>
  <c r="N227" i="113"/>
  <c r="M227" i="113"/>
  <c r="K227" i="113"/>
  <c r="J227" i="113"/>
  <c r="I227" i="113"/>
  <c r="E227" i="113"/>
  <c r="S226" i="113"/>
  <c r="R226" i="113"/>
  <c r="Q226" i="113"/>
  <c r="P226" i="113"/>
  <c r="O226" i="113"/>
  <c r="N226" i="113"/>
  <c r="M226" i="113"/>
  <c r="K226" i="113"/>
  <c r="J226" i="113"/>
  <c r="I226" i="113"/>
  <c r="E226" i="113"/>
  <c r="S225" i="113"/>
  <c r="R225" i="113"/>
  <c r="Q225" i="113"/>
  <c r="P225" i="113"/>
  <c r="O225" i="113"/>
  <c r="N225" i="113"/>
  <c r="M225" i="113"/>
  <c r="K225" i="113"/>
  <c r="J225" i="113"/>
  <c r="I225" i="113"/>
  <c r="E225" i="113"/>
  <c r="S224" i="113"/>
  <c r="R224" i="113"/>
  <c r="Q224" i="113"/>
  <c r="P224" i="113"/>
  <c r="O224" i="113"/>
  <c r="N224" i="113"/>
  <c r="M224" i="113"/>
  <c r="K224" i="113"/>
  <c r="J224" i="113"/>
  <c r="I224" i="113"/>
  <c r="E224" i="113"/>
  <c r="S223" i="113"/>
  <c r="R223" i="113"/>
  <c r="Q223" i="113"/>
  <c r="P223" i="113"/>
  <c r="O223" i="113"/>
  <c r="N223" i="113"/>
  <c r="M223" i="113"/>
  <c r="K223" i="113"/>
  <c r="J223" i="113"/>
  <c r="I223" i="113"/>
  <c r="E223" i="113"/>
  <c r="S222" i="113"/>
  <c r="R222" i="113"/>
  <c r="Q222" i="113"/>
  <c r="P222" i="113"/>
  <c r="O222" i="113"/>
  <c r="N222" i="113"/>
  <c r="M222" i="113"/>
  <c r="K222" i="113"/>
  <c r="J222" i="113"/>
  <c r="I222" i="113"/>
  <c r="E222" i="113"/>
  <c r="S221" i="113"/>
  <c r="R221" i="113"/>
  <c r="Q221" i="113"/>
  <c r="P221" i="113"/>
  <c r="O221" i="113"/>
  <c r="N221" i="113"/>
  <c r="M221" i="113"/>
  <c r="K221" i="113"/>
  <c r="J221" i="113"/>
  <c r="I221" i="113"/>
  <c r="E221" i="113"/>
  <c r="S220" i="113"/>
  <c r="R220" i="113"/>
  <c r="Q220" i="113"/>
  <c r="P220" i="113"/>
  <c r="O220" i="113"/>
  <c r="N220" i="113"/>
  <c r="M220" i="113"/>
  <c r="K220" i="113"/>
  <c r="J220" i="113"/>
  <c r="I220" i="113"/>
  <c r="E220" i="113"/>
  <c r="S219" i="113"/>
  <c r="R219" i="113"/>
  <c r="Q219" i="113"/>
  <c r="P219" i="113"/>
  <c r="O219" i="113"/>
  <c r="N219" i="113"/>
  <c r="M219" i="113"/>
  <c r="K219" i="113"/>
  <c r="J219" i="113"/>
  <c r="I219" i="113"/>
  <c r="E219" i="113"/>
  <c r="S218" i="113"/>
  <c r="R218" i="113"/>
  <c r="Q218" i="113"/>
  <c r="P218" i="113"/>
  <c r="O218" i="113"/>
  <c r="N218" i="113"/>
  <c r="M218" i="113"/>
  <c r="K218" i="113"/>
  <c r="J218" i="113"/>
  <c r="I218" i="113"/>
  <c r="E218" i="113"/>
  <c r="S217" i="113"/>
  <c r="R217" i="113"/>
  <c r="Q217" i="113"/>
  <c r="P217" i="113"/>
  <c r="O217" i="113"/>
  <c r="N217" i="113"/>
  <c r="M217" i="113"/>
  <c r="K217" i="113"/>
  <c r="J217" i="113"/>
  <c r="I217" i="113"/>
  <c r="E217" i="113"/>
  <c r="S216" i="113"/>
  <c r="R216" i="113"/>
  <c r="Q216" i="113"/>
  <c r="P216" i="113"/>
  <c r="O216" i="113"/>
  <c r="N216" i="113"/>
  <c r="M216" i="113"/>
  <c r="K216" i="113"/>
  <c r="J216" i="113"/>
  <c r="I216" i="113"/>
  <c r="E216" i="113"/>
  <c r="S215" i="113"/>
  <c r="R215" i="113"/>
  <c r="Q215" i="113"/>
  <c r="P215" i="113"/>
  <c r="O215" i="113"/>
  <c r="N215" i="113"/>
  <c r="M215" i="113"/>
  <c r="K215" i="113"/>
  <c r="J215" i="113"/>
  <c r="I215" i="113"/>
  <c r="E215" i="113"/>
  <c r="S214" i="113"/>
  <c r="R214" i="113"/>
  <c r="Q214" i="113"/>
  <c r="P214" i="113"/>
  <c r="O214" i="113"/>
  <c r="N214" i="113"/>
  <c r="M214" i="113"/>
  <c r="K214" i="113"/>
  <c r="J214" i="113"/>
  <c r="I214" i="113"/>
  <c r="E214" i="113"/>
  <c r="S213" i="113"/>
  <c r="R213" i="113"/>
  <c r="Q213" i="113"/>
  <c r="P213" i="113"/>
  <c r="O213" i="113"/>
  <c r="N213" i="113"/>
  <c r="M213" i="113"/>
  <c r="K213" i="113"/>
  <c r="J213" i="113"/>
  <c r="I213" i="113"/>
  <c r="E213" i="113"/>
  <c r="S212" i="113"/>
  <c r="R212" i="113"/>
  <c r="Q212" i="113"/>
  <c r="P212" i="113"/>
  <c r="O212" i="113"/>
  <c r="N212" i="113"/>
  <c r="M212" i="113"/>
  <c r="K212" i="113"/>
  <c r="J212" i="113"/>
  <c r="I212" i="113"/>
  <c r="E212" i="113"/>
  <c r="S211" i="113"/>
  <c r="R211" i="113"/>
  <c r="Q211" i="113"/>
  <c r="P211" i="113"/>
  <c r="O211" i="113"/>
  <c r="N211" i="113"/>
  <c r="M211" i="113"/>
  <c r="K211" i="113"/>
  <c r="J211" i="113"/>
  <c r="I211" i="113"/>
  <c r="E211" i="113"/>
  <c r="S210" i="113"/>
  <c r="R210" i="113"/>
  <c r="Q210" i="113"/>
  <c r="P210" i="113"/>
  <c r="O210" i="113"/>
  <c r="N210" i="113"/>
  <c r="M210" i="113"/>
  <c r="K210" i="113"/>
  <c r="J210" i="113"/>
  <c r="I210" i="113"/>
  <c r="E210" i="113"/>
  <c r="S209" i="113"/>
  <c r="R209" i="113"/>
  <c r="Q209" i="113"/>
  <c r="P209" i="113"/>
  <c r="O209" i="113"/>
  <c r="N209" i="113"/>
  <c r="M209" i="113"/>
  <c r="K209" i="113"/>
  <c r="J209" i="113"/>
  <c r="I209" i="113"/>
  <c r="E209" i="113"/>
  <c r="S208" i="113"/>
  <c r="R208" i="113"/>
  <c r="Q208" i="113"/>
  <c r="P208" i="113"/>
  <c r="O208" i="113"/>
  <c r="N208" i="113"/>
  <c r="M208" i="113"/>
  <c r="K208" i="113"/>
  <c r="J208" i="113"/>
  <c r="I208" i="113"/>
  <c r="E208" i="113"/>
  <c r="S207" i="113"/>
  <c r="R207" i="113"/>
  <c r="Q207" i="113"/>
  <c r="P207" i="113"/>
  <c r="O207" i="113"/>
  <c r="N207" i="113"/>
  <c r="M207" i="113"/>
  <c r="K207" i="113"/>
  <c r="J207" i="113"/>
  <c r="I207" i="113"/>
  <c r="E207" i="113"/>
  <c r="S206" i="113"/>
  <c r="R206" i="113"/>
  <c r="Q206" i="113"/>
  <c r="P206" i="113"/>
  <c r="O206" i="113"/>
  <c r="N206" i="113"/>
  <c r="M206" i="113"/>
  <c r="K206" i="113"/>
  <c r="J206" i="113"/>
  <c r="I206" i="113"/>
  <c r="E206" i="113"/>
  <c r="S205" i="113"/>
  <c r="R205" i="113"/>
  <c r="Q205" i="113"/>
  <c r="P205" i="113"/>
  <c r="O205" i="113"/>
  <c r="N205" i="113"/>
  <c r="M205" i="113"/>
  <c r="K205" i="113"/>
  <c r="J205" i="113"/>
  <c r="I205" i="113"/>
  <c r="E205" i="113"/>
  <c r="S204" i="113"/>
  <c r="R204" i="113"/>
  <c r="Q204" i="113"/>
  <c r="P204" i="113"/>
  <c r="O204" i="113"/>
  <c r="N204" i="113"/>
  <c r="M204" i="113"/>
  <c r="K204" i="113"/>
  <c r="J204" i="113"/>
  <c r="I204" i="113"/>
  <c r="E204" i="113"/>
  <c r="S203" i="113"/>
  <c r="R203" i="113"/>
  <c r="Q203" i="113"/>
  <c r="P203" i="113"/>
  <c r="O203" i="113"/>
  <c r="N203" i="113"/>
  <c r="M203" i="113"/>
  <c r="K203" i="113"/>
  <c r="J203" i="113"/>
  <c r="I203" i="113"/>
  <c r="E203" i="113"/>
  <c r="S202" i="113"/>
  <c r="R202" i="113"/>
  <c r="Q202" i="113"/>
  <c r="P202" i="113"/>
  <c r="O202" i="113"/>
  <c r="N202" i="113"/>
  <c r="M202" i="113"/>
  <c r="K202" i="113"/>
  <c r="J202" i="113"/>
  <c r="I202" i="113"/>
  <c r="E202" i="113"/>
  <c r="S201" i="113"/>
  <c r="R201" i="113"/>
  <c r="Q201" i="113"/>
  <c r="P201" i="113"/>
  <c r="O201" i="113"/>
  <c r="N201" i="113"/>
  <c r="M201" i="113"/>
  <c r="K201" i="113"/>
  <c r="J201" i="113"/>
  <c r="I201" i="113"/>
  <c r="E201" i="113"/>
  <c r="S200" i="113"/>
  <c r="R200" i="113"/>
  <c r="Q200" i="113"/>
  <c r="P200" i="113"/>
  <c r="O200" i="113"/>
  <c r="N200" i="113"/>
  <c r="M200" i="113"/>
  <c r="K200" i="113"/>
  <c r="J200" i="113"/>
  <c r="I200" i="113"/>
  <c r="E200" i="113"/>
  <c r="S199" i="113"/>
  <c r="R199" i="113"/>
  <c r="Q199" i="113"/>
  <c r="P199" i="113"/>
  <c r="O199" i="113"/>
  <c r="N199" i="113"/>
  <c r="M199" i="113"/>
  <c r="K199" i="113"/>
  <c r="J199" i="113"/>
  <c r="I199" i="113"/>
  <c r="E199" i="113"/>
  <c r="S198" i="113"/>
  <c r="R198" i="113"/>
  <c r="Q198" i="113"/>
  <c r="P198" i="113"/>
  <c r="O198" i="113"/>
  <c r="N198" i="113"/>
  <c r="M198" i="113"/>
  <c r="K198" i="113"/>
  <c r="J198" i="113"/>
  <c r="I198" i="113"/>
  <c r="E198" i="113"/>
  <c r="S197" i="113"/>
  <c r="R197" i="113"/>
  <c r="Q197" i="113"/>
  <c r="P197" i="113"/>
  <c r="O197" i="113"/>
  <c r="N197" i="113"/>
  <c r="M197" i="113"/>
  <c r="K197" i="113"/>
  <c r="J197" i="113"/>
  <c r="I197" i="113"/>
  <c r="E197" i="113"/>
  <c r="S196" i="113"/>
  <c r="R196" i="113"/>
  <c r="Q196" i="113"/>
  <c r="P196" i="113"/>
  <c r="O196" i="113"/>
  <c r="N196" i="113"/>
  <c r="M196" i="113"/>
  <c r="K196" i="113"/>
  <c r="J196" i="113"/>
  <c r="I196" i="113"/>
  <c r="E196" i="113"/>
  <c r="S195" i="113"/>
  <c r="R195" i="113"/>
  <c r="Q195" i="113"/>
  <c r="P195" i="113"/>
  <c r="O195" i="113"/>
  <c r="N195" i="113"/>
  <c r="M195" i="113"/>
  <c r="K195" i="113"/>
  <c r="J195" i="113"/>
  <c r="I195" i="113"/>
  <c r="E195" i="113"/>
  <c r="S194" i="113"/>
  <c r="R194" i="113"/>
  <c r="Q194" i="113"/>
  <c r="P194" i="113"/>
  <c r="O194" i="113"/>
  <c r="N194" i="113"/>
  <c r="M194" i="113"/>
  <c r="K194" i="113"/>
  <c r="J194" i="113"/>
  <c r="I194" i="113"/>
  <c r="E194" i="113"/>
  <c r="S193" i="113"/>
  <c r="R193" i="113"/>
  <c r="Q193" i="113"/>
  <c r="P193" i="113"/>
  <c r="O193" i="113"/>
  <c r="N193" i="113"/>
  <c r="M193" i="113"/>
  <c r="K193" i="113"/>
  <c r="J193" i="113"/>
  <c r="I193" i="113"/>
  <c r="E193" i="113"/>
  <c r="S192" i="113"/>
  <c r="R192" i="113"/>
  <c r="Q192" i="113"/>
  <c r="P192" i="113"/>
  <c r="O192" i="113"/>
  <c r="N192" i="113"/>
  <c r="M192" i="113"/>
  <c r="K192" i="113"/>
  <c r="J192" i="113"/>
  <c r="I192" i="113"/>
  <c r="E192" i="113"/>
  <c r="S191" i="113"/>
  <c r="R191" i="113"/>
  <c r="Q191" i="113"/>
  <c r="P191" i="113"/>
  <c r="O191" i="113"/>
  <c r="N191" i="113"/>
  <c r="M191" i="113"/>
  <c r="K191" i="113"/>
  <c r="J191" i="113"/>
  <c r="I191" i="113"/>
  <c r="E191" i="113"/>
  <c r="S190" i="113"/>
  <c r="R190" i="113"/>
  <c r="Q190" i="113"/>
  <c r="P190" i="113"/>
  <c r="O190" i="113"/>
  <c r="N190" i="113"/>
  <c r="M190" i="113"/>
  <c r="K190" i="113"/>
  <c r="J190" i="113"/>
  <c r="I190" i="113"/>
  <c r="E190" i="113"/>
  <c r="S189" i="113"/>
  <c r="R189" i="113"/>
  <c r="Q189" i="113"/>
  <c r="P189" i="113"/>
  <c r="O189" i="113"/>
  <c r="N189" i="113"/>
  <c r="M189" i="113"/>
  <c r="K189" i="113"/>
  <c r="J189" i="113"/>
  <c r="I189" i="113"/>
  <c r="E189" i="113"/>
  <c r="S188" i="113"/>
  <c r="R188" i="113"/>
  <c r="Q188" i="113"/>
  <c r="P188" i="113"/>
  <c r="O188" i="113"/>
  <c r="N188" i="113"/>
  <c r="M188" i="113"/>
  <c r="K188" i="113"/>
  <c r="J188" i="113"/>
  <c r="I188" i="113"/>
  <c r="E188" i="113"/>
  <c r="S187" i="113"/>
  <c r="R187" i="113"/>
  <c r="Q187" i="113"/>
  <c r="P187" i="113"/>
  <c r="O187" i="113"/>
  <c r="N187" i="113"/>
  <c r="M187" i="113"/>
  <c r="K187" i="113"/>
  <c r="J187" i="113"/>
  <c r="I187" i="113"/>
  <c r="E187" i="113"/>
  <c r="S186" i="113"/>
  <c r="R186" i="113"/>
  <c r="Q186" i="113"/>
  <c r="P186" i="113"/>
  <c r="O186" i="113"/>
  <c r="N186" i="113"/>
  <c r="M186" i="113"/>
  <c r="K186" i="113"/>
  <c r="J186" i="113"/>
  <c r="I186" i="113"/>
  <c r="E186" i="113"/>
  <c r="S185" i="113"/>
  <c r="R185" i="113"/>
  <c r="Q185" i="113"/>
  <c r="P185" i="113"/>
  <c r="O185" i="113"/>
  <c r="N185" i="113"/>
  <c r="M185" i="113"/>
  <c r="K185" i="113"/>
  <c r="J185" i="113"/>
  <c r="I185" i="113"/>
  <c r="E185" i="113"/>
  <c r="S184" i="113"/>
  <c r="R184" i="113"/>
  <c r="Q184" i="113"/>
  <c r="P184" i="113"/>
  <c r="O184" i="113"/>
  <c r="N184" i="113"/>
  <c r="M184" i="113"/>
  <c r="K184" i="113"/>
  <c r="J184" i="113"/>
  <c r="I184" i="113"/>
  <c r="E184" i="113"/>
  <c r="S183" i="113"/>
  <c r="R183" i="113"/>
  <c r="Q183" i="113"/>
  <c r="P183" i="113"/>
  <c r="O183" i="113"/>
  <c r="N183" i="113"/>
  <c r="M183" i="113"/>
  <c r="K183" i="113"/>
  <c r="J183" i="113"/>
  <c r="I183" i="113"/>
  <c r="E183" i="113"/>
  <c r="S182" i="113"/>
  <c r="R182" i="113"/>
  <c r="Q182" i="113"/>
  <c r="P182" i="113"/>
  <c r="O182" i="113"/>
  <c r="N182" i="113"/>
  <c r="M182" i="113"/>
  <c r="K182" i="113"/>
  <c r="J182" i="113"/>
  <c r="I182" i="113"/>
  <c r="E182" i="113"/>
  <c r="S181" i="113"/>
  <c r="R181" i="113"/>
  <c r="Q181" i="113"/>
  <c r="P181" i="113"/>
  <c r="O181" i="113"/>
  <c r="N181" i="113"/>
  <c r="M181" i="113"/>
  <c r="K181" i="113"/>
  <c r="J181" i="113"/>
  <c r="I181" i="113"/>
  <c r="E181" i="113"/>
  <c r="S180" i="113"/>
  <c r="R180" i="113"/>
  <c r="Q180" i="113"/>
  <c r="P180" i="113"/>
  <c r="O180" i="113"/>
  <c r="N180" i="113"/>
  <c r="M180" i="113"/>
  <c r="K180" i="113"/>
  <c r="J180" i="113"/>
  <c r="I180" i="113"/>
  <c r="E180" i="113"/>
  <c r="S179" i="113"/>
  <c r="R179" i="113"/>
  <c r="Q179" i="113"/>
  <c r="P179" i="113"/>
  <c r="O179" i="113"/>
  <c r="N179" i="113"/>
  <c r="M179" i="113"/>
  <c r="K179" i="113"/>
  <c r="J179" i="113"/>
  <c r="I179" i="113"/>
  <c r="E179" i="113"/>
  <c r="S178" i="113"/>
  <c r="R178" i="113"/>
  <c r="Q178" i="113"/>
  <c r="P178" i="113"/>
  <c r="O178" i="113"/>
  <c r="N178" i="113"/>
  <c r="M178" i="113"/>
  <c r="K178" i="113"/>
  <c r="J178" i="113"/>
  <c r="I178" i="113"/>
  <c r="E178" i="113"/>
  <c r="S177" i="113"/>
  <c r="R177" i="113"/>
  <c r="Q177" i="113"/>
  <c r="P177" i="113"/>
  <c r="O177" i="113"/>
  <c r="N177" i="113"/>
  <c r="M177" i="113"/>
  <c r="K177" i="113"/>
  <c r="J177" i="113"/>
  <c r="I177" i="113"/>
  <c r="E177" i="113"/>
  <c r="S176" i="113"/>
  <c r="R176" i="113"/>
  <c r="Q176" i="113"/>
  <c r="P176" i="113"/>
  <c r="O176" i="113"/>
  <c r="N176" i="113"/>
  <c r="M176" i="113"/>
  <c r="K176" i="113"/>
  <c r="J176" i="113"/>
  <c r="I176" i="113"/>
  <c r="E176" i="113"/>
  <c r="S175" i="113"/>
  <c r="R175" i="113"/>
  <c r="Q175" i="113"/>
  <c r="P175" i="113"/>
  <c r="O175" i="113"/>
  <c r="N175" i="113"/>
  <c r="M175" i="113"/>
  <c r="K175" i="113"/>
  <c r="J175" i="113"/>
  <c r="I175" i="113"/>
  <c r="E175" i="113"/>
  <c r="S174" i="113"/>
  <c r="R174" i="113"/>
  <c r="Q174" i="113"/>
  <c r="P174" i="113"/>
  <c r="O174" i="113"/>
  <c r="N174" i="113"/>
  <c r="M174" i="113"/>
  <c r="K174" i="113"/>
  <c r="J174" i="113"/>
  <c r="I174" i="113"/>
  <c r="E174" i="113"/>
  <c r="S173" i="113"/>
  <c r="R173" i="113"/>
  <c r="Q173" i="113"/>
  <c r="P173" i="113"/>
  <c r="O173" i="113"/>
  <c r="N173" i="113"/>
  <c r="M173" i="113"/>
  <c r="K173" i="113"/>
  <c r="J173" i="113"/>
  <c r="I173" i="113"/>
  <c r="E173" i="113"/>
  <c r="S172" i="113"/>
  <c r="R172" i="113"/>
  <c r="Q172" i="113"/>
  <c r="P172" i="113"/>
  <c r="O172" i="113"/>
  <c r="N172" i="113"/>
  <c r="M172" i="113"/>
  <c r="K172" i="113"/>
  <c r="J172" i="113"/>
  <c r="I172" i="113"/>
  <c r="E172" i="113"/>
  <c r="S171" i="113"/>
  <c r="R171" i="113"/>
  <c r="Q171" i="113"/>
  <c r="P171" i="113"/>
  <c r="O171" i="113"/>
  <c r="N171" i="113"/>
  <c r="M171" i="113"/>
  <c r="K171" i="113"/>
  <c r="J171" i="113"/>
  <c r="I171" i="113"/>
  <c r="E171" i="113"/>
  <c r="S170" i="113"/>
  <c r="R170" i="113"/>
  <c r="Q170" i="113"/>
  <c r="P170" i="113"/>
  <c r="O170" i="113"/>
  <c r="N170" i="113"/>
  <c r="M170" i="113"/>
  <c r="K170" i="113"/>
  <c r="J170" i="113"/>
  <c r="I170" i="113"/>
  <c r="E170" i="113"/>
  <c r="S169" i="113"/>
  <c r="R169" i="113"/>
  <c r="Q169" i="113"/>
  <c r="P169" i="113"/>
  <c r="O169" i="113"/>
  <c r="N169" i="113"/>
  <c r="M169" i="113"/>
  <c r="K169" i="113"/>
  <c r="J169" i="113"/>
  <c r="I169" i="113"/>
  <c r="E169" i="113"/>
  <c r="S168" i="113"/>
  <c r="R168" i="113"/>
  <c r="Q168" i="113"/>
  <c r="P168" i="113"/>
  <c r="O168" i="113"/>
  <c r="N168" i="113"/>
  <c r="M168" i="113"/>
  <c r="K168" i="113"/>
  <c r="J168" i="113"/>
  <c r="I168" i="113"/>
  <c r="E168" i="113"/>
  <c r="S167" i="113"/>
  <c r="R167" i="113"/>
  <c r="Q167" i="113"/>
  <c r="P167" i="113"/>
  <c r="O167" i="113"/>
  <c r="N167" i="113"/>
  <c r="M167" i="113"/>
  <c r="K167" i="113"/>
  <c r="J167" i="113"/>
  <c r="I167" i="113"/>
  <c r="E167" i="113"/>
  <c r="S166" i="113"/>
  <c r="R166" i="113"/>
  <c r="Q166" i="113"/>
  <c r="P166" i="113"/>
  <c r="O166" i="113"/>
  <c r="N166" i="113"/>
  <c r="M166" i="113"/>
  <c r="K166" i="113"/>
  <c r="J166" i="113"/>
  <c r="I166" i="113"/>
  <c r="E166" i="113"/>
  <c r="S165" i="113"/>
  <c r="R165" i="113"/>
  <c r="Q165" i="113"/>
  <c r="P165" i="113"/>
  <c r="O165" i="113"/>
  <c r="N165" i="113"/>
  <c r="M165" i="113"/>
  <c r="K165" i="113"/>
  <c r="J165" i="113"/>
  <c r="I165" i="113"/>
  <c r="E165" i="113"/>
  <c r="S164" i="113"/>
  <c r="R164" i="113"/>
  <c r="Q164" i="113"/>
  <c r="P164" i="113"/>
  <c r="O164" i="113"/>
  <c r="N164" i="113"/>
  <c r="M164" i="113"/>
  <c r="K164" i="113"/>
  <c r="J164" i="113"/>
  <c r="I164" i="113"/>
  <c r="E164" i="113"/>
  <c r="S163" i="113"/>
  <c r="R163" i="113"/>
  <c r="Q163" i="113"/>
  <c r="P163" i="113"/>
  <c r="O163" i="113"/>
  <c r="N163" i="113"/>
  <c r="M163" i="113"/>
  <c r="K163" i="113"/>
  <c r="J163" i="113"/>
  <c r="I163" i="113"/>
  <c r="E163" i="113"/>
  <c r="S162" i="113"/>
  <c r="R162" i="113"/>
  <c r="Q162" i="113"/>
  <c r="P162" i="113"/>
  <c r="O162" i="113"/>
  <c r="N162" i="113"/>
  <c r="M162" i="113"/>
  <c r="K162" i="113"/>
  <c r="J162" i="113"/>
  <c r="I162" i="113"/>
  <c r="E162" i="113"/>
  <c r="S161" i="113"/>
  <c r="R161" i="113"/>
  <c r="Q161" i="113"/>
  <c r="P161" i="113"/>
  <c r="O161" i="113"/>
  <c r="N161" i="113"/>
  <c r="M161" i="113"/>
  <c r="K161" i="113"/>
  <c r="J161" i="113"/>
  <c r="I161" i="113"/>
  <c r="E161" i="113"/>
  <c r="S160" i="113"/>
  <c r="R160" i="113"/>
  <c r="Q160" i="113"/>
  <c r="P160" i="113"/>
  <c r="O160" i="113"/>
  <c r="N160" i="113"/>
  <c r="M160" i="113"/>
  <c r="K160" i="113"/>
  <c r="J160" i="113"/>
  <c r="I160" i="113"/>
  <c r="E160" i="113"/>
  <c r="S159" i="113"/>
  <c r="R159" i="113"/>
  <c r="Q159" i="113"/>
  <c r="P159" i="113"/>
  <c r="O159" i="113"/>
  <c r="N159" i="113"/>
  <c r="M159" i="113"/>
  <c r="K159" i="113"/>
  <c r="J159" i="113"/>
  <c r="I159" i="113"/>
  <c r="E159" i="113"/>
  <c r="S158" i="113"/>
  <c r="R158" i="113"/>
  <c r="Q158" i="113"/>
  <c r="P158" i="113"/>
  <c r="O158" i="113"/>
  <c r="N158" i="113"/>
  <c r="M158" i="113"/>
  <c r="K158" i="113"/>
  <c r="J158" i="113"/>
  <c r="I158" i="113"/>
  <c r="E158" i="113"/>
  <c r="S157" i="113"/>
  <c r="R157" i="113"/>
  <c r="Q157" i="113"/>
  <c r="P157" i="113"/>
  <c r="O157" i="113"/>
  <c r="N157" i="113"/>
  <c r="M157" i="113"/>
  <c r="K157" i="113"/>
  <c r="J157" i="113"/>
  <c r="I157" i="113"/>
  <c r="E157" i="113"/>
  <c r="S156" i="113"/>
  <c r="R156" i="113"/>
  <c r="Q156" i="113"/>
  <c r="P156" i="113"/>
  <c r="O156" i="113"/>
  <c r="N156" i="113"/>
  <c r="M156" i="113"/>
  <c r="K156" i="113"/>
  <c r="J156" i="113"/>
  <c r="I156" i="113"/>
  <c r="E156" i="113"/>
  <c r="S155" i="113"/>
  <c r="R155" i="113"/>
  <c r="Q155" i="113"/>
  <c r="P155" i="113"/>
  <c r="O155" i="113"/>
  <c r="N155" i="113"/>
  <c r="M155" i="113"/>
  <c r="K155" i="113"/>
  <c r="J155" i="113"/>
  <c r="I155" i="113"/>
  <c r="E155" i="113"/>
  <c r="S154" i="113"/>
  <c r="R154" i="113"/>
  <c r="Q154" i="113"/>
  <c r="P154" i="113"/>
  <c r="O154" i="113"/>
  <c r="N154" i="113"/>
  <c r="M154" i="113"/>
  <c r="K154" i="113"/>
  <c r="J154" i="113"/>
  <c r="I154" i="113"/>
  <c r="E154" i="113"/>
  <c r="S153" i="113"/>
  <c r="R153" i="113"/>
  <c r="Q153" i="113"/>
  <c r="P153" i="113"/>
  <c r="O153" i="113"/>
  <c r="N153" i="113"/>
  <c r="M153" i="113"/>
  <c r="K153" i="113"/>
  <c r="J153" i="113"/>
  <c r="I153" i="113"/>
  <c r="E153" i="113"/>
  <c r="S152" i="113"/>
  <c r="R152" i="113"/>
  <c r="Q152" i="113"/>
  <c r="P152" i="113"/>
  <c r="O152" i="113"/>
  <c r="N152" i="113"/>
  <c r="M152" i="113"/>
  <c r="K152" i="113"/>
  <c r="J152" i="113"/>
  <c r="I152" i="113"/>
  <c r="E152" i="113"/>
  <c r="S151" i="113"/>
  <c r="R151" i="113"/>
  <c r="Q151" i="113"/>
  <c r="P151" i="113"/>
  <c r="O151" i="113"/>
  <c r="N151" i="113"/>
  <c r="M151" i="113"/>
  <c r="K151" i="113"/>
  <c r="J151" i="113"/>
  <c r="I151" i="113"/>
  <c r="E151" i="113"/>
  <c r="S150" i="113"/>
  <c r="R150" i="113"/>
  <c r="Q150" i="113"/>
  <c r="P150" i="113"/>
  <c r="O150" i="113"/>
  <c r="N150" i="113"/>
  <c r="M150" i="113"/>
  <c r="K150" i="113"/>
  <c r="J150" i="113"/>
  <c r="I150" i="113"/>
  <c r="E150" i="113"/>
  <c r="S149" i="113"/>
  <c r="R149" i="113"/>
  <c r="Q149" i="113"/>
  <c r="P149" i="113"/>
  <c r="O149" i="113"/>
  <c r="N149" i="113"/>
  <c r="M149" i="113"/>
  <c r="K149" i="113"/>
  <c r="J149" i="113"/>
  <c r="I149" i="113"/>
  <c r="E149" i="113"/>
  <c r="S148" i="113"/>
  <c r="R148" i="113"/>
  <c r="Q148" i="113"/>
  <c r="P148" i="113"/>
  <c r="O148" i="113"/>
  <c r="N148" i="113"/>
  <c r="M148" i="113"/>
  <c r="K148" i="113"/>
  <c r="J148" i="113"/>
  <c r="I148" i="113"/>
  <c r="E148" i="113"/>
  <c r="S147" i="113"/>
  <c r="R147" i="113"/>
  <c r="Q147" i="113"/>
  <c r="P147" i="113"/>
  <c r="O147" i="113"/>
  <c r="N147" i="113"/>
  <c r="M147" i="113"/>
  <c r="K147" i="113"/>
  <c r="J147" i="113"/>
  <c r="I147" i="113"/>
  <c r="E147" i="113"/>
  <c r="S146" i="113"/>
  <c r="R146" i="113"/>
  <c r="Q146" i="113"/>
  <c r="P146" i="113"/>
  <c r="O146" i="113"/>
  <c r="N146" i="113"/>
  <c r="M146" i="113"/>
  <c r="K146" i="113"/>
  <c r="J146" i="113"/>
  <c r="I146" i="113"/>
  <c r="E146" i="113"/>
  <c r="S145" i="113"/>
  <c r="R145" i="113"/>
  <c r="Q145" i="113"/>
  <c r="P145" i="113"/>
  <c r="O145" i="113"/>
  <c r="N145" i="113"/>
  <c r="M145" i="113"/>
  <c r="K145" i="113"/>
  <c r="J145" i="113"/>
  <c r="I145" i="113"/>
  <c r="E145" i="113"/>
  <c r="S144" i="113"/>
  <c r="R144" i="113"/>
  <c r="Q144" i="113"/>
  <c r="P144" i="113"/>
  <c r="O144" i="113"/>
  <c r="N144" i="113"/>
  <c r="M144" i="113"/>
  <c r="K144" i="113"/>
  <c r="J144" i="113"/>
  <c r="I144" i="113"/>
  <c r="E144" i="113"/>
  <c r="S143" i="113"/>
  <c r="R143" i="113"/>
  <c r="Q143" i="113"/>
  <c r="P143" i="113"/>
  <c r="O143" i="113"/>
  <c r="N143" i="113"/>
  <c r="M143" i="113"/>
  <c r="K143" i="113"/>
  <c r="J143" i="113"/>
  <c r="I143" i="113"/>
  <c r="E143" i="113"/>
  <c r="S142" i="113"/>
  <c r="R142" i="113"/>
  <c r="Q142" i="113"/>
  <c r="P142" i="113"/>
  <c r="O142" i="113"/>
  <c r="N142" i="113"/>
  <c r="M142" i="113"/>
  <c r="K142" i="113"/>
  <c r="J142" i="113"/>
  <c r="I142" i="113"/>
  <c r="E142" i="113"/>
  <c r="S141" i="113"/>
  <c r="R141" i="113"/>
  <c r="Q141" i="113"/>
  <c r="P141" i="113"/>
  <c r="O141" i="113"/>
  <c r="N141" i="113"/>
  <c r="M141" i="113"/>
  <c r="K141" i="113"/>
  <c r="J141" i="113"/>
  <c r="I141" i="113"/>
  <c r="E141" i="113"/>
  <c r="S140" i="113"/>
  <c r="R140" i="113"/>
  <c r="Q140" i="113"/>
  <c r="P140" i="113"/>
  <c r="O140" i="113"/>
  <c r="N140" i="113"/>
  <c r="M140" i="113"/>
  <c r="K140" i="113"/>
  <c r="J140" i="113"/>
  <c r="I140" i="113"/>
  <c r="E140" i="113"/>
  <c r="S139" i="113"/>
  <c r="R139" i="113"/>
  <c r="Q139" i="113"/>
  <c r="P139" i="113"/>
  <c r="O139" i="113"/>
  <c r="N139" i="113"/>
  <c r="M139" i="113"/>
  <c r="K139" i="113"/>
  <c r="J139" i="113"/>
  <c r="I139" i="113"/>
  <c r="E139" i="113"/>
  <c r="S138" i="113"/>
  <c r="R138" i="113"/>
  <c r="Q138" i="113"/>
  <c r="P138" i="113"/>
  <c r="O138" i="113"/>
  <c r="N138" i="113"/>
  <c r="M138" i="113"/>
  <c r="K138" i="113"/>
  <c r="J138" i="113"/>
  <c r="I138" i="113"/>
  <c r="E138" i="113"/>
  <c r="S137" i="113"/>
  <c r="R137" i="113"/>
  <c r="Q137" i="113"/>
  <c r="P137" i="113"/>
  <c r="O137" i="113"/>
  <c r="N137" i="113"/>
  <c r="M137" i="113"/>
  <c r="K137" i="113"/>
  <c r="J137" i="113"/>
  <c r="I137" i="113"/>
  <c r="E137" i="113"/>
  <c r="S136" i="113"/>
  <c r="R136" i="113"/>
  <c r="Q136" i="113"/>
  <c r="P136" i="113"/>
  <c r="O136" i="113"/>
  <c r="N136" i="113"/>
  <c r="M136" i="113"/>
  <c r="K136" i="113"/>
  <c r="J136" i="113"/>
  <c r="I136" i="113"/>
  <c r="E136" i="113"/>
  <c r="S135" i="113"/>
  <c r="R135" i="113"/>
  <c r="Q135" i="113"/>
  <c r="P135" i="113"/>
  <c r="O135" i="113"/>
  <c r="N135" i="113"/>
  <c r="M135" i="113"/>
  <c r="K135" i="113"/>
  <c r="J135" i="113"/>
  <c r="I135" i="113"/>
  <c r="E135" i="113"/>
  <c r="S134" i="113"/>
  <c r="R134" i="113"/>
  <c r="Q134" i="113"/>
  <c r="P134" i="113"/>
  <c r="O134" i="113"/>
  <c r="N134" i="113"/>
  <c r="M134" i="113"/>
  <c r="K134" i="113"/>
  <c r="J134" i="113"/>
  <c r="I134" i="113"/>
  <c r="E134" i="113"/>
  <c r="S133" i="113"/>
  <c r="R133" i="113"/>
  <c r="Q133" i="113"/>
  <c r="P133" i="113"/>
  <c r="O133" i="113"/>
  <c r="N133" i="113"/>
  <c r="M133" i="113"/>
  <c r="K133" i="113"/>
  <c r="J133" i="113"/>
  <c r="I133" i="113"/>
  <c r="E133" i="113"/>
  <c r="S132" i="113"/>
  <c r="R132" i="113"/>
  <c r="Q132" i="113"/>
  <c r="P132" i="113"/>
  <c r="O132" i="113"/>
  <c r="N132" i="113"/>
  <c r="M132" i="113"/>
  <c r="K132" i="113"/>
  <c r="J132" i="113"/>
  <c r="I132" i="113"/>
  <c r="E132" i="113"/>
  <c r="S131" i="113"/>
  <c r="R131" i="113"/>
  <c r="Q131" i="113"/>
  <c r="P131" i="113"/>
  <c r="O131" i="113"/>
  <c r="N131" i="113"/>
  <c r="M131" i="113"/>
  <c r="K131" i="113"/>
  <c r="J131" i="113"/>
  <c r="I131" i="113"/>
  <c r="E131" i="113"/>
  <c r="S130" i="113"/>
  <c r="R130" i="113"/>
  <c r="Q130" i="113"/>
  <c r="P130" i="113"/>
  <c r="O130" i="113"/>
  <c r="N130" i="113"/>
  <c r="M130" i="113"/>
  <c r="K130" i="113"/>
  <c r="J130" i="113"/>
  <c r="I130" i="113"/>
  <c r="E130" i="113"/>
  <c r="S129" i="113"/>
  <c r="R129" i="113"/>
  <c r="Q129" i="113"/>
  <c r="P129" i="113"/>
  <c r="O129" i="113"/>
  <c r="N129" i="113"/>
  <c r="M129" i="113"/>
  <c r="K129" i="113"/>
  <c r="J129" i="113"/>
  <c r="I129" i="113"/>
  <c r="E129" i="113"/>
  <c r="S128" i="113"/>
  <c r="R128" i="113"/>
  <c r="Q128" i="113"/>
  <c r="P128" i="113"/>
  <c r="O128" i="113"/>
  <c r="N128" i="113"/>
  <c r="M128" i="113"/>
  <c r="K128" i="113"/>
  <c r="J128" i="113"/>
  <c r="I128" i="113"/>
  <c r="E128" i="113"/>
  <c r="S127" i="113"/>
  <c r="R127" i="113"/>
  <c r="Q127" i="113"/>
  <c r="P127" i="113"/>
  <c r="O127" i="113"/>
  <c r="N127" i="113"/>
  <c r="M127" i="113"/>
  <c r="K127" i="113"/>
  <c r="J127" i="113"/>
  <c r="I127" i="113"/>
  <c r="E127" i="113"/>
  <c r="S126" i="113"/>
  <c r="R126" i="113"/>
  <c r="Q126" i="113"/>
  <c r="P126" i="113"/>
  <c r="O126" i="113"/>
  <c r="N126" i="113"/>
  <c r="M126" i="113"/>
  <c r="K126" i="113"/>
  <c r="J126" i="113"/>
  <c r="I126" i="113"/>
  <c r="E126" i="113"/>
  <c r="S125" i="113"/>
  <c r="R125" i="113"/>
  <c r="Q125" i="113"/>
  <c r="P125" i="113"/>
  <c r="O125" i="113"/>
  <c r="N125" i="113"/>
  <c r="M125" i="113"/>
  <c r="K125" i="113"/>
  <c r="J125" i="113"/>
  <c r="I125" i="113"/>
  <c r="E125" i="113"/>
  <c r="S124" i="113"/>
  <c r="R124" i="113"/>
  <c r="Q124" i="113"/>
  <c r="P124" i="113"/>
  <c r="O124" i="113"/>
  <c r="N124" i="113"/>
  <c r="M124" i="113"/>
  <c r="K124" i="113"/>
  <c r="J124" i="113"/>
  <c r="I124" i="113"/>
  <c r="E124" i="113"/>
  <c r="S123" i="113"/>
  <c r="R123" i="113"/>
  <c r="Q123" i="113"/>
  <c r="P123" i="113"/>
  <c r="O123" i="113"/>
  <c r="N123" i="113"/>
  <c r="M123" i="113"/>
  <c r="K123" i="113"/>
  <c r="J123" i="113"/>
  <c r="I123" i="113"/>
  <c r="E123" i="113"/>
  <c r="S122" i="113"/>
  <c r="R122" i="113"/>
  <c r="Q122" i="113"/>
  <c r="P122" i="113"/>
  <c r="O122" i="113"/>
  <c r="N122" i="113"/>
  <c r="M122" i="113"/>
  <c r="K122" i="113"/>
  <c r="J122" i="113"/>
  <c r="I122" i="113"/>
  <c r="E122" i="113"/>
  <c r="S121" i="113"/>
  <c r="R121" i="113"/>
  <c r="Q121" i="113"/>
  <c r="P121" i="113"/>
  <c r="O121" i="113"/>
  <c r="N121" i="113"/>
  <c r="M121" i="113"/>
  <c r="K121" i="113"/>
  <c r="J121" i="113"/>
  <c r="I121" i="113"/>
  <c r="E121" i="113"/>
  <c r="S120" i="113"/>
  <c r="R120" i="113"/>
  <c r="Q120" i="113"/>
  <c r="P120" i="113"/>
  <c r="O120" i="113"/>
  <c r="N120" i="113"/>
  <c r="M120" i="113"/>
  <c r="K120" i="113"/>
  <c r="J120" i="113"/>
  <c r="I120" i="113"/>
  <c r="E120" i="113"/>
  <c r="S119" i="113"/>
  <c r="R119" i="113"/>
  <c r="Q119" i="113"/>
  <c r="P119" i="113"/>
  <c r="O119" i="113"/>
  <c r="N119" i="113"/>
  <c r="M119" i="113"/>
  <c r="K119" i="113"/>
  <c r="J119" i="113"/>
  <c r="I119" i="113"/>
  <c r="E119" i="113"/>
  <c r="S118" i="113"/>
  <c r="R118" i="113"/>
  <c r="Q118" i="113"/>
  <c r="P118" i="113"/>
  <c r="O118" i="113"/>
  <c r="N118" i="113"/>
  <c r="M118" i="113"/>
  <c r="K118" i="113"/>
  <c r="J118" i="113"/>
  <c r="I118" i="113"/>
  <c r="E118" i="113"/>
  <c r="S117" i="113"/>
  <c r="R117" i="113"/>
  <c r="Q117" i="113"/>
  <c r="P117" i="113"/>
  <c r="O117" i="113"/>
  <c r="N117" i="113"/>
  <c r="M117" i="113"/>
  <c r="K117" i="113"/>
  <c r="J117" i="113"/>
  <c r="I117" i="113"/>
  <c r="E117" i="113"/>
  <c r="S116" i="113"/>
  <c r="R116" i="113"/>
  <c r="Q116" i="113"/>
  <c r="P116" i="113"/>
  <c r="O116" i="113"/>
  <c r="N116" i="113"/>
  <c r="M116" i="113"/>
  <c r="K116" i="113"/>
  <c r="J116" i="113"/>
  <c r="I116" i="113"/>
  <c r="E116" i="113"/>
  <c r="S115" i="113"/>
  <c r="R115" i="113"/>
  <c r="Q115" i="113"/>
  <c r="P115" i="113"/>
  <c r="O115" i="113"/>
  <c r="N115" i="113"/>
  <c r="M115" i="113"/>
  <c r="K115" i="113"/>
  <c r="J115" i="113"/>
  <c r="I115" i="113"/>
  <c r="E115" i="113"/>
  <c r="S114" i="113"/>
  <c r="R114" i="113"/>
  <c r="Q114" i="113"/>
  <c r="P114" i="113"/>
  <c r="O114" i="113"/>
  <c r="N114" i="113"/>
  <c r="M114" i="113"/>
  <c r="K114" i="113"/>
  <c r="J114" i="113"/>
  <c r="I114" i="113"/>
  <c r="E114" i="113"/>
  <c r="S113" i="113"/>
  <c r="R113" i="113"/>
  <c r="Q113" i="113"/>
  <c r="P113" i="113"/>
  <c r="O113" i="113"/>
  <c r="N113" i="113"/>
  <c r="M113" i="113"/>
  <c r="K113" i="113"/>
  <c r="J113" i="113"/>
  <c r="I113" i="113"/>
  <c r="E113" i="113"/>
  <c r="S112" i="113"/>
  <c r="R112" i="113"/>
  <c r="Q112" i="113"/>
  <c r="P112" i="113"/>
  <c r="O112" i="113"/>
  <c r="N112" i="113"/>
  <c r="M112" i="113"/>
  <c r="K112" i="113"/>
  <c r="J112" i="113"/>
  <c r="I112" i="113"/>
  <c r="E112" i="113"/>
  <c r="S111" i="113"/>
  <c r="R111" i="113"/>
  <c r="Q111" i="113"/>
  <c r="P111" i="113"/>
  <c r="O111" i="113"/>
  <c r="N111" i="113"/>
  <c r="M111" i="113"/>
  <c r="K111" i="113"/>
  <c r="J111" i="113"/>
  <c r="I111" i="113"/>
  <c r="E111" i="113"/>
  <c r="S110" i="113"/>
  <c r="R110" i="113"/>
  <c r="Q110" i="113"/>
  <c r="P110" i="113"/>
  <c r="O110" i="113"/>
  <c r="N110" i="113"/>
  <c r="M110" i="113"/>
  <c r="K110" i="113"/>
  <c r="J110" i="113"/>
  <c r="I110" i="113"/>
  <c r="E110" i="113"/>
  <c r="S109" i="113"/>
  <c r="R109" i="113"/>
  <c r="Q109" i="113"/>
  <c r="P109" i="113"/>
  <c r="O109" i="113"/>
  <c r="N109" i="113"/>
  <c r="M109" i="113"/>
  <c r="K109" i="113"/>
  <c r="J109" i="113"/>
  <c r="I109" i="113"/>
  <c r="E109" i="113"/>
  <c r="S108" i="113"/>
  <c r="R108" i="113"/>
  <c r="Q108" i="113"/>
  <c r="P108" i="113"/>
  <c r="O108" i="113"/>
  <c r="N108" i="113"/>
  <c r="M108" i="113"/>
  <c r="K108" i="113"/>
  <c r="J108" i="113"/>
  <c r="I108" i="113"/>
  <c r="E108" i="113"/>
  <c r="S107" i="113"/>
  <c r="R107" i="113"/>
  <c r="Q107" i="113"/>
  <c r="P107" i="113"/>
  <c r="O107" i="113"/>
  <c r="N107" i="113"/>
  <c r="M107" i="113"/>
  <c r="K107" i="113"/>
  <c r="J107" i="113"/>
  <c r="I107" i="113"/>
  <c r="E107" i="113"/>
  <c r="S106" i="113"/>
  <c r="R106" i="113"/>
  <c r="Q106" i="113"/>
  <c r="P106" i="113"/>
  <c r="O106" i="113"/>
  <c r="N106" i="113"/>
  <c r="M106" i="113"/>
  <c r="K106" i="113"/>
  <c r="J106" i="113"/>
  <c r="I106" i="113"/>
  <c r="E106" i="113"/>
  <c r="S105" i="113"/>
  <c r="R105" i="113"/>
  <c r="Q105" i="113"/>
  <c r="P105" i="113"/>
  <c r="O105" i="113"/>
  <c r="N105" i="113"/>
  <c r="M105" i="113"/>
  <c r="K105" i="113"/>
  <c r="J105" i="113"/>
  <c r="I105" i="113"/>
  <c r="E105" i="113"/>
  <c r="S104" i="113"/>
  <c r="R104" i="113"/>
  <c r="Q104" i="113"/>
  <c r="P104" i="113"/>
  <c r="O104" i="113"/>
  <c r="N104" i="113"/>
  <c r="M104" i="113"/>
  <c r="K104" i="113"/>
  <c r="J104" i="113"/>
  <c r="I104" i="113"/>
  <c r="E104" i="113"/>
  <c r="S103" i="113"/>
  <c r="R103" i="113"/>
  <c r="Q103" i="113"/>
  <c r="P103" i="113"/>
  <c r="O103" i="113"/>
  <c r="N103" i="113"/>
  <c r="M103" i="113"/>
  <c r="K103" i="113"/>
  <c r="J103" i="113"/>
  <c r="I103" i="113"/>
  <c r="E103" i="113"/>
  <c r="S102" i="113"/>
  <c r="R102" i="113"/>
  <c r="Q102" i="113"/>
  <c r="P102" i="113"/>
  <c r="O102" i="113"/>
  <c r="N102" i="113"/>
  <c r="M102" i="113"/>
  <c r="K102" i="113"/>
  <c r="J102" i="113"/>
  <c r="I102" i="113"/>
  <c r="E102" i="113"/>
  <c r="S101" i="113"/>
  <c r="R101" i="113"/>
  <c r="Q101" i="113"/>
  <c r="P101" i="113"/>
  <c r="O101" i="113"/>
  <c r="N101" i="113"/>
  <c r="M101" i="113"/>
  <c r="K101" i="113"/>
  <c r="J101" i="113"/>
  <c r="I101" i="113"/>
  <c r="E101" i="113"/>
  <c r="S100" i="113"/>
  <c r="R100" i="113"/>
  <c r="Q100" i="113"/>
  <c r="P100" i="113"/>
  <c r="O100" i="113"/>
  <c r="N100" i="113"/>
  <c r="M100" i="113"/>
  <c r="K100" i="113"/>
  <c r="J100" i="113"/>
  <c r="I100" i="113"/>
  <c r="E100" i="113"/>
  <c r="S99" i="113"/>
  <c r="R99" i="113"/>
  <c r="Q99" i="113"/>
  <c r="P99" i="113"/>
  <c r="O99" i="113"/>
  <c r="N99" i="113"/>
  <c r="M99" i="113"/>
  <c r="K99" i="113"/>
  <c r="J99" i="113"/>
  <c r="I99" i="113"/>
  <c r="E99" i="113"/>
  <c r="S98" i="113"/>
  <c r="R98" i="113"/>
  <c r="Q98" i="113"/>
  <c r="P98" i="113"/>
  <c r="O98" i="113"/>
  <c r="N98" i="113"/>
  <c r="M98" i="113"/>
  <c r="K98" i="113"/>
  <c r="J98" i="113"/>
  <c r="I98" i="113"/>
  <c r="E98" i="113"/>
  <c r="S97" i="113"/>
  <c r="R97" i="113"/>
  <c r="Q97" i="113"/>
  <c r="P97" i="113"/>
  <c r="O97" i="113"/>
  <c r="N97" i="113"/>
  <c r="M97" i="113"/>
  <c r="K97" i="113"/>
  <c r="J97" i="113"/>
  <c r="I97" i="113"/>
  <c r="E97" i="113"/>
  <c r="S96" i="113"/>
  <c r="R96" i="113"/>
  <c r="Q96" i="113"/>
  <c r="P96" i="113"/>
  <c r="O96" i="113"/>
  <c r="N96" i="113"/>
  <c r="M96" i="113"/>
  <c r="K96" i="113"/>
  <c r="J96" i="113"/>
  <c r="I96" i="113"/>
  <c r="E96" i="113"/>
  <c r="S95" i="113"/>
  <c r="R95" i="113"/>
  <c r="Q95" i="113"/>
  <c r="P95" i="113"/>
  <c r="O95" i="113"/>
  <c r="N95" i="113"/>
  <c r="M95" i="113"/>
  <c r="K95" i="113"/>
  <c r="J95" i="113"/>
  <c r="I95" i="113"/>
  <c r="E95" i="113"/>
  <c r="S94" i="113"/>
  <c r="R94" i="113"/>
  <c r="Q94" i="113"/>
  <c r="P94" i="113"/>
  <c r="O94" i="113"/>
  <c r="N94" i="113"/>
  <c r="M94" i="113"/>
  <c r="K94" i="113"/>
  <c r="J94" i="113"/>
  <c r="I94" i="113"/>
  <c r="E94" i="113"/>
  <c r="S93" i="113"/>
  <c r="R93" i="113"/>
  <c r="Q93" i="113"/>
  <c r="P93" i="113"/>
  <c r="O93" i="113"/>
  <c r="N93" i="113"/>
  <c r="M93" i="113"/>
  <c r="K93" i="113"/>
  <c r="J93" i="113"/>
  <c r="I93" i="113"/>
  <c r="E93" i="113"/>
  <c r="S92" i="113"/>
  <c r="R92" i="113"/>
  <c r="Q92" i="113"/>
  <c r="P92" i="113"/>
  <c r="O92" i="113"/>
  <c r="N92" i="113"/>
  <c r="M92" i="113"/>
  <c r="K92" i="113"/>
  <c r="J92" i="113"/>
  <c r="I92" i="113"/>
  <c r="E92" i="113"/>
  <c r="S91" i="113"/>
  <c r="R91" i="113"/>
  <c r="Q91" i="113"/>
  <c r="P91" i="113"/>
  <c r="O91" i="113"/>
  <c r="N91" i="113"/>
  <c r="M91" i="113"/>
  <c r="K91" i="113"/>
  <c r="J91" i="113"/>
  <c r="I91" i="113"/>
  <c r="E91" i="113"/>
  <c r="S90" i="113"/>
  <c r="R90" i="113"/>
  <c r="Q90" i="113"/>
  <c r="P90" i="113"/>
  <c r="O90" i="113"/>
  <c r="N90" i="113"/>
  <c r="M90" i="113"/>
  <c r="K90" i="113"/>
  <c r="J90" i="113"/>
  <c r="I90" i="113"/>
  <c r="E90" i="113"/>
  <c r="S89" i="113"/>
  <c r="R89" i="113"/>
  <c r="Q89" i="113"/>
  <c r="P89" i="113"/>
  <c r="O89" i="113"/>
  <c r="N89" i="113"/>
  <c r="M89" i="113"/>
  <c r="K89" i="113"/>
  <c r="J89" i="113"/>
  <c r="I89" i="113"/>
  <c r="E89" i="113"/>
  <c r="S88" i="113"/>
  <c r="R88" i="113"/>
  <c r="Q88" i="113"/>
  <c r="P88" i="113"/>
  <c r="O88" i="113"/>
  <c r="N88" i="113"/>
  <c r="M88" i="113"/>
  <c r="K88" i="113"/>
  <c r="J88" i="113"/>
  <c r="I88" i="113"/>
  <c r="E88" i="113"/>
  <c r="S87" i="113"/>
  <c r="R87" i="113"/>
  <c r="Q87" i="113"/>
  <c r="P87" i="113"/>
  <c r="O87" i="113"/>
  <c r="N87" i="113"/>
  <c r="M87" i="113"/>
  <c r="K87" i="113"/>
  <c r="J87" i="113"/>
  <c r="I87" i="113"/>
  <c r="E87" i="113"/>
  <c r="S86" i="113"/>
  <c r="R86" i="113"/>
  <c r="Q86" i="113"/>
  <c r="P86" i="113"/>
  <c r="O86" i="113"/>
  <c r="N86" i="113"/>
  <c r="M86" i="113"/>
  <c r="K86" i="113"/>
  <c r="J86" i="113"/>
  <c r="I86" i="113"/>
  <c r="E86" i="113"/>
  <c r="S85" i="113"/>
  <c r="R85" i="113"/>
  <c r="Q85" i="113"/>
  <c r="P85" i="113"/>
  <c r="O85" i="113"/>
  <c r="N85" i="113"/>
  <c r="M85" i="113"/>
  <c r="K85" i="113"/>
  <c r="J85" i="113"/>
  <c r="I85" i="113"/>
  <c r="E85" i="113"/>
  <c r="S84" i="113"/>
  <c r="R84" i="113"/>
  <c r="Q84" i="113"/>
  <c r="P84" i="113"/>
  <c r="O84" i="113"/>
  <c r="N84" i="113"/>
  <c r="M84" i="113"/>
  <c r="K84" i="113"/>
  <c r="J84" i="113"/>
  <c r="I84" i="113"/>
  <c r="E84" i="113"/>
  <c r="S83" i="113"/>
  <c r="R83" i="113"/>
  <c r="Q83" i="113"/>
  <c r="P83" i="113"/>
  <c r="O83" i="113"/>
  <c r="N83" i="113"/>
  <c r="M83" i="113"/>
  <c r="K83" i="113"/>
  <c r="J83" i="113"/>
  <c r="I83" i="113"/>
  <c r="E83" i="113"/>
  <c r="S82" i="113"/>
  <c r="R82" i="113"/>
  <c r="Q82" i="113"/>
  <c r="P82" i="113"/>
  <c r="O82" i="113"/>
  <c r="N82" i="113"/>
  <c r="M82" i="113"/>
  <c r="K82" i="113"/>
  <c r="J82" i="113"/>
  <c r="I82" i="113"/>
  <c r="E82" i="113"/>
  <c r="S81" i="113"/>
  <c r="R81" i="113"/>
  <c r="Q81" i="113"/>
  <c r="P81" i="113"/>
  <c r="O81" i="113"/>
  <c r="N81" i="113"/>
  <c r="M81" i="113"/>
  <c r="K81" i="113"/>
  <c r="J81" i="113"/>
  <c r="I81" i="113"/>
  <c r="E81" i="113"/>
  <c r="S80" i="113"/>
  <c r="R80" i="113"/>
  <c r="Q80" i="113"/>
  <c r="P80" i="113"/>
  <c r="O80" i="113"/>
  <c r="N80" i="113"/>
  <c r="M80" i="113"/>
  <c r="K80" i="113"/>
  <c r="J80" i="113"/>
  <c r="I80" i="113"/>
  <c r="E80" i="113"/>
  <c r="S79" i="113"/>
  <c r="R79" i="113"/>
  <c r="Q79" i="113"/>
  <c r="P79" i="113"/>
  <c r="O79" i="113"/>
  <c r="N79" i="113"/>
  <c r="M79" i="113"/>
  <c r="K79" i="113"/>
  <c r="J79" i="113"/>
  <c r="I79" i="113"/>
  <c r="E79" i="113"/>
  <c r="S78" i="113"/>
  <c r="R78" i="113"/>
  <c r="Q78" i="113"/>
  <c r="P78" i="113"/>
  <c r="O78" i="113"/>
  <c r="N78" i="113"/>
  <c r="M78" i="113"/>
  <c r="K78" i="113"/>
  <c r="J78" i="113"/>
  <c r="I78" i="113"/>
  <c r="E78" i="113"/>
  <c r="S77" i="113"/>
  <c r="R77" i="113"/>
  <c r="Q77" i="113"/>
  <c r="P77" i="113"/>
  <c r="O77" i="113"/>
  <c r="N77" i="113"/>
  <c r="M77" i="113"/>
  <c r="K77" i="113"/>
  <c r="J77" i="113"/>
  <c r="I77" i="113"/>
  <c r="E77" i="113"/>
  <c r="S76" i="113"/>
  <c r="R76" i="113"/>
  <c r="Q76" i="113"/>
  <c r="P76" i="113"/>
  <c r="O76" i="113"/>
  <c r="N76" i="113"/>
  <c r="M76" i="113"/>
  <c r="K76" i="113"/>
  <c r="J76" i="113"/>
  <c r="I76" i="113"/>
  <c r="E76" i="113"/>
  <c r="S75" i="113"/>
  <c r="R75" i="113"/>
  <c r="Q75" i="113"/>
  <c r="P75" i="113"/>
  <c r="O75" i="113"/>
  <c r="N75" i="113"/>
  <c r="M75" i="113"/>
  <c r="K75" i="113"/>
  <c r="J75" i="113"/>
  <c r="I75" i="113"/>
  <c r="E75" i="113"/>
  <c r="S74" i="113"/>
  <c r="R74" i="113"/>
  <c r="Q74" i="113"/>
  <c r="P74" i="113"/>
  <c r="O74" i="113"/>
  <c r="N74" i="113"/>
  <c r="M74" i="113"/>
  <c r="K74" i="113"/>
  <c r="J74" i="113"/>
  <c r="I74" i="113"/>
  <c r="E74" i="113"/>
  <c r="S73" i="113"/>
  <c r="R73" i="113"/>
  <c r="Q73" i="113"/>
  <c r="P73" i="113"/>
  <c r="O73" i="113"/>
  <c r="N73" i="113"/>
  <c r="M73" i="113"/>
  <c r="K73" i="113"/>
  <c r="J73" i="113"/>
  <c r="I73" i="113"/>
  <c r="E73" i="113"/>
  <c r="S72" i="113"/>
  <c r="R72" i="113"/>
  <c r="Q72" i="113"/>
  <c r="P72" i="113"/>
  <c r="O72" i="113"/>
  <c r="N72" i="113"/>
  <c r="M72" i="113"/>
  <c r="K72" i="113"/>
  <c r="J72" i="113"/>
  <c r="I72" i="113"/>
  <c r="E72" i="113"/>
  <c r="S71" i="113"/>
  <c r="R71" i="113"/>
  <c r="Q71" i="113"/>
  <c r="P71" i="113"/>
  <c r="O71" i="113"/>
  <c r="N71" i="113"/>
  <c r="M71" i="113"/>
  <c r="K71" i="113"/>
  <c r="J71" i="113"/>
  <c r="I71" i="113"/>
  <c r="E71" i="113"/>
  <c r="S70" i="113"/>
  <c r="R70" i="113"/>
  <c r="Q70" i="113"/>
  <c r="P70" i="113"/>
  <c r="O70" i="113"/>
  <c r="N70" i="113"/>
  <c r="M70" i="113"/>
  <c r="K70" i="113"/>
  <c r="J70" i="113"/>
  <c r="I70" i="113"/>
  <c r="E70" i="113"/>
  <c r="S69" i="113"/>
  <c r="R69" i="113"/>
  <c r="Q69" i="113"/>
  <c r="P69" i="113"/>
  <c r="O69" i="113"/>
  <c r="N69" i="113"/>
  <c r="M69" i="113"/>
  <c r="K69" i="113"/>
  <c r="J69" i="113"/>
  <c r="I69" i="113"/>
  <c r="E69" i="113"/>
  <c r="S68" i="113"/>
  <c r="R68" i="113"/>
  <c r="Q68" i="113"/>
  <c r="P68" i="113"/>
  <c r="O68" i="113"/>
  <c r="N68" i="113"/>
  <c r="M68" i="113"/>
  <c r="K68" i="113"/>
  <c r="J68" i="113"/>
  <c r="I68" i="113"/>
  <c r="E68" i="113"/>
  <c r="S67" i="113"/>
  <c r="R67" i="113"/>
  <c r="Q67" i="113"/>
  <c r="P67" i="113"/>
  <c r="O67" i="113"/>
  <c r="N67" i="113"/>
  <c r="M67" i="113"/>
  <c r="K67" i="113"/>
  <c r="J67" i="113"/>
  <c r="I67" i="113"/>
  <c r="E67" i="113"/>
  <c r="S66" i="113"/>
  <c r="R66" i="113"/>
  <c r="Q66" i="113"/>
  <c r="P66" i="113"/>
  <c r="O66" i="113"/>
  <c r="N66" i="113"/>
  <c r="M66" i="113"/>
  <c r="K66" i="113"/>
  <c r="J66" i="113"/>
  <c r="I66" i="113"/>
  <c r="E66" i="113"/>
  <c r="S65" i="113"/>
  <c r="R65" i="113"/>
  <c r="Q65" i="113"/>
  <c r="P65" i="113"/>
  <c r="O65" i="113"/>
  <c r="N65" i="113"/>
  <c r="M65" i="113"/>
  <c r="K65" i="113"/>
  <c r="J65" i="113"/>
  <c r="I65" i="113"/>
  <c r="E65" i="113"/>
  <c r="S64" i="113"/>
  <c r="R64" i="113"/>
  <c r="Q64" i="113"/>
  <c r="P64" i="113"/>
  <c r="O64" i="113"/>
  <c r="N64" i="113"/>
  <c r="M64" i="113"/>
  <c r="K64" i="113"/>
  <c r="J64" i="113"/>
  <c r="I64" i="113"/>
  <c r="E64" i="113"/>
  <c r="S63" i="113"/>
  <c r="R63" i="113"/>
  <c r="Q63" i="113"/>
  <c r="P63" i="113"/>
  <c r="O63" i="113"/>
  <c r="N63" i="113"/>
  <c r="M63" i="113"/>
  <c r="K63" i="113"/>
  <c r="J63" i="113"/>
  <c r="I63" i="113"/>
  <c r="E63" i="113"/>
  <c r="S62" i="113"/>
  <c r="R62" i="113"/>
  <c r="Q62" i="113"/>
  <c r="P62" i="113"/>
  <c r="O62" i="113"/>
  <c r="N62" i="113"/>
  <c r="M62" i="113"/>
  <c r="K62" i="113"/>
  <c r="J62" i="113"/>
  <c r="I62" i="113"/>
  <c r="E62" i="113"/>
  <c r="S61" i="113"/>
  <c r="R61" i="113"/>
  <c r="Q61" i="113"/>
  <c r="P61" i="113"/>
  <c r="O61" i="113"/>
  <c r="N61" i="113"/>
  <c r="M61" i="113"/>
  <c r="K61" i="113"/>
  <c r="J61" i="113"/>
  <c r="I61" i="113"/>
  <c r="E61" i="113"/>
  <c r="S60" i="113"/>
  <c r="R60" i="113"/>
  <c r="Q60" i="113"/>
  <c r="P60" i="113"/>
  <c r="O60" i="113"/>
  <c r="N60" i="113"/>
  <c r="M60" i="113"/>
  <c r="K60" i="113"/>
  <c r="J60" i="113"/>
  <c r="I60" i="113"/>
  <c r="E60" i="113"/>
  <c r="S59" i="113"/>
  <c r="R59" i="113"/>
  <c r="Q59" i="113"/>
  <c r="P59" i="113"/>
  <c r="O59" i="113"/>
  <c r="N59" i="113"/>
  <c r="M59" i="113"/>
  <c r="K59" i="113"/>
  <c r="J59" i="113"/>
  <c r="I59" i="113"/>
  <c r="E59" i="113"/>
  <c r="S58" i="113"/>
  <c r="R58" i="113"/>
  <c r="Q58" i="113"/>
  <c r="P58" i="113"/>
  <c r="O58" i="113"/>
  <c r="N58" i="113"/>
  <c r="M58" i="113"/>
  <c r="K58" i="113"/>
  <c r="J58" i="113"/>
  <c r="I58" i="113"/>
  <c r="E58" i="113"/>
  <c r="S57" i="113"/>
  <c r="R57" i="113"/>
  <c r="Q57" i="113"/>
  <c r="P57" i="113"/>
  <c r="O57" i="113"/>
  <c r="N57" i="113"/>
  <c r="M57" i="113"/>
  <c r="K57" i="113"/>
  <c r="J57" i="113"/>
  <c r="I57" i="113"/>
  <c r="E57" i="113"/>
  <c r="S56" i="113"/>
  <c r="R56" i="113"/>
  <c r="Q56" i="113"/>
  <c r="P56" i="113"/>
  <c r="O56" i="113"/>
  <c r="N56" i="113"/>
  <c r="M56" i="113"/>
  <c r="K56" i="113"/>
  <c r="J56" i="113"/>
  <c r="I56" i="113"/>
  <c r="E56" i="113"/>
  <c r="S55" i="113"/>
  <c r="R55" i="113"/>
  <c r="Q55" i="113"/>
  <c r="P55" i="113"/>
  <c r="O55" i="113"/>
  <c r="N55" i="113"/>
  <c r="M55" i="113"/>
  <c r="K55" i="113"/>
  <c r="J55" i="113"/>
  <c r="I55" i="113"/>
  <c r="E55" i="113"/>
  <c r="S54" i="113"/>
  <c r="R54" i="113"/>
  <c r="Q54" i="113"/>
  <c r="P54" i="113"/>
  <c r="O54" i="113"/>
  <c r="N54" i="113"/>
  <c r="M54" i="113"/>
  <c r="K54" i="113"/>
  <c r="J54" i="113"/>
  <c r="I54" i="113"/>
  <c r="E54" i="113"/>
  <c r="S53" i="113"/>
  <c r="R53" i="113"/>
  <c r="Q53" i="113"/>
  <c r="P53" i="113"/>
  <c r="O53" i="113"/>
  <c r="N53" i="113"/>
  <c r="M53" i="113"/>
  <c r="K53" i="113"/>
  <c r="J53" i="113"/>
  <c r="I53" i="113"/>
  <c r="E53" i="113"/>
  <c r="S52" i="113"/>
  <c r="R52" i="113"/>
  <c r="Q52" i="113"/>
  <c r="P52" i="113"/>
  <c r="O52" i="113"/>
  <c r="N52" i="113"/>
  <c r="M52" i="113"/>
  <c r="K52" i="113"/>
  <c r="J52" i="113"/>
  <c r="I52" i="113"/>
  <c r="E52" i="113"/>
  <c r="S51" i="113"/>
  <c r="R51" i="113"/>
  <c r="Q51" i="113"/>
  <c r="P51" i="113"/>
  <c r="O51" i="113"/>
  <c r="N51" i="113"/>
  <c r="M51" i="113"/>
  <c r="K51" i="113"/>
  <c r="J51" i="113"/>
  <c r="I51" i="113"/>
  <c r="E51" i="113"/>
  <c r="S50" i="113"/>
  <c r="R50" i="113"/>
  <c r="Q50" i="113"/>
  <c r="P50" i="113"/>
  <c r="O50" i="113"/>
  <c r="N50" i="113"/>
  <c r="M50" i="113"/>
  <c r="K50" i="113"/>
  <c r="J50" i="113"/>
  <c r="I50" i="113"/>
  <c r="E50" i="113"/>
  <c r="S49" i="113"/>
  <c r="R49" i="113"/>
  <c r="Q49" i="113"/>
  <c r="P49" i="113"/>
  <c r="O49" i="113"/>
  <c r="N49" i="113"/>
  <c r="M49" i="113"/>
  <c r="K49" i="113"/>
  <c r="J49" i="113"/>
  <c r="I49" i="113"/>
  <c r="E49" i="113"/>
  <c r="S48" i="113"/>
  <c r="R48" i="113"/>
  <c r="Q48" i="113"/>
  <c r="P48" i="113"/>
  <c r="O48" i="113"/>
  <c r="N48" i="113"/>
  <c r="M48" i="113"/>
  <c r="K48" i="113"/>
  <c r="J48" i="113"/>
  <c r="I48" i="113"/>
  <c r="E48" i="113"/>
  <c r="S47" i="113"/>
  <c r="R47" i="113"/>
  <c r="Q47" i="113"/>
  <c r="P47" i="113"/>
  <c r="O47" i="113"/>
  <c r="N47" i="113"/>
  <c r="M47" i="113"/>
  <c r="K47" i="113"/>
  <c r="J47" i="113"/>
  <c r="I47" i="113"/>
  <c r="E47" i="113"/>
  <c r="S46" i="113"/>
  <c r="R46" i="113"/>
  <c r="Q46" i="113"/>
  <c r="P46" i="113"/>
  <c r="O46" i="113"/>
  <c r="N46" i="113"/>
  <c r="M46" i="113"/>
  <c r="K46" i="113"/>
  <c r="J46" i="113"/>
  <c r="I46" i="113"/>
  <c r="E46" i="113"/>
  <c r="S45" i="113"/>
  <c r="R45" i="113"/>
  <c r="Q45" i="113"/>
  <c r="P45" i="113"/>
  <c r="O45" i="113"/>
  <c r="N45" i="113"/>
  <c r="M45" i="113"/>
  <c r="K45" i="113"/>
  <c r="J45" i="113"/>
  <c r="I45" i="113"/>
  <c r="E45" i="113"/>
  <c r="S44" i="113"/>
  <c r="R44" i="113"/>
  <c r="Q44" i="113"/>
  <c r="P44" i="113"/>
  <c r="O44" i="113"/>
  <c r="N44" i="113"/>
  <c r="M44" i="113"/>
  <c r="K44" i="113"/>
  <c r="J44" i="113"/>
  <c r="I44" i="113"/>
  <c r="E44" i="113"/>
  <c r="S43" i="113"/>
  <c r="R43" i="113"/>
  <c r="Q43" i="113"/>
  <c r="P43" i="113"/>
  <c r="O43" i="113"/>
  <c r="N43" i="113"/>
  <c r="M43" i="113"/>
  <c r="K43" i="113"/>
  <c r="J43" i="113"/>
  <c r="I43" i="113"/>
  <c r="E43" i="113"/>
  <c r="S42" i="113"/>
  <c r="R42" i="113"/>
  <c r="Q42" i="113"/>
  <c r="P42" i="113"/>
  <c r="O42" i="113"/>
  <c r="N42" i="113"/>
  <c r="M42" i="113"/>
  <c r="K42" i="113"/>
  <c r="J42" i="113"/>
  <c r="I42" i="113"/>
  <c r="E42" i="113"/>
  <c r="S41" i="113"/>
  <c r="R41" i="113"/>
  <c r="Q41" i="113"/>
  <c r="P41" i="113"/>
  <c r="O41" i="113"/>
  <c r="N41" i="113"/>
  <c r="M41" i="113"/>
  <c r="K41" i="113"/>
  <c r="J41" i="113"/>
  <c r="I41" i="113"/>
  <c r="E41" i="113"/>
  <c r="S40" i="113"/>
  <c r="R40" i="113"/>
  <c r="Q40" i="113"/>
  <c r="P40" i="113"/>
  <c r="O40" i="113"/>
  <c r="N40" i="113"/>
  <c r="M40" i="113"/>
  <c r="K40" i="113"/>
  <c r="J40" i="113"/>
  <c r="I40" i="113"/>
  <c r="E40" i="113"/>
  <c r="S39" i="113"/>
  <c r="R39" i="113"/>
  <c r="Q39" i="113"/>
  <c r="P39" i="113"/>
  <c r="O39" i="113"/>
  <c r="N39" i="113"/>
  <c r="M39" i="113"/>
  <c r="K39" i="113"/>
  <c r="J39" i="113"/>
  <c r="I39" i="113"/>
  <c r="E39" i="113"/>
  <c r="S38" i="113"/>
  <c r="R38" i="113"/>
  <c r="Q38" i="113"/>
  <c r="P38" i="113"/>
  <c r="O38" i="113"/>
  <c r="N38" i="113"/>
  <c r="M38" i="113"/>
  <c r="K38" i="113"/>
  <c r="J38" i="113"/>
  <c r="I38" i="113"/>
  <c r="E38" i="113"/>
  <c r="S37" i="113"/>
  <c r="R37" i="113"/>
  <c r="Q37" i="113"/>
  <c r="P37" i="113"/>
  <c r="O37" i="113"/>
  <c r="N37" i="113"/>
  <c r="M37" i="113"/>
  <c r="K37" i="113"/>
  <c r="J37" i="113"/>
  <c r="I37" i="113"/>
  <c r="E37" i="113"/>
  <c r="S36" i="113"/>
  <c r="R36" i="113"/>
  <c r="Q36" i="113"/>
  <c r="P36" i="113"/>
  <c r="O36" i="113"/>
  <c r="N36" i="113"/>
  <c r="M36" i="113"/>
  <c r="K36" i="113"/>
  <c r="J36" i="113"/>
  <c r="I36" i="113"/>
  <c r="E36" i="113"/>
  <c r="S35" i="113"/>
  <c r="R35" i="113"/>
  <c r="Q35" i="113"/>
  <c r="P35" i="113"/>
  <c r="O35" i="113"/>
  <c r="N35" i="113"/>
  <c r="M35" i="113"/>
  <c r="K35" i="113"/>
  <c r="J35" i="113"/>
  <c r="I35" i="113"/>
  <c r="E35" i="113"/>
  <c r="S34" i="113"/>
  <c r="R34" i="113"/>
  <c r="Q34" i="113"/>
  <c r="P34" i="113"/>
  <c r="O34" i="113"/>
  <c r="N34" i="113"/>
  <c r="M34" i="113"/>
  <c r="K34" i="113"/>
  <c r="J34" i="113"/>
  <c r="I34" i="113"/>
  <c r="E34" i="113"/>
  <c r="S33" i="113"/>
  <c r="R33" i="113"/>
  <c r="Q33" i="113"/>
  <c r="P33" i="113"/>
  <c r="O33" i="113"/>
  <c r="N33" i="113"/>
  <c r="M33" i="113"/>
  <c r="K33" i="113"/>
  <c r="J33" i="113"/>
  <c r="I33" i="113"/>
  <c r="E33" i="113"/>
  <c r="S32" i="113"/>
  <c r="R32" i="113"/>
  <c r="Q32" i="113"/>
  <c r="P32" i="113"/>
  <c r="O32" i="113"/>
  <c r="N32" i="113"/>
  <c r="M32" i="113"/>
  <c r="K32" i="113"/>
  <c r="J32" i="113"/>
  <c r="I32" i="113"/>
  <c r="E32" i="113"/>
  <c r="S31" i="113"/>
  <c r="R31" i="113"/>
  <c r="Q31" i="113"/>
  <c r="P31" i="113"/>
  <c r="O31" i="113"/>
  <c r="N31" i="113"/>
  <c r="M31" i="113"/>
  <c r="K31" i="113"/>
  <c r="J31" i="113"/>
  <c r="I31" i="113"/>
  <c r="E31" i="113"/>
  <c r="S30" i="113"/>
  <c r="R30" i="113"/>
  <c r="Q30" i="113"/>
  <c r="P30" i="113"/>
  <c r="O30" i="113"/>
  <c r="N30" i="113"/>
  <c r="M30" i="113"/>
  <c r="K30" i="113"/>
  <c r="J30" i="113"/>
  <c r="I30" i="113"/>
  <c r="E30" i="113"/>
  <c r="S29" i="113"/>
  <c r="R29" i="113"/>
  <c r="Q29" i="113"/>
  <c r="P29" i="113"/>
  <c r="O29" i="113"/>
  <c r="N29" i="113"/>
  <c r="M29" i="113"/>
  <c r="K29" i="113"/>
  <c r="J29" i="113"/>
  <c r="I29" i="113"/>
  <c r="E29" i="113"/>
  <c r="S28" i="113"/>
  <c r="R28" i="113"/>
  <c r="Q28" i="113"/>
  <c r="P28" i="113"/>
  <c r="O28" i="113"/>
  <c r="N28" i="113"/>
  <c r="M28" i="113"/>
  <c r="K28" i="113"/>
  <c r="J28" i="113"/>
  <c r="I28" i="113"/>
  <c r="E28" i="113"/>
  <c r="S27" i="113"/>
  <c r="R27" i="113"/>
  <c r="Q27" i="113"/>
  <c r="P27" i="113"/>
  <c r="O27" i="113"/>
  <c r="N27" i="113"/>
  <c r="M27" i="113"/>
  <c r="K27" i="113"/>
  <c r="J27" i="113"/>
  <c r="I27" i="113"/>
  <c r="E27" i="113"/>
  <c r="S26" i="113"/>
  <c r="R26" i="113"/>
  <c r="Q26" i="113"/>
  <c r="P26" i="113"/>
  <c r="O26" i="113"/>
  <c r="N26" i="113"/>
  <c r="M26" i="113"/>
  <c r="K26" i="113"/>
  <c r="J26" i="113"/>
  <c r="I26" i="113"/>
  <c r="E26" i="113"/>
  <c r="S25" i="113"/>
  <c r="R25" i="113"/>
  <c r="Q25" i="113"/>
  <c r="P25" i="113"/>
  <c r="O25" i="113"/>
  <c r="N25" i="113"/>
  <c r="M25" i="113"/>
  <c r="K25" i="113"/>
  <c r="J25" i="113"/>
  <c r="I25" i="113"/>
  <c r="E25" i="113"/>
  <c r="S24" i="113"/>
  <c r="R24" i="113"/>
  <c r="Q24" i="113"/>
  <c r="P24" i="113"/>
  <c r="O24" i="113"/>
  <c r="N24" i="113"/>
  <c r="M24" i="113"/>
  <c r="K24" i="113"/>
  <c r="J24" i="113"/>
  <c r="I24" i="113"/>
  <c r="E24" i="113"/>
  <c r="S23" i="113"/>
  <c r="R23" i="113"/>
  <c r="Q23" i="113"/>
  <c r="P23" i="113"/>
  <c r="O23" i="113"/>
  <c r="N23" i="113"/>
  <c r="M23" i="113"/>
  <c r="K23" i="113"/>
  <c r="J23" i="113"/>
  <c r="I23" i="113"/>
  <c r="E23" i="113"/>
  <c r="S22" i="113"/>
  <c r="R22" i="113"/>
  <c r="Q22" i="113"/>
  <c r="P22" i="113"/>
  <c r="O22" i="113"/>
  <c r="N22" i="113"/>
  <c r="M22" i="113"/>
  <c r="K22" i="113"/>
  <c r="J22" i="113"/>
  <c r="I22" i="113"/>
  <c r="E22" i="113"/>
  <c r="S21" i="113"/>
  <c r="R21" i="113"/>
  <c r="Q21" i="113"/>
  <c r="P21" i="113"/>
  <c r="O21" i="113"/>
  <c r="N21" i="113"/>
  <c r="M21" i="113"/>
  <c r="K21" i="113"/>
  <c r="J21" i="113"/>
  <c r="I21" i="113"/>
  <c r="E21" i="113"/>
  <c r="S20" i="113"/>
  <c r="R20" i="113"/>
  <c r="Q20" i="113"/>
  <c r="P20" i="113"/>
  <c r="O20" i="113"/>
  <c r="N20" i="113"/>
  <c r="M20" i="113"/>
  <c r="K20" i="113"/>
  <c r="J20" i="113"/>
  <c r="I20" i="113"/>
  <c r="E20" i="113"/>
  <c r="S19" i="113"/>
  <c r="R19" i="113"/>
  <c r="Q19" i="113"/>
  <c r="P19" i="113"/>
  <c r="O19" i="113"/>
  <c r="N19" i="113"/>
  <c r="M19" i="113"/>
  <c r="K19" i="113"/>
  <c r="J19" i="113"/>
  <c r="I19" i="113"/>
  <c r="E19" i="113"/>
  <c r="S18" i="113"/>
  <c r="R18" i="113"/>
  <c r="Q18" i="113"/>
  <c r="P18" i="113"/>
  <c r="O18" i="113"/>
  <c r="N18" i="113"/>
  <c r="M18" i="113"/>
  <c r="K18" i="113"/>
  <c r="J18" i="113"/>
  <c r="I18" i="113"/>
  <c r="E18" i="113"/>
  <c r="S17" i="113"/>
  <c r="R17" i="113"/>
  <c r="Q17" i="113"/>
  <c r="P17" i="113"/>
  <c r="O17" i="113"/>
  <c r="N17" i="113"/>
  <c r="M17" i="113"/>
  <c r="K17" i="113"/>
  <c r="J17" i="113"/>
  <c r="I17" i="113"/>
  <c r="E17" i="113"/>
  <c r="S16" i="113"/>
  <c r="R16" i="113"/>
  <c r="Q16" i="113"/>
  <c r="P16" i="113"/>
  <c r="O16" i="113"/>
  <c r="N16" i="113"/>
  <c r="M16" i="113"/>
  <c r="K16" i="113"/>
  <c r="J16" i="113"/>
  <c r="I16" i="113"/>
  <c r="E16" i="113"/>
  <c r="S15" i="113"/>
  <c r="R15" i="113"/>
  <c r="Q15" i="113"/>
  <c r="P15" i="113"/>
  <c r="O15" i="113"/>
  <c r="N15" i="113"/>
  <c r="M15" i="113"/>
  <c r="K15" i="113"/>
  <c r="J15" i="113"/>
  <c r="I15" i="113"/>
  <c r="E15" i="113"/>
  <c r="S14" i="113"/>
  <c r="R14" i="113"/>
  <c r="Q14" i="113"/>
  <c r="P14" i="113"/>
  <c r="O14" i="113"/>
  <c r="N14" i="113"/>
  <c r="M14" i="113"/>
  <c r="K14" i="113"/>
  <c r="J14" i="113"/>
  <c r="I14" i="113"/>
  <c r="E14" i="113"/>
  <c r="S13" i="113"/>
  <c r="R13" i="113"/>
  <c r="Q13" i="113"/>
  <c r="P13" i="113"/>
  <c r="O13" i="113"/>
  <c r="N13" i="113"/>
  <c r="M13" i="113"/>
  <c r="K13" i="113"/>
  <c r="J13" i="113"/>
  <c r="I13" i="113"/>
  <c r="E13" i="113"/>
  <c r="S12" i="113"/>
  <c r="R12" i="113"/>
  <c r="Q12" i="113"/>
  <c r="P12" i="113"/>
  <c r="O12" i="113"/>
  <c r="N12" i="113"/>
  <c r="M12" i="113"/>
  <c r="K12" i="113"/>
  <c r="J12" i="113"/>
  <c r="I12" i="113"/>
  <c r="E12" i="113"/>
  <c r="S11" i="113"/>
  <c r="R11" i="113"/>
  <c r="Q11" i="113"/>
  <c r="P11" i="113"/>
  <c r="O11" i="113"/>
  <c r="N11" i="113"/>
  <c r="M11" i="113"/>
  <c r="K11" i="113"/>
  <c r="J11" i="113"/>
  <c r="I11" i="113"/>
  <c r="E11" i="113"/>
  <c r="S10" i="113"/>
  <c r="R10" i="113"/>
  <c r="Q10" i="113"/>
  <c r="P10" i="113"/>
  <c r="O10" i="113"/>
  <c r="N10" i="113"/>
  <c r="M10" i="113"/>
  <c r="K10" i="113"/>
  <c r="J10" i="113"/>
  <c r="I10" i="113"/>
  <c r="E10" i="113"/>
  <c r="S9" i="113"/>
  <c r="R9" i="113"/>
  <c r="Q9" i="113"/>
  <c r="P9" i="113"/>
  <c r="O9" i="113"/>
  <c r="N9" i="113"/>
  <c r="M9" i="113"/>
  <c r="K9" i="113"/>
  <c r="J9" i="113"/>
  <c r="I9" i="113"/>
  <c r="E9" i="113"/>
  <c r="S8" i="113"/>
  <c r="R8" i="113"/>
  <c r="Q8" i="113"/>
  <c r="P8" i="113"/>
  <c r="O8" i="113"/>
  <c r="N8" i="113"/>
  <c r="M8" i="113"/>
  <c r="K8" i="113"/>
  <c r="J8" i="113"/>
  <c r="I8" i="113"/>
  <c r="E8" i="113"/>
  <c r="S7" i="113"/>
  <c r="R7" i="113"/>
  <c r="Q7" i="113"/>
  <c r="P7" i="113"/>
  <c r="O7" i="113"/>
  <c r="N7" i="113"/>
  <c r="M7" i="113"/>
  <c r="K7" i="113"/>
  <c r="J7" i="113"/>
  <c r="I7" i="113"/>
  <c r="E7" i="113"/>
  <c r="S6" i="113"/>
  <c r="R6" i="113"/>
  <c r="Q6" i="113"/>
  <c r="P6" i="113"/>
  <c r="O6" i="113"/>
  <c r="N6" i="113"/>
  <c r="M6" i="113"/>
  <c r="K6" i="113"/>
  <c r="J6" i="113"/>
  <c r="I6" i="113"/>
  <c r="E6" i="113"/>
  <c r="S5" i="113"/>
  <c r="R5" i="113"/>
  <c r="Q5" i="113"/>
  <c r="P5" i="113"/>
  <c r="O5" i="113"/>
  <c r="N5" i="113"/>
  <c r="M5" i="113"/>
  <c r="K5" i="113"/>
  <c r="J5" i="113"/>
  <c r="I5" i="113"/>
  <c r="E5" i="113"/>
  <c r="S4" i="113"/>
  <c r="R4" i="113"/>
  <c r="Q4" i="113"/>
  <c r="P4" i="113"/>
  <c r="O4" i="113"/>
  <c r="N4" i="113"/>
  <c r="M4" i="113"/>
  <c r="K4" i="113"/>
  <c r="J4" i="113"/>
  <c r="I4" i="113"/>
  <c r="E4" i="113"/>
  <c r="S3" i="113"/>
  <c r="R3" i="113"/>
  <c r="Q3" i="113"/>
  <c r="P3" i="113"/>
  <c r="O3" i="113"/>
  <c r="N3" i="113"/>
  <c r="M3" i="113"/>
  <c r="K3" i="113"/>
  <c r="J3" i="113"/>
  <c r="I3" i="113"/>
  <c r="E3" i="113"/>
  <c r="S2" i="113"/>
  <c r="R2" i="113"/>
  <c r="Q2" i="113"/>
  <c r="P2" i="113"/>
  <c r="O2" i="113"/>
  <c r="N2" i="113"/>
  <c r="M2" i="113"/>
  <c r="K2" i="113"/>
  <c r="J2" i="113"/>
  <c r="I2" i="113"/>
  <c r="E2" i="113"/>
  <c r="A53" i="112"/>
  <c r="A55" i="112"/>
  <c r="A57" i="112"/>
  <c r="A59" i="112"/>
  <c r="A61" i="112"/>
  <c r="A63" i="112"/>
  <c r="A65" i="112"/>
  <c r="A66" i="112"/>
  <c r="A68" i="112"/>
  <c r="A69" i="112"/>
  <c r="A70" i="112"/>
  <c r="A71" i="112"/>
  <c r="A72" i="112"/>
  <c r="A73" i="112"/>
  <c r="B75" i="112"/>
  <c r="C74" i="112"/>
  <c r="C73" i="112"/>
  <c r="C72" i="112"/>
  <c r="C71" i="112"/>
  <c r="C70" i="112"/>
  <c r="C69" i="112"/>
  <c r="C68" i="112"/>
  <c r="C67" i="112"/>
  <c r="C66" i="112"/>
  <c r="C65" i="112"/>
  <c r="C64" i="112"/>
  <c r="C63" i="112"/>
  <c r="C62" i="112"/>
  <c r="C61" i="112"/>
  <c r="F60" i="112"/>
  <c r="C60" i="112"/>
  <c r="F59" i="112"/>
  <c r="C59" i="112"/>
  <c r="F58" i="112"/>
  <c r="C58" i="112"/>
  <c r="C57" i="112"/>
  <c r="C56" i="112"/>
  <c r="F55" i="112"/>
  <c r="C55" i="112"/>
  <c r="F54" i="112"/>
  <c r="C54" i="112"/>
  <c r="C53" i="112"/>
  <c r="F53" i="112"/>
  <c r="A49" i="112"/>
  <c r="B5" i="112"/>
  <c r="B24" i="112"/>
  <c r="B25" i="112"/>
  <c r="B26" i="112"/>
  <c r="B27" i="112"/>
  <c r="B28" i="112"/>
  <c r="B29" i="112"/>
  <c r="B37" i="112"/>
  <c r="B30" i="112"/>
  <c r="B31" i="112"/>
  <c r="B32" i="112"/>
  <c r="B33" i="112"/>
  <c r="B34" i="112"/>
  <c r="B35" i="112"/>
  <c r="B46" i="112"/>
  <c r="A24" i="112"/>
  <c r="C24" i="112"/>
  <c r="C25" i="112"/>
  <c r="A26" i="112"/>
  <c r="C26" i="112"/>
  <c r="C27" i="112"/>
  <c r="A28" i="112"/>
  <c r="C28" i="112"/>
  <c r="C29" i="112"/>
  <c r="A30" i="112"/>
  <c r="C30" i="112"/>
  <c r="C31" i="112"/>
  <c r="A32" i="112"/>
  <c r="C32" i="112"/>
  <c r="C33" i="112"/>
  <c r="A34" i="112"/>
  <c r="C34" i="112"/>
  <c r="A35" i="112"/>
  <c r="C35" i="112"/>
  <c r="A36" i="112"/>
  <c r="C36" i="112"/>
  <c r="A37" i="112"/>
  <c r="C37" i="112"/>
  <c r="C38" i="112"/>
  <c r="A39" i="112"/>
  <c r="C39" i="112"/>
  <c r="A40" i="112"/>
  <c r="C40" i="112"/>
  <c r="A41" i="112"/>
  <c r="C41" i="112"/>
  <c r="A42" i="112"/>
  <c r="C42" i="112"/>
  <c r="A43" i="112"/>
  <c r="C43" i="112"/>
  <c r="A44" i="112"/>
  <c r="C44" i="112"/>
  <c r="C45" i="112"/>
  <c r="C46" i="112"/>
  <c r="D46" i="112"/>
  <c r="I45" i="112"/>
  <c r="J45" i="112"/>
  <c r="F45" i="112"/>
  <c r="D44" i="112"/>
  <c r="G44" i="112"/>
  <c r="H44" i="112"/>
  <c r="I44" i="112"/>
  <c r="J44" i="112"/>
  <c r="F44" i="112"/>
  <c r="D43" i="112"/>
  <c r="G43" i="112"/>
  <c r="H43" i="112"/>
  <c r="I43" i="112"/>
  <c r="J43" i="112"/>
  <c r="F43" i="112"/>
  <c r="I42" i="112"/>
  <c r="J42" i="112"/>
  <c r="F42" i="112"/>
  <c r="I41" i="112"/>
  <c r="J41" i="112"/>
  <c r="F41" i="112"/>
  <c r="I40" i="112"/>
  <c r="J40" i="112"/>
  <c r="F40" i="112"/>
  <c r="I39" i="112"/>
  <c r="J39" i="112"/>
  <c r="F39" i="112"/>
  <c r="D38" i="112"/>
  <c r="G38" i="112"/>
  <c r="H38" i="112"/>
  <c r="I38" i="112"/>
  <c r="J38" i="112"/>
  <c r="F38" i="112"/>
  <c r="D37" i="112"/>
  <c r="G37" i="112"/>
  <c r="H37" i="112"/>
  <c r="I37" i="112"/>
  <c r="J37" i="112"/>
  <c r="F37" i="112"/>
  <c r="D36" i="112"/>
  <c r="G36" i="112"/>
  <c r="H36" i="112"/>
  <c r="I36" i="112"/>
  <c r="J36" i="112"/>
  <c r="F36" i="112"/>
  <c r="D35" i="112"/>
  <c r="G35" i="112"/>
  <c r="H35" i="112"/>
  <c r="I35" i="112"/>
  <c r="J35" i="112"/>
  <c r="F35" i="112"/>
  <c r="D34" i="112"/>
  <c r="G34" i="112"/>
  <c r="H34" i="112"/>
  <c r="I34" i="112"/>
  <c r="J34" i="112"/>
  <c r="F34" i="112"/>
  <c r="D33" i="112"/>
  <c r="G33" i="112"/>
  <c r="H33" i="112"/>
  <c r="I33" i="112"/>
  <c r="J33" i="112"/>
  <c r="F33" i="112"/>
  <c r="D32" i="112"/>
  <c r="G32" i="112"/>
  <c r="H32" i="112"/>
  <c r="I32" i="112"/>
  <c r="J32" i="112"/>
  <c r="F32" i="112"/>
  <c r="D31" i="112"/>
  <c r="G31" i="112"/>
  <c r="H31" i="112"/>
  <c r="I31" i="112"/>
  <c r="J31" i="112"/>
  <c r="F31" i="112"/>
  <c r="D30" i="112"/>
  <c r="G30" i="112"/>
  <c r="H30" i="112"/>
  <c r="I30" i="112"/>
  <c r="J30" i="112"/>
  <c r="F30" i="112"/>
  <c r="D29" i="112"/>
  <c r="G29" i="112"/>
  <c r="H29" i="112"/>
  <c r="I29" i="112"/>
  <c r="J29" i="112"/>
  <c r="F29" i="112"/>
  <c r="D28" i="112"/>
  <c r="G28" i="112"/>
  <c r="H28" i="112"/>
  <c r="I28" i="112"/>
  <c r="J28" i="112"/>
  <c r="F28" i="112"/>
  <c r="D27" i="112"/>
  <c r="G27" i="112"/>
  <c r="H27" i="112"/>
  <c r="I27" i="112"/>
  <c r="J27" i="112"/>
  <c r="F27" i="112"/>
  <c r="D26" i="112"/>
  <c r="G26" i="112"/>
  <c r="H26" i="112"/>
  <c r="I26" i="112"/>
  <c r="J26" i="112"/>
  <c r="F26" i="112"/>
  <c r="D25" i="112"/>
  <c r="G25" i="112"/>
  <c r="H25" i="112"/>
  <c r="I25" i="112"/>
  <c r="J25" i="112"/>
  <c r="F25" i="112"/>
  <c r="D24" i="112"/>
  <c r="G24" i="112"/>
  <c r="H24" i="112"/>
  <c r="I24" i="112"/>
  <c r="J24" i="112"/>
  <c r="F24" i="112"/>
  <c r="B13" i="112"/>
  <c r="A49" i="110"/>
  <c r="E45" i="110"/>
  <c r="G45" i="110"/>
  <c r="H45" i="110"/>
  <c r="L246" i="111"/>
  <c r="B74" i="110"/>
  <c r="E44" i="110"/>
  <c r="G44" i="110"/>
  <c r="H44" i="110"/>
  <c r="L139" i="111"/>
  <c r="L141" i="111"/>
  <c r="L145" i="111"/>
  <c r="L150" i="111"/>
  <c r="E25" i="110"/>
  <c r="G25" i="110"/>
  <c r="H25" i="110"/>
  <c r="L2" i="111"/>
  <c r="E31" i="110"/>
  <c r="G31" i="110"/>
  <c r="H31" i="110"/>
  <c r="L3" i="111"/>
  <c r="L4" i="111"/>
  <c r="L5" i="111"/>
  <c r="E24" i="110"/>
  <c r="G24" i="110"/>
  <c r="H24" i="110"/>
  <c r="L6" i="111"/>
  <c r="E30" i="110"/>
  <c r="G30" i="110"/>
  <c r="H30" i="110"/>
  <c r="L7" i="111"/>
  <c r="L8" i="111"/>
  <c r="L9" i="111"/>
  <c r="L10" i="111"/>
  <c r="L11" i="111"/>
  <c r="L12" i="111"/>
  <c r="L13" i="111"/>
  <c r="L14" i="111"/>
  <c r="L15" i="111"/>
  <c r="L16" i="111"/>
  <c r="L17" i="111"/>
  <c r="L18" i="111"/>
  <c r="L19" i="111"/>
  <c r="L20" i="111"/>
  <c r="L21" i="111"/>
  <c r="L22" i="111"/>
  <c r="L23" i="111"/>
  <c r="L24" i="111"/>
  <c r="L25" i="111"/>
  <c r="L26" i="111"/>
  <c r="L27" i="111"/>
  <c r="L28" i="111"/>
  <c r="L29" i="111"/>
  <c r="L30" i="111"/>
  <c r="L31" i="111"/>
  <c r="L32" i="111"/>
  <c r="L33" i="111"/>
  <c r="L34" i="111"/>
  <c r="L35" i="111"/>
  <c r="L36" i="111"/>
  <c r="L37" i="111"/>
  <c r="L38" i="111"/>
  <c r="L39" i="111"/>
  <c r="L40" i="111"/>
  <c r="L41" i="111"/>
  <c r="E27" i="110"/>
  <c r="G27" i="110"/>
  <c r="H27" i="110"/>
  <c r="L42" i="111"/>
  <c r="E33" i="110"/>
  <c r="G33" i="110"/>
  <c r="H33" i="110"/>
  <c r="L43" i="111"/>
  <c r="E40" i="110"/>
  <c r="G40" i="110"/>
  <c r="H40" i="110"/>
  <c r="L44" i="111"/>
  <c r="L45" i="111"/>
  <c r="L46" i="111"/>
  <c r="L47" i="111"/>
  <c r="E26" i="110"/>
  <c r="G26" i="110"/>
  <c r="H26" i="110"/>
  <c r="L48" i="111"/>
  <c r="E32" i="110"/>
  <c r="G32" i="110"/>
  <c r="H32" i="110"/>
  <c r="L49" i="111"/>
  <c r="E39" i="110"/>
  <c r="B39" i="110"/>
  <c r="D39" i="110"/>
  <c r="G39" i="110"/>
  <c r="H39" i="110"/>
  <c r="L50" i="111"/>
  <c r="L51" i="111"/>
  <c r="L52" i="111"/>
  <c r="L53" i="111"/>
  <c r="L54" i="111"/>
  <c r="L55" i="111"/>
  <c r="L56" i="111"/>
  <c r="L57" i="111"/>
  <c r="L58" i="111"/>
  <c r="L59" i="111"/>
  <c r="L60" i="111"/>
  <c r="L61" i="111"/>
  <c r="L62" i="111"/>
  <c r="L63" i="111"/>
  <c r="L64" i="111"/>
  <c r="L65" i="111"/>
  <c r="L66" i="111"/>
  <c r="L67" i="111"/>
  <c r="L68" i="111"/>
  <c r="L69" i="111"/>
  <c r="L70" i="111"/>
  <c r="L71" i="111"/>
  <c r="L72" i="111"/>
  <c r="L73" i="111"/>
  <c r="L74" i="111"/>
  <c r="L75" i="111"/>
  <c r="L76" i="111"/>
  <c r="L77" i="111"/>
  <c r="L78" i="111"/>
  <c r="L79" i="111"/>
  <c r="L80" i="111"/>
  <c r="L81" i="111"/>
  <c r="L82" i="111"/>
  <c r="L83" i="111"/>
  <c r="L84" i="111"/>
  <c r="L85" i="111"/>
  <c r="L86" i="111"/>
  <c r="L87" i="111"/>
  <c r="L88" i="111"/>
  <c r="L89" i="111"/>
  <c r="L90" i="111"/>
  <c r="L91" i="111"/>
  <c r="L92" i="111"/>
  <c r="L93" i="111"/>
  <c r="L94" i="111"/>
  <c r="L95" i="111"/>
  <c r="L96" i="111"/>
  <c r="L97" i="111"/>
  <c r="L98" i="111"/>
  <c r="L99" i="111"/>
  <c r="L100" i="111"/>
  <c r="L101" i="111"/>
  <c r="E29" i="110"/>
  <c r="G29" i="110"/>
  <c r="H29" i="110"/>
  <c r="L102" i="111"/>
  <c r="E35" i="110"/>
  <c r="G35" i="110"/>
  <c r="H35" i="110"/>
  <c r="L103" i="111"/>
  <c r="E42" i="110"/>
  <c r="G42" i="110"/>
  <c r="H42" i="110"/>
  <c r="L104" i="111"/>
  <c r="L105" i="111"/>
  <c r="L106" i="111"/>
  <c r="L107" i="111"/>
  <c r="E28" i="110"/>
  <c r="G28" i="110"/>
  <c r="H28" i="110"/>
  <c r="L108" i="111"/>
  <c r="E34" i="110"/>
  <c r="G34" i="110"/>
  <c r="H34" i="110"/>
  <c r="L109" i="111"/>
  <c r="E41" i="110"/>
  <c r="B41" i="110"/>
  <c r="D41" i="110"/>
  <c r="G41" i="110"/>
  <c r="H41" i="110"/>
  <c r="L110" i="111"/>
  <c r="L111" i="111"/>
  <c r="L112" i="111"/>
  <c r="L113" i="111"/>
  <c r="L114" i="111"/>
  <c r="L115" i="111"/>
  <c r="L116" i="111"/>
  <c r="L117" i="111"/>
  <c r="L118" i="111"/>
  <c r="L119" i="111"/>
  <c r="L120" i="111"/>
  <c r="L121" i="111"/>
  <c r="L122" i="111"/>
  <c r="L123" i="111"/>
  <c r="L124" i="111"/>
  <c r="L125" i="111"/>
  <c r="L126" i="111"/>
  <c r="L127" i="111"/>
  <c r="L128" i="111"/>
  <c r="L129" i="111"/>
  <c r="L130" i="111"/>
  <c r="L131" i="111"/>
  <c r="L132" i="111"/>
  <c r="L133" i="111"/>
  <c r="L134" i="111"/>
  <c r="L135" i="111"/>
  <c r="L136" i="111"/>
  <c r="L137" i="111"/>
  <c r="E37" i="110"/>
  <c r="G37" i="110"/>
  <c r="H37" i="110"/>
  <c r="L138" i="111"/>
  <c r="L140" i="111"/>
  <c r="E36" i="110"/>
  <c r="G36" i="110"/>
  <c r="H36" i="110"/>
  <c r="L142" i="111"/>
  <c r="E43" i="110"/>
  <c r="D43" i="110"/>
  <c r="G43" i="110"/>
  <c r="H43" i="110"/>
  <c r="L143" i="111"/>
  <c r="L144" i="111"/>
  <c r="L146" i="111"/>
  <c r="L147" i="111"/>
  <c r="L148" i="111"/>
  <c r="L149" i="111"/>
  <c r="L151" i="111"/>
  <c r="L152" i="111"/>
  <c r="L153" i="111"/>
  <c r="L154" i="111"/>
  <c r="L155" i="111"/>
  <c r="L156" i="111"/>
  <c r="L157" i="111"/>
  <c r="L158" i="111"/>
  <c r="L159" i="111"/>
  <c r="L160" i="111"/>
  <c r="L161" i="111"/>
  <c r="L162" i="111"/>
  <c r="L163" i="111"/>
  <c r="L164" i="111"/>
  <c r="L165" i="111"/>
  <c r="L166" i="111"/>
  <c r="L167" i="111"/>
  <c r="L168" i="111"/>
  <c r="L169" i="111"/>
  <c r="L170" i="111"/>
  <c r="L171" i="111"/>
  <c r="L172" i="111"/>
  <c r="L173" i="111"/>
  <c r="L174" i="111"/>
  <c r="L175" i="111"/>
  <c r="L176" i="111"/>
  <c r="L177" i="111"/>
  <c r="L178" i="111"/>
  <c r="L179" i="111"/>
  <c r="L180" i="111"/>
  <c r="L181" i="111"/>
  <c r="L182" i="111"/>
  <c r="L183" i="111"/>
  <c r="L184" i="111"/>
  <c r="L185" i="111"/>
  <c r="L186" i="111"/>
  <c r="L187" i="111"/>
  <c r="L188" i="111"/>
  <c r="L189" i="111"/>
  <c r="L190" i="111"/>
  <c r="L191" i="111"/>
  <c r="L192" i="111"/>
  <c r="L193" i="111"/>
  <c r="L194" i="111"/>
  <c r="L195" i="111"/>
  <c r="L196" i="111"/>
  <c r="L197" i="111"/>
  <c r="L198" i="111"/>
  <c r="L199" i="111"/>
  <c r="L200" i="111"/>
  <c r="L201" i="111"/>
  <c r="L202" i="111"/>
  <c r="L203" i="111"/>
  <c r="L204" i="111"/>
  <c r="L205" i="111"/>
  <c r="L206" i="111"/>
  <c r="L207" i="111"/>
  <c r="L208" i="111"/>
  <c r="L209" i="111"/>
  <c r="L210" i="111"/>
  <c r="L211" i="111"/>
  <c r="L212" i="111"/>
  <c r="L213" i="111"/>
  <c r="L214" i="111"/>
  <c r="L215" i="111"/>
  <c r="L216" i="111"/>
  <c r="L217" i="111"/>
  <c r="L218" i="111"/>
  <c r="L219" i="111"/>
  <c r="L220" i="111"/>
  <c r="L221" i="111"/>
  <c r="L222" i="111"/>
  <c r="L223" i="111"/>
  <c r="L224" i="111"/>
  <c r="L225" i="111"/>
  <c r="L226" i="111"/>
  <c r="L227" i="111"/>
  <c r="L228" i="111"/>
  <c r="L229" i="111"/>
  <c r="L230" i="111"/>
  <c r="L231" i="111"/>
  <c r="L232" i="111"/>
  <c r="L233" i="111"/>
  <c r="L234" i="111"/>
  <c r="L235" i="111"/>
  <c r="L236" i="111"/>
  <c r="L237" i="111"/>
  <c r="L238" i="111"/>
  <c r="L239" i="111"/>
  <c r="L240" i="111"/>
  <c r="L241" i="111"/>
  <c r="L242" i="111"/>
  <c r="L243" i="111"/>
  <c r="L244" i="111"/>
  <c r="L245" i="111"/>
  <c r="B73" i="110"/>
  <c r="B72" i="110"/>
  <c r="B71" i="110"/>
  <c r="B70" i="110"/>
  <c r="B69" i="110"/>
  <c r="B68" i="110"/>
  <c r="B67" i="110"/>
  <c r="B66" i="110"/>
  <c r="B65" i="110"/>
  <c r="B64" i="110"/>
  <c r="B63" i="110"/>
  <c r="B62" i="110"/>
  <c r="B61" i="110"/>
  <c r="B60" i="110"/>
  <c r="B59" i="110"/>
  <c r="B58" i="110"/>
  <c r="B57" i="110"/>
  <c r="B56" i="110"/>
  <c r="B55" i="110"/>
  <c r="B54" i="110"/>
  <c r="B53" i="110"/>
  <c r="E38" i="110"/>
  <c r="A246" i="111"/>
  <c r="A245" i="111"/>
  <c r="A244" i="111"/>
  <c r="A243" i="111"/>
  <c r="A242" i="111"/>
  <c r="A241" i="111"/>
  <c r="A240" i="111"/>
  <c r="A239" i="111"/>
  <c r="A238" i="111"/>
  <c r="A237" i="111"/>
  <c r="A236" i="111"/>
  <c r="A235" i="111"/>
  <c r="A234" i="111"/>
  <c r="A233" i="111"/>
  <c r="A232" i="111"/>
  <c r="A231" i="111"/>
  <c r="A230" i="111"/>
  <c r="A229" i="111"/>
  <c r="A228" i="111"/>
  <c r="A227" i="111"/>
  <c r="A226" i="111"/>
  <c r="A225" i="111"/>
  <c r="A224" i="111"/>
  <c r="A223" i="111"/>
  <c r="A222" i="111"/>
  <c r="A221" i="111"/>
  <c r="A220" i="111"/>
  <c r="A219" i="111"/>
  <c r="A218" i="111"/>
  <c r="A217" i="111"/>
  <c r="A216" i="111"/>
  <c r="A215" i="111"/>
  <c r="A214" i="111"/>
  <c r="A213" i="111"/>
  <c r="A212" i="111"/>
  <c r="A211" i="111"/>
  <c r="A210" i="111"/>
  <c r="A209" i="111"/>
  <c r="A208" i="111"/>
  <c r="A207" i="111"/>
  <c r="A206" i="111"/>
  <c r="A205" i="111"/>
  <c r="A204" i="111"/>
  <c r="A203" i="111"/>
  <c r="A202" i="111"/>
  <c r="A201" i="111"/>
  <c r="A200" i="111"/>
  <c r="A199" i="111"/>
  <c r="A198" i="111"/>
  <c r="A197" i="111"/>
  <c r="A196" i="111"/>
  <c r="A195" i="111"/>
  <c r="A194" i="111"/>
  <c r="A193" i="111"/>
  <c r="A192" i="111"/>
  <c r="A191" i="111"/>
  <c r="A190" i="111"/>
  <c r="A189" i="111"/>
  <c r="A188" i="111"/>
  <c r="A187" i="111"/>
  <c r="A186" i="111"/>
  <c r="A185" i="111"/>
  <c r="A184" i="111"/>
  <c r="A183" i="111"/>
  <c r="A182" i="111"/>
  <c r="A181" i="111"/>
  <c r="A180" i="111"/>
  <c r="A179" i="111"/>
  <c r="A178" i="111"/>
  <c r="A177" i="111"/>
  <c r="A176" i="111"/>
  <c r="A175" i="111"/>
  <c r="A174" i="111"/>
  <c r="A173" i="111"/>
  <c r="A172" i="111"/>
  <c r="A171" i="111"/>
  <c r="A170" i="111"/>
  <c r="A169" i="111"/>
  <c r="A168" i="111"/>
  <c r="A167" i="111"/>
  <c r="A166" i="111"/>
  <c r="A165" i="111"/>
  <c r="A164" i="111"/>
  <c r="A163" i="111"/>
  <c r="A162" i="111"/>
  <c r="A161" i="111"/>
  <c r="A160" i="111"/>
  <c r="A159" i="111"/>
  <c r="A158" i="111"/>
  <c r="A157" i="111"/>
  <c r="A156" i="111"/>
  <c r="A155" i="111"/>
  <c r="A154" i="111"/>
  <c r="A153" i="111"/>
  <c r="A152" i="111"/>
  <c r="A151" i="111"/>
  <c r="A150" i="111"/>
  <c r="A149" i="111"/>
  <c r="A148" i="111"/>
  <c r="A147" i="111"/>
  <c r="A146" i="111"/>
  <c r="A145" i="111"/>
  <c r="A144" i="111"/>
  <c r="A143" i="111"/>
  <c r="A142" i="111"/>
  <c r="A141" i="111"/>
  <c r="A140" i="111"/>
  <c r="A139" i="111"/>
  <c r="A138" i="111"/>
  <c r="A137" i="111"/>
  <c r="A136" i="111"/>
  <c r="A135" i="111"/>
  <c r="A134" i="111"/>
  <c r="A133" i="111"/>
  <c r="A132" i="111"/>
  <c r="A131" i="111"/>
  <c r="A130" i="111"/>
  <c r="A129" i="111"/>
  <c r="A128" i="111"/>
  <c r="A127" i="111"/>
  <c r="A126" i="111"/>
  <c r="A125" i="111"/>
  <c r="A124" i="111"/>
  <c r="A123" i="111"/>
  <c r="A122" i="111"/>
  <c r="A121" i="111"/>
  <c r="A120" i="111"/>
  <c r="A119" i="111"/>
  <c r="A118" i="111"/>
  <c r="A117" i="111"/>
  <c r="A116" i="111"/>
  <c r="A115" i="111"/>
  <c r="A114" i="111"/>
  <c r="A113" i="111"/>
  <c r="A112" i="111"/>
  <c r="A111" i="111"/>
  <c r="A110" i="111"/>
  <c r="A109" i="111"/>
  <c r="A108" i="111"/>
  <c r="A107" i="111"/>
  <c r="A106" i="111"/>
  <c r="A105" i="111"/>
  <c r="A104" i="111"/>
  <c r="A103" i="111"/>
  <c r="A102" i="111"/>
  <c r="A101" i="111"/>
  <c r="A100" i="111"/>
  <c r="A99" i="111"/>
  <c r="A98" i="111"/>
  <c r="A97" i="111"/>
  <c r="A96" i="111"/>
  <c r="A95" i="111"/>
  <c r="A94" i="111"/>
  <c r="A93" i="111"/>
  <c r="A92" i="111"/>
  <c r="A91" i="111"/>
  <c r="A90" i="111"/>
  <c r="A89" i="111"/>
  <c r="A88" i="111"/>
  <c r="A87" i="111"/>
  <c r="A86" i="111"/>
  <c r="A85" i="111"/>
  <c r="A84" i="111"/>
  <c r="A83" i="111"/>
  <c r="A82" i="111"/>
  <c r="A81" i="111"/>
  <c r="A80" i="111"/>
  <c r="A79" i="111"/>
  <c r="A78" i="111"/>
  <c r="A77" i="111"/>
  <c r="A76" i="111"/>
  <c r="A75" i="111"/>
  <c r="A74" i="111"/>
  <c r="A73" i="111"/>
  <c r="A72" i="111"/>
  <c r="A71" i="111"/>
  <c r="A70" i="111"/>
  <c r="A69" i="111"/>
  <c r="A68" i="111"/>
  <c r="A67" i="111"/>
  <c r="A66" i="111"/>
  <c r="A65" i="111"/>
  <c r="A64" i="111"/>
  <c r="A63" i="111"/>
  <c r="A62" i="111"/>
  <c r="A61" i="111"/>
  <c r="A60" i="111"/>
  <c r="A59" i="111"/>
  <c r="A58" i="111"/>
  <c r="A57" i="111"/>
  <c r="A56" i="111"/>
  <c r="A55" i="111"/>
  <c r="A54" i="111"/>
  <c r="A53" i="111"/>
  <c r="A52" i="111"/>
  <c r="A51" i="111"/>
  <c r="A50" i="111"/>
  <c r="A49" i="111"/>
  <c r="A48" i="111"/>
  <c r="A47" i="111"/>
  <c r="A46" i="111"/>
  <c r="A45" i="111"/>
  <c r="A44" i="111"/>
  <c r="A43" i="111"/>
  <c r="A42" i="111"/>
  <c r="A41" i="111"/>
  <c r="A40" i="111"/>
  <c r="A39" i="111"/>
  <c r="A38" i="111"/>
  <c r="A37" i="111"/>
  <c r="A36" i="111"/>
  <c r="A35" i="111"/>
  <c r="A34" i="111"/>
  <c r="A33" i="111"/>
  <c r="A32" i="111"/>
  <c r="A31" i="111"/>
  <c r="A30" i="111"/>
  <c r="A29" i="111"/>
  <c r="A28" i="111"/>
  <c r="A27" i="111"/>
  <c r="A26" i="111"/>
  <c r="A25" i="111"/>
  <c r="A24" i="111"/>
  <c r="A23" i="111"/>
  <c r="A22" i="111"/>
  <c r="A21" i="111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7" i="111"/>
  <c r="A6" i="111"/>
  <c r="A5" i="111"/>
  <c r="A4" i="111"/>
  <c r="A3" i="111"/>
  <c r="A2" i="111"/>
  <c r="S246" i="111"/>
  <c r="R246" i="111"/>
  <c r="Q246" i="111"/>
  <c r="P246" i="111"/>
  <c r="O246" i="111"/>
  <c r="N246" i="111"/>
  <c r="F246" i="111"/>
  <c r="G246" i="111"/>
  <c r="H246" i="111"/>
  <c r="C246" i="111"/>
  <c r="B246" i="111"/>
  <c r="F2" i="111"/>
  <c r="G2" i="111"/>
  <c r="H2" i="111"/>
  <c r="C2" i="111"/>
  <c r="B2" i="111"/>
  <c r="F3" i="111"/>
  <c r="G3" i="111"/>
  <c r="H3" i="111"/>
  <c r="C3" i="111"/>
  <c r="B3" i="111"/>
  <c r="F4" i="111"/>
  <c r="G4" i="111"/>
  <c r="H4" i="111"/>
  <c r="C4" i="111"/>
  <c r="B4" i="111"/>
  <c r="F5" i="111"/>
  <c r="G5" i="111"/>
  <c r="H5" i="111"/>
  <c r="C5" i="111"/>
  <c r="B5" i="111"/>
  <c r="F6" i="111"/>
  <c r="G6" i="111"/>
  <c r="H6" i="111"/>
  <c r="C6" i="111"/>
  <c r="B6" i="111"/>
  <c r="F7" i="111"/>
  <c r="G7" i="111"/>
  <c r="H7" i="111"/>
  <c r="C7" i="111"/>
  <c r="B7" i="111"/>
  <c r="F8" i="111"/>
  <c r="G8" i="111"/>
  <c r="H8" i="111"/>
  <c r="C8" i="111"/>
  <c r="B8" i="111"/>
  <c r="F9" i="111"/>
  <c r="G9" i="111"/>
  <c r="H9" i="111"/>
  <c r="C9" i="111"/>
  <c r="B9" i="111"/>
  <c r="F10" i="111"/>
  <c r="G10" i="111"/>
  <c r="H10" i="111"/>
  <c r="C10" i="111"/>
  <c r="B10" i="111"/>
  <c r="F11" i="111"/>
  <c r="G11" i="111"/>
  <c r="H11" i="111"/>
  <c r="C11" i="111"/>
  <c r="B11" i="111"/>
  <c r="F12" i="111"/>
  <c r="G12" i="111"/>
  <c r="H12" i="111"/>
  <c r="C12" i="111"/>
  <c r="B12" i="111"/>
  <c r="F13" i="111"/>
  <c r="G13" i="111"/>
  <c r="H13" i="111"/>
  <c r="C13" i="111"/>
  <c r="B13" i="111"/>
  <c r="F14" i="111"/>
  <c r="G14" i="111"/>
  <c r="H14" i="111"/>
  <c r="C14" i="111"/>
  <c r="B14" i="111"/>
  <c r="F15" i="111"/>
  <c r="G15" i="111"/>
  <c r="H15" i="111"/>
  <c r="C15" i="111"/>
  <c r="B15" i="111"/>
  <c r="F16" i="111"/>
  <c r="G16" i="111"/>
  <c r="H16" i="111"/>
  <c r="C16" i="111"/>
  <c r="B16" i="111"/>
  <c r="F17" i="111"/>
  <c r="G17" i="111"/>
  <c r="H17" i="111"/>
  <c r="C17" i="111"/>
  <c r="B17" i="111"/>
  <c r="F18" i="111"/>
  <c r="G18" i="111"/>
  <c r="H18" i="111"/>
  <c r="C18" i="111"/>
  <c r="B18" i="111"/>
  <c r="F19" i="111"/>
  <c r="G19" i="111"/>
  <c r="H19" i="111"/>
  <c r="C19" i="111"/>
  <c r="B19" i="111"/>
  <c r="F20" i="111"/>
  <c r="G20" i="111"/>
  <c r="H20" i="111"/>
  <c r="C20" i="111"/>
  <c r="B20" i="111"/>
  <c r="F21" i="111"/>
  <c r="G21" i="111"/>
  <c r="H21" i="111"/>
  <c r="C21" i="111"/>
  <c r="B21" i="111"/>
  <c r="F22" i="111"/>
  <c r="G22" i="111"/>
  <c r="H22" i="111"/>
  <c r="C22" i="111"/>
  <c r="B22" i="111"/>
  <c r="F23" i="111"/>
  <c r="G23" i="111"/>
  <c r="H23" i="111"/>
  <c r="C23" i="111"/>
  <c r="B23" i="111"/>
  <c r="F24" i="111"/>
  <c r="G24" i="111"/>
  <c r="H24" i="111"/>
  <c r="C24" i="111"/>
  <c r="B24" i="111"/>
  <c r="F25" i="111"/>
  <c r="G25" i="111"/>
  <c r="H25" i="111"/>
  <c r="C25" i="111"/>
  <c r="B25" i="111"/>
  <c r="F26" i="111"/>
  <c r="G26" i="111"/>
  <c r="H26" i="111"/>
  <c r="C26" i="111"/>
  <c r="B26" i="111"/>
  <c r="F27" i="111"/>
  <c r="G27" i="111"/>
  <c r="H27" i="111"/>
  <c r="C27" i="111"/>
  <c r="B27" i="111"/>
  <c r="F28" i="111"/>
  <c r="G28" i="111"/>
  <c r="H28" i="111"/>
  <c r="C28" i="111"/>
  <c r="B28" i="111"/>
  <c r="F29" i="111"/>
  <c r="G29" i="111"/>
  <c r="H29" i="111"/>
  <c r="C29" i="111"/>
  <c r="B29" i="111"/>
  <c r="F30" i="111"/>
  <c r="G30" i="111"/>
  <c r="H30" i="111"/>
  <c r="C30" i="111"/>
  <c r="B30" i="111"/>
  <c r="F31" i="111"/>
  <c r="G31" i="111"/>
  <c r="H31" i="111"/>
  <c r="C31" i="111"/>
  <c r="B31" i="111"/>
  <c r="F32" i="111"/>
  <c r="G32" i="111"/>
  <c r="H32" i="111"/>
  <c r="C32" i="111"/>
  <c r="B32" i="111"/>
  <c r="F33" i="111"/>
  <c r="G33" i="111"/>
  <c r="H33" i="111"/>
  <c r="C33" i="111"/>
  <c r="B33" i="111"/>
  <c r="F34" i="111"/>
  <c r="G34" i="111"/>
  <c r="H34" i="111"/>
  <c r="C34" i="111"/>
  <c r="B34" i="111"/>
  <c r="F35" i="111"/>
  <c r="G35" i="111"/>
  <c r="H35" i="111"/>
  <c r="C35" i="111"/>
  <c r="B35" i="111"/>
  <c r="F36" i="111"/>
  <c r="G36" i="111"/>
  <c r="H36" i="111"/>
  <c r="C36" i="111"/>
  <c r="B36" i="111"/>
  <c r="F37" i="111"/>
  <c r="G37" i="111"/>
  <c r="H37" i="111"/>
  <c r="C37" i="111"/>
  <c r="B37" i="111"/>
  <c r="F38" i="111"/>
  <c r="G38" i="111"/>
  <c r="H38" i="111"/>
  <c r="C38" i="111"/>
  <c r="B38" i="111"/>
  <c r="F39" i="111"/>
  <c r="G39" i="111"/>
  <c r="H39" i="111"/>
  <c r="C39" i="111"/>
  <c r="B39" i="111"/>
  <c r="F40" i="111"/>
  <c r="G40" i="111"/>
  <c r="H40" i="111"/>
  <c r="C40" i="111"/>
  <c r="B40" i="111"/>
  <c r="F41" i="111"/>
  <c r="G41" i="111"/>
  <c r="H41" i="111"/>
  <c r="C41" i="111"/>
  <c r="B41" i="111"/>
  <c r="F42" i="111"/>
  <c r="G42" i="111"/>
  <c r="H42" i="111"/>
  <c r="C42" i="111"/>
  <c r="B42" i="111"/>
  <c r="F43" i="111"/>
  <c r="G43" i="111"/>
  <c r="H43" i="111"/>
  <c r="C43" i="111"/>
  <c r="B43" i="111"/>
  <c r="F44" i="111"/>
  <c r="G44" i="111"/>
  <c r="H44" i="111"/>
  <c r="C44" i="111"/>
  <c r="B44" i="111"/>
  <c r="F45" i="111"/>
  <c r="G45" i="111"/>
  <c r="H45" i="111"/>
  <c r="C45" i="111"/>
  <c r="B45" i="111"/>
  <c r="F46" i="111"/>
  <c r="G46" i="111"/>
  <c r="H46" i="111"/>
  <c r="C46" i="111"/>
  <c r="B46" i="111"/>
  <c r="F47" i="111"/>
  <c r="G47" i="111"/>
  <c r="H47" i="111"/>
  <c r="C47" i="111"/>
  <c r="B47" i="111"/>
  <c r="F48" i="111"/>
  <c r="G48" i="111"/>
  <c r="H48" i="111"/>
  <c r="C48" i="111"/>
  <c r="B48" i="111"/>
  <c r="F49" i="111"/>
  <c r="G49" i="111"/>
  <c r="H49" i="111"/>
  <c r="C49" i="111"/>
  <c r="B49" i="111"/>
  <c r="F50" i="111"/>
  <c r="G50" i="111"/>
  <c r="H50" i="111"/>
  <c r="C50" i="111"/>
  <c r="B50" i="111"/>
  <c r="F51" i="111"/>
  <c r="G51" i="111"/>
  <c r="H51" i="111"/>
  <c r="C51" i="111"/>
  <c r="B51" i="111"/>
  <c r="F52" i="111"/>
  <c r="G52" i="111"/>
  <c r="H52" i="111"/>
  <c r="C52" i="111"/>
  <c r="B52" i="111"/>
  <c r="F53" i="111"/>
  <c r="G53" i="111"/>
  <c r="H53" i="111"/>
  <c r="C53" i="111"/>
  <c r="B53" i="111"/>
  <c r="F54" i="111"/>
  <c r="G54" i="111"/>
  <c r="H54" i="111"/>
  <c r="C54" i="111"/>
  <c r="B54" i="111"/>
  <c r="F55" i="111"/>
  <c r="G55" i="111"/>
  <c r="H55" i="111"/>
  <c r="C55" i="111"/>
  <c r="B55" i="111"/>
  <c r="F56" i="111"/>
  <c r="G56" i="111"/>
  <c r="H56" i="111"/>
  <c r="C56" i="111"/>
  <c r="B56" i="111"/>
  <c r="F57" i="111"/>
  <c r="G57" i="111"/>
  <c r="H57" i="111"/>
  <c r="C57" i="111"/>
  <c r="B57" i="111"/>
  <c r="F58" i="111"/>
  <c r="G58" i="111"/>
  <c r="H58" i="111"/>
  <c r="C58" i="111"/>
  <c r="B58" i="111"/>
  <c r="F59" i="111"/>
  <c r="G59" i="111"/>
  <c r="H59" i="111"/>
  <c r="C59" i="111"/>
  <c r="B59" i="111"/>
  <c r="F60" i="111"/>
  <c r="G60" i="111"/>
  <c r="H60" i="111"/>
  <c r="C60" i="111"/>
  <c r="B60" i="111"/>
  <c r="F61" i="111"/>
  <c r="G61" i="111"/>
  <c r="H61" i="111"/>
  <c r="C61" i="111"/>
  <c r="B61" i="111"/>
  <c r="F62" i="111"/>
  <c r="G62" i="111"/>
  <c r="H62" i="111"/>
  <c r="C62" i="111"/>
  <c r="B62" i="111"/>
  <c r="F63" i="111"/>
  <c r="G63" i="111"/>
  <c r="H63" i="111"/>
  <c r="C63" i="111"/>
  <c r="B63" i="111"/>
  <c r="F64" i="111"/>
  <c r="G64" i="111"/>
  <c r="H64" i="111"/>
  <c r="C64" i="111"/>
  <c r="B64" i="111"/>
  <c r="F65" i="111"/>
  <c r="G65" i="111"/>
  <c r="H65" i="111"/>
  <c r="C65" i="111"/>
  <c r="B65" i="111"/>
  <c r="F66" i="111"/>
  <c r="G66" i="111"/>
  <c r="H66" i="111"/>
  <c r="C66" i="111"/>
  <c r="B66" i="111"/>
  <c r="F67" i="111"/>
  <c r="G67" i="111"/>
  <c r="H67" i="111"/>
  <c r="C67" i="111"/>
  <c r="B67" i="111"/>
  <c r="F68" i="111"/>
  <c r="G68" i="111"/>
  <c r="H68" i="111"/>
  <c r="C68" i="111"/>
  <c r="B68" i="111"/>
  <c r="F69" i="111"/>
  <c r="G69" i="111"/>
  <c r="H69" i="111"/>
  <c r="C69" i="111"/>
  <c r="B69" i="111"/>
  <c r="F70" i="111"/>
  <c r="G70" i="111"/>
  <c r="H70" i="111"/>
  <c r="C70" i="111"/>
  <c r="B70" i="111"/>
  <c r="F71" i="111"/>
  <c r="G71" i="111"/>
  <c r="H71" i="111"/>
  <c r="C71" i="111"/>
  <c r="B71" i="111"/>
  <c r="F72" i="111"/>
  <c r="G72" i="111"/>
  <c r="H72" i="111"/>
  <c r="C72" i="111"/>
  <c r="B72" i="111"/>
  <c r="F73" i="111"/>
  <c r="G73" i="111"/>
  <c r="H73" i="111"/>
  <c r="C73" i="111"/>
  <c r="B73" i="111"/>
  <c r="F74" i="111"/>
  <c r="G74" i="111"/>
  <c r="H74" i="111"/>
  <c r="C74" i="111"/>
  <c r="B74" i="111"/>
  <c r="F75" i="111"/>
  <c r="G75" i="111"/>
  <c r="H75" i="111"/>
  <c r="C75" i="111"/>
  <c r="B75" i="111"/>
  <c r="F76" i="111"/>
  <c r="G76" i="111"/>
  <c r="H76" i="111"/>
  <c r="C76" i="111"/>
  <c r="B76" i="111"/>
  <c r="F77" i="111"/>
  <c r="G77" i="111"/>
  <c r="H77" i="111"/>
  <c r="C77" i="111"/>
  <c r="B77" i="111"/>
  <c r="F78" i="111"/>
  <c r="G78" i="111"/>
  <c r="H78" i="111"/>
  <c r="C78" i="111"/>
  <c r="B78" i="111"/>
  <c r="F79" i="111"/>
  <c r="G79" i="111"/>
  <c r="H79" i="111"/>
  <c r="C79" i="111"/>
  <c r="B79" i="111"/>
  <c r="F80" i="111"/>
  <c r="G80" i="111"/>
  <c r="H80" i="111"/>
  <c r="C80" i="111"/>
  <c r="B80" i="111"/>
  <c r="F81" i="111"/>
  <c r="G81" i="111"/>
  <c r="H81" i="111"/>
  <c r="C81" i="111"/>
  <c r="B81" i="111"/>
  <c r="F82" i="111"/>
  <c r="G82" i="111"/>
  <c r="H82" i="111"/>
  <c r="C82" i="111"/>
  <c r="B82" i="111"/>
  <c r="F83" i="111"/>
  <c r="G83" i="111"/>
  <c r="H83" i="111"/>
  <c r="C83" i="111"/>
  <c r="B83" i="111"/>
  <c r="F84" i="111"/>
  <c r="G84" i="111"/>
  <c r="H84" i="111"/>
  <c r="C84" i="111"/>
  <c r="B84" i="111"/>
  <c r="F85" i="111"/>
  <c r="G85" i="111"/>
  <c r="H85" i="111"/>
  <c r="C85" i="111"/>
  <c r="B85" i="111"/>
  <c r="F86" i="111"/>
  <c r="G86" i="111"/>
  <c r="H86" i="111"/>
  <c r="C86" i="111"/>
  <c r="B86" i="111"/>
  <c r="F87" i="111"/>
  <c r="G87" i="111"/>
  <c r="H87" i="111"/>
  <c r="C87" i="111"/>
  <c r="B87" i="111"/>
  <c r="F88" i="111"/>
  <c r="G88" i="111"/>
  <c r="H88" i="111"/>
  <c r="C88" i="111"/>
  <c r="B88" i="111"/>
  <c r="F89" i="111"/>
  <c r="G89" i="111"/>
  <c r="H89" i="111"/>
  <c r="C89" i="111"/>
  <c r="B89" i="111"/>
  <c r="F90" i="111"/>
  <c r="G90" i="111"/>
  <c r="H90" i="111"/>
  <c r="C90" i="111"/>
  <c r="B90" i="111"/>
  <c r="F91" i="111"/>
  <c r="G91" i="111"/>
  <c r="H91" i="111"/>
  <c r="C91" i="111"/>
  <c r="B91" i="111"/>
  <c r="F92" i="111"/>
  <c r="G92" i="111"/>
  <c r="H92" i="111"/>
  <c r="C92" i="111"/>
  <c r="B92" i="111"/>
  <c r="F93" i="111"/>
  <c r="G93" i="111"/>
  <c r="H93" i="111"/>
  <c r="C93" i="111"/>
  <c r="B93" i="111"/>
  <c r="F94" i="111"/>
  <c r="G94" i="111"/>
  <c r="H94" i="111"/>
  <c r="C94" i="111"/>
  <c r="B94" i="111"/>
  <c r="F95" i="111"/>
  <c r="G95" i="111"/>
  <c r="H95" i="111"/>
  <c r="C95" i="111"/>
  <c r="B95" i="111"/>
  <c r="F96" i="111"/>
  <c r="G96" i="111"/>
  <c r="H96" i="111"/>
  <c r="C96" i="111"/>
  <c r="B96" i="111"/>
  <c r="F97" i="111"/>
  <c r="G97" i="111"/>
  <c r="H97" i="111"/>
  <c r="C97" i="111"/>
  <c r="B97" i="111"/>
  <c r="F98" i="111"/>
  <c r="G98" i="111"/>
  <c r="H98" i="111"/>
  <c r="C98" i="111"/>
  <c r="B98" i="111"/>
  <c r="F99" i="111"/>
  <c r="G99" i="111"/>
  <c r="H99" i="111"/>
  <c r="C99" i="111"/>
  <c r="B99" i="111"/>
  <c r="F100" i="111"/>
  <c r="G100" i="111"/>
  <c r="H100" i="111"/>
  <c r="C100" i="111"/>
  <c r="B100" i="111"/>
  <c r="F101" i="111"/>
  <c r="G101" i="111"/>
  <c r="H101" i="111"/>
  <c r="C101" i="111"/>
  <c r="B101" i="111"/>
  <c r="F102" i="111"/>
  <c r="G102" i="111"/>
  <c r="H102" i="111"/>
  <c r="C102" i="111"/>
  <c r="B102" i="111"/>
  <c r="F103" i="111"/>
  <c r="G103" i="111"/>
  <c r="H103" i="111"/>
  <c r="C103" i="111"/>
  <c r="B103" i="111"/>
  <c r="F104" i="111"/>
  <c r="G104" i="111"/>
  <c r="H104" i="111"/>
  <c r="C104" i="111"/>
  <c r="B104" i="111"/>
  <c r="F105" i="111"/>
  <c r="G105" i="111"/>
  <c r="H105" i="111"/>
  <c r="C105" i="111"/>
  <c r="B105" i="111"/>
  <c r="F106" i="111"/>
  <c r="G106" i="111"/>
  <c r="H106" i="111"/>
  <c r="C106" i="111"/>
  <c r="B106" i="111"/>
  <c r="F107" i="111"/>
  <c r="G107" i="111"/>
  <c r="H107" i="111"/>
  <c r="C107" i="111"/>
  <c r="B107" i="111"/>
  <c r="F108" i="111"/>
  <c r="G108" i="111"/>
  <c r="H108" i="111"/>
  <c r="C108" i="111"/>
  <c r="B108" i="111"/>
  <c r="F109" i="111"/>
  <c r="G109" i="111"/>
  <c r="H109" i="111"/>
  <c r="C109" i="111"/>
  <c r="B109" i="111"/>
  <c r="F110" i="111"/>
  <c r="G110" i="111"/>
  <c r="H110" i="111"/>
  <c r="C110" i="111"/>
  <c r="B110" i="111"/>
  <c r="F111" i="111"/>
  <c r="G111" i="111"/>
  <c r="H111" i="111"/>
  <c r="C111" i="111"/>
  <c r="B111" i="111"/>
  <c r="F112" i="111"/>
  <c r="G112" i="111"/>
  <c r="H112" i="111"/>
  <c r="C112" i="111"/>
  <c r="B112" i="111"/>
  <c r="F113" i="111"/>
  <c r="G113" i="111"/>
  <c r="H113" i="111"/>
  <c r="C113" i="111"/>
  <c r="B113" i="111"/>
  <c r="F114" i="111"/>
  <c r="G114" i="111"/>
  <c r="H114" i="111"/>
  <c r="C114" i="111"/>
  <c r="B114" i="111"/>
  <c r="F115" i="111"/>
  <c r="G115" i="111"/>
  <c r="H115" i="111"/>
  <c r="C115" i="111"/>
  <c r="B115" i="111"/>
  <c r="F116" i="111"/>
  <c r="G116" i="111"/>
  <c r="H116" i="111"/>
  <c r="C116" i="111"/>
  <c r="B116" i="111"/>
  <c r="F117" i="111"/>
  <c r="G117" i="111"/>
  <c r="H117" i="111"/>
  <c r="C117" i="111"/>
  <c r="B117" i="111"/>
  <c r="F118" i="111"/>
  <c r="G118" i="111"/>
  <c r="H118" i="111"/>
  <c r="C118" i="111"/>
  <c r="B118" i="111"/>
  <c r="F119" i="111"/>
  <c r="G119" i="111"/>
  <c r="H119" i="111"/>
  <c r="C119" i="111"/>
  <c r="B119" i="111"/>
  <c r="F120" i="111"/>
  <c r="G120" i="111"/>
  <c r="H120" i="111"/>
  <c r="C120" i="111"/>
  <c r="B120" i="111"/>
  <c r="F121" i="111"/>
  <c r="G121" i="111"/>
  <c r="H121" i="111"/>
  <c r="C121" i="111"/>
  <c r="B121" i="111"/>
  <c r="F122" i="111"/>
  <c r="G122" i="111"/>
  <c r="H122" i="111"/>
  <c r="C122" i="111"/>
  <c r="B122" i="111"/>
  <c r="F123" i="111"/>
  <c r="G123" i="111"/>
  <c r="H123" i="111"/>
  <c r="C123" i="111"/>
  <c r="B123" i="111"/>
  <c r="F124" i="111"/>
  <c r="G124" i="111"/>
  <c r="H124" i="111"/>
  <c r="C124" i="111"/>
  <c r="B124" i="111"/>
  <c r="F125" i="111"/>
  <c r="G125" i="111"/>
  <c r="H125" i="111"/>
  <c r="C125" i="111"/>
  <c r="B125" i="111"/>
  <c r="F126" i="111"/>
  <c r="G126" i="111"/>
  <c r="H126" i="111"/>
  <c r="C126" i="111"/>
  <c r="B126" i="111"/>
  <c r="F127" i="111"/>
  <c r="G127" i="111"/>
  <c r="H127" i="111"/>
  <c r="C127" i="111"/>
  <c r="B127" i="111"/>
  <c r="F128" i="111"/>
  <c r="G128" i="111"/>
  <c r="H128" i="111"/>
  <c r="C128" i="111"/>
  <c r="B128" i="111"/>
  <c r="F129" i="111"/>
  <c r="G129" i="111"/>
  <c r="H129" i="111"/>
  <c r="C129" i="111"/>
  <c r="B129" i="111"/>
  <c r="F130" i="111"/>
  <c r="G130" i="111"/>
  <c r="H130" i="111"/>
  <c r="C130" i="111"/>
  <c r="B130" i="111"/>
  <c r="F131" i="111"/>
  <c r="G131" i="111"/>
  <c r="H131" i="111"/>
  <c r="C131" i="111"/>
  <c r="B131" i="111"/>
  <c r="F132" i="111"/>
  <c r="G132" i="111"/>
  <c r="H132" i="111"/>
  <c r="C132" i="111"/>
  <c r="B132" i="111"/>
  <c r="F133" i="111"/>
  <c r="G133" i="111"/>
  <c r="H133" i="111"/>
  <c r="C133" i="111"/>
  <c r="B133" i="111"/>
  <c r="F134" i="111"/>
  <c r="G134" i="111"/>
  <c r="H134" i="111"/>
  <c r="C134" i="111"/>
  <c r="B134" i="111"/>
  <c r="F135" i="111"/>
  <c r="G135" i="111"/>
  <c r="H135" i="111"/>
  <c r="C135" i="111"/>
  <c r="B135" i="111"/>
  <c r="F136" i="111"/>
  <c r="G136" i="111"/>
  <c r="H136" i="111"/>
  <c r="C136" i="111"/>
  <c r="B136" i="111"/>
  <c r="F137" i="111"/>
  <c r="G137" i="111"/>
  <c r="H137" i="111"/>
  <c r="C137" i="111"/>
  <c r="B137" i="111"/>
  <c r="F138" i="111"/>
  <c r="G138" i="111"/>
  <c r="H138" i="111"/>
  <c r="C138" i="111"/>
  <c r="B138" i="111"/>
  <c r="F139" i="111"/>
  <c r="G139" i="111"/>
  <c r="H139" i="111"/>
  <c r="C139" i="111"/>
  <c r="B139" i="111"/>
  <c r="F140" i="111"/>
  <c r="G140" i="111"/>
  <c r="H140" i="111"/>
  <c r="C140" i="111"/>
  <c r="B140" i="111"/>
  <c r="F141" i="111"/>
  <c r="G141" i="111"/>
  <c r="H141" i="111"/>
  <c r="C141" i="111"/>
  <c r="B141" i="111"/>
  <c r="F142" i="111"/>
  <c r="G142" i="111"/>
  <c r="H142" i="111"/>
  <c r="C142" i="111"/>
  <c r="B142" i="111"/>
  <c r="F143" i="111"/>
  <c r="G143" i="111"/>
  <c r="H143" i="111"/>
  <c r="C143" i="111"/>
  <c r="B143" i="111"/>
  <c r="F144" i="111"/>
  <c r="G144" i="111"/>
  <c r="H144" i="111"/>
  <c r="C144" i="111"/>
  <c r="B144" i="111"/>
  <c r="F145" i="111"/>
  <c r="G145" i="111"/>
  <c r="H145" i="111"/>
  <c r="C145" i="111"/>
  <c r="B145" i="111"/>
  <c r="F146" i="111"/>
  <c r="G146" i="111"/>
  <c r="H146" i="111"/>
  <c r="C146" i="111"/>
  <c r="B146" i="111"/>
  <c r="F147" i="111"/>
  <c r="G147" i="111"/>
  <c r="H147" i="111"/>
  <c r="C147" i="111"/>
  <c r="B147" i="111"/>
  <c r="F148" i="111"/>
  <c r="G148" i="111"/>
  <c r="H148" i="111"/>
  <c r="C148" i="111"/>
  <c r="B148" i="111"/>
  <c r="F149" i="111"/>
  <c r="G149" i="111"/>
  <c r="H149" i="111"/>
  <c r="C149" i="111"/>
  <c r="B149" i="111"/>
  <c r="F150" i="111"/>
  <c r="G150" i="111"/>
  <c r="H150" i="111"/>
  <c r="C150" i="111"/>
  <c r="B150" i="111"/>
  <c r="F151" i="111"/>
  <c r="G151" i="111"/>
  <c r="H151" i="111"/>
  <c r="C151" i="111"/>
  <c r="B151" i="111"/>
  <c r="F152" i="111"/>
  <c r="G152" i="111"/>
  <c r="H152" i="111"/>
  <c r="C152" i="111"/>
  <c r="B152" i="111"/>
  <c r="F153" i="111"/>
  <c r="G153" i="111"/>
  <c r="H153" i="111"/>
  <c r="C153" i="111"/>
  <c r="B153" i="111"/>
  <c r="F154" i="111"/>
  <c r="G154" i="111"/>
  <c r="H154" i="111"/>
  <c r="C154" i="111"/>
  <c r="B154" i="111"/>
  <c r="F155" i="111"/>
  <c r="G155" i="111"/>
  <c r="H155" i="111"/>
  <c r="C155" i="111"/>
  <c r="B155" i="111"/>
  <c r="F156" i="111"/>
  <c r="G156" i="111"/>
  <c r="H156" i="111"/>
  <c r="C156" i="111"/>
  <c r="B156" i="111"/>
  <c r="F157" i="111"/>
  <c r="G157" i="111"/>
  <c r="H157" i="111"/>
  <c r="C157" i="111"/>
  <c r="B157" i="111"/>
  <c r="F158" i="111"/>
  <c r="G158" i="111"/>
  <c r="H158" i="111"/>
  <c r="C158" i="111"/>
  <c r="B158" i="111"/>
  <c r="F159" i="111"/>
  <c r="G159" i="111"/>
  <c r="H159" i="111"/>
  <c r="C159" i="111"/>
  <c r="B159" i="111"/>
  <c r="F160" i="111"/>
  <c r="G160" i="111"/>
  <c r="H160" i="111"/>
  <c r="C160" i="111"/>
  <c r="B160" i="111"/>
  <c r="F161" i="111"/>
  <c r="G161" i="111"/>
  <c r="H161" i="111"/>
  <c r="C161" i="111"/>
  <c r="B161" i="111"/>
  <c r="F162" i="111"/>
  <c r="G162" i="111"/>
  <c r="H162" i="111"/>
  <c r="C162" i="111"/>
  <c r="B162" i="111"/>
  <c r="F163" i="111"/>
  <c r="G163" i="111"/>
  <c r="H163" i="111"/>
  <c r="C163" i="111"/>
  <c r="B163" i="111"/>
  <c r="F164" i="111"/>
  <c r="G164" i="111"/>
  <c r="H164" i="111"/>
  <c r="C164" i="111"/>
  <c r="B164" i="111"/>
  <c r="F165" i="111"/>
  <c r="G165" i="111"/>
  <c r="H165" i="111"/>
  <c r="C165" i="111"/>
  <c r="B165" i="111"/>
  <c r="F166" i="111"/>
  <c r="G166" i="111"/>
  <c r="H166" i="111"/>
  <c r="C166" i="111"/>
  <c r="B166" i="111"/>
  <c r="F167" i="111"/>
  <c r="G167" i="111"/>
  <c r="H167" i="111"/>
  <c r="C167" i="111"/>
  <c r="B167" i="111"/>
  <c r="F168" i="111"/>
  <c r="G168" i="111"/>
  <c r="H168" i="111"/>
  <c r="C168" i="111"/>
  <c r="B168" i="111"/>
  <c r="F169" i="111"/>
  <c r="G169" i="111"/>
  <c r="H169" i="111"/>
  <c r="C169" i="111"/>
  <c r="B169" i="111"/>
  <c r="F170" i="111"/>
  <c r="G170" i="111"/>
  <c r="H170" i="111"/>
  <c r="C170" i="111"/>
  <c r="B170" i="111"/>
  <c r="F171" i="111"/>
  <c r="G171" i="111"/>
  <c r="H171" i="111"/>
  <c r="C171" i="111"/>
  <c r="B171" i="111"/>
  <c r="F172" i="111"/>
  <c r="G172" i="111"/>
  <c r="H172" i="111"/>
  <c r="C172" i="111"/>
  <c r="B172" i="111"/>
  <c r="F173" i="111"/>
  <c r="G173" i="111"/>
  <c r="H173" i="111"/>
  <c r="C173" i="111"/>
  <c r="B173" i="111"/>
  <c r="F174" i="111"/>
  <c r="G174" i="111"/>
  <c r="H174" i="111"/>
  <c r="C174" i="111"/>
  <c r="B174" i="111"/>
  <c r="F175" i="111"/>
  <c r="G175" i="111"/>
  <c r="H175" i="111"/>
  <c r="C175" i="111"/>
  <c r="B175" i="111"/>
  <c r="F176" i="111"/>
  <c r="G176" i="111"/>
  <c r="H176" i="111"/>
  <c r="C176" i="111"/>
  <c r="B176" i="111"/>
  <c r="F177" i="111"/>
  <c r="G177" i="111"/>
  <c r="H177" i="111"/>
  <c r="C177" i="111"/>
  <c r="B177" i="111"/>
  <c r="F178" i="111"/>
  <c r="G178" i="111"/>
  <c r="H178" i="111"/>
  <c r="C178" i="111"/>
  <c r="B178" i="111"/>
  <c r="F179" i="111"/>
  <c r="G179" i="111"/>
  <c r="H179" i="111"/>
  <c r="C179" i="111"/>
  <c r="B179" i="111"/>
  <c r="F180" i="111"/>
  <c r="G180" i="111"/>
  <c r="H180" i="111"/>
  <c r="C180" i="111"/>
  <c r="B180" i="111"/>
  <c r="F181" i="111"/>
  <c r="G181" i="111"/>
  <c r="H181" i="111"/>
  <c r="C181" i="111"/>
  <c r="B181" i="111"/>
  <c r="F182" i="111"/>
  <c r="G182" i="111"/>
  <c r="H182" i="111"/>
  <c r="C182" i="111"/>
  <c r="B182" i="111"/>
  <c r="F183" i="111"/>
  <c r="G183" i="111"/>
  <c r="H183" i="111"/>
  <c r="C183" i="111"/>
  <c r="B183" i="111"/>
  <c r="F184" i="111"/>
  <c r="G184" i="111"/>
  <c r="H184" i="111"/>
  <c r="C184" i="111"/>
  <c r="B184" i="111"/>
  <c r="F185" i="111"/>
  <c r="G185" i="111"/>
  <c r="H185" i="111"/>
  <c r="C185" i="111"/>
  <c r="B185" i="111"/>
  <c r="F186" i="111"/>
  <c r="G186" i="111"/>
  <c r="H186" i="111"/>
  <c r="C186" i="111"/>
  <c r="B186" i="111"/>
  <c r="F187" i="111"/>
  <c r="G187" i="111"/>
  <c r="H187" i="111"/>
  <c r="C187" i="111"/>
  <c r="B187" i="111"/>
  <c r="F188" i="111"/>
  <c r="G188" i="111"/>
  <c r="H188" i="111"/>
  <c r="C188" i="111"/>
  <c r="B188" i="111"/>
  <c r="F189" i="111"/>
  <c r="G189" i="111"/>
  <c r="H189" i="111"/>
  <c r="C189" i="111"/>
  <c r="B189" i="111"/>
  <c r="F190" i="111"/>
  <c r="G190" i="111"/>
  <c r="H190" i="111"/>
  <c r="C190" i="111"/>
  <c r="B190" i="111"/>
  <c r="F191" i="111"/>
  <c r="G191" i="111"/>
  <c r="H191" i="111"/>
  <c r="C191" i="111"/>
  <c r="B191" i="111"/>
  <c r="F192" i="111"/>
  <c r="G192" i="111"/>
  <c r="H192" i="111"/>
  <c r="C192" i="111"/>
  <c r="B192" i="111"/>
  <c r="F193" i="111"/>
  <c r="G193" i="111"/>
  <c r="H193" i="111"/>
  <c r="C193" i="111"/>
  <c r="B193" i="111"/>
  <c r="F194" i="111"/>
  <c r="G194" i="111"/>
  <c r="H194" i="111"/>
  <c r="C194" i="111"/>
  <c r="B194" i="111"/>
  <c r="F195" i="111"/>
  <c r="G195" i="111"/>
  <c r="H195" i="111"/>
  <c r="C195" i="111"/>
  <c r="B195" i="111"/>
  <c r="F196" i="111"/>
  <c r="G196" i="111"/>
  <c r="H196" i="111"/>
  <c r="C196" i="111"/>
  <c r="B196" i="111"/>
  <c r="F197" i="111"/>
  <c r="G197" i="111"/>
  <c r="H197" i="111"/>
  <c r="C197" i="111"/>
  <c r="B197" i="111"/>
  <c r="F198" i="111"/>
  <c r="G198" i="111"/>
  <c r="H198" i="111"/>
  <c r="C198" i="111"/>
  <c r="B198" i="111"/>
  <c r="F199" i="111"/>
  <c r="G199" i="111"/>
  <c r="H199" i="111"/>
  <c r="C199" i="111"/>
  <c r="B199" i="111"/>
  <c r="F200" i="111"/>
  <c r="G200" i="111"/>
  <c r="H200" i="111"/>
  <c r="C200" i="111"/>
  <c r="B200" i="111"/>
  <c r="F201" i="111"/>
  <c r="G201" i="111"/>
  <c r="H201" i="111"/>
  <c r="C201" i="111"/>
  <c r="B201" i="111"/>
  <c r="F202" i="111"/>
  <c r="G202" i="111"/>
  <c r="H202" i="111"/>
  <c r="C202" i="111"/>
  <c r="B202" i="111"/>
  <c r="F203" i="111"/>
  <c r="G203" i="111"/>
  <c r="H203" i="111"/>
  <c r="C203" i="111"/>
  <c r="B203" i="111"/>
  <c r="F204" i="111"/>
  <c r="G204" i="111"/>
  <c r="H204" i="111"/>
  <c r="C204" i="111"/>
  <c r="B204" i="111"/>
  <c r="F205" i="111"/>
  <c r="G205" i="111"/>
  <c r="H205" i="111"/>
  <c r="C205" i="111"/>
  <c r="B205" i="111"/>
  <c r="F206" i="111"/>
  <c r="G206" i="111"/>
  <c r="H206" i="111"/>
  <c r="C206" i="111"/>
  <c r="B206" i="111"/>
  <c r="F207" i="111"/>
  <c r="G207" i="111"/>
  <c r="H207" i="111"/>
  <c r="C207" i="111"/>
  <c r="B207" i="111"/>
  <c r="F208" i="111"/>
  <c r="G208" i="111"/>
  <c r="H208" i="111"/>
  <c r="C208" i="111"/>
  <c r="B208" i="111"/>
  <c r="F209" i="111"/>
  <c r="G209" i="111"/>
  <c r="H209" i="111"/>
  <c r="C209" i="111"/>
  <c r="B209" i="111"/>
  <c r="F210" i="111"/>
  <c r="G210" i="111"/>
  <c r="H210" i="111"/>
  <c r="C210" i="111"/>
  <c r="B210" i="111"/>
  <c r="F211" i="111"/>
  <c r="G211" i="111"/>
  <c r="H211" i="111"/>
  <c r="C211" i="111"/>
  <c r="B211" i="111"/>
  <c r="F212" i="111"/>
  <c r="G212" i="111"/>
  <c r="H212" i="111"/>
  <c r="C212" i="111"/>
  <c r="B212" i="111"/>
  <c r="F213" i="111"/>
  <c r="G213" i="111"/>
  <c r="H213" i="111"/>
  <c r="C213" i="111"/>
  <c r="B213" i="111"/>
  <c r="F214" i="111"/>
  <c r="G214" i="111"/>
  <c r="H214" i="111"/>
  <c r="C214" i="111"/>
  <c r="B214" i="111"/>
  <c r="F215" i="111"/>
  <c r="G215" i="111"/>
  <c r="H215" i="111"/>
  <c r="C215" i="111"/>
  <c r="B215" i="111"/>
  <c r="F216" i="111"/>
  <c r="G216" i="111"/>
  <c r="H216" i="111"/>
  <c r="C216" i="111"/>
  <c r="B216" i="111"/>
  <c r="F217" i="111"/>
  <c r="G217" i="111"/>
  <c r="H217" i="111"/>
  <c r="C217" i="111"/>
  <c r="B217" i="111"/>
  <c r="F218" i="111"/>
  <c r="G218" i="111"/>
  <c r="H218" i="111"/>
  <c r="C218" i="111"/>
  <c r="B218" i="111"/>
  <c r="F219" i="111"/>
  <c r="G219" i="111"/>
  <c r="H219" i="111"/>
  <c r="C219" i="111"/>
  <c r="B219" i="111"/>
  <c r="F220" i="111"/>
  <c r="G220" i="111"/>
  <c r="H220" i="111"/>
  <c r="C220" i="111"/>
  <c r="B220" i="111"/>
  <c r="F221" i="111"/>
  <c r="G221" i="111"/>
  <c r="H221" i="111"/>
  <c r="C221" i="111"/>
  <c r="B221" i="111"/>
  <c r="F222" i="111"/>
  <c r="G222" i="111"/>
  <c r="H222" i="111"/>
  <c r="C222" i="111"/>
  <c r="B222" i="111"/>
  <c r="F223" i="111"/>
  <c r="G223" i="111"/>
  <c r="H223" i="111"/>
  <c r="C223" i="111"/>
  <c r="B223" i="111"/>
  <c r="F224" i="111"/>
  <c r="G224" i="111"/>
  <c r="H224" i="111"/>
  <c r="C224" i="111"/>
  <c r="B224" i="111"/>
  <c r="F225" i="111"/>
  <c r="G225" i="111"/>
  <c r="H225" i="111"/>
  <c r="C225" i="111"/>
  <c r="B225" i="111"/>
  <c r="F226" i="111"/>
  <c r="G226" i="111"/>
  <c r="H226" i="111"/>
  <c r="C226" i="111"/>
  <c r="B226" i="111"/>
  <c r="F227" i="111"/>
  <c r="G227" i="111"/>
  <c r="H227" i="111"/>
  <c r="C227" i="111"/>
  <c r="B227" i="111"/>
  <c r="F228" i="111"/>
  <c r="G228" i="111"/>
  <c r="H228" i="111"/>
  <c r="C228" i="111"/>
  <c r="B228" i="111"/>
  <c r="F229" i="111"/>
  <c r="G229" i="111"/>
  <c r="H229" i="111"/>
  <c r="C229" i="111"/>
  <c r="B229" i="111"/>
  <c r="F230" i="111"/>
  <c r="G230" i="111"/>
  <c r="H230" i="111"/>
  <c r="C230" i="111"/>
  <c r="B230" i="111"/>
  <c r="F231" i="111"/>
  <c r="G231" i="111"/>
  <c r="H231" i="111"/>
  <c r="C231" i="111"/>
  <c r="B231" i="111"/>
  <c r="F232" i="111"/>
  <c r="G232" i="111"/>
  <c r="H232" i="111"/>
  <c r="C232" i="111"/>
  <c r="B232" i="111"/>
  <c r="F233" i="111"/>
  <c r="G233" i="111"/>
  <c r="H233" i="111"/>
  <c r="C233" i="111"/>
  <c r="B233" i="111"/>
  <c r="F234" i="111"/>
  <c r="G234" i="111"/>
  <c r="H234" i="111"/>
  <c r="C234" i="111"/>
  <c r="B234" i="111"/>
  <c r="F235" i="111"/>
  <c r="G235" i="111"/>
  <c r="H235" i="111"/>
  <c r="C235" i="111"/>
  <c r="B235" i="111"/>
  <c r="F236" i="111"/>
  <c r="G236" i="111"/>
  <c r="H236" i="111"/>
  <c r="C236" i="111"/>
  <c r="B236" i="111"/>
  <c r="F237" i="111"/>
  <c r="G237" i="111"/>
  <c r="H237" i="111"/>
  <c r="C237" i="111"/>
  <c r="B237" i="111"/>
  <c r="F238" i="111"/>
  <c r="G238" i="111"/>
  <c r="H238" i="111"/>
  <c r="C238" i="111"/>
  <c r="B238" i="111"/>
  <c r="F239" i="111"/>
  <c r="G239" i="111"/>
  <c r="H239" i="111"/>
  <c r="C239" i="111"/>
  <c r="B239" i="111"/>
  <c r="F240" i="111"/>
  <c r="G240" i="111"/>
  <c r="H240" i="111"/>
  <c r="C240" i="111"/>
  <c r="B240" i="111"/>
  <c r="F241" i="111"/>
  <c r="G241" i="111"/>
  <c r="H241" i="111"/>
  <c r="C241" i="111"/>
  <c r="B241" i="111"/>
  <c r="F242" i="111"/>
  <c r="G242" i="111"/>
  <c r="H242" i="111"/>
  <c r="C242" i="111"/>
  <c r="B242" i="111"/>
  <c r="F243" i="111"/>
  <c r="G243" i="111"/>
  <c r="H243" i="111"/>
  <c r="C243" i="111"/>
  <c r="B243" i="111"/>
  <c r="F244" i="111"/>
  <c r="G244" i="111"/>
  <c r="H244" i="111"/>
  <c r="C244" i="111"/>
  <c r="B244" i="111"/>
  <c r="F245" i="111"/>
  <c r="G245" i="111"/>
  <c r="H245" i="111"/>
  <c r="C245" i="111"/>
  <c r="B245" i="111"/>
  <c r="M246" i="111"/>
  <c r="K246" i="111"/>
  <c r="J246" i="111"/>
  <c r="I246" i="111"/>
  <c r="E246" i="111"/>
  <c r="S245" i="111"/>
  <c r="R245" i="111"/>
  <c r="Q245" i="111"/>
  <c r="P245" i="111"/>
  <c r="O245" i="111"/>
  <c r="N245" i="111"/>
  <c r="M245" i="111"/>
  <c r="K245" i="111"/>
  <c r="J245" i="111"/>
  <c r="I245" i="111"/>
  <c r="E245" i="111"/>
  <c r="S244" i="111"/>
  <c r="R244" i="111"/>
  <c r="Q244" i="111"/>
  <c r="P244" i="111"/>
  <c r="O244" i="111"/>
  <c r="N244" i="111"/>
  <c r="M244" i="111"/>
  <c r="K244" i="111"/>
  <c r="J244" i="111"/>
  <c r="I244" i="111"/>
  <c r="E244" i="111"/>
  <c r="S243" i="111"/>
  <c r="R243" i="111"/>
  <c r="Q243" i="111"/>
  <c r="P243" i="111"/>
  <c r="O243" i="111"/>
  <c r="N243" i="111"/>
  <c r="M243" i="111"/>
  <c r="K243" i="111"/>
  <c r="J243" i="111"/>
  <c r="I243" i="111"/>
  <c r="E243" i="111"/>
  <c r="S242" i="111"/>
  <c r="R242" i="111"/>
  <c r="Q242" i="111"/>
  <c r="P242" i="111"/>
  <c r="O242" i="111"/>
  <c r="N242" i="111"/>
  <c r="M242" i="111"/>
  <c r="K242" i="111"/>
  <c r="J242" i="111"/>
  <c r="I242" i="111"/>
  <c r="E242" i="111"/>
  <c r="S241" i="111"/>
  <c r="R241" i="111"/>
  <c r="Q241" i="111"/>
  <c r="P241" i="111"/>
  <c r="O241" i="111"/>
  <c r="N241" i="111"/>
  <c r="M241" i="111"/>
  <c r="K241" i="111"/>
  <c r="J241" i="111"/>
  <c r="I241" i="111"/>
  <c r="E241" i="111"/>
  <c r="S240" i="111"/>
  <c r="R240" i="111"/>
  <c r="Q240" i="111"/>
  <c r="P240" i="111"/>
  <c r="O240" i="111"/>
  <c r="N240" i="111"/>
  <c r="M240" i="111"/>
  <c r="K240" i="111"/>
  <c r="J240" i="111"/>
  <c r="I240" i="111"/>
  <c r="E240" i="111"/>
  <c r="S239" i="111"/>
  <c r="R239" i="111"/>
  <c r="Q239" i="111"/>
  <c r="P239" i="111"/>
  <c r="O239" i="111"/>
  <c r="N239" i="111"/>
  <c r="M239" i="111"/>
  <c r="K239" i="111"/>
  <c r="J239" i="111"/>
  <c r="I239" i="111"/>
  <c r="E239" i="111"/>
  <c r="S238" i="111"/>
  <c r="R238" i="111"/>
  <c r="Q238" i="111"/>
  <c r="P238" i="111"/>
  <c r="O238" i="111"/>
  <c r="N238" i="111"/>
  <c r="M238" i="111"/>
  <c r="K238" i="111"/>
  <c r="J238" i="111"/>
  <c r="I238" i="111"/>
  <c r="E238" i="111"/>
  <c r="S237" i="111"/>
  <c r="R237" i="111"/>
  <c r="Q237" i="111"/>
  <c r="P237" i="111"/>
  <c r="O237" i="111"/>
  <c r="N237" i="111"/>
  <c r="M237" i="111"/>
  <c r="K237" i="111"/>
  <c r="J237" i="111"/>
  <c r="I237" i="111"/>
  <c r="E237" i="111"/>
  <c r="S236" i="111"/>
  <c r="R236" i="111"/>
  <c r="Q236" i="111"/>
  <c r="P236" i="111"/>
  <c r="O236" i="111"/>
  <c r="N236" i="111"/>
  <c r="M236" i="111"/>
  <c r="K236" i="111"/>
  <c r="J236" i="111"/>
  <c r="I236" i="111"/>
  <c r="E236" i="111"/>
  <c r="S235" i="111"/>
  <c r="R235" i="111"/>
  <c r="Q235" i="111"/>
  <c r="P235" i="111"/>
  <c r="O235" i="111"/>
  <c r="N235" i="111"/>
  <c r="M235" i="111"/>
  <c r="K235" i="111"/>
  <c r="J235" i="111"/>
  <c r="I235" i="111"/>
  <c r="E235" i="111"/>
  <c r="S234" i="111"/>
  <c r="R234" i="111"/>
  <c r="Q234" i="111"/>
  <c r="P234" i="111"/>
  <c r="O234" i="111"/>
  <c r="N234" i="111"/>
  <c r="M234" i="111"/>
  <c r="K234" i="111"/>
  <c r="J234" i="111"/>
  <c r="I234" i="111"/>
  <c r="E234" i="111"/>
  <c r="S233" i="111"/>
  <c r="R233" i="111"/>
  <c r="Q233" i="111"/>
  <c r="P233" i="111"/>
  <c r="O233" i="111"/>
  <c r="N233" i="111"/>
  <c r="M233" i="111"/>
  <c r="K233" i="111"/>
  <c r="J233" i="111"/>
  <c r="I233" i="111"/>
  <c r="E233" i="111"/>
  <c r="S232" i="111"/>
  <c r="R232" i="111"/>
  <c r="Q232" i="111"/>
  <c r="P232" i="111"/>
  <c r="O232" i="111"/>
  <c r="N232" i="111"/>
  <c r="M232" i="111"/>
  <c r="K232" i="111"/>
  <c r="J232" i="111"/>
  <c r="I232" i="111"/>
  <c r="E232" i="111"/>
  <c r="S231" i="111"/>
  <c r="R231" i="111"/>
  <c r="Q231" i="111"/>
  <c r="P231" i="111"/>
  <c r="O231" i="111"/>
  <c r="N231" i="111"/>
  <c r="M231" i="111"/>
  <c r="K231" i="111"/>
  <c r="J231" i="111"/>
  <c r="I231" i="111"/>
  <c r="E231" i="111"/>
  <c r="S230" i="111"/>
  <c r="R230" i="111"/>
  <c r="Q230" i="111"/>
  <c r="P230" i="111"/>
  <c r="O230" i="111"/>
  <c r="N230" i="111"/>
  <c r="M230" i="111"/>
  <c r="K230" i="111"/>
  <c r="J230" i="111"/>
  <c r="I230" i="111"/>
  <c r="E230" i="111"/>
  <c r="S229" i="111"/>
  <c r="R229" i="111"/>
  <c r="Q229" i="111"/>
  <c r="P229" i="111"/>
  <c r="O229" i="111"/>
  <c r="N229" i="111"/>
  <c r="M229" i="111"/>
  <c r="K229" i="111"/>
  <c r="J229" i="111"/>
  <c r="I229" i="111"/>
  <c r="E229" i="111"/>
  <c r="S228" i="111"/>
  <c r="R228" i="111"/>
  <c r="Q228" i="111"/>
  <c r="P228" i="111"/>
  <c r="O228" i="111"/>
  <c r="N228" i="111"/>
  <c r="M228" i="111"/>
  <c r="K228" i="111"/>
  <c r="J228" i="111"/>
  <c r="I228" i="111"/>
  <c r="E228" i="111"/>
  <c r="S227" i="111"/>
  <c r="R227" i="111"/>
  <c r="Q227" i="111"/>
  <c r="P227" i="111"/>
  <c r="O227" i="111"/>
  <c r="N227" i="111"/>
  <c r="M227" i="111"/>
  <c r="K227" i="111"/>
  <c r="J227" i="111"/>
  <c r="I227" i="111"/>
  <c r="E227" i="111"/>
  <c r="S226" i="111"/>
  <c r="R226" i="111"/>
  <c r="Q226" i="111"/>
  <c r="P226" i="111"/>
  <c r="O226" i="111"/>
  <c r="N226" i="111"/>
  <c r="M226" i="111"/>
  <c r="K226" i="111"/>
  <c r="J226" i="111"/>
  <c r="I226" i="111"/>
  <c r="E226" i="111"/>
  <c r="S225" i="111"/>
  <c r="R225" i="111"/>
  <c r="Q225" i="111"/>
  <c r="P225" i="111"/>
  <c r="O225" i="111"/>
  <c r="N225" i="111"/>
  <c r="M225" i="111"/>
  <c r="K225" i="111"/>
  <c r="J225" i="111"/>
  <c r="I225" i="111"/>
  <c r="E225" i="111"/>
  <c r="S224" i="111"/>
  <c r="R224" i="111"/>
  <c r="Q224" i="111"/>
  <c r="P224" i="111"/>
  <c r="O224" i="111"/>
  <c r="N224" i="111"/>
  <c r="M224" i="111"/>
  <c r="K224" i="111"/>
  <c r="J224" i="111"/>
  <c r="I224" i="111"/>
  <c r="E224" i="111"/>
  <c r="S223" i="111"/>
  <c r="R223" i="111"/>
  <c r="Q223" i="111"/>
  <c r="P223" i="111"/>
  <c r="O223" i="111"/>
  <c r="N223" i="111"/>
  <c r="M223" i="111"/>
  <c r="K223" i="111"/>
  <c r="J223" i="111"/>
  <c r="I223" i="111"/>
  <c r="E223" i="111"/>
  <c r="S222" i="111"/>
  <c r="R222" i="111"/>
  <c r="Q222" i="111"/>
  <c r="P222" i="111"/>
  <c r="O222" i="111"/>
  <c r="N222" i="111"/>
  <c r="M222" i="111"/>
  <c r="K222" i="111"/>
  <c r="J222" i="111"/>
  <c r="I222" i="111"/>
  <c r="E222" i="111"/>
  <c r="S221" i="111"/>
  <c r="R221" i="111"/>
  <c r="Q221" i="111"/>
  <c r="P221" i="111"/>
  <c r="O221" i="111"/>
  <c r="N221" i="111"/>
  <c r="M221" i="111"/>
  <c r="K221" i="111"/>
  <c r="J221" i="111"/>
  <c r="I221" i="111"/>
  <c r="E221" i="111"/>
  <c r="S220" i="111"/>
  <c r="R220" i="111"/>
  <c r="Q220" i="111"/>
  <c r="P220" i="111"/>
  <c r="O220" i="111"/>
  <c r="N220" i="111"/>
  <c r="M220" i="111"/>
  <c r="K220" i="111"/>
  <c r="J220" i="111"/>
  <c r="I220" i="111"/>
  <c r="E220" i="111"/>
  <c r="S219" i="111"/>
  <c r="R219" i="111"/>
  <c r="Q219" i="111"/>
  <c r="P219" i="111"/>
  <c r="O219" i="111"/>
  <c r="N219" i="111"/>
  <c r="M219" i="111"/>
  <c r="K219" i="111"/>
  <c r="J219" i="111"/>
  <c r="I219" i="111"/>
  <c r="E219" i="111"/>
  <c r="S218" i="111"/>
  <c r="R218" i="111"/>
  <c r="Q218" i="111"/>
  <c r="P218" i="111"/>
  <c r="O218" i="111"/>
  <c r="N218" i="111"/>
  <c r="M218" i="111"/>
  <c r="K218" i="111"/>
  <c r="J218" i="111"/>
  <c r="I218" i="111"/>
  <c r="E218" i="111"/>
  <c r="S217" i="111"/>
  <c r="R217" i="111"/>
  <c r="Q217" i="111"/>
  <c r="P217" i="111"/>
  <c r="O217" i="111"/>
  <c r="N217" i="111"/>
  <c r="M217" i="111"/>
  <c r="K217" i="111"/>
  <c r="J217" i="111"/>
  <c r="I217" i="111"/>
  <c r="E217" i="111"/>
  <c r="S216" i="111"/>
  <c r="R216" i="111"/>
  <c r="Q216" i="111"/>
  <c r="P216" i="111"/>
  <c r="O216" i="111"/>
  <c r="N216" i="111"/>
  <c r="M216" i="111"/>
  <c r="K216" i="111"/>
  <c r="J216" i="111"/>
  <c r="I216" i="111"/>
  <c r="E216" i="111"/>
  <c r="S215" i="111"/>
  <c r="R215" i="111"/>
  <c r="Q215" i="111"/>
  <c r="P215" i="111"/>
  <c r="O215" i="111"/>
  <c r="N215" i="111"/>
  <c r="M215" i="111"/>
  <c r="K215" i="111"/>
  <c r="J215" i="111"/>
  <c r="I215" i="111"/>
  <c r="E215" i="111"/>
  <c r="S214" i="111"/>
  <c r="R214" i="111"/>
  <c r="Q214" i="111"/>
  <c r="P214" i="111"/>
  <c r="O214" i="111"/>
  <c r="N214" i="111"/>
  <c r="M214" i="111"/>
  <c r="K214" i="111"/>
  <c r="J214" i="111"/>
  <c r="I214" i="111"/>
  <c r="E214" i="111"/>
  <c r="S213" i="111"/>
  <c r="R213" i="111"/>
  <c r="Q213" i="111"/>
  <c r="P213" i="111"/>
  <c r="O213" i="111"/>
  <c r="N213" i="111"/>
  <c r="M213" i="111"/>
  <c r="K213" i="111"/>
  <c r="J213" i="111"/>
  <c r="I213" i="111"/>
  <c r="E213" i="111"/>
  <c r="S212" i="111"/>
  <c r="R212" i="111"/>
  <c r="Q212" i="111"/>
  <c r="P212" i="111"/>
  <c r="O212" i="111"/>
  <c r="N212" i="111"/>
  <c r="M212" i="111"/>
  <c r="K212" i="111"/>
  <c r="J212" i="111"/>
  <c r="I212" i="111"/>
  <c r="E212" i="111"/>
  <c r="S211" i="111"/>
  <c r="R211" i="111"/>
  <c r="Q211" i="111"/>
  <c r="P211" i="111"/>
  <c r="O211" i="111"/>
  <c r="N211" i="111"/>
  <c r="M211" i="111"/>
  <c r="K211" i="111"/>
  <c r="J211" i="111"/>
  <c r="I211" i="111"/>
  <c r="E211" i="111"/>
  <c r="S210" i="111"/>
  <c r="R210" i="111"/>
  <c r="Q210" i="111"/>
  <c r="P210" i="111"/>
  <c r="O210" i="111"/>
  <c r="N210" i="111"/>
  <c r="M210" i="111"/>
  <c r="K210" i="111"/>
  <c r="J210" i="111"/>
  <c r="I210" i="111"/>
  <c r="E210" i="111"/>
  <c r="S209" i="111"/>
  <c r="R209" i="111"/>
  <c r="Q209" i="111"/>
  <c r="P209" i="111"/>
  <c r="O209" i="111"/>
  <c r="N209" i="111"/>
  <c r="M209" i="111"/>
  <c r="K209" i="111"/>
  <c r="J209" i="111"/>
  <c r="I209" i="111"/>
  <c r="E209" i="111"/>
  <c r="S208" i="111"/>
  <c r="R208" i="111"/>
  <c r="Q208" i="111"/>
  <c r="P208" i="111"/>
  <c r="O208" i="111"/>
  <c r="N208" i="111"/>
  <c r="M208" i="111"/>
  <c r="K208" i="111"/>
  <c r="J208" i="111"/>
  <c r="I208" i="111"/>
  <c r="E208" i="111"/>
  <c r="S207" i="111"/>
  <c r="R207" i="111"/>
  <c r="Q207" i="111"/>
  <c r="P207" i="111"/>
  <c r="O207" i="111"/>
  <c r="N207" i="111"/>
  <c r="M207" i="111"/>
  <c r="K207" i="111"/>
  <c r="J207" i="111"/>
  <c r="I207" i="111"/>
  <c r="E207" i="111"/>
  <c r="S206" i="111"/>
  <c r="R206" i="111"/>
  <c r="Q206" i="111"/>
  <c r="P206" i="111"/>
  <c r="O206" i="111"/>
  <c r="N206" i="111"/>
  <c r="M206" i="111"/>
  <c r="K206" i="111"/>
  <c r="J206" i="111"/>
  <c r="I206" i="111"/>
  <c r="E206" i="111"/>
  <c r="S205" i="111"/>
  <c r="R205" i="111"/>
  <c r="Q205" i="111"/>
  <c r="P205" i="111"/>
  <c r="O205" i="111"/>
  <c r="N205" i="111"/>
  <c r="M205" i="111"/>
  <c r="K205" i="111"/>
  <c r="J205" i="111"/>
  <c r="I205" i="111"/>
  <c r="E205" i="111"/>
  <c r="S204" i="111"/>
  <c r="R204" i="111"/>
  <c r="Q204" i="111"/>
  <c r="P204" i="111"/>
  <c r="O204" i="111"/>
  <c r="N204" i="111"/>
  <c r="M204" i="111"/>
  <c r="K204" i="111"/>
  <c r="J204" i="111"/>
  <c r="I204" i="111"/>
  <c r="E204" i="111"/>
  <c r="S203" i="111"/>
  <c r="R203" i="111"/>
  <c r="Q203" i="111"/>
  <c r="P203" i="111"/>
  <c r="O203" i="111"/>
  <c r="N203" i="111"/>
  <c r="M203" i="111"/>
  <c r="K203" i="111"/>
  <c r="J203" i="111"/>
  <c r="I203" i="111"/>
  <c r="E203" i="111"/>
  <c r="S202" i="111"/>
  <c r="R202" i="111"/>
  <c r="Q202" i="111"/>
  <c r="P202" i="111"/>
  <c r="O202" i="111"/>
  <c r="N202" i="111"/>
  <c r="M202" i="111"/>
  <c r="K202" i="111"/>
  <c r="J202" i="111"/>
  <c r="I202" i="111"/>
  <c r="E202" i="111"/>
  <c r="S201" i="111"/>
  <c r="R201" i="111"/>
  <c r="Q201" i="111"/>
  <c r="P201" i="111"/>
  <c r="O201" i="111"/>
  <c r="N201" i="111"/>
  <c r="M201" i="111"/>
  <c r="K201" i="111"/>
  <c r="J201" i="111"/>
  <c r="I201" i="111"/>
  <c r="E201" i="111"/>
  <c r="S200" i="111"/>
  <c r="R200" i="111"/>
  <c r="Q200" i="111"/>
  <c r="P200" i="111"/>
  <c r="O200" i="111"/>
  <c r="N200" i="111"/>
  <c r="M200" i="111"/>
  <c r="K200" i="111"/>
  <c r="J200" i="111"/>
  <c r="I200" i="111"/>
  <c r="E200" i="111"/>
  <c r="S199" i="111"/>
  <c r="R199" i="111"/>
  <c r="Q199" i="111"/>
  <c r="P199" i="111"/>
  <c r="O199" i="111"/>
  <c r="N199" i="111"/>
  <c r="M199" i="111"/>
  <c r="K199" i="111"/>
  <c r="J199" i="111"/>
  <c r="I199" i="111"/>
  <c r="E199" i="111"/>
  <c r="S198" i="111"/>
  <c r="R198" i="111"/>
  <c r="Q198" i="111"/>
  <c r="P198" i="111"/>
  <c r="O198" i="111"/>
  <c r="N198" i="111"/>
  <c r="M198" i="111"/>
  <c r="K198" i="111"/>
  <c r="J198" i="111"/>
  <c r="I198" i="111"/>
  <c r="E198" i="111"/>
  <c r="S197" i="111"/>
  <c r="R197" i="111"/>
  <c r="Q197" i="111"/>
  <c r="P197" i="111"/>
  <c r="O197" i="111"/>
  <c r="N197" i="111"/>
  <c r="M197" i="111"/>
  <c r="K197" i="111"/>
  <c r="J197" i="111"/>
  <c r="I197" i="111"/>
  <c r="E197" i="111"/>
  <c r="S196" i="111"/>
  <c r="R196" i="111"/>
  <c r="Q196" i="111"/>
  <c r="P196" i="111"/>
  <c r="O196" i="111"/>
  <c r="N196" i="111"/>
  <c r="M196" i="111"/>
  <c r="K196" i="111"/>
  <c r="J196" i="111"/>
  <c r="I196" i="111"/>
  <c r="E196" i="111"/>
  <c r="S195" i="111"/>
  <c r="R195" i="111"/>
  <c r="Q195" i="111"/>
  <c r="P195" i="111"/>
  <c r="O195" i="111"/>
  <c r="N195" i="111"/>
  <c r="M195" i="111"/>
  <c r="K195" i="111"/>
  <c r="J195" i="111"/>
  <c r="I195" i="111"/>
  <c r="E195" i="111"/>
  <c r="S194" i="111"/>
  <c r="R194" i="111"/>
  <c r="Q194" i="111"/>
  <c r="P194" i="111"/>
  <c r="O194" i="111"/>
  <c r="N194" i="111"/>
  <c r="M194" i="111"/>
  <c r="K194" i="111"/>
  <c r="J194" i="111"/>
  <c r="I194" i="111"/>
  <c r="E194" i="111"/>
  <c r="S193" i="111"/>
  <c r="R193" i="111"/>
  <c r="Q193" i="111"/>
  <c r="P193" i="111"/>
  <c r="O193" i="111"/>
  <c r="N193" i="111"/>
  <c r="M193" i="111"/>
  <c r="K193" i="111"/>
  <c r="J193" i="111"/>
  <c r="I193" i="111"/>
  <c r="E193" i="111"/>
  <c r="S192" i="111"/>
  <c r="R192" i="111"/>
  <c r="Q192" i="111"/>
  <c r="P192" i="111"/>
  <c r="O192" i="111"/>
  <c r="N192" i="111"/>
  <c r="M192" i="111"/>
  <c r="K192" i="111"/>
  <c r="J192" i="111"/>
  <c r="I192" i="111"/>
  <c r="E192" i="111"/>
  <c r="S191" i="111"/>
  <c r="R191" i="111"/>
  <c r="Q191" i="111"/>
  <c r="P191" i="111"/>
  <c r="O191" i="111"/>
  <c r="N191" i="111"/>
  <c r="M191" i="111"/>
  <c r="K191" i="111"/>
  <c r="J191" i="111"/>
  <c r="I191" i="111"/>
  <c r="E191" i="111"/>
  <c r="S190" i="111"/>
  <c r="R190" i="111"/>
  <c r="Q190" i="111"/>
  <c r="P190" i="111"/>
  <c r="O190" i="111"/>
  <c r="N190" i="111"/>
  <c r="M190" i="111"/>
  <c r="K190" i="111"/>
  <c r="J190" i="111"/>
  <c r="I190" i="111"/>
  <c r="E190" i="111"/>
  <c r="S189" i="111"/>
  <c r="R189" i="111"/>
  <c r="Q189" i="111"/>
  <c r="P189" i="111"/>
  <c r="O189" i="111"/>
  <c r="N189" i="111"/>
  <c r="M189" i="111"/>
  <c r="K189" i="111"/>
  <c r="J189" i="111"/>
  <c r="I189" i="111"/>
  <c r="E189" i="111"/>
  <c r="S188" i="111"/>
  <c r="R188" i="111"/>
  <c r="Q188" i="111"/>
  <c r="P188" i="111"/>
  <c r="O188" i="111"/>
  <c r="N188" i="111"/>
  <c r="M188" i="111"/>
  <c r="K188" i="111"/>
  <c r="J188" i="111"/>
  <c r="I188" i="111"/>
  <c r="E188" i="111"/>
  <c r="S187" i="111"/>
  <c r="R187" i="111"/>
  <c r="Q187" i="111"/>
  <c r="P187" i="111"/>
  <c r="O187" i="111"/>
  <c r="N187" i="111"/>
  <c r="M187" i="111"/>
  <c r="K187" i="111"/>
  <c r="J187" i="111"/>
  <c r="I187" i="111"/>
  <c r="E187" i="111"/>
  <c r="S186" i="111"/>
  <c r="R186" i="111"/>
  <c r="Q186" i="111"/>
  <c r="P186" i="111"/>
  <c r="O186" i="111"/>
  <c r="N186" i="111"/>
  <c r="M186" i="111"/>
  <c r="K186" i="111"/>
  <c r="J186" i="111"/>
  <c r="I186" i="111"/>
  <c r="E186" i="111"/>
  <c r="S185" i="111"/>
  <c r="R185" i="111"/>
  <c r="Q185" i="111"/>
  <c r="P185" i="111"/>
  <c r="O185" i="111"/>
  <c r="N185" i="111"/>
  <c r="M185" i="111"/>
  <c r="K185" i="111"/>
  <c r="J185" i="111"/>
  <c r="I185" i="111"/>
  <c r="E185" i="111"/>
  <c r="S184" i="111"/>
  <c r="R184" i="111"/>
  <c r="Q184" i="111"/>
  <c r="P184" i="111"/>
  <c r="O184" i="111"/>
  <c r="N184" i="111"/>
  <c r="M184" i="111"/>
  <c r="K184" i="111"/>
  <c r="J184" i="111"/>
  <c r="I184" i="111"/>
  <c r="E184" i="111"/>
  <c r="S183" i="111"/>
  <c r="R183" i="111"/>
  <c r="Q183" i="111"/>
  <c r="P183" i="111"/>
  <c r="O183" i="111"/>
  <c r="N183" i="111"/>
  <c r="M183" i="111"/>
  <c r="K183" i="111"/>
  <c r="J183" i="111"/>
  <c r="I183" i="111"/>
  <c r="E183" i="111"/>
  <c r="S182" i="111"/>
  <c r="R182" i="111"/>
  <c r="Q182" i="111"/>
  <c r="P182" i="111"/>
  <c r="O182" i="111"/>
  <c r="N182" i="111"/>
  <c r="M182" i="111"/>
  <c r="K182" i="111"/>
  <c r="J182" i="111"/>
  <c r="I182" i="111"/>
  <c r="E182" i="111"/>
  <c r="S181" i="111"/>
  <c r="R181" i="111"/>
  <c r="Q181" i="111"/>
  <c r="P181" i="111"/>
  <c r="O181" i="111"/>
  <c r="N181" i="111"/>
  <c r="M181" i="111"/>
  <c r="K181" i="111"/>
  <c r="J181" i="111"/>
  <c r="I181" i="111"/>
  <c r="E181" i="111"/>
  <c r="S180" i="111"/>
  <c r="R180" i="111"/>
  <c r="Q180" i="111"/>
  <c r="P180" i="111"/>
  <c r="O180" i="111"/>
  <c r="N180" i="111"/>
  <c r="M180" i="111"/>
  <c r="K180" i="111"/>
  <c r="J180" i="111"/>
  <c r="I180" i="111"/>
  <c r="E180" i="111"/>
  <c r="S179" i="111"/>
  <c r="R179" i="111"/>
  <c r="Q179" i="111"/>
  <c r="P179" i="111"/>
  <c r="O179" i="111"/>
  <c r="N179" i="111"/>
  <c r="M179" i="111"/>
  <c r="K179" i="111"/>
  <c r="J179" i="111"/>
  <c r="I179" i="111"/>
  <c r="E179" i="111"/>
  <c r="S178" i="111"/>
  <c r="R178" i="111"/>
  <c r="Q178" i="111"/>
  <c r="P178" i="111"/>
  <c r="O178" i="111"/>
  <c r="N178" i="111"/>
  <c r="M178" i="111"/>
  <c r="K178" i="111"/>
  <c r="J178" i="111"/>
  <c r="I178" i="111"/>
  <c r="E178" i="111"/>
  <c r="S177" i="111"/>
  <c r="R177" i="111"/>
  <c r="Q177" i="111"/>
  <c r="P177" i="111"/>
  <c r="O177" i="111"/>
  <c r="N177" i="111"/>
  <c r="M177" i="111"/>
  <c r="K177" i="111"/>
  <c r="J177" i="111"/>
  <c r="I177" i="111"/>
  <c r="E177" i="111"/>
  <c r="S176" i="111"/>
  <c r="R176" i="111"/>
  <c r="Q176" i="111"/>
  <c r="P176" i="111"/>
  <c r="O176" i="111"/>
  <c r="N176" i="111"/>
  <c r="M176" i="111"/>
  <c r="K176" i="111"/>
  <c r="J176" i="111"/>
  <c r="I176" i="111"/>
  <c r="E176" i="111"/>
  <c r="S175" i="111"/>
  <c r="R175" i="111"/>
  <c r="Q175" i="111"/>
  <c r="P175" i="111"/>
  <c r="O175" i="111"/>
  <c r="N175" i="111"/>
  <c r="M175" i="111"/>
  <c r="K175" i="111"/>
  <c r="J175" i="111"/>
  <c r="I175" i="111"/>
  <c r="E175" i="111"/>
  <c r="S174" i="111"/>
  <c r="R174" i="111"/>
  <c r="Q174" i="111"/>
  <c r="P174" i="111"/>
  <c r="O174" i="111"/>
  <c r="N174" i="111"/>
  <c r="M174" i="111"/>
  <c r="K174" i="111"/>
  <c r="J174" i="111"/>
  <c r="I174" i="111"/>
  <c r="E174" i="111"/>
  <c r="S173" i="111"/>
  <c r="R173" i="111"/>
  <c r="Q173" i="111"/>
  <c r="P173" i="111"/>
  <c r="O173" i="111"/>
  <c r="N173" i="111"/>
  <c r="M173" i="111"/>
  <c r="K173" i="111"/>
  <c r="J173" i="111"/>
  <c r="I173" i="111"/>
  <c r="E173" i="111"/>
  <c r="S172" i="111"/>
  <c r="R172" i="111"/>
  <c r="Q172" i="111"/>
  <c r="P172" i="111"/>
  <c r="O172" i="111"/>
  <c r="N172" i="111"/>
  <c r="M172" i="111"/>
  <c r="K172" i="111"/>
  <c r="J172" i="111"/>
  <c r="I172" i="111"/>
  <c r="E172" i="111"/>
  <c r="S171" i="111"/>
  <c r="R171" i="111"/>
  <c r="Q171" i="111"/>
  <c r="P171" i="111"/>
  <c r="O171" i="111"/>
  <c r="N171" i="111"/>
  <c r="M171" i="111"/>
  <c r="K171" i="111"/>
  <c r="J171" i="111"/>
  <c r="I171" i="111"/>
  <c r="E171" i="111"/>
  <c r="S170" i="111"/>
  <c r="R170" i="111"/>
  <c r="Q170" i="111"/>
  <c r="P170" i="111"/>
  <c r="O170" i="111"/>
  <c r="N170" i="111"/>
  <c r="M170" i="111"/>
  <c r="K170" i="111"/>
  <c r="J170" i="111"/>
  <c r="I170" i="111"/>
  <c r="E170" i="111"/>
  <c r="S169" i="111"/>
  <c r="R169" i="111"/>
  <c r="Q169" i="111"/>
  <c r="P169" i="111"/>
  <c r="O169" i="111"/>
  <c r="N169" i="111"/>
  <c r="M169" i="111"/>
  <c r="K169" i="111"/>
  <c r="J169" i="111"/>
  <c r="I169" i="111"/>
  <c r="E169" i="111"/>
  <c r="S168" i="111"/>
  <c r="R168" i="111"/>
  <c r="Q168" i="111"/>
  <c r="P168" i="111"/>
  <c r="O168" i="111"/>
  <c r="N168" i="111"/>
  <c r="M168" i="111"/>
  <c r="K168" i="111"/>
  <c r="J168" i="111"/>
  <c r="I168" i="111"/>
  <c r="E168" i="111"/>
  <c r="S167" i="111"/>
  <c r="R167" i="111"/>
  <c r="Q167" i="111"/>
  <c r="P167" i="111"/>
  <c r="O167" i="111"/>
  <c r="N167" i="111"/>
  <c r="M167" i="111"/>
  <c r="K167" i="111"/>
  <c r="J167" i="111"/>
  <c r="I167" i="111"/>
  <c r="E167" i="111"/>
  <c r="S166" i="111"/>
  <c r="R166" i="111"/>
  <c r="Q166" i="111"/>
  <c r="P166" i="111"/>
  <c r="O166" i="111"/>
  <c r="N166" i="111"/>
  <c r="M166" i="111"/>
  <c r="K166" i="111"/>
  <c r="J166" i="111"/>
  <c r="I166" i="111"/>
  <c r="E166" i="111"/>
  <c r="S165" i="111"/>
  <c r="R165" i="111"/>
  <c r="Q165" i="111"/>
  <c r="P165" i="111"/>
  <c r="O165" i="111"/>
  <c r="N165" i="111"/>
  <c r="M165" i="111"/>
  <c r="K165" i="111"/>
  <c r="J165" i="111"/>
  <c r="I165" i="111"/>
  <c r="E165" i="111"/>
  <c r="S164" i="111"/>
  <c r="R164" i="111"/>
  <c r="Q164" i="111"/>
  <c r="P164" i="111"/>
  <c r="O164" i="111"/>
  <c r="N164" i="111"/>
  <c r="M164" i="111"/>
  <c r="K164" i="111"/>
  <c r="J164" i="111"/>
  <c r="I164" i="111"/>
  <c r="E164" i="111"/>
  <c r="S163" i="111"/>
  <c r="R163" i="111"/>
  <c r="Q163" i="111"/>
  <c r="P163" i="111"/>
  <c r="O163" i="111"/>
  <c r="N163" i="111"/>
  <c r="M163" i="111"/>
  <c r="K163" i="111"/>
  <c r="J163" i="111"/>
  <c r="I163" i="111"/>
  <c r="E163" i="111"/>
  <c r="S162" i="111"/>
  <c r="R162" i="111"/>
  <c r="Q162" i="111"/>
  <c r="P162" i="111"/>
  <c r="O162" i="111"/>
  <c r="N162" i="111"/>
  <c r="M162" i="111"/>
  <c r="K162" i="111"/>
  <c r="J162" i="111"/>
  <c r="I162" i="111"/>
  <c r="E162" i="111"/>
  <c r="S161" i="111"/>
  <c r="R161" i="111"/>
  <c r="Q161" i="111"/>
  <c r="P161" i="111"/>
  <c r="O161" i="111"/>
  <c r="N161" i="111"/>
  <c r="M161" i="111"/>
  <c r="K161" i="111"/>
  <c r="J161" i="111"/>
  <c r="I161" i="111"/>
  <c r="E161" i="111"/>
  <c r="S160" i="111"/>
  <c r="R160" i="111"/>
  <c r="Q160" i="111"/>
  <c r="P160" i="111"/>
  <c r="O160" i="111"/>
  <c r="N160" i="111"/>
  <c r="M160" i="111"/>
  <c r="K160" i="111"/>
  <c r="J160" i="111"/>
  <c r="I160" i="111"/>
  <c r="E160" i="111"/>
  <c r="S159" i="111"/>
  <c r="R159" i="111"/>
  <c r="Q159" i="111"/>
  <c r="P159" i="111"/>
  <c r="O159" i="111"/>
  <c r="N159" i="111"/>
  <c r="M159" i="111"/>
  <c r="K159" i="111"/>
  <c r="J159" i="111"/>
  <c r="I159" i="111"/>
  <c r="E159" i="111"/>
  <c r="S158" i="111"/>
  <c r="R158" i="111"/>
  <c r="Q158" i="111"/>
  <c r="P158" i="111"/>
  <c r="O158" i="111"/>
  <c r="N158" i="111"/>
  <c r="M158" i="111"/>
  <c r="K158" i="111"/>
  <c r="J158" i="111"/>
  <c r="I158" i="111"/>
  <c r="E158" i="111"/>
  <c r="S157" i="111"/>
  <c r="R157" i="111"/>
  <c r="Q157" i="111"/>
  <c r="P157" i="111"/>
  <c r="O157" i="111"/>
  <c r="N157" i="111"/>
  <c r="M157" i="111"/>
  <c r="K157" i="111"/>
  <c r="J157" i="111"/>
  <c r="I157" i="111"/>
  <c r="E157" i="111"/>
  <c r="S156" i="111"/>
  <c r="R156" i="111"/>
  <c r="Q156" i="111"/>
  <c r="P156" i="111"/>
  <c r="O156" i="111"/>
  <c r="N156" i="111"/>
  <c r="M156" i="111"/>
  <c r="K156" i="111"/>
  <c r="J156" i="111"/>
  <c r="I156" i="111"/>
  <c r="E156" i="111"/>
  <c r="S155" i="111"/>
  <c r="R155" i="111"/>
  <c r="Q155" i="111"/>
  <c r="P155" i="111"/>
  <c r="O155" i="111"/>
  <c r="N155" i="111"/>
  <c r="M155" i="111"/>
  <c r="K155" i="111"/>
  <c r="J155" i="111"/>
  <c r="I155" i="111"/>
  <c r="E155" i="111"/>
  <c r="S154" i="111"/>
  <c r="R154" i="111"/>
  <c r="Q154" i="111"/>
  <c r="P154" i="111"/>
  <c r="O154" i="111"/>
  <c r="N154" i="111"/>
  <c r="M154" i="111"/>
  <c r="K154" i="111"/>
  <c r="J154" i="111"/>
  <c r="I154" i="111"/>
  <c r="E154" i="111"/>
  <c r="S153" i="111"/>
  <c r="R153" i="111"/>
  <c r="Q153" i="111"/>
  <c r="P153" i="111"/>
  <c r="O153" i="111"/>
  <c r="N153" i="111"/>
  <c r="M153" i="111"/>
  <c r="K153" i="111"/>
  <c r="J153" i="111"/>
  <c r="I153" i="111"/>
  <c r="E153" i="111"/>
  <c r="S152" i="111"/>
  <c r="R152" i="111"/>
  <c r="Q152" i="111"/>
  <c r="P152" i="111"/>
  <c r="O152" i="111"/>
  <c r="N152" i="111"/>
  <c r="M152" i="111"/>
  <c r="K152" i="111"/>
  <c r="J152" i="111"/>
  <c r="I152" i="111"/>
  <c r="E152" i="111"/>
  <c r="S151" i="111"/>
  <c r="R151" i="111"/>
  <c r="Q151" i="111"/>
  <c r="P151" i="111"/>
  <c r="O151" i="111"/>
  <c r="N151" i="111"/>
  <c r="M151" i="111"/>
  <c r="K151" i="111"/>
  <c r="J151" i="111"/>
  <c r="I151" i="111"/>
  <c r="E151" i="111"/>
  <c r="S150" i="111"/>
  <c r="R150" i="111"/>
  <c r="Q150" i="111"/>
  <c r="P150" i="111"/>
  <c r="O150" i="111"/>
  <c r="N150" i="111"/>
  <c r="M150" i="111"/>
  <c r="K150" i="111"/>
  <c r="J150" i="111"/>
  <c r="I150" i="111"/>
  <c r="E150" i="111"/>
  <c r="S149" i="111"/>
  <c r="R149" i="111"/>
  <c r="Q149" i="111"/>
  <c r="P149" i="111"/>
  <c r="O149" i="111"/>
  <c r="N149" i="111"/>
  <c r="M149" i="111"/>
  <c r="K149" i="111"/>
  <c r="J149" i="111"/>
  <c r="I149" i="111"/>
  <c r="E149" i="111"/>
  <c r="S148" i="111"/>
  <c r="R148" i="111"/>
  <c r="Q148" i="111"/>
  <c r="P148" i="111"/>
  <c r="O148" i="111"/>
  <c r="N148" i="111"/>
  <c r="M148" i="111"/>
  <c r="K148" i="111"/>
  <c r="J148" i="111"/>
  <c r="I148" i="111"/>
  <c r="E148" i="111"/>
  <c r="S147" i="111"/>
  <c r="R147" i="111"/>
  <c r="Q147" i="111"/>
  <c r="P147" i="111"/>
  <c r="O147" i="111"/>
  <c r="N147" i="111"/>
  <c r="M147" i="111"/>
  <c r="K147" i="111"/>
  <c r="J147" i="111"/>
  <c r="I147" i="111"/>
  <c r="E147" i="111"/>
  <c r="S146" i="111"/>
  <c r="R146" i="111"/>
  <c r="Q146" i="111"/>
  <c r="P146" i="111"/>
  <c r="O146" i="111"/>
  <c r="N146" i="111"/>
  <c r="M146" i="111"/>
  <c r="K146" i="111"/>
  <c r="J146" i="111"/>
  <c r="I146" i="111"/>
  <c r="E146" i="111"/>
  <c r="S145" i="111"/>
  <c r="R145" i="111"/>
  <c r="Q145" i="111"/>
  <c r="P145" i="111"/>
  <c r="O145" i="111"/>
  <c r="N145" i="111"/>
  <c r="M145" i="111"/>
  <c r="K145" i="111"/>
  <c r="J145" i="111"/>
  <c r="I145" i="111"/>
  <c r="E145" i="111"/>
  <c r="S144" i="111"/>
  <c r="R144" i="111"/>
  <c r="Q144" i="111"/>
  <c r="P144" i="111"/>
  <c r="O144" i="111"/>
  <c r="N144" i="111"/>
  <c r="M144" i="111"/>
  <c r="K144" i="111"/>
  <c r="J144" i="111"/>
  <c r="I144" i="111"/>
  <c r="E144" i="111"/>
  <c r="S143" i="111"/>
  <c r="R143" i="111"/>
  <c r="Q143" i="111"/>
  <c r="P143" i="111"/>
  <c r="O143" i="111"/>
  <c r="N143" i="111"/>
  <c r="M143" i="111"/>
  <c r="K143" i="111"/>
  <c r="J143" i="111"/>
  <c r="I143" i="111"/>
  <c r="E143" i="111"/>
  <c r="S142" i="111"/>
  <c r="R142" i="111"/>
  <c r="Q142" i="111"/>
  <c r="P142" i="111"/>
  <c r="O142" i="111"/>
  <c r="N142" i="111"/>
  <c r="M142" i="111"/>
  <c r="K142" i="111"/>
  <c r="J142" i="111"/>
  <c r="I142" i="111"/>
  <c r="E142" i="111"/>
  <c r="S141" i="111"/>
  <c r="R141" i="111"/>
  <c r="Q141" i="111"/>
  <c r="P141" i="111"/>
  <c r="O141" i="111"/>
  <c r="N141" i="111"/>
  <c r="M141" i="111"/>
  <c r="K141" i="111"/>
  <c r="J141" i="111"/>
  <c r="I141" i="111"/>
  <c r="E141" i="111"/>
  <c r="S140" i="111"/>
  <c r="R140" i="111"/>
  <c r="Q140" i="111"/>
  <c r="P140" i="111"/>
  <c r="O140" i="111"/>
  <c r="N140" i="111"/>
  <c r="M140" i="111"/>
  <c r="K140" i="111"/>
  <c r="J140" i="111"/>
  <c r="I140" i="111"/>
  <c r="E140" i="111"/>
  <c r="S139" i="111"/>
  <c r="R139" i="111"/>
  <c r="Q139" i="111"/>
  <c r="P139" i="111"/>
  <c r="O139" i="111"/>
  <c r="N139" i="111"/>
  <c r="M139" i="111"/>
  <c r="K139" i="111"/>
  <c r="J139" i="111"/>
  <c r="I139" i="111"/>
  <c r="E139" i="111"/>
  <c r="S138" i="111"/>
  <c r="R138" i="111"/>
  <c r="Q138" i="111"/>
  <c r="P138" i="111"/>
  <c r="O138" i="111"/>
  <c r="N138" i="111"/>
  <c r="M138" i="111"/>
  <c r="K138" i="111"/>
  <c r="J138" i="111"/>
  <c r="I138" i="111"/>
  <c r="E138" i="111"/>
  <c r="S137" i="111"/>
  <c r="R137" i="111"/>
  <c r="Q137" i="111"/>
  <c r="P137" i="111"/>
  <c r="O137" i="111"/>
  <c r="N137" i="111"/>
  <c r="M137" i="111"/>
  <c r="K137" i="111"/>
  <c r="J137" i="111"/>
  <c r="I137" i="111"/>
  <c r="E137" i="111"/>
  <c r="S136" i="111"/>
  <c r="R136" i="111"/>
  <c r="Q136" i="111"/>
  <c r="P136" i="111"/>
  <c r="O136" i="111"/>
  <c r="N136" i="111"/>
  <c r="M136" i="111"/>
  <c r="K136" i="111"/>
  <c r="J136" i="111"/>
  <c r="I136" i="111"/>
  <c r="E136" i="111"/>
  <c r="S135" i="111"/>
  <c r="R135" i="111"/>
  <c r="Q135" i="111"/>
  <c r="P135" i="111"/>
  <c r="O135" i="111"/>
  <c r="N135" i="111"/>
  <c r="M135" i="111"/>
  <c r="K135" i="111"/>
  <c r="J135" i="111"/>
  <c r="I135" i="111"/>
  <c r="E135" i="111"/>
  <c r="S134" i="111"/>
  <c r="R134" i="111"/>
  <c r="Q134" i="111"/>
  <c r="P134" i="111"/>
  <c r="O134" i="111"/>
  <c r="N134" i="111"/>
  <c r="M134" i="111"/>
  <c r="K134" i="111"/>
  <c r="J134" i="111"/>
  <c r="I134" i="111"/>
  <c r="E134" i="111"/>
  <c r="S133" i="111"/>
  <c r="R133" i="111"/>
  <c r="Q133" i="111"/>
  <c r="P133" i="111"/>
  <c r="O133" i="111"/>
  <c r="N133" i="111"/>
  <c r="M133" i="111"/>
  <c r="K133" i="111"/>
  <c r="J133" i="111"/>
  <c r="I133" i="111"/>
  <c r="E133" i="111"/>
  <c r="S132" i="111"/>
  <c r="R132" i="111"/>
  <c r="Q132" i="111"/>
  <c r="P132" i="111"/>
  <c r="O132" i="111"/>
  <c r="N132" i="111"/>
  <c r="M132" i="111"/>
  <c r="K132" i="111"/>
  <c r="J132" i="111"/>
  <c r="I132" i="111"/>
  <c r="E132" i="111"/>
  <c r="S131" i="111"/>
  <c r="R131" i="111"/>
  <c r="Q131" i="111"/>
  <c r="P131" i="111"/>
  <c r="O131" i="111"/>
  <c r="N131" i="111"/>
  <c r="M131" i="111"/>
  <c r="K131" i="111"/>
  <c r="J131" i="111"/>
  <c r="I131" i="111"/>
  <c r="E131" i="111"/>
  <c r="S130" i="111"/>
  <c r="R130" i="111"/>
  <c r="Q130" i="111"/>
  <c r="P130" i="111"/>
  <c r="O130" i="111"/>
  <c r="N130" i="111"/>
  <c r="M130" i="111"/>
  <c r="K130" i="111"/>
  <c r="J130" i="111"/>
  <c r="I130" i="111"/>
  <c r="E130" i="111"/>
  <c r="S129" i="111"/>
  <c r="R129" i="111"/>
  <c r="Q129" i="111"/>
  <c r="P129" i="111"/>
  <c r="O129" i="111"/>
  <c r="N129" i="111"/>
  <c r="M129" i="111"/>
  <c r="K129" i="111"/>
  <c r="J129" i="111"/>
  <c r="I129" i="111"/>
  <c r="E129" i="111"/>
  <c r="S128" i="111"/>
  <c r="R128" i="111"/>
  <c r="Q128" i="111"/>
  <c r="P128" i="111"/>
  <c r="O128" i="111"/>
  <c r="N128" i="111"/>
  <c r="M128" i="111"/>
  <c r="K128" i="111"/>
  <c r="J128" i="111"/>
  <c r="I128" i="111"/>
  <c r="E128" i="111"/>
  <c r="S127" i="111"/>
  <c r="R127" i="111"/>
  <c r="Q127" i="111"/>
  <c r="P127" i="111"/>
  <c r="O127" i="111"/>
  <c r="N127" i="111"/>
  <c r="M127" i="111"/>
  <c r="K127" i="111"/>
  <c r="J127" i="111"/>
  <c r="I127" i="111"/>
  <c r="E127" i="111"/>
  <c r="S126" i="111"/>
  <c r="R126" i="111"/>
  <c r="Q126" i="111"/>
  <c r="P126" i="111"/>
  <c r="O126" i="111"/>
  <c r="N126" i="111"/>
  <c r="M126" i="111"/>
  <c r="K126" i="111"/>
  <c r="J126" i="111"/>
  <c r="I126" i="111"/>
  <c r="E126" i="111"/>
  <c r="S125" i="111"/>
  <c r="R125" i="111"/>
  <c r="Q125" i="111"/>
  <c r="P125" i="111"/>
  <c r="O125" i="111"/>
  <c r="N125" i="111"/>
  <c r="M125" i="111"/>
  <c r="K125" i="111"/>
  <c r="J125" i="111"/>
  <c r="I125" i="111"/>
  <c r="E125" i="111"/>
  <c r="S124" i="111"/>
  <c r="R124" i="111"/>
  <c r="Q124" i="111"/>
  <c r="P124" i="111"/>
  <c r="O124" i="111"/>
  <c r="N124" i="111"/>
  <c r="M124" i="111"/>
  <c r="K124" i="111"/>
  <c r="J124" i="111"/>
  <c r="I124" i="111"/>
  <c r="E124" i="111"/>
  <c r="S123" i="111"/>
  <c r="R123" i="111"/>
  <c r="Q123" i="111"/>
  <c r="P123" i="111"/>
  <c r="O123" i="111"/>
  <c r="N123" i="111"/>
  <c r="M123" i="111"/>
  <c r="K123" i="111"/>
  <c r="J123" i="111"/>
  <c r="I123" i="111"/>
  <c r="E123" i="111"/>
  <c r="S122" i="111"/>
  <c r="R122" i="111"/>
  <c r="Q122" i="111"/>
  <c r="P122" i="111"/>
  <c r="O122" i="111"/>
  <c r="N122" i="111"/>
  <c r="M122" i="111"/>
  <c r="K122" i="111"/>
  <c r="J122" i="111"/>
  <c r="I122" i="111"/>
  <c r="E122" i="111"/>
  <c r="S121" i="111"/>
  <c r="R121" i="111"/>
  <c r="Q121" i="111"/>
  <c r="P121" i="111"/>
  <c r="O121" i="111"/>
  <c r="N121" i="111"/>
  <c r="M121" i="111"/>
  <c r="K121" i="111"/>
  <c r="J121" i="111"/>
  <c r="I121" i="111"/>
  <c r="E121" i="111"/>
  <c r="S120" i="111"/>
  <c r="R120" i="111"/>
  <c r="Q120" i="111"/>
  <c r="P120" i="111"/>
  <c r="O120" i="111"/>
  <c r="N120" i="111"/>
  <c r="M120" i="111"/>
  <c r="K120" i="111"/>
  <c r="J120" i="111"/>
  <c r="I120" i="111"/>
  <c r="E120" i="111"/>
  <c r="S119" i="111"/>
  <c r="R119" i="111"/>
  <c r="Q119" i="111"/>
  <c r="P119" i="111"/>
  <c r="O119" i="111"/>
  <c r="N119" i="111"/>
  <c r="M119" i="111"/>
  <c r="K119" i="111"/>
  <c r="J119" i="111"/>
  <c r="I119" i="111"/>
  <c r="E119" i="111"/>
  <c r="S118" i="111"/>
  <c r="R118" i="111"/>
  <c r="Q118" i="111"/>
  <c r="P118" i="111"/>
  <c r="O118" i="111"/>
  <c r="N118" i="111"/>
  <c r="M118" i="111"/>
  <c r="K118" i="111"/>
  <c r="J118" i="111"/>
  <c r="I118" i="111"/>
  <c r="E118" i="111"/>
  <c r="S117" i="111"/>
  <c r="R117" i="111"/>
  <c r="Q117" i="111"/>
  <c r="P117" i="111"/>
  <c r="O117" i="111"/>
  <c r="N117" i="111"/>
  <c r="M117" i="111"/>
  <c r="K117" i="111"/>
  <c r="J117" i="111"/>
  <c r="I117" i="111"/>
  <c r="E117" i="111"/>
  <c r="S116" i="111"/>
  <c r="R116" i="111"/>
  <c r="Q116" i="111"/>
  <c r="P116" i="111"/>
  <c r="O116" i="111"/>
  <c r="N116" i="111"/>
  <c r="M116" i="111"/>
  <c r="K116" i="111"/>
  <c r="J116" i="111"/>
  <c r="I116" i="111"/>
  <c r="E116" i="111"/>
  <c r="S115" i="111"/>
  <c r="R115" i="111"/>
  <c r="Q115" i="111"/>
  <c r="P115" i="111"/>
  <c r="O115" i="111"/>
  <c r="N115" i="111"/>
  <c r="M115" i="111"/>
  <c r="K115" i="111"/>
  <c r="J115" i="111"/>
  <c r="I115" i="111"/>
  <c r="E115" i="111"/>
  <c r="S114" i="111"/>
  <c r="R114" i="111"/>
  <c r="Q114" i="111"/>
  <c r="P114" i="111"/>
  <c r="O114" i="111"/>
  <c r="N114" i="111"/>
  <c r="M114" i="111"/>
  <c r="K114" i="111"/>
  <c r="J114" i="111"/>
  <c r="I114" i="111"/>
  <c r="E114" i="111"/>
  <c r="S113" i="111"/>
  <c r="R113" i="111"/>
  <c r="Q113" i="111"/>
  <c r="P113" i="111"/>
  <c r="O113" i="111"/>
  <c r="N113" i="111"/>
  <c r="M113" i="111"/>
  <c r="K113" i="111"/>
  <c r="J113" i="111"/>
  <c r="I113" i="111"/>
  <c r="E113" i="111"/>
  <c r="S112" i="111"/>
  <c r="R112" i="111"/>
  <c r="Q112" i="111"/>
  <c r="P112" i="111"/>
  <c r="O112" i="111"/>
  <c r="N112" i="111"/>
  <c r="M112" i="111"/>
  <c r="K112" i="111"/>
  <c r="J112" i="111"/>
  <c r="I112" i="111"/>
  <c r="E112" i="111"/>
  <c r="S111" i="111"/>
  <c r="R111" i="111"/>
  <c r="Q111" i="111"/>
  <c r="P111" i="111"/>
  <c r="O111" i="111"/>
  <c r="N111" i="111"/>
  <c r="M111" i="111"/>
  <c r="K111" i="111"/>
  <c r="J111" i="111"/>
  <c r="I111" i="111"/>
  <c r="E111" i="111"/>
  <c r="S110" i="111"/>
  <c r="R110" i="111"/>
  <c r="Q110" i="111"/>
  <c r="P110" i="111"/>
  <c r="O110" i="111"/>
  <c r="N110" i="111"/>
  <c r="M110" i="111"/>
  <c r="K110" i="111"/>
  <c r="J110" i="111"/>
  <c r="I110" i="111"/>
  <c r="E110" i="111"/>
  <c r="S109" i="111"/>
  <c r="R109" i="111"/>
  <c r="Q109" i="111"/>
  <c r="P109" i="111"/>
  <c r="O109" i="111"/>
  <c r="N109" i="111"/>
  <c r="M109" i="111"/>
  <c r="K109" i="111"/>
  <c r="J109" i="111"/>
  <c r="I109" i="111"/>
  <c r="E109" i="111"/>
  <c r="S108" i="111"/>
  <c r="R108" i="111"/>
  <c r="Q108" i="111"/>
  <c r="P108" i="111"/>
  <c r="O108" i="111"/>
  <c r="N108" i="111"/>
  <c r="M108" i="111"/>
  <c r="K108" i="111"/>
  <c r="J108" i="111"/>
  <c r="I108" i="111"/>
  <c r="E108" i="111"/>
  <c r="S107" i="111"/>
  <c r="R107" i="111"/>
  <c r="Q107" i="111"/>
  <c r="P107" i="111"/>
  <c r="O107" i="111"/>
  <c r="N107" i="111"/>
  <c r="M107" i="111"/>
  <c r="K107" i="111"/>
  <c r="J107" i="111"/>
  <c r="I107" i="111"/>
  <c r="E107" i="111"/>
  <c r="S106" i="111"/>
  <c r="R106" i="111"/>
  <c r="Q106" i="111"/>
  <c r="P106" i="111"/>
  <c r="O106" i="111"/>
  <c r="N106" i="111"/>
  <c r="M106" i="111"/>
  <c r="K106" i="111"/>
  <c r="J106" i="111"/>
  <c r="I106" i="111"/>
  <c r="E106" i="111"/>
  <c r="S105" i="111"/>
  <c r="R105" i="111"/>
  <c r="Q105" i="111"/>
  <c r="P105" i="111"/>
  <c r="O105" i="111"/>
  <c r="N105" i="111"/>
  <c r="M105" i="111"/>
  <c r="K105" i="111"/>
  <c r="J105" i="111"/>
  <c r="I105" i="111"/>
  <c r="E105" i="111"/>
  <c r="S104" i="111"/>
  <c r="R104" i="111"/>
  <c r="Q104" i="111"/>
  <c r="P104" i="111"/>
  <c r="O104" i="111"/>
  <c r="N104" i="111"/>
  <c r="M104" i="111"/>
  <c r="K104" i="111"/>
  <c r="J104" i="111"/>
  <c r="I104" i="111"/>
  <c r="E104" i="111"/>
  <c r="S103" i="111"/>
  <c r="R103" i="111"/>
  <c r="Q103" i="111"/>
  <c r="P103" i="111"/>
  <c r="O103" i="111"/>
  <c r="N103" i="111"/>
  <c r="M103" i="111"/>
  <c r="K103" i="111"/>
  <c r="J103" i="111"/>
  <c r="I103" i="111"/>
  <c r="E103" i="111"/>
  <c r="S102" i="111"/>
  <c r="R102" i="111"/>
  <c r="Q102" i="111"/>
  <c r="P102" i="111"/>
  <c r="O102" i="111"/>
  <c r="N102" i="111"/>
  <c r="M102" i="111"/>
  <c r="K102" i="111"/>
  <c r="J102" i="111"/>
  <c r="I102" i="111"/>
  <c r="E102" i="111"/>
  <c r="S101" i="111"/>
  <c r="R101" i="111"/>
  <c r="Q101" i="111"/>
  <c r="P101" i="111"/>
  <c r="O101" i="111"/>
  <c r="N101" i="111"/>
  <c r="M101" i="111"/>
  <c r="K101" i="111"/>
  <c r="J101" i="111"/>
  <c r="I101" i="111"/>
  <c r="E101" i="111"/>
  <c r="S100" i="111"/>
  <c r="R100" i="111"/>
  <c r="Q100" i="111"/>
  <c r="P100" i="111"/>
  <c r="O100" i="111"/>
  <c r="N100" i="111"/>
  <c r="M100" i="111"/>
  <c r="K100" i="111"/>
  <c r="J100" i="111"/>
  <c r="I100" i="111"/>
  <c r="E100" i="111"/>
  <c r="S99" i="111"/>
  <c r="R99" i="111"/>
  <c r="Q99" i="111"/>
  <c r="P99" i="111"/>
  <c r="O99" i="111"/>
  <c r="N99" i="111"/>
  <c r="M99" i="111"/>
  <c r="K99" i="111"/>
  <c r="J99" i="111"/>
  <c r="I99" i="111"/>
  <c r="E99" i="111"/>
  <c r="S98" i="111"/>
  <c r="R98" i="111"/>
  <c r="Q98" i="111"/>
  <c r="P98" i="111"/>
  <c r="O98" i="111"/>
  <c r="N98" i="111"/>
  <c r="M98" i="111"/>
  <c r="K98" i="111"/>
  <c r="J98" i="111"/>
  <c r="I98" i="111"/>
  <c r="E98" i="111"/>
  <c r="S97" i="111"/>
  <c r="R97" i="111"/>
  <c r="Q97" i="111"/>
  <c r="P97" i="111"/>
  <c r="O97" i="111"/>
  <c r="N97" i="111"/>
  <c r="M97" i="111"/>
  <c r="K97" i="111"/>
  <c r="J97" i="111"/>
  <c r="I97" i="111"/>
  <c r="E97" i="111"/>
  <c r="S96" i="111"/>
  <c r="R96" i="111"/>
  <c r="Q96" i="111"/>
  <c r="P96" i="111"/>
  <c r="O96" i="111"/>
  <c r="N96" i="111"/>
  <c r="M96" i="111"/>
  <c r="K96" i="111"/>
  <c r="J96" i="111"/>
  <c r="I96" i="111"/>
  <c r="E96" i="111"/>
  <c r="S95" i="111"/>
  <c r="R95" i="111"/>
  <c r="Q95" i="111"/>
  <c r="P95" i="111"/>
  <c r="O95" i="111"/>
  <c r="N95" i="111"/>
  <c r="M95" i="111"/>
  <c r="K95" i="111"/>
  <c r="J95" i="111"/>
  <c r="I95" i="111"/>
  <c r="E95" i="111"/>
  <c r="S94" i="111"/>
  <c r="R94" i="111"/>
  <c r="Q94" i="111"/>
  <c r="P94" i="111"/>
  <c r="O94" i="111"/>
  <c r="N94" i="111"/>
  <c r="M94" i="111"/>
  <c r="K94" i="111"/>
  <c r="J94" i="111"/>
  <c r="I94" i="111"/>
  <c r="E94" i="111"/>
  <c r="S93" i="111"/>
  <c r="R93" i="111"/>
  <c r="Q93" i="111"/>
  <c r="P93" i="111"/>
  <c r="O93" i="111"/>
  <c r="N93" i="111"/>
  <c r="M93" i="111"/>
  <c r="K93" i="111"/>
  <c r="J93" i="111"/>
  <c r="I93" i="111"/>
  <c r="E93" i="111"/>
  <c r="S92" i="111"/>
  <c r="R92" i="111"/>
  <c r="Q92" i="111"/>
  <c r="P92" i="111"/>
  <c r="O92" i="111"/>
  <c r="N92" i="111"/>
  <c r="M92" i="111"/>
  <c r="K92" i="111"/>
  <c r="J92" i="111"/>
  <c r="I92" i="111"/>
  <c r="E92" i="111"/>
  <c r="S91" i="111"/>
  <c r="R91" i="111"/>
  <c r="Q91" i="111"/>
  <c r="P91" i="111"/>
  <c r="O91" i="111"/>
  <c r="N91" i="111"/>
  <c r="M91" i="111"/>
  <c r="K91" i="111"/>
  <c r="J91" i="111"/>
  <c r="I91" i="111"/>
  <c r="E91" i="111"/>
  <c r="S90" i="111"/>
  <c r="R90" i="111"/>
  <c r="Q90" i="111"/>
  <c r="P90" i="111"/>
  <c r="O90" i="111"/>
  <c r="N90" i="111"/>
  <c r="M90" i="111"/>
  <c r="K90" i="111"/>
  <c r="J90" i="111"/>
  <c r="I90" i="111"/>
  <c r="E90" i="111"/>
  <c r="S89" i="111"/>
  <c r="R89" i="111"/>
  <c r="Q89" i="111"/>
  <c r="P89" i="111"/>
  <c r="O89" i="111"/>
  <c r="N89" i="111"/>
  <c r="M89" i="111"/>
  <c r="K89" i="111"/>
  <c r="J89" i="111"/>
  <c r="I89" i="111"/>
  <c r="E89" i="111"/>
  <c r="S88" i="111"/>
  <c r="R88" i="111"/>
  <c r="Q88" i="111"/>
  <c r="P88" i="111"/>
  <c r="O88" i="111"/>
  <c r="N88" i="111"/>
  <c r="M88" i="111"/>
  <c r="K88" i="111"/>
  <c r="J88" i="111"/>
  <c r="I88" i="111"/>
  <c r="E88" i="111"/>
  <c r="S87" i="111"/>
  <c r="R87" i="111"/>
  <c r="Q87" i="111"/>
  <c r="P87" i="111"/>
  <c r="O87" i="111"/>
  <c r="N87" i="111"/>
  <c r="M87" i="111"/>
  <c r="K87" i="111"/>
  <c r="J87" i="111"/>
  <c r="I87" i="111"/>
  <c r="E87" i="111"/>
  <c r="S86" i="111"/>
  <c r="R86" i="111"/>
  <c r="Q86" i="111"/>
  <c r="P86" i="111"/>
  <c r="O86" i="111"/>
  <c r="N86" i="111"/>
  <c r="M86" i="111"/>
  <c r="K86" i="111"/>
  <c r="J86" i="111"/>
  <c r="I86" i="111"/>
  <c r="E86" i="111"/>
  <c r="S85" i="111"/>
  <c r="R85" i="111"/>
  <c r="Q85" i="111"/>
  <c r="P85" i="111"/>
  <c r="O85" i="111"/>
  <c r="N85" i="111"/>
  <c r="M85" i="111"/>
  <c r="K85" i="111"/>
  <c r="J85" i="111"/>
  <c r="I85" i="111"/>
  <c r="E85" i="111"/>
  <c r="S84" i="111"/>
  <c r="R84" i="111"/>
  <c r="Q84" i="111"/>
  <c r="P84" i="111"/>
  <c r="O84" i="111"/>
  <c r="N84" i="111"/>
  <c r="M84" i="111"/>
  <c r="K84" i="111"/>
  <c r="J84" i="111"/>
  <c r="I84" i="111"/>
  <c r="E84" i="111"/>
  <c r="S83" i="111"/>
  <c r="R83" i="111"/>
  <c r="Q83" i="111"/>
  <c r="P83" i="111"/>
  <c r="O83" i="111"/>
  <c r="N83" i="111"/>
  <c r="M83" i="111"/>
  <c r="K83" i="111"/>
  <c r="J83" i="111"/>
  <c r="I83" i="111"/>
  <c r="E83" i="111"/>
  <c r="S82" i="111"/>
  <c r="R82" i="111"/>
  <c r="Q82" i="111"/>
  <c r="P82" i="111"/>
  <c r="O82" i="111"/>
  <c r="N82" i="111"/>
  <c r="M82" i="111"/>
  <c r="K82" i="111"/>
  <c r="J82" i="111"/>
  <c r="I82" i="111"/>
  <c r="E82" i="111"/>
  <c r="S81" i="111"/>
  <c r="R81" i="111"/>
  <c r="Q81" i="111"/>
  <c r="P81" i="111"/>
  <c r="O81" i="111"/>
  <c r="N81" i="111"/>
  <c r="M81" i="111"/>
  <c r="K81" i="111"/>
  <c r="J81" i="111"/>
  <c r="I81" i="111"/>
  <c r="E81" i="111"/>
  <c r="S80" i="111"/>
  <c r="R80" i="111"/>
  <c r="Q80" i="111"/>
  <c r="P80" i="111"/>
  <c r="O80" i="111"/>
  <c r="N80" i="111"/>
  <c r="M80" i="111"/>
  <c r="K80" i="111"/>
  <c r="J80" i="111"/>
  <c r="I80" i="111"/>
  <c r="E80" i="111"/>
  <c r="S79" i="111"/>
  <c r="R79" i="111"/>
  <c r="Q79" i="111"/>
  <c r="P79" i="111"/>
  <c r="O79" i="111"/>
  <c r="N79" i="111"/>
  <c r="M79" i="111"/>
  <c r="K79" i="111"/>
  <c r="J79" i="111"/>
  <c r="I79" i="111"/>
  <c r="E79" i="111"/>
  <c r="S78" i="111"/>
  <c r="R78" i="111"/>
  <c r="Q78" i="111"/>
  <c r="P78" i="111"/>
  <c r="O78" i="111"/>
  <c r="N78" i="111"/>
  <c r="M78" i="111"/>
  <c r="K78" i="111"/>
  <c r="J78" i="111"/>
  <c r="I78" i="111"/>
  <c r="E78" i="111"/>
  <c r="S77" i="111"/>
  <c r="R77" i="111"/>
  <c r="Q77" i="111"/>
  <c r="P77" i="111"/>
  <c r="O77" i="111"/>
  <c r="N77" i="111"/>
  <c r="M77" i="111"/>
  <c r="K77" i="111"/>
  <c r="J77" i="111"/>
  <c r="I77" i="111"/>
  <c r="E77" i="111"/>
  <c r="S76" i="111"/>
  <c r="R76" i="111"/>
  <c r="Q76" i="111"/>
  <c r="P76" i="111"/>
  <c r="O76" i="111"/>
  <c r="N76" i="111"/>
  <c r="M76" i="111"/>
  <c r="K76" i="111"/>
  <c r="J76" i="111"/>
  <c r="I76" i="111"/>
  <c r="E76" i="111"/>
  <c r="S75" i="111"/>
  <c r="R75" i="111"/>
  <c r="Q75" i="111"/>
  <c r="P75" i="111"/>
  <c r="O75" i="111"/>
  <c r="N75" i="111"/>
  <c r="M75" i="111"/>
  <c r="K75" i="111"/>
  <c r="J75" i="111"/>
  <c r="I75" i="111"/>
  <c r="E75" i="111"/>
  <c r="S74" i="111"/>
  <c r="R74" i="111"/>
  <c r="Q74" i="111"/>
  <c r="P74" i="111"/>
  <c r="O74" i="111"/>
  <c r="N74" i="111"/>
  <c r="M74" i="111"/>
  <c r="K74" i="111"/>
  <c r="J74" i="111"/>
  <c r="I74" i="111"/>
  <c r="E74" i="111"/>
  <c r="S73" i="111"/>
  <c r="R73" i="111"/>
  <c r="Q73" i="111"/>
  <c r="P73" i="111"/>
  <c r="O73" i="111"/>
  <c r="N73" i="111"/>
  <c r="M73" i="111"/>
  <c r="K73" i="111"/>
  <c r="J73" i="111"/>
  <c r="I73" i="111"/>
  <c r="E73" i="111"/>
  <c r="S72" i="111"/>
  <c r="R72" i="111"/>
  <c r="Q72" i="111"/>
  <c r="P72" i="111"/>
  <c r="O72" i="111"/>
  <c r="N72" i="111"/>
  <c r="M72" i="111"/>
  <c r="K72" i="111"/>
  <c r="J72" i="111"/>
  <c r="I72" i="111"/>
  <c r="E72" i="111"/>
  <c r="S71" i="111"/>
  <c r="R71" i="111"/>
  <c r="Q71" i="111"/>
  <c r="P71" i="111"/>
  <c r="O71" i="111"/>
  <c r="N71" i="111"/>
  <c r="M71" i="111"/>
  <c r="K71" i="111"/>
  <c r="J71" i="111"/>
  <c r="I71" i="111"/>
  <c r="E71" i="111"/>
  <c r="S70" i="111"/>
  <c r="R70" i="111"/>
  <c r="Q70" i="111"/>
  <c r="P70" i="111"/>
  <c r="O70" i="111"/>
  <c r="N70" i="111"/>
  <c r="M70" i="111"/>
  <c r="K70" i="111"/>
  <c r="J70" i="111"/>
  <c r="I70" i="111"/>
  <c r="E70" i="111"/>
  <c r="S69" i="111"/>
  <c r="R69" i="111"/>
  <c r="Q69" i="111"/>
  <c r="P69" i="111"/>
  <c r="O69" i="111"/>
  <c r="N69" i="111"/>
  <c r="M69" i="111"/>
  <c r="K69" i="111"/>
  <c r="J69" i="111"/>
  <c r="I69" i="111"/>
  <c r="E69" i="111"/>
  <c r="S68" i="111"/>
  <c r="R68" i="111"/>
  <c r="Q68" i="111"/>
  <c r="P68" i="111"/>
  <c r="O68" i="111"/>
  <c r="N68" i="111"/>
  <c r="M68" i="111"/>
  <c r="K68" i="111"/>
  <c r="J68" i="111"/>
  <c r="I68" i="111"/>
  <c r="E68" i="111"/>
  <c r="S67" i="111"/>
  <c r="R67" i="111"/>
  <c r="Q67" i="111"/>
  <c r="P67" i="111"/>
  <c r="O67" i="111"/>
  <c r="N67" i="111"/>
  <c r="M67" i="111"/>
  <c r="K67" i="111"/>
  <c r="J67" i="111"/>
  <c r="I67" i="111"/>
  <c r="E67" i="111"/>
  <c r="S66" i="111"/>
  <c r="R66" i="111"/>
  <c r="Q66" i="111"/>
  <c r="P66" i="111"/>
  <c r="O66" i="111"/>
  <c r="N66" i="111"/>
  <c r="M66" i="111"/>
  <c r="K66" i="111"/>
  <c r="J66" i="111"/>
  <c r="I66" i="111"/>
  <c r="E66" i="111"/>
  <c r="S65" i="111"/>
  <c r="R65" i="111"/>
  <c r="Q65" i="111"/>
  <c r="P65" i="111"/>
  <c r="O65" i="111"/>
  <c r="N65" i="111"/>
  <c r="M65" i="111"/>
  <c r="K65" i="111"/>
  <c r="J65" i="111"/>
  <c r="I65" i="111"/>
  <c r="E65" i="111"/>
  <c r="S64" i="111"/>
  <c r="R64" i="111"/>
  <c r="Q64" i="111"/>
  <c r="P64" i="111"/>
  <c r="O64" i="111"/>
  <c r="N64" i="111"/>
  <c r="M64" i="111"/>
  <c r="K64" i="111"/>
  <c r="J64" i="111"/>
  <c r="I64" i="111"/>
  <c r="E64" i="111"/>
  <c r="S63" i="111"/>
  <c r="R63" i="111"/>
  <c r="Q63" i="111"/>
  <c r="P63" i="111"/>
  <c r="O63" i="111"/>
  <c r="N63" i="111"/>
  <c r="M63" i="111"/>
  <c r="K63" i="111"/>
  <c r="J63" i="111"/>
  <c r="I63" i="111"/>
  <c r="E63" i="111"/>
  <c r="S62" i="111"/>
  <c r="R62" i="111"/>
  <c r="Q62" i="111"/>
  <c r="P62" i="111"/>
  <c r="O62" i="111"/>
  <c r="N62" i="111"/>
  <c r="M62" i="111"/>
  <c r="K62" i="111"/>
  <c r="J62" i="111"/>
  <c r="I62" i="111"/>
  <c r="E62" i="111"/>
  <c r="S61" i="111"/>
  <c r="R61" i="111"/>
  <c r="Q61" i="111"/>
  <c r="P61" i="111"/>
  <c r="O61" i="111"/>
  <c r="N61" i="111"/>
  <c r="M61" i="111"/>
  <c r="K61" i="111"/>
  <c r="J61" i="111"/>
  <c r="I61" i="111"/>
  <c r="E61" i="111"/>
  <c r="S60" i="111"/>
  <c r="R60" i="111"/>
  <c r="Q60" i="111"/>
  <c r="P60" i="111"/>
  <c r="O60" i="111"/>
  <c r="N60" i="111"/>
  <c r="M60" i="111"/>
  <c r="K60" i="111"/>
  <c r="J60" i="111"/>
  <c r="I60" i="111"/>
  <c r="E60" i="111"/>
  <c r="S59" i="111"/>
  <c r="R59" i="111"/>
  <c r="Q59" i="111"/>
  <c r="P59" i="111"/>
  <c r="O59" i="111"/>
  <c r="N59" i="111"/>
  <c r="M59" i="111"/>
  <c r="K59" i="111"/>
  <c r="J59" i="111"/>
  <c r="I59" i="111"/>
  <c r="E59" i="111"/>
  <c r="S58" i="111"/>
  <c r="R58" i="111"/>
  <c r="Q58" i="111"/>
  <c r="P58" i="111"/>
  <c r="O58" i="111"/>
  <c r="N58" i="111"/>
  <c r="M58" i="111"/>
  <c r="K58" i="111"/>
  <c r="J58" i="111"/>
  <c r="I58" i="111"/>
  <c r="E58" i="111"/>
  <c r="S57" i="111"/>
  <c r="R57" i="111"/>
  <c r="Q57" i="111"/>
  <c r="P57" i="111"/>
  <c r="O57" i="111"/>
  <c r="N57" i="111"/>
  <c r="M57" i="111"/>
  <c r="K57" i="111"/>
  <c r="J57" i="111"/>
  <c r="I57" i="111"/>
  <c r="E57" i="111"/>
  <c r="S56" i="111"/>
  <c r="R56" i="111"/>
  <c r="Q56" i="111"/>
  <c r="P56" i="111"/>
  <c r="O56" i="111"/>
  <c r="N56" i="111"/>
  <c r="M56" i="111"/>
  <c r="K56" i="111"/>
  <c r="J56" i="111"/>
  <c r="I56" i="111"/>
  <c r="E56" i="111"/>
  <c r="S55" i="111"/>
  <c r="R55" i="111"/>
  <c r="Q55" i="111"/>
  <c r="P55" i="111"/>
  <c r="O55" i="111"/>
  <c r="N55" i="111"/>
  <c r="M55" i="111"/>
  <c r="K55" i="111"/>
  <c r="J55" i="111"/>
  <c r="I55" i="111"/>
  <c r="E55" i="111"/>
  <c r="S54" i="111"/>
  <c r="R54" i="111"/>
  <c r="Q54" i="111"/>
  <c r="P54" i="111"/>
  <c r="O54" i="111"/>
  <c r="N54" i="111"/>
  <c r="M54" i="111"/>
  <c r="K54" i="111"/>
  <c r="J54" i="111"/>
  <c r="I54" i="111"/>
  <c r="E54" i="111"/>
  <c r="S53" i="111"/>
  <c r="R53" i="111"/>
  <c r="Q53" i="111"/>
  <c r="P53" i="111"/>
  <c r="O53" i="111"/>
  <c r="N53" i="111"/>
  <c r="M53" i="111"/>
  <c r="K53" i="111"/>
  <c r="J53" i="111"/>
  <c r="I53" i="111"/>
  <c r="E53" i="111"/>
  <c r="S52" i="111"/>
  <c r="R52" i="111"/>
  <c r="Q52" i="111"/>
  <c r="P52" i="111"/>
  <c r="O52" i="111"/>
  <c r="N52" i="111"/>
  <c r="M52" i="111"/>
  <c r="K52" i="111"/>
  <c r="J52" i="111"/>
  <c r="I52" i="111"/>
  <c r="E52" i="111"/>
  <c r="S51" i="111"/>
  <c r="R51" i="111"/>
  <c r="Q51" i="111"/>
  <c r="P51" i="111"/>
  <c r="O51" i="111"/>
  <c r="N51" i="111"/>
  <c r="M51" i="111"/>
  <c r="K51" i="111"/>
  <c r="J51" i="111"/>
  <c r="I51" i="111"/>
  <c r="E51" i="111"/>
  <c r="S50" i="111"/>
  <c r="R50" i="111"/>
  <c r="Q50" i="111"/>
  <c r="P50" i="111"/>
  <c r="O50" i="111"/>
  <c r="N50" i="111"/>
  <c r="M50" i="111"/>
  <c r="K50" i="111"/>
  <c r="J50" i="111"/>
  <c r="I50" i="111"/>
  <c r="E50" i="111"/>
  <c r="S49" i="111"/>
  <c r="R49" i="111"/>
  <c r="Q49" i="111"/>
  <c r="P49" i="111"/>
  <c r="O49" i="111"/>
  <c r="N49" i="111"/>
  <c r="M49" i="111"/>
  <c r="K49" i="111"/>
  <c r="J49" i="111"/>
  <c r="I49" i="111"/>
  <c r="E49" i="111"/>
  <c r="S48" i="111"/>
  <c r="R48" i="111"/>
  <c r="Q48" i="111"/>
  <c r="P48" i="111"/>
  <c r="O48" i="111"/>
  <c r="N48" i="111"/>
  <c r="M48" i="111"/>
  <c r="K48" i="111"/>
  <c r="J48" i="111"/>
  <c r="I48" i="111"/>
  <c r="E48" i="111"/>
  <c r="S47" i="111"/>
  <c r="R47" i="111"/>
  <c r="Q47" i="111"/>
  <c r="P47" i="111"/>
  <c r="O47" i="111"/>
  <c r="N47" i="111"/>
  <c r="M47" i="111"/>
  <c r="K47" i="111"/>
  <c r="J47" i="111"/>
  <c r="I47" i="111"/>
  <c r="E47" i="111"/>
  <c r="S46" i="111"/>
  <c r="R46" i="111"/>
  <c r="Q46" i="111"/>
  <c r="P46" i="111"/>
  <c r="O46" i="111"/>
  <c r="N46" i="111"/>
  <c r="M46" i="111"/>
  <c r="K46" i="111"/>
  <c r="J46" i="111"/>
  <c r="I46" i="111"/>
  <c r="E46" i="111"/>
  <c r="S45" i="111"/>
  <c r="R45" i="111"/>
  <c r="Q45" i="111"/>
  <c r="P45" i="111"/>
  <c r="O45" i="111"/>
  <c r="N45" i="111"/>
  <c r="M45" i="111"/>
  <c r="K45" i="111"/>
  <c r="J45" i="111"/>
  <c r="I45" i="111"/>
  <c r="E45" i="111"/>
  <c r="S44" i="111"/>
  <c r="R44" i="111"/>
  <c r="Q44" i="111"/>
  <c r="P44" i="111"/>
  <c r="O44" i="111"/>
  <c r="N44" i="111"/>
  <c r="M44" i="111"/>
  <c r="K44" i="111"/>
  <c r="J44" i="111"/>
  <c r="I44" i="111"/>
  <c r="E44" i="111"/>
  <c r="S43" i="111"/>
  <c r="R43" i="111"/>
  <c r="Q43" i="111"/>
  <c r="P43" i="111"/>
  <c r="O43" i="111"/>
  <c r="N43" i="111"/>
  <c r="M43" i="111"/>
  <c r="K43" i="111"/>
  <c r="J43" i="111"/>
  <c r="I43" i="111"/>
  <c r="E43" i="111"/>
  <c r="S42" i="111"/>
  <c r="R42" i="111"/>
  <c r="Q42" i="111"/>
  <c r="P42" i="111"/>
  <c r="O42" i="111"/>
  <c r="N42" i="111"/>
  <c r="M42" i="111"/>
  <c r="K42" i="111"/>
  <c r="J42" i="111"/>
  <c r="I42" i="111"/>
  <c r="E42" i="111"/>
  <c r="S41" i="111"/>
  <c r="R41" i="111"/>
  <c r="Q41" i="111"/>
  <c r="P41" i="111"/>
  <c r="O41" i="111"/>
  <c r="N41" i="111"/>
  <c r="M41" i="111"/>
  <c r="K41" i="111"/>
  <c r="J41" i="111"/>
  <c r="I41" i="111"/>
  <c r="E41" i="111"/>
  <c r="S40" i="111"/>
  <c r="R40" i="111"/>
  <c r="Q40" i="111"/>
  <c r="P40" i="111"/>
  <c r="O40" i="111"/>
  <c r="N40" i="111"/>
  <c r="M40" i="111"/>
  <c r="K40" i="111"/>
  <c r="J40" i="111"/>
  <c r="I40" i="111"/>
  <c r="E40" i="111"/>
  <c r="S39" i="111"/>
  <c r="R39" i="111"/>
  <c r="Q39" i="111"/>
  <c r="P39" i="111"/>
  <c r="O39" i="111"/>
  <c r="N39" i="111"/>
  <c r="M39" i="111"/>
  <c r="K39" i="111"/>
  <c r="J39" i="111"/>
  <c r="I39" i="111"/>
  <c r="E39" i="111"/>
  <c r="S38" i="111"/>
  <c r="R38" i="111"/>
  <c r="Q38" i="111"/>
  <c r="P38" i="111"/>
  <c r="O38" i="111"/>
  <c r="N38" i="111"/>
  <c r="M38" i="111"/>
  <c r="K38" i="111"/>
  <c r="J38" i="111"/>
  <c r="I38" i="111"/>
  <c r="E38" i="111"/>
  <c r="S37" i="111"/>
  <c r="R37" i="111"/>
  <c r="Q37" i="111"/>
  <c r="P37" i="111"/>
  <c r="O37" i="111"/>
  <c r="N37" i="111"/>
  <c r="M37" i="111"/>
  <c r="K37" i="111"/>
  <c r="J37" i="111"/>
  <c r="I37" i="111"/>
  <c r="E37" i="111"/>
  <c r="S36" i="111"/>
  <c r="R36" i="111"/>
  <c r="Q36" i="111"/>
  <c r="P36" i="111"/>
  <c r="O36" i="111"/>
  <c r="N36" i="111"/>
  <c r="M36" i="111"/>
  <c r="K36" i="111"/>
  <c r="J36" i="111"/>
  <c r="I36" i="111"/>
  <c r="E36" i="111"/>
  <c r="S35" i="111"/>
  <c r="R35" i="111"/>
  <c r="Q35" i="111"/>
  <c r="P35" i="111"/>
  <c r="O35" i="111"/>
  <c r="N35" i="111"/>
  <c r="M35" i="111"/>
  <c r="K35" i="111"/>
  <c r="J35" i="111"/>
  <c r="I35" i="111"/>
  <c r="E35" i="111"/>
  <c r="S34" i="111"/>
  <c r="R34" i="111"/>
  <c r="Q34" i="111"/>
  <c r="P34" i="111"/>
  <c r="O34" i="111"/>
  <c r="N34" i="111"/>
  <c r="M34" i="111"/>
  <c r="K34" i="111"/>
  <c r="J34" i="111"/>
  <c r="I34" i="111"/>
  <c r="E34" i="111"/>
  <c r="S33" i="111"/>
  <c r="R33" i="111"/>
  <c r="Q33" i="111"/>
  <c r="P33" i="111"/>
  <c r="O33" i="111"/>
  <c r="N33" i="111"/>
  <c r="M33" i="111"/>
  <c r="K33" i="111"/>
  <c r="J33" i="111"/>
  <c r="I33" i="111"/>
  <c r="E33" i="111"/>
  <c r="S32" i="111"/>
  <c r="R32" i="111"/>
  <c r="Q32" i="111"/>
  <c r="P32" i="111"/>
  <c r="O32" i="111"/>
  <c r="N32" i="111"/>
  <c r="M32" i="111"/>
  <c r="K32" i="111"/>
  <c r="J32" i="111"/>
  <c r="I32" i="111"/>
  <c r="E32" i="111"/>
  <c r="S31" i="111"/>
  <c r="R31" i="111"/>
  <c r="Q31" i="111"/>
  <c r="P31" i="111"/>
  <c r="O31" i="111"/>
  <c r="N31" i="111"/>
  <c r="M31" i="111"/>
  <c r="K31" i="111"/>
  <c r="J31" i="111"/>
  <c r="I31" i="111"/>
  <c r="E31" i="111"/>
  <c r="S30" i="111"/>
  <c r="R30" i="111"/>
  <c r="Q30" i="111"/>
  <c r="P30" i="111"/>
  <c r="O30" i="111"/>
  <c r="N30" i="111"/>
  <c r="M30" i="111"/>
  <c r="K30" i="111"/>
  <c r="J30" i="111"/>
  <c r="I30" i="111"/>
  <c r="E30" i="111"/>
  <c r="S29" i="111"/>
  <c r="R29" i="111"/>
  <c r="Q29" i="111"/>
  <c r="P29" i="111"/>
  <c r="O29" i="111"/>
  <c r="N29" i="111"/>
  <c r="M29" i="111"/>
  <c r="K29" i="111"/>
  <c r="J29" i="111"/>
  <c r="I29" i="111"/>
  <c r="E29" i="111"/>
  <c r="S28" i="111"/>
  <c r="R28" i="111"/>
  <c r="Q28" i="111"/>
  <c r="P28" i="111"/>
  <c r="O28" i="111"/>
  <c r="N28" i="111"/>
  <c r="M28" i="111"/>
  <c r="K28" i="111"/>
  <c r="J28" i="111"/>
  <c r="I28" i="111"/>
  <c r="E28" i="111"/>
  <c r="S27" i="111"/>
  <c r="R27" i="111"/>
  <c r="Q27" i="111"/>
  <c r="P27" i="111"/>
  <c r="O27" i="111"/>
  <c r="N27" i="111"/>
  <c r="M27" i="111"/>
  <c r="K27" i="111"/>
  <c r="J27" i="111"/>
  <c r="I27" i="111"/>
  <c r="E27" i="111"/>
  <c r="S26" i="111"/>
  <c r="R26" i="111"/>
  <c r="Q26" i="111"/>
  <c r="P26" i="111"/>
  <c r="O26" i="111"/>
  <c r="N26" i="111"/>
  <c r="M26" i="111"/>
  <c r="K26" i="111"/>
  <c r="J26" i="111"/>
  <c r="I26" i="111"/>
  <c r="E26" i="111"/>
  <c r="S25" i="111"/>
  <c r="R25" i="111"/>
  <c r="Q25" i="111"/>
  <c r="P25" i="111"/>
  <c r="O25" i="111"/>
  <c r="N25" i="111"/>
  <c r="M25" i="111"/>
  <c r="K25" i="111"/>
  <c r="J25" i="111"/>
  <c r="I25" i="111"/>
  <c r="E25" i="111"/>
  <c r="S24" i="111"/>
  <c r="R24" i="111"/>
  <c r="Q24" i="111"/>
  <c r="P24" i="111"/>
  <c r="O24" i="111"/>
  <c r="N24" i="111"/>
  <c r="M24" i="111"/>
  <c r="K24" i="111"/>
  <c r="J24" i="111"/>
  <c r="I24" i="111"/>
  <c r="E24" i="111"/>
  <c r="S23" i="111"/>
  <c r="R23" i="111"/>
  <c r="Q23" i="111"/>
  <c r="P23" i="111"/>
  <c r="O23" i="111"/>
  <c r="N23" i="111"/>
  <c r="M23" i="111"/>
  <c r="K23" i="111"/>
  <c r="J23" i="111"/>
  <c r="I23" i="111"/>
  <c r="E23" i="111"/>
  <c r="S22" i="111"/>
  <c r="R22" i="111"/>
  <c r="Q22" i="111"/>
  <c r="P22" i="111"/>
  <c r="O22" i="111"/>
  <c r="N22" i="111"/>
  <c r="M22" i="111"/>
  <c r="K22" i="111"/>
  <c r="J22" i="111"/>
  <c r="I22" i="111"/>
  <c r="E22" i="111"/>
  <c r="S21" i="111"/>
  <c r="R21" i="111"/>
  <c r="Q21" i="111"/>
  <c r="P21" i="111"/>
  <c r="O21" i="111"/>
  <c r="N21" i="111"/>
  <c r="M21" i="111"/>
  <c r="K21" i="111"/>
  <c r="J21" i="111"/>
  <c r="I21" i="111"/>
  <c r="E21" i="111"/>
  <c r="S20" i="111"/>
  <c r="R20" i="111"/>
  <c r="Q20" i="111"/>
  <c r="P20" i="111"/>
  <c r="O20" i="111"/>
  <c r="N20" i="111"/>
  <c r="M20" i="111"/>
  <c r="K20" i="111"/>
  <c r="J20" i="111"/>
  <c r="I20" i="111"/>
  <c r="E20" i="111"/>
  <c r="S19" i="111"/>
  <c r="R19" i="111"/>
  <c r="Q19" i="111"/>
  <c r="P19" i="111"/>
  <c r="O19" i="111"/>
  <c r="N19" i="111"/>
  <c r="M19" i="111"/>
  <c r="K19" i="111"/>
  <c r="J19" i="111"/>
  <c r="I19" i="111"/>
  <c r="E19" i="111"/>
  <c r="S18" i="111"/>
  <c r="R18" i="111"/>
  <c r="Q18" i="111"/>
  <c r="P18" i="111"/>
  <c r="O18" i="111"/>
  <c r="N18" i="111"/>
  <c r="M18" i="111"/>
  <c r="K18" i="111"/>
  <c r="J18" i="111"/>
  <c r="I18" i="111"/>
  <c r="E18" i="111"/>
  <c r="S17" i="111"/>
  <c r="R17" i="111"/>
  <c r="Q17" i="111"/>
  <c r="P17" i="111"/>
  <c r="O17" i="111"/>
  <c r="N17" i="111"/>
  <c r="M17" i="111"/>
  <c r="K17" i="111"/>
  <c r="J17" i="111"/>
  <c r="I17" i="111"/>
  <c r="E17" i="111"/>
  <c r="S16" i="111"/>
  <c r="R16" i="111"/>
  <c r="Q16" i="111"/>
  <c r="P16" i="111"/>
  <c r="O16" i="111"/>
  <c r="N16" i="111"/>
  <c r="M16" i="111"/>
  <c r="K16" i="111"/>
  <c r="J16" i="111"/>
  <c r="I16" i="111"/>
  <c r="E16" i="111"/>
  <c r="S15" i="111"/>
  <c r="R15" i="111"/>
  <c r="Q15" i="111"/>
  <c r="P15" i="111"/>
  <c r="O15" i="111"/>
  <c r="N15" i="111"/>
  <c r="M15" i="111"/>
  <c r="K15" i="111"/>
  <c r="J15" i="111"/>
  <c r="I15" i="111"/>
  <c r="E15" i="111"/>
  <c r="S14" i="111"/>
  <c r="R14" i="111"/>
  <c r="Q14" i="111"/>
  <c r="P14" i="111"/>
  <c r="O14" i="111"/>
  <c r="N14" i="111"/>
  <c r="M14" i="111"/>
  <c r="K14" i="111"/>
  <c r="J14" i="111"/>
  <c r="I14" i="111"/>
  <c r="E14" i="111"/>
  <c r="S13" i="111"/>
  <c r="R13" i="111"/>
  <c r="Q13" i="111"/>
  <c r="P13" i="111"/>
  <c r="O13" i="111"/>
  <c r="N13" i="111"/>
  <c r="M13" i="111"/>
  <c r="K13" i="111"/>
  <c r="J13" i="111"/>
  <c r="I13" i="111"/>
  <c r="E13" i="111"/>
  <c r="S12" i="111"/>
  <c r="R12" i="111"/>
  <c r="Q12" i="111"/>
  <c r="P12" i="111"/>
  <c r="O12" i="111"/>
  <c r="N12" i="111"/>
  <c r="M12" i="111"/>
  <c r="K12" i="111"/>
  <c r="J12" i="111"/>
  <c r="I12" i="111"/>
  <c r="E12" i="111"/>
  <c r="S11" i="111"/>
  <c r="R11" i="111"/>
  <c r="Q11" i="111"/>
  <c r="P11" i="111"/>
  <c r="O11" i="111"/>
  <c r="N11" i="111"/>
  <c r="M11" i="111"/>
  <c r="K11" i="111"/>
  <c r="J11" i="111"/>
  <c r="I11" i="111"/>
  <c r="E11" i="111"/>
  <c r="S10" i="111"/>
  <c r="R10" i="111"/>
  <c r="Q10" i="111"/>
  <c r="P10" i="111"/>
  <c r="O10" i="111"/>
  <c r="N10" i="111"/>
  <c r="M10" i="111"/>
  <c r="K10" i="111"/>
  <c r="J10" i="111"/>
  <c r="I10" i="111"/>
  <c r="E10" i="111"/>
  <c r="S9" i="111"/>
  <c r="R9" i="111"/>
  <c r="Q9" i="111"/>
  <c r="P9" i="111"/>
  <c r="O9" i="111"/>
  <c r="N9" i="111"/>
  <c r="M9" i="111"/>
  <c r="K9" i="111"/>
  <c r="J9" i="111"/>
  <c r="I9" i="111"/>
  <c r="E9" i="111"/>
  <c r="S8" i="111"/>
  <c r="R8" i="111"/>
  <c r="Q8" i="111"/>
  <c r="P8" i="111"/>
  <c r="O8" i="111"/>
  <c r="N8" i="111"/>
  <c r="M8" i="111"/>
  <c r="K8" i="111"/>
  <c r="J8" i="111"/>
  <c r="I8" i="111"/>
  <c r="E8" i="111"/>
  <c r="S7" i="111"/>
  <c r="R7" i="111"/>
  <c r="Q7" i="111"/>
  <c r="P7" i="111"/>
  <c r="O7" i="111"/>
  <c r="N7" i="111"/>
  <c r="M7" i="111"/>
  <c r="K7" i="111"/>
  <c r="J7" i="111"/>
  <c r="I7" i="111"/>
  <c r="E7" i="111"/>
  <c r="S6" i="111"/>
  <c r="R6" i="111"/>
  <c r="Q6" i="111"/>
  <c r="P6" i="111"/>
  <c r="O6" i="111"/>
  <c r="N6" i="111"/>
  <c r="M6" i="111"/>
  <c r="K6" i="111"/>
  <c r="J6" i="111"/>
  <c r="I6" i="111"/>
  <c r="E6" i="111"/>
  <c r="S5" i="111"/>
  <c r="R5" i="111"/>
  <c r="Q5" i="111"/>
  <c r="P5" i="111"/>
  <c r="O5" i="111"/>
  <c r="N5" i="111"/>
  <c r="M5" i="111"/>
  <c r="K5" i="111"/>
  <c r="J5" i="111"/>
  <c r="I5" i="111"/>
  <c r="E5" i="111"/>
  <c r="S4" i="111"/>
  <c r="R4" i="111"/>
  <c r="Q4" i="111"/>
  <c r="P4" i="111"/>
  <c r="O4" i="111"/>
  <c r="N4" i="111"/>
  <c r="M4" i="111"/>
  <c r="K4" i="111"/>
  <c r="J4" i="111"/>
  <c r="I4" i="111"/>
  <c r="E4" i="111"/>
  <c r="S3" i="111"/>
  <c r="R3" i="111"/>
  <c r="Q3" i="111"/>
  <c r="P3" i="111"/>
  <c r="O3" i="111"/>
  <c r="N3" i="111"/>
  <c r="M3" i="111"/>
  <c r="K3" i="111"/>
  <c r="J3" i="111"/>
  <c r="I3" i="111"/>
  <c r="E3" i="111"/>
  <c r="S2" i="111"/>
  <c r="R2" i="111"/>
  <c r="Q2" i="111"/>
  <c r="P2" i="111"/>
  <c r="O2" i="111"/>
  <c r="N2" i="111"/>
  <c r="M2" i="111"/>
  <c r="K2" i="111"/>
  <c r="J2" i="111"/>
  <c r="I2" i="111"/>
  <c r="E2" i="111"/>
  <c r="A53" i="110"/>
  <c r="A55" i="110"/>
  <c r="A57" i="110"/>
  <c r="A59" i="110"/>
  <c r="A61" i="110"/>
  <c r="A63" i="110"/>
  <c r="A65" i="110"/>
  <c r="A66" i="110"/>
  <c r="A68" i="110"/>
  <c r="A69" i="110"/>
  <c r="A70" i="110"/>
  <c r="A71" i="110"/>
  <c r="A72" i="110"/>
  <c r="A73" i="110"/>
  <c r="B75" i="110"/>
  <c r="C74" i="110"/>
  <c r="C73" i="110"/>
  <c r="C72" i="110"/>
  <c r="C71" i="110"/>
  <c r="C70" i="110"/>
  <c r="C69" i="110"/>
  <c r="C68" i="110"/>
  <c r="C67" i="110"/>
  <c r="C66" i="110"/>
  <c r="C65" i="110"/>
  <c r="C64" i="110"/>
  <c r="C63" i="110"/>
  <c r="C62" i="110"/>
  <c r="C61" i="110"/>
  <c r="F60" i="110"/>
  <c r="C60" i="110"/>
  <c r="F59" i="110"/>
  <c r="C59" i="110"/>
  <c r="F58" i="110"/>
  <c r="C58" i="110"/>
  <c r="C57" i="110"/>
  <c r="C56" i="110"/>
  <c r="F55" i="110"/>
  <c r="C55" i="110"/>
  <c r="F54" i="110"/>
  <c r="C54" i="110"/>
  <c r="C53" i="110"/>
  <c r="F53" i="110"/>
  <c r="B5" i="110"/>
  <c r="B24" i="110"/>
  <c r="B25" i="110"/>
  <c r="B26" i="110"/>
  <c r="B27" i="110"/>
  <c r="B28" i="110"/>
  <c r="B29" i="110"/>
  <c r="B37" i="110"/>
  <c r="B32" i="110"/>
  <c r="B33" i="110"/>
  <c r="B34" i="110"/>
  <c r="B35" i="110"/>
  <c r="B42" i="110"/>
  <c r="B46" i="110"/>
  <c r="A24" i="110"/>
  <c r="C24" i="110"/>
  <c r="C25" i="110"/>
  <c r="A26" i="110"/>
  <c r="C26" i="110"/>
  <c r="C27" i="110"/>
  <c r="A28" i="110"/>
  <c r="C28" i="110"/>
  <c r="C29" i="110"/>
  <c r="A30" i="110"/>
  <c r="C30" i="110"/>
  <c r="C31" i="110"/>
  <c r="A32" i="110"/>
  <c r="C32" i="110"/>
  <c r="C33" i="110"/>
  <c r="A34" i="110"/>
  <c r="C34" i="110"/>
  <c r="A35" i="110"/>
  <c r="C35" i="110"/>
  <c r="A36" i="110"/>
  <c r="C36" i="110"/>
  <c r="A37" i="110"/>
  <c r="C37" i="110"/>
  <c r="C38" i="110"/>
  <c r="A39" i="110"/>
  <c r="C39" i="110"/>
  <c r="A40" i="110"/>
  <c r="C40" i="110"/>
  <c r="A41" i="110"/>
  <c r="C41" i="110"/>
  <c r="A42" i="110"/>
  <c r="C42" i="110"/>
  <c r="A43" i="110"/>
  <c r="C43" i="110"/>
  <c r="A44" i="110"/>
  <c r="C44" i="110"/>
  <c r="C45" i="110"/>
  <c r="C46" i="110"/>
  <c r="D46" i="110"/>
  <c r="D45" i="110"/>
  <c r="I45" i="110"/>
  <c r="J45" i="110"/>
  <c r="F45" i="110"/>
  <c r="D44" i="110"/>
  <c r="I44" i="110"/>
  <c r="J44" i="110"/>
  <c r="F44" i="110"/>
  <c r="I43" i="110"/>
  <c r="J43" i="110"/>
  <c r="F43" i="110"/>
  <c r="D42" i="110"/>
  <c r="I42" i="110"/>
  <c r="J42" i="110"/>
  <c r="F42" i="110"/>
  <c r="I41" i="110"/>
  <c r="J41" i="110"/>
  <c r="F41" i="110"/>
  <c r="D40" i="110"/>
  <c r="I40" i="110"/>
  <c r="J40" i="110"/>
  <c r="F40" i="110"/>
  <c r="I39" i="110"/>
  <c r="J39" i="110"/>
  <c r="F39" i="110"/>
  <c r="D38" i="110"/>
  <c r="G38" i="110"/>
  <c r="H38" i="110"/>
  <c r="I38" i="110"/>
  <c r="J38" i="110"/>
  <c r="F38" i="110"/>
  <c r="D37" i="110"/>
  <c r="I37" i="110"/>
  <c r="J37" i="110"/>
  <c r="F37" i="110"/>
  <c r="D36" i="110"/>
  <c r="I36" i="110"/>
  <c r="J36" i="110"/>
  <c r="F36" i="110"/>
  <c r="D35" i="110"/>
  <c r="I35" i="110"/>
  <c r="J35" i="110"/>
  <c r="F35" i="110"/>
  <c r="D34" i="110"/>
  <c r="I34" i="110"/>
  <c r="J34" i="110"/>
  <c r="F34" i="110"/>
  <c r="D33" i="110"/>
  <c r="I33" i="110"/>
  <c r="J33" i="110"/>
  <c r="F33" i="110"/>
  <c r="D32" i="110"/>
  <c r="I32" i="110"/>
  <c r="J32" i="110"/>
  <c r="F32" i="110"/>
  <c r="D31" i="110"/>
  <c r="I31" i="110"/>
  <c r="J31" i="110"/>
  <c r="F31" i="110"/>
  <c r="D30" i="110"/>
  <c r="I30" i="110"/>
  <c r="J30" i="110"/>
  <c r="F30" i="110"/>
  <c r="D29" i="110"/>
  <c r="I29" i="110"/>
  <c r="J29" i="110"/>
  <c r="F29" i="110"/>
  <c r="D28" i="110"/>
  <c r="I28" i="110"/>
  <c r="J28" i="110"/>
  <c r="F28" i="110"/>
  <c r="D27" i="110"/>
  <c r="I27" i="110"/>
  <c r="J27" i="110"/>
  <c r="F27" i="110"/>
  <c r="D26" i="110"/>
  <c r="I26" i="110"/>
  <c r="J26" i="110"/>
  <c r="F26" i="110"/>
  <c r="D25" i="110"/>
  <c r="I25" i="110"/>
  <c r="J25" i="110"/>
  <c r="F25" i="110"/>
  <c r="D24" i="110"/>
  <c r="I24" i="110"/>
  <c r="J24" i="110"/>
  <c r="F24" i="110"/>
  <c r="B13" i="110"/>
  <c r="L246" i="109"/>
  <c r="A246" i="109"/>
  <c r="L245" i="109"/>
  <c r="A245" i="109"/>
  <c r="L244" i="109"/>
  <c r="A244" i="109"/>
  <c r="L243" i="109"/>
  <c r="A243" i="109"/>
  <c r="L242" i="109"/>
  <c r="A242" i="109"/>
  <c r="L241" i="109"/>
  <c r="A241" i="109"/>
  <c r="L240" i="109"/>
  <c r="A240" i="109"/>
  <c r="L239" i="109"/>
  <c r="A239" i="109"/>
  <c r="L238" i="109"/>
  <c r="A238" i="109"/>
  <c r="L237" i="109"/>
  <c r="A237" i="109"/>
  <c r="L236" i="109"/>
  <c r="A236" i="109"/>
  <c r="L235" i="109"/>
  <c r="A235" i="109"/>
  <c r="L234" i="109"/>
  <c r="A234" i="109"/>
  <c r="L233" i="109"/>
  <c r="A233" i="109"/>
  <c r="L232" i="109"/>
  <c r="A232" i="109"/>
  <c r="L231" i="109"/>
  <c r="A231" i="109"/>
  <c r="L230" i="109"/>
  <c r="A230" i="109"/>
  <c r="L229" i="109"/>
  <c r="A229" i="109"/>
  <c r="L228" i="109"/>
  <c r="A228" i="109"/>
  <c r="L227" i="109"/>
  <c r="A227" i="109"/>
  <c r="L226" i="109"/>
  <c r="A226" i="109"/>
  <c r="L225" i="109"/>
  <c r="A225" i="109"/>
  <c r="L224" i="109"/>
  <c r="A224" i="109"/>
  <c r="L223" i="109"/>
  <c r="A223" i="109"/>
  <c r="L222" i="109"/>
  <c r="A222" i="109"/>
  <c r="L221" i="109"/>
  <c r="A221" i="109"/>
  <c r="L220" i="109"/>
  <c r="A220" i="109"/>
  <c r="L219" i="109"/>
  <c r="A219" i="109"/>
  <c r="L218" i="109"/>
  <c r="A218" i="109"/>
  <c r="L217" i="109"/>
  <c r="A217" i="109"/>
  <c r="L216" i="109"/>
  <c r="A216" i="109"/>
  <c r="L215" i="109"/>
  <c r="A215" i="109"/>
  <c r="L214" i="109"/>
  <c r="A214" i="109"/>
  <c r="L213" i="109"/>
  <c r="A213" i="109"/>
  <c r="L212" i="109"/>
  <c r="A212" i="109"/>
  <c r="L211" i="109"/>
  <c r="A211" i="109"/>
  <c r="L210" i="109"/>
  <c r="A210" i="109"/>
  <c r="L209" i="109"/>
  <c r="A209" i="109"/>
  <c r="L208" i="109"/>
  <c r="A208" i="109"/>
  <c r="L207" i="109"/>
  <c r="A207" i="109"/>
  <c r="L206" i="109"/>
  <c r="A206" i="109"/>
  <c r="L205" i="109"/>
  <c r="A205" i="109"/>
  <c r="L204" i="109"/>
  <c r="A204" i="109"/>
  <c r="L203" i="109"/>
  <c r="A203" i="109"/>
  <c r="L202" i="109"/>
  <c r="A202" i="109"/>
  <c r="L201" i="109"/>
  <c r="A201" i="109"/>
  <c r="L200" i="109"/>
  <c r="A200" i="109"/>
  <c r="L199" i="109"/>
  <c r="A199" i="109"/>
  <c r="L198" i="109"/>
  <c r="A198" i="109"/>
  <c r="L197" i="109"/>
  <c r="A197" i="109"/>
  <c r="L196" i="109"/>
  <c r="A196" i="109"/>
  <c r="L195" i="109"/>
  <c r="A195" i="109"/>
  <c r="L194" i="109"/>
  <c r="A194" i="109"/>
  <c r="L193" i="109"/>
  <c r="A193" i="109"/>
  <c r="L192" i="109"/>
  <c r="A192" i="109"/>
  <c r="L191" i="109"/>
  <c r="A191" i="109"/>
  <c r="L190" i="109"/>
  <c r="A190" i="109"/>
  <c r="L189" i="109"/>
  <c r="A189" i="109"/>
  <c r="L188" i="109"/>
  <c r="A188" i="109"/>
  <c r="L187" i="109"/>
  <c r="A187" i="109"/>
  <c r="L186" i="109"/>
  <c r="A186" i="109"/>
  <c r="L185" i="109"/>
  <c r="A185" i="109"/>
  <c r="L184" i="109"/>
  <c r="A184" i="109"/>
  <c r="L183" i="109"/>
  <c r="A183" i="109"/>
  <c r="L182" i="109"/>
  <c r="A182" i="109"/>
  <c r="L181" i="109"/>
  <c r="A181" i="109"/>
  <c r="L180" i="109"/>
  <c r="A180" i="109"/>
  <c r="L179" i="109"/>
  <c r="A179" i="109"/>
  <c r="L178" i="109"/>
  <c r="A178" i="109"/>
  <c r="L177" i="109"/>
  <c r="A177" i="109"/>
  <c r="L176" i="109"/>
  <c r="A176" i="109"/>
  <c r="L175" i="109"/>
  <c r="A175" i="109"/>
  <c r="L174" i="109"/>
  <c r="A174" i="109"/>
  <c r="L173" i="109"/>
  <c r="A173" i="109"/>
  <c r="L172" i="109"/>
  <c r="A172" i="109"/>
  <c r="L171" i="109"/>
  <c r="A171" i="109"/>
  <c r="L170" i="109"/>
  <c r="A170" i="109"/>
  <c r="L169" i="109"/>
  <c r="A169" i="109"/>
  <c r="L168" i="109"/>
  <c r="A168" i="109"/>
  <c r="L167" i="109"/>
  <c r="A167" i="109"/>
  <c r="L166" i="109"/>
  <c r="A166" i="109"/>
  <c r="L165" i="109"/>
  <c r="A165" i="109"/>
  <c r="L164" i="109"/>
  <c r="A164" i="109"/>
  <c r="L163" i="109"/>
  <c r="A163" i="109"/>
  <c r="L162" i="109"/>
  <c r="A162" i="109"/>
  <c r="L161" i="109"/>
  <c r="A161" i="109"/>
  <c r="L160" i="109"/>
  <c r="A160" i="109"/>
  <c r="L159" i="109"/>
  <c r="A159" i="109"/>
  <c r="L158" i="109"/>
  <c r="A158" i="109"/>
  <c r="L157" i="109"/>
  <c r="A157" i="109"/>
  <c r="L156" i="109"/>
  <c r="A156" i="109"/>
  <c r="L155" i="109"/>
  <c r="A155" i="109"/>
  <c r="L154" i="109"/>
  <c r="A154" i="109"/>
  <c r="L153" i="109"/>
  <c r="A153" i="109"/>
  <c r="L152" i="109"/>
  <c r="A152" i="109"/>
  <c r="L151" i="109"/>
  <c r="A151" i="109"/>
  <c r="L150" i="109"/>
  <c r="A150" i="109"/>
  <c r="L149" i="109"/>
  <c r="A149" i="109"/>
  <c r="L148" i="109"/>
  <c r="A148" i="109"/>
  <c r="L147" i="109"/>
  <c r="A147" i="109"/>
  <c r="L146" i="109"/>
  <c r="A146" i="109"/>
  <c r="L145" i="109"/>
  <c r="A145" i="109"/>
  <c r="L144" i="109"/>
  <c r="A144" i="109"/>
  <c r="L143" i="109"/>
  <c r="A143" i="109"/>
  <c r="L142" i="109"/>
  <c r="A142" i="109"/>
  <c r="L141" i="109"/>
  <c r="A141" i="109"/>
  <c r="L140" i="109"/>
  <c r="A140" i="109"/>
  <c r="L139" i="109"/>
  <c r="A139" i="109"/>
  <c r="L138" i="109"/>
  <c r="A138" i="109"/>
  <c r="L137" i="109"/>
  <c r="A137" i="109"/>
  <c r="L136" i="109"/>
  <c r="A136" i="109"/>
  <c r="L135" i="109"/>
  <c r="A135" i="109"/>
  <c r="L134" i="109"/>
  <c r="A134" i="109"/>
  <c r="L133" i="109"/>
  <c r="A133" i="109"/>
  <c r="L132" i="109"/>
  <c r="A132" i="109"/>
  <c r="L131" i="109"/>
  <c r="A131" i="109"/>
  <c r="L130" i="109"/>
  <c r="A130" i="109"/>
  <c r="L129" i="109"/>
  <c r="A129" i="109"/>
  <c r="L128" i="109"/>
  <c r="A128" i="109"/>
  <c r="L127" i="109"/>
  <c r="A127" i="109"/>
  <c r="L126" i="109"/>
  <c r="A126" i="109"/>
  <c r="L125" i="109"/>
  <c r="A125" i="109"/>
  <c r="L124" i="109"/>
  <c r="A124" i="109"/>
  <c r="L123" i="109"/>
  <c r="A123" i="109"/>
  <c r="L122" i="109"/>
  <c r="A122" i="109"/>
  <c r="L121" i="109"/>
  <c r="A121" i="109"/>
  <c r="L120" i="109"/>
  <c r="A120" i="109"/>
  <c r="L119" i="109"/>
  <c r="A119" i="109"/>
  <c r="L118" i="109"/>
  <c r="A118" i="109"/>
  <c r="L117" i="109"/>
  <c r="A117" i="109"/>
  <c r="L116" i="109"/>
  <c r="A116" i="109"/>
  <c r="L115" i="109"/>
  <c r="A115" i="109"/>
  <c r="L114" i="109"/>
  <c r="A114" i="109"/>
  <c r="L113" i="109"/>
  <c r="A113" i="109"/>
  <c r="L112" i="109"/>
  <c r="A112" i="109"/>
  <c r="L111" i="109"/>
  <c r="A111" i="109"/>
  <c r="L110" i="109"/>
  <c r="A110" i="109"/>
  <c r="L109" i="109"/>
  <c r="A109" i="109"/>
  <c r="L108" i="109"/>
  <c r="A108" i="109"/>
  <c r="L107" i="109"/>
  <c r="A107" i="109"/>
  <c r="L106" i="109"/>
  <c r="A106" i="109"/>
  <c r="L105" i="109"/>
  <c r="A105" i="109"/>
  <c r="L104" i="109"/>
  <c r="A104" i="109"/>
  <c r="L103" i="109"/>
  <c r="A103" i="109"/>
  <c r="L102" i="109"/>
  <c r="A102" i="109"/>
  <c r="L101" i="109"/>
  <c r="A101" i="109"/>
  <c r="L100" i="109"/>
  <c r="A100" i="109"/>
  <c r="L99" i="109"/>
  <c r="A99" i="109"/>
  <c r="L98" i="109"/>
  <c r="A98" i="109"/>
  <c r="L97" i="109"/>
  <c r="A97" i="109"/>
  <c r="L96" i="109"/>
  <c r="A96" i="109"/>
  <c r="L95" i="109"/>
  <c r="A95" i="109"/>
  <c r="L94" i="109"/>
  <c r="A94" i="109"/>
  <c r="L93" i="109"/>
  <c r="A93" i="109"/>
  <c r="L92" i="109"/>
  <c r="A92" i="109"/>
  <c r="L91" i="109"/>
  <c r="A91" i="109"/>
  <c r="L90" i="109"/>
  <c r="A90" i="109"/>
  <c r="L89" i="109"/>
  <c r="A89" i="109"/>
  <c r="L88" i="109"/>
  <c r="A88" i="109"/>
  <c r="L87" i="109"/>
  <c r="A87" i="109"/>
  <c r="L86" i="109"/>
  <c r="A86" i="109"/>
  <c r="L85" i="109"/>
  <c r="A85" i="109"/>
  <c r="L84" i="109"/>
  <c r="A84" i="109"/>
  <c r="L83" i="109"/>
  <c r="A83" i="109"/>
  <c r="L82" i="109"/>
  <c r="A82" i="109"/>
  <c r="L81" i="109"/>
  <c r="A81" i="109"/>
  <c r="L80" i="109"/>
  <c r="A80" i="109"/>
  <c r="L79" i="109"/>
  <c r="A79" i="109"/>
  <c r="L78" i="109"/>
  <c r="A78" i="109"/>
  <c r="L77" i="109"/>
  <c r="A77" i="109"/>
  <c r="L76" i="109"/>
  <c r="A76" i="109"/>
  <c r="L75" i="109"/>
  <c r="A75" i="109"/>
  <c r="L74" i="109"/>
  <c r="A74" i="109"/>
  <c r="L73" i="109"/>
  <c r="A73" i="109"/>
  <c r="L72" i="109"/>
  <c r="A72" i="109"/>
  <c r="L71" i="109"/>
  <c r="A71" i="109"/>
  <c r="L70" i="109"/>
  <c r="A70" i="109"/>
  <c r="L69" i="109"/>
  <c r="A69" i="109"/>
  <c r="L68" i="109"/>
  <c r="A68" i="109"/>
  <c r="L67" i="109"/>
  <c r="A67" i="109"/>
  <c r="L66" i="109"/>
  <c r="A66" i="109"/>
  <c r="L65" i="109"/>
  <c r="A65" i="109"/>
  <c r="L64" i="109"/>
  <c r="A64" i="109"/>
  <c r="L63" i="109"/>
  <c r="A63" i="109"/>
  <c r="L62" i="109"/>
  <c r="A62" i="109"/>
  <c r="L61" i="109"/>
  <c r="A61" i="109"/>
  <c r="L60" i="109"/>
  <c r="A60" i="109"/>
  <c r="L59" i="109"/>
  <c r="A59" i="109"/>
  <c r="L58" i="109"/>
  <c r="A58" i="109"/>
  <c r="L57" i="109"/>
  <c r="A57" i="109"/>
  <c r="L56" i="109"/>
  <c r="A56" i="109"/>
  <c r="L55" i="109"/>
  <c r="A55" i="109"/>
  <c r="L54" i="109"/>
  <c r="A54" i="109"/>
  <c r="L53" i="109"/>
  <c r="A53" i="109"/>
  <c r="L52" i="109"/>
  <c r="A52" i="109"/>
  <c r="L51" i="109"/>
  <c r="A51" i="109"/>
  <c r="L50" i="109"/>
  <c r="A50" i="109"/>
  <c r="L49" i="109"/>
  <c r="A49" i="109"/>
  <c r="L48" i="109"/>
  <c r="A48" i="109"/>
  <c r="L47" i="109"/>
  <c r="A47" i="109"/>
  <c r="L46" i="109"/>
  <c r="A46" i="109"/>
  <c r="L45" i="109"/>
  <c r="A45" i="109"/>
  <c r="L44" i="109"/>
  <c r="A44" i="109"/>
  <c r="L43" i="109"/>
  <c r="A43" i="109"/>
  <c r="L42" i="109"/>
  <c r="A42" i="109"/>
  <c r="L41" i="109"/>
  <c r="A41" i="109"/>
  <c r="L40" i="109"/>
  <c r="A40" i="109"/>
  <c r="L39" i="109"/>
  <c r="A39" i="109"/>
  <c r="L38" i="109"/>
  <c r="A38" i="109"/>
  <c r="L37" i="109"/>
  <c r="A37" i="109"/>
  <c r="L36" i="109"/>
  <c r="A36" i="109"/>
  <c r="L35" i="109"/>
  <c r="A35" i="109"/>
  <c r="L34" i="109"/>
  <c r="A34" i="109"/>
  <c r="L33" i="109"/>
  <c r="A33" i="109"/>
  <c r="L32" i="109"/>
  <c r="A32" i="109"/>
  <c r="L31" i="109"/>
  <c r="A31" i="109"/>
  <c r="L30" i="109"/>
  <c r="A30" i="109"/>
  <c r="L29" i="109"/>
  <c r="A29" i="109"/>
  <c r="L28" i="109"/>
  <c r="A28" i="109"/>
  <c r="L27" i="109"/>
  <c r="A27" i="109"/>
  <c r="L26" i="109"/>
  <c r="A26" i="109"/>
  <c r="L25" i="109"/>
  <c r="A25" i="109"/>
  <c r="L24" i="109"/>
  <c r="A24" i="109"/>
  <c r="L23" i="109"/>
  <c r="A23" i="109"/>
  <c r="L22" i="109"/>
  <c r="A22" i="109"/>
  <c r="L21" i="109"/>
  <c r="A21" i="109"/>
  <c r="L20" i="109"/>
  <c r="A20" i="109"/>
  <c r="L19" i="109"/>
  <c r="A19" i="109"/>
  <c r="L18" i="109"/>
  <c r="A18" i="109"/>
  <c r="L17" i="109"/>
  <c r="A17" i="109"/>
  <c r="L16" i="109"/>
  <c r="A16" i="109"/>
  <c r="L15" i="109"/>
  <c r="A15" i="109"/>
  <c r="L14" i="109"/>
  <c r="A14" i="109"/>
  <c r="L13" i="109"/>
  <c r="A13" i="109"/>
  <c r="L12" i="109"/>
  <c r="A12" i="109"/>
  <c r="L11" i="109"/>
  <c r="A11" i="109"/>
  <c r="L10" i="109"/>
  <c r="A10" i="109"/>
  <c r="L9" i="109"/>
  <c r="A9" i="109"/>
  <c r="L8" i="109"/>
  <c r="A8" i="109"/>
  <c r="L7" i="109"/>
  <c r="A7" i="109"/>
  <c r="L6" i="109"/>
  <c r="A6" i="109"/>
  <c r="L5" i="109"/>
  <c r="A5" i="109"/>
  <c r="L4" i="109"/>
  <c r="A4" i="109"/>
  <c r="L3" i="109"/>
  <c r="A3" i="109"/>
  <c r="L2" i="109"/>
  <c r="A2" i="109"/>
  <c r="B74" i="108"/>
  <c r="B73" i="108"/>
  <c r="B72" i="108"/>
  <c r="B71" i="108"/>
  <c r="B70" i="108"/>
  <c r="B69" i="108"/>
  <c r="B68" i="108"/>
  <c r="B67" i="108"/>
  <c r="B66" i="108"/>
  <c r="B65" i="108"/>
  <c r="B64" i="108"/>
  <c r="B63" i="108"/>
  <c r="B62" i="108"/>
  <c r="B61" i="108"/>
  <c r="B60" i="108"/>
  <c r="B59" i="108"/>
  <c r="B58" i="108"/>
  <c r="B57" i="108"/>
  <c r="B56" i="108"/>
  <c r="B55" i="108"/>
  <c r="B54" i="108"/>
  <c r="B53" i="108"/>
  <c r="E45" i="108"/>
  <c r="E44" i="108"/>
  <c r="E43" i="108"/>
  <c r="E42" i="108"/>
  <c r="E41" i="108"/>
  <c r="E40" i="108"/>
  <c r="E39" i="108"/>
  <c r="E38" i="108"/>
  <c r="E37" i="108"/>
  <c r="E36" i="108"/>
  <c r="E35" i="108"/>
  <c r="E34" i="108"/>
  <c r="E33" i="108"/>
  <c r="E32" i="108"/>
  <c r="E31" i="108"/>
  <c r="E30" i="108"/>
  <c r="E29" i="108"/>
  <c r="E28" i="108"/>
  <c r="E27" i="108"/>
  <c r="E26" i="108"/>
  <c r="E25" i="108"/>
  <c r="E24" i="108"/>
  <c r="B37" i="108"/>
  <c r="S246" i="109"/>
  <c r="R246" i="109"/>
  <c r="Q246" i="109"/>
  <c r="P246" i="109"/>
  <c r="O246" i="109"/>
  <c r="N246" i="109"/>
  <c r="F246" i="109"/>
  <c r="G246" i="109"/>
  <c r="H246" i="109"/>
  <c r="C246" i="109"/>
  <c r="B246" i="109"/>
  <c r="F2" i="109"/>
  <c r="G2" i="109"/>
  <c r="H2" i="109"/>
  <c r="C2" i="109"/>
  <c r="B2" i="109"/>
  <c r="F3" i="109"/>
  <c r="G3" i="109"/>
  <c r="H3" i="109"/>
  <c r="C3" i="109"/>
  <c r="B3" i="109"/>
  <c r="F4" i="109"/>
  <c r="G4" i="109"/>
  <c r="H4" i="109"/>
  <c r="C4" i="109"/>
  <c r="B4" i="109"/>
  <c r="F5" i="109"/>
  <c r="G5" i="109"/>
  <c r="H5" i="109"/>
  <c r="C5" i="109"/>
  <c r="B5" i="109"/>
  <c r="F6" i="109"/>
  <c r="G6" i="109"/>
  <c r="H6" i="109"/>
  <c r="C6" i="109"/>
  <c r="B6" i="109"/>
  <c r="F7" i="109"/>
  <c r="G7" i="109"/>
  <c r="H7" i="109"/>
  <c r="C7" i="109"/>
  <c r="B7" i="109"/>
  <c r="F8" i="109"/>
  <c r="G8" i="109"/>
  <c r="H8" i="109"/>
  <c r="C8" i="109"/>
  <c r="B8" i="109"/>
  <c r="F9" i="109"/>
  <c r="G9" i="109"/>
  <c r="H9" i="109"/>
  <c r="C9" i="109"/>
  <c r="B9" i="109"/>
  <c r="F10" i="109"/>
  <c r="G10" i="109"/>
  <c r="H10" i="109"/>
  <c r="C10" i="109"/>
  <c r="B10" i="109"/>
  <c r="F11" i="109"/>
  <c r="G11" i="109"/>
  <c r="H11" i="109"/>
  <c r="C11" i="109"/>
  <c r="B11" i="109"/>
  <c r="F12" i="109"/>
  <c r="G12" i="109"/>
  <c r="H12" i="109"/>
  <c r="C12" i="109"/>
  <c r="B12" i="109"/>
  <c r="F13" i="109"/>
  <c r="G13" i="109"/>
  <c r="H13" i="109"/>
  <c r="C13" i="109"/>
  <c r="B13" i="109"/>
  <c r="F14" i="109"/>
  <c r="G14" i="109"/>
  <c r="H14" i="109"/>
  <c r="C14" i="109"/>
  <c r="B14" i="109"/>
  <c r="F15" i="109"/>
  <c r="G15" i="109"/>
  <c r="H15" i="109"/>
  <c r="C15" i="109"/>
  <c r="B15" i="109"/>
  <c r="F16" i="109"/>
  <c r="G16" i="109"/>
  <c r="H16" i="109"/>
  <c r="C16" i="109"/>
  <c r="B16" i="109"/>
  <c r="F17" i="109"/>
  <c r="G17" i="109"/>
  <c r="H17" i="109"/>
  <c r="C17" i="109"/>
  <c r="B17" i="109"/>
  <c r="F18" i="109"/>
  <c r="G18" i="109"/>
  <c r="H18" i="109"/>
  <c r="C18" i="109"/>
  <c r="B18" i="109"/>
  <c r="F19" i="109"/>
  <c r="G19" i="109"/>
  <c r="H19" i="109"/>
  <c r="C19" i="109"/>
  <c r="B19" i="109"/>
  <c r="F20" i="109"/>
  <c r="G20" i="109"/>
  <c r="H20" i="109"/>
  <c r="C20" i="109"/>
  <c r="B20" i="109"/>
  <c r="F21" i="109"/>
  <c r="G21" i="109"/>
  <c r="H21" i="109"/>
  <c r="C21" i="109"/>
  <c r="B21" i="109"/>
  <c r="F22" i="109"/>
  <c r="G22" i="109"/>
  <c r="H22" i="109"/>
  <c r="C22" i="109"/>
  <c r="B22" i="109"/>
  <c r="F23" i="109"/>
  <c r="G23" i="109"/>
  <c r="H23" i="109"/>
  <c r="C23" i="109"/>
  <c r="B23" i="109"/>
  <c r="F24" i="109"/>
  <c r="G24" i="109"/>
  <c r="H24" i="109"/>
  <c r="C24" i="109"/>
  <c r="B24" i="109"/>
  <c r="F25" i="109"/>
  <c r="G25" i="109"/>
  <c r="H25" i="109"/>
  <c r="C25" i="109"/>
  <c r="B25" i="109"/>
  <c r="F26" i="109"/>
  <c r="G26" i="109"/>
  <c r="H26" i="109"/>
  <c r="C26" i="109"/>
  <c r="B26" i="109"/>
  <c r="F27" i="109"/>
  <c r="G27" i="109"/>
  <c r="H27" i="109"/>
  <c r="C27" i="109"/>
  <c r="B27" i="109"/>
  <c r="F28" i="109"/>
  <c r="G28" i="109"/>
  <c r="H28" i="109"/>
  <c r="C28" i="109"/>
  <c r="B28" i="109"/>
  <c r="F29" i="109"/>
  <c r="G29" i="109"/>
  <c r="H29" i="109"/>
  <c r="C29" i="109"/>
  <c r="B29" i="109"/>
  <c r="F30" i="109"/>
  <c r="G30" i="109"/>
  <c r="H30" i="109"/>
  <c r="C30" i="109"/>
  <c r="B30" i="109"/>
  <c r="F31" i="109"/>
  <c r="G31" i="109"/>
  <c r="H31" i="109"/>
  <c r="C31" i="109"/>
  <c r="B31" i="109"/>
  <c r="F32" i="109"/>
  <c r="G32" i="109"/>
  <c r="H32" i="109"/>
  <c r="C32" i="109"/>
  <c r="B32" i="109"/>
  <c r="F33" i="109"/>
  <c r="G33" i="109"/>
  <c r="H33" i="109"/>
  <c r="C33" i="109"/>
  <c r="B33" i="109"/>
  <c r="F34" i="109"/>
  <c r="G34" i="109"/>
  <c r="H34" i="109"/>
  <c r="C34" i="109"/>
  <c r="B34" i="109"/>
  <c r="F35" i="109"/>
  <c r="G35" i="109"/>
  <c r="H35" i="109"/>
  <c r="C35" i="109"/>
  <c r="B35" i="109"/>
  <c r="F36" i="109"/>
  <c r="G36" i="109"/>
  <c r="H36" i="109"/>
  <c r="C36" i="109"/>
  <c r="B36" i="109"/>
  <c r="F37" i="109"/>
  <c r="G37" i="109"/>
  <c r="H37" i="109"/>
  <c r="C37" i="109"/>
  <c r="B37" i="109"/>
  <c r="F38" i="109"/>
  <c r="G38" i="109"/>
  <c r="H38" i="109"/>
  <c r="C38" i="109"/>
  <c r="B38" i="109"/>
  <c r="F39" i="109"/>
  <c r="G39" i="109"/>
  <c r="H39" i="109"/>
  <c r="C39" i="109"/>
  <c r="B39" i="109"/>
  <c r="F40" i="109"/>
  <c r="G40" i="109"/>
  <c r="H40" i="109"/>
  <c r="C40" i="109"/>
  <c r="B40" i="109"/>
  <c r="F41" i="109"/>
  <c r="G41" i="109"/>
  <c r="H41" i="109"/>
  <c r="C41" i="109"/>
  <c r="B41" i="109"/>
  <c r="F42" i="109"/>
  <c r="G42" i="109"/>
  <c r="H42" i="109"/>
  <c r="C42" i="109"/>
  <c r="B42" i="109"/>
  <c r="F43" i="109"/>
  <c r="G43" i="109"/>
  <c r="H43" i="109"/>
  <c r="C43" i="109"/>
  <c r="B43" i="109"/>
  <c r="F44" i="109"/>
  <c r="G44" i="109"/>
  <c r="H44" i="109"/>
  <c r="C44" i="109"/>
  <c r="B44" i="109"/>
  <c r="F45" i="109"/>
  <c r="G45" i="109"/>
  <c r="H45" i="109"/>
  <c r="C45" i="109"/>
  <c r="B45" i="109"/>
  <c r="F46" i="109"/>
  <c r="G46" i="109"/>
  <c r="H46" i="109"/>
  <c r="C46" i="109"/>
  <c r="B46" i="109"/>
  <c r="F47" i="109"/>
  <c r="G47" i="109"/>
  <c r="H47" i="109"/>
  <c r="C47" i="109"/>
  <c r="B47" i="109"/>
  <c r="F48" i="109"/>
  <c r="G48" i="109"/>
  <c r="H48" i="109"/>
  <c r="C48" i="109"/>
  <c r="B48" i="109"/>
  <c r="F49" i="109"/>
  <c r="G49" i="109"/>
  <c r="H49" i="109"/>
  <c r="C49" i="109"/>
  <c r="B49" i="109"/>
  <c r="F50" i="109"/>
  <c r="G50" i="109"/>
  <c r="H50" i="109"/>
  <c r="C50" i="109"/>
  <c r="B50" i="109"/>
  <c r="F51" i="109"/>
  <c r="G51" i="109"/>
  <c r="H51" i="109"/>
  <c r="C51" i="109"/>
  <c r="B51" i="109"/>
  <c r="F52" i="109"/>
  <c r="G52" i="109"/>
  <c r="H52" i="109"/>
  <c r="C52" i="109"/>
  <c r="B52" i="109"/>
  <c r="F53" i="109"/>
  <c r="G53" i="109"/>
  <c r="H53" i="109"/>
  <c r="C53" i="109"/>
  <c r="B53" i="109"/>
  <c r="F54" i="109"/>
  <c r="G54" i="109"/>
  <c r="H54" i="109"/>
  <c r="C54" i="109"/>
  <c r="B54" i="109"/>
  <c r="F55" i="109"/>
  <c r="G55" i="109"/>
  <c r="H55" i="109"/>
  <c r="C55" i="109"/>
  <c r="B55" i="109"/>
  <c r="F56" i="109"/>
  <c r="G56" i="109"/>
  <c r="H56" i="109"/>
  <c r="C56" i="109"/>
  <c r="B56" i="109"/>
  <c r="F57" i="109"/>
  <c r="G57" i="109"/>
  <c r="H57" i="109"/>
  <c r="C57" i="109"/>
  <c r="B57" i="109"/>
  <c r="F58" i="109"/>
  <c r="G58" i="109"/>
  <c r="H58" i="109"/>
  <c r="C58" i="109"/>
  <c r="B58" i="109"/>
  <c r="F59" i="109"/>
  <c r="G59" i="109"/>
  <c r="H59" i="109"/>
  <c r="C59" i="109"/>
  <c r="B59" i="109"/>
  <c r="F60" i="109"/>
  <c r="G60" i="109"/>
  <c r="H60" i="109"/>
  <c r="C60" i="109"/>
  <c r="B60" i="109"/>
  <c r="F61" i="109"/>
  <c r="G61" i="109"/>
  <c r="H61" i="109"/>
  <c r="C61" i="109"/>
  <c r="B61" i="109"/>
  <c r="F62" i="109"/>
  <c r="G62" i="109"/>
  <c r="H62" i="109"/>
  <c r="C62" i="109"/>
  <c r="B62" i="109"/>
  <c r="F63" i="109"/>
  <c r="G63" i="109"/>
  <c r="H63" i="109"/>
  <c r="C63" i="109"/>
  <c r="B63" i="109"/>
  <c r="F64" i="109"/>
  <c r="G64" i="109"/>
  <c r="H64" i="109"/>
  <c r="C64" i="109"/>
  <c r="B64" i="109"/>
  <c r="F65" i="109"/>
  <c r="G65" i="109"/>
  <c r="H65" i="109"/>
  <c r="C65" i="109"/>
  <c r="B65" i="109"/>
  <c r="F66" i="109"/>
  <c r="G66" i="109"/>
  <c r="H66" i="109"/>
  <c r="C66" i="109"/>
  <c r="B66" i="109"/>
  <c r="F67" i="109"/>
  <c r="G67" i="109"/>
  <c r="H67" i="109"/>
  <c r="C67" i="109"/>
  <c r="B67" i="109"/>
  <c r="F68" i="109"/>
  <c r="G68" i="109"/>
  <c r="H68" i="109"/>
  <c r="C68" i="109"/>
  <c r="B68" i="109"/>
  <c r="F69" i="109"/>
  <c r="G69" i="109"/>
  <c r="H69" i="109"/>
  <c r="C69" i="109"/>
  <c r="B69" i="109"/>
  <c r="F70" i="109"/>
  <c r="G70" i="109"/>
  <c r="H70" i="109"/>
  <c r="C70" i="109"/>
  <c r="B70" i="109"/>
  <c r="F71" i="109"/>
  <c r="G71" i="109"/>
  <c r="H71" i="109"/>
  <c r="C71" i="109"/>
  <c r="B71" i="109"/>
  <c r="F72" i="109"/>
  <c r="G72" i="109"/>
  <c r="H72" i="109"/>
  <c r="C72" i="109"/>
  <c r="B72" i="109"/>
  <c r="F73" i="109"/>
  <c r="G73" i="109"/>
  <c r="H73" i="109"/>
  <c r="C73" i="109"/>
  <c r="B73" i="109"/>
  <c r="F74" i="109"/>
  <c r="G74" i="109"/>
  <c r="H74" i="109"/>
  <c r="C74" i="109"/>
  <c r="B74" i="109"/>
  <c r="F75" i="109"/>
  <c r="G75" i="109"/>
  <c r="H75" i="109"/>
  <c r="C75" i="109"/>
  <c r="B75" i="109"/>
  <c r="F76" i="109"/>
  <c r="G76" i="109"/>
  <c r="H76" i="109"/>
  <c r="C76" i="109"/>
  <c r="B76" i="109"/>
  <c r="F77" i="109"/>
  <c r="G77" i="109"/>
  <c r="H77" i="109"/>
  <c r="C77" i="109"/>
  <c r="B77" i="109"/>
  <c r="F78" i="109"/>
  <c r="G78" i="109"/>
  <c r="H78" i="109"/>
  <c r="C78" i="109"/>
  <c r="B78" i="109"/>
  <c r="F79" i="109"/>
  <c r="G79" i="109"/>
  <c r="H79" i="109"/>
  <c r="C79" i="109"/>
  <c r="B79" i="109"/>
  <c r="F80" i="109"/>
  <c r="G80" i="109"/>
  <c r="H80" i="109"/>
  <c r="C80" i="109"/>
  <c r="B80" i="109"/>
  <c r="F81" i="109"/>
  <c r="G81" i="109"/>
  <c r="H81" i="109"/>
  <c r="C81" i="109"/>
  <c r="B81" i="109"/>
  <c r="F82" i="109"/>
  <c r="G82" i="109"/>
  <c r="H82" i="109"/>
  <c r="C82" i="109"/>
  <c r="B82" i="109"/>
  <c r="F83" i="109"/>
  <c r="G83" i="109"/>
  <c r="H83" i="109"/>
  <c r="C83" i="109"/>
  <c r="B83" i="109"/>
  <c r="F84" i="109"/>
  <c r="G84" i="109"/>
  <c r="H84" i="109"/>
  <c r="C84" i="109"/>
  <c r="B84" i="109"/>
  <c r="F85" i="109"/>
  <c r="G85" i="109"/>
  <c r="H85" i="109"/>
  <c r="C85" i="109"/>
  <c r="B85" i="109"/>
  <c r="F86" i="109"/>
  <c r="G86" i="109"/>
  <c r="H86" i="109"/>
  <c r="C86" i="109"/>
  <c r="B86" i="109"/>
  <c r="F87" i="109"/>
  <c r="G87" i="109"/>
  <c r="H87" i="109"/>
  <c r="C87" i="109"/>
  <c r="B87" i="109"/>
  <c r="F88" i="109"/>
  <c r="G88" i="109"/>
  <c r="H88" i="109"/>
  <c r="C88" i="109"/>
  <c r="B88" i="109"/>
  <c r="F89" i="109"/>
  <c r="G89" i="109"/>
  <c r="H89" i="109"/>
  <c r="C89" i="109"/>
  <c r="B89" i="109"/>
  <c r="F90" i="109"/>
  <c r="G90" i="109"/>
  <c r="H90" i="109"/>
  <c r="C90" i="109"/>
  <c r="B90" i="109"/>
  <c r="F91" i="109"/>
  <c r="G91" i="109"/>
  <c r="H91" i="109"/>
  <c r="C91" i="109"/>
  <c r="B91" i="109"/>
  <c r="F92" i="109"/>
  <c r="G92" i="109"/>
  <c r="H92" i="109"/>
  <c r="C92" i="109"/>
  <c r="B92" i="109"/>
  <c r="F93" i="109"/>
  <c r="G93" i="109"/>
  <c r="H93" i="109"/>
  <c r="C93" i="109"/>
  <c r="B93" i="109"/>
  <c r="F94" i="109"/>
  <c r="G94" i="109"/>
  <c r="H94" i="109"/>
  <c r="C94" i="109"/>
  <c r="B94" i="109"/>
  <c r="F95" i="109"/>
  <c r="G95" i="109"/>
  <c r="H95" i="109"/>
  <c r="C95" i="109"/>
  <c r="B95" i="109"/>
  <c r="F96" i="109"/>
  <c r="G96" i="109"/>
  <c r="H96" i="109"/>
  <c r="C96" i="109"/>
  <c r="B96" i="109"/>
  <c r="F97" i="109"/>
  <c r="G97" i="109"/>
  <c r="H97" i="109"/>
  <c r="C97" i="109"/>
  <c r="B97" i="109"/>
  <c r="F98" i="109"/>
  <c r="G98" i="109"/>
  <c r="H98" i="109"/>
  <c r="C98" i="109"/>
  <c r="B98" i="109"/>
  <c r="F99" i="109"/>
  <c r="G99" i="109"/>
  <c r="H99" i="109"/>
  <c r="C99" i="109"/>
  <c r="B99" i="109"/>
  <c r="F100" i="109"/>
  <c r="G100" i="109"/>
  <c r="H100" i="109"/>
  <c r="C100" i="109"/>
  <c r="B100" i="109"/>
  <c r="F101" i="109"/>
  <c r="G101" i="109"/>
  <c r="H101" i="109"/>
  <c r="C101" i="109"/>
  <c r="B101" i="109"/>
  <c r="F102" i="109"/>
  <c r="G102" i="109"/>
  <c r="H102" i="109"/>
  <c r="C102" i="109"/>
  <c r="B102" i="109"/>
  <c r="F103" i="109"/>
  <c r="G103" i="109"/>
  <c r="H103" i="109"/>
  <c r="C103" i="109"/>
  <c r="B103" i="109"/>
  <c r="F104" i="109"/>
  <c r="G104" i="109"/>
  <c r="H104" i="109"/>
  <c r="C104" i="109"/>
  <c r="B104" i="109"/>
  <c r="F105" i="109"/>
  <c r="G105" i="109"/>
  <c r="H105" i="109"/>
  <c r="C105" i="109"/>
  <c r="B105" i="109"/>
  <c r="F106" i="109"/>
  <c r="G106" i="109"/>
  <c r="H106" i="109"/>
  <c r="C106" i="109"/>
  <c r="B106" i="109"/>
  <c r="F107" i="109"/>
  <c r="G107" i="109"/>
  <c r="H107" i="109"/>
  <c r="C107" i="109"/>
  <c r="B107" i="109"/>
  <c r="F108" i="109"/>
  <c r="G108" i="109"/>
  <c r="H108" i="109"/>
  <c r="C108" i="109"/>
  <c r="B108" i="109"/>
  <c r="F109" i="109"/>
  <c r="G109" i="109"/>
  <c r="H109" i="109"/>
  <c r="C109" i="109"/>
  <c r="B109" i="109"/>
  <c r="F110" i="109"/>
  <c r="G110" i="109"/>
  <c r="H110" i="109"/>
  <c r="C110" i="109"/>
  <c r="B110" i="109"/>
  <c r="F111" i="109"/>
  <c r="G111" i="109"/>
  <c r="H111" i="109"/>
  <c r="C111" i="109"/>
  <c r="B111" i="109"/>
  <c r="F112" i="109"/>
  <c r="G112" i="109"/>
  <c r="H112" i="109"/>
  <c r="C112" i="109"/>
  <c r="B112" i="109"/>
  <c r="F113" i="109"/>
  <c r="G113" i="109"/>
  <c r="H113" i="109"/>
  <c r="C113" i="109"/>
  <c r="B113" i="109"/>
  <c r="F114" i="109"/>
  <c r="G114" i="109"/>
  <c r="H114" i="109"/>
  <c r="C114" i="109"/>
  <c r="B114" i="109"/>
  <c r="F115" i="109"/>
  <c r="G115" i="109"/>
  <c r="H115" i="109"/>
  <c r="C115" i="109"/>
  <c r="B115" i="109"/>
  <c r="F116" i="109"/>
  <c r="G116" i="109"/>
  <c r="H116" i="109"/>
  <c r="C116" i="109"/>
  <c r="B116" i="109"/>
  <c r="F117" i="109"/>
  <c r="G117" i="109"/>
  <c r="H117" i="109"/>
  <c r="C117" i="109"/>
  <c r="B117" i="109"/>
  <c r="F118" i="109"/>
  <c r="G118" i="109"/>
  <c r="H118" i="109"/>
  <c r="C118" i="109"/>
  <c r="B118" i="109"/>
  <c r="F119" i="109"/>
  <c r="G119" i="109"/>
  <c r="H119" i="109"/>
  <c r="C119" i="109"/>
  <c r="B119" i="109"/>
  <c r="F120" i="109"/>
  <c r="G120" i="109"/>
  <c r="H120" i="109"/>
  <c r="C120" i="109"/>
  <c r="B120" i="109"/>
  <c r="F121" i="109"/>
  <c r="G121" i="109"/>
  <c r="H121" i="109"/>
  <c r="C121" i="109"/>
  <c r="B121" i="109"/>
  <c r="F122" i="109"/>
  <c r="G122" i="109"/>
  <c r="H122" i="109"/>
  <c r="C122" i="109"/>
  <c r="B122" i="109"/>
  <c r="F123" i="109"/>
  <c r="G123" i="109"/>
  <c r="H123" i="109"/>
  <c r="C123" i="109"/>
  <c r="B123" i="109"/>
  <c r="F124" i="109"/>
  <c r="G124" i="109"/>
  <c r="H124" i="109"/>
  <c r="C124" i="109"/>
  <c r="B124" i="109"/>
  <c r="F125" i="109"/>
  <c r="G125" i="109"/>
  <c r="H125" i="109"/>
  <c r="C125" i="109"/>
  <c r="B125" i="109"/>
  <c r="F126" i="109"/>
  <c r="G126" i="109"/>
  <c r="H126" i="109"/>
  <c r="C126" i="109"/>
  <c r="B126" i="109"/>
  <c r="F127" i="109"/>
  <c r="G127" i="109"/>
  <c r="H127" i="109"/>
  <c r="C127" i="109"/>
  <c r="B127" i="109"/>
  <c r="F128" i="109"/>
  <c r="G128" i="109"/>
  <c r="H128" i="109"/>
  <c r="C128" i="109"/>
  <c r="B128" i="109"/>
  <c r="F129" i="109"/>
  <c r="G129" i="109"/>
  <c r="H129" i="109"/>
  <c r="C129" i="109"/>
  <c r="B129" i="109"/>
  <c r="F130" i="109"/>
  <c r="G130" i="109"/>
  <c r="H130" i="109"/>
  <c r="C130" i="109"/>
  <c r="B130" i="109"/>
  <c r="F131" i="109"/>
  <c r="G131" i="109"/>
  <c r="H131" i="109"/>
  <c r="C131" i="109"/>
  <c r="B131" i="109"/>
  <c r="F132" i="109"/>
  <c r="G132" i="109"/>
  <c r="H132" i="109"/>
  <c r="C132" i="109"/>
  <c r="B132" i="109"/>
  <c r="F133" i="109"/>
  <c r="G133" i="109"/>
  <c r="H133" i="109"/>
  <c r="C133" i="109"/>
  <c r="B133" i="109"/>
  <c r="F134" i="109"/>
  <c r="G134" i="109"/>
  <c r="H134" i="109"/>
  <c r="C134" i="109"/>
  <c r="B134" i="109"/>
  <c r="F135" i="109"/>
  <c r="G135" i="109"/>
  <c r="H135" i="109"/>
  <c r="C135" i="109"/>
  <c r="B135" i="109"/>
  <c r="F136" i="109"/>
  <c r="G136" i="109"/>
  <c r="H136" i="109"/>
  <c r="C136" i="109"/>
  <c r="B136" i="109"/>
  <c r="F137" i="109"/>
  <c r="G137" i="109"/>
  <c r="H137" i="109"/>
  <c r="C137" i="109"/>
  <c r="B137" i="109"/>
  <c r="F138" i="109"/>
  <c r="G138" i="109"/>
  <c r="H138" i="109"/>
  <c r="C138" i="109"/>
  <c r="B138" i="109"/>
  <c r="F139" i="109"/>
  <c r="G139" i="109"/>
  <c r="H139" i="109"/>
  <c r="C139" i="109"/>
  <c r="B139" i="109"/>
  <c r="F140" i="109"/>
  <c r="G140" i="109"/>
  <c r="H140" i="109"/>
  <c r="C140" i="109"/>
  <c r="B140" i="109"/>
  <c r="F141" i="109"/>
  <c r="G141" i="109"/>
  <c r="H141" i="109"/>
  <c r="C141" i="109"/>
  <c r="B141" i="109"/>
  <c r="F142" i="109"/>
  <c r="G142" i="109"/>
  <c r="H142" i="109"/>
  <c r="C142" i="109"/>
  <c r="B142" i="109"/>
  <c r="F143" i="109"/>
  <c r="G143" i="109"/>
  <c r="H143" i="109"/>
  <c r="C143" i="109"/>
  <c r="B143" i="109"/>
  <c r="F144" i="109"/>
  <c r="G144" i="109"/>
  <c r="H144" i="109"/>
  <c r="C144" i="109"/>
  <c r="B144" i="109"/>
  <c r="F145" i="109"/>
  <c r="G145" i="109"/>
  <c r="H145" i="109"/>
  <c r="C145" i="109"/>
  <c r="B145" i="109"/>
  <c r="F146" i="109"/>
  <c r="G146" i="109"/>
  <c r="H146" i="109"/>
  <c r="C146" i="109"/>
  <c r="B146" i="109"/>
  <c r="F147" i="109"/>
  <c r="G147" i="109"/>
  <c r="H147" i="109"/>
  <c r="C147" i="109"/>
  <c r="B147" i="109"/>
  <c r="F148" i="109"/>
  <c r="G148" i="109"/>
  <c r="H148" i="109"/>
  <c r="C148" i="109"/>
  <c r="B148" i="109"/>
  <c r="F149" i="109"/>
  <c r="G149" i="109"/>
  <c r="H149" i="109"/>
  <c r="C149" i="109"/>
  <c r="B149" i="109"/>
  <c r="F150" i="109"/>
  <c r="G150" i="109"/>
  <c r="H150" i="109"/>
  <c r="C150" i="109"/>
  <c r="B150" i="109"/>
  <c r="F151" i="109"/>
  <c r="G151" i="109"/>
  <c r="H151" i="109"/>
  <c r="C151" i="109"/>
  <c r="B151" i="109"/>
  <c r="F152" i="109"/>
  <c r="G152" i="109"/>
  <c r="H152" i="109"/>
  <c r="C152" i="109"/>
  <c r="B152" i="109"/>
  <c r="F153" i="109"/>
  <c r="G153" i="109"/>
  <c r="H153" i="109"/>
  <c r="C153" i="109"/>
  <c r="B153" i="109"/>
  <c r="F154" i="109"/>
  <c r="G154" i="109"/>
  <c r="H154" i="109"/>
  <c r="C154" i="109"/>
  <c r="B154" i="109"/>
  <c r="F155" i="109"/>
  <c r="G155" i="109"/>
  <c r="H155" i="109"/>
  <c r="C155" i="109"/>
  <c r="B155" i="109"/>
  <c r="F156" i="109"/>
  <c r="G156" i="109"/>
  <c r="H156" i="109"/>
  <c r="C156" i="109"/>
  <c r="B156" i="109"/>
  <c r="F157" i="109"/>
  <c r="G157" i="109"/>
  <c r="H157" i="109"/>
  <c r="C157" i="109"/>
  <c r="B157" i="109"/>
  <c r="F158" i="109"/>
  <c r="G158" i="109"/>
  <c r="H158" i="109"/>
  <c r="C158" i="109"/>
  <c r="B158" i="109"/>
  <c r="F159" i="109"/>
  <c r="G159" i="109"/>
  <c r="H159" i="109"/>
  <c r="C159" i="109"/>
  <c r="B159" i="109"/>
  <c r="F160" i="109"/>
  <c r="G160" i="109"/>
  <c r="H160" i="109"/>
  <c r="C160" i="109"/>
  <c r="B160" i="109"/>
  <c r="F161" i="109"/>
  <c r="G161" i="109"/>
  <c r="H161" i="109"/>
  <c r="C161" i="109"/>
  <c r="B161" i="109"/>
  <c r="F162" i="109"/>
  <c r="G162" i="109"/>
  <c r="H162" i="109"/>
  <c r="C162" i="109"/>
  <c r="B162" i="109"/>
  <c r="F163" i="109"/>
  <c r="G163" i="109"/>
  <c r="H163" i="109"/>
  <c r="C163" i="109"/>
  <c r="B163" i="109"/>
  <c r="F164" i="109"/>
  <c r="G164" i="109"/>
  <c r="H164" i="109"/>
  <c r="C164" i="109"/>
  <c r="B164" i="109"/>
  <c r="F165" i="109"/>
  <c r="G165" i="109"/>
  <c r="H165" i="109"/>
  <c r="C165" i="109"/>
  <c r="B165" i="109"/>
  <c r="F166" i="109"/>
  <c r="G166" i="109"/>
  <c r="H166" i="109"/>
  <c r="C166" i="109"/>
  <c r="B166" i="109"/>
  <c r="F167" i="109"/>
  <c r="G167" i="109"/>
  <c r="H167" i="109"/>
  <c r="C167" i="109"/>
  <c r="B167" i="109"/>
  <c r="F168" i="109"/>
  <c r="G168" i="109"/>
  <c r="H168" i="109"/>
  <c r="C168" i="109"/>
  <c r="B168" i="109"/>
  <c r="F169" i="109"/>
  <c r="G169" i="109"/>
  <c r="H169" i="109"/>
  <c r="C169" i="109"/>
  <c r="B169" i="109"/>
  <c r="F170" i="109"/>
  <c r="G170" i="109"/>
  <c r="H170" i="109"/>
  <c r="C170" i="109"/>
  <c r="B170" i="109"/>
  <c r="F171" i="109"/>
  <c r="G171" i="109"/>
  <c r="H171" i="109"/>
  <c r="C171" i="109"/>
  <c r="B171" i="109"/>
  <c r="F172" i="109"/>
  <c r="G172" i="109"/>
  <c r="H172" i="109"/>
  <c r="C172" i="109"/>
  <c r="B172" i="109"/>
  <c r="F173" i="109"/>
  <c r="G173" i="109"/>
  <c r="H173" i="109"/>
  <c r="C173" i="109"/>
  <c r="B173" i="109"/>
  <c r="F174" i="109"/>
  <c r="G174" i="109"/>
  <c r="H174" i="109"/>
  <c r="C174" i="109"/>
  <c r="B174" i="109"/>
  <c r="F175" i="109"/>
  <c r="G175" i="109"/>
  <c r="H175" i="109"/>
  <c r="C175" i="109"/>
  <c r="B175" i="109"/>
  <c r="F176" i="109"/>
  <c r="G176" i="109"/>
  <c r="H176" i="109"/>
  <c r="C176" i="109"/>
  <c r="B176" i="109"/>
  <c r="F177" i="109"/>
  <c r="G177" i="109"/>
  <c r="H177" i="109"/>
  <c r="C177" i="109"/>
  <c r="B177" i="109"/>
  <c r="F178" i="109"/>
  <c r="G178" i="109"/>
  <c r="H178" i="109"/>
  <c r="C178" i="109"/>
  <c r="B178" i="109"/>
  <c r="F179" i="109"/>
  <c r="G179" i="109"/>
  <c r="H179" i="109"/>
  <c r="C179" i="109"/>
  <c r="B179" i="109"/>
  <c r="F180" i="109"/>
  <c r="G180" i="109"/>
  <c r="H180" i="109"/>
  <c r="C180" i="109"/>
  <c r="B180" i="109"/>
  <c r="F181" i="109"/>
  <c r="G181" i="109"/>
  <c r="H181" i="109"/>
  <c r="C181" i="109"/>
  <c r="B181" i="109"/>
  <c r="F182" i="109"/>
  <c r="G182" i="109"/>
  <c r="H182" i="109"/>
  <c r="C182" i="109"/>
  <c r="B182" i="109"/>
  <c r="F183" i="109"/>
  <c r="G183" i="109"/>
  <c r="H183" i="109"/>
  <c r="C183" i="109"/>
  <c r="B183" i="109"/>
  <c r="F184" i="109"/>
  <c r="G184" i="109"/>
  <c r="H184" i="109"/>
  <c r="C184" i="109"/>
  <c r="B184" i="109"/>
  <c r="F185" i="109"/>
  <c r="G185" i="109"/>
  <c r="H185" i="109"/>
  <c r="C185" i="109"/>
  <c r="B185" i="109"/>
  <c r="F186" i="109"/>
  <c r="G186" i="109"/>
  <c r="H186" i="109"/>
  <c r="C186" i="109"/>
  <c r="B186" i="109"/>
  <c r="F187" i="109"/>
  <c r="G187" i="109"/>
  <c r="H187" i="109"/>
  <c r="C187" i="109"/>
  <c r="B187" i="109"/>
  <c r="F188" i="109"/>
  <c r="G188" i="109"/>
  <c r="H188" i="109"/>
  <c r="C188" i="109"/>
  <c r="B188" i="109"/>
  <c r="F189" i="109"/>
  <c r="G189" i="109"/>
  <c r="H189" i="109"/>
  <c r="C189" i="109"/>
  <c r="B189" i="109"/>
  <c r="F190" i="109"/>
  <c r="G190" i="109"/>
  <c r="H190" i="109"/>
  <c r="C190" i="109"/>
  <c r="B190" i="109"/>
  <c r="F191" i="109"/>
  <c r="G191" i="109"/>
  <c r="H191" i="109"/>
  <c r="C191" i="109"/>
  <c r="B191" i="109"/>
  <c r="F192" i="109"/>
  <c r="G192" i="109"/>
  <c r="H192" i="109"/>
  <c r="C192" i="109"/>
  <c r="B192" i="109"/>
  <c r="F193" i="109"/>
  <c r="G193" i="109"/>
  <c r="H193" i="109"/>
  <c r="C193" i="109"/>
  <c r="B193" i="109"/>
  <c r="F194" i="109"/>
  <c r="G194" i="109"/>
  <c r="H194" i="109"/>
  <c r="C194" i="109"/>
  <c r="B194" i="109"/>
  <c r="F195" i="109"/>
  <c r="G195" i="109"/>
  <c r="H195" i="109"/>
  <c r="C195" i="109"/>
  <c r="B195" i="109"/>
  <c r="F196" i="109"/>
  <c r="G196" i="109"/>
  <c r="H196" i="109"/>
  <c r="C196" i="109"/>
  <c r="B196" i="109"/>
  <c r="F197" i="109"/>
  <c r="G197" i="109"/>
  <c r="H197" i="109"/>
  <c r="C197" i="109"/>
  <c r="B197" i="109"/>
  <c r="F198" i="109"/>
  <c r="G198" i="109"/>
  <c r="H198" i="109"/>
  <c r="C198" i="109"/>
  <c r="B198" i="109"/>
  <c r="F199" i="109"/>
  <c r="G199" i="109"/>
  <c r="H199" i="109"/>
  <c r="C199" i="109"/>
  <c r="B199" i="109"/>
  <c r="F200" i="109"/>
  <c r="G200" i="109"/>
  <c r="H200" i="109"/>
  <c r="C200" i="109"/>
  <c r="B200" i="109"/>
  <c r="F201" i="109"/>
  <c r="G201" i="109"/>
  <c r="H201" i="109"/>
  <c r="C201" i="109"/>
  <c r="B201" i="109"/>
  <c r="F202" i="109"/>
  <c r="G202" i="109"/>
  <c r="H202" i="109"/>
  <c r="C202" i="109"/>
  <c r="B202" i="109"/>
  <c r="F203" i="109"/>
  <c r="G203" i="109"/>
  <c r="H203" i="109"/>
  <c r="C203" i="109"/>
  <c r="B203" i="109"/>
  <c r="F204" i="109"/>
  <c r="G204" i="109"/>
  <c r="H204" i="109"/>
  <c r="C204" i="109"/>
  <c r="B204" i="109"/>
  <c r="F205" i="109"/>
  <c r="G205" i="109"/>
  <c r="H205" i="109"/>
  <c r="C205" i="109"/>
  <c r="B205" i="109"/>
  <c r="F206" i="109"/>
  <c r="G206" i="109"/>
  <c r="H206" i="109"/>
  <c r="C206" i="109"/>
  <c r="B206" i="109"/>
  <c r="F207" i="109"/>
  <c r="G207" i="109"/>
  <c r="H207" i="109"/>
  <c r="C207" i="109"/>
  <c r="B207" i="109"/>
  <c r="F208" i="109"/>
  <c r="G208" i="109"/>
  <c r="H208" i="109"/>
  <c r="C208" i="109"/>
  <c r="B208" i="109"/>
  <c r="F209" i="109"/>
  <c r="G209" i="109"/>
  <c r="H209" i="109"/>
  <c r="C209" i="109"/>
  <c r="B209" i="109"/>
  <c r="F210" i="109"/>
  <c r="G210" i="109"/>
  <c r="H210" i="109"/>
  <c r="C210" i="109"/>
  <c r="B210" i="109"/>
  <c r="F211" i="109"/>
  <c r="G211" i="109"/>
  <c r="H211" i="109"/>
  <c r="C211" i="109"/>
  <c r="B211" i="109"/>
  <c r="F212" i="109"/>
  <c r="G212" i="109"/>
  <c r="H212" i="109"/>
  <c r="C212" i="109"/>
  <c r="B212" i="109"/>
  <c r="F213" i="109"/>
  <c r="G213" i="109"/>
  <c r="H213" i="109"/>
  <c r="C213" i="109"/>
  <c r="B213" i="109"/>
  <c r="F214" i="109"/>
  <c r="G214" i="109"/>
  <c r="H214" i="109"/>
  <c r="C214" i="109"/>
  <c r="B214" i="109"/>
  <c r="F215" i="109"/>
  <c r="G215" i="109"/>
  <c r="H215" i="109"/>
  <c r="C215" i="109"/>
  <c r="B215" i="109"/>
  <c r="F216" i="109"/>
  <c r="G216" i="109"/>
  <c r="H216" i="109"/>
  <c r="C216" i="109"/>
  <c r="B216" i="109"/>
  <c r="F217" i="109"/>
  <c r="G217" i="109"/>
  <c r="H217" i="109"/>
  <c r="C217" i="109"/>
  <c r="B217" i="109"/>
  <c r="F218" i="109"/>
  <c r="G218" i="109"/>
  <c r="H218" i="109"/>
  <c r="C218" i="109"/>
  <c r="B218" i="109"/>
  <c r="F219" i="109"/>
  <c r="G219" i="109"/>
  <c r="H219" i="109"/>
  <c r="C219" i="109"/>
  <c r="B219" i="109"/>
  <c r="F220" i="109"/>
  <c r="G220" i="109"/>
  <c r="H220" i="109"/>
  <c r="C220" i="109"/>
  <c r="B220" i="109"/>
  <c r="F221" i="109"/>
  <c r="G221" i="109"/>
  <c r="H221" i="109"/>
  <c r="C221" i="109"/>
  <c r="B221" i="109"/>
  <c r="F222" i="109"/>
  <c r="G222" i="109"/>
  <c r="H222" i="109"/>
  <c r="C222" i="109"/>
  <c r="B222" i="109"/>
  <c r="F223" i="109"/>
  <c r="G223" i="109"/>
  <c r="H223" i="109"/>
  <c r="C223" i="109"/>
  <c r="B223" i="109"/>
  <c r="F224" i="109"/>
  <c r="G224" i="109"/>
  <c r="H224" i="109"/>
  <c r="C224" i="109"/>
  <c r="B224" i="109"/>
  <c r="F225" i="109"/>
  <c r="G225" i="109"/>
  <c r="H225" i="109"/>
  <c r="C225" i="109"/>
  <c r="B225" i="109"/>
  <c r="F226" i="109"/>
  <c r="G226" i="109"/>
  <c r="H226" i="109"/>
  <c r="C226" i="109"/>
  <c r="B226" i="109"/>
  <c r="F227" i="109"/>
  <c r="G227" i="109"/>
  <c r="H227" i="109"/>
  <c r="C227" i="109"/>
  <c r="B227" i="109"/>
  <c r="F228" i="109"/>
  <c r="G228" i="109"/>
  <c r="H228" i="109"/>
  <c r="C228" i="109"/>
  <c r="B228" i="109"/>
  <c r="F229" i="109"/>
  <c r="G229" i="109"/>
  <c r="H229" i="109"/>
  <c r="C229" i="109"/>
  <c r="B229" i="109"/>
  <c r="F230" i="109"/>
  <c r="G230" i="109"/>
  <c r="H230" i="109"/>
  <c r="C230" i="109"/>
  <c r="B230" i="109"/>
  <c r="F231" i="109"/>
  <c r="G231" i="109"/>
  <c r="H231" i="109"/>
  <c r="C231" i="109"/>
  <c r="B231" i="109"/>
  <c r="F232" i="109"/>
  <c r="G232" i="109"/>
  <c r="H232" i="109"/>
  <c r="C232" i="109"/>
  <c r="B232" i="109"/>
  <c r="F233" i="109"/>
  <c r="G233" i="109"/>
  <c r="H233" i="109"/>
  <c r="C233" i="109"/>
  <c r="B233" i="109"/>
  <c r="F234" i="109"/>
  <c r="G234" i="109"/>
  <c r="H234" i="109"/>
  <c r="C234" i="109"/>
  <c r="B234" i="109"/>
  <c r="F235" i="109"/>
  <c r="G235" i="109"/>
  <c r="H235" i="109"/>
  <c r="C235" i="109"/>
  <c r="B235" i="109"/>
  <c r="F236" i="109"/>
  <c r="G236" i="109"/>
  <c r="H236" i="109"/>
  <c r="C236" i="109"/>
  <c r="B236" i="109"/>
  <c r="F237" i="109"/>
  <c r="G237" i="109"/>
  <c r="H237" i="109"/>
  <c r="C237" i="109"/>
  <c r="B237" i="109"/>
  <c r="F238" i="109"/>
  <c r="G238" i="109"/>
  <c r="H238" i="109"/>
  <c r="C238" i="109"/>
  <c r="B238" i="109"/>
  <c r="F239" i="109"/>
  <c r="G239" i="109"/>
  <c r="H239" i="109"/>
  <c r="C239" i="109"/>
  <c r="B239" i="109"/>
  <c r="F240" i="109"/>
  <c r="G240" i="109"/>
  <c r="H240" i="109"/>
  <c r="C240" i="109"/>
  <c r="B240" i="109"/>
  <c r="F241" i="109"/>
  <c r="G241" i="109"/>
  <c r="H241" i="109"/>
  <c r="C241" i="109"/>
  <c r="B241" i="109"/>
  <c r="F242" i="109"/>
  <c r="G242" i="109"/>
  <c r="H242" i="109"/>
  <c r="C242" i="109"/>
  <c r="B242" i="109"/>
  <c r="F243" i="109"/>
  <c r="G243" i="109"/>
  <c r="H243" i="109"/>
  <c r="C243" i="109"/>
  <c r="B243" i="109"/>
  <c r="F244" i="109"/>
  <c r="G244" i="109"/>
  <c r="H244" i="109"/>
  <c r="C244" i="109"/>
  <c r="B244" i="109"/>
  <c r="F245" i="109"/>
  <c r="G245" i="109"/>
  <c r="H245" i="109"/>
  <c r="C245" i="109"/>
  <c r="B245" i="109"/>
  <c r="M246" i="109"/>
  <c r="K246" i="109"/>
  <c r="J246" i="109"/>
  <c r="I246" i="109"/>
  <c r="E246" i="109"/>
  <c r="S245" i="109"/>
  <c r="R245" i="109"/>
  <c r="Q245" i="109"/>
  <c r="P245" i="109"/>
  <c r="O245" i="109"/>
  <c r="N245" i="109"/>
  <c r="M245" i="109"/>
  <c r="K245" i="109"/>
  <c r="J245" i="109"/>
  <c r="I245" i="109"/>
  <c r="E245" i="109"/>
  <c r="S244" i="109"/>
  <c r="R244" i="109"/>
  <c r="Q244" i="109"/>
  <c r="P244" i="109"/>
  <c r="O244" i="109"/>
  <c r="N244" i="109"/>
  <c r="M244" i="109"/>
  <c r="K244" i="109"/>
  <c r="J244" i="109"/>
  <c r="I244" i="109"/>
  <c r="E244" i="109"/>
  <c r="S243" i="109"/>
  <c r="R243" i="109"/>
  <c r="Q243" i="109"/>
  <c r="P243" i="109"/>
  <c r="O243" i="109"/>
  <c r="N243" i="109"/>
  <c r="M243" i="109"/>
  <c r="K243" i="109"/>
  <c r="J243" i="109"/>
  <c r="I243" i="109"/>
  <c r="E243" i="109"/>
  <c r="S242" i="109"/>
  <c r="R242" i="109"/>
  <c r="Q242" i="109"/>
  <c r="P242" i="109"/>
  <c r="O242" i="109"/>
  <c r="N242" i="109"/>
  <c r="M242" i="109"/>
  <c r="K242" i="109"/>
  <c r="J242" i="109"/>
  <c r="I242" i="109"/>
  <c r="E242" i="109"/>
  <c r="S241" i="109"/>
  <c r="R241" i="109"/>
  <c r="Q241" i="109"/>
  <c r="P241" i="109"/>
  <c r="O241" i="109"/>
  <c r="N241" i="109"/>
  <c r="M241" i="109"/>
  <c r="K241" i="109"/>
  <c r="J241" i="109"/>
  <c r="I241" i="109"/>
  <c r="E241" i="109"/>
  <c r="S240" i="109"/>
  <c r="R240" i="109"/>
  <c r="Q240" i="109"/>
  <c r="P240" i="109"/>
  <c r="O240" i="109"/>
  <c r="N240" i="109"/>
  <c r="M240" i="109"/>
  <c r="K240" i="109"/>
  <c r="J240" i="109"/>
  <c r="I240" i="109"/>
  <c r="E240" i="109"/>
  <c r="S239" i="109"/>
  <c r="R239" i="109"/>
  <c r="Q239" i="109"/>
  <c r="P239" i="109"/>
  <c r="O239" i="109"/>
  <c r="N239" i="109"/>
  <c r="M239" i="109"/>
  <c r="K239" i="109"/>
  <c r="J239" i="109"/>
  <c r="I239" i="109"/>
  <c r="E239" i="109"/>
  <c r="S238" i="109"/>
  <c r="R238" i="109"/>
  <c r="Q238" i="109"/>
  <c r="P238" i="109"/>
  <c r="O238" i="109"/>
  <c r="N238" i="109"/>
  <c r="M238" i="109"/>
  <c r="K238" i="109"/>
  <c r="J238" i="109"/>
  <c r="I238" i="109"/>
  <c r="E238" i="109"/>
  <c r="S237" i="109"/>
  <c r="R237" i="109"/>
  <c r="Q237" i="109"/>
  <c r="P237" i="109"/>
  <c r="O237" i="109"/>
  <c r="N237" i="109"/>
  <c r="M237" i="109"/>
  <c r="K237" i="109"/>
  <c r="J237" i="109"/>
  <c r="I237" i="109"/>
  <c r="E237" i="109"/>
  <c r="S236" i="109"/>
  <c r="R236" i="109"/>
  <c r="Q236" i="109"/>
  <c r="P236" i="109"/>
  <c r="O236" i="109"/>
  <c r="N236" i="109"/>
  <c r="M236" i="109"/>
  <c r="K236" i="109"/>
  <c r="J236" i="109"/>
  <c r="I236" i="109"/>
  <c r="E236" i="109"/>
  <c r="S235" i="109"/>
  <c r="R235" i="109"/>
  <c r="Q235" i="109"/>
  <c r="P235" i="109"/>
  <c r="O235" i="109"/>
  <c r="N235" i="109"/>
  <c r="M235" i="109"/>
  <c r="K235" i="109"/>
  <c r="J235" i="109"/>
  <c r="I235" i="109"/>
  <c r="E235" i="109"/>
  <c r="S234" i="109"/>
  <c r="R234" i="109"/>
  <c r="Q234" i="109"/>
  <c r="P234" i="109"/>
  <c r="O234" i="109"/>
  <c r="N234" i="109"/>
  <c r="M234" i="109"/>
  <c r="K234" i="109"/>
  <c r="J234" i="109"/>
  <c r="I234" i="109"/>
  <c r="E234" i="109"/>
  <c r="S233" i="109"/>
  <c r="R233" i="109"/>
  <c r="Q233" i="109"/>
  <c r="P233" i="109"/>
  <c r="O233" i="109"/>
  <c r="N233" i="109"/>
  <c r="M233" i="109"/>
  <c r="K233" i="109"/>
  <c r="J233" i="109"/>
  <c r="I233" i="109"/>
  <c r="E233" i="109"/>
  <c r="S232" i="109"/>
  <c r="R232" i="109"/>
  <c r="Q232" i="109"/>
  <c r="P232" i="109"/>
  <c r="O232" i="109"/>
  <c r="N232" i="109"/>
  <c r="M232" i="109"/>
  <c r="K232" i="109"/>
  <c r="J232" i="109"/>
  <c r="I232" i="109"/>
  <c r="E232" i="109"/>
  <c r="S231" i="109"/>
  <c r="R231" i="109"/>
  <c r="Q231" i="109"/>
  <c r="P231" i="109"/>
  <c r="O231" i="109"/>
  <c r="N231" i="109"/>
  <c r="M231" i="109"/>
  <c r="K231" i="109"/>
  <c r="J231" i="109"/>
  <c r="I231" i="109"/>
  <c r="E231" i="109"/>
  <c r="S230" i="109"/>
  <c r="R230" i="109"/>
  <c r="Q230" i="109"/>
  <c r="P230" i="109"/>
  <c r="O230" i="109"/>
  <c r="N230" i="109"/>
  <c r="M230" i="109"/>
  <c r="K230" i="109"/>
  <c r="J230" i="109"/>
  <c r="I230" i="109"/>
  <c r="E230" i="109"/>
  <c r="S229" i="109"/>
  <c r="R229" i="109"/>
  <c r="Q229" i="109"/>
  <c r="P229" i="109"/>
  <c r="O229" i="109"/>
  <c r="N229" i="109"/>
  <c r="M229" i="109"/>
  <c r="K229" i="109"/>
  <c r="J229" i="109"/>
  <c r="I229" i="109"/>
  <c r="E229" i="109"/>
  <c r="S228" i="109"/>
  <c r="R228" i="109"/>
  <c r="Q228" i="109"/>
  <c r="P228" i="109"/>
  <c r="O228" i="109"/>
  <c r="N228" i="109"/>
  <c r="M228" i="109"/>
  <c r="K228" i="109"/>
  <c r="J228" i="109"/>
  <c r="I228" i="109"/>
  <c r="E228" i="109"/>
  <c r="S227" i="109"/>
  <c r="R227" i="109"/>
  <c r="Q227" i="109"/>
  <c r="P227" i="109"/>
  <c r="O227" i="109"/>
  <c r="N227" i="109"/>
  <c r="M227" i="109"/>
  <c r="K227" i="109"/>
  <c r="J227" i="109"/>
  <c r="I227" i="109"/>
  <c r="E227" i="109"/>
  <c r="S226" i="109"/>
  <c r="R226" i="109"/>
  <c r="Q226" i="109"/>
  <c r="P226" i="109"/>
  <c r="O226" i="109"/>
  <c r="N226" i="109"/>
  <c r="M226" i="109"/>
  <c r="K226" i="109"/>
  <c r="J226" i="109"/>
  <c r="I226" i="109"/>
  <c r="E226" i="109"/>
  <c r="S225" i="109"/>
  <c r="R225" i="109"/>
  <c r="Q225" i="109"/>
  <c r="P225" i="109"/>
  <c r="O225" i="109"/>
  <c r="N225" i="109"/>
  <c r="M225" i="109"/>
  <c r="K225" i="109"/>
  <c r="J225" i="109"/>
  <c r="I225" i="109"/>
  <c r="E225" i="109"/>
  <c r="S224" i="109"/>
  <c r="R224" i="109"/>
  <c r="Q224" i="109"/>
  <c r="P224" i="109"/>
  <c r="O224" i="109"/>
  <c r="N224" i="109"/>
  <c r="M224" i="109"/>
  <c r="K224" i="109"/>
  <c r="J224" i="109"/>
  <c r="I224" i="109"/>
  <c r="E224" i="109"/>
  <c r="S223" i="109"/>
  <c r="R223" i="109"/>
  <c r="Q223" i="109"/>
  <c r="P223" i="109"/>
  <c r="O223" i="109"/>
  <c r="N223" i="109"/>
  <c r="M223" i="109"/>
  <c r="K223" i="109"/>
  <c r="J223" i="109"/>
  <c r="I223" i="109"/>
  <c r="E223" i="109"/>
  <c r="S222" i="109"/>
  <c r="R222" i="109"/>
  <c r="Q222" i="109"/>
  <c r="P222" i="109"/>
  <c r="O222" i="109"/>
  <c r="N222" i="109"/>
  <c r="M222" i="109"/>
  <c r="K222" i="109"/>
  <c r="J222" i="109"/>
  <c r="I222" i="109"/>
  <c r="E222" i="109"/>
  <c r="S221" i="109"/>
  <c r="R221" i="109"/>
  <c r="Q221" i="109"/>
  <c r="P221" i="109"/>
  <c r="O221" i="109"/>
  <c r="N221" i="109"/>
  <c r="M221" i="109"/>
  <c r="K221" i="109"/>
  <c r="J221" i="109"/>
  <c r="I221" i="109"/>
  <c r="E221" i="109"/>
  <c r="S220" i="109"/>
  <c r="R220" i="109"/>
  <c r="Q220" i="109"/>
  <c r="P220" i="109"/>
  <c r="O220" i="109"/>
  <c r="N220" i="109"/>
  <c r="M220" i="109"/>
  <c r="K220" i="109"/>
  <c r="J220" i="109"/>
  <c r="I220" i="109"/>
  <c r="E220" i="109"/>
  <c r="S219" i="109"/>
  <c r="R219" i="109"/>
  <c r="Q219" i="109"/>
  <c r="P219" i="109"/>
  <c r="O219" i="109"/>
  <c r="N219" i="109"/>
  <c r="M219" i="109"/>
  <c r="K219" i="109"/>
  <c r="J219" i="109"/>
  <c r="I219" i="109"/>
  <c r="E219" i="109"/>
  <c r="S218" i="109"/>
  <c r="R218" i="109"/>
  <c r="Q218" i="109"/>
  <c r="P218" i="109"/>
  <c r="O218" i="109"/>
  <c r="N218" i="109"/>
  <c r="M218" i="109"/>
  <c r="K218" i="109"/>
  <c r="J218" i="109"/>
  <c r="I218" i="109"/>
  <c r="E218" i="109"/>
  <c r="S217" i="109"/>
  <c r="R217" i="109"/>
  <c r="Q217" i="109"/>
  <c r="P217" i="109"/>
  <c r="O217" i="109"/>
  <c r="N217" i="109"/>
  <c r="M217" i="109"/>
  <c r="K217" i="109"/>
  <c r="J217" i="109"/>
  <c r="I217" i="109"/>
  <c r="E217" i="109"/>
  <c r="S216" i="109"/>
  <c r="R216" i="109"/>
  <c r="Q216" i="109"/>
  <c r="P216" i="109"/>
  <c r="O216" i="109"/>
  <c r="N216" i="109"/>
  <c r="M216" i="109"/>
  <c r="K216" i="109"/>
  <c r="J216" i="109"/>
  <c r="I216" i="109"/>
  <c r="E216" i="109"/>
  <c r="S215" i="109"/>
  <c r="R215" i="109"/>
  <c r="Q215" i="109"/>
  <c r="P215" i="109"/>
  <c r="O215" i="109"/>
  <c r="N215" i="109"/>
  <c r="M215" i="109"/>
  <c r="K215" i="109"/>
  <c r="J215" i="109"/>
  <c r="I215" i="109"/>
  <c r="E215" i="109"/>
  <c r="S214" i="109"/>
  <c r="R214" i="109"/>
  <c r="Q214" i="109"/>
  <c r="P214" i="109"/>
  <c r="O214" i="109"/>
  <c r="N214" i="109"/>
  <c r="M214" i="109"/>
  <c r="K214" i="109"/>
  <c r="J214" i="109"/>
  <c r="I214" i="109"/>
  <c r="E214" i="109"/>
  <c r="S213" i="109"/>
  <c r="R213" i="109"/>
  <c r="Q213" i="109"/>
  <c r="P213" i="109"/>
  <c r="O213" i="109"/>
  <c r="N213" i="109"/>
  <c r="M213" i="109"/>
  <c r="K213" i="109"/>
  <c r="J213" i="109"/>
  <c r="I213" i="109"/>
  <c r="E213" i="109"/>
  <c r="S212" i="109"/>
  <c r="R212" i="109"/>
  <c r="Q212" i="109"/>
  <c r="P212" i="109"/>
  <c r="O212" i="109"/>
  <c r="N212" i="109"/>
  <c r="M212" i="109"/>
  <c r="K212" i="109"/>
  <c r="J212" i="109"/>
  <c r="I212" i="109"/>
  <c r="E212" i="109"/>
  <c r="S211" i="109"/>
  <c r="R211" i="109"/>
  <c r="Q211" i="109"/>
  <c r="P211" i="109"/>
  <c r="O211" i="109"/>
  <c r="N211" i="109"/>
  <c r="M211" i="109"/>
  <c r="K211" i="109"/>
  <c r="J211" i="109"/>
  <c r="I211" i="109"/>
  <c r="E211" i="109"/>
  <c r="S210" i="109"/>
  <c r="R210" i="109"/>
  <c r="Q210" i="109"/>
  <c r="P210" i="109"/>
  <c r="O210" i="109"/>
  <c r="N210" i="109"/>
  <c r="M210" i="109"/>
  <c r="K210" i="109"/>
  <c r="J210" i="109"/>
  <c r="I210" i="109"/>
  <c r="E210" i="109"/>
  <c r="S209" i="109"/>
  <c r="R209" i="109"/>
  <c r="Q209" i="109"/>
  <c r="P209" i="109"/>
  <c r="O209" i="109"/>
  <c r="N209" i="109"/>
  <c r="M209" i="109"/>
  <c r="K209" i="109"/>
  <c r="J209" i="109"/>
  <c r="I209" i="109"/>
  <c r="E209" i="109"/>
  <c r="S208" i="109"/>
  <c r="R208" i="109"/>
  <c r="Q208" i="109"/>
  <c r="P208" i="109"/>
  <c r="O208" i="109"/>
  <c r="N208" i="109"/>
  <c r="M208" i="109"/>
  <c r="K208" i="109"/>
  <c r="J208" i="109"/>
  <c r="I208" i="109"/>
  <c r="E208" i="109"/>
  <c r="S207" i="109"/>
  <c r="R207" i="109"/>
  <c r="Q207" i="109"/>
  <c r="P207" i="109"/>
  <c r="O207" i="109"/>
  <c r="N207" i="109"/>
  <c r="M207" i="109"/>
  <c r="K207" i="109"/>
  <c r="J207" i="109"/>
  <c r="I207" i="109"/>
  <c r="E207" i="109"/>
  <c r="S206" i="109"/>
  <c r="R206" i="109"/>
  <c r="Q206" i="109"/>
  <c r="P206" i="109"/>
  <c r="O206" i="109"/>
  <c r="N206" i="109"/>
  <c r="M206" i="109"/>
  <c r="K206" i="109"/>
  <c r="J206" i="109"/>
  <c r="I206" i="109"/>
  <c r="E206" i="109"/>
  <c r="S205" i="109"/>
  <c r="R205" i="109"/>
  <c r="Q205" i="109"/>
  <c r="P205" i="109"/>
  <c r="O205" i="109"/>
  <c r="N205" i="109"/>
  <c r="M205" i="109"/>
  <c r="K205" i="109"/>
  <c r="J205" i="109"/>
  <c r="I205" i="109"/>
  <c r="E205" i="109"/>
  <c r="S204" i="109"/>
  <c r="R204" i="109"/>
  <c r="Q204" i="109"/>
  <c r="P204" i="109"/>
  <c r="O204" i="109"/>
  <c r="N204" i="109"/>
  <c r="M204" i="109"/>
  <c r="K204" i="109"/>
  <c r="J204" i="109"/>
  <c r="I204" i="109"/>
  <c r="E204" i="109"/>
  <c r="S203" i="109"/>
  <c r="R203" i="109"/>
  <c r="Q203" i="109"/>
  <c r="P203" i="109"/>
  <c r="O203" i="109"/>
  <c r="N203" i="109"/>
  <c r="M203" i="109"/>
  <c r="K203" i="109"/>
  <c r="J203" i="109"/>
  <c r="I203" i="109"/>
  <c r="E203" i="109"/>
  <c r="S202" i="109"/>
  <c r="R202" i="109"/>
  <c r="Q202" i="109"/>
  <c r="P202" i="109"/>
  <c r="O202" i="109"/>
  <c r="N202" i="109"/>
  <c r="M202" i="109"/>
  <c r="K202" i="109"/>
  <c r="J202" i="109"/>
  <c r="I202" i="109"/>
  <c r="E202" i="109"/>
  <c r="S201" i="109"/>
  <c r="R201" i="109"/>
  <c r="Q201" i="109"/>
  <c r="P201" i="109"/>
  <c r="O201" i="109"/>
  <c r="N201" i="109"/>
  <c r="M201" i="109"/>
  <c r="K201" i="109"/>
  <c r="J201" i="109"/>
  <c r="I201" i="109"/>
  <c r="E201" i="109"/>
  <c r="S200" i="109"/>
  <c r="R200" i="109"/>
  <c r="Q200" i="109"/>
  <c r="P200" i="109"/>
  <c r="O200" i="109"/>
  <c r="N200" i="109"/>
  <c r="M200" i="109"/>
  <c r="K200" i="109"/>
  <c r="J200" i="109"/>
  <c r="I200" i="109"/>
  <c r="E200" i="109"/>
  <c r="S199" i="109"/>
  <c r="R199" i="109"/>
  <c r="Q199" i="109"/>
  <c r="P199" i="109"/>
  <c r="O199" i="109"/>
  <c r="N199" i="109"/>
  <c r="M199" i="109"/>
  <c r="K199" i="109"/>
  <c r="J199" i="109"/>
  <c r="I199" i="109"/>
  <c r="E199" i="109"/>
  <c r="S198" i="109"/>
  <c r="R198" i="109"/>
  <c r="Q198" i="109"/>
  <c r="P198" i="109"/>
  <c r="O198" i="109"/>
  <c r="N198" i="109"/>
  <c r="M198" i="109"/>
  <c r="K198" i="109"/>
  <c r="J198" i="109"/>
  <c r="I198" i="109"/>
  <c r="E198" i="109"/>
  <c r="S197" i="109"/>
  <c r="R197" i="109"/>
  <c r="Q197" i="109"/>
  <c r="P197" i="109"/>
  <c r="O197" i="109"/>
  <c r="N197" i="109"/>
  <c r="M197" i="109"/>
  <c r="K197" i="109"/>
  <c r="J197" i="109"/>
  <c r="I197" i="109"/>
  <c r="E197" i="109"/>
  <c r="S196" i="109"/>
  <c r="R196" i="109"/>
  <c r="Q196" i="109"/>
  <c r="P196" i="109"/>
  <c r="O196" i="109"/>
  <c r="N196" i="109"/>
  <c r="M196" i="109"/>
  <c r="K196" i="109"/>
  <c r="J196" i="109"/>
  <c r="I196" i="109"/>
  <c r="E196" i="109"/>
  <c r="S195" i="109"/>
  <c r="R195" i="109"/>
  <c r="Q195" i="109"/>
  <c r="P195" i="109"/>
  <c r="O195" i="109"/>
  <c r="N195" i="109"/>
  <c r="M195" i="109"/>
  <c r="K195" i="109"/>
  <c r="J195" i="109"/>
  <c r="I195" i="109"/>
  <c r="E195" i="109"/>
  <c r="S194" i="109"/>
  <c r="R194" i="109"/>
  <c r="Q194" i="109"/>
  <c r="P194" i="109"/>
  <c r="O194" i="109"/>
  <c r="N194" i="109"/>
  <c r="M194" i="109"/>
  <c r="K194" i="109"/>
  <c r="J194" i="109"/>
  <c r="I194" i="109"/>
  <c r="E194" i="109"/>
  <c r="S193" i="109"/>
  <c r="R193" i="109"/>
  <c r="Q193" i="109"/>
  <c r="P193" i="109"/>
  <c r="O193" i="109"/>
  <c r="N193" i="109"/>
  <c r="M193" i="109"/>
  <c r="K193" i="109"/>
  <c r="J193" i="109"/>
  <c r="I193" i="109"/>
  <c r="E193" i="109"/>
  <c r="S192" i="109"/>
  <c r="R192" i="109"/>
  <c r="Q192" i="109"/>
  <c r="P192" i="109"/>
  <c r="O192" i="109"/>
  <c r="N192" i="109"/>
  <c r="M192" i="109"/>
  <c r="K192" i="109"/>
  <c r="J192" i="109"/>
  <c r="I192" i="109"/>
  <c r="E192" i="109"/>
  <c r="S191" i="109"/>
  <c r="R191" i="109"/>
  <c r="Q191" i="109"/>
  <c r="P191" i="109"/>
  <c r="O191" i="109"/>
  <c r="N191" i="109"/>
  <c r="M191" i="109"/>
  <c r="K191" i="109"/>
  <c r="J191" i="109"/>
  <c r="I191" i="109"/>
  <c r="E191" i="109"/>
  <c r="S190" i="109"/>
  <c r="R190" i="109"/>
  <c r="Q190" i="109"/>
  <c r="P190" i="109"/>
  <c r="O190" i="109"/>
  <c r="N190" i="109"/>
  <c r="M190" i="109"/>
  <c r="K190" i="109"/>
  <c r="J190" i="109"/>
  <c r="I190" i="109"/>
  <c r="E190" i="109"/>
  <c r="S189" i="109"/>
  <c r="R189" i="109"/>
  <c r="Q189" i="109"/>
  <c r="P189" i="109"/>
  <c r="O189" i="109"/>
  <c r="N189" i="109"/>
  <c r="M189" i="109"/>
  <c r="K189" i="109"/>
  <c r="J189" i="109"/>
  <c r="I189" i="109"/>
  <c r="E189" i="109"/>
  <c r="S188" i="109"/>
  <c r="R188" i="109"/>
  <c r="Q188" i="109"/>
  <c r="P188" i="109"/>
  <c r="O188" i="109"/>
  <c r="N188" i="109"/>
  <c r="M188" i="109"/>
  <c r="K188" i="109"/>
  <c r="J188" i="109"/>
  <c r="I188" i="109"/>
  <c r="E188" i="109"/>
  <c r="S187" i="109"/>
  <c r="R187" i="109"/>
  <c r="Q187" i="109"/>
  <c r="P187" i="109"/>
  <c r="O187" i="109"/>
  <c r="N187" i="109"/>
  <c r="M187" i="109"/>
  <c r="K187" i="109"/>
  <c r="J187" i="109"/>
  <c r="I187" i="109"/>
  <c r="E187" i="109"/>
  <c r="S186" i="109"/>
  <c r="R186" i="109"/>
  <c r="Q186" i="109"/>
  <c r="P186" i="109"/>
  <c r="O186" i="109"/>
  <c r="N186" i="109"/>
  <c r="M186" i="109"/>
  <c r="K186" i="109"/>
  <c r="J186" i="109"/>
  <c r="I186" i="109"/>
  <c r="E186" i="109"/>
  <c r="S185" i="109"/>
  <c r="R185" i="109"/>
  <c r="Q185" i="109"/>
  <c r="P185" i="109"/>
  <c r="O185" i="109"/>
  <c r="N185" i="109"/>
  <c r="M185" i="109"/>
  <c r="K185" i="109"/>
  <c r="J185" i="109"/>
  <c r="I185" i="109"/>
  <c r="E185" i="109"/>
  <c r="S184" i="109"/>
  <c r="R184" i="109"/>
  <c r="Q184" i="109"/>
  <c r="P184" i="109"/>
  <c r="O184" i="109"/>
  <c r="N184" i="109"/>
  <c r="M184" i="109"/>
  <c r="K184" i="109"/>
  <c r="J184" i="109"/>
  <c r="I184" i="109"/>
  <c r="E184" i="109"/>
  <c r="S183" i="109"/>
  <c r="R183" i="109"/>
  <c r="Q183" i="109"/>
  <c r="P183" i="109"/>
  <c r="O183" i="109"/>
  <c r="N183" i="109"/>
  <c r="M183" i="109"/>
  <c r="K183" i="109"/>
  <c r="J183" i="109"/>
  <c r="I183" i="109"/>
  <c r="E183" i="109"/>
  <c r="S182" i="109"/>
  <c r="R182" i="109"/>
  <c r="Q182" i="109"/>
  <c r="P182" i="109"/>
  <c r="O182" i="109"/>
  <c r="N182" i="109"/>
  <c r="M182" i="109"/>
  <c r="K182" i="109"/>
  <c r="J182" i="109"/>
  <c r="I182" i="109"/>
  <c r="E182" i="109"/>
  <c r="S181" i="109"/>
  <c r="R181" i="109"/>
  <c r="Q181" i="109"/>
  <c r="P181" i="109"/>
  <c r="O181" i="109"/>
  <c r="N181" i="109"/>
  <c r="M181" i="109"/>
  <c r="K181" i="109"/>
  <c r="J181" i="109"/>
  <c r="I181" i="109"/>
  <c r="E181" i="109"/>
  <c r="S180" i="109"/>
  <c r="R180" i="109"/>
  <c r="Q180" i="109"/>
  <c r="P180" i="109"/>
  <c r="O180" i="109"/>
  <c r="N180" i="109"/>
  <c r="M180" i="109"/>
  <c r="K180" i="109"/>
  <c r="J180" i="109"/>
  <c r="I180" i="109"/>
  <c r="E180" i="109"/>
  <c r="S179" i="109"/>
  <c r="R179" i="109"/>
  <c r="Q179" i="109"/>
  <c r="P179" i="109"/>
  <c r="O179" i="109"/>
  <c r="N179" i="109"/>
  <c r="M179" i="109"/>
  <c r="K179" i="109"/>
  <c r="J179" i="109"/>
  <c r="I179" i="109"/>
  <c r="E179" i="109"/>
  <c r="S178" i="109"/>
  <c r="R178" i="109"/>
  <c r="Q178" i="109"/>
  <c r="P178" i="109"/>
  <c r="O178" i="109"/>
  <c r="N178" i="109"/>
  <c r="M178" i="109"/>
  <c r="K178" i="109"/>
  <c r="J178" i="109"/>
  <c r="I178" i="109"/>
  <c r="E178" i="109"/>
  <c r="S177" i="109"/>
  <c r="R177" i="109"/>
  <c r="Q177" i="109"/>
  <c r="P177" i="109"/>
  <c r="O177" i="109"/>
  <c r="N177" i="109"/>
  <c r="M177" i="109"/>
  <c r="K177" i="109"/>
  <c r="J177" i="109"/>
  <c r="I177" i="109"/>
  <c r="E177" i="109"/>
  <c r="S176" i="109"/>
  <c r="R176" i="109"/>
  <c r="Q176" i="109"/>
  <c r="P176" i="109"/>
  <c r="O176" i="109"/>
  <c r="N176" i="109"/>
  <c r="M176" i="109"/>
  <c r="K176" i="109"/>
  <c r="J176" i="109"/>
  <c r="I176" i="109"/>
  <c r="E176" i="109"/>
  <c r="S175" i="109"/>
  <c r="R175" i="109"/>
  <c r="Q175" i="109"/>
  <c r="P175" i="109"/>
  <c r="O175" i="109"/>
  <c r="N175" i="109"/>
  <c r="M175" i="109"/>
  <c r="K175" i="109"/>
  <c r="J175" i="109"/>
  <c r="I175" i="109"/>
  <c r="E175" i="109"/>
  <c r="S174" i="109"/>
  <c r="R174" i="109"/>
  <c r="Q174" i="109"/>
  <c r="P174" i="109"/>
  <c r="O174" i="109"/>
  <c r="N174" i="109"/>
  <c r="M174" i="109"/>
  <c r="K174" i="109"/>
  <c r="J174" i="109"/>
  <c r="I174" i="109"/>
  <c r="E174" i="109"/>
  <c r="S173" i="109"/>
  <c r="R173" i="109"/>
  <c r="Q173" i="109"/>
  <c r="P173" i="109"/>
  <c r="O173" i="109"/>
  <c r="N173" i="109"/>
  <c r="M173" i="109"/>
  <c r="K173" i="109"/>
  <c r="J173" i="109"/>
  <c r="I173" i="109"/>
  <c r="E173" i="109"/>
  <c r="S172" i="109"/>
  <c r="R172" i="109"/>
  <c r="Q172" i="109"/>
  <c r="P172" i="109"/>
  <c r="O172" i="109"/>
  <c r="N172" i="109"/>
  <c r="M172" i="109"/>
  <c r="K172" i="109"/>
  <c r="J172" i="109"/>
  <c r="I172" i="109"/>
  <c r="E172" i="109"/>
  <c r="S171" i="109"/>
  <c r="R171" i="109"/>
  <c r="Q171" i="109"/>
  <c r="P171" i="109"/>
  <c r="O171" i="109"/>
  <c r="N171" i="109"/>
  <c r="M171" i="109"/>
  <c r="K171" i="109"/>
  <c r="J171" i="109"/>
  <c r="I171" i="109"/>
  <c r="E171" i="109"/>
  <c r="S170" i="109"/>
  <c r="R170" i="109"/>
  <c r="Q170" i="109"/>
  <c r="P170" i="109"/>
  <c r="O170" i="109"/>
  <c r="N170" i="109"/>
  <c r="M170" i="109"/>
  <c r="K170" i="109"/>
  <c r="J170" i="109"/>
  <c r="I170" i="109"/>
  <c r="E170" i="109"/>
  <c r="S169" i="109"/>
  <c r="R169" i="109"/>
  <c r="Q169" i="109"/>
  <c r="P169" i="109"/>
  <c r="O169" i="109"/>
  <c r="N169" i="109"/>
  <c r="M169" i="109"/>
  <c r="K169" i="109"/>
  <c r="J169" i="109"/>
  <c r="I169" i="109"/>
  <c r="E169" i="109"/>
  <c r="S168" i="109"/>
  <c r="R168" i="109"/>
  <c r="Q168" i="109"/>
  <c r="P168" i="109"/>
  <c r="O168" i="109"/>
  <c r="N168" i="109"/>
  <c r="M168" i="109"/>
  <c r="K168" i="109"/>
  <c r="J168" i="109"/>
  <c r="I168" i="109"/>
  <c r="E168" i="109"/>
  <c r="S167" i="109"/>
  <c r="R167" i="109"/>
  <c r="Q167" i="109"/>
  <c r="P167" i="109"/>
  <c r="O167" i="109"/>
  <c r="N167" i="109"/>
  <c r="M167" i="109"/>
  <c r="K167" i="109"/>
  <c r="J167" i="109"/>
  <c r="I167" i="109"/>
  <c r="E167" i="109"/>
  <c r="S166" i="109"/>
  <c r="R166" i="109"/>
  <c r="Q166" i="109"/>
  <c r="P166" i="109"/>
  <c r="O166" i="109"/>
  <c r="N166" i="109"/>
  <c r="M166" i="109"/>
  <c r="K166" i="109"/>
  <c r="J166" i="109"/>
  <c r="I166" i="109"/>
  <c r="E166" i="109"/>
  <c r="S165" i="109"/>
  <c r="R165" i="109"/>
  <c r="Q165" i="109"/>
  <c r="P165" i="109"/>
  <c r="O165" i="109"/>
  <c r="N165" i="109"/>
  <c r="M165" i="109"/>
  <c r="K165" i="109"/>
  <c r="J165" i="109"/>
  <c r="I165" i="109"/>
  <c r="E165" i="109"/>
  <c r="S164" i="109"/>
  <c r="R164" i="109"/>
  <c r="Q164" i="109"/>
  <c r="P164" i="109"/>
  <c r="O164" i="109"/>
  <c r="N164" i="109"/>
  <c r="M164" i="109"/>
  <c r="K164" i="109"/>
  <c r="J164" i="109"/>
  <c r="I164" i="109"/>
  <c r="E164" i="109"/>
  <c r="S163" i="109"/>
  <c r="R163" i="109"/>
  <c r="Q163" i="109"/>
  <c r="P163" i="109"/>
  <c r="O163" i="109"/>
  <c r="N163" i="109"/>
  <c r="M163" i="109"/>
  <c r="K163" i="109"/>
  <c r="J163" i="109"/>
  <c r="I163" i="109"/>
  <c r="E163" i="109"/>
  <c r="S162" i="109"/>
  <c r="R162" i="109"/>
  <c r="Q162" i="109"/>
  <c r="P162" i="109"/>
  <c r="O162" i="109"/>
  <c r="N162" i="109"/>
  <c r="M162" i="109"/>
  <c r="K162" i="109"/>
  <c r="J162" i="109"/>
  <c r="I162" i="109"/>
  <c r="E162" i="109"/>
  <c r="S161" i="109"/>
  <c r="R161" i="109"/>
  <c r="Q161" i="109"/>
  <c r="P161" i="109"/>
  <c r="O161" i="109"/>
  <c r="N161" i="109"/>
  <c r="M161" i="109"/>
  <c r="K161" i="109"/>
  <c r="J161" i="109"/>
  <c r="I161" i="109"/>
  <c r="E161" i="109"/>
  <c r="S160" i="109"/>
  <c r="R160" i="109"/>
  <c r="Q160" i="109"/>
  <c r="P160" i="109"/>
  <c r="O160" i="109"/>
  <c r="N160" i="109"/>
  <c r="M160" i="109"/>
  <c r="K160" i="109"/>
  <c r="J160" i="109"/>
  <c r="I160" i="109"/>
  <c r="E160" i="109"/>
  <c r="S159" i="109"/>
  <c r="R159" i="109"/>
  <c r="Q159" i="109"/>
  <c r="P159" i="109"/>
  <c r="O159" i="109"/>
  <c r="N159" i="109"/>
  <c r="M159" i="109"/>
  <c r="K159" i="109"/>
  <c r="J159" i="109"/>
  <c r="I159" i="109"/>
  <c r="E159" i="109"/>
  <c r="S158" i="109"/>
  <c r="R158" i="109"/>
  <c r="Q158" i="109"/>
  <c r="P158" i="109"/>
  <c r="O158" i="109"/>
  <c r="N158" i="109"/>
  <c r="M158" i="109"/>
  <c r="K158" i="109"/>
  <c r="J158" i="109"/>
  <c r="I158" i="109"/>
  <c r="E158" i="109"/>
  <c r="S157" i="109"/>
  <c r="R157" i="109"/>
  <c r="Q157" i="109"/>
  <c r="P157" i="109"/>
  <c r="O157" i="109"/>
  <c r="N157" i="109"/>
  <c r="M157" i="109"/>
  <c r="K157" i="109"/>
  <c r="J157" i="109"/>
  <c r="I157" i="109"/>
  <c r="E157" i="109"/>
  <c r="S156" i="109"/>
  <c r="R156" i="109"/>
  <c r="Q156" i="109"/>
  <c r="P156" i="109"/>
  <c r="O156" i="109"/>
  <c r="N156" i="109"/>
  <c r="M156" i="109"/>
  <c r="K156" i="109"/>
  <c r="J156" i="109"/>
  <c r="I156" i="109"/>
  <c r="E156" i="109"/>
  <c r="S155" i="109"/>
  <c r="R155" i="109"/>
  <c r="Q155" i="109"/>
  <c r="P155" i="109"/>
  <c r="O155" i="109"/>
  <c r="N155" i="109"/>
  <c r="M155" i="109"/>
  <c r="K155" i="109"/>
  <c r="J155" i="109"/>
  <c r="I155" i="109"/>
  <c r="E155" i="109"/>
  <c r="S154" i="109"/>
  <c r="R154" i="109"/>
  <c r="Q154" i="109"/>
  <c r="P154" i="109"/>
  <c r="O154" i="109"/>
  <c r="N154" i="109"/>
  <c r="M154" i="109"/>
  <c r="K154" i="109"/>
  <c r="J154" i="109"/>
  <c r="I154" i="109"/>
  <c r="E154" i="109"/>
  <c r="S153" i="109"/>
  <c r="R153" i="109"/>
  <c r="Q153" i="109"/>
  <c r="P153" i="109"/>
  <c r="O153" i="109"/>
  <c r="N153" i="109"/>
  <c r="M153" i="109"/>
  <c r="K153" i="109"/>
  <c r="J153" i="109"/>
  <c r="I153" i="109"/>
  <c r="E153" i="109"/>
  <c r="S152" i="109"/>
  <c r="R152" i="109"/>
  <c r="Q152" i="109"/>
  <c r="P152" i="109"/>
  <c r="O152" i="109"/>
  <c r="N152" i="109"/>
  <c r="M152" i="109"/>
  <c r="K152" i="109"/>
  <c r="J152" i="109"/>
  <c r="I152" i="109"/>
  <c r="E152" i="109"/>
  <c r="S151" i="109"/>
  <c r="R151" i="109"/>
  <c r="Q151" i="109"/>
  <c r="P151" i="109"/>
  <c r="O151" i="109"/>
  <c r="N151" i="109"/>
  <c r="M151" i="109"/>
  <c r="K151" i="109"/>
  <c r="J151" i="109"/>
  <c r="I151" i="109"/>
  <c r="E151" i="109"/>
  <c r="S150" i="109"/>
  <c r="R150" i="109"/>
  <c r="Q150" i="109"/>
  <c r="P150" i="109"/>
  <c r="O150" i="109"/>
  <c r="N150" i="109"/>
  <c r="M150" i="109"/>
  <c r="K150" i="109"/>
  <c r="J150" i="109"/>
  <c r="I150" i="109"/>
  <c r="E150" i="109"/>
  <c r="S149" i="109"/>
  <c r="R149" i="109"/>
  <c r="Q149" i="109"/>
  <c r="P149" i="109"/>
  <c r="O149" i="109"/>
  <c r="N149" i="109"/>
  <c r="M149" i="109"/>
  <c r="K149" i="109"/>
  <c r="J149" i="109"/>
  <c r="I149" i="109"/>
  <c r="E149" i="109"/>
  <c r="S148" i="109"/>
  <c r="R148" i="109"/>
  <c r="Q148" i="109"/>
  <c r="P148" i="109"/>
  <c r="O148" i="109"/>
  <c r="N148" i="109"/>
  <c r="M148" i="109"/>
  <c r="K148" i="109"/>
  <c r="J148" i="109"/>
  <c r="I148" i="109"/>
  <c r="E148" i="109"/>
  <c r="S147" i="109"/>
  <c r="R147" i="109"/>
  <c r="Q147" i="109"/>
  <c r="P147" i="109"/>
  <c r="O147" i="109"/>
  <c r="N147" i="109"/>
  <c r="M147" i="109"/>
  <c r="K147" i="109"/>
  <c r="J147" i="109"/>
  <c r="I147" i="109"/>
  <c r="E147" i="109"/>
  <c r="S146" i="109"/>
  <c r="R146" i="109"/>
  <c r="Q146" i="109"/>
  <c r="P146" i="109"/>
  <c r="O146" i="109"/>
  <c r="N146" i="109"/>
  <c r="M146" i="109"/>
  <c r="K146" i="109"/>
  <c r="J146" i="109"/>
  <c r="I146" i="109"/>
  <c r="E146" i="109"/>
  <c r="S145" i="109"/>
  <c r="R145" i="109"/>
  <c r="Q145" i="109"/>
  <c r="P145" i="109"/>
  <c r="O145" i="109"/>
  <c r="N145" i="109"/>
  <c r="M145" i="109"/>
  <c r="K145" i="109"/>
  <c r="J145" i="109"/>
  <c r="I145" i="109"/>
  <c r="E145" i="109"/>
  <c r="S144" i="109"/>
  <c r="R144" i="109"/>
  <c r="Q144" i="109"/>
  <c r="P144" i="109"/>
  <c r="O144" i="109"/>
  <c r="N144" i="109"/>
  <c r="M144" i="109"/>
  <c r="K144" i="109"/>
  <c r="J144" i="109"/>
  <c r="I144" i="109"/>
  <c r="E144" i="109"/>
  <c r="S143" i="109"/>
  <c r="R143" i="109"/>
  <c r="Q143" i="109"/>
  <c r="P143" i="109"/>
  <c r="O143" i="109"/>
  <c r="N143" i="109"/>
  <c r="M143" i="109"/>
  <c r="K143" i="109"/>
  <c r="J143" i="109"/>
  <c r="I143" i="109"/>
  <c r="E143" i="109"/>
  <c r="S142" i="109"/>
  <c r="R142" i="109"/>
  <c r="Q142" i="109"/>
  <c r="P142" i="109"/>
  <c r="O142" i="109"/>
  <c r="N142" i="109"/>
  <c r="M142" i="109"/>
  <c r="K142" i="109"/>
  <c r="J142" i="109"/>
  <c r="I142" i="109"/>
  <c r="E142" i="109"/>
  <c r="S141" i="109"/>
  <c r="R141" i="109"/>
  <c r="Q141" i="109"/>
  <c r="P141" i="109"/>
  <c r="O141" i="109"/>
  <c r="N141" i="109"/>
  <c r="M141" i="109"/>
  <c r="K141" i="109"/>
  <c r="J141" i="109"/>
  <c r="I141" i="109"/>
  <c r="E141" i="109"/>
  <c r="S140" i="109"/>
  <c r="R140" i="109"/>
  <c r="Q140" i="109"/>
  <c r="P140" i="109"/>
  <c r="O140" i="109"/>
  <c r="N140" i="109"/>
  <c r="M140" i="109"/>
  <c r="K140" i="109"/>
  <c r="J140" i="109"/>
  <c r="I140" i="109"/>
  <c r="E140" i="109"/>
  <c r="S139" i="109"/>
  <c r="R139" i="109"/>
  <c r="Q139" i="109"/>
  <c r="P139" i="109"/>
  <c r="O139" i="109"/>
  <c r="N139" i="109"/>
  <c r="M139" i="109"/>
  <c r="K139" i="109"/>
  <c r="J139" i="109"/>
  <c r="I139" i="109"/>
  <c r="E139" i="109"/>
  <c r="S138" i="109"/>
  <c r="R138" i="109"/>
  <c r="Q138" i="109"/>
  <c r="P138" i="109"/>
  <c r="O138" i="109"/>
  <c r="N138" i="109"/>
  <c r="M138" i="109"/>
  <c r="K138" i="109"/>
  <c r="J138" i="109"/>
  <c r="I138" i="109"/>
  <c r="E138" i="109"/>
  <c r="S137" i="109"/>
  <c r="R137" i="109"/>
  <c r="Q137" i="109"/>
  <c r="P137" i="109"/>
  <c r="O137" i="109"/>
  <c r="N137" i="109"/>
  <c r="M137" i="109"/>
  <c r="K137" i="109"/>
  <c r="J137" i="109"/>
  <c r="I137" i="109"/>
  <c r="E137" i="109"/>
  <c r="S136" i="109"/>
  <c r="R136" i="109"/>
  <c r="Q136" i="109"/>
  <c r="P136" i="109"/>
  <c r="O136" i="109"/>
  <c r="N136" i="109"/>
  <c r="M136" i="109"/>
  <c r="K136" i="109"/>
  <c r="J136" i="109"/>
  <c r="I136" i="109"/>
  <c r="E136" i="109"/>
  <c r="S135" i="109"/>
  <c r="R135" i="109"/>
  <c r="Q135" i="109"/>
  <c r="P135" i="109"/>
  <c r="O135" i="109"/>
  <c r="N135" i="109"/>
  <c r="M135" i="109"/>
  <c r="K135" i="109"/>
  <c r="J135" i="109"/>
  <c r="I135" i="109"/>
  <c r="E135" i="109"/>
  <c r="S134" i="109"/>
  <c r="R134" i="109"/>
  <c r="Q134" i="109"/>
  <c r="P134" i="109"/>
  <c r="O134" i="109"/>
  <c r="N134" i="109"/>
  <c r="M134" i="109"/>
  <c r="K134" i="109"/>
  <c r="J134" i="109"/>
  <c r="I134" i="109"/>
  <c r="E134" i="109"/>
  <c r="S133" i="109"/>
  <c r="R133" i="109"/>
  <c r="Q133" i="109"/>
  <c r="P133" i="109"/>
  <c r="O133" i="109"/>
  <c r="N133" i="109"/>
  <c r="M133" i="109"/>
  <c r="K133" i="109"/>
  <c r="J133" i="109"/>
  <c r="I133" i="109"/>
  <c r="E133" i="109"/>
  <c r="S132" i="109"/>
  <c r="R132" i="109"/>
  <c r="Q132" i="109"/>
  <c r="P132" i="109"/>
  <c r="O132" i="109"/>
  <c r="N132" i="109"/>
  <c r="M132" i="109"/>
  <c r="K132" i="109"/>
  <c r="J132" i="109"/>
  <c r="I132" i="109"/>
  <c r="E132" i="109"/>
  <c r="S131" i="109"/>
  <c r="R131" i="109"/>
  <c r="Q131" i="109"/>
  <c r="P131" i="109"/>
  <c r="O131" i="109"/>
  <c r="N131" i="109"/>
  <c r="M131" i="109"/>
  <c r="K131" i="109"/>
  <c r="J131" i="109"/>
  <c r="I131" i="109"/>
  <c r="E131" i="109"/>
  <c r="S130" i="109"/>
  <c r="R130" i="109"/>
  <c r="Q130" i="109"/>
  <c r="P130" i="109"/>
  <c r="O130" i="109"/>
  <c r="N130" i="109"/>
  <c r="M130" i="109"/>
  <c r="K130" i="109"/>
  <c r="J130" i="109"/>
  <c r="I130" i="109"/>
  <c r="E130" i="109"/>
  <c r="S129" i="109"/>
  <c r="R129" i="109"/>
  <c r="Q129" i="109"/>
  <c r="P129" i="109"/>
  <c r="O129" i="109"/>
  <c r="N129" i="109"/>
  <c r="M129" i="109"/>
  <c r="K129" i="109"/>
  <c r="J129" i="109"/>
  <c r="I129" i="109"/>
  <c r="E129" i="109"/>
  <c r="S128" i="109"/>
  <c r="R128" i="109"/>
  <c r="Q128" i="109"/>
  <c r="P128" i="109"/>
  <c r="O128" i="109"/>
  <c r="N128" i="109"/>
  <c r="M128" i="109"/>
  <c r="K128" i="109"/>
  <c r="J128" i="109"/>
  <c r="I128" i="109"/>
  <c r="E128" i="109"/>
  <c r="S127" i="109"/>
  <c r="R127" i="109"/>
  <c r="Q127" i="109"/>
  <c r="P127" i="109"/>
  <c r="O127" i="109"/>
  <c r="N127" i="109"/>
  <c r="M127" i="109"/>
  <c r="K127" i="109"/>
  <c r="J127" i="109"/>
  <c r="I127" i="109"/>
  <c r="E127" i="109"/>
  <c r="S126" i="109"/>
  <c r="R126" i="109"/>
  <c r="Q126" i="109"/>
  <c r="P126" i="109"/>
  <c r="O126" i="109"/>
  <c r="N126" i="109"/>
  <c r="M126" i="109"/>
  <c r="K126" i="109"/>
  <c r="J126" i="109"/>
  <c r="I126" i="109"/>
  <c r="E126" i="109"/>
  <c r="S125" i="109"/>
  <c r="R125" i="109"/>
  <c r="Q125" i="109"/>
  <c r="P125" i="109"/>
  <c r="O125" i="109"/>
  <c r="N125" i="109"/>
  <c r="M125" i="109"/>
  <c r="K125" i="109"/>
  <c r="J125" i="109"/>
  <c r="I125" i="109"/>
  <c r="E125" i="109"/>
  <c r="S124" i="109"/>
  <c r="R124" i="109"/>
  <c r="Q124" i="109"/>
  <c r="P124" i="109"/>
  <c r="O124" i="109"/>
  <c r="N124" i="109"/>
  <c r="M124" i="109"/>
  <c r="K124" i="109"/>
  <c r="J124" i="109"/>
  <c r="I124" i="109"/>
  <c r="E124" i="109"/>
  <c r="S123" i="109"/>
  <c r="R123" i="109"/>
  <c r="Q123" i="109"/>
  <c r="P123" i="109"/>
  <c r="O123" i="109"/>
  <c r="N123" i="109"/>
  <c r="M123" i="109"/>
  <c r="K123" i="109"/>
  <c r="J123" i="109"/>
  <c r="I123" i="109"/>
  <c r="E123" i="109"/>
  <c r="S122" i="109"/>
  <c r="R122" i="109"/>
  <c r="Q122" i="109"/>
  <c r="P122" i="109"/>
  <c r="O122" i="109"/>
  <c r="N122" i="109"/>
  <c r="M122" i="109"/>
  <c r="K122" i="109"/>
  <c r="J122" i="109"/>
  <c r="I122" i="109"/>
  <c r="E122" i="109"/>
  <c r="S121" i="109"/>
  <c r="R121" i="109"/>
  <c r="Q121" i="109"/>
  <c r="P121" i="109"/>
  <c r="O121" i="109"/>
  <c r="N121" i="109"/>
  <c r="M121" i="109"/>
  <c r="K121" i="109"/>
  <c r="J121" i="109"/>
  <c r="I121" i="109"/>
  <c r="E121" i="109"/>
  <c r="S120" i="109"/>
  <c r="R120" i="109"/>
  <c r="Q120" i="109"/>
  <c r="P120" i="109"/>
  <c r="O120" i="109"/>
  <c r="N120" i="109"/>
  <c r="M120" i="109"/>
  <c r="K120" i="109"/>
  <c r="J120" i="109"/>
  <c r="I120" i="109"/>
  <c r="E120" i="109"/>
  <c r="S119" i="109"/>
  <c r="R119" i="109"/>
  <c r="Q119" i="109"/>
  <c r="P119" i="109"/>
  <c r="O119" i="109"/>
  <c r="N119" i="109"/>
  <c r="M119" i="109"/>
  <c r="K119" i="109"/>
  <c r="J119" i="109"/>
  <c r="I119" i="109"/>
  <c r="E119" i="109"/>
  <c r="S118" i="109"/>
  <c r="R118" i="109"/>
  <c r="Q118" i="109"/>
  <c r="P118" i="109"/>
  <c r="O118" i="109"/>
  <c r="N118" i="109"/>
  <c r="M118" i="109"/>
  <c r="K118" i="109"/>
  <c r="J118" i="109"/>
  <c r="I118" i="109"/>
  <c r="E118" i="109"/>
  <c r="S117" i="109"/>
  <c r="R117" i="109"/>
  <c r="Q117" i="109"/>
  <c r="P117" i="109"/>
  <c r="O117" i="109"/>
  <c r="N117" i="109"/>
  <c r="M117" i="109"/>
  <c r="K117" i="109"/>
  <c r="J117" i="109"/>
  <c r="I117" i="109"/>
  <c r="E117" i="109"/>
  <c r="S116" i="109"/>
  <c r="R116" i="109"/>
  <c r="Q116" i="109"/>
  <c r="P116" i="109"/>
  <c r="O116" i="109"/>
  <c r="N116" i="109"/>
  <c r="M116" i="109"/>
  <c r="K116" i="109"/>
  <c r="J116" i="109"/>
  <c r="I116" i="109"/>
  <c r="E116" i="109"/>
  <c r="S115" i="109"/>
  <c r="R115" i="109"/>
  <c r="Q115" i="109"/>
  <c r="P115" i="109"/>
  <c r="O115" i="109"/>
  <c r="N115" i="109"/>
  <c r="M115" i="109"/>
  <c r="K115" i="109"/>
  <c r="J115" i="109"/>
  <c r="I115" i="109"/>
  <c r="E115" i="109"/>
  <c r="S114" i="109"/>
  <c r="R114" i="109"/>
  <c r="Q114" i="109"/>
  <c r="P114" i="109"/>
  <c r="O114" i="109"/>
  <c r="N114" i="109"/>
  <c r="M114" i="109"/>
  <c r="K114" i="109"/>
  <c r="J114" i="109"/>
  <c r="I114" i="109"/>
  <c r="E114" i="109"/>
  <c r="S113" i="109"/>
  <c r="R113" i="109"/>
  <c r="Q113" i="109"/>
  <c r="P113" i="109"/>
  <c r="O113" i="109"/>
  <c r="N113" i="109"/>
  <c r="M113" i="109"/>
  <c r="K113" i="109"/>
  <c r="J113" i="109"/>
  <c r="I113" i="109"/>
  <c r="E113" i="109"/>
  <c r="S112" i="109"/>
  <c r="R112" i="109"/>
  <c r="Q112" i="109"/>
  <c r="P112" i="109"/>
  <c r="O112" i="109"/>
  <c r="N112" i="109"/>
  <c r="M112" i="109"/>
  <c r="K112" i="109"/>
  <c r="J112" i="109"/>
  <c r="I112" i="109"/>
  <c r="E112" i="109"/>
  <c r="S111" i="109"/>
  <c r="R111" i="109"/>
  <c r="Q111" i="109"/>
  <c r="P111" i="109"/>
  <c r="O111" i="109"/>
  <c r="N111" i="109"/>
  <c r="M111" i="109"/>
  <c r="K111" i="109"/>
  <c r="J111" i="109"/>
  <c r="I111" i="109"/>
  <c r="E111" i="109"/>
  <c r="S110" i="109"/>
  <c r="R110" i="109"/>
  <c r="Q110" i="109"/>
  <c r="P110" i="109"/>
  <c r="O110" i="109"/>
  <c r="N110" i="109"/>
  <c r="M110" i="109"/>
  <c r="K110" i="109"/>
  <c r="J110" i="109"/>
  <c r="I110" i="109"/>
  <c r="E110" i="109"/>
  <c r="S109" i="109"/>
  <c r="R109" i="109"/>
  <c r="Q109" i="109"/>
  <c r="P109" i="109"/>
  <c r="O109" i="109"/>
  <c r="N109" i="109"/>
  <c r="M109" i="109"/>
  <c r="K109" i="109"/>
  <c r="J109" i="109"/>
  <c r="I109" i="109"/>
  <c r="E109" i="109"/>
  <c r="S108" i="109"/>
  <c r="R108" i="109"/>
  <c r="Q108" i="109"/>
  <c r="P108" i="109"/>
  <c r="O108" i="109"/>
  <c r="N108" i="109"/>
  <c r="M108" i="109"/>
  <c r="K108" i="109"/>
  <c r="J108" i="109"/>
  <c r="I108" i="109"/>
  <c r="E108" i="109"/>
  <c r="S107" i="109"/>
  <c r="R107" i="109"/>
  <c r="Q107" i="109"/>
  <c r="P107" i="109"/>
  <c r="O107" i="109"/>
  <c r="N107" i="109"/>
  <c r="M107" i="109"/>
  <c r="K107" i="109"/>
  <c r="J107" i="109"/>
  <c r="I107" i="109"/>
  <c r="E107" i="109"/>
  <c r="S106" i="109"/>
  <c r="R106" i="109"/>
  <c r="Q106" i="109"/>
  <c r="P106" i="109"/>
  <c r="O106" i="109"/>
  <c r="N106" i="109"/>
  <c r="M106" i="109"/>
  <c r="K106" i="109"/>
  <c r="J106" i="109"/>
  <c r="I106" i="109"/>
  <c r="E106" i="109"/>
  <c r="S105" i="109"/>
  <c r="R105" i="109"/>
  <c r="Q105" i="109"/>
  <c r="P105" i="109"/>
  <c r="O105" i="109"/>
  <c r="N105" i="109"/>
  <c r="M105" i="109"/>
  <c r="K105" i="109"/>
  <c r="J105" i="109"/>
  <c r="I105" i="109"/>
  <c r="E105" i="109"/>
  <c r="S104" i="109"/>
  <c r="R104" i="109"/>
  <c r="Q104" i="109"/>
  <c r="P104" i="109"/>
  <c r="O104" i="109"/>
  <c r="N104" i="109"/>
  <c r="M104" i="109"/>
  <c r="K104" i="109"/>
  <c r="J104" i="109"/>
  <c r="I104" i="109"/>
  <c r="E104" i="109"/>
  <c r="S103" i="109"/>
  <c r="R103" i="109"/>
  <c r="Q103" i="109"/>
  <c r="P103" i="109"/>
  <c r="O103" i="109"/>
  <c r="N103" i="109"/>
  <c r="M103" i="109"/>
  <c r="K103" i="109"/>
  <c r="J103" i="109"/>
  <c r="I103" i="109"/>
  <c r="E103" i="109"/>
  <c r="S102" i="109"/>
  <c r="R102" i="109"/>
  <c r="Q102" i="109"/>
  <c r="P102" i="109"/>
  <c r="O102" i="109"/>
  <c r="N102" i="109"/>
  <c r="M102" i="109"/>
  <c r="K102" i="109"/>
  <c r="J102" i="109"/>
  <c r="I102" i="109"/>
  <c r="E102" i="109"/>
  <c r="S101" i="109"/>
  <c r="R101" i="109"/>
  <c r="Q101" i="109"/>
  <c r="P101" i="109"/>
  <c r="O101" i="109"/>
  <c r="N101" i="109"/>
  <c r="M101" i="109"/>
  <c r="K101" i="109"/>
  <c r="J101" i="109"/>
  <c r="I101" i="109"/>
  <c r="E101" i="109"/>
  <c r="S100" i="109"/>
  <c r="R100" i="109"/>
  <c r="Q100" i="109"/>
  <c r="P100" i="109"/>
  <c r="O100" i="109"/>
  <c r="N100" i="109"/>
  <c r="M100" i="109"/>
  <c r="K100" i="109"/>
  <c r="J100" i="109"/>
  <c r="I100" i="109"/>
  <c r="E100" i="109"/>
  <c r="S99" i="109"/>
  <c r="R99" i="109"/>
  <c r="Q99" i="109"/>
  <c r="P99" i="109"/>
  <c r="O99" i="109"/>
  <c r="N99" i="109"/>
  <c r="M99" i="109"/>
  <c r="K99" i="109"/>
  <c r="J99" i="109"/>
  <c r="I99" i="109"/>
  <c r="E99" i="109"/>
  <c r="S98" i="109"/>
  <c r="R98" i="109"/>
  <c r="Q98" i="109"/>
  <c r="P98" i="109"/>
  <c r="O98" i="109"/>
  <c r="N98" i="109"/>
  <c r="M98" i="109"/>
  <c r="K98" i="109"/>
  <c r="J98" i="109"/>
  <c r="I98" i="109"/>
  <c r="E98" i="109"/>
  <c r="S97" i="109"/>
  <c r="R97" i="109"/>
  <c r="Q97" i="109"/>
  <c r="P97" i="109"/>
  <c r="O97" i="109"/>
  <c r="N97" i="109"/>
  <c r="M97" i="109"/>
  <c r="K97" i="109"/>
  <c r="J97" i="109"/>
  <c r="I97" i="109"/>
  <c r="E97" i="109"/>
  <c r="S96" i="109"/>
  <c r="R96" i="109"/>
  <c r="Q96" i="109"/>
  <c r="P96" i="109"/>
  <c r="O96" i="109"/>
  <c r="N96" i="109"/>
  <c r="M96" i="109"/>
  <c r="K96" i="109"/>
  <c r="J96" i="109"/>
  <c r="I96" i="109"/>
  <c r="E96" i="109"/>
  <c r="S95" i="109"/>
  <c r="R95" i="109"/>
  <c r="Q95" i="109"/>
  <c r="P95" i="109"/>
  <c r="O95" i="109"/>
  <c r="N95" i="109"/>
  <c r="M95" i="109"/>
  <c r="K95" i="109"/>
  <c r="J95" i="109"/>
  <c r="I95" i="109"/>
  <c r="E95" i="109"/>
  <c r="S94" i="109"/>
  <c r="R94" i="109"/>
  <c r="Q94" i="109"/>
  <c r="P94" i="109"/>
  <c r="O94" i="109"/>
  <c r="N94" i="109"/>
  <c r="M94" i="109"/>
  <c r="K94" i="109"/>
  <c r="J94" i="109"/>
  <c r="I94" i="109"/>
  <c r="E94" i="109"/>
  <c r="S93" i="109"/>
  <c r="R93" i="109"/>
  <c r="Q93" i="109"/>
  <c r="P93" i="109"/>
  <c r="O93" i="109"/>
  <c r="N93" i="109"/>
  <c r="M93" i="109"/>
  <c r="K93" i="109"/>
  <c r="J93" i="109"/>
  <c r="I93" i="109"/>
  <c r="E93" i="109"/>
  <c r="S92" i="109"/>
  <c r="R92" i="109"/>
  <c r="Q92" i="109"/>
  <c r="P92" i="109"/>
  <c r="O92" i="109"/>
  <c r="N92" i="109"/>
  <c r="M92" i="109"/>
  <c r="K92" i="109"/>
  <c r="J92" i="109"/>
  <c r="I92" i="109"/>
  <c r="E92" i="109"/>
  <c r="S91" i="109"/>
  <c r="R91" i="109"/>
  <c r="Q91" i="109"/>
  <c r="P91" i="109"/>
  <c r="O91" i="109"/>
  <c r="N91" i="109"/>
  <c r="M91" i="109"/>
  <c r="K91" i="109"/>
  <c r="J91" i="109"/>
  <c r="I91" i="109"/>
  <c r="E91" i="109"/>
  <c r="S90" i="109"/>
  <c r="R90" i="109"/>
  <c r="Q90" i="109"/>
  <c r="P90" i="109"/>
  <c r="O90" i="109"/>
  <c r="N90" i="109"/>
  <c r="M90" i="109"/>
  <c r="K90" i="109"/>
  <c r="J90" i="109"/>
  <c r="I90" i="109"/>
  <c r="E90" i="109"/>
  <c r="S89" i="109"/>
  <c r="R89" i="109"/>
  <c r="Q89" i="109"/>
  <c r="P89" i="109"/>
  <c r="O89" i="109"/>
  <c r="N89" i="109"/>
  <c r="M89" i="109"/>
  <c r="K89" i="109"/>
  <c r="J89" i="109"/>
  <c r="I89" i="109"/>
  <c r="E89" i="109"/>
  <c r="S88" i="109"/>
  <c r="R88" i="109"/>
  <c r="Q88" i="109"/>
  <c r="P88" i="109"/>
  <c r="O88" i="109"/>
  <c r="N88" i="109"/>
  <c r="M88" i="109"/>
  <c r="K88" i="109"/>
  <c r="J88" i="109"/>
  <c r="I88" i="109"/>
  <c r="E88" i="109"/>
  <c r="S87" i="109"/>
  <c r="R87" i="109"/>
  <c r="Q87" i="109"/>
  <c r="P87" i="109"/>
  <c r="O87" i="109"/>
  <c r="N87" i="109"/>
  <c r="M87" i="109"/>
  <c r="K87" i="109"/>
  <c r="J87" i="109"/>
  <c r="I87" i="109"/>
  <c r="E87" i="109"/>
  <c r="S86" i="109"/>
  <c r="R86" i="109"/>
  <c r="Q86" i="109"/>
  <c r="P86" i="109"/>
  <c r="O86" i="109"/>
  <c r="N86" i="109"/>
  <c r="M86" i="109"/>
  <c r="K86" i="109"/>
  <c r="J86" i="109"/>
  <c r="I86" i="109"/>
  <c r="E86" i="109"/>
  <c r="S85" i="109"/>
  <c r="R85" i="109"/>
  <c r="Q85" i="109"/>
  <c r="P85" i="109"/>
  <c r="O85" i="109"/>
  <c r="N85" i="109"/>
  <c r="M85" i="109"/>
  <c r="K85" i="109"/>
  <c r="J85" i="109"/>
  <c r="I85" i="109"/>
  <c r="E85" i="109"/>
  <c r="S84" i="109"/>
  <c r="R84" i="109"/>
  <c r="Q84" i="109"/>
  <c r="P84" i="109"/>
  <c r="O84" i="109"/>
  <c r="N84" i="109"/>
  <c r="M84" i="109"/>
  <c r="K84" i="109"/>
  <c r="J84" i="109"/>
  <c r="I84" i="109"/>
  <c r="E84" i="109"/>
  <c r="S83" i="109"/>
  <c r="R83" i="109"/>
  <c r="Q83" i="109"/>
  <c r="P83" i="109"/>
  <c r="O83" i="109"/>
  <c r="N83" i="109"/>
  <c r="M83" i="109"/>
  <c r="K83" i="109"/>
  <c r="J83" i="109"/>
  <c r="I83" i="109"/>
  <c r="E83" i="109"/>
  <c r="S82" i="109"/>
  <c r="R82" i="109"/>
  <c r="Q82" i="109"/>
  <c r="P82" i="109"/>
  <c r="O82" i="109"/>
  <c r="N82" i="109"/>
  <c r="M82" i="109"/>
  <c r="K82" i="109"/>
  <c r="J82" i="109"/>
  <c r="I82" i="109"/>
  <c r="E82" i="109"/>
  <c r="S81" i="109"/>
  <c r="R81" i="109"/>
  <c r="Q81" i="109"/>
  <c r="P81" i="109"/>
  <c r="O81" i="109"/>
  <c r="N81" i="109"/>
  <c r="M81" i="109"/>
  <c r="K81" i="109"/>
  <c r="J81" i="109"/>
  <c r="I81" i="109"/>
  <c r="E81" i="109"/>
  <c r="S80" i="109"/>
  <c r="R80" i="109"/>
  <c r="Q80" i="109"/>
  <c r="P80" i="109"/>
  <c r="O80" i="109"/>
  <c r="N80" i="109"/>
  <c r="M80" i="109"/>
  <c r="K80" i="109"/>
  <c r="J80" i="109"/>
  <c r="I80" i="109"/>
  <c r="E80" i="109"/>
  <c r="S79" i="109"/>
  <c r="R79" i="109"/>
  <c r="Q79" i="109"/>
  <c r="P79" i="109"/>
  <c r="O79" i="109"/>
  <c r="N79" i="109"/>
  <c r="M79" i="109"/>
  <c r="K79" i="109"/>
  <c r="J79" i="109"/>
  <c r="I79" i="109"/>
  <c r="E79" i="109"/>
  <c r="S78" i="109"/>
  <c r="R78" i="109"/>
  <c r="Q78" i="109"/>
  <c r="P78" i="109"/>
  <c r="O78" i="109"/>
  <c r="N78" i="109"/>
  <c r="M78" i="109"/>
  <c r="K78" i="109"/>
  <c r="J78" i="109"/>
  <c r="I78" i="109"/>
  <c r="E78" i="109"/>
  <c r="S77" i="109"/>
  <c r="R77" i="109"/>
  <c r="Q77" i="109"/>
  <c r="P77" i="109"/>
  <c r="O77" i="109"/>
  <c r="N77" i="109"/>
  <c r="M77" i="109"/>
  <c r="K77" i="109"/>
  <c r="J77" i="109"/>
  <c r="I77" i="109"/>
  <c r="E77" i="109"/>
  <c r="S76" i="109"/>
  <c r="R76" i="109"/>
  <c r="Q76" i="109"/>
  <c r="P76" i="109"/>
  <c r="O76" i="109"/>
  <c r="N76" i="109"/>
  <c r="M76" i="109"/>
  <c r="K76" i="109"/>
  <c r="J76" i="109"/>
  <c r="I76" i="109"/>
  <c r="E76" i="109"/>
  <c r="S75" i="109"/>
  <c r="R75" i="109"/>
  <c r="Q75" i="109"/>
  <c r="P75" i="109"/>
  <c r="O75" i="109"/>
  <c r="N75" i="109"/>
  <c r="M75" i="109"/>
  <c r="K75" i="109"/>
  <c r="J75" i="109"/>
  <c r="I75" i="109"/>
  <c r="E75" i="109"/>
  <c r="S74" i="109"/>
  <c r="R74" i="109"/>
  <c r="Q74" i="109"/>
  <c r="P74" i="109"/>
  <c r="O74" i="109"/>
  <c r="N74" i="109"/>
  <c r="M74" i="109"/>
  <c r="K74" i="109"/>
  <c r="J74" i="109"/>
  <c r="I74" i="109"/>
  <c r="E74" i="109"/>
  <c r="S73" i="109"/>
  <c r="R73" i="109"/>
  <c r="Q73" i="109"/>
  <c r="P73" i="109"/>
  <c r="O73" i="109"/>
  <c r="N73" i="109"/>
  <c r="M73" i="109"/>
  <c r="K73" i="109"/>
  <c r="J73" i="109"/>
  <c r="I73" i="109"/>
  <c r="E73" i="109"/>
  <c r="S72" i="109"/>
  <c r="R72" i="109"/>
  <c r="Q72" i="109"/>
  <c r="P72" i="109"/>
  <c r="O72" i="109"/>
  <c r="N72" i="109"/>
  <c r="M72" i="109"/>
  <c r="K72" i="109"/>
  <c r="J72" i="109"/>
  <c r="I72" i="109"/>
  <c r="E72" i="109"/>
  <c r="S71" i="109"/>
  <c r="R71" i="109"/>
  <c r="Q71" i="109"/>
  <c r="P71" i="109"/>
  <c r="O71" i="109"/>
  <c r="N71" i="109"/>
  <c r="M71" i="109"/>
  <c r="K71" i="109"/>
  <c r="J71" i="109"/>
  <c r="I71" i="109"/>
  <c r="E71" i="109"/>
  <c r="S70" i="109"/>
  <c r="R70" i="109"/>
  <c r="Q70" i="109"/>
  <c r="P70" i="109"/>
  <c r="O70" i="109"/>
  <c r="N70" i="109"/>
  <c r="M70" i="109"/>
  <c r="K70" i="109"/>
  <c r="J70" i="109"/>
  <c r="I70" i="109"/>
  <c r="E70" i="109"/>
  <c r="S69" i="109"/>
  <c r="R69" i="109"/>
  <c r="Q69" i="109"/>
  <c r="P69" i="109"/>
  <c r="O69" i="109"/>
  <c r="N69" i="109"/>
  <c r="M69" i="109"/>
  <c r="K69" i="109"/>
  <c r="J69" i="109"/>
  <c r="I69" i="109"/>
  <c r="E69" i="109"/>
  <c r="S68" i="109"/>
  <c r="R68" i="109"/>
  <c r="Q68" i="109"/>
  <c r="P68" i="109"/>
  <c r="O68" i="109"/>
  <c r="N68" i="109"/>
  <c r="M68" i="109"/>
  <c r="K68" i="109"/>
  <c r="J68" i="109"/>
  <c r="I68" i="109"/>
  <c r="E68" i="109"/>
  <c r="S67" i="109"/>
  <c r="R67" i="109"/>
  <c r="Q67" i="109"/>
  <c r="P67" i="109"/>
  <c r="O67" i="109"/>
  <c r="N67" i="109"/>
  <c r="M67" i="109"/>
  <c r="K67" i="109"/>
  <c r="J67" i="109"/>
  <c r="I67" i="109"/>
  <c r="E67" i="109"/>
  <c r="S66" i="109"/>
  <c r="R66" i="109"/>
  <c r="Q66" i="109"/>
  <c r="P66" i="109"/>
  <c r="O66" i="109"/>
  <c r="N66" i="109"/>
  <c r="M66" i="109"/>
  <c r="K66" i="109"/>
  <c r="J66" i="109"/>
  <c r="I66" i="109"/>
  <c r="E66" i="109"/>
  <c r="S65" i="109"/>
  <c r="R65" i="109"/>
  <c r="Q65" i="109"/>
  <c r="P65" i="109"/>
  <c r="O65" i="109"/>
  <c r="N65" i="109"/>
  <c r="M65" i="109"/>
  <c r="K65" i="109"/>
  <c r="J65" i="109"/>
  <c r="I65" i="109"/>
  <c r="E65" i="109"/>
  <c r="S64" i="109"/>
  <c r="R64" i="109"/>
  <c r="Q64" i="109"/>
  <c r="P64" i="109"/>
  <c r="O64" i="109"/>
  <c r="N64" i="109"/>
  <c r="M64" i="109"/>
  <c r="K64" i="109"/>
  <c r="J64" i="109"/>
  <c r="I64" i="109"/>
  <c r="E64" i="109"/>
  <c r="S63" i="109"/>
  <c r="R63" i="109"/>
  <c r="Q63" i="109"/>
  <c r="P63" i="109"/>
  <c r="O63" i="109"/>
  <c r="N63" i="109"/>
  <c r="M63" i="109"/>
  <c r="K63" i="109"/>
  <c r="J63" i="109"/>
  <c r="I63" i="109"/>
  <c r="E63" i="109"/>
  <c r="S62" i="109"/>
  <c r="R62" i="109"/>
  <c r="Q62" i="109"/>
  <c r="P62" i="109"/>
  <c r="O62" i="109"/>
  <c r="N62" i="109"/>
  <c r="M62" i="109"/>
  <c r="K62" i="109"/>
  <c r="J62" i="109"/>
  <c r="I62" i="109"/>
  <c r="E62" i="109"/>
  <c r="S61" i="109"/>
  <c r="R61" i="109"/>
  <c r="Q61" i="109"/>
  <c r="P61" i="109"/>
  <c r="O61" i="109"/>
  <c r="N61" i="109"/>
  <c r="M61" i="109"/>
  <c r="K61" i="109"/>
  <c r="J61" i="109"/>
  <c r="I61" i="109"/>
  <c r="E61" i="109"/>
  <c r="S60" i="109"/>
  <c r="R60" i="109"/>
  <c r="Q60" i="109"/>
  <c r="P60" i="109"/>
  <c r="O60" i="109"/>
  <c r="N60" i="109"/>
  <c r="M60" i="109"/>
  <c r="K60" i="109"/>
  <c r="J60" i="109"/>
  <c r="I60" i="109"/>
  <c r="E60" i="109"/>
  <c r="S59" i="109"/>
  <c r="R59" i="109"/>
  <c r="Q59" i="109"/>
  <c r="P59" i="109"/>
  <c r="O59" i="109"/>
  <c r="N59" i="109"/>
  <c r="M59" i="109"/>
  <c r="K59" i="109"/>
  <c r="J59" i="109"/>
  <c r="I59" i="109"/>
  <c r="E59" i="109"/>
  <c r="S58" i="109"/>
  <c r="R58" i="109"/>
  <c r="Q58" i="109"/>
  <c r="P58" i="109"/>
  <c r="O58" i="109"/>
  <c r="N58" i="109"/>
  <c r="M58" i="109"/>
  <c r="K58" i="109"/>
  <c r="J58" i="109"/>
  <c r="I58" i="109"/>
  <c r="E58" i="109"/>
  <c r="S57" i="109"/>
  <c r="R57" i="109"/>
  <c r="Q57" i="109"/>
  <c r="P57" i="109"/>
  <c r="O57" i="109"/>
  <c r="N57" i="109"/>
  <c r="M57" i="109"/>
  <c r="K57" i="109"/>
  <c r="J57" i="109"/>
  <c r="I57" i="109"/>
  <c r="E57" i="109"/>
  <c r="S56" i="109"/>
  <c r="R56" i="109"/>
  <c r="Q56" i="109"/>
  <c r="P56" i="109"/>
  <c r="O56" i="109"/>
  <c r="N56" i="109"/>
  <c r="M56" i="109"/>
  <c r="K56" i="109"/>
  <c r="J56" i="109"/>
  <c r="I56" i="109"/>
  <c r="E56" i="109"/>
  <c r="S55" i="109"/>
  <c r="R55" i="109"/>
  <c r="Q55" i="109"/>
  <c r="P55" i="109"/>
  <c r="O55" i="109"/>
  <c r="N55" i="109"/>
  <c r="M55" i="109"/>
  <c r="K55" i="109"/>
  <c r="J55" i="109"/>
  <c r="I55" i="109"/>
  <c r="E55" i="109"/>
  <c r="S54" i="109"/>
  <c r="R54" i="109"/>
  <c r="Q54" i="109"/>
  <c r="P54" i="109"/>
  <c r="O54" i="109"/>
  <c r="N54" i="109"/>
  <c r="M54" i="109"/>
  <c r="K54" i="109"/>
  <c r="J54" i="109"/>
  <c r="I54" i="109"/>
  <c r="E54" i="109"/>
  <c r="S53" i="109"/>
  <c r="R53" i="109"/>
  <c r="Q53" i="109"/>
  <c r="P53" i="109"/>
  <c r="O53" i="109"/>
  <c r="N53" i="109"/>
  <c r="M53" i="109"/>
  <c r="K53" i="109"/>
  <c r="J53" i="109"/>
  <c r="I53" i="109"/>
  <c r="E53" i="109"/>
  <c r="S52" i="109"/>
  <c r="R52" i="109"/>
  <c r="Q52" i="109"/>
  <c r="P52" i="109"/>
  <c r="O52" i="109"/>
  <c r="N52" i="109"/>
  <c r="M52" i="109"/>
  <c r="K52" i="109"/>
  <c r="J52" i="109"/>
  <c r="I52" i="109"/>
  <c r="E52" i="109"/>
  <c r="S51" i="109"/>
  <c r="R51" i="109"/>
  <c r="Q51" i="109"/>
  <c r="P51" i="109"/>
  <c r="O51" i="109"/>
  <c r="N51" i="109"/>
  <c r="M51" i="109"/>
  <c r="K51" i="109"/>
  <c r="J51" i="109"/>
  <c r="I51" i="109"/>
  <c r="E51" i="109"/>
  <c r="S50" i="109"/>
  <c r="R50" i="109"/>
  <c r="Q50" i="109"/>
  <c r="P50" i="109"/>
  <c r="O50" i="109"/>
  <c r="N50" i="109"/>
  <c r="M50" i="109"/>
  <c r="K50" i="109"/>
  <c r="J50" i="109"/>
  <c r="I50" i="109"/>
  <c r="E50" i="109"/>
  <c r="S49" i="109"/>
  <c r="R49" i="109"/>
  <c r="Q49" i="109"/>
  <c r="P49" i="109"/>
  <c r="O49" i="109"/>
  <c r="N49" i="109"/>
  <c r="M49" i="109"/>
  <c r="K49" i="109"/>
  <c r="J49" i="109"/>
  <c r="I49" i="109"/>
  <c r="E49" i="109"/>
  <c r="S48" i="109"/>
  <c r="R48" i="109"/>
  <c r="Q48" i="109"/>
  <c r="P48" i="109"/>
  <c r="O48" i="109"/>
  <c r="N48" i="109"/>
  <c r="M48" i="109"/>
  <c r="K48" i="109"/>
  <c r="J48" i="109"/>
  <c r="I48" i="109"/>
  <c r="E48" i="109"/>
  <c r="S47" i="109"/>
  <c r="R47" i="109"/>
  <c r="Q47" i="109"/>
  <c r="P47" i="109"/>
  <c r="O47" i="109"/>
  <c r="N47" i="109"/>
  <c r="M47" i="109"/>
  <c r="K47" i="109"/>
  <c r="J47" i="109"/>
  <c r="I47" i="109"/>
  <c r="E47" i="109"/>
  <c r="S46" i="109"/>
  <c r="R46" i="109"/>
  <c r="Q46" i="109"/>
  <c r="P46" i="109"/>
  <c r="O46" i="109"/>
  <c r="N46" i="109"/>
  <c r="M46" i="109"/>
  <c r="K46" i="109"/>
  <c r="J46" i="109"/>
  <c r="I46" i="109"/>
  <c r="E46" i="109"/>
  <c r="S45" i="109"/>
  <c r="R45" i="109"/>
  <c r="Q45" i="109"/>
  <c r="P45" i="109"/>
  <c r="O45" i="109"/>
  <c r="N45" i="109"/>
  <c r="M45" i="109"/>
  <c r="K45" i="109"/>
  <c r="J45" i="109"/>
  <c r="I45" i="109"/>
  <c r="E45" i="109"/>
  <c r="S44" i="109"/>
  <c r="R44" i="109"/>
  <c r="Q44" i="109"/>
  <c r="P44" i="109"/>
  <c r="O44" i="109"/>
  <c r="N44" i="109"/>
  <c r="M44" i="109"/>
  <c r="K44" i="109"/>
  <c r="J44" i="109"/>
  <c r="I44" i="109"/>
  <c r="E44" i="109"/>
  <c r="S43" i="109"/>
  <c r="R43" i="109"/>
  <c r="Q43" i="109"/>
  <c r="P43" i="109"/>
  <c r="O43" i="109"/>
  <c r="N43" i="109"/>
  <c r="M43" i="109"/>
  <c r="K43" i="109"/>
  <c r="J43" i="109"/>
  <c r="I43" i="109"/>
  <c r="E43" i="109"/>
  <c r="S42" i="109"/>
  <c r="R42" i="109"/>
  <c r="Q42" i="109"/>
  <c r="P42" i="109"/>
  <c r="O42" i="109"/>
  <c r="N42" i="109"/>
  <c r="M42" i="109"/>
  <c r="K42" i="109"/>
  <c r="J42" i="109"/>
  <c r="I42" i="109"/>
  <c r="E42" i="109"/>
  <c r="S41" i="109"/>
  <c r="R41" i="109"/>
  <c r="Q41" i="109"/>
  <c r="P41" i="109"/>
  <c r="O41" i="109"/>
  <c r="N41" i="109"/>
  <c r="M41" i="109"/>
  <c r="K41" i="109"/>
  <c r="J41" i="109"/>
  <c r="I41" i="109"/>
  <c r="E41" i="109"/>
  <c r="S40" i="109"/>
  <c r="R40" i="109"/>
  <c r="Q40" i="109"/>
  <c r="P40" i="109"/>
  <c r="O40" i="109"/>
  <c r="N40" i="109"/>
  <c r="M40" i="109"/>
  <c r="K40" i="109"/>
  <c r="J40" i="109"/>
  <c r="I40" i="109"/>
  <c r="E40" i="109"/>
  <c r="S39" i="109"/>
  <c r="R39" i="109"/>
  <c r="Q39" i="109"/>
  <c r="P39" i="109"/>
  <c r="O39" i="109"/>
  <c r="N39" i="109"/>
  <c r="M39" i="109"/>
  <c r="K39" i="109"/>
  <c r="J39" i="109"/>
  <c r="I39" i="109"/>
  <c r="E39" i="109"/>
  <c r="S38" i="109"/>
  <c r="R38" i="109"/>
  <c r="Q38" i="109"/>
  <c r="P38" i="109"/>
  <c r="O38" i="109"/>
  <c r="N38" i="109"/>
  <c r="M38" i="109"/>
  <c r="K38" i="109"/>
  <c r="J38" i="109"/>
  <c r="I38" i="109"/>
  <c r="E38" i="109"/>
  <c r="S37" i="109"/>
  <c r="R37" i="109"/>
  <c r="Q37" i="109"/>
  <c r="P37" i="109"/>
  <c r="O37" i="109"/>
  <c r="N37" i="109"/>
  <c r="M37" i="109"/>
  <c r="K37" i="109"/>
  <c r="J37" i="109"/>
  <c r="I37" i="109"/>
  <c r="E37" i="109"/>
  <c r="S36" i="109"/>
  <c r="R36" i="109"/>
  <c r="Q36" i="109"/>
  <c r="P36" i="109"/>
  <c r="O36" i="109"/>
  <c r="N36" i="109"/>
  <c r="M36" i="109"/>
  <c r="K36" i="109"/>
  <c r="J36" i="109"/>
  <c r="I36" i="109"/>
  <c r="E36" i="109"/>
  <c r="S35" i="109"/>
  <c r="R35" i="109"/>
  <c r="Q35" i="109"/>
  <c r="P35" i="109"/>
  <c r="O35" i="109"/>
  <c r="N35" i="109"/>
  <c r="M35" i="109"/>
  <c r="K35" i="109"/>
  <c r="J35" i="109"/>
  <c r="I35" i="109"/>
  <c r="E35" i="109"/>
  <c r="S34" i="109"/>
  <c r="R34" i="109"/>
  <c r="Q34" i="109"/>
  <c r="P34" i="109"/>
  <c r="O34" i="109"/>
  <c r="N34" i="109"/>
  <c r="M34" i="109"/>
  <c r="K34" i="109"/>
  <c r="J34" i="109"/>
  <c r="I34" i="109"/>
  <c r="E34" i="109"/>
  <c r="S33" i="109"/>
  <c r="R33" i="109"/>
  <c r="Q33" i="109"/>
  <c r="P33" i="109"/>
  <c r="O33" i="109"/>
  <c r="N33" i="109"/>
  <c r="M33" i="109"/>
  <c r="K33" i="109"/>
  <c r="J33" i="109"/>
  <c r="I33" i="109"/>
  <c r="E33" i="109"/>
  <c r="S32" i="109"/>
  <c r="R32" i="109"/>
  <c r="Q32" i="109"/>
  <c r="P32" i="109"/>
  <c r="O32" i="109"/>
  <c r="N32" i="109"/>
  <c r="M32" i="109"/>
  <c r="K32" i="109"/>
  <c r="J32" i="109"/>
  <c r="I32" i="109"/>
  <c r="E32" i="109"/>
  <c r="S31" i="109"/>
  <c r="R31" i="109"/>
  <c r="Q31" i="109"/>
  <c r="P31" i="109"/>
  <c r="O31" i="109"/>
  <c r="N31" i="109"/>
  <c r="M31" i="109"/>
  <c r="K31" i="109"/>
  <c r="J31" i="109"/>
  <c r="I31" i="109"/>
  <c r="E31" i="109"/>
  <c r="S30" i="109"/>
  <c r="R30" i="109"/>
  <c r="Q30" i="109"/>
  <c r="P30" i="109"/>
  <c r="O30" i="109"/>
  <c r="N30" i="109"/>
  <c r="M30" i="109"/>
  <c r="K30" i="109"/>
  <c r="J30" i="109"/>
  <c r="I30" i="109"/>
  <c r="E30" i="109"/>
  <c r="S29" i="109"/>
  <c r="R29" i="109"/>
  <c r="Q29" i="109"/>
  <c r="P29" i="109"/>
  <c r="O29" i="109"/>
  <c r="N29" i="109"/>
  <c r="M29" i="109"/>
  <c r="K29" i="109"/>
  <c r="J29" i="109"/>
  <c r="I29" i="109"/>
  <c r="E29" i="109"/>
  <c r="S28" i="109"/>
  <c r="R28" i="109"/>
  <c r="Q28" i="109"/>
  <c r="P28" i="109"/>
  <c r="O28" i="109"/>
  <c r="N28" i="109"/>
  <c r="M28" i="109"/>
  <c r="K28" i="109"/>
  <c r="J28" i="109"/>
  <c r="I28" i="109"/>
  <c r="E28" i="109"/>
  <c r="S27" i="109"/>
  <c r="R27" i="109"/>
  <c r="Q27" i="109"/>
  <c r="P27" i="109"/>
  <c r="O27" i="109"/>
  <c r="N27" i="109"/>
  <c r="M27" i="109"/>
  <c r="K27" i="109"/>
  <c r="J27" i="109"/>
  <c r="I27" i="109"/>
  <c r="E27" i="109"/>
  <c r="S26" i="109"/>
  <c r="R26" i="109"/>
  <c r="Q26" i="109"/>
  <c r="P26" i="109"/>
  <c r="O26" i="109"/>
  <c r="N26" i="109"/>
  <c r="M26" i="109"/>
  <c r="K26" i="109"/>
  <c r="J26" i="109"/>
  <c r="I26" i="109"/>
  <c r="E26" i="109"/>
  <c r="S25" i="109"/>
  <c r="R25" i="109"/>
  <c r="Q25" i="109"/>
  <c r="P25" i="109"/>
  <c r="O25" i="109"/>
  <c r="N25" i="109"/>
  <c r="M25" i="109"/>
  <c r="K25" i="109"/>
  <c r="J25" i="109"/>
  <c r="I25" i="109"/>
  <c r="E25" i="109"/>
  <c r="S24" i="109"/>
  <c r="R24" i="109"/>
  <c r="Q24" i="109"/>
  <c r="P24" i="109"/>
  <c r="O24" i="109"/>
  <c r="N24" i="109"/>
  <c r="M24" i="109"/>
  <c r="K24" i="109"/>
  <c r="J24" i="109"/>
  <c r="I24" i="109"/>
  <c r="E24" i="109"/>
  <c r="S23" i="109"/>
  <c r="R23" i="109"/>
  <c r="Q23" i="109"/>
  <c r="P23" i="109"/>
  <c r="O23" i="109"/>
  <c r="N23" i="109"/>
  <c r="M23" i="109"/>
  <c r="K23" i="109"/>
  <c r="J23" i="109"/>
  <c r="I23" i="109"/>
  <c r="E23" i="109"/>
  <c r="S22" i="109"/>
  <c r="R22" i="109"/>
  <c r="Q22" i="109"/>
  <c r="P22" i="109"/>
  <c r="O22" i="109"/>
  <c r="N22" i="109"/>
  <c r="M22" i="109"/>
  <c r="K22" i="109"/>
  <c r="J22" i="109"/>
  <c r="I22" i="109"/>
  <c r="E22" i="109"/>
  <c r="S21" i="109"/>
  <c r="R21" i="109"/>
  <c r="Q21" i="109"/>
  <c r="P21" i="109"/>
  <c r="O21" i="109"/>
  <c r="N21" i="109"/>
  <c r="M21" i="109"/>
  <c r="K21" i="109"/>
  <c r="J21" i="109"/>
  <c r="I21" i="109"/>
  <c r="E21" i="109"/>
  <c r="S20" i="109"/>
  <c r="R20" i="109"/>
  <c r="Q20" i="109"/>
  <c r="P20" i="109"/>
  <c r="O20" i="109"/>
  <c r="N20" i="109"/>
  <c r="M20" i="109"/>
  <c r="K20" i="109"/>
  <c r="J20" i="109"/>
  <c r="I20" i="109"/>
  <c r="E20" i="109"/>
  <c r="S19" i="109"/>
  <c r="R19" i="109"/>
  <c r="Q19" i="109"/>
  <c r="P19" i="109"/>
  <c r="O19" i="109"/>
  <c r="N19" i="109"/>
  <c r="M19" i="109"/>
  <c r="K19" i="109"/>
  <c r="J19" i="109"/>
  <c r="I19" i="109"/>
  <c r="E19" i="109"/>
  <c r="S18" i="109"/>
  <c r="R18" i="109"/>
  <c r="Q18" i="109"/>
  <c r="P18" i="109"/>
  <c r="O18" i="109"/>
  <c r="N18" i="109"/>
  <c r="M18" i="109"/>
  <c r="K18" i="109"/>
  <c r="J18" i="109"/>
  <c r="I18" i="109"/>
  <c r="E18" i="109"/>
  <c r="S17" i="109"/>
  <c r="R17" i="109"/>
  <c r="Q17" i="109"/>
  <c r="P17" i="109"/>
  <c r="O17" i="109"/>
  <c r="N17" i="109"/>
  <c r="M17" i="109"/>
  <c r="K17" i="109"/>
  <c r="J17" i="109"/>
  <c r="I17" i="109"/>
  <c r="E17" i="109"/>
  <c r="S16" i="109"/>
  <c r="R16" i="109"/>
  <c r="Q16" i="109"/>
  <c r="P16" i="109"/>
  <c r="O16" i="109"/>
  <c r="N16" i="109"/>
  <c r="M16" i="109"/>
  <c r="K16" i="109"/>
  <c r="J16" i="109"/>
  <c r="I16" i="109"/>
  <c r="E16" i="109"/>
  <c r="S15" i="109"/>
  <c r="R15" i="109"/>
  <c r="Q15" i="109"/>
  <c r="P15" i="109"/>
  <c r="O15" i="109"/>
  <c r="N15" i="109"/>
  <c r="M15" i="109"/>
  <c r="K15" i="109"/>
  <c r="J15" i="109"/>
  <c r="I15" i="109"/>
  <c r="E15" i="109"/>
  <c r="S14" i="109"/>
  <c r="R14" i="109"/>
  <c r="Q14" i="109"/>
  <c r="P14" i="109"/>
  <c r="O14" i="109"/>
  <c r="N14" i="109"/>
  <c r="M14" i="109"/>
  <c r="K14" i="109"/>
  <c r="J14" i="109"/>
  <c r="I14" i="109"/>
  <c r="E14" i="109"/>
  <c r="S13" i="109"/>
  <c r="R13" i="109"/>
  <c r="Q13" i="109"/>
  <c r="P13" i="109"/>
  <c r="O13" i="109"/>
  <c r="N13" i="109"/>
  <c r="M13" i="109"/>
  <c r="K13" i="109"/>
  <c r="J13" i="109"/>
  <c r="I13" i="109"/>
  <c r="E13" i="109"/>
  <c r="S12" i="109"/>
  <c r="R12" i="109"/>
  <c r="Q12" i="109"/>
  <c r="P12" i="109"/>
  <c r="O12" i="109"/>
  <c r="N12" i="109"/>
  <c r="M12" i="109"/>
  <c r="K12" i="109"/>
  <c r="J12" i="109"/>
  <c r="I12" i="109"/>
  <c r="E12" i="109"/>
  <c r="S11" i="109"/>
  <c r="R11" i="109"/>
  <c r="Q11" i="109"/>
  <c r="P11" i="109"/>
  <c r="O11" i="109"/>
  <c r="N11" i="109"/>
  <c r="M11" i="109"/>
  <c r="K11" i="109"/>
  <c r="J11" i="109"/>
  <c r="I11" i="109"/>
  <c r="E11" i="109"/>
  <c r="S10" i="109"/>
  <c r="R10" i="109"/>
  <c r="Q10" i="109"/>
  <c r="P10" i="109"/>
  <c r="O10" i="109"/>
  <c r="N10" i="109"/>
  <c r="M10" i="109"/>
  <c r="K10" i="109"/>
  <c r="J10" i="109"/>
  <c r="I10" i="109"/>
  <c r="E10" i="109"/>
  <c r="S9" i="109"/>
  <c r="R9" i="109"/>
  <c r="Q9" i="109"/>
  <c r="P9" i="109"/>
  <c r="O9" i="109"/>
  <c r="N9" i="109"/>
  <c r="M9" i="109"/>
  <c r="K9" i="109"/>
  <c r="J9" i="109"/>
  <c r="I9" i="109"/>
  <c r="E9" i="109"/>
  <c r="S8" i="109"/>
  <c r="R8" i="109"/>
  <c r="Q8" i="109"/>
  <c r="P8" i="109"/>
  <c r="O8" i="109"/>
  <c r="N8" i="109"/>
  <c r="M8" i="109"/>
  <c r="K8" i="109"/>
  <c r="J8" i="109"/>
  <c r="I8" i="109"/>
  <c r="E8" i="109"/>
  <c r="S7" i="109"/>
  <c r="R7" i="109"/>
  <c r="Q7" i="109"/>
  <c r="P7" i="109"/>
  <c r="O7" i="109"/>
  <c r="N7" i="109"/>
  <c r="M7" i="109"/>
  <c r="K7" i="109"/>
  <c r="J7" i="109"/>
  <c r="I7" i="109"/>
  <c r="E7" i="109"/>
  <c r="S6" i="109"/>
  <c r="R6" i="109"/>
  <c r="Q6" i="109"/>
  <c r="P6" i="109"/>
  <c r="O6" i="109"/>
  <c r="N6" i="109"/>
  <c r="M6" i="109"/>
  <c r="K6" i="109"/>
  <c r="J6" i="109"/>
  <c r="I6" i="109"/>
  <c r="E6" i="109"/>
  <c r="S5" i="109"/>
  <c r="R5" i="109"/>
  <c r="Q5" i="109"/>
  <c r="P5" i="109"/>
  <c r="O5" i="109"/>
  <c r="N5" i="109"/>
  <c r="M5" i="109"/>
  <c r="K5" i="109"/>
  <c r="J5" i="109"/>
  <c r="I5" i="109"/>
  <c r="E5" i="109"/>
  <c r="S4" i="109"/>
  <c r="R4" i="109"/>
  <c r="Q4" i="109"/>
  <c r="P4" i="109"/>
  <c r="O4" i="109"/>
  <c r="N4" i="109"/>
  <c r="M4" i="109"/>
  <c r="K4" i="109"/>
  <c r="J4" i="109"/>
  <c r="I4" i="109"/>
  <c r="E4" i="109"/>
  <c r="S3" i="109"/>
  <c r="R3" i="109"/>
  <c r="Q3" i="109"/>
  <c r="P3" i="109"/>
  <c r="O3" i="109"/>
  <c r="N3" i="109"/>
  <c r="M3" i="109"/>
  <c r="K3" i="109"/>
  <c r="J3" i="109"/>
  <c r="I3" i="109"/>
  <c r="E3" i="109"/>
  <c r="S2" i="109"/>
  <c r="R2" i="109"/>
  <c r="Q2" i="109"/>
  <c r="P2" i="109"/>
  <c r="O2" i="109"/>
  <c r="N2" i="109"/>
  <c r="M2" i="109"/>
  <c r="K2" i="109"/>
  <c r="J2" i="109"/>
  <c r="I2" i="109"/>
  <c r="E2" i="109"/>
  <c r="A53" i="108"/>
  <c r="A55" i="108"/>
  <c r="A57" i="108"/>
  <c r="A59" i="108"/>
  <c r="A61" i="108"/>
  <c r="A63" i="108"/>
  <c r="A65" i="108"/>
  <c r="A66" i="108"/>
  <c r="A68" i="108"/>
  <c r="A69" i="108"/>
  <c r="A70" i="108"/>
  <c r="A71" i="108"/>
  <c r="A72" i="108"/>
  <c r="A73" i="108"/>
  <c r="B75" i="108"/>
  <c r="C74" i="108"/>
  <c r="C73" i="108"/>
  <c r="C72" i="108"/>
  <c r="C71" i="108"/>
  <c r="C70" i="108"/>
  <c r="C69" i="108"/>
  <c r="C68" i="108"/>
  <c r="C67" i="108"/>
  <c r="C66" i="108"/>
  <c r="C65" i="108"/>
  <c r="C64" i="108"/>
  <c r="C63" i="108"/>
  <c r="C62" i="108"/>
  <c r="C61" i="108"/>
  <c r="F60" i="108"/>
  <c r="C60" i="108"/>
  <c r="F59" i="108"/>
  <c r="C59" i="108"/>
  <c r="F58" i="108"/>
  <c r="C58" i="108"/>
  <c r="C57" i="108"/>
  <c r="C56" i="108"/>
  <c r="F55" i="108"/>
  <c r="C55" i="108"/>
  <c r="F54" i="108"/>
  <c r="C54" i="108"/>
  <c r="C53" i="108"/>
  <c r="F53" i="108"/>
  <c r="A49" i="108"/>
  <c r="B5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9" i="108"/>
  <c r="B40" i="108"/>
  <c r="B41" i="108"/>
  <c r="B42" i="108"/>
  <c r="B46" i="108"/>
  <c r="A24" i="108"/>
  <c r="C24" i="108"/>
  <c r="C25" i="108"/>
  <c r="A26" i="108"/>
  <c r="C26" i="108"/>
  <c r="C27" i="108"/>
  <c r="A28" i="108"/>
  <c r="C28" i="108"/>
  <c r="C29" i="108"/>
  <c r="A30" i="108"/>
  <c r="C30" i="108"/>
  <c r="C31" i="108"/>
  <c r="A32" i="108"/>
  <c r="C32" i="108"/>
  <c r="C33" i="108"/>
  <c r="A34" i="108"/>
  <c r="C34" i="108"/>
  <c r="A35" i="108"/>
  <c r="C35" i="108"/>
  <c r="A36" i="108"/>
  <c r="C36" i="108"/>
  <c r="A37" i="108"/>
  <c r="C37" i="108"/>
  <c r="C38" i="108"/>
  <c r="A39" i="108"/>
  <c r="C39" i="108"/>
  <c r="A40" i="108"/>
  <c r="C40" i="108"/>
  <c r="A41" i="108"/>
  <c r="C41" i="108"/>
  <c r="A42" i="108"/>
  <c r="C42" i="108"/>
  <c r="A43" i="108"/>
  <c r="C43" i="108"/>
  <c r="A44" i="108"/>
  <c r="C44" i="108"/>
  <c r="C45" i="108"/>
  <c r="C46" i="108"/>
  <c r="D46" i="108"/>
  <c r="D45" i="108"/>
  <c r="G45" i="108"/>
  <c r="H45" i="108"/>
  <c r="I45" i="108"/>
  <c r="J45" i="108"/>
  <c r="F45" i="108"/>
  <c r="D44" i="108"/>
  <c r="G44" i="108"/>
  <c r="H44" i="108"/>
  <c r="I44" i="108"/>
  <c r="J44" i="108"/>
  <c r="F44" i="108"/>
  <c r="D43" i="108"/>
  <c r="G43" i="108"/>
  <c r="H43" i="108"/>
  <c r="I43" i="108"/>
  <c r="J43" i="108"/>
  <c r="F43" i="108"/>
  <c r="D42" i="108"/>
  <c r="G42" i="108"/>
  <c r="H42" i="108"/>
  <c r="I42" i="108"/>
  <c r="J42" i="108"/>
  <c r="F42" i="108"/>
  <c r="D41" i="108"/>
  <c r="G41" i="108"/>
  <c r="H41" i="108"/>
  <c r="I41" i="108"/>
  <c r="J41" i="108"/>
  <c r="F41" i="108"/>
  <c r="D40" i="108"/>
  <c r="G40" i="108"/>
  <c r="H40" i="108"/>
  <c r="I40" i="108"/>
  <c r="J40" i="108"/>
  <c r="F40" i="108"/>
  <c r="D39" i="108"/>
  <c r="G39" i="108"/>
  <c r="H39" i="108"/>
  <c r="I39" i="108"/>
  <c r="J39" i="108"/>
  <c r="F39" i="108"/>
  <c r="D38" i="108"/>
  <c r="G38" i="108"/>
  <c r="H38" i="108"/>
  <c r="I38" i="108"/>
  <c r="J38" i="108"/>
  <c r="F38" i="108"/>
  <c r="D37" i="108"/>
  <c r="G37" i="108"/>
  <c r="H37" i="108"/>
  <c r="I37" i="108"/>
  <c r="J37" i="108"/>
  <c r="F37" i="108"/>
  <c r="D36" i="108"/>
  <c r="G36" i="108"/>
  <c r="H36" i="108"/>
  <c r="I36" i="108"/>
  <c r="J36" i="108"/>
  <c r="F36" i="108"/>
  <c r="D35" i="108"/>
  <c r="G35" i="108"/>
  <c r="H35" i="108"/>
  <c r="I35" i="108"/>
  <c r="J35" i="108"/>
  <c r="F35" i="108"/>
  <c r="D34" i="108"/>
  <c r="G34" i="108"/>
  <c r="H34" i="108"/>
  <c r="I34" i="108"/>
  <c r="J34" i="108"/>
  <c r="F34" i="108"/>
  <c r="D33" i="108"/>
  <c r="G33" i="108"/>
  <c r="H33" i="108"/>
  <c r="I33" i="108"/>
  <c r="J33" i="108"/>
  <c r="F33" i="108"/>
  <c r="D32" i="108"/>
  <c r="G32" i="108"/>
  <c r="H32" i="108"/>
  <c r="I32" i="108"/>
  <c r="J32" i="108"/>
  <c r="F32" i="108"/>
  <c r="D31" i="108"/>
  <c r="G31" i="108"/>
  <c r="H31" i="108"/>
  <c r="I31" i="108"/>
  <c r="J31" i="108"/>
  <c r="F31" i="108"/>
  <c r="D30" i="108"/>
  <c r="G30" i="108"/>
  <c r="H30" i="108"/>
  <c r="I30" i="108"/>
  <c r="J30" i="108"/>
  <c r="F30" i="108"/>
  <c r="D29" i="108"/>
  <c r="G29" i="108"/>
  <c r="H29" i="108"/>
  <c r="I29" i="108"/>
  <c r="J29" i="108"/>
  <c r="F29" i="108"/>
  <c r="D28" i="108"/>
  <c r="G28" i="108"/>
  <c r="H28" i="108"/>
  <c r="I28" i="108"/>
  <c r="J28" i="108"/>
  <c r="F28" i="108"/>
  <c r="D27" i="108"/>
  <c r="G27" i="108"/>
  <c r="H27" i="108"/>
  <c r="I27" i="108"/>
  <c r="J27" i="108"/>
  <c r="F27" i="108"/>
  <c r="D26" i="108"/>
  <c r="G26" i="108"/>
  <c r="H26" i="108"/>
  <c r="I26" i="108"/>
  <c r="J26" i="108"/>
  <c r="F26" i="108"/>
  <c r="D25" i="108"/>
  <c r="G25" i="108"/>
  <c r="H25" i="108"/>
  <c r="I25" i="108"/>
  <c r="J25" i="108"/>
  <c r="F25" i="108"/>
  <c r="D24" i="108"/>
  <c r="G24" i="108"/>
  <c r="H24" i="108"/>
  <c r="I24" i="108"/>
  <c r="J24" i="108"/>
  <c r="F24" i="108"/>
  <c r="B13" i="108"/>
  <c r="A49" i="106"/>
  <c r="A246" i="82"/>
  <c r="F246" i="82"/>
  <c r="G246" i="82"/>
  <c r="H246" i="82"/>
  <c r="C246" i="82"/>
  <c r="B246" i="82"/>
  <c r="E246" i="82"/>
  <c r="I246" i="82"/>
  <c r="J246" i="82"/>
  <c r="K246" i="82"/>
  <c r="E42" i="106"/>
  <c r="G42" i="106"/>
  <c r="H42" i="106"/>
  <c r="C45" i="106"/>
  <c r="D45" i="106"/>
  <c r="G45" i="106"/>
  <c r="E45" i="106"/>
  <c r="H45" i="106"/>
  <c r="L246" i="82"/>
  <c r="E25" i="106"/>
  <c r="G25" i="106"/>
  <c r="H25" i="106"/>
  <c r="L2" i="82"/>
  <c r="E31" i="106"/>
  <c r="G31" i="106"/>
  <c r="H31" i="106"/>
  <c r="L3" i="82"/>
  <c r="L4" i="82"/>
  <c r="L5" i="82"/>
  <c r="E24" i="106"/>
  <c r="G24" i="106"/>
  <c r="H24" i="106"/>
  <c r="L6" i="82"/>
  <c r="E30" i="106"/>
  <c r="G30" i="106"/>
  <c r="H30" i="106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E27" i="106"/>
  <c r="G27" i="106"/>
  <c r="H27" i="106"/>
  <c r="L42" i="82"/>
  <c r="E33" i="106"/>
  <c r="G33" i="106"/>
  <c r="H33" i="106"/>
  <c r="L43" i="82"/>
  <c r="E40" i="106"/>
  <c r="G40" i="106"/>
  <c r="H40" i="106"/>
  <c r="L44" i="82"/>
  <c r="L45" i="82"/>
  <c r="L46" i="82"/>
  <c r="L47" i="82"/>
  <c r="E26" i="106"/>
  <c r="G26" i="106"/>
  <c r="H26" i="106"/>
  <c r="L48" i="82"/>
  <c r="E32" i="106"/>
  <c r="G32" i="106"/>
  <c r="H32" i="106"/>
  <c r="L49" i="82"/>
  <c r="E39" i="106"/>
  <c r="G39" i="106"/>
  <c r="H39" i="106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E29" i="106"/>
  <c r="G29" i="106"/>
  <c r="H29" i="106"/>
  <c r="L102" i="82"/>
  <c r="E35" i="106"/>
  <c r="G35" i="106"/>
  <c r="H35" i="106"/>
  <c r="L103" i="82"/>
  <c r="L104" i="82"/>
  <c r="L105" i="82"/>
  <c r="L106" i="82"/>
  <c r="L107" i="82"/>
  <c r="E28" i="106"/>
  <c r="G28" i="106"/>
  <c r="H28" i="106"/>
  <c r="L108" i="82"/>
  <c r="E34" i="106"/>
  <c r="G34" i="106"/>
  <c r="H34" i="106"/>
  <c r="L109" i="82"/>
  <c r="E41" i="106"/>
  <c r="G41" i="106"/>
  <c r="H41" i="106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E37" i="106"/>
  <c r="G37" i="106"/>
  <c r="H37" i="106"/>
  <c r="L138" i="82"/>
  <c r="E44" i="106"/>
  <c r="G44" i="106"/>
  <c r="H44" i="106"/>
  <c r="L139" i="82"/>
  <c r="L140" i="82"/>
  <c r="L141" i="82"/>
  <c r="E36" i="106"/>
  <c r="G36" i="106"/>
  <c r="H36" i="106"/>
  <c r="L142" i="82"/>
  <c r="E43" i="106"/>
  <c r="G43" i="106"/>
  <c r="H43" i="106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M246" i="82"/>
  <c r="N246" i="82"/>
  <c r="O246" i="82"/>
  <c r="P246" i="82"/>
  <c r="Q246" i="82"/>
  <c r="R246" i="82"/>
  <c r="S246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65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6" i="106"/>
  <c r="B67" i="106"/>
  <c r="B68" i="106"/>
  <c r="B69" i="106"/>
  <c r="B70" i="106"/>
  <c r="B71" i="106"/>
  <c r="B72" i="106"/>
  <c r="B73" i="106"/>
  <c r="B74" i="106"/>
  <c r="B75" i="106"/>
  <c r="C65" i="106"/>
  <c r="C66" i="106"/>
  <c r="C73" i="106"/>
  <c r="C72" i="106"/>
  <c r="F59" i="106"/>
  <c r="A73" i="106"/>
  <c r="A72" i="106"/>
  <c r="A71" i="106"/>
  <c r="A70" i="106"/>
  <c r="A69" i="106"/>
  <c r="A68" i="106"/>
  <c r="A66" i="106"/>
  <c r="A65" i="106"/>
  <c r="A63" i="106"/>
  <c r="A61" i="106"/>
  <c r="A59" i="106"/>
  <c r="A57" i="106"/>
  <c r="A55" i="106"/>
  <c r="A53" i="106"/>
  <c r="A44" i="106"/>
  <c r="A43" i="106"/>
  <c r="A42" i="106"/>
  <c r="A41" i="106"/>
  <c r="A40" i="106"/>
  <c r="A39" i="106"/>
  <c r="A37" i="106"/>
  <c r="A36" i="106"/>
  <c r="A34" i="106"/>
  <c r="A32" i="106"/>
  <c r="A30" i="106"/>
  <c r="A28" i="106"/>
  <c r="A26" i="106"/>
  <c r="A24" i="106"/>
  <c r="B40" i="106"/>
  <c r="B39" i="106"/>
  <c r="B30" i="106"/>
  <c r="B31" i="106"/>
  <c r="B37" i="106"/>
  <c r="B36" i="106"/>
  <c r="C25" i="106"/>
  <c r="D25" i="106"/>
  <c r="C31" i="106"/>
  <c r="D31" i="106"/>
  <c r="C27" i="106"/>
  <c r="D27" i="106"/>
  <c r="B33" i="106"/>
  <c r="C33" i="106"/>
  <c r="D33" i="106"/>
  <c r="C40" i="106"/>
  <c r="D40" i="106"/>
  <c r="C29" i="106"/>
  <c r="D29" i="106"/>
  <c r="B35" i="106"/>
  <c r="C35" i="106"/>
  <c r="D35" i="106"/>
  <c r="B42" i="106"/>
  <c r="C42" i="106"/>
  <c r="D42" i="106"/>
  <c r="C37" i="106"/>
  <c r="D37" i="106"/>
  <c r="C44" i="106"/>
  <c r="D44" i="106"/>
  <c r="C67" i="106"/>
  <c r="C74" i="106"/>
  <c r="F60" i="106"/>
  <c r="C60" i="106"/>
  <c r="C64" i="106"/>
  <c r="F58" i="106"/>
  <c r="C59" i="106"/>
  <c r="C61" i="106"/>
  <c r="C62" i="106"/>
  <c r="C63" i="106"/>
  <c r="F54" i="106"/>
  <c r="C68" i="106"/>
  <c r="C69" i="106"/>
  <c r="C70" i="106"/>
  <c r="C71" i="106"/>
  <c r="F55" i="106"/>
  <c r="C53" i="106"/>
  <c r="C54" i="106"/>
  <c r="C55" i="106"/>
  <c r="C56" i="106"/>
  <c r="C57" i="106"/>
  <c r="C58" i="106"/>
  <c r="F53" i="106"/>
  <c r="B25" i="106"/>
  <c r="B32" i="106"/>
  <c r="B34" i="106"/>
  <c r="B41" i="106"/>
  <c r="B26" i="106"/>
  <c r="B28" i="106"/>
  <c r="B46" i="106"/>
  <c r="C30" i="106"/>
  <c r="D30" i="106"/>
  <c r="F2" i="82"/>
  <c r="G2" i="82"/>
  <c r="H2" i="82"/>
  <c r="F3" i="82"/>
  <c r="G3" i="82"/>
  <c r="H3" i="82"/>
  <c r="F4" i="82"/>
  <c r="G4" i="82"/>
  <c r="H4" i="82"/>
  <c r="F5" i="82"/>
  <c r="G5" i="82"/>
  <c r="H5" i="82"/>
  <c r="F6" i="82"/>
  <c r="G6" i="82"/>
  <c r="H6" i="82"/>
  <c r="F7" i="82"/>
  <c r="G7" i="82"/>
  <c r="H7" i="82"/>
  <c r="F8" i="82"/>
  <c r="G8" i="82"/>
  <c r="H8" i="82"/>
  <c r="F9" i="82"/>
  <c r="G9" i="82"/>
  <c r="H9" i="82"/>
  <c r="F10" i="82"/>
  <c r="G10" i="82"/>
  <c r="H10" i="82"/>
  <c r="F11" i="82"/>
  <c r="G11" i="82"/>
  <c r="H11" i="82"/>
  <c r="F12" i="82"/>
  <c r="G12" i="82"/>
  <c r="H12" i="82"/>
  <c r="F13" i="82"/>
  <c r="G13" i="82"/>
  <c r="H13" i="82"/>
  <c r="F14" i="82"/>
  <c r="G14" i="82"/>
  <c r="H14" i="82"/>
  <c r="F15" i="82"/>
  <c r="G15" i="82"/>
  <c r="H15" i="82"/>
  <c r="F16" i="82"/>
  <c r="G16" i="82"/>
  <c r="H16" i="82"/>
  <c r="F17" i="82"/>
  <c r="G17" i="82"/>
  <c r="H17" i="82"/>
  <c r="F18" i="82"/>
  <c r="G18" i="82"/>
  <c r="H18" i="82"/>
  <c r="F19" i="82"/>
  <c r="G19" i="82"/>
  <c r="H19" i="82"/>
  <c r="F20" i="82"/>
  <c r="G20" i="82"/>
  <c r="H20" i="82"/>
  <c r="F21" i="82"/>
  <c r="G21" i="82"/>
  <c r="H21" i="82"/>
  <c r="F22" i="82"/>
  <c r="G22" i="82"/>
  <c r="H22" i="82"/>
  <c r="F23" i="82"/>
  <c r="G23" i="82"/>
  <c r="H23" i="82"/>
  <c r="F24" i="82"/>
  <c r="G24" i="82"/>
  <c r="H24" i="82"/>
  <c r="F25" i="82"/>
  <c r="G25" i="82"/>
  <c r="H25" i="82"/>
  <c r="F26" i="82"/>
  <c r="G26" i="82"/>
  <c r="H26" i="82"/>
  <c r="F27" i="82"/>
  <c r="G27" i="82"/>
  <c r="H27" i="82"/>
  <c r="F28" i="82"/>
  <c r="G28" i="82"/>
  <c r="H28" i="82"/>
  <c r="F29" i="82"/>
  <c r="G29" i="82"/>
  <c r="H29" i="82"/>
  <c r="F30" i="82"/>
  <c r="G30" i="82"/>
  <c r="H30" i="82"/>
  <c r="F31" i="82"/>
  <c r="G31" i="82"/>
  <c r="H31" i="82"/>
  <c r="F32" i="82"/>
  <c r="G32" i="82"/>
  <c r="H32" i="82"/>
  <c r="F33" i="82"/>
  <c r="G33" i="82"/>
  <c r="H33" i="82"/>
  <c r="F34" i="82"/>
  <c r="G34" i="82"/>
  <c r="H34" i="82"/>
  <c r="F35" i="82"/>
  <c r="G35" i="82"/>
  <c r="H35" i="82"/>
  <c r="F36" i="82"/>
  <c r="G36" i="82"/>
  <c r="H36" i="82"/>
  <c r="F37" i="82"/>
  <c r="G37" i="82"/>
  <c r="H37" i="82"/>
  <c r="F38" i="82"/>
  <c r="G38" i="82"/>
  <c r="H38" i="82"/>
  <c r="F39" i="82"/>
  <c r="G39" i="82"/>
  <c r="H39" i="82"/>
  <c r="F40" i="82"/>
  <c r="G40" i="82"/>
  <c r="H40" i="82"/>
  <c r="F41" i="82"/>
  <c r="G41" i="82"/>
  <c r="H41" i="82"/>
  <c r="F42" i="82"/>
  <c r="G42" i="82"/>
  <c r="H42" i="82"/>
  <c r="F43" i="82"/>
  <c r="G43" i="82"/>
  <c r="H43" i="82"/>
  <c r="F44" i="82"/>
  <c r="G44" i="82"/>
  <c r="H44" i="82"/>
  <c r="F45" i="82"/>
  <c r="G45" i="82"/>
  <c r="H45" i="82"/>
  <c r="F46" i="82"/>
  <c r="G46" i="82"/>
  <c r="H46" i="82"/>
  <c r="F47" i="82"/>
  <c r="G47" i="82"/>
  <c r="H47" i="82"/>
  <c r="F48" i="82"/>
  <c r="G48" i="82"/>
  <c r="H48" i="82"/>
  <c r="F49" i="82"/>
  <c r="G49" i="82"/>
  <c r="H49" i="82"/>
  <c r="F50" i="82"/>
  <c r="G50" i="82"/>
  <c r="H50" i="82"/>
  <c r="F51" i="82"/>
  <c r="G51" i="82"/>
  <c r="H51" i="82"/>
  <c r="F52" i="82"/>
  <c r="G52" i="82"/>
  <c r="H52" i="82"/>
  <c r="F53" i="82"/>
  <c r="G53" i="82"/>
  <c r="H53" i="82"/>
  <c r="F54" i="82"/>
  <c r="G54" i="82"/>
  <c r="H54" i="82"/>
  <c r="F55" i="82"/>
  <c r="G55" i="82"/>
  <c r="H55" i="82"/>
  <c r="F56" i="82"/>
  <c r="G56" i="82"/>
  <c r="H56" i="82"/>
  <c r="F57" i="82"/>
  <c r="G57" i="82"/>
  <c r="H57" i="82"/>
  <c r="F58" i="82"/>
  <c r="G58" i="82"/>
  <c r="H58" i="82"/>
  <c r="F59" i="82"/>
  <c r="G59" i="82"/>
  <c r="H59" i="82"/>
  <c r="F60" i="82"/>
  <c r="G60" i="82"/>
  <c r="H60" i="82"/>
  <c r="F61" i="82"/>
  <c r="G61" i="82"/>
  <c r="H61" i="82"/>
  <c r="F62" i="82"/>
  <c r="G62" i="82"/>
  <c r="H62" i="82"/>
  <c r="F63" i="82"/>
  <c r="G63" i="82"/>
  <c r="H63" i="82"/>
  <c r="F64" i="82"/>
  <c r="G64" i="82"/>
  <c r="H64" i="82"/>
  <c r="F65" i="82"/>
  <c r="G65" i="82"/>
  <c r="H65" i="82"/>
  <c r="F66" i="82"/>
  <c r="G66" i="82"/>
  <c r="H66" i="82"/>
  <c r="F67" i="82"/>
  <c r="G67" i="82"/>
  <c r="H67" i="82"/>
  <c r="F68" i="82"/>
  <c r="G68" i="82"/>
  <c r="H68" i="82"/>
  <c r="F69" i="82"/>
  <c r="G69" i="82"/>
  <c r="H69" i="82"/>
  <c r="F70" i="82"/>
  <c r="G70" i="82"/>
  <c r="H70" i="82"/>
  <c r="F71" i="82"/>
  <c r="G71" i="82"/>
  <c r="H71" i="82"/>
  <c r="F72" i="82"/>
  <c r="G72" i="82"/>
  <c r="H72" i="82"/>
  <c r="F73" i="82"/>
  <c r="G73" i="82"/>
  <c r="H73" i="82"/>
  <c r="F74" i="82"/>
  <c r="G74" i="82"/>
  <c r="H74" i="82"/>
  <c r="F75" i="82"/>
  <c r="G75" i="82"/>
  <c r="H75" i="82"/>
  <c r="F76" i="82"/>
  <c r="G76" i="82"/>
  <c r="H76" i="82"/>
  <c r="F77" i="82"/>
  <c r="G77" i="82"/>
  <c r="H77" i="82"/>
  <c r="F78" i="82"/>
  <c r="G78" i="82"/>
  <c r="H78" i="82"/>
  <c r="F79" i="82"/>
  <c r="G79" i="82"/>
  <c r="H79" i="82"/>
  <c r="F80" i="82"/>
  <c r="G80" i="82"/>
  <c r="H80" i="82"/>
  <c r="F81" i="82"/>
  <c r="G81" i="82"/>
  <c r="H81" i="82"/>
  <c r="F82" i="82"/>
  <c r="G82" i="82"/>
  <c r="H82" i="82"/>
  <c r="F83" i="82"/>
  <c r="G83" i="82"/>
  <c r="H83" i="82"/>
  <c r="F84" i="82"/>
  <c r="G84" i="82"/>
  <c r="H84" i="82"/>
  <c r="F85" i="82"/>
  <c r="G85" i="82"/>
  <c r="H85" i="82"/>
  <c r="F86" i="82"/>
  <c r="G86" i="82"/>
  <c r="H86" i="82"/>
  <c r="F87" i="82"/>
  <c r="G87" i="82"/>
  <c r="H87" i="82"/>
  <c r="F88" i="82"/>
  <c r="G88" i="82"/>
  <c r="H88" i="82"/>
  <c r="F89" i="82"/>
  <c r="G89" i="82"/>
  <c r="H89" i="82"/>
  <c r="F90" i="82"/>
  <c r="G90" i="82"/>
  <c r="H90" i="82"/>
  <c r="F91" i="82"/>
  <c r="G91" i="82"/>
  <c r="H91" i="82"/>
  <c r="F92" i="82"/>
  <c r="G92" i="82"/>
  <c r="H92" i="82"/>
  <c r="F93" i="82"/>
  <c r="G93" i="82"/>
  <c r="H93" i="82"/>
  <c r="F94" i="82"/>
  <c r="G94" i="82"/>
  <c r="H94" i="82"/>
  <c r="F95" i="82"/>
  <c r="G95" i="82"/>
  <c r="H95" i="82"/>
  <c r="F96" i="82"/>
  <c r="G96" i="82"/>
  <c r="H96" i="82"/>
  <c r="F97" i="82"/>
  <c r="G97" i="82"/>
  <c r="H97" i="82"/>
  <c r="F98" i="82"/>
  <c r="G98" i="82"/>
  <c r="H98" i="82"/>
  <c r="F99" i="82"/>
  <c r="G99" i="82"/>
  <c r="H99" i="82"/>
  <c r="F100" i="82"/>
  <c r="G100" i="82"/>
  <c r="H100" i="82"/>
  <c r="F101" i="82"/>
  <c r="G101" i="82"/>
  <c r="H101" i="82"/>
  <c r="F102" i="82"/>
  <c r="G102" i="82"/>
  <c r="H102" i="82"/>
  <c r="F103" i="82"/>
  <c r="G103" i="82"/>
  <c r="H103" i="82"/>
  <c r="F104" i="82"/>
  <c r="G104" i="82"/>
  <c r="H104" i="82"/>
  <c r="F105" i="82"/>
  <c r="G105" i="82"/>
  <c r="H105" i="82"/>
  <c r="F106" i="82"/>
  <c r="G106" i="82"/>
  <c r="H106" i="82"/>
  <c r="F107" i="82"/>
  <c r="G107" i="82"/>
  <c r="H107" i="82"/>
  <c r="F108" i="82"/>
  <c r="G108" i="82"/>
  <c r="H108" i="82"/>
  <c r="F109" i="82"/>
  <c r="G109" i="82"/>
  <c r="H109" i="82"/>
  <c r="F110" i="82"/>
  <c r="G110" i="82"/>
  <c r="H110" i="82"/>
  <c r="F111" i="82"/>
  <c r="G111" i="82"/>
  <c r="H111" i="82"/>
  <c r="F112" i="82"/>
  <c r="G112" i="82"/>
  <c r="H112" i="82"/>
  <c r="F113" i="82"/>
  <c r="G113" i="82"/>
  <c r="H113" i="82"/>
  <c r="F114" i="82"/>
  <c r="G114" i="82"/>
  <c r="H114" i="82"/>
  <c r="F115" i="82"/>
  <c r="G115" i="82"/>
  <c r="H115" i="82"/>
  <c r="F116" i="82"/>
  <c r="G116" i="82"/>
  <c r="H116" i="82"/>
  <c r="F117" i="82"/>
  <c r="G117" i="82"/>
  <c r="H117" i="82"/>
  <c r="F118" i="82"/>
  <c r="G118" i="82"/>
  <c r="H118" i="82"/>
  <c r="F119" i="82"/>
  <c r="G119" i="82"/>
  <c r="H119" i="82"/>
  <c r="F120" i="82"/>
  <c r="G120" i="82"/>
  <c r="H120" i="82"/>
  <c r="F121" i="82"/>
  <c r="G121" i="82"/>
  <c r="H121" i="82"/>
  <c r="F122" i="82"/>
  <c r="G122" i="82"/>
  <c r="H122" i="82"/>
  <c r="F123" i="82"/>
  <c r="G123" i="82"/>
  <c r="H123" i="82"/>
  <c r="F124" i="82"/>
  <c r="G124" i="82"/>
  <c r="H124" i="82"/>
  <c r="F125" i="82"/>
  <c r="G125" i="82"/>
  <c r="H125" i="82"/>
  <c r="F126" i="82"/>
  <c r="G126" i="82"/>
  <c r="H126" i="82"/>
  <c r="F127" i="82"/>
  <c r="G127" i="82"/>
  <c r="H127" i="82"/>
  <c r="F128" i="82"/>
  <c r="G128" i="82"/>
  <c r="H128" i="82"/>
  <c r="F129" i="82"/>
  <c r="G129" i="82"/>
  <c r="H129" i="82"/>
  <c r="F130" i="82"/>
  <c r="G130" i="82"/>
  <c r="H130" i="82"/>
  <c r="F131" i="82"/>
  <c r="G131" i="82"/>
  <c r="H131" i="82"/>
  <c r="F132" i="82"/>
  <c r="G132" i="82"/>
  <c r="H132" i="82"/>
  <c r="F133" i="82"/>
  <c r="G133" i="82"/>
  <c r="H133" i="82"/>
  <c r="F134" i="82"/>
  <c r="G134" i="82"/>
  <c r="H134" i="82"/>
  <c r="F135" i="82"/>
  <c r="G135" i="82"/>
  <c r="H135" i="82"/>
  <c r="F136" i="82"/>
  <c r="G136" i="82"/>
  <c r="H136" i="82"/>
  <c r="F137" i="82"/>
  <c r="G137" i="82"/>
  <c r="H137" i="82"/>
  <c r="F138" i="82"/>
  <c r="G138" i="82"/>
  <c r="H138" i="82"/>
  <c r="F139" i="82"/>
  <c r="G139" i="82"/>
  <c r="H139" i="82"/>
  <c r="F140" i="82"/>
  <c r="G140" i="82"/>
  <c r="H140" i="82"/>
  <c r="F141" i="82"/>
  <c r="G141" i="82"/>
  <c r="H141" i="82"/>
  <c r="F142" i="82"/>
  <c r="G142" i="82"/>
  <c r="H142" i="82"/>
  <c r="F143" i="82"/>
  <c r="G143" i="82"/>
  <c r="H143" i="82"/>
  <c r="F144" i="82"/>
  <c r="G144" i="82"/>
  <c r="H144" i="82"/>
  <c r="F145" i="82"/>
  <c r="G145" i="82"/>
  <c r="H145" i="82"/>
  <c r="F146" i="82"/>
  <c r="G146" i="82"/>
  <c r="H146" i="82"/>
  <c r="F147" i="82"/>
  <c r="G147" i="82"/>
  <c r="H147" i="82"/>
  <c r="F148" i="82"/>
  <c r="G148" i="82"/>
  <c r="H148" i="82"/>
  <c r="F149" i="82"/>
  <c r="G149" i="82"/>
  <c r="H149" i="82"/>
  <c r="F150" i="82"/>
  <c r="G150" i="82"/>
  <c r="H150" i="82"/>
  <c r="F151" i="82"/>
  <c r="G151" i="82"/>
  <c r="H151" i="82"/>
  <c r="F152" i="82"/>
  <c r="G152" i="82"/>
  <c r="H152" i="82"/>
  <c r="F153" i="82"/>
  <c r="G153" i="82"/>
  <c r="H153" i="82"/>
  <c r="F154" i="82"/>
  <c r="G154" i="82"/>
  <c r="H154" i="82"/>
  <c r="F155" i="82"/>
  <c r="G155" i="82"/>
  <c r="H155" i="82"/>
  <c r="F156" i="82"/>
  <c r="G156" i="82"/>
  <c r="H156" i="82"/>
  <c r="F157" i="82"/>
  <c r="G157" i="82"/>
  <c r="H157" i="82"/>
  <c r="F158" i="82"/>
  <c r="G158" i="82"/>
  <c r="H158" i="82"/>
  <c r="F159" i="82"/>
  <c r="G159" i="82"/>
  <c r="H159" i="82"/>
  <c r="F160" i="82"/>
  <c r="G160" i="82"/>
  <c r="H160" i="82"/>
  <c r="F161" i="82"/>
  <c r="G161" i="82"/>
  <c r="H161" i="82"/>
  <c r="F162" i="82"/>
  <c r="G162" i="82"/>
  <c r="H162" i="82"/>
  <c r="F163" i="82"/>
  <c r="G163" i="82"/>
  <c r="H163" i="82"/>
  <c r="F164" i="82"/>
  <c r="G164" i="82"/>
  <c r="H164" i="82"/>
  <c r="F165" i="82"/>
  <c r="G165" i="82"/>
  <c r="H165" i="82"/>
  <c r="F166" i="82"/>
  <c r="G166" i="82"/>
  <c r="H166" i="82"/>
  <c r="F167" i="82"/>
  <c r="G167" i="82"/>
  <c r="H167" i="82"/>
  <c r="F168" i="82"/>
  <c r="G168" i="82"/>
  <c r="H168" i="82"/>
  <c r="F169" i="82"/>
  <c r="G169" i="82"/>
  <c r="H169" i="82"/>
  <c r="F170" i="82"/>
  <c r="G170" i="82"/>
  <c r="H170" i="82"/>
  <c r="F171" i="82"/>
  <c r="G171" i="82"/>
  <c r="H171" i="82"/>
  <c r="F172" i="82"/>
  <c r="G172" i="82"/>
  <c r="H172" i="82"/>
  <c r="F173" i="82"/>
  <c r="G173" i="82"/>
  <c r="H173" i="82"/>
  <c r="F174" i="82"/>
  <c r="G174" i="82"/>
  <c r="H174" i="82"/>
  <c r="F175" i="82"/>
  <c r="G175" i="82"/>
  <c r="H175" i="82"/>
  <c r="F176" i="82"/>
  <c r="G176" i="82"/>
  <c r="H176" i="82"/>
  <c r="F177" i="82"/>
  <c r="G177" i="82"/>
  <c r="H177" i="82"/>
  <c r="F178" i="82"/>
  <c r="G178" i="82"/>
  <c r="H178" i="82"/>
  <c r="F179" i="82"/>
  <c r="G179" i="82"/>
  <c r="H179" i="82"/>
  <c r="F180" i="82"/>
  <c r="G180" i="82"/>
  <c r="H180" i="82"/>
  <c r="F181" i="82"/>
  <c r="G181" i="82"/>
  <c r="H181" i="82"/>
  <c r="F182" i="82"/>
  <c r="G182" i="82"/>
  <c r="H182" i="82"/>
  <c r="F183" i="82"/>
  <c r="G183" i="82"/>
  <c r="H183" i="82"/>
  <c r="F184" i="82"/>
  <c r="G184" i="82"/>
  <c r="H184" i="82"/>
  <c r="F185" i="82"/>
  <c r="G185" i="82"/>
  <c r="H185" i="82"/>
  <c r="F186" i="82"/>
  <c r="G186" i="82"/>
  <c r="H186" i="82"/>
  <c r="F187" i="82"/>
  <c r="G187" i="82"/>
  <c r="H187" i="82"/>
  <c r="F188" i="82"/>
  <c r="G188" i="82"/>
  <c r="H188" i="82"/>
  <c r="F189" i="82"/>
  <c r="G189" i="82"/>
  <c r="H189" i="82"/>
  <c r="F190" i="82"/>
  <c r="G190" i="82"/>
  <c r="H190" i="82"/>
  <c r="F191" i="82"/>
  <c r="G191" i="82"/>
  <c r="H191" i="82"/>
  <c r="F192" i="82"/>
  <c r="G192" i="82"/>
  <c r="H192" i="82"/>
  <c r="F193" i="82"/>
  <c r="G193" i="82"/>
  <c r="H193" i="82"/>
  <c r="F194" i="82"/>
  <c r="G194" i="82"/>
  <c r="H194" i="82"/>
  <c r="F195" i="82"/>
  <c r="G195" i="82"/>
  <c r="H195" i="82"/>
  <c r="F196" i="82"/>
  <c r="G196" i="82"/>
  <c r="H196" i="82"/>
  <c r="F197" i="82"/>
  <c r="G197" i="82"/>
  <c r="H197" i="82"/>
  <c r="F198" i="82"/>
  <c r="G198" i="82"/>
  <c r="H198" i="82"/>
  <c r="F199" i="82"/>
  <c r="G199" i="82"/>
  <c r="H199" i="82"/>
  <c r="F200" i="82"/>
  <c r="G200" i="82"/>
  <c r="H200" i="82"/>
  <c r="F201" i="82"/>
  <c r="G201" i="82"/>
  <c r="H201" i="82"/>
  <c r="F202" i="82"/>
  <c r="G202" i="82"/>
  <c r="H202" i="82"/>
  <c r="F203" i="82"/>
  <c r="G203" i="82"/>
  <c r="H203" i="82"/>
  <c r="F204" i="82"/>
  <c r="G204" i="82"/>
  <c r="H204" i="82"/>
  <c r="F205" i="82"/>
  <c r="G205" i="82"/>
  <c r="H205" i="82"/>
  <c r="F206" i="82"/>
  <c r="G206" i="82"/>
  <c r="H206" i="82"/>
  <c r="F207" i="82"/>
  <c r="G207" i="82"/>
  <c r="H207" i="82"/>
  <c r="F208" i="82"/>
  <c r="G208" i="82"/>
  <c r="H208" i="82"/>
  <c r="F209" i="82"/>
  <c r="G209" i="82"/>
  <c r="H209" i="82"/>
  <c r="F210" i="82"/>
  <c r="G210" i="82"/>
  <c r="H210" i="82"/>
  <c r="F211" i="82"/>
  <c r="G211" i="82"/>
  <c r="H211" i="82"/>
  <c r="F212" i="82"/>
  <c r="G212" i="82"/>
  <c r="H212" i="82"/>
  <c r="F213" i="82"/>
  <c r="G213" i="82"/>
  <c r="H213" i="82"/>
  <c r="F214" i="82"/>
  <c r="G214" i="82"/>
  <c r="H214" i="82"/>
  <c r="F215" i="82"/>
  <c r="G215" i="82"/>
  <c r="H215" i="82"/>
  <c r="F216" i="82"/>
  <c r="G216" i="82"/>
  <c r="H216" i="82"/>
  <c r="F217" i="82"/>
  <c r="G217" i="82"/>
  <c r="H217" i="82"/>
  <c r="F218" i="82"/>
  <c r="G218" i="82"/>
  <c r="H218" i="82"/>
  <c r="F219" i="82"/>
  <c r="G219" i="82"/>
  <c r="H219" i="82"/>
  <c r="F220" i="82"/>
  <c r="G220" i="82"/>
  <c r="H220" i="82"/>
  <c r="F221" i="82"/>
  <c r="G221" i="82"/>
  <c r="H221" i="82"/>
  <c r="F222" i="82"/>
  <c r="G222" i="82"/>
  <c r="H222" i="82"/>
  <c r="F223" i="82"/>
  <c r="G223" i="82"/>
  <c r="H223" i="82"/>
  <c r="F224" i="82"/>
  <c r="G224" i="82"/>
  <c r="H224" i="82"/>
  <c r="F225" i="82"/>
  <c r="G225" i="82"/>
  <c r="H225" i="82"/>
  <c r="F226" i="82"/>
  <c r="G226" i="82"/>
  <c r="H226" i="82"/>
  <c r="F227" i="82"/>
  <c r="G227" i="82"/>
  <c r="H227" i="82"/>
  <c r="F228" i="82"/>
  <c r="G228" i="82"/>
  <c r="H228" i="82"/>
  <c r="F229" i="82"/>
  <c r="G229" i="82"/>
  <c r="H229" i="82"/>
  <c r="F230" i="82"/>
  <c r="G230" i="82"/>
  <c r="H230" i="82"/>
  <c r="F231" i="82"/>
  <c r="G231" i="82"/>
  <c r="H231" i="82"/>
  <c r="F232" i="82"/>
  <c r="G232" i="82"/>
  <c r="H232" i="82"/>
  <c r="F233" i="82"/>
  <c r="G233" i="82"/>
  <c r="H233" i="82"/>
  <c r="F234" i="82"/>
  <c r="G234" i="82"/>
  <c r="H234" i="82"/>
  <c r="F235" i="82"/>
  <c r="G235" i="82"/>
  <c r="H235" i="82"/>
  <c r="F236" i="82"/>
  <c r="G236" i="82"/>
  <c r="H236" i="82"/>
  <c r="F237" i="82"/>
  <c r="G237" i="82"/>
  <c r="H237" i="82"/>
  <c r="F238" i="82"/>
  <c r="G238" i="82"/>
  <c r="H238" i="82"/>
  <c r="F239" i="82"/>
  <c r="G239" i="82"/>
  <c r="H239" i="82"/>
  <c r="F240" i="82"/>
  <c r="G240" i="82"/>
  <c r="H240" i="82"/>
  <c r="F241" i="82"/>
  <c r="G241" i="82"/>
  <c r="H241" i="82"/>
  <c r="F242" i="82"/>
  <c r="G242" i="82"/>
  <c r="H242" i="82"/>
  <c r="F243" i="82"/>
  <c r="G243" i="82"/>
  <c r="H243" i="82"/>
  <c r="F244" i="82"/>
  <c r="G244" i="82"/>
  <c r="H244" i="82"/>
  <c r="F245" i="82"/>
  <c r="G245" i="82"/>
  <c r="H245" i="82"/>
  <c r="C24" i="106"/>
  <c r="D24" i="106"/>
  <c r="F24" i="106"/>
  <c r="C26" i="106"/>
  <c r="D26" i="106"/>
  <c r="F26" i="106"/>
  <c r="C28" i="106"/>
  <c r="D28" i="106"/>
  <c r="F28" i="106"/>
  <c r="F30" i="106"/>
  <c r="C32" i="106"/>
  <c r="D32" i="106"/>
  <c r="F32" i="106"/>
  <c r="C34" i="106"/>
  <c r="D34" i="106"/>
  <c r="F34" i="106"/>
  <c r="C36" i="106"/>
  <c r="D36" i="106"/>
  <c r="F36" i="106"/>
  <c r="C39" i="106"/>
  <c r="D39" i="106"/>
  <c r="F39" i="106"/>
  <c r="C41" i="106"/>
  <c r="D41" i="106"/>
  <c r="F41" i="106"/>
  <c r="C43" i="106"/>
  <c r="D43" i="106"/>
  <c r="F43" i="106"/>
  <c r="C38" i="106"/>
  <c r="C46" i="106"/>
  <c r="D46" i="106"/>
  <c r="F25" i="106"/>
  <c r="I25" i="106"/>
  <c r="J25" i="106"/>
  <c r="I26" i="106"/>
  <c r="J26" i="106"/>
  <c r="F27" i="106"/>
  <c r="I27" i="106"/>
  <c r="J27" i="106"/>
  <c r="I28" i="106"/>
  <c r="J28" i="106"/>
  <c r="F29" i="106"/>
  <c r="I29" i="106"/>
  <c r="J29" i="106"/>
  <c r="I30" i="106"/>
  <c r="J30" i="106"/>
  <c r="F31" i="106"/>
  <c r="I31" i="106"/>
  <c r="J31" i="106"/>
  <c r="I32" i="106"/>
  <c r="J32" i="106"/>
  <c r="F33" i="106"/>
  <c r="I33" i="106"/>
  <c r="J33" i="106"/>
  <c r="I34" i="106"/>
  <c r="J34" i="106"/>
  <c r="F35" i="106"/>
  <c r="I35" i="106"/>
  <c r="J35" i="106"/>
  <c r="I36" i="106"/>
  <c r="J36" i="106"/>
  <c r="F37" i="106"/>
  <c r="I37" i="106"/>
  <c r="J37" i="106"/>
  <c r="D38" i="106"/>
  <c r="E38" i="106"/>
  <c r="F38" i="106"/>
  <c r="G38" i="106"/>
  <c r="H38" i="106"/>
  <c r="I38" i="106"/>
  <c r="J38" i="106"/>
  <c r="I39" i="106"/>
  <c r="J39" i="106"/>
  <c r="F40" i="106"/>
  <c r="I40" i="106"/>
  <c r="J40" i="106"/>
  <c r="I41" i="106"/>
  <c r="J41" i="106"/>
  <c r="F42" i="106"/>
  <c r="I42" i="106"/>
  <c r="J42" i="106"/>
  <c r="I43" i="106"/>
  <c r="J43" i="106"/>
  <c r="F44" i="106"/>
  <c r="I44" i="106"/>
  <c r="J44" i="106"/>
  <c r="F45" i="106"/>
  <c r="I45" i="106"/>
  <c r="J45" i="106"/>
  <c r="A35" i="106"/>
  <c r="B29" i="106"/>
  <c r="B27" i="106"/>
  <c r="B5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I24" i="106"/>
  <c r="J24" i="106"/>
  <c r="B13" i="106"/>
  <c r="K2" i="82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38" i="82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K153" i="82"/>
  <c r="K154" i="82"/>
  <c r="K155" i="82"/>
  <c r="K156" i="82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K231" i="82"/>
  <c r="K232" i="82"/>
  <c r="K233" i="82"/>
  <c r="K234" i="82"/>
  <c r="K235" i="82"/>
  <c r="K236" i="82"/>
  <c r="K237" i="82"/>
  <c r="K238" i="82"/>
  <c r="K239" i="82"/>
  <c r="K240" i="82"/>
  <c r="K241" i="82"/>
  <c r="K242" i="82"/>
  <c r="K243" i="82"/>
  <c r="K244" i="82"/>
  <c r="K245" i="82"/>
  <c r="B3" i="104"/>
  <c r="B4" i="104"/>
  <c r="B5" i="104"/>
  <c r="B6" i="104"/>
  <c r="B7" i="104"/>
  <c r="B8" i="104"/>
  <c r="B9" i="104"/>
  <c r="B10" i="104"/>
  <c r="B11" i="104"/>
  <c r="B2" i="104"/>
  <c r="E236" i="82"/>
  <c r="I236" i="82"/>
  <c r="J236" i="82"/>
  <c r="N236" i="82"/>
  <c r="O236" i="82"/>
  <c r="P236" i="82"/>
  <c r="Q236" i="82"/>
  <c r="R236" i="82"/>
  <c r="S236" i="82"/>
  <c r="E237" i="82"/>
  <c r="I237" i="82"/>
  <c r="J237" i="82"/>
  <c r="N237" i="82"/>
  <c r="O237" i="82"/>
  <c r="P237" i="82"/>
  <c r="Q237" i="82"/>
  <c r="R237" i="82"/>
  <c r="S237" i="82"/>
  <c r="E238" i="82"/>
  <c r="I238" i="82"/>
  <c r="J238" i="82"/>
  <c r="N238" i="82"/>
  <c r="O238" i="82"/>
  <c r="P238" i="82"/>
  <c r="Q238" i="82"/>
  <c r="R238" i="82"/>
  <c r="S238" i="82"/>
  <c r="E239" i="82"/>
  <c r="I239" i="82"/>
  <c r="J239" i="82"/>
  <c r="N239" i="82"/>
  <c r="O239" i="82"/>
  <c r="P239" i="82"/>
  <c r="Q239" i="82"/>
  <c r="R239" i="82"/>
  <c r="S239" i="82"/>
  <c r="E240" i="82"/>
  <c r="I240" i="82"/>
  <c r="J240" i="82"/>
  <c r="N240" i="82"/>
  <c r="O240" i="82"/>
  <c r="P240" i="82"/>
  <c r="Q240" i="82"/>
  <c r="R240" i="82"/>
  <c r="S240" i="82"/>
  <c r="E241" i="82"/>
  <c r="I241" i="82"/>
  <c r="J241" i="82"/>
  <c r="N241" i="82"/>
  <c r="O241" i="82"/>
  <c r="P241" i="82"/>
  <c r="Q241" i="82"/>
  <c r="R241" i="82"/>
  <c r="S241" i="82"/>
  <c r="E242" i="82"/>
  <c r="I242" i="82"/>
  <c r="J242" i="82"/>
  <c r="N242" i="82"/>
  <c r="O242" i="82"/>
  <c r="P242" i="82"/>
  <c r="Q242" i="82"/>
  <c r="R242" i="82"/>
  <c r="S242" i="82"/>
  <c r="E243" i="82"/>
  <c r="I243" i="82"/>
  <c r="J243" i="82"/>
  <c r="N243" i="82"/>
  <c r="O243" i="82"/>
  <c r="P243" i="82"/>
  <c r="Q243" i="82"/>
  <c r="R243" i="82"/>
  <c r="S243" i="82"/>
  <c r="E244" i="82"/>
  <c r="I244" i="82"/>
  <c r="J244" i="82"/>
  <c r="N244" i="82"/>
  <c r="O244" i="82"/>
  <c r="P244" i="82"/>
  <c r="Q244" i="82"/>
  <c r="R244" i="82"/>
  <c r="S244" i="82"/>
  <c r="E245" i="82"/>
  <c r="I245" i="82"/>
  <c r="J245" i="82"/>
  <c r="N245" i="82"/>
  <c r="O245" i="82"/>
  <c r="P245" i="82"/>
  <c r="Q245" i="82"/>
  <c r="R245" i="82"/>
  <c r="S245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D13" i="105"/>
  <c r="B5" i="105"/>
  <c r="A13" i="105"/>
  <c r="D16" i="105"/>
  <c r="A16" i="105"/>
  <c r="E225" i="82"/>
  <c r="I225" i="82"/>
  <c r="J225" i="82"/>
  <c r="O225" i="82"/>
  <c r="P225" i="82"/>
  <c r="Q225" i="82"/>
  <c r="R225" i="82"/>
  <c r="E226" i="82"/>
  <c r="I226" i="82"/>
  <c r="J226" i="82"/>
  <c r="O226" i="82"/>
  <c r="P226" i="82"/>
  <c r="Q226" i="82"/>
  <c r="R226" i="82"/>
  <c r="E227" i="82"/>
  <c r="I227" i="82"/>
  <c r="J227" i="82"/>
  <c r="O227" i="82"/>
  <c r="P227" i="82"/>
  <c r="Q227" i="82"/>
  <c r="R227" i="82"/>
  <c r="E228" i="82"/>
  <c r="I228" i="82"/>
  <c r="J228" i="82"/>
  <c r="O228" i="82"/>
  <c r="P228" i="82"/>
  <c r="Q228" i="82"/>
  <c r="R228" i="82"/>
  <c r="E229" i="82"/>
  <c r="I229" i="82"/>
  <c r="J229" i="82"/>
  <c r="O229" i="82"/>
  <c r="P229" i="82"/>
  <c r="Q229" i="82"/>
  <c r="R229" i="82"/>
  <c r="E230" i="82"/>
  <c r="I230" i="82"/>
  <c r="J230" i="82"/>
  <c r="O230" i="82"/>
  <c r="P230" i="82"/>
  <c r="Q230" i="82"/>
  <c r="R230" i="82"/>
  <c r="E231" i="82"/>
  <c r="I231" i="82"/>
  <c r="J231" i="82"/>
  <c r="O231" i="82"/>
  <c r="P231" i="82"/>
  <c r="Q231" i="82"/>
  <c r="R231" i="82"/>
  <c r="E232" i="82"/>
  <c r="I232" i="82"/>
  <c r="J232" i="82"/>
  <c r="O232" i="82"/>
  <c r="P232" i="82"/>
  <c r="Q232" i="82"/>
  <c r="R232" i="82"/>
  <c r="E233" i="82"/>
  <c r="I233" i="82"/>
  <c r="J233" i="82"/>
  <c r="O233" i="82"/>
  <c r="P233" i="82"/>
  <c r="Q233" i="82"/>
  <c r="R233" i="82"/>
  <c r="E234" i="82"/>
  <c r="I234" i="82"/>
  <c r="J234" i="82"/>
  <c r="O234" i="82"/>
  <c r="P234" i="82"/>
  <c r="Q234" i="82"/>
  <c r="R234" i="82"/>
  <c r="E235" i="82"/>
  <c r="I235" i="82"/>
  <c r="J235" i="82"/>
  <c r="O235" i="82"/>
  <c r="P235" i="82"/>
  <c r="Q235" i="82"/>
  <c r="R235" i="82"/>
  <c r="R224" i="82"/>
  <c r="Q224" i="82"/>
  <c r="P224" i="82"/>
  <c r="O224" i="82"/>
  <c r="J224" i="82"/>
  <c r="I224" i="82"/>
  <c r="E224" i="82"/>
  <c r="R223" i="82"/>
  <c r="Q223" i="82"/>
  <c r="P223" i="82"/>
  <c r="O223" i="82"/>
  <c r="J223" i="82"/>
  <c r="I223" i="82"/>
  <c r="E223" i="82"/>
  <c r="R222" i="82"/>
  <c r="Q222" i="82"/>
  <c r="P222" i="82"/>
  <c r="O222" i="82"/>
  <c r="J222" i="82"/>
  <c r="I222" i="82"/>
  <c r="E222" i="82"/>
  <c r="R221" i="82"/>
  <c r="Q221" i="82"/>
  <c r="P221" i="82"/>
  <c r="O221" i="82"/>
  <c r="J221" i="82"/>
  <c r="I221" i="82"/>
  <c r="E221" i="82"/>
  <c r="R220" i="82"/>
  <c r="Q220" i="82"/>
  <c r="P220" i="82"/>
  <c r="O220" i="82"/>
  <c r="J220" i="82"/>
  <c r="I220" i="82"/>
  <c r="E220" i="82"/>
  <c r="R219" i="82"/>
  <c r="Q219" i="82"/>
  <c r="P219" i="82"/>
  <c r="O219" i="82"/>
  <c r="J219" i="82"/>
  <c r="I219" i="82"/>
  <c r="E219" i="82"/>
  <c r="R218" i="82"/>
  <c r="Q218" i="82"/>
  <c r="P218" i="82"/>
  <c r="O218" i="82"/>
  <c r="J218" i="82"/>
  <c r="I218" i="82"/>
  <c r="E218" i="82"/>
  <c r="R217" i="82"/>
  <c r="Q217" i="82"/>
  <c r="P217" i="82"/>
  <c r="O217" i="82"/>
  <c r="J217" i="82"/>
  <c r="I217" i="82"/>
  <c r="E217" i="82"/>
  <c r="R216" i="82"/>
  <c r="Q216" i="82"/>
  <c r="P216" i="82"/>
  <c r="O216" i="82"/>
  <c r="J216" i="82"/>
  <c r="I216" i="82"/>
  <c r="E216" i="82"/>
  <c r="R215" i="82"/>
  <c r="Q215" i="82"/>
  <c r="P215" i="82"/>
  <c r="O215" i="82"/>
  <c r="J215" i="82"/>
  <c r="I215" i="82"/>
  <c r="E215" i="82"/>
  <c r="R214" i="82"/>
  <c r="Q214" i="82"/>
  <c r="P214" i="82"/>
  <c r="O214" i="82"/>
  <c r="J214" i="82"/>
  <c r="I214" i="82"/>
  <c r="E214" i="82"/>
  <c r="R213" i="82"/>
  <c r="Q213" i="82"/>
  <c r="P213" i="82"/>
  <c r="O213" i="82"/>
  <c r="J213" i="82"/>
  <c r="I213" i="82"/>
  <c r="E213" i="82"/>
  <c r="R212" i="82"/>
  <c r="Q212" i="82"/>
  <c r="P212" i="82"/>
  <c r="O212" i="82"/>
  <c r="J212" i="82"/>
  <c r="I212" i="82"/>
  <c r="E212" i="82"/>
  <c r="R211" i="82"/>
  <c r="Q211" i="82"/>
  <c r="P211" i="82"/>
  <c r="O211" i="82"/>
  <c r="J211" i="82"/>
  <c r="I211" i="82"/>
  <c r="E211" i="82"/>
  <c r="R210" i="82"/>
  <c r="Q210" i="82"/>
  <c r="P210" i="82"/>
  <c r="O210" i="82"/>
  <c r="J210" i="82"/>
  <c r="I210" i="82"/>
  <c r="E210" i="82"/>
  <c r="R209" i="82"/>
  <c r="Q209" i="82"/>
  <c r="P209" i="82"/>
  <c r="O209" i="82"/>
  <c r="J209" i="82"/>
  <c r="I209" i="82"/>
  <c r="E209" i="82"/>
  <c r="R208" i="82"/>
  <c r="Q208" i="82"/>
  <c r="P208" i="82"/>
  <c r="O208" i="82"/>
  <c r="J208" i="82"/>
  <c r="I208" i="82"/>
  <c r="E208" i="82"/>
  <c r="R207" i="82"/>
  <c r="Q207" i="82"/>
  <c r="P207" i="82"/>
  <c r="O207" i="82"/>
  <c r="J207" i="82"/>
  <c r="I207" i="82"/>
  <c r="E207" i="82"/>
  <c r="R206" i="82"/>
  <c r="Q206" i="82"/>
  <c r="P206" i="82"/>
  <c r="O206" i="82"/>
  <c r="J206" i="82"/>
  <c r="I206" i="82"/>
  <c r="E206" i="82"/>
  <c r="R205" i="82"/>
  <c r="Q205" i="82"/>
  <c r="P205" i="82"/>
  <c r="O205" i="82"/>
  <c r="J205" i="82"/>
  <c r="I205" i="82"/>
  <c r="E205" i="82"/>
  <c r="R204" i="82"/>
  <c r="Q204" i="82"/>
  <c r="P204" i="82"/>
  <c r="O204" i="82"/>
  <c r="J204" i="82"/>
  <c r="I204" i="82"/>
  <c r="E204" i="82"/>
  <c r="R203" i="82"/>
  <c r="Q203" i="82"/>
  <c r="P203" i="82"/>
  <c r="O203" i="82"/>
  <c r="J203" i="82"/>
  <c r="I203" i="82"/>
  <c r="E203" i="82"/>
  <c r="R202" i="82"/>
  <c r="Q202" i="82"/>
  <c r="P202" i="82"/>
  <c r="O202" i="82"/>
  <c r="J202" i="82"/>
  <c r="I202" i="82"/>
  <c r="E202" i="82"/>
  <c r="R201" i="82"/>
  <c r="Q201" i="82"/>
  <c r="P201" i="82"/>
  <c r="O201" i="82"/>
  <c r="J201" i="82"/>
  <c r="I201" i="82"/>
  <c r="E201" i="82"/>
  <c r="R200" i="82"/>
  <c r="Q200" i="82"/>
  <c r="P200" i="82"/>
  <c r="O200" i="82"/>
  <c r="J200" i="82"/>
  <c r="I200" i="82"/>
  <c r="E200" i="82"/>
  <c r="R199" i="82"/>
  <c r="Q199" i="82"/>
  <c r="P199" i="82"/>
  <c r="O199" i="82"/>
  <c r="J199" i="82"/>
  <c r="I199" i="82"/>
  <c r="E199" i="82"/>
  <c r="R198" i="82"/>
  <c r="Q198" i="82"/>
  <c r="P198" i="82"/>
  <c r="O198" i="82"/>
  <c r="J198" i="82"/>
  <c r="I198" i="82"/>
  <c r="E198" i="82"/>
  <c r="R197" i="82"/>
  <c r="Q197" i="82"/>
  <c r="P197" i="82"/>
  <c r="O197" i="82"/>
  <c r="J197" i="82"/>
  <c r="I197" i="82"/>
  <c r="E197" i="82"/>
  <c r="R196" i="82"/>
  <c r="Q196" i="82"/>
  <c r="P196" i="82"/>
  <c r="O196" i="82"/>
  <c r="J196" i="82"/>
  <c r="I196" i="82"/>
  <c r="E196" i="82"/>
  <c r="R195" i="82"/>
  <c r="Q195" i="82"/>
  <c r="P195" i="82"/>
  <c r="O195" i="82"/>
  <c r="J195" i="82"/>
  <c r="I195" i="82"/>
  <c r="E195" i="82"/>
  <c r="R194" i="82"/>
  <c r="Q194" i="82"/>
  <c r="P194" i="82"/>
  <c r="O194" i="82"/>
  <c r="J194" i="82"/>
  <c r="I194" i="82"/>
  <c r="E194" i="82"/>
  <c r="R193" i="82"/>
  <c r="Q193" i="82"/>
  <c r="P193" i="82"/>
  <c r="O193" i="82"/>
  <c r="J193" i="82"/>
  <c r="I193" i="82"/>
  <c r="E193" i="82"/>
  <c r="R192" i="82"/>
  <c r="Q192" i="82"/>
  <c r="P192" i="82"/>
  <c r="O192" i="82"/>
  <c r="J192" i="82"/>
  <c r="I192" i="82"/>
  <c r="E192" i="82"/>
  <c r="R191" i="82"/>
  <c r="Q191" i="82"/>
  <c r="P191" i="82"/>
  <c r="O191" i="82"/>
  <c r="J191" i="82"/>
  <c r="I191" i="82"/>
  <c r="E191" i="82"/>
  <c r="R190" i="82"/>
  <c r="Q190" i="82"/>
  <c r="P190" i="82"/>
  <c r="O190" i="82"/>
  <c r="J190" i="82"/>
  <c r="I190" i="82"/>
  <c r="E190" i="82"/>
  <c r="R189" i="82"/>
  <c r="Q189" i="82"/>
  <c r="P189" i="82"/>
  <c r="O189" i="82"/>
  <c r="J189" i="82"/>
  <c r="I189" i="82"/>
  <c r="E189" i="82"/>
  <c r="R188" i="82"/>
  <c r="Q188" i="82"/>
  <c r="P188" i="82"/>
  <c r="O188" i="82"/>
  <c r="J188" i="82"/>
  <c r="I188" i="82"/>
  <c r="E188" i="82"/>
  <c r="R187" i="82"/>
  <c r="Q187" i="82"/>
  <c r="P187" i="82"/>
  <c r="O187" i="82"/>
  <c r="J187" i="82"/>
  <c r="I187" i="82"/>
  <c r="E187" i="82"/>
  <c r="R186" i="82"/>
  <c r="Q186" i="82"/>
  <c r="P186" i="82"/>
  <c r="O186" i="82"/>
  <c r="J186" i="82"/>
  <c r="I186" i="82"/>
  <c r="E186" i="82"/>
  <c r="R185" i="82"/>
  <c r="Q185" i="82"/>
  <c r="P185" i="82"/>
  <c r="O185" i="82"/>
  <c r="J185" i="82"/>
  <c r="I185" i="82"/>
  <c r="E185" i="82"/>
  <c r="R184" i="82"/>
  <c r="Q184" i="82"/>
  <c r="P184" i="82"/>
  <c r="O184" i="82"/>
  <c r="J184" i="82"/>
  <c r="I184" i="82"/>
  <c r="E184" i="82"/>
  <c r="R183" i="82"/>
  <c r="Q183" i="82"/>
  <c r="P183" i="82"/>
  <c r="O183" i="82"/>
  <c r="J183" i="82"/>
  <c r="I183" i="82"/>
  <c r="E183" i="82"/>
  <c r="R182" i="82"/>
  <c r="Q182" i="82"/>
  <c r="P182" i="82"/>
  <c r="O182" i="82"/>
  <c r="J182" i="82"/>
  <c r="I182" i="82"/>
  <c r="E182" i="82"/>
  <c r="R181" i="82"/>
  <c r="Q181" i="82"/>
  <c r="P181" i="82"/>
  <c r="O181" i="82"/>
  <c r="J181" i="82"/>
  <c r="I181" i="82"/>
  <c r="E181" i="82"/>
  <c r="R180" i="82"/>
  <c r="Q180" i="82"/>
  <c r="P180" i="82"/>
  <c r="O180" i="82"/>
  <c r="J180" i="82"/>
  <c r="I180" i="82"/>
  <c r="E180" i="82"/>
  <c r="R179" i="82"/>
  <c r="Q179" i="82"/>
  <c r="P179" i="82"/>
  <c r="O179" i="82"/>
  <c r="J179" i="82"/>
  <c r="I179" i="82"/>
  <c r="E179" i="82"/>
  <c r="R178" i="82"/>
  <c r="Q178" i="82"/>
  <c r="P178" i="82"/>
  <c r="O178" i="82"/>
  <c r="J178" i="82"/>
  <c r="I178" i="82"/>
  <c r="E178" i="82"/>
  <c r="R177" i="82"/>
  <c r="Q177" i="82"/>
  <c r="P177" i="82"/>
  <c r="O177" i="82"/>
  <c r="J177" i="82"/>
  <c r="I177" i="82"/>
  <c r="E177" i="82"/>
  <c r="R176" i="82"/>
  <c r="Q176" i="82"/>
  <c r="P176" i="82"/>
  <c r="O176" i="82"/>
  <c r="J176" i="82"/>
  <c r="I176" i="82"/>
  <c r="E176" i="82"/>
  <c r="R175" i="82"/>
  <c r="Q175" i="82"/>
  <c r="P175" i="82"/>
  <c r="O175" i="82"/>
  <c r="J175" i="82"/>
  <c r="I175" i="82"/>
  <c r="E175" i="82"/>
  <c r="R174" i="82"/>
  <c r="Q174" i="82"/>
  <c r="P174" i="82"/>
  <c r="O174" i="82"/>
  <c r="J174" i="82"/>
  <c r="I174" i="82"/>
  <c r="E174" i="82"/>
  <c r="R173" i="82"/>
  <c r="Q173" i="82"/>
  <c r="P173" i="82"/>
  <c r="O173" i="82"/>
  <c r="J173" i="82"/>
  <c r="I173" i="82"/>
  <c r="E173" i="82"/>
  <c r="R172" i="82"/>
  <c r="Q172" i="82"/>
  <c r="P172" i="82"/>
  <c r="O172" i="82"/>
  <c r="J172" i="82"/>
  <c r="I172" i="82"/>
  <c r="E172" i="82"/>
  <c r="R171" i="82"/>
  <c r="Q171" i="82"/>
  <c r="P171" i="82"/>
  <c r="O171" i="82"/>
  <c r="J171" i="82"/>
  <c r="I171" i="82"/>
  <c r="E171" i="82"/>
  <c r="R170" i="82"/>
  <c r="Q170" i="82"/>
  <c r="P170" i="82"/>
  <c r="O170" i="82"/>
  <c r="J170" i="82"/>
  <c r="I170" i="82"/>
  <c r="E170" i="82"/>
  <c r="R169" i="82"/>
  <c r="Q169" i="82"/>
  <c r="P169" i="82"/>
  <c r="O169" i="82"/>
  <c r="J169" i="82"/>
  <c r="I169" i="82"/>
  <c r="E169" i="82"/>
  <c r="R168" i="82"/>
  <c r="Q168" i="82"/>
  <c r="P168" i="82"/>
  <c r="O168" i="82"/>
  <c r="J168" i="82"/>
  <c r="I168" i="82"/>
  <c r="E168" i="82"/>
  <c r="R167" i="82"/>
  <c r="Q167" i="82"/>
  <c r="P167" i="82"/>
  <c r="O167" i="82"/>
  <c r="J167" i="82"/>
  <c r="I167" i="82"/>
  <c r="E167" i="82"/>
  <c r="R166" i="82"/>
  <c r="Q166" i="82"/>
  <c r="P166" i="82"/>
  <c r="O166" i="82"/>
  <c r="J166" i="82"/>
  <c r="I166" i="82"/>
  <c r="E166" i="82"/>
  <c r="R165" i="82"/>
  <c r="Q165" i="82"/>
  <c r="P165" i="82"/>
  <c r="O165" i="82"/>
  <c r="J165" i="82"/>
  <c r="I165" i="82"/>
  <c r="E165" i="82"/>
  <c r="R164" i="82"/>
  <c r="Q164" i="82"/>
  <c r="P164" i="82"/>
  <c r="O164" i="82"/>
  <c r="J164" i="82"/>
  <c r="I164" i="82"/>
  <c r="E164" i="82"/>
  <c r="R163" i="82"/>
  <c r="Q163" i="82"/>
  <c r="P163" i="82"/>
  <c r="O163" i="82"/>
  <c r="J163" i="82"/>
  <c r="I163" i="82"/>
  <c r="E163" i="82"/>
  <c r="R162" i="82"/>
  <c r="Q162" i="82"/>
  <c r="P162" i="82"/>
  <c r="O162" i="82"/>
  <c r="J162" i="82"/>
  <c r="I162" i="82"/>
  <c r="E162" i="82"/>
  <c r="R161" i="82"/>
  <c r="Q161" i="82"/>
  <c r="P161" i="82"/>
  <c r="O161" i="82"/>
  <c r="J161" i="82"/>
  <c r="I161" i="82"/>
  <c r="E161" i="82"/>
  <c r="R160" i="82"/>
  <c r="Q160" i="82"/>
  <c r="P160" i="82"/>
  <c r="O160" i="82"/>
  <c r="J160" i="82"/>
  <c r="I160" i="82"/>
  <c r="E160" i="82"/>
  <c r="R159" i="82"/>
  <c r="Q159" i="82"/>
  <c r="P159" i="82"/>
  <c r="O159" i="82"/>
  <c r="J159" i="82"/>
  <c r="I159" i="82"/>
  <c r="E159" i="82"/>
  <c r="R158" i="82"/>
  <c r="Q158" i="82"/>
  <c r="P158" i="82"/>
  <c r="O158" i="82"/>
  <c r="J158" i="82"/>
  <c r="I158" i="82"/>
  <c r="E158" i="82"/>
  <c r="R157" i="82"/>
  <c r="Q157" i="82"/>
  <c r="P157" i="82"/>
  <c r="O157" i="82"/>
  <c r="J157" i="82"/>
  <c r="I157" i="82"/>
  <c r="E157" i="82"/>
  <c r="R156" i="82"/>
  <c r="Q156" i="82"/>
  <c r="P156" i="82"/>
  <c r="O156" i="82"/>
  <c r="J156" i="82"/>
  <c r="I156" i="82"/>
  <c r="E156" i="82"/>
  <c r="R155" i="82"/>
  <c r="Q155" i="82"/>
  <c r="P155" i="82"/>
  <c r="O155" i="82"/>
  <c r="J155" i="82"/>
  <c r="I155" i="82"/>
  <c r="E155" i="82"/>
  <c r="R154" i="82"/>
  <c r="Q154" i="82"/>
  <c r="P154" i="82"/>
  <c r="O154" i="82"/>
  <c r="J154" i="82"/>
  <c r="I154" i="82"/>
  <c r="E154" i="82"/>
  <c r="R153" i="82"/>
  <c r="Q153" i="82"/>
  <c r="P153" i="82"/>
  <c r="O153" i="82"/>
  <c r="J153" i="82"/>
  <c r="I153" i="82"/>
  <c r="E153" i="82"/>
  <c r="R152" i="82"/>
  <c r="Q152" i="82"/>
  <c r="P152" i="82"/>
  <c r="O152" i="82"/>
  <c r="J152" i="82"/>
  <c r="I152" i="82"/>
  <c r="E152" i="82"/>
  <c r="R151" i="82"/>
  <c r="Q151" i="82"/>
  <c r="P151" i="82"/>
  <c r="O151" i="82"/>
  <c r="J151" i="82"/>
  <c r="I151" i="82"/>
  <c r="E151" i="82"/>
  <c r="R150" i="82"/>
  <c r="Q150" i="82"/>
  <c r="P150" i="82"/>
  <c r="O150" i="82"/>
  <c r="J150" i="82"/>
  <c r="I150" i="82"/>
  <c r="E150" i="82"/>
  <c r="R149" i="82"/>
  <c r="Q149" i="82"/>
  <c r="P149" i="82"/>
  <c r="O149" i="82"/>
  <c r="J149" i="82"/>
  <c r="I149" i="82"/>
  <c r="E149" i="82"/>
  <c r="R148" i="82"/>
  <c r="Q148" i="82"/>
  <c r="P148" i="82"/>
  <c r="O148" i="82"/>
  <c r="J148" i="82"/>
  <c r="I148" i="82"/>
  <c r="E148" i="82"/>
  <c r="R147" i="82"/>
  <c r="Q147" i="82"/>
  <c r="P147" i="82"/>
  <c r="O147" i="82"/>
  <c r="J147" i="82"/>
  <c r="I147" i="82"/>
  <c r="E147" i="82"/>
  <c r="R146" i="82"/>
  <c r="Q146" i="82"/>
  <c r="P146" i="82"/>
  <c r="O146" i="82"/>
  <c r="J146" i="82"/>
  <c r="I146" i="82"/>
  <c r="E146" i="82"/>
  <c r="R145" i="82"/>
  <c r="Q145" i="82"/>
  <c r="P145" i="82"/>
  <c r="O145" i="82"/>
  <c r="J145" i="82"/>
  <c r="I145" i="82"/>
  <c r="E145" i="82"/>
  <c r="R144" i="82"/>
  <c r="Q144" i="82"/>
  <c r="P144" i="82"/>
  <c r="O144" i="82"/>
  <c r="J144" i="82"/>
  <c r="I144" i="82"/>
  <c r="E144" i="82"/>
  <c r="R143" i="82"/>
  <c r="Q143" i="82"/>
  <c r="P143" i="82"/>
  <c r="O143" i="82"/>
  <c r="J143" i="82"/>
  <c r="I143" i="82"/>
  <c r="E143" i="82"/>
  <c r="R142" i="82"/>
  <c r="Q142" i="82"/>
  <c r="P142" i="82"/>
  <c r="O142" i="82"/>
  <c r="J142" i="82"/>
  <c r="I142" i="82"/>
  <c r="E142" i="82"/>
  <c r="R141" i="82"/>
  <c r="Q141" i="82"/>
  <c r="P141" i="82"/>
  <c r="O141" i="82"/>
  <c r="J141" i="82"/>
  <c r="I141" i="82"/>
  <c r="E141" i="82"/>
  <c r="R140" i="82"/>
  <c r="Q140" i="82"/>
  <c r="P140" i="82"/>
  <c r="O140" i="82"/>
  <c r="J140" i="82"/>
  <c r="I140" i="82"/>
  <c r="E140" i="82"/>
  <c r="R139" i="82"/>
  <c r="Q139" i="82"/>
  <c r="P139" i="82"/>
  <c r="O139" i="82"/>
  <c r="J139" i="82"/>
  <c r="I139" i="82"/>
  <c r="E139" i="82"/>
  <c r="R138" i="82"/>
  <c r="Q138" i="82"/>
  <c r="P138" i="82"/>
  <c r="O138" i="82"/>
  <c r="J138" i="82"/>
  <c r="I138" i="82"/>
  <c r="E138" i="82"/>
  <c r="R137" i="82"/>
  <c r="Q137" i="82"/>
  <c r="P137" i="82"/>
  <c r="O137" i="82"/>
  <c r="J137" i="82"/>
  <c r="I137" i="82"/>
  <c r="E137" i="82"/>
  <c r="R136" i="82"/>
  <c r="Q136" i="82"/>
  <c r="P136" i="82"/>
  <c r="O136" i="82"/>
  <c r="J136" i="82"/>
  <c r="I136" i="82"/>
  <c r="E136" i="82"/>
  <c r="R135" i="82"/>
  <c r="Q135" i="82"/>
  <c r="P135" i="82"/>
  <c r="O135" i="82"/>
  <c r="J135" i="82"/>
  <c r="I135" i="82"/>
  <c r="E135" i="82"/>
  <c r="R134" i="82"/>
  <c r="Q134" i="82"/>
  <c r="P134" i="82"/>
  <c r="O134" i="82"/>
  <c r="J134" i="82"/>
  <c r="I134" i="82"/>
  <c r="E134" i="82"/>
  <c r="R133" i="82"/>
  <c r="Q133" i="82"/>
  <c r="P133" i="82"/>
  <c r="O133" i="82"/>
  <c r="J133" i="82"/>
  <c r="I133" i="82"/>
  <c r="E133" i="82"/>
  <c r="R132" i="82"/>
  <c r="Q132" i="82"/>
  <c r="P132" i="82"/>
  <c r="O132" i="82"/>
  <c r="J132" i="82"/>
  <c r="I132" i="82"/>
  <c r="E132" i="82"/>
  <c r="R131" i="82"/>
  <c r="Q131" i="82"/>
  <c r="P131" i="82"/>
  <c r="O131" i="82"/>
  <c r="J131" i="82"/>
  <c r="I131" i="82"/>
  <c r="E131" i="82"/>
  <c r="R130" i="82"/>
  <c r="Q130" i="82"/>
  <c r="P130" i="82"/>
  <c r="O130" i="82"/>
  <c r="J130" i="82"/>
  <c r="I130" i="82"/>
  <c r="E130" i="82"/>
  <c r="R129" i="82"/>
  <c r="Q129" i="82"/>
  <c r="P129" i="82"/>
  <c r="O129" i="82"/>
  <c r="J129" i="82"/>
  <c r="I129" i="82"/>
  <c r="E129" i="82"/>
  <c r="R128" i="82"/>
  <c r="Q128" i="82"/>
  <c r="P128" i="82"/>
  <c r="O128" i="82"/>
  <c r="J128" i="82"/>
  <c r="I128" i="82"/>
  <c r="E128" i="82"/>
  <c r="R127" i="82"/>
  <c r="Q127" i="82"/>
  <c r="P127" i="82"/>
  <c r="O127" i="82"/>
  <c r="J127" i="82"/>
  <c r="I127" i="82"/>
  <c r="E127" i="82"/>
  <c r="R126" i="82"/>
  <c r="Q126" i="82"/>
  <c r="P126" i="82"/>
  <c r="O126" i="82"/>
  <c r="J126" i="82"/>
  <c r="I126" i="82"/>
  <c r="E126" i="82"/>
  <c r="R125" i="82"/>
  <c r="Q125" i="82"/>
  <c r="P125" i="82"/>
  <c r="O125" i="82"/>
  <c r="J125" i="82"/>
  <c r="I125" i="82"/>
  <c r="E125" i="82"/>
  <c r="R124" i="82"/>
  <c r="Q124" i="82"/>
  <c r="P124" i="82"/>
  <c r="O124" i="82"/>
  <c r="J124" i="82"/>
  <c r="I124" i="82"/>
  <c r="E124" i="82"/>
  <c r="R123" i="82"/>
  <c r="Q123" i="82"/>
  <c r="P123" i="82"/>
  <c r="O123" i="82"/>
  <c r="J123" i="82"/>
  <c r="I123" i="82"/>
  <c r="E123" i="82"/>
  <c r="R122" i="82"/>
  <c r="Q122" i="82"/>
  <c r="P122" i="82"/>
  <c r="O122" i="82"/>
  <c r="J122" i="82"/>
  <c r="I122" i="82"/>
  <c r="E122" i="82"/>
  <c r="R121" i="82"/>
  <c r="Q121" i="82"/>
  <c r="P121" i="82"/>
  <c r="O121" i="82"/>
  <c r="J121" i="82"/>
  <c r="I121" i="82"/>
  <c r="E121" i="82"/>
  <c r="R120" i="82"/>
  <c r="Q120" i="82"/>
  <c r="P120" i="82"/>
  <c r="O120" i="82"/>
  <c r="J120" i="82"/>
  <c r="I120" i="82"/>
  <c r="E120" i="82"/>
  <c r="R119" i="82"/>
  <c r="Q119" i="82"/>
  <c r="P119" i="82"/>
  <c r="O119" i="82"/>
  <c r="J119" i="82"/>
  <c r="I119" i="82"/>
  <c r="E119" i="82"/>
  <c r="R118" i="82"/>
  <c r="Q118" i="82"/>
  <c r="P118" i="82"/>
  <c r="O118" i="82"/>
  <c r="J118" i="82"/>
  <c r="I118" i="82"/>
  <c r="E118" i="82"/>
  <c r="R117" i="82"/>
  <c r="Q117" i="82"/>
  <c r="P117" i="82"/>
  <c r="O117" i="82"/>
  <c r="J117" i="82"/>
  <c r="I117" i="82"/>
  <c r="E117" i="82"/>
  <c r="R116" i="82"/>
  <c r="Q116" i="82"/>
  <c r="P116" i="82"/>
  <c r="O116" i="82"/>
  <c r="J116" i="82"/>
  <c r="I116" i="82"/>
  <c r="E116" i="82"/>
  <c r="R115" i="82"/>
  <c r="Q115" i="82"/>
  <c r="P115" i="82"/>
  <c r="O115" i="82"/>
  <c r="J115" i="82"/>
  <c r="I115" i="82"/>
  <c r="E115" i="82"/>
  <c r="R114" i="82"/>
  <c r="Q114" i="82"/>
  <c r="P114" i="82"/>
  <c r="O114" i="82"/>
  <c r="J114" i="82"/>
  <c r="I114" i="82"/>
  <c r="E114" i="82"/>
  <c r="R113" i="82"/>
  <c r="Q113" i="82"/>
  <c r="P113" i="82"/>
  <c r="O113" i="82"/>
  <c r="J113" i="82"/>
  <c r="I113" i="82"/>
  <c r="E113" i="82"/>
  <c r="R112" i="82"/>
  <c r="Q112" i="82"/>
  <c r="P112" i="82"/>
  <c r="O112" i="82"/>
  <c r="J112" i="82"/>
  <c r="I112" i="82"/>
  <c r="E112" i="82"/>
  <c r="R111" i="82"/>
  <c r="Q111" i="82"/>
  <c r="P111" i="82"/>
  <c r="O111" i="82"/>
  <c r="J111" i="82"/>
  <c r="I111" i="82"/>
  <c r="E111" i="82"/>
  <c r="R110" i="82"/>
  <c r="Q110" i="82"/>
  <c r="P110" i="82"/>
  <c r="O110" i="82"/>
  <c r="J110" i="82"/>
  <c r="I110" i="82"/>
  <c r="E110" i="82"/>
  <c r="R109" i="82"/>
  <c r="Q109" i="82"/>
  <c r="P109" i="82"/>
  <c r="O109" i="82"/>
  <c r="J109" i="82"/>
  <c r="I109" i="82"/>
  <c r="E109" i="82"/>
  <c r="R108" i="82"/>
  <c r="Q108" i="82"/>
  <c r="P108" i="82"/>
  <c r="O108" i="82"/>
  <c r="J108" i="82"/>
  <c r="I108" i="82"/>
  <c r="E108" i="82"/>
  <c r="R107" i="82"/>
  <c r="Q107" i="82"/>
  <c r="P107" i="82"/>
  <c r="O107" i="82"/>
  <c r="J107" i="82"/>
  <c r="I107" i="82"/>
  <c r="E107" i="82"/>
  <c r="R106" i="82"/>
  <c r="Q106" i="82"/>
  <c r="P106" i="82"/>
  <c r="O106" i="82"/>
  <c r="J106" i="82"/>
  <c r="I106" i="82"/>
  <c r="E106" i="82"/>
  <c r="R105" i="82"/>
  <c r="Q105" i="82"/>
  <c r="P105" i="82"/>
  <c r="O105" i="82"/>
  <c r="J105" i="82"/>
  <c r="I105" i="82"/>
  <c r="E105" i="82"/>
  <c r="R104" i="82"/>
  <c r="Q104" i="82"/>
  <c r="P104" i="82"/>
  <c r="O104" i="82"/>
  <c r="J104" i="82"/>
  <c r="I104" i="82"/>
  <c r="E104" i="82"/>
  <c r="R103" i="82"/>
  <c r="Q103" i="82"/>
  <c r="P103" i="82"/>
  <c r="O103" i="82"/>
  <c r="J103" i="82"/>
  <c r="I103" i="82"/>
  <c r="E103" i="82"/>
  <c r="R102" i="82"/>
  <c r="Q102" i="82"/>
  <c r="P102" i="82"/>
  <c r="O102" i="82"/>
  <c r="J102" i="82"/>
  <c r="I102" i="82"/>
  <c r="E102" i="82"/>
  <c r="R101" i="82"/>
  <c r="Q101" i="82"/>
  <c r="P101" i="82"/>
  <c r="O101" i="82"/>
  <c r="J101" i="82"/>
  <c r="I101" i="82"/>
  <c r="E101" i="82"/>
  <c r="R100" i="82"/>
  <c r="Q100" i="82"/>
  <c r="P100" i="82"/>
  <c r="O100" i="82"/>
  <c r="J100" i="82"/>
  <c r="I100" i="82"/>
  <c r="E100" i="82"/>
  <c r="R99" i="82"/>
  <c r="Q99" i="82"/>
  <c r="P99" i="82"/>
  <c r="O99" i="82"/>
  <c r="J99" i="82"/>
  <c r="I99" i="82"/>
  <c r="E99" i="82"/>
  <c r="R98" i="82"/>
  <c r="Q98" i="82"/>
  <c r="P98" i="82"/>
  <c r="O98" i="82"/>
  <c r="J98" i="82"/>
  <c r="I98" i="82"/>
  <c r="E98" i="82"/>
  <c r="R97" i="82"/>
  <c r="Q97" i="82"/>
  <c r="P97" i="82"/>
  <c r="O97" i="82"/>
  <c r="J97" i="82"/>
  <c r="I97" i="82"/>
  <c r="E97" i="82"/>
  <c r="R96" i="82"/>
  <c r="Q96" i="82"/>
  <c r="P96" i="82"/>
  <c r="O96" i="82"/>
  <c r="J96" i="82"/>
  <c r="I96" i="82"/>
  <c r="E96" i="82"/>
  <c r="R95" i="82"/>
  <c r="Q95" i="82"/>
  <c r="P95" i="82"/>
  <c r="O95" i="82"/>
  <c r="J95" i="82"/>
  <c r="I95" i="82"/>
  <c r="E95" i="82"/>
  <c r="R94" i="82"/>
  <c r="Q94" i="82"/>
  <c r="P94" i="82"/>
  <c r="O94" i="82"/>
  <c r="J94" i="82"/>
  <c r="I94" i="82"/>
  <c r="E94" i="82"/>
  <c r="R93" i="82"/>
  <c r="Q93" i="82"/>
  <c r="P93" i="82"/>
  <c r="O93" i="82"/>
  <c r="J93" i="82"/>
  <c r="I93" i="82"/>
  <c r="E93" i="82"/>
  <c r="R92" i="82"/>
  <c r="Q92" i="82"/>
  <c r="P92" i="82"/>
  <c r="O92" i="82"/>
  <c r="J92" i="82"/>
  <c r="I92" i="82"/>
  <c r="E92" i="82"/>
  <c r="R91" i="82"/>
  <c r="Q91" i="82"/>
  <c r="P91" i="82"/>
  <c r="O91" i="82"/>
  <c r="J91" i="82"/>
  <c r="I91" i="82"/>
  <c r="E91" i="82"/>
  <c r="R90" i="82"/>
  <c r="Q90" i="82"/>
  <c r="P90" i="82"/>
  <c r="O90" i="82"/>
  <c r="J90" i="82"/>
  <c r="I90" i="82"/>
  <c r="E90" i="82"/>
  <c r="R89" i="82"/>
  <c r="Q89" i="82"/>
  <c r="P89" i="82"/>
  <c r="O89" i="82"/>
  <c r="J89" i="82"/>
  <c r="I89" i="82"/>
  <c r="E89" i="82"/>
  <c r="R88" i="82"/>
  <c r="Q88" i="82"/>
  <c r="P88" i="82"/>
  <c r="O88" i="82"/>
  <c r="J88" i="82"/>
  <c r="I88" i="82"/>
  <c r="E88" i="82"/>
  <c r="R87" i="82"/>
  <c r="Q87" i="82"/>
  <c r="P87" i="82"/>
  <c r="O87" i="82"/>
  <c r="J87" i="82"/>
  <c r="I87" i="82"/>
  <c r="E87" i="82"/>
  <c r="R86" i="82"/>
  <c r="Q86" i="82"/>
  <c r="P86" i="82"/>
  <c r="O86" i="82"/>
  <c r="J86" i="82"/>
  <c r="I86" i="82"/>
  <c r="E86" i="82"/>
  <c r="R85" i="82"/>
  <c r="Q85" i="82"/>
  <c r="P85" i="82"/>
  <c r="O85" i="82"/>
  <c r="J85" i="82"/>
  <c r="I85" i="82"/>
  <c r="E85" i="82"/>
  <c r="R84" i="82"/>
  <c r="Q84" i="82"/>
  <c r="P84" i="82"/>
  <c r="O84" i="82"/>
  <c r="J84" i="82"/>
  <c r="I84" i="82"/>
  <c r="E84" i="82"/>
  <c r="R83" i="82"/>
  <c r="Q83" i="82"/>
  <c r="P83" i="82"/>
  <c r="O83" i="82"/>
  <c r="J83" i="82"/>
  <c r="I83" i="82"/>
  <c r="E83" i="82"/>
  <c r="R82" i="82"/>
  <c r="Q82" i="82"/>
  <c r="P82" i="82"/>
  <c r="O82" i="82"/>
  <c r="J82" i="82"/>
  <c r="I82" i="82"/>
  <c r="E82" i="82"/>
  <c r="R81" i="82"/>
  <c r="Q81" i="82"/>
  <c r="P81" i="82"/>
  <c r="O81" i="82"/>
  <c r="J81" i="82"/>
  <c r="I81" i="82"/>
  <c r="E81" i="82"/>
  <c r="R80" i="82"/>
  <c r="Q80" i="82"/>
  <c r="P80" i="82"/>
  <c r="O80" i="82"/>
  <c r="J80" i="82"/>
  <c r="I80" i="82"/>
  <c r="E80" i="82"/>
  <c r="R79" i="82"/>
  <c r="Q79" i="82"/>
  <c r="P79" i="82"/>
  <c r="O79" i="82"/>
  <c r="J79" i="82"/>
  <c r="I79" i="82"/>
  <c r="E79" i="82"/>
  <c r="R78" i="82"/>
  <c r="Q78" i="82"/>
  <c r="P78" i="82"/>
  <c r="O78" i="82"/>
  <c r="J78" i="82"/>
  <c r="I78" i="82"/>
  <c r="E78" i="82"/>
  <c r="R77" i="82"/>
  <c r="Q77" i="82"/>
  <c r="P77" i="82"/>
  <c r="O77" i="82"/>
  <c r="J77" i="82"/>
  <c r="I77" i="82"/>
  <c r="E77" i="82"/>
  <c r="R76" i="82"/>
  <c r="Q76" i="82"/>
  <c r="P76" i="82"/>
  <c r="O76" i="82"/>
  <c r="J76" i="82"/>
  <c r="I76" i="82"/>
  <c r="E76" i="82"/>
  <c r="R75" i="82"/>
  <c r="Q75" i="82"/>
  <c r="P75" i="82"/>
  <c r="O75" i="82"/>
  <c r="J75" i="82"/>
  <c r="I75" i="82"/>
  <c r="E75" i="82"/>
  <c r="R74" i="82"/>
  <c r="Q74" i="82"/>
  <c r="P74" i="82"/>
  <c r="O74" i="82"/>
  <c r="J74" i="82"/>
  <c r="I74" i="82"/>
  <c r="E74" i="82"/>
  <c r="R73" i="82"/>
  <c r="Q73" i="82"/>
  <c r="P73" i="82"/>
  <c r="O73" i="82"/>
  <c r="J73" i="82"/>
  <c r="I73" i="82"/>
  <c r="E73" i="82"/>
  <c r="R72" i="82"/>
  <c r="Q72" i="82"/>
  <c r="P72" i="82"/>
  <c r="O72" i="82"/>
  <c r="J72" i="82"/>
  <c r="I72" i="82"/>
  <c r="E72" i="82"/>
  <c r="R71" i="82"/>
  <c r="Q71" i="82"/>
  <c r="P71" i="82"/>
  <c r="O71" i="82"/>
  <c r="J71" i="82"/>
  <c r="I71" i="82"/>
  <c r="E71" i="82"/>
  <c r="R70" i="82"/>
  <c r="Q70" i="82"/>
  <c r="P70" i="82"/>
  <c r="O70" i="82"/>
  <c r="J70" i="82"/>
  <c r="I70" i="82"/>
  <c r="E70" i="82"/>
  <c r="R69" i="82"/>
  <c r="Q69" i="82"/>
  <c r="P69" i="82"/>
  <c r="O69" i="82"/>
  <c r="J69" i="82"/>
  <c r="I69" i="82"/>
  <c r="E69" i="82"/>
  <c r="R68" i="82"/>
  <c r="Q68" i="82"/>
  <c r="P68" i="82"/>
  <c r="O68" i="82"/>
  <c r="J68" i="82"/>
  <c r="I68" i="82"/>
  <c r="E68" i="82"/>
  <c r="R67" i="82"/>
  <c r="Q67" i="82"/>
  <c r="P67" i="82"/>
  <c r="O67" i="82"/>
  <c r="J67" i="82"/>
  <c r="I67" i="82"/>
  <c r="E67" i="82"/>
  <c r="R66" i="82"/>
  <c r="Q66" i="82"/>
  <c r="P66" i="82"/>
  <c r="O66" i="82"/>
  <c r="J66" i="82"/>
  <c r="I66" i="82"/>
  <c r="E66" i="82"/>
  <c r="R65" i="82"/>
  <c r="Q65" i="82"/>
  <c r="P65" i="82"/>
  <c r="O65" i="82"/>
  <c r="J65" i="82"/>
  <c r="I65" i="82"/>
  <c r="E65" i="82"/>
  <c r="R64" i="82"/>
  <c r="Q64" i="82"/>
  <c r="P64" i="82"/>
  <c r="O64" i="82"/>
  <c r="J64" i="82"/>
  <c r="I64" i="82"/>
  <c r="E64" i="82"/>
  <c r="R63" i="82"/>
  <c r="Q63" i="82"/>
  <c r="P63" i="82"/>
  <c r="O63" i="82"/>
  <c r="J63" i="82"/>
  <c r="I63" i="82"/>
  <c r="E63" i="82"/>
  <c r="R62" i="82"/>
  <c r="Q62" i="82"/>
  <c r="P62" i="82"/>
  <c r="O62" i="82"/>
  <c r="J62" i="82"/>
  <c r="I62" i="82"/>
  <c r="E62" i="82"/>
  <c r="R61" i="82"/>
  <c r="Q61" i="82"/>
  <c r="P61" i="82"/>
  <c r="O61" i="82"/>
  <c r="J61" i="82"/>
  <c r="I61" i="82"/>
  <c r="E61" i="82"/>
  <c r="R60" i="82"/>
  <c r="Q60" i="82"/>
  <c r="P60" i="82"/>
  <c r="O60" i="82"/>
  <c r="J60" i="82"/>
  <c r="I60" i="82"/>
  <c r="E60" i="82"/>
  <c r="R59" i="82"/>
  <c r="Q59" i="82"/>
  <c r="P59" i="82"/>
  <c r="O59" i="82"/>
  <c r="J59" i="82"/>
  <c r="I59" i="82"/>
  <c r="E59" i="82"/>
  <c r="R58" i="82"/>
  <c r="Q58" i="82"/>
  <c r="P58" i="82"/>
  <c r="O58" i="82"/>
  <c r="J58" i="82"/>
  <c r="I58" i="82"/>
  <c r="E58" i="82"/>
  <c r="R57" i="82"/>
  <c r="Q57" i="82"/>
  <c r="P57" i="82"/>
  <c r="O57" i="82"/>
  <c r="J57" i="82"/>
  <c r="I57" i="82"/>
  <c r="E57" i="82"/>
  <c r="R56" i="82"/>
  <c r="Q56" i="82"/>
  <c r="P56" i="82"/>
  <c r="O56" i="82"/>
  <c r="J56" i="82"/>
  <c r="I56" i="82"/>
  <c r="E56" i="82"/>
  <c r="R55" i="82"/>
  <c r="Q55" i="82"/>
  <c r="P55" i="82"/>
  <c r="O55" i="82"/>
  <c r="J55" i="82"/>
  <c r="I55" i="82"/>
  <c r="E55" i="82"/>
  <c r="R54" i="82"/>
  <c r="Q54" i="82"/>
  <c r="P54" i="82"/>
  <c r="O54" i="82"/>
  <c r="J54" i="82"/>
  <c r="I54" i="82"/>
  <c r="E54" i="82"/>
  <c r="R53" i="82"/>
  <c r="Q53" i="82"/>
  <c r="P53" i="82"/>
  <c r="O53" i="82"/>
  <c r="J53" i="82"/>
  <c r="I53" i="82"/>
  <c r="E53" i="82"/>
  <c r="R52" i="82"/>
  <c r="Q52" i="82"/>
  <c r="P52" i="82"/>
  <c r="O52" i="82"/>
  <c r="J52" i="82"/>
  <c r="I52" i="82"/>
  <c r="E52" i="82"/>
  <c r="R51" i="82"/>
  <c r="Q51" i="82"/>
  <c r="P51" i="82"/>
  <c r="O51" i="82"/>
  <c r="J51" i="82"/>
  <c r="I51" i="82"/>
  <c r="E51" i="82"/>
  <c r="R50" i="82"/>
  <c r="Q50" i="82"/>
  <c r="P50" i="82"/>
  <c r="O50" i="82"/>
  <c r="J50" i="82"/>
  <c r="I50" i="82"/>
  <c r="E50" i="82"/>
  <c r="R49" i="82"/>
  <c r="Q49" i="82"/>
  <c r="P49" i="82"/>
  <c r="O49" i="82"/>
  <c r="J49" i="82"/>
  <c r="I49" i="82"/>
  <c r="E49" i="82"/>
  <c r="R48" i="82"/>
  <c r="Q48" i="82"/>
  <c r="P48" i="82"/>
  <c r="O48" i="82"/>
  <c r="J48" i="82"/>
  <c r="I48" i="82"/>
  <c r="E48" i="82"/>
  <c r="R47" i="82"/>
  <c r="Q47" i="82"/>
  <c r="P47" i="82"/>
  <c r="O47" i="82"/>
  <c r="J47" i="82"/>
  <c r="I47" i="82"/>
  <c r="E47" i="82"/>
  <c r="R46" i="82"/>
  <c r="Q46" i="82"/>
  <c r="P46" i="82"/>
  <c r="O46" i="82"/>
  <c r="J46" i="82"/>
  <c r="I46" i="82"/>
  <c r="E46" i="82"/>
  <c r="R45" i="82"/>
  <c r="Q45" i="82"/>
  <c r="P45" i="82"/>
  <c r="O45" i="82"/>
  <c r="J45" i="82"/>
  <c r="I45" i="82"/>
  <c r="E45" i="82"/>
  <c r="R44" i="82"/>
  <c r="Q44" i="82"/>
  <c r="P44" i="82"/>
  <c r="O44" i="82"/>
  <c r="J44" i="82"/>
  <c r="I44" i="82"/>
  <c r="E44" i="82"/>
  <c r="R43" i="82"/>
  <c r="Q43" i="82"/>
  <c r="P43" i="82"/>
  <c r="O43" i="82"/>
  <c r="J43" i="82"/>
  <c r="I43" i="82"/>
  <c r="E43" i="82"/>
  <c r="R42" i="82"/>
  <c r="Q42" i="82"/>
  <c r="P42" i="82"/>
  <c r="O42" i="82"/>
  <c r="J42" i="82"/>
  <c r="I42" i="82"/>
  <c r="E42" i="82"/>
  <c r="R41" i="82"/>
  <c r="Q41" i="82"/>
  <c r="P41" i="82"/>
  <c r="O41" i="82"/>
  <c r="J41" i="82"/>
  <c r="I41" i="82"/>
  <c r="E41" i="82"/>
  <c r="R40" i="82"/>
  <c r="Q40" i="82"/>
  <c r="P40" i="82"/>
  <c r="O40" i="82"/>
  <c r="J40" i="82"/>
  <c r="I40" i="82"/>
  <c r="E40" i="82"/>
  <c r="R39" i="82"/>
  <c r="Q39" i="82"/>
  <c r="P39" i="82"/>
  <c r="O39" i="82"/>
  <c r="J39" i="82"/>
  <c r="I39" i="82"/>
  <c r="E39" i="82"/>
  <c r="R38" i="82"/>
  <c r="Q38" i="82"/>
  <c r="P38" i="82"/>
  <c r="O38" i="82"/>
  <c r="J38" i="82"/>
  <c r="I38" i="82"/>
  <c r="E38" i="82"/>
  <c r="R37" i="82"/>
  <c r="Q37" i="82"/>
  <c r="P37" i="82"/>
  <c r="O37" i="82"/>
  <c r="J37" i="82"/>
  <c r="I37" i="82"/>
  <c r="E37" i="82"/>
  <c r="R36" i="82"/>
  <c r="Q36" i="82"/>
  <c r="P36" i="82"/>
  <c r="O36" i="82"/>
  <c r="J36" i="82"/>
  <c r="I36" i="82"/>
  <c r="E36" i="82"/>
  <c r="R35" i="82"/>
  <c r="Q35" i="82"/>
  <c r="P35" i="82"/>
  <c r="O35" i="82"/>
  <c r="J35" i="82"/>
  <c r="I35" i="82"/>
  <c r="E35" i="82"/>
  <c r="R34" i="82"/>
  <c r="Q34" i="82"/>
  <c r="P34" i="82"/>
  <c r="O34" i="82"/>
  <c r="J34" i="82"/>
  <c r="I34" i="82"/>
  <c r="E34" i="82"/>
  <c r="R33" i="82"/>
  <c r="Q33" i="82"/>
  <c r="P33" i="82"/>
  <c r="O33" i="82"/>
  <c r="J33" i="82"/>
  <c r="I33" i="82"/>
  <c r="E33" i="82"/>
  <c r="R32" i="82"/>
  <c r="Q32" i="82"/>
  <c r="P32" i="82"/>
  <c r="O32" i="82"/>
  <c r="J32" i="82"/>
  <c r="I32" i="82"/>
  <c r="E32" i="82"/>
  <c r="R31" i="82"/>
  <c r="Q31" i="82"/>
  <c r="P31" i="82"/>
  <c r="O31" i="82"/>
  <c r="J31" i="82"/>
  <c r="I31" i="82"/>
  <c r="E31" i="82"/>
  <c r="R30" i="82"/>
  <c r="Q30" i="82"/>
  <c r="P30" i="82"/>
  <c r="O30" i="82"/>
  <c r="J30" i="82"/>
  <c r="I30" i="82"/>
  <c r="E30" i="82"/>
  <c r="R29" i="82"/>
  <c r="Q29" i="82"/>
  <c r="P29" i="82"/>
  <c r="O29" i="82"/>
  <c r="J29" i="82"/>
  <c r="I29" i="82"/>
  <c r="E29" i="82"/>
  <c r="R28" i="82"/>
  <c r="Q28" i="82"/>
  <c r="P28" i="82"/>
  <c r="O28" i="82"/>
  <c r="J28" i="82"/>
  <c r="I28" i="82"/>
  <c r="E28" i="82"/>
  <c r="R27" i="82"/>
  <c r="Q27" i="82"/>
  <c r="P27" i="82"/>
  <c r="O27" i="82"/>
  <c r="J27" i="82"/>
  <c r="I27" i="82"/>
  <c r="E27" i="82"/>
  <c r="R26" i="82"/>
  <c r="Q26" i="82"/>
  <c r="P26" i="82"/>
  <c r="O26" i="82"/>
  <c r="J26" i="82"/>
  <c r="I26" i="82"/>
  <c r="E26" i="82"/>
  <c r="R25" i="82"/>
  <c r="Q25" i="82"/>
  <c r="P25" i="82"/>
  <c r="O25" i="82"/>
  <c r="J25" i="82"/>
  <c r="I25" i="82"/>
  <c r="E25" i="82"/>
  <c r="R24" i="82"/>
  <c r="Q24" i="82"/>
  <c r="P24" i="82"/>
  <c r="O24" i="82"/>
  <c r="J24" i="82"/>
  <c r="I24" i="82"/>
  <c r="E24" i="82"/>
  <c r="R23" i="82"/>
  <c r="Q23" i="82"/>
  <c r="P23" i="82"/>
  <c r="O23" i="82"/>
  <c r="J23" i="82"/>
  <c r="I23" i="82"/>
  <c r="E23" i="82"/>
  <c r="R22" i="82"/>
  <c r="Q22" i="82"/>
  <c r="P22" i="82"/>
  <c r="O22" i="82"/>
  <c r="J22" i="82"/>
  <c r="I22" i="82"/>
  <c r="E22" i="82"/>
  <c r="R21" i="82"/>
  <c r="Q21" i="82"/>
  <c r="P21" i="82"/>
  <c r="O21" i="82"/>
  <c r="J21" i="82"/>
  <c r="I21" i="82"/>
  <c r="E21" i="82"/>
  <c r="R20" i="82"/>
  <c r="Q20" i="82"/>
  <c r="P20" i="82"/>
  <c r="O20" i="82"/>
  <c r="J20" i="82"/>
  <c r="I20" i="82"/>
  <c r="E20" i="82"/>
  <c r="R19" i="82"/>
  <c r="Q19" i="82"/>
  <c r="P19" i="82"/>
  <c r="O19" i="82"/>
  <c r="J19" i="82"/>
  <c r="I19" i="82"/>
  <c r="E19" i="82"/>
  <c r="R18" i="82"/>
  <c r="Q18" i="82"/>
  <c r="P18" i="82"/>
  <c r="O18" i="82"/>
  <c r="J18" i="82"/>
  <c r="I18" i="82"/>
  <c r="E18" i="82"/>
  <c r="R17" i="82"/>
  <c r="Q17" i="82"/>
  <c r="P17" i="82"/>
  <c r="O17" i="82"/>
  <c r="J17" i="82"/>
  <c r="I17" i="82"/>
  <c r="E17" i="82"/>
  <c r="R16" i="82"/>
  <c r="Q16" i="82"/>
  <c r="P16" i="82"/>
  <c r="O16" i="82"/>
  <c r="J16" i="82"/>
  <c r="I16" i="82"/>
  <c r="E16" i="82"/>
  <c r="R15" i="82"/>
  <c r="Q15" i="82"/>
  <c r="P15" i="82"/>
  <c r="O15" i="82"/>
  <c r="J15" i="82"/>
  <c r="I15" i="82"/>
  <c r="E15" i="82"/>
  <c r="R14" i="82"/>
  <c r="Q14" i="82"/>
  <c r="P14" i="82"/>
  <c r="O14" i="82"/>
  <c r="J14" i="82"/>
  <c r="I14" i="82"/>
  <c r="E14" i="82"/>
  <c r="R13" i="82"/>
  <c r="Q13" i="82"/>
  <c r="P13" i="82"/>
  <c r="O13" i="82"/>
  <c r="J13" i="82"/>
  <c r="I13" i="82"/>
  <c r="E13" i="82"/>
  <c r="R12" i="82"/>
  <c r="Q12" i="82"/>
  <c r="P12" i="82"/>
  <c r="O12" i="82"/>
  <c r="J12" i="82"/>
  <c r="I12" i="82"/>
  <c r="E12" i="82"/>
  <c r="R11" i="82"/>
  <c r="Q11" i="82"/>
  <c r="P11" i="82"/>
  <c r="O11" i="82"/>
  <c r="J11" i="82"/>
  <c r="I11" i="82"/>
  <c r="E11" i="82"/>
  <c r="R10" i="82"/>
  <c r="Q10" i="82"/>
  <c r="P10" i="82"/>
  <c r="O10" i="82"/>
  <c r="J10" i="82"/>
  <c r="I10" i="82"/>
  <c r="E10" i="82"/>
  <c r="R9" i="82"/>
  <c r="Q9" i="82"/>
  <c r="P9" i="82"/>
  <c r="O9" i="82"/>
  <c r="J9" i="82"/>
  <c r="I9" i="82"/>
  <c r="E9" i="82"/>
  <c r="R8" i="82"/>
  <c r="Q8" i="82"/>
  <c r="P8" i="82"/>
  <c r="O8" i="82"/>
  <c r="J8" i="82"/>
  <c r="I8" i="82"/>
  <c r="E8" i="82"/>
  <c r="R7" i="82"/>
  <c r="Q7" i="82"/>
  <c r="P7" i="82"/>
  <c r="O7" i="82"/>
  <c r="J7" i="82"/>
  <c r="I7" i="82"/>
  <c r="E7" i="82"/>
  <c r="R6" i="82"/>
  <c r="Q6" i="82"/>
  <c r="P6" i="82"/>
  <c r="O6" i="82"/>
  <c r="J6" i="82"/>
  <c r="I6" i="82"/>
  <c r="E6" i="82"/>
  <c r="R5" i="82"/>
  <c r="Q5" i="82"/>
  <c r="P5" i="82"/>
  <c r="O5" i="82"/>
  <c r="J5" i="82"/>
  <c r="I5" i="82"/>
  <c r="E5" i="82"/>
  <c r="R4" i="82"/>
  <c r="Q4" i="82"/>
  <c r="P4" i="82"/>
  <c r="O4" i="82"/>
  <c r="J4" i="82"/>
  <c r="I4" i="82"/>
  <c r="E4" i="82"/>
  <c r="R3" i="82"/>
  <c r="Q3" i="82"/>
  <c r="P3" i="82"/>
  <c r="O3" i="82"/>
  <c r="J3" i="82"/>
  <c r="I3" i="82"/>
  <c r="E3" i="82"/>
  <c r="R2" i="82"/>
  <c r="Q2" i="82"/>
  <c r="P2" i="82"/>
  <c r="O2" i="82"/>
  <c r="J2" i="82"/>
  <c r="I2" i="82"/>
  <c r="E2" i="82"/>
  <c r="A7" i="105"/>
  <c r="D7" i="105"/>
  <c r="A10" i="105"/>
  <c r="B13" i="104"/>
  <c r="G10" i="105"/>
  <c r="G7" i="105"/>
  <c r="E10" i="103"/>
  <c r="E9" i="103"/>
  <c r="E8" i="103"/>
  <c r="E4" i="103"/>
  <c r="E2" i="103"/>
  <c r="M2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205" i="82"/>
  <c r="M204" i="82"/>
  <c r="M203" i="82"/>
  <c r="M202" i="82"/>
  <c r="M201" i="82"/>
  <c r="M200" i="82"/>
  <c r="M199" i="82"/>
  <c r="M198" i="82"/>
  <c r="M197" i="82"/>
  <c r="M196" i="82"/>
  <c r="M195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</calcChain>
</file>

<file path=xl/comments1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<sst xmlns="http://schemas.openxmlformats.org/spreadsheetml/2006/main" count="675" uniqueCount="151">
  <si>
    <t>character_id</t>
  </si>
  <si>
    <t>character_id</t>
    <phoneticPr fontId="14"/>
  </si>
  <si>
    <t>weight</t>
    <phoneticPr fontId="1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</si>
  <si>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</si>
  <si>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</si>
  <si>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</si>
  <si>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</si>
  <si>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</si>
  <si>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</si>
  <si>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</si>
  <si>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4"/>
  </si>
  <si>
    <t>bonus_table_no</t>
    <phoneticPr fontId="14"/>
  </si>
  <si>
    <t>weight</t>
    <phoneticPr fontId="14"/>
  </si>
  <si>
    <t>gift_id</t>
    <phoneticPr fontId="14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</si>
  <si>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</si>
  <si>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</si>
  <si>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</si>
  <si>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</si>
  <si>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</si>
  <si>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</si>
  <si>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</si>
  <si>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</si>
  <si>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gift_id</t>
    <phoneticPr fontId="14"/>
  </si>
  <si>
    <t>gift_value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</si>
  <si>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</si>
  <si>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</si>
  <si>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</si>
  <si>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</si>
  <si>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</si>
  <si>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</si>
  <si>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gift_type</t>
    <phoneticPr fontId="14"/>
  </si>
  <si>
    <t>備考</t>
    <rPh sb="0" eb="2">
      <t>ビコウ</t>
    </rPh>
    <phoneticPr fontId="14"/>
  </si>
  <si>
    <t>character_id</t>
    <phoneticPr fontId="14"/>
  </si>
  <si>
    <t>name</t>
    <phoneticPr fontId="14"/>
  </si>
  <si>
    <t>drop_label</t>
    <phoneticPr fontId="14"/>
  </si>
  <si>
    <t>rare</t>
    <phoneticPr fontId="14"/>
  </si>
  <si>
    <t>character_type_id</t>
    <phoneticPr fontId="14"/>
  </si>
  <si>
    <t>character_tribe_id</t>
    <phoneticPr fontId="14"/>
  </si>
  <si>
    <t>unit_level</t>
    <phoneticPr fontId="14"/>
  </si>
  <si>
    <t>weight</t>
    <phoneticPr fontId="14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</si>
  <si>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</si>
  <si>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</si>
  <si>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</si>
  <si>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</si>
  <si>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</si>
  <si>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</si>
  <si>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</si>
  <si>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</si>
  <si>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gacha_bonus_tables</t>
    <phoneticPr fontId="47"/>
  </si>
  <si>
    <t>gifts_tmp_</t>
    <phoneticPr fontId="14"/>
  </si>
  <si>
    <t>gifts_i18n_</t>
    <phoneticPr fontId="14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</si>
  <si>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</si>
  <si>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</si>
  <si>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</si>
  <si>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t>出力flg</t>
    <rPh sb="0" eb="2">
      <t>シュツリョク</t>
    </rPh>
    <phoneticPr fontId="47"/>
  </si>
  <si>
    <t>color</t>
    <phoneticPr fontId="14"/>
  </si>
  <si>
    <t>name</t>
    <phoneticPr fontId="14"/>
  </si>
  <si>
    <t>バグ設定ユニット数</t>
    <rPh sb="2" eb="9">
      <t>セッテイy</t>
    </rPh>
    <phoneticPr fontId="14"/>
  </si>
  <si>
    <t>単発ガチャ</t>
    <rPh sb="0" eb="5">
      <t>タンパt</t>
    </rPh>
    <phoneticPr fontId="14"/>
  </si>
  <si>
    <t>unit_level</t>
    <phoneticPr fontId="14"/>
  </si>
  <si>
    <t>フェス限定キャラ数</t>
    <rPh sb="3" eb="8">
      <t>ゲン</t>
    </rPh>
    <rPh sb="8" eb="9">
      <t>シュt</t>
    </rPh>
    <phoneticPr fontId="14"/>
  </si>
  <si>
    <t>１０連ガチャ</t>
    <rPh sb="2" eb="6">
      <t>レン</t>
    </rPh>
    <phoneticPr fontId="14"/>
  </si>
  <si>
    <t>確定枠</t>
    <rPh sb="0" eb="3">
      <t>カクテ</t>
    </rPh>
    <phoneticPr fontId="14"/>
  </si>
  <si>
    <t>今回のガチャID</t>
    <rPh sb="0" eb="3">
      <t>コンカ</t>
    </rPh>
    <phoneticPr fontId="14"/>
  </si>
  <si>
    <t>other</t>
    <phoneticPr fontId="14"/>
  </si>
  <si>
    <t>総ユニット数</t>
    <rPh sb="0" eb="1">
      <t>ソウ</t>
    </rPh>
    <rPh sb="5" eb="6">
      <t>ス</t>
    </rPh>
    <phoneticPr fontId="14"/>
  </si>
  <si>
    <t>総ユニット数</t>
    <rPh sb="0" eb="6">
      <t>ソウユニッt</t>
    </rPh>
    <phoneticPr fontId="14"/>
  </si>
  <si>
    <t>レベル設定ユニット数</t>
    <rPh sb="3" eb="10">
      <t>セッテイy</t>
    </rPh>
    <phoneticPr fontId="14"/>
  </si>
  <si>
    <t>skip</t>
    <phoneticPr fontId="14"/>
  </si>
  <si>
    <t>レアリティ別確率</t>
    <rPh sb="5" eb="6">
      <t>ベツ</t>
    </rPh>
    <rPh sb="6" eb="8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</si>
  <si>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</si>
  <si>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SSS</t>
    <phoneticPr fontId="14"/>
  </si>
  <si>
    <t>SS</t>
    <phoneticPr fontId="14"/>
  </si>
  <si>
    <t>その他</t>
    <rPh sb="2" eb="3">
      <t>ホカ</t>
    </rPh>
    <phoneticPr fontId="14"/>
  </si>
  <si>
    <t>hogehoge</t>
    <phoneticPr fontId="14"/>
  </si>
  <si>
    <t>ラベル*レアリティ標準確率</t>
    <rPh sb="9" eb="11">
      <t>ヒョウジュン</t>
    </rPh>
    <rPh sb="11" eb="13">
      <t>カクリツ</t>
    </rPh>
    <phoneticPr fontId="14"/>
  </si>
  <si>
    <t>性別</t>
    <rPh sb="0" eb="2">
      <t>セイベツ</t>
    </rPh>
    <phoneticPr fontId="14"/>
  </si>
  <si>
    <t>合計</t>
    <rPh sb="0" eb="2">
      <t>ゴウケイ</t>
    </rPh>
    <phoneticPr fontId="14"/>
  </si>
  <si>
    <t>グループ</t>
    <phoneticPr fontId="14"/>
  </si>
  <si>
    <t>基準確率</t>
    <rPh sb="0" eb="2">
      <t>キジュン</t>
    </rPh>
    <rPh sb="2" eb="4">
      <t>ヒョウジュンカクリツ</t>
    </rPh>
    <phoneticPr fontId="14"/>
  </si>
  <si>
    <t>ピックアップ確率</t>
    <rPh sb="6" eb="8">
      <t>カクリツ</t>
    </rPh>
    <phoneticPr fontId="14"/>
  </si>
  <si>
    <t>残り確率</t>
    <rPh sb="0" eb="1">
      <t>ノコ</t>
    </rPh>
    <rPh sb="2" eb="4">
      <t>カクリツ</t>
    </rPh>
    <phoneticPr fontId="14"/>
  </si>
  <si>
    <t>確率</t>
    <rPh sb="0" eb="2">
      <t>カクリツ</t>
    </rPh>
    <phoneticPr fontId="14"/>
  </si>
  <si>
    <t>所属グループ</t>
    <rPh sb="0" eb="2">
      <t>ショゾク</t>
    </rPh>
    <phoneticPr fontId="14"/>
  </si>
  <si>
    <t>名前</t>
    <rPh sb="0" eb="2">
      <t>ナマエ</t>
    </rPh>
    <phoneticPr fontId="14"/>
  </si>
  <si>
    <t>レアリティ</t>
    <phoneticPr fontId="14"/>
  </si>
  <si>
    <t>ラベル</t>
    <phoneticPr fontId="14"/>
  </si>
  <si>
    <t>PremiumSSS4</t>
    <phoneticPr fontId="14"/>
  </si>
  <si>
    <t>R3</t>
    <phoneticPr fontId="14"/>
  </si>
  <si>
    <t>R4</t>
    <phoneticPr fontId="14"/>
  </si>
  <si>
    <t>R5</t>
    <phoneticPr fontId="14"/>
  </si>
  <si>
    <t>PremiumW</t>
    <phoneticPr fontId="14"/>
  </si>
  <si>
    <t>PremiumN</t>
    <phoneticPr fontId="14"/>
  </si>
  <si>
    <t>PremiumS</t>
    <phoneticPr fontId="14"/>
  </si>
  <si>
    <t>個別確率</t>
    <rPh sb="0" eb="4">
      <t>コベツカクリツ</t>
    </rPh>
    <phoneticPr fontId="14"/>
  </si>
  <si>
    <t>該当数(ピックアップ除く)</t>
    <rPh sb="0" eb="2">
      <t>ガイトウ</t>
    </rPh>
    <rPh sb="2" eb="3">
      <t>スウ</t>
    </rPh>
    <rPh sb="10" eb="11">
      <t>ノゾ</t>
    </rPh>
    <phoneticPr fontId="14"/>
  </si>
  <si>
    <t>個別weight</t>
    <rPh sb="0" eb="2">
      <t>コベツ</t>
    </rPh>
    <phoneticPr fontId="14"/>
  </si>
  <si>
    <t>グループweight</t>
    <phoneticPr fontId="14"/>
  </si>
  <si>
    <t>端数</t>
    <rPh sb="0" eb="2">
      <t>ハスウ</t>
    </rPh>
    <phoneticPr fontId="14"/>
  </si>
  <si>
    <t>確率</t>
    <rPh sb="0" eb="2">
      <t>カクリツ</t>
    </rPh>
    <phoneticPr fontId="14"/>
  </si>
  <si>
    <t>--検算用--</t>
    <rPh sb="3" eb="6">
      <t>ケンザンヨウ</t>
    </rPh>
    <phoneticPr fontId="14"/>
  </si>
  <si>
    <t>端数逆数</t>
    <rPh sb="0" eb="2">
      <t>ハスウ</t>
    </rPh>
    <rPh sb="2" eb="4">
      <t>ギャクスウ</t>
    </rPh>
    <phoneticPr fontId="14"/>
  </si>
  <si>
    <t>テーブルを増やしたい場合</t>
    <rPh sb="5" eb="6">
      <t>フ</t>
    </rPh>
    <rPh sb="10" eb="12">
      <t>バアイ</t>
    </rPh>
    <phoneticPr fontId="1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</si>
  <si>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</si>
  <si>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4"/>
  </si>
  <si>
    <t>３．outputシートで２で作ったtablesを指定する</t>
    <rPh sb="14" eb="15">
      <t>ツク</t>
    </rPh>
    <rPh sb="24" eb="26">
      <t>シテイ</t>
    </rPh>
    <phoneticPr fontId="14"/>
  </si>
  <si>
    <t>テーブルid</t>
    <phoneticPr fontId="14"/>
  </si>
  <si>
    <t>→ピックアップの確率は右のほうにいます</t>
    <rPh sb="8" eb="10">
      <t>カクリツ</t>
    </rPh>
    <rPh sb="11" eb="12">
      <t>ミギ</t>
    </rPh>
    <phoneticPr fontId="14"/>
  </si>
  <si>
    <t>table_no</t>
    <phoneticPr fontId="14"/>
  </si>
  <si>
    <t>table_no</t>
    <phoneticPr fontId="14"/>
  </si>
  <si>
    <t>skill_level</t>
  </si>
  <si>
    <t>level</t>
  </si>
  <si>
    <t>hp_plus</t>
    <phoneticPr fontId="47"/>
  </si>
  <si>
    <t>attack_plus</t>
    <phoneticPr fontId="47"/>
  </si>
  <si>
    <t>heal_plus</t>
    <phoneticPr fontId="47"/>
  </si>
  <si>
    <t>defense_plus</t>
    <phoneticPr fontId="47"/>
  </si>
  <si>
    <t>level</t>
    <phoneticPr fontId="47"/>
  </si>
  <si>
    <t>skill_level</t>
    <phoneticPr fontId="47"/>
  </si>
  <si>
    <t>bug</t>
    <phoneticPr fontId="47"/>
  </si>
  <si>
    <t>ja</t>
    <phoneticPr fontId="14"/>
  </si>
  <si>
    <t>色別確率</t>
    <rPh sb="0" eb="2">
      <t>イロベツ</t>
    </rPh>
    <rPh sb="2" eb="4">
      <t>カクリツ</t>
    </rPh>
    <phoneticPr fontId="14"/>
  </si>
  <si>
    <t>other</t>
    <phoneticPr fontId="14"/>
  </si>
  <si>
    <t>PremiumW3other</t>
    <phoneticPr fontId="14"/>
  </si>
  <si>
    <t>PremiumN3other</t>
    <phoneticPr fontId="14"/>
  </si>
  <si>
    <t>PremiumW4other</t>
    <phoneticPr fontId="14"/>
  </si>
  <si>
    <t>PremiumN4other</t>
    <phoneticPr fontId="14"/>
  </si>
  <si>
    <t>グループ</t>
  </si>
  <si>
    <t>color2</t>
    <phoneticPr fontId="14"/>
  </si>
  <si>
    <t>color</t>
    <phoneticPr fontId="14"/>
  </si>
  <si>
    <t>color2</t>
    <phoneticPr fontId="14"/>
  </si>
  <si>
    <t>blue</t>
    <phoneticPr fontId="14"/>
  </si>
  <si>
    <t>グループ確率</t>
    <rPh sb="4" eb="6">
      <t>カクリツ</t>
    </rPh>
    <phoneticPr fontId="14"/>
  </si>
  <si>
    <t>レアリティ確率</t>
    <rPh sb="5" eb="7">
      <t>カクリツ</t>
    </rPh>
    <phoneticPr fontId="14"/>
  </si>
  <si>
    <t>PremiumS3other</t>
    <phoneticPr fontId="14"/>
  </si>
  <si>
    <t>PremiumSSS5blue</t>
    <phoneticPr fontId="14"/>
  </si>
  <si>
    <t>STEP1</t>
    <phoneticPr fontId="14"/>
  </si>
  <si>
    <t>PremiumS4other</t>
    <phoneticPr fontId="14"/>
  </si>
  <si>
    <t>STEP3:★4以上確定</t>
    <rPh sb="8" eb="10">
      <t>イジョウ</t>
    </rPh>
    <rPh sb="10" eb="12">
      <t>カクテイ</t>
    </rPh>
    <phoneticPr fontId="14"/>
  </si>
  <si>
    <t>STEP3:確定枠</t>
    <rPh sb="6" eb="9">
      <t>カクテイワク</t>
    </rPh>
    <phoneticPr fontId="14"/>
  </si>
  <si>
    <t>←通常枠と青のSSは出現率を揃える</t>
    <rPh sb="1" eb="4">
      <t>ツウジョウワク</t>
    </rPh>
    <rPh sb="5" eb="6">
      <t>アオ</t>
    </rPh>
    <rPh sb="10" eb="13">
      <t>シュツゲンリツ</t>
    </rPh>
    <rPh sb="14" eb="15">
      <t>ソロ</t>
    </rPh>
    <phoneticPr fontId="14"/>
  </si>
  <si>
    <t>STEP4:ノイマン0.8%</t>
    <phoneticPr fontId="14"/>
  </si>
  <si>
    <t>STEP6:ノイマン2.0%</t>
    <phoneticPr fontId="14"/>
  </si>
  <si>
    <t>STEP5:ノイマン1.2%</t>
    <phoneticPr fontId="14"/>
  </si>
  <si>
    <t>tables_1</t>
    <phoneticPr fontId="47"/>
  </si>
  <si>
    <t>tables_3</t>
    <phoneticPr fontId="47"/>
  </si>
  <si>
    <t>tables_2</t>
    <phoneticPr fontId="47"/>
  </si>
  <si>
    <t>tables_4</t>
    <phoneticPr fontId="47"/>
  </si>
  <si>
    <t>tables_5</t>
    <phoneticPr fontId="47"/>
  </si>
  <si>
    <t>tables_6</t>
    <phoneticPr fontId="47"/>
  </si>
  <si>
    <t>old</t>
    <phoneticPr fontId="14"/>
  </si>
  <si>
    <t>old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</si>
</sst>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44">
    <xf numFmtId="0" fontId="0" fillId="0" borderId="0"/>
    <xf numFmtId="0" fontId="13" fillId="0" borderId="0"/>
    <xf numFmtId="0" fontId="17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2" fillId="0" borderId="0"/>
    <xf numFmtId="0" fontId="24" fillId="5" borderId="2" applyNumberFormat="0" applyAlignment="0" applyProtection="0"/>
    <xf numFmtId="0" fontId="25" fillId="6" borderId="0" applyNumberFormat="0" applyBorder="0" applyAlignment="0" applyProtection="0"/>
    <xf numFmtId="0" fontId="26" fillId="7" borderId="3" applyNumberFormat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0" applyNumberFormat="0" applyBorder="0" applyAlignment="0" applyProtection="0"/>
    <xf numFmtId="0" fontId="34" fillId="6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5" borderId="0" applyNumberFormat="0" applyBorder="0" applyAlignment="0" applyProtection="0"/>
    <xf numFmtId="0" fontId="34" fillId="7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4" borderId="0" applyNumberFormat="0" applyBorder="0" applyAlignment="0" applyProtection="0"/>
    <xf numFmtId="0" fontId="35" fillId="6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6" fillId="17" borderId="0" applyNumberFormat="0" applyBorder="0" applyAlignment="0" applyProtection="0"/>
    <xf numFmtId="0" fontId="25" fillId="6" borderId="0" applyNumberFormat="0" applyBorder="0" applyAlignment="0" applyProtection="0"/>
    <xf numFmtId="0" fontId="37" fillId="0" borderId="8" applyNumberFormat="0" applyFill="0" applyAlignment="0" applyProtection="0"/>
    <xf numFmtId="0" fontId="38" fillId="7" borderId="9" applyNumberFormat="0" applyAlignment="0" applyProtection="0"/>
    <xf numFmtId="0" fontId="38" fillId="18" borderId="9" applyNumberFormat="0" applyAlignment="0" applyProtection="0"/>
    <xf numFmtId="0" fontId="26" fillId="6" borderId="3" applyNumberFormat="0" applyAlignment="0" applyProtection="0"/>
    <xf numFmtId="0" fontId="39" fillId="0" borderId="10" applyNumberFormat="0" applyFill="0" applyAlignment="0" applyProtection="0"/>
    <xf numFmtId="0" fontId="40" fillId="18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2" fillId="0" borderId="0" applyFont="0" applyFill="0" applyBorder="0" applyAlignment="0" applyProtection="0">
      <alignment vertical="center"/>
    </xf>
    <xf numFmtId="0" fontId="43" fillId="19" borderId="0" applyNumberFormat="0" applyBorder="0" applyAlignment="0" applyProtection="0"/>
    <xf numFmtId="0" fontId="44" fillId="20" borderId="0" applyNumberFormat="0" applyBorder="0" applyAlignment="0" applyProtection="0"/>
    <xf numFmtId="0" fontId="12" fillId="0" borderId="0"/>
    <xf numFmtId="0" fontId="45" fillId="20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0"/>
    <xf numFmtId="0" fontId="4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96">
    <xf numFmtId="0" fontId="0" fillId="0" borderId="0" xfId="0"/>
    <xf numFmtId="0" fontId="19" fillId="0" borderId="0" xfId="2" applyFont="1" applyAlignment="1">
      <alignment vertical="center"/>
    </xf>
    <xf numFmtId="0" fontId="19" fillId="0" borderId="1" xfId="2" applyFont="1" applyBorder="1" applyAlignment="1">
      <alignment vertical="center"/>
    </xf>
    <xf numFmtId="0" fontId="19" fillId="3" borderId="1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4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3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19" fillId="0" borderId="13" xfId="2" applyFont="1" applyBorder="1" applyAlignment="1">
      <alignment vertical="center"/>
    </xf>
    <xf numFmtId="0" fontId="18" fillId="4" borderId="12" xfId="0" applyFont="1" applyFill="1" applyBorder="1" applyAlignment="1">
      <alignment horizontal="right" vertical="center"/>
    </xf>
    <xf numFmtId="0" fontId="18" fillId="4" borderId="14" xfId="0" applyFont="1" applyFill="1" applyBorder="1" applyAlignment="1">
      <alignment horizontal="right" vertical="center"/>
    </xf>
    <xf numFmtId="0" fontId="19" fillId="0" borderId="15" xfId="2" applyFont="1" applyBorder="1" applyAlignment="1">
      <alignment vertical="center"/>
    </xf>
    <xf numFmtId="0" fontId="0" fillId="4" borderId="1" xfId="0" applyFill="1" applyBorder="1"/>
    <xf numFmtId="0" fontId="19" fillId="2" borderId="1" xfId="2" applyFont="1" applyFill="1" applyBorder="1" applyAlignment="1">
      <alignment horizontal="left" vertical="center"/>
    </xf>
    <xf numFmtId="0" fontId="46" fillId="21" borderId="1" xfId="0" applyFont="1" applyFill="1" applyBorder="1" applyAlignment="1">
      <alignment horizontal="left" vertical="center"/>
    </xf>
    <xf numFmtId="0" fontId="19" fillId="2" borderId="1" xfId="2" applyFont="1" applyFill="1" applyBorder="1" applyAlignment="1">
      <alignment horizontal="center" vertical="center"/>
    </xf>
    <xf numFmtId="0" fontId="21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11" fillId="2" borderId="1" xfId="19" applyFont="1" applyFill="1" applyBorder="1"/>
    <xf numFmtId="0" fontId="12" fillId="2" borderId="1" xfId="19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6" fillId="0" borderId="1" xfId="2978" applyFont="1" applyBorder="1"/>
    <xf numFmtId="0" fontId="21" fillId="22" borderId="1" xfId="0" applyFont="1" applyFill="1" applyBorder="1"/>
    <xf numFmtId="0" fontId="46" fillId="2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4" fillId="0" borderId="1" xfId="3036" applyFont="1" applyBorder="1"/>
    <xf numFmtId="0" fontId="46" fillId="26" borderId="1" xfId="0" applyFont="1" applyFill="1" applyBorder="1" applyAlignment="1">
      <alignment vertical="center"/>
    </xf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0" fillId="0" borderId="1" xfId="0" applyNumberFormat="1" applyFon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0" fontId="0" fillId="0" borderId="1" xfId="0" applyFill="1" applyBorder="1"/>
    <xf numFmtId="10" fontId="0" fillId="3" borderId="1" xfId="0" applyNumberFormat="1" applyFont="1" applyFill="1" applyBorder="1"/>
    <xf numFmtId="177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2" fillId="2" borderId="1" xfId="19" applyFont="1" applyFill="1" applyBorder="1"/>
    <xf numFmtId="0" fontId="2" fillId="4" borderId="1" xfId="2978" applyFont="1" applyFill="1" applyBorder="1"/>
    <xf numFmtId="0" fontId="3" fillId="4" borderId="1" xfId="2978" applyFont="1" applyFill="1" applyBorder="1"/>
    <xf numFmtId="0" fontId="0" fillId="2" borderId="0" xfId="0" applyFill="1"/>
    <xf numFmtId="0" fontId="46" fillId="32" borderId="1" xfId="0" applyFont="1" applyFill="1" applyBorder="1" applyAlignment="1">
      <alignment horizontal="left" vertical="center"/>
    </xf>
    <xf numFmtId="0" fontId="19" fillId="27" borderId="1" xfId="2" applyFont="1" applyFill="1" applyBorder="1" applyAlignment="1">
      <alignment horizontal="left" vertical="center"/>
    </xf>
    <xf numFmtId="9" fontId="0" fillId="0" borderId="0" xfId="0" applyNumberFormat="1" applyBorder="1"/>
    <xf numFmtId="0" fontId="0" fillId="0" borderId="0" xfId="0" applyFill="1" applyBorder="1"/>
    <xf numFmtId="0" fontId="0" fillId="31" borderId="0" xfId="0" applyFill="1" applyBorder="1"/>
    <xf numFmtId="9" fontId="0" fillId="31" borderId="0" xfId="0" applyNumberFormat="1" applyFill="1" applyBorder="1"/>
    <xf numFmtId="10" fontId="0" fillId="0" borderId="0" xfId="0" applyNumberFormat="1" applyFill="1" applyBorder="1"/>
    <xf numFmtId="10" fontId="50" fillId="3" borderId="1" xfId="0" applyNumberFormat="1" applyFont="1" applyFill="1" applyBorder="1"/>
    <xf numFmtId="178" fontId="0" fillId="0" borderId="1" xfId="0" applyNumberFormat="1" applyBorder="1"/>
    <xf numFmtId="178" fontId="0" fillId="4" borderId="1" xfId="0" applyNumberFormat="1" applyFill="1" applyBorder="1"/>
    <xf numFmtId="10" fontId="0" fillId="4" borderId="1" xfId="0" applyNumberFormat="1" applyFill="1" applyBorder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9" fontId="0" fillId="0" borderId="1" xfId="3575" applyFont="1" applyBorder="1"/>
    <xf numFmtId="176" fontId="0" fillId="4" borderId="1" xfId="0" applyNumberFormat="1" applyFont="1" applyFill="1" applyBorder="1"/>
    <xf numFmtId="0" fontId="50" fillId="30" borderId="0" xfId="0" applyFont="1" applyFill="1"/>
    <xf numFmtId="10" fontId="0" fillId="4" borderId="1" xfId="0" applyNumberFormat="1" applyFont="1" applyFill="1" applyBorder="1"/>
    <xf numFmtId="0" fontId="1" fillId="4" borderId="1" xfId="2978" applyFont="1" applyFill="1" applyBorder="1"/>
    <xf numFmtId="0" fontId="1" fillId="0" borderId="1" xfId="3036" applyFont="1" applyBorder="1"/>
  </cellXfs>
  <cellStyles count="364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102</v>
      </c>
    </row>
    <row r="2" spans="1:1">
      <c r="A2" t="s">
        <v>103</v>
      </c>
    </row>
    <row r="3" spans="1:1">
      <c r="A3" t="s">
        <v>104</v>
      </c>
    </row>
    <row r="4" spans="1:1">
      <c r="A4" t="s">
        <v>105</v>
      </c>
    </row>
  </sheetData>
  <phoneticPr fontId="14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0" sqref="D10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54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95" t="s">
        <v>149</v>
      </c>
      <c r="B2" s="20" t="s">
        <v>51</v>
      </c>
      <c r="C2" s="74">
        <v>3081</v>
      </c>
      <c r="D2" s="20" t="s">
        <v>46</v>
      </c>
      <c r="E2" s="18" t="str">
        <f t="shared" ref="E2:E10" si="0">B2&amp;C2&amp;D2</f>
        <v>gacha_select_tables_3081.tmp</v>
      </c>
      <c r="F2" s="94" t="s">
        <v>143</v>
      </c>
      <c r="G2" s="73" t="s">
        <v>109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95" t="s">
        <v>149</v>
      </c>
      <c r="B3" s="20" t="s">
        <v>51</v>
      </c>
      <c r="C3" s="74">
        <v>3083</v>
      </c>
      <c r="D3" s="20" t="s">
        <v>46</v>
      </c>
      <c r="E3" s="18" t="str">
        <f t="shared" si="0"/>
        <v>gacha_select_tables_3083.tmp</v>
      </c>
      <c r="F3" s="94" t="s">
        <v>145</v>
      </c>
      <c r="G3" s="73" t="s">
        <v>109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95" t="s">
        <v>149</v>
      </c>
      <c r="B4" s="28" t="s">
        <v>52</v>
      </c>
      <c r="C4" s="75">
        <v>3083</v>
      </c>
      <c r="D4" s="20" t="s">
        <v>47</v>
      </c>
      <c r="E4" s="18" t="str">
        <f t="shared" si="0"/>
        <v>gacha_settle_tables_3083.tmp</v>
      </c>
      <c r="F4" s="94" t="s">
        <v>144</v>
      </c>
      <c r="G4" s="73" t="s">
        <v>109</v>
      </c>
      <c r="H4" s="23" t="s">
        <v>0</v>
      </c>
      <c r="I4" s="23" t="s">
        <v>3</v>
      </c>
      <c r="J4" s="23" t="s">
        <v>4</v>
      </c>
      <c r="K4" s="23" t="s">
        <v>5</v>
      </c>
      <c r="L4" s="23" t="s">
        <v>6</v>
      </c>
      <c r="M4" s="23" t="s">
        <v>7</v>
      </c>
      <c r="N4" s="23" t="s">
        <v>8</v>
      </c>
      <c r="O4" s="23" t="s">
        <v>9</v>
      </c>
    </row>
    <row r="5" spans="1:21">
      <c r="A5" s="95" t="s">
        <v>149</v>
      </c>
      <c r="B5" s="20" t="s">
        <v>51</v>
      </c>
      <c r="C5" s="74">
        <v>3084</v>
      </c>
      <c r="D5" s="20" t="s">
        <v>46</v>
      </c>
      <c r="E5" s="18" t="str">
        <f t="shared" ref="E5" si="1">B5&amp;C5&amp;D5</f>
        <v>gacha_select_tables_3084.tmp</v>
      </c>
      <c r="F5" s="94" t="s">
        <v>146</v>
      </c>
      <c r="G5" s="73" t="s">
        <v>109</v>
      </c>
      <c r="H5" s="23" t="s">
        <v>0</v>
      </c>
      <c r="I5" s="23" t="s">
        <v>3</v>
      </c>
      <c r="J5" s="23" t="s">
        <v>4</v>
      </c>
      <c r="K5" s="23" t="s">
        <v>5</v>
      </c>
      <c r="L5" s="23" t="s">
        <v>6</v>
      </c>
      <c r="M5" s="23" t="s">
        <v>7</v>
      </c>
      <c r="N5" s="23" t="s">
        <v>8</v>
      </c>
      <c r="O5" s="23" t="s">
        <v>9</v>
      </c>
    </row>
    <row r="6" spans="1:21">
      <c r="A6" s="95" t="s">
        <v>150</v>
      </c>
      <c r="B6" s="20" t="s">
        <v>51</v>
      </c>
      <c r="C6" s="74">
        <v>3085</v>
      </c>
      <c r="D6" s="20" t="s">
        <v>46</v>
      </c>
      <c r="E6" s="18" t="str">
        <f t="shared" ref="E6" si="2">B6&amp;C6&amp;D6</f>
        <v>gacha_select_tables_3085.tmp</v>
      </c>
      <c r="F6" s="94" t="s">
        <v>147</v>
      </c>
      <c r="G6" s="73" t="s">
        <v>109</v>
      </c>
      <c r="H6" s="23" t="s">
        <v>0</v>
      </c>
      <c r="I6" s="23" t="s">
        <v>3</v>
      </c>
      <c r="J6" s="23" t="s">
        <v>4</v>
      </c>
      <c r="K6" s="23" t="s">
        <v>5</v>
      </c>
      <c r="L6" s="23" t="s">
        <v>6</v>
      </c>
      <c r="M6" s="23" t="s">
        <v>7</v>
      </c>
      <c r="N6" s="23" t="s">
        <v>8</v>
      </c>
      <c r="O6" s="23" t="s">
        <v>9</v>
      </c>
    </row>
    <row r="7" spans="1:21">
      <c r="A7" s="95" t="s">
        <v>149</v>
      </c>
      <c r="B7" s="20" t="s">
        <v>51</v>
      </c>
      <c r="C7" s="74">
        <v>3086</v>
      </c>
      <c r="D7" s="20" t="s">
        <v>46</v>
      </c>
      <c r="E7" s="18" t="str">
        <f t="shared" ref="E7" si="3">B7&amp;C7&amp;D7</f>
        <v>gacha_select_tables_3086.tmp</v>
      </c>
      <c r="F7" s="94" t="s">
        <v>148</v>
      </c>
      <c r="G7" s="73" t="s">
        <v>109</v>
      </c>
      <c r="H7" s="23" t="s">
        <v>0</v>
      </c>
      <c r="I7" s="23" t="s">
        <v>3</v>
      </c>
      <c r="J7" s="23" t="s">
        <v>4</v>
      </c>
      <c r="K7" s="23" t="s">
        <v>5</v>
      </c>
      <c r="L7" s="23" t="s">
        <v>6</v>
      </c>
      <c r="M7" s="23" t="s">
        <v>7</v>
      </c>
      <c r="N7" s="23" t="s">
        <v>8</v>
      </c>
      <c r="O7" s="23" t="s">
        <v>9</v>
      </c>
    </row>
    <row r="8" spans="1:21">
      <c r="A8" s="44" t="s">
        <v>68</v>
      </c>
      <c r="B8" s="28" t="s">
        <v>53</v>
      </c>
      <c r="C8" s="46" t="s">
        <v>74</v>
      </c>
      <c r="D8" s="20" t="s">
        <v>47</v>
      </c>
      <c r="E8" s="18" t="str">
        <f t="shared" si="0"/>
        <v>gacha_bonus_tables_hogehoge.tmp</v>
      </c>
      <c r="F8" s="20" t="s">
        <v>48</v>
      </c>
      <c r="G8" s="22" t="s">
        <v>11</v>
      </c>
      <c r="H8" s="24" t="s">
        <v>14</v>
      </c>
      <c r="I8" s="22" t="s">
        <v>12</v>
      </c>
      <c r="J8" s="21"/>
      <c r="K8" s="21"/>
      <c r="L8" s="21"/>
      <c r="M8" s="21"/>
      <c r="N8" s="21"/>
      <c r="O8" s="21"/>
    </row>
    <row r="9" spans="1:21">
      <c r="A9" s="44" t="s">
        <v>68</v>
      </c>
      <c r="B9" s="20" t="s">
        <v>49</v>
      </c>
      <c r="C9" s="46" t="s">
        <v>74</v>
      </c>
      <c r="D9" s="20" t="s">
        <v>47</v>
      </c>
      <c r="E9" s="18" t="str">
        <f t="shared" si="0"/>
        <v>gifts_tmp_hogehoge.tmp</v>
      </c>
      <c r="F9" s="20" t="s">
        <v>48</v>
      </c>
      <c r="G9" s="24" t="s">
        <v>22</v>
      </c>
      <c r="H9" s="25" t="s">
        <v>30</v>
      </c>
      <c r="I9" s="24" t="s">
        <v>23</v>
      </c>
      <c r="J9" s="24" t="s">
        <v>24</v>
      </c>
      <c r="K9" s="24" t="s">
        <v>24</v>
      </c>
      <c r="L9" s="24" t="s">
        <v>25</v>
      </c>
      <c r="M9" s="24" t="s">
        <v>25</v>
      </c>
      <c r="N9" s="24" t="s">
        <v>25</v>
      </c>
      <c r="O9" s="76" t="s">
        <v>7</v>
      </c>
      <c r="P9" s="76" t="s">
        <v>9</v>
      </c>
      <c r="Q9" s="76" t="s">
        <v>6</v>
      </c>
      <c r="R9" s="76" t="s">
        <v>110</v>
      </c>
      <c r="S9" s="76" t="s">
        <v>8</v>
      </c>
      <c r="T9" s="76" t="s">
        <v>111</v>
      </c>
      <c r="U9" s="76" t="s">
        <v>5</v>
      </c>
    </row>
    <row r="10" spans="1:21">
      <c r="A10" s="44" t="s">
        <v>68</v>
      </c>
      <c r="B10" s="20" t="s">
        <v>50</v>
      </c>
      <c r="C10" s="46" t="s">
        <v>74</v>
      </c>
      <c r="D10" s="20" t="s">
        <v>47</v>
      </c>
      <c r="E10" s="18" t="str">
        <f t="shared" si="0"/>
        <v>gifts_i18n_hogehoge.tmp</v>
      </c>
      <c r="F10" s="20" t="s">
        <v>48</v>
      </c>
      <c r="G10" s="24" t="s">
        <v>13</v>
      </c>
      <c r="H10" s="26" t="s">
        <v>26</v>
      </c>
      <c r="I10" s="26" t="s">
        <v>27</v>
      </c>
      <c r="J10" s="26" t="s">
        <v>28</v>
      </c>
      <c r="K10" s="26" t="s">
        <v>29</v>
      </c>
      <c r="L10" s="27"/>
      <c r="M10" s="24"/>
      <c r="N10" s="24"/>
      <c r="O10" s="20"/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U75"/>
  <sheetViews>
    <sheetView topLeftCell="A10" workbookViewId="0">
      <selection activeCell="B43" activeCellId="2" sqref="B39 B41 B43"/>
    </sheetView>
  </sheetViews>
  <sheetFormatPr baseColWidth="12" defaultRowHeight="14" x14ac:dyDescent="0"/>
  <sheetData>
    <row r="1" spans="1:20">
      <c r="A1" s="72" t="s">
        <v>106</v>
      </c>
      <c r="B1" s="92" t="s">
        <v>135</v>
      </c>
      <c r="L1" s="55" t="s">
        <v>80</v>
      </c>
      <c r="M1" s="55"/>
    </row>
    <row r="2" spans="1:20">
      <c r="A2">
        <v>3081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128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0.5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0.45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0.05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0.93599999999999994</v>
      </c>
    </row>
    <row r="14" spans="1:20">
      <c r="A14" s="47" t="s">
        <v>72</v>
      </c>
      <c r="B14" s="86">
        <v>0.06</v>
      </c>
    </row>
    <row r="15" spans="1:20">
      <c r="A15" s="47" t="s">
        <v>71</v>
      </c>
      <c r="B15" s="85">
        <v>4.0000000000000001E-3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0.7</v>
      </c>
    </row>
    <row r="19" spans="1:21">
      <c r="A19" s="62" t="s">
        <v>121</v>
      </c>
      <c r="B19" s="52">
        <v>0.3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0.11666666666666665</v>
      </c>
      <c r="C24" s="71">
        <f>SUMIF(S:S,A24,N:N)</f>
        <v>0</v>
      </c>
      <c r="D24" s="61">
        <f>B24-C24</f>
        <v>0.11666666666666665</v>
      </c>
      <c r="E24">
        <f>COUNTIF(tables_1!B:B,input_1!A24)-COUNTIF(S:S,A24)</f>
        <v>5</v>
      </c>
      <c r="F24" s="66">
        <f>IFERROR(D24/E24,0)</f>
        <v>2.3333333333333331E-2</v>
      </c>
      <c r="G24">
        <f>A$49*D24</f>
        <v>34413750</v>
      </c>
      <c r="H24">
        <f>IFERROR(ROUND(G24/E24,5),0)</f>
        <v>6882750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4.9999999999999996E-2</v>
      </c>
      <c r="C25" s="71">
        <f t="shared" ref="C25:C45" si="0">SUMIF(S:S,A25,N:N)</f>
        <v>0</v>
      </c>
      <c r="D25" s="61">
        <f t="shared" ref="D25:D45" si="1">B25-C25</f>
        <v>4.9999999999999996E-2</v>
      </c>
      <c r="E25">
        <f>COUNTIF(tables_1!B:B,input_1!A25)-COUNTIF(S:S,A25)</f>
        <v>15</v>
      </c>
      <c r="F25" s="66">
        <f t="shared" ref="F25:F45" si="2">IFERROR(D25/E25,0)</f>
        <v>3.3333333333333331E-3</v>
      </c>
      <c r="G25">
        <f t="shared" ref="G25:G45" si="3">A$49*D25</f>
        <v>14748749.999999998</v>
      </c>
      <c r="H25">
        <f t="shared" ref="H25:H45" si="4">IFERROR(ROUND(G25/E25,5),0)</f>
        <v>983250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0.11666666666666665</v>
      </c>
      <c r="C26" s="71">
        <f t="shared" si="0"/>
        <v>0</v>
      </c>
      <c r="D26" s="61">
        <f t="shared" si="1"/>
        <v>0.11666666666666665</v>
      </c>
      <c r="E26">
        <f>COUNTIF(tables_1!B:B,input_1!A26)-COUNTIF(S:S,A26)</f>
        <v>5</v>
      </c>
      <c r="F26" s="66">
        <f t="shared" si="2"/>
        <v>2.3333333333333331E-2</v>
      </c>
      <c r="G26">
        <f t="shared" si="3"/>
        <v>34413750</v>
      </c>
      <c r="H26">
        <f t="shared" si="4"/>
        <v>6882750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4.9999999999999996E-2</v>
      </c>
      <c r="C27" s="71">
        <f t="shared" si="0"/>
        <v>0</v>
      </c>
      <c r="D27" s="61">
        <f t="shared" si="1"/>
        <v>4.9999999999999996E-2</v>
      </c>
      <c r="E27">
        <f>COUNTIF(tables_1!B:B,input_1!A27)-COUNTIF(S:S,A27)</f>
        <v>15</v>
      </c>
      <c r="F27" s="66">
        <f t="shared" si="2"/>
        <v>3.3333333333333331E-3</v>
      </c>
      <c r="G27">
        <f t="shared" si="3"/>
        <v>14748749.999999998</v>
      </c>
      <c r="H27">
        <f t="shared" si="4"/>
        <v>983250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0.11666666666666665</v>
      </c>
      <c r="C28" s="71">
        <f t="shared" si="0"/>
        <v>0</v>
      </c>
      <c r="D28" s="61">
        <f t="shared" si="1"/>
        <v>0.11666666666666665</v>
      </c>
      <c r="E28">
        <f>COUNTIF(tables_1!B:B,input_1!A28)-COUNTIF(S:S,A28)</f>
        <v>9</v>
      </c>
      <c r="F28" s="66">
        <f t="shared" si="2"/>
        <v>1.2962962962962961E-2</v>
      </c>
      <c r="G28">
        <f t="shared" si="3"/>
        <v>34413750</v>
      </c>
      <c r="H28">
        <f t="shared" si="4"/>
        <v>3823750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4.9999999999999996E-2</v>
      </c>
      <c r="C29" s="71">
        <f t="shared" si="0"/>
        <v>0</v>
      </c>
      <c r="D29" s="61">
        <f t="shared" si="1"/>
        <v>4.9999999999999996E-2</v>
      </c>
      <c r="E29">
        <f>COUNTIF(tables_1!B:B,input_1!A29)-COUNTIF(S:S,A29)</f>
        <v>23</v>
      </c>
      <c r="F29" s="66">
        <f t="shared" si="2"/>
        <v>2.1739130434782609E-3</v>
      </c>
      <c r="G29">
        <f t="shared" si="3"/>
        <v>14748749.999999998</v>
      </c>
      <c r="H29">
        <f t="shared" si="4"/>
        <v>641250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56">
        <f>(B6-B36-B37-B38)*B18/3</f>
        <v>9.2399999999999982E-2</v>
      </c>
      <c r="C30" s="71">
        <f t="shared" si="0"/>
        <v>0</v>
      </c>
      <c r="D30" s="61">
        <f t="shared" si="1"/>
        <v>9.2399999999999982E-2</v>
      </c>
      <c r="E30">
        <f>COUNTIF(tables_1!B:B,input_1!A30)-COUNTIF(S:S,A30)</f>
        <v>5</v>
      </c>
      <c r="F30" s="66">
        <f t="shared" si="2"/>
        <v>1.8479999999999996E-2</v>
      </c>
      <c r="G30">
        <f t="shared" si="3"/>
        <v>27255689.999999996</v>
      </c>
      <c r="H30">
        <f t="shared" si="4"/>
        <v>5451138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56">
        <f>B30*3/7</f>
        <v>3.9599999999999989E-2</v>
      </c>
      <c r="C31" s="71">
        <f t="shared" si="0"/>
        <v>0</v>
      </c>
      <c r="D31" s="61">
        <f t="shared" si="1"/>
        <v>3.9599999999999989E-2</v>
      </c>
      <c r="E31">
        <f>COUNTIF(tables_1!B:B,input_1!A31)-COUNTIF(S:S,A31)</f>
        <v>15</v>
      </c>
      <c r="F31" s="66">
        <f t="shared" si="2"/>
        <v>2.6399999999999991E-3</v>
      </c>
      <c r="G31">
        <f t="shared" si="3"/>
        <v>11681009.999999996</v>
      </c>
      <c r="H31">
        <f t="shared" si="4"/>
        <v>778734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9.2399999999999982E-2</v>
      </c>
      <c r="C32" s="71">
        <f t="shared" si="0"/>
        <v>0</v>
      </c>
      <c r="D32" s="61">
        <f t="shared" si="1"/>
        <v>9.2399999999999982E-2</v>
      </c>
      <c r="E32">
        <f>COUNTIF(tables_1!B:B,input_1!A32)-COUNTIF(S:S,A32)</f>
        <v>5</v>
      </c>
      <c r="F32" s="66">
        <f t="shared" si="2"/>
        <v>1.8479999999999996E-2</v>
      </c>
      <c r="G32">
        <f t="shared" si="3"/>
        <v>27255689.999999996</v>
      </c>
      <c r="H32">
        <f t="shared" si="4"/>
        <v>5451138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3.9599999999999989E-2</v>
      </c>
      <c r="C33" s="71">
        <f t="shared" si="0"/>
        <v>0</v>
      </c>
      <c r="D33" s="61">
        <f t="shared" si="1"/>
        <v>3.9599999999999989E-2</v>
      </c>
      <c r="E33">
        <f>COUNTIF(tables_1!B:B,input_1!A33)-COUNTIF(S:S,A33)</f>
        <v>15</v>
      </c>
      <c r="F33" s="66">
        <f t="shared" si="2"/>
        <v>2.6399999999999991E-3</v>
      </c>
      <c r="G33">
        <f t="shared" si="3"/>
        <v>11681009.999999996</v>
      </c>
      <c r="H33">
        <f t="shared" si="4"/>
        <v>778734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9.2399999999999982E-2</v>
      </c>
      <c r="C34" s="71">
        <f t="shared" si="0"/>
        <v>0</v>
      </c>
      <c r="D34" s="61">
        <f t="shared" si="1"/>
        <v>9.2399999999999982E-2</v>
      </c>
      <c r="E34">
        <f>COUNTIF(tables_1!B:B,input_1!A34)-COUNTIF(S:S,A34)</f>
        <v>9</v>
      </c>
      <c r="F34" s="66">
        <f t="shared" si="2"/>
        <v>1.0266666666666665E-2</v>
      </c>
      <c r="G34">
        <f t="shared" si="3"/>
        <v>27255689.999999996</v>
      </c>
      <c r="H34">
        <f t="shared" si="4"/>
        <v>3028410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3.9599999999999989E-2</v>
      </c>
      <c r="C35" s="71">
        <f t="shared" si="0"/>
        <v>0</v>
      </c>
      <c r="D35" s="61">
        <f t="shared" si="1"/>
        <v>3.9599999999999989E-2</v>
      </c>
      <c r="E35">
        <f>COUNTIF(tables_1!B:B,input_1!A35)-COUNTIF(S:S,A35)</f>
        <v>23</v>
      </c>
      <c r="F35" s="66">
        <f t="shared" si="2"/>
        <v>1.7217391304347822E-3</v>
      </c>
      <c r="G35">
        <f t="shared" si="3"/>
        <v>11681009.999999996</v>
      </c>
      <c r="H35">
        <f t="shared" si="4"/>
        <v>507870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f>B14*B6/(B6+B7)/2</f>
        <v>2.7E-2</v>
      </c>
      <c r="C36" s="71">
        <f t="shared" si="0"/>
        <v>0</v>
      </c>
      <c r="D36" s="61">
        <f t="shared" si="1"/>
        <v>2.7E-2</v>
      </c>
      <c r="E36">
        <f>COUNTIF(tables_1!B:B,input_1!A36)-COUNTIF(S:S,A36)</f>
        <v>5</v>
      </c>
      <c r="F36" s="66">
        <f t="shared" si="2"/>
        <v>5.4000000000000003E-3</v>
      </c>
      <c r="G36">
        <f t="shared" si="3"/>
        <v>7964325</v>
      </c>
      <c r="H36">
        <f t="shared" si="4"/>
        <v>1592865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2.7E-2</v>
      </c>
      <c r="C37" s="71">
        <f t="shared" si="0"/>
        <v>0</v>
      </c>
      <c r="D37" s="61">
        <f t="shared" si="1"/>
        <v>2.7E-2</v>
      </c>
      <c r="E37">
        <f>COUNTIF(tables_1!B:B,input_1!A37)-COUNTIF(S:S,A37)</f>
        <v>19</v>
      </c>
      <c r="F37" s="66">
        <f t="shared" si="2"/>
        <v>1.4210526315789472E-3</v>
      </c>
      <c r="G37">
        <f t="shared" si="3"/>
        <v>7964325</v>
      </c>
      <c r="H37">
        <f t="shared" si="4"/>
        <v>419175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COUNTIF(tables_1!B:B,input_1!A38)-COUNTIF(S:S,A38)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1.3999999999999997E-2</v>
      </c>
      <c r="C39" s="71">
        <f t="shared" si="0"/>
        <v>0</v>
      </c>
      <c r="D39" s="61">
        <f t="shared" si="1"/>
        <v>1.3999999999999997E-2</v>
      </c>
      <c r="E39">
        <f>COUNTIF(tables_1!B:B,input_1!A39)-COUNTIF(S:S,A39)</f>
        <v>5</v>
      </c>
      <c r="F39" s="66">
        <f t="shared" si="2"/>
        <v>2.7999999999999995E-3</v>
      </c>
      <c r="G39">
        <f t="shared" si="3"/>
        <v>4129649.9999999991</v>
      </c>
      <c r="H39">
        <f t="shared" si="4"/>
        <v>825930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f>B39*3/7</f>
        <v>5.9999999999999984E-3</v>
      </c>
      <c r="C40" s="71">
        <f t="shared" si="0"/>
        <v>0</v>
      </c>
      <c r="D40" s="61">
        <f t="shared" si="1"/>
        <v>5.9999999999999984E-3</v>
      </c>
      <c r="E40">
        <f>COUNTIF(tables_1!B:B,input_1!A40)-COUNTIF(S:S,A40)</f>
        <v>15</v>
      </c>
      <c r="F40" s="66">
        <f t="shared" si="2"/>
        <v>3.9999999999999991E-4</v>
      </c>
      <c r="G40">
        <f t="shared" si="3"/>
        <v>1769849.9999999995</v>
      </c>
      <c r="H40">
        <f t="shared" si="4"/>
        <v>117990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1.3999999999999997E-2</v>
      </c>
      <c r="C41" s="71">
        <f t="shared" si="0"/>
        <v>0</v>
      </c>
      <c r="D41" s="61">
        <f t="shared" si="1"/>
        <v>1.3999999999999997E-2</v>
      </c>
      <c r="E41">
        <f>COUNTIF(tables_1!B:B,input_1!A41)-COUNTIF(S:S,A41)</f>
        <v>9</v>
      </c>
      <c r="F41" s="66">
        <f t="shared" si="2"/>
        <v>1.5555555555555553E-3</v>
      </c>
      <c r="G41">
        <f t="shared" si="3"/>
        <v>4129649.9999999991</v>
      </c>
      <c r="H41">
        <f t="shared" si="4"/>
        <v>458850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5.9999999999999984E-3</v>
      </c>
      <c r="C42" s="71">
        <f t="shared" si="0"/>
        <v>0</v>
      </c>
      <c r="D42" s="61">
        <f t="shared" si="1"/>
        <v>5.9999999999999984E-3</v>
      </c>
      <c r="E42">
        <f>COUNTIF(tables_1!B:B,input_1!A42)-COUNTIF(S:S,A42)</f>
        <v>23</v>
      </c>
      <c r="F42" s="66">
        <f t="shared" si="2"/>
        <v>2.6086956521739123E-4</v>
      </c>
      <c r="G42">
        <f t="shared" si="3"/>
        <v>1769849.9999999995</v>
      </c>
      <c r="H42">
        <f t="shared" si="4"/>
        <v>76950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3.0000000000000001E-3</v>
      </c>
      <c r="C43" s="71">
        <f t="shared" si="0"/>
        <v>0</v>
      </c>
      <c r="D43" s="61">
        <f t="shared" si="1"/>
        <v>3.0000000000000001E-3</v>
      </c>
      <c r="E43">
        <f>COUNTIF(tables_1!B:B,input_1!A43)-COUNTIF(S:S,A43)</f>
        <v>5</v>
      </c>
      <c r="F43" s="66">
        <f t="shared" si="2"/>
        <v>6.0000000000000006E-4</v>
      </c>
      <c r="G43">
        <f t="shared" si="3"/>
        <v>884925</v>
      </c>
      <c r="H43">
        <f t="shared" si="4"/>
        <v>176985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3.0000000000000001E-3</v>
      </c>
      <c r="C44" s="71">
        <f t="shared" si="0"/>
        <v>0</v>
      </c>
      <c r="D44" s="61">
        <f t="shared" si="1"/>
        <v>3.0000000000000001E-3</v>
      </c>
      <c r="E44">
        <f>COUNTIF(tables_1!B:B,input_1!A44)-COUNTIF(S:S,A44)</f>
        <v>19</v>
      </c>
      <c r="F44" s="66">
        <f t="shared" si="2"/>
        <v>1.5789473684210527E-4</v>
      </c>
      <c r="G44">
        <f t="shared" si="3"/>
        <v>884925</v>
      </c>
      <c r="H44">
        <f t="shared" si="4"/>
        <v>46575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v>4.0000000000000001E-3</v>
      </c>
      <c r="C45" s="71">
        <f t="shared" si="0"/>
        <v>0</v>
      </c>
      <c r="D45" s="61">
        <f t="shared" si="1"/>
        <v>4.0000000000000001E-3</v>
      </c>
      <c r="E45">
        <f>COUNTIF(tables_1!B:B,input_1!A45)-COUNTIF(S:S,A45)</f>
        <v>1</v>
      </c>
      <c r="F45" s="66">
        <f t="shared" si="2"/>
        <v>4.0000000000000001E-3</v>
      </c>
      <c r="G45">
        <f t="shared" si="3"/>
        <v>1179900</v>
      </c>
      <c r="H45">
        <f t="shared" si="4"/>
        <v>1179900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0.99999999999999989</v>
      </c>
      <c r="C46" s="60">
        <f>SUM(C24:C45)</f>
        <v>0</v>
      </c>
      <c r="D46" s="65">
        <f>B46-C46</f>
        <v>0.99999999999999989</v>
      </c>
    </row>
    <row r="48" spans="1:21">
      <c r="A48" t="s">
        <v>96</v>
      </c>
    </row>
    <row r="49" spans="1:6">
      <c r="A49" s="34">
        <f>3000*19*23*3*3*5*5</f>
        <v>294975000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SUMIF(tables_1!B:B,input_1!A53,tables_1!L:L)</f>
        <v>34413750</v>
      </c>
      <c r="C53">
        <f>B53/B$75</f>
        <v>0.11666666666666667</v>
      </c>
      <c r="E53" s="47">
        <v>3</v>
      </c>
      <c r="F53" s="90">
        <f>SUM(C53:C58)</f>
        <v>0.49999999999999994</v>
      </c>
    </row>
    <row r="54" spans="1:6">
      <c r="A54" s="47" t="s">
        <v>122</v>
      </c>
      <c r="B54" s="47">
        <f>SUMIF(tables_1!B:B,input_1!A54,tables_1!L:L)</f>
        <v>14748750</v>
      </c>
      <c r="C54">
        <f t="shared" ref="C54:C74" si="7">B54/B$75</f>
        <v>0.05</v>
      </c>
      <c r="E54" s="47">
        <v>4</v>
      </c>
      <c r="F54" s="90">
        <f>SUM(C59:C67)</f>
        <v>0.45000000000000007</v>
      </c>
    </row>
    <row r="55" spans="1:6">
      <c r="A55" s="47" t="str">
        <f>"PremiumN3"&amp;A$18</f>
        <v>PremiumN3blue</v>
      </c>
      <c r="B55" s="47">
        <f>SUMIF(tables_1!B:B,input_1!A55,tables_1!L:L)</f>
        <v>34413750</v>
      </c>
      <c r="C55">
        <f t="shared" si="7"/>
        <v>0.11666666666666667</v>
      </c>
      <c r="E55" s="47">
        <v>5</v>
      </c>
      <c r="F55" s="90">
        <f>SUM(C68:C74)</f>
        <v>0.05</v>
      </c>
    </row>
    <row r="56" spans="1:6">
      <c r="A56" s="47" t="s">
        <v>123</v>
      </c>
      <c r="B56" s="47">
        <f>SUMIF(tables_1!B:B,input_1!A56,tables_1!L:L)</f>
        <v>14748750</v>
      </c>
      <c r="C56">
        <f t="shared" si="7"/>
        <v>0.05</v>
      </c>
    </row>
    <row r="57" spans="1:6">
      <c r="A57" s="47" t="str">
        <f>"PremiumS3"&amp;A$18</f>
        <v>PremiumS3blue</v>
      </c>
      <c r="B57" s="47">
        <f>SUMIF(tables_1!B:B,input_1!A57,tables_1!L:L)</f>
        <v>34413750</v>
      </c>
      <c r="C57">
        <f t="shared" si="7"/>
        <v>0.11666666666666667</v>
      </c>
      <c r="E57" s="50" t="s">
        <v>70</v>
      </c>
      <c r="F57" s="50"/>
    </row>
    <row r="58" spans="1:6">
      <c r="A58" s="47" t="s">
        <v>133</v>
      </c>
      <c r="B58" s="47">
        <f>SUMIF(tables_1!B:B,input_1!A58,tables_1!L:L)</f>
        <v>14748750</v>
      </c>
      <c r="C58">
        <f t="shared" si="7"/>
        <v>0.05</v>
      </c>
      <c r="E58" s="47" t="s">
        <v>73</v>
      </c>
      <c r="F58" s="52">
        <f>1-F59-F60</f>
        <v>0.93599999999999994</v>
      </c>
    </row>
    <row r="59" spans="1:6">
      <c r="A59" s="47" t="str">
        <f>"PremiumW4"&amp;A$18</f>
        <v>PremiumW4blue</v>
      </c>
      <c r="B59" s="47">
        <f>SUMIF(tables_1!B:B,input_1!A59,tables_1!L:L)</f>
        <v>27255690</v>
      </c>
      <c r="C59">
        <f t="shared" si="7"/>
        <v>9.2399999999999996E-2</v>
      </c>
      <c r="E59" s="47" t="s">
        <v>72</v>
      </c>
      <c r="F59" s="52">
        <f>C65+C66+C73+C72</f>
        <v>6.0000000000000005E-2</v>
      </c>
    </row>
    <row r="60" spans="1:6">
      <c r="A60" s="47" t="s">
        <v>124</v>
      </c>
      <c r="B60" s="47">
        <f>SUMIF(tables_1!B:B,input_1!A60,tables_1!L:L)</f>
        <v>11681010</v>
      </c>
      <c r="C60">
        <f t="shared" si="7"/>
        <v>3.9600000000000003E-2</v>
      </c>
      <c r="E60" s="47" t="s">
        <v>71</v>
      </c>
      <c r="F60" s="52">
        <f>C67+C74</f>
        <v>4.0000000000000001E-3</v>
      </c>
    </row>
    <row r="61" spans="1:6">
      <c r="A61" s="47" t="str">
        <f>"PremiumN4"&amp;A$18</f>
        <v>PremiumN4blue</v>
      </c>
      <c r="B61" s="47">
        <f>SUMIF(tables_1!B:B,input_1!A61,tables_1!L:L)</f>
        <v>27255690</v>
      </c>
      <c r="C61">
        <f t="shared" si="7"/>
        <v>9.2399999999999996E-2</v>
      </c>
    </row>
    <row r="62" spans="1:6">
      <c r="A62" s="47" t="s">
        <v>125</v>
      </c>
      <c r="B62" s="47">
        <f>SUMIF(tables_1!B:B,input_1!A62,tables_1!L:L)</f>
        <v>11681010</v>
      </c>
      <c r="C62">
        <f t="shared" si="7"/>
        <v>3.9600000000000003E-2</v>
      </c>
    </row>
    <row r="63" spans="1:6">
      <c r="A63" s="47" t="str">
        <f>"PremiumS4"&amp;A$18</f>
        <v>PremiumS4blue</v>
      </c>
      <c r="B63" s="47">
        <f>SUMIF(tables_1!B:B,input_1!A63,tables_1!L:L)</f>
        <v>27255690</v>
      </c>
      <c r="C63">
        <f t="shared" si="7"/>
        <v>9.2399999999999996E-2</v>
      </c>
    </row>
    <row r="64" spans="1:6">
      <c r="A64" s="47" t="s">
        <v>136</v>
      </c>
      <c r="B64" s="47">
        <f>SUMIF(tables_1!B:B,input_1!A64,tables_1!L:L)</f>
        <v>11681010</v>
      </c>
      <c r="C64">
        <f t="shared" si="7"/>
        <v>3.9600000000000003E-2</v>
      </c>
    </row>
    <row r="65" spans="1:3">
      <c r="A65" s="47" t="str">
        <f>"PremiumSS4"&amp;A$18</f>
        <v>PremiumSS4blue</v>
      </c>
      <c r="B65" s="47">
        <f>SUMIF(tables_1!B:B,input_1!A65,tables_1!L:L)</f>
        <v>7964325</v>
      </c>
      <c r="C65">
        <f t="shared" si="7"/>
        <v>2.7E-2</v>
      </c>
    </row>
    <row r="66" spans="1:3">
      <c r="A66" s="47" t="str">
        <f>"PremiumSS4"&amp;A$19</f>
        <v>PremiumSS4other</v>
      </c>
      <c r="B66" s="47">
        <f>SUMIF(tables_1!B:B,input_1!A66,tables_1!L:L)</f>
        <v>7964325</v>
      </c>
      <c r="C66">
        <f t="shared" si="7"/>
        <v>2.7E-2</v>
      </c>
    </row>
    <row r="67" spans="1:3">
      <c r="A67" s="47" t="s">
        <v>87</v>
      </c>
      <c r="B67" s="47">
        <f>SUMIF(tables_1!B:B,input_1!A67,tables_1!L:L)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SUMIF(tables_1!B:B,input_1!A68,tables_1!L:L)</f>
        <v>4129650</v>
      </c>
      <c r="C68">
        <f t="shared" si="7"/>
        <v>1.4E-2</v>
      </c>
    </row>
    <row r="69" spans="1:3">
      <c r="A69" s="47" t="str">
        <f>"PremiumN5"&amp;A$19</f>
        <v>PremiumN5other</v>
      </c>
      <c r="B69" s="47">
        <f>SUMIF(tables_1!B:B,input_1!A69,tables_1!L:L)</f>
        <v>1769850</v>
      </c>
      <c r="C69">
        <f t="shared" si="7"/>
        <v>6.0000000000000001E-3</v>
      </c>
    </row>
    <row r="70" spans="1:3">
      <c r="A70" s="47" t="str">
        <f>"PremiumS5"&amp;A$18</f>
        <v>PremiumS5blue</v>
      </c>
      <c r="B70" s="47">
        <f>SUMIF(tables_1!B:B,input_1!A70,tables_1!L:L)</f>
        <v>4129650</v>
      </c>
      <c r="C70">
        <f t="shared" si="7"/>
        <v>1.4E-2</v>
      </c>
    </row>
    <row r="71" spans="1:3">
      <c r="A71" s="47" t="str">
        <f>"PremiumS5"&amp;A$19</f>
        <v>PremiumS5other</v>
      </c>
      <c r="B71" s="47">
        <f>SUMIF(tables_1!B:B,input_1!A71,tables_1!L:L)</f>
        <v>1769850</v>
      </c>
      <c r="C71">
        <f t="shared" si="7"/>
        <v>6.0000000000000001E-3</v>
      </c>
    </row>
    <row r="72" spans="1:3">
      <c r="A72" s="47" t="str">
        <f>"PremiumSS5"&amp;A$18</f>
        <v>PremiumSS5blue</v>
      </c>
      <c r="B72" s="47">
        <f>SUMIF(tables_1!B:B,input_1!A72,tables_1!L:L)</f>
        <v>884925</v>
      </c>
      <c r="C72">
        <f t="shared" si="7"/>
        <v>3.0000000000000001E-3</v>
      </c>
    </row>
    <row r="73" spans="1:3">
      <c r="A73" s="47" t="str">
        <f>"PremiumSS5"&amp;A$19</f>
        <v>PremiumSS5other</v>
      </c>
      <c r="B73" s="47">
        <f>SUMIF(tables_1!B:B,input_1!A73,tables_1!L:L)</f>
        <v>884925</v>
      </c>
      <c r="C73">
        <f t="shared" si="7"/>
        <v>3.0000000000000001E-3</v>
      </c>
    </row>
    <row r="74" spans="1:3">
      <c r="A74" s="13" t="s">
        <v>134</v>
      </c>
      <c r="B74" s="47">
        <f>SUMIF(tables_1!B:B,input_1!A74,tables_1!L:L)</f>
        <v>1179900</v>
      </c>
      <c r="C74">
        <f t="shared" si="7"/>
        <v>4.0000000000000001E-3</v>
      </c>
    </row>
    <row r="75" spans="1:3">
      <c r="A75" t="s">
        <v>77</v>
      </c>
      <c r="B75">
        <f>SUM(B53:B74)</f>
        <v>294975000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170" activePane="bottomLeft" state="frozen"/>
      <selection activeCell="M24" sqref="M24"/>
      <selection pane="bottomLeft" activeCell="H180" sqref="H180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99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input_1!A$2</f>
        <v>3081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IFERROR(VLOOKUP(D2,input_1!L:T,9,FALSE),VLOOKUP(tables_1!B2,input_1!A:H,8,FALSE))</f>
        <v>983250</v>
      </c>
      <c r="M2" s="69">
        <f>L2/SUM(L:L)</f>
        <v>3.3333333333333335E-3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input_1!A$2</f>
        <v>3081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IFERROR(VLOOKUP(D3,input_1!L:T,9,FALSE),VLOOKUP(tables_1!B3,input_1!A:H,8,FALSE))</f>
        <v>778734</v>
      </c>
      <c r="M3" s="69">
        <f t="shared" ref="M3:M66" si="2">L3/SUM(L:L)</f>
        <v>2.64E-3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input_1!A$2</f>
        <v>3081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IFERROR(VLOOKUP(D4,input_1!L:T,9,FALSE),VLOOKUP(tables_1!B4,input_1!A:H,8,FALSE))</f>
        <v>983250</v>
      </c>
      <c r="M4" s="69">
        <f t="shared" si="2"/>
        <v>3.3333333333333335E-3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input_1!A$2</f>
        <v>3081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IFERROR(VLOOKUP(D5,input_1!L:T,9,FALSE),VLOOKUP(tables_1!B5,input_1!A:H,8,FALSE))</f>
        <v>778734</v>
      </c>
      <c r="M5" s="69">
        <f t="shared" si="2"/>
        <v>2.64E-3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input_1!A$2</f>
        <v>3081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IFERROR(VLOOKUP(D6,input_1!L:T,9,FALSE),VLOOKUP(tables_1!B6,input_1!A:H,8,FALSE))</f>
        <v>6882750</v>
      </c>
      <c r="M6" s="69">
        <f t="shared" si="2"/>
        <v>2.3333333333333334E-2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input_1!A$2</f>
        <v>3081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IFERROR(VLOOKUP(D7,input_1!L:T,9,FALSE),VLOOKUP(tables_1!B7,input_1!A:H,8,FALSE))</f>
        <v>5451138</v>
      </c>
      <c r="M7" s="69">
        <f t="shared" si="2"/>
        <v>1.848E-2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input_1!A$2</f>
        <v>3081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IFERROR(VLOOKUP(D8,input_1!L:T,9,FALSE),VLOOKUP(tables_1!B8,input_1!A:H,8,FALSE))</f>
        <v>983250</v>
      </c>
      <c r="M8" s="69">
        <f t="shared" si="2"/>
        <v>3.3333333333333335E-3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input_1!A$2</f>
        <v>3081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IFERROR(VLOOKUP(D9,input_1!L:T,9,FALSE),VLOOKUP(tables_1!B9,input_1!A:H,8,FALSE))</f>
        <v>778734</v>
      </c>
      <c r="M9" s="69">
        <f t="shared" si="2"/>
        <v>2.64E-3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input_1!A$2</f>
        <v>3081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IFERROR(VLOOKUP(D10,input_1!L:T,9,FALSE),VLOOKUP(tables_1!B10,input_1!A:H,8,FALSE))</f>
        <v>983250</v>
      </c>
      <c r="M10" s="69">
        <f t="shared" si="2"/>
        <v>3.3333333333333335E-3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input_1!A$2</f>
        <v>3081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IFERROR(VLOOKUP(D11,input_1!L:T,9,FALSE),VLOOKUP(tables_1!B11,input_1!A:H,8,FALSE))</f>
        <v>778734</v>
      </c>
      <c r="M11" s="69">
        <f t="shared" si="2"/>
        <v>2.64E-3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input_1!A$2</f>
        <v>3081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IFERROR(VLOOKUP(D12,input_1!L:T,9,FALSE),VLOOKUP(tables_1!B12,input_1!A:H,8,FALSE))</f>
        <v>983250</v>
      </c>
      <c r="M12" s="69">
        <f t="shared" si="2"/>
        <v>3.3333333333333335E-3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input_1!A$2</f>
        <v>3081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IFERROR(VLOOKUP(D13,input_1!L:T,9,FALSE),VLOOKUP(tables_1!B13,input_1!A:H,8,FALSE))</f>
        <v>778734</v>
      </c>
      <c r="M13" s="69">
        <f t="shared" si="2"/>
        <v>2.64E-3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input_1!A$2</f>
        <v>3081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IFERROR(VLOOKUP(D14,input_1!L:T,9,FALSE),VLOOKUP(tables_1!B14,input_1!A:H,8,FALSE))</f>
        <v>6882750</v>
      </c>
      <c r="M14" s="69">
        <f t="shared" si="2"/>
        <v>2.3333333333333334E-2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input_1!A$2</f>
        <v>3081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IFERROR(VLOOKUP(D15,input_1!L:T,9,FALSE),VLOOKUP(tables_1!B15,input_1!A:H,8,FALSE))</f>
        <v>5451138</v>
      </c>
      <c r="M15" s="69">
        <f t="shared" si="2"/>
        <v>1.848E-2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input_1!A$2</f>
        <v>3081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IFERROR(VLOOKUP(D16,input_1!L:T,9,FALSE),VLOOKUP(tables_1!B16,input_1!A:H,8,FALSE))</f>
        <v>983250</v>
      </c>
      <c r="M16" s="69">
        <f t="shared" si="2"/>
        <v>3.3333333333333335E-3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input_1!A$2</f>
        <v>3081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IFERROR(VLOOKUP(D17,input_1!L:T,9,FALSE),VLOOKUP(tables_1!B17,input_1!A:H,8,FALSE))</f>
        <v>778734</v>
      </c>
      <c r="M17" s="69">
        <f t="shared" si="2"/>
        <v>2.64E-3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input_1!A$2</f>
        <v>3081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IFERROR(VLOOKUP(D18,input_1!L:T,9,FALSE),VLOOKUP(tables_1!B18,input_1!A:H,8,FALSE))</f>
        <v>983250</v>
      </c>
      <c r="M18" s="69">
        <f t="shared" si="2"/>
        <v>3.3333333333333335E-3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input_1!A$2</f>
        <v>3081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IFERROR(VLOOKUP(D19,input_1!L:T,9,FALSE),VLOOKUP(tables_1!B19,input_1!A:H,8,FALSE))</f>
        <v>778734</v>
      </c>
      <c r="M19" s="69">
        <f t="shared" si="2"/>
        <v>2.64E-3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input_1!A$2</f>
        <v>3081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IFERROR(VLOOKUP(D20,input_1!L:T,9,FALSE),VLOOKUP(tables_1!B20,input_1!A:H,8,FALSE))</f>
        <v>983250</v>
      </c>
      <c r="M20" s="69">
        <f t="shared" si="2"/>
        <v>3.3333333333333335E-3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input_1!A$2</f>
        <v>3081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IFERROR(VLOOKUP(D21,input_1!L:T,9,FALSE),VLOOKUP(tables_1!B21,input_1!A:H,8,FALSE))</f>
        <v>778734</v>
      </c>
      <c r="M21" s="69">
        <f t="shared" si="2"/>
        <v>2.64E-3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input_1!A$2</f>
        <v>3081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IFERROR(VLOOKUP(D22,input_1!L:T,9,FALSE),VLOOKUP(tables_1!B22,input_1!A:H,8,FALSE))</f>
        <v>6882750</v>
      </c>
      <c r="M22" s="69">
        <f t="shared" si="2"/>
        <v>2.3333333333333334E-2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input_1!A$2</f>
        <v>3081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IFERROR(VLOOKUP(D23,input_1!L:T,9,FALSE),VLOOKUP(tables_1!B23,input_1!A:H,8,FALSE))</f>
        <v>5451138</v>
      </c>
      <c r="M23" s="69">
        <f t="shared" si="2"/>
        <v>1.848E-2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input_1!A$2</f>
        <v>3081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IFERROR(VLOOKUP(D24,input_1!L:T,9,FALSE),VLOOKUP(tables_1!B24,input_1!A:H,8,FALSE))</f>
        <v>983250</v>
      </c>
      <c r="M24" s="69">
        <f t="shared" si="2"/>
        <v>3.3333333333333335E-3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input_1!A$2</f>
        <v>3081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IFERROR(VLOOKUP(D25,input_1!L:T,9,FALSE),VLOOKUP(tables_1!B25,input_1!A:H,8,FALSE))</f>
        <v>778734</v>
      </c>
      <c r="M25" s="69">
        <f t="shared" si="2"/>
        <v>2.64E-3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input_1!A$2</f>
        <v>3081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IFERROR(VLOOKUP(D26,input_1!L:T,9,FALSE),VLOOKUP(tables_1!B26,input_1!A:H,8,FALSE))</f>
        <v>983250</v>
      </c>
      <c r="M26" s="69">
        <f t="shared" si="2"/>
        <v>3.3333333333333335E-3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input_1!A$2</f>
        <v>3081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IFERROR(VLOOKUP(D27,input_1!L:T,9,FALSE),VLOOKUP(tables_1!B27,input_1!A:H,8,FALSE))</f>
        <v>778734</v>
      </c>
      <c r="M27" s="69">
        <f t="shared" si="2"/>
        <v>2.64E-3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input_1!A$2</f>
        <v>3081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IFERROR(VLOOKUP(D28,input_1!L:T,9,FALSE),VLOOKUP(tables_1!B28,input_1!A:H,8,FALSE))</f>
        <v>983250</v>
      </c>
      <c r="M28" s="69">
        <f t="shared" si="2"/>
        <v>3.3333333333333335E-3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input_1!A$2</f>
        <v>3081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IFERROR(VLOOKUP(D29,input_1!L:T,9,FALSE),VLOOKUP(tables_1!B29,input_1!A:H,8,FALSE))</f>
        <v>778734</v>
      </c>
      <c r="M29" s="69">
        <f t="shared" si="2"/>
        <v>2.64E-3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input_1!A$2</f>
        <v>3081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IFERROR(VLOOKUP(D30,input_1!L:T,9,FALSE),VLOOKUP(tables_1!B30,input_1!A:H,8,FALSE))</f>
        <v>6882750</v>
      </c>
      <c r="M30" s="69">
        <f t="shared" si="2"/>
        <v>2.3333333333333334E-2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input_1!A$2</f>
        <v>3081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IFERROR(VLOOKUP(D31,input_1!L:T,9,FALSE),VLOOKUP(tables_1!B31,input_1!A:H,8,FALSE))</f>
        <v>5451138</v>
      </c>
      <c r="M31" s="69">
        <f t="shared" si="2"/>
        <v>1.848E-2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input_1!A$2</f>
        <v>3081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IFERROR(VLOOKUP(D32,input_1!L:T,9,FALSE),VLOOKUP(tables_1!B32,input_1!A:H,8,FALSE))</f>
        <v>983250</v>
      </c>
      <c r="M32" s="69">
        <f t="shared" si="2"/>
        <v>3.3333333333333335E-3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input_1!A$2</f>
        <v>3081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IFERROR(VLOOKUP(D33,input_1!L:T,9,FALSE),VLOOKUP(tables_1!B33,input_1!A:H,8,FALSE))</f>
        <v>778734</v>
      </c>
      <c r="M33" s="69">
        <f t="shared" si="2"/>
        <v>2.64E-3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input_1!A$2</f>
        <v>3081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IFERROR(VLOOKUP(D34,input_1!L:T,9,FALSE),VLOOKUP(tables_1!B34,input_1!A:H,8,FALSE))</f>
        <v>983250</v>
      </c>
      <c r="M34" s="69">
        <f t="shared" si="2"/>
        <v>3.3333333333333335E-3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input_1!A$2</f>
        <v>3081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IFERROR(VLOOKUP(D35,input_1!L:T,9,FALSE),VLOOKUP(tables_1!B35,input_1!A:H,8,FALSE))</f>
        <v>778734</v>
      </c>
      <c r="M35" s="69">
        <f t="shared" si="2"/>
        <v>2.64E-3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input_1!A$2</f>
        <v>3081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IFERROR(VLOOKUP(D36,input_1!L:T,9,FALSE),VLOOKUP(tables_1!B36,input_1!A:H,8,FALSE))</f>
        <v>983250</v>
      </c>
      <c r="M36" s="69">
        <f t="shared" si="2"/>
        <v>3.3333333333333335E-3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input_1!A$2</f>
        <v>3081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IFERROR(VLOOKUP(D37,input_1!L:T,9,FALSE),VLOOKUP(tables_1!B37,input_1!A:H,8,FALSE))</f>
        <v>778734</v>
      </c>
      <c r="M37" s="69">
        <f t="shared" si="2"/>
        <v>2.64E-3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input_1!A$2</f>
        <v>3081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IFERROR(VLOOKUP(D38,input_1!L:T,9,FALSE),VLOOKUP(tables_1!B38,input_1!A:H,8,FALSE))</f>
        <v>6882750</v>
      </c>
      <c r="M38" s="69">
        <f t="shared" si="2"/>
        <v>2.3333333333333334E-2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input_1!A$2</f>
        <v>3081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IFERROR(VLOOKUP(D39,input_1!L:T,9,FALSE),VLOOKUP(tables_1!B39,input_1!A:H,8,FALSE))</f>
        <v>5451138</v>
      </c>
      <c r="M39" s="69">
        <f t="shared" si="2"/>
        <v>1.848E-2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input_1!A$2</f>
        <v>3081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IFERROR(VLOOKUP(D40,input_1!L:T,9,FALSE),VLOOKUP(tables_1!B40,input_1!A:H,8,FALSE))</f>
        <v>983250</v>
      </c>
      <c r="M40" s="69">
        <f t="shared" si="2"/>
        <v>3.3333333333333335E-3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input_1!A$2</f>
        <v>3081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IFERROR(VLOOKUP(D41,input_1!L:T,9,FALSE),VLOOKUP(tables_1!B41,input_1!A:H,8,FALSE))</f>
        <v>778734</v>
      </c>
      <c r="M41" s="69">
        <f t="shared" si="2"/>
        <v>2.64E-3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input_1!A$2</f>
        <v>3081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IFERROR(VLOOKUP(D42,input_1!L:T,9,FALSE),VLOOKUP(tables_1!B42,input_1!A:H,8,FALSE))</f>
        <v>983250</v>
      </c>
      <c r="M42" s="69">
        <f t="shared" si="2"/>
        <v>3.3333333333333335E-3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input_1!A$2</f>
        <v>3081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IFERROR(VLOOKUP(D43,input_1!L:T,9,FALSE),VLOOKUP(tables_1!B43,input_1!A:H,8,FALSE))</f>
        <v>778734</v>
      </c>
      <c r="M43" s="69">
        <f t="shared" si="2"/>
        <v>2.64E-3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input_1!A$2</f>
        <v>3081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IFERROR(VLOOKUP(D44,input_1!L:T,9,FALSE),VLOOKUP(tables_1!B44,input_1!A:H,8,FALSE))</f>
        <v>117990</v>
      </c>
      <c r="M44" s="69">
        <f t="shared" si="2"/>
        <v>4.0000000000000002E-4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input_1!A$2</f>
        <v>3081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IFERROR(VLOOKUP(D45,input_1!L:T,9,FALSE),VLOOKUP(tables_1!B45,input_1!A:H,8,FALSE))</f>
        <v>983250</v>
      </c>
      <c r="M45" s="69">
        <f t="shared" si="2"/>
        <v>3.3333333333333335E-3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input_1!A$2</f>
        <v>3081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IFERROR(VLOOKUP(D46,input_1!L:T,9,FALSE),VLOOKUP(tables_1!B46,input_1!A:H,8,FALSE))</f>
        <v>778734</v>
      </c>
      <c r="M46" s="69">
        <f t="shared" si="2"/>
        <v>2.64E-3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input_1!A$2</f>
        <v>3081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IFERROR(VLOOKUP(D47,input_1!L:T,9,FALSE),VLOOKUP(tables_1!B47,input_1!A:H,8,FALSE))</f>
        <v>117990</v>
      </c>
      <c r="M47" s="69">
        <f t="shared" si="2"/>
        <v>4.0000000000000002E-4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input_1!A$2</f>
        <v>3081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IFERROR(VLOOKUP(D48,input_1!L:T,9,FALSE),VLOOKUP(tables_1!B48,input_1!A:H,8,FALSE))</f>
        <v>6882750</v>
      </c>
      <c r="M48" s="69">
        <f t="shared" si="2"/>
        <v>2.3333333333333334E-2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input_1!A$2</f>
        <v>3081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IFERROR(VLOOKUP(D49,input_1!L:T,9,FALSE),VLOOKUP(tables_1!B49,input_1!A:H,8,FALSE))</f>
        <v>5451138</v>
      </c>
      <c r="M49" s="69">
        <f t="shared" si="2"/>
        <v>1.848E-2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input_1!A$2</f>
        <v>3081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IFERROR(VLOOKUP(D50,input_1!L:T,9,FALSE),VLOOKUP(tables_1!B50,input_1!A:H,8,FALSE))</f>
        <v>825930</v>
      </c>
      <c r="M50" s="69">
        <f t="shared" si="2"/>
        <v>2.8E-3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input_1!A$2</f>
        <v>3081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IFERROR(VLOOKUP(D51,input_1!L:T,9,FALSE),VLOOKUP(tables_1!B51,input_1!A:H,8,FALSE))</f>
        <v>983250</v>
      </c>
      <c r="M51" s="69">
        <f t="shared" si="2"/>
        <v>3.3333333333333335E-3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input_1!A$2</f>
        <v>3081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IFERROR(VLOOKUP(D52,input_1!L:T,9,FALSE),VLOOKUP(tables_1!B52,input_1!A:H,8,FALSE))</f>
        <v>778734</v>
      </c>
      <c r="M52" s="69">
        <f t="shared" si="2"/>
        <v>2.64E-3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input_1!A$2</f>
        <v>3081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IFERROR(VLOOKUP(D53,input_1!L:T,9,FALSE),VLOOKUP(tables_1!B53,input_1!A:H,8,FALSE))</f>
        <v>117990</v>
      </c>
      <c r="M53" s="69">
        <f t="shared" si="2"/>
        <v>4.0000000000000002E-4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input_1!A$2</f>
        <v>3081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IFERROR(VLOOKUP(D54,input_1!L:T,9,FALSE),VLOOKUP(tables_1!B54,input_1!A:H,8,FALSE))</f>
        <v>983250</v>
      </c>
      <c r="M54" s="69">
        <f t="shared" si="2"/>
        <v>3.3333333333333335E-3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input_1!A$2</f>
        <v>3081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IFERROR(VLOOKUP(D55,input_1!L:T,9,FALSE),VLOOKUP(tables_1!B55,input_1!A:H,8,FALSE))</f>
        <v>778734</v>
      </c>
      <c r="M55" s="69">
        <f t="shared" si="2"/>
        <v>2.64E-3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input_1!A$2</f>
        <v>3081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IFERROR(VLOOKUP(D56,input_1!L:T,9,FALSE),VLOOKUP(tables_1!B56,input_1!A:H,8,FALSE))</f>
        <v>117990</v>
      </c>
      <c r="M56" s="69">
        <f t="shared" si="2"/>
        <v>4.0000000000000002E-4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input_1!A$2</f>
        <v>3081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IFERROR(VLOOKUP(D57,input_1!L:T,9,FALSE),VLOOKUP(tables_1!B57,input_1!A:H,8,FALSE))</f>
        <v>983250</v>
      </c>
      <c r="M57" s="69">
        <f t="shared" si="2"/>
        <v>3.3333333333333335E-3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input_1!A$2</f>
        <v>3081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IFERROR(VLOOKUP(D58,input_1!L:T,9,FALSE),VLOOKUP(tables_1!B58,input_1!A:H,8,FALSE))</f>
        <v>778734</v>
      </c>
      <c r="M58" s="69">
        <f t="shared" si="2"/>
        <v>2.64E-3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input_1!A$2</f>
        <v>3081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IFERROR(VLOOKUP(D59,input_1!L:T,9,FALSE),VLOOKUP(tables_1!B59,input_1!A:H,8,FALSE))</f>
        <v>117990</v>
      </c>
      <c r="M59" s="69">
        <f t="shared" si="2"/>
        <v>4.0000000000000002E-4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input_1!A$2</f>
        <v>3081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IFERROR(VLOOKUP(D60,input_1!L:T,9,FALSE),VLOOKUP(tables_1!B60,input_1!A:H,8,FALSE))</f>
        <v>6882750</v>
      </c>
      <c r="M60" s="69">
        <f t="shared" si="2"/>
        <v>2.3333333333333334E-2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input_1!A$2</f>
        <v>3081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IFERROR(VLOOKUP(D61,input_1!L:T,9,FALSE),VLOOKUP(tables_1!B61,input_1!A:H,8,FALSE))</f>
        <v>5451138</v>
      </c>
      <c r="M61" s="69">
        <f t="shared" si="2"/>
        <v>1.848E-2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input_1!A$2</f>
        <v>3081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IFERROR(VLOOKUP(D62,input_1!L:T,9,FALSE),VLOOKUP(tables_1!B62,input_1!A:H,8,FALSE))</f>
        <v>825930</v>
      </c>
      <c r="M62" s="69">
        <f t="shared" si="2"/>
        <v>2.8E-3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input_1!A$2</f>
        <v>3081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IFERROR(VLOOKUP(D63,input_1!L:T,9,FALSE),VLOOKUP(tables_1!B63,input_1!A:H,8,FALSE))</f>
        <v>983250</v>
      </c>
      <c r="M63" s="69">
        <f t="shared" si="2"/>
        <v>3.3333333333333335E-3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input_1!A$2</f>
        <v>3081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IFERROR(VLOOKUP(D64,input_1!L:T,9,FALSE),VLOOKUP(tables_1!B64,input_1!A:H,8,FALSE))</f>
        <v>778734</v>
      </c>
      <c r="M64" s="69">
        <f t="shared" si="2"/>
        <v>2.64E-3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input_1!A$2</f>
        <v>3081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IFERROR(VLOOKUP(D65,input_1!L:T,9,FALSE),VLOOKUP(tables_1!B65,input_1!A:H,8,FALSE))</f>
        <v>117990</v>
      </c>
      <c r="M65" s="69">
        <f t="shared" si="2"/>
        <v>4.0000000000000002E-4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input_1!A$2</f>
        <v>3081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IFERROR(VLOOKUP(D66,input_1!L:T,9,FALSE),VLOOKUP(tables_1!B66,input_1!A:H,8,FALSE))</f>
        <v>983250</v>
      </c>
      <c r="M66" s="69">
        <f t="shared" si="2"/>
        <v>3.3333333333333335E-3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input_1!A$2</f>
        <v>3081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IFERROR(VLOOKUP(D67,input_1!L:T,9,FALSE),VLOOKUP(tables_1!B67,input_1!A:H,8,FALSE))</f>
        <v>778734</v>
      </c>
      <c r="M67" s="69">
        <f t="shared" ref="M67:M130" si="5">L67/SUM(L:L)</f>
        <v>2.64E-3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input_1!A$2</f>
        <v>3081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IFERROR(VLOOKUP(D68,input_1!L:T,9,FALSE),VLOOKUP(tables_1!B68,input_1!A:H,8,FALSE))</f>
        <v>117990</v>
      </c>
      <c r="M68" s="69">
        <f t="shared" si="5"/>
        <v>4.0000000000000002E-4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input_1!A$2</f>
        <v>3081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IFERROR(VLOOKUP(D69,input_1!L:T,9,FALSE),VLOOKUP(tables_1!B69,input_1!A:H,8,FALSE))</f>
        <v>983250</v>
      </c>
      <c r="M69" s="69">
        <f t="shared" si="5"/>
        <v>3.3333333333333335E-3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input_1!A$2</f>
        <v>3081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IFERROR(VLOOKUP(D70,input_1!L:T,9,FALSE),VLOOKUP(tables_1!B70,input_1!A:H,8,FALSE))</f>
        <v>778734</v>
      </c>
      <c r="M70" s="69">
        <f t="shared" si="5"/>
        <v>2.64E-3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input_1!A$2</f>
        <v>3081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IFERROR(VLOOKUP(D71,input_1!L:T,9,FALSE),VLOOKUP(tables_1!B71,input_1!A:H,8,FALSE))</f>
        <v>117990</v>
      </c>
      <c r="M71" s="69">
        <f t="shared" si="5"/>
        <v>4.0000000000000002E-4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input_1!A$2</f>
        <v>3081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IFERROR(VLOOKUP(D72,input_1!L:T,9,FALSE),VLOOKUP(tables_1!B72,input_1!A:H,8,FALSE))</f>
        <v>983250</v>
      </c>
      <c r="M72" s="69">
        <f t="shared" si="5"/>
        <v>3.3333333333333335E-3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input_1!A$2</f>
        <v>3081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IFERROR(VLOOKUP(D73,input_1!L:T,9,FALSE),VLOOKUP(tables_1!B73,input_1!A:H,8,FALSE))</f>
        <v>778734</v>
      </c>
      <c r="M73" s="69">
        <f t="shared" si="5"/>
        <v>2.64E-3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input_1!A$2</f>
        <v>3081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IFERROR(VLOOKUP(D74,input_1!L:T,9,FALSE),VLOOKUP(tables_1!B74,input_1!A:H,8,FALSE))</f>
        <v>117990</v>
      </c>
      <c r="M74" s="69">
        <f t="shared" si="5"/>
        <v>4.0000000000000002E-4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input_1!A$2</f>
        <v>3081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IFERROR(VLOOKUP(D75,input_1!L:T,9,FALSE),VLOOKUP(tables_1!B75,input_1!A:H,8,FALSE))</f>
        <v>6882750</v>
      </c>
      <c r="M75" s="69">
        <f t="shared" si="5"/>
        <v>2.3333333333333334E-2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input_1!A$2</f>
        <v>3081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IFERROR(VLOOKUP(D76,input_1!L:T,9,FALSE),VLOOKUP(tables_1!B76,input_1!A:H,8,FALSE))</f>
        <v>5451138</v>
      </c>
      <c r="M76" s="69">
        <f t="shared" si="5"/>
        <v>1.848E-2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input_1!A$2</f>
        <v>3081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IFERROR(VLOOKUP(D77,input_1!L:T,9,FALSE),VLOOKUP(tables_1!B77,input_1!A:H,8,FALSE))</f>
        <v>825930</v>
      </c>
      <c r="M77" s="69">
        <f t="shared" si="5"/>
        <v>2.8E-3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input_1!A$2</f>
        <v>3081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IFERROR(VLOOKUP(D78,input_1!L:T,9,FALSE),VLOOKUP(tables_1!B78,input_1!A:H,8,FALSE))</f>
        <v>983250</v>
      </c>
      <c r="M78" s="69">
        <f t="shared" si="5"/>
        <v>3.3333333333333335E-3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input_1!A$2</f>
        <v>3081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IFERROR(VLOOKUP(D79,input_1!L:T,9,FALSE),VLOOKUP(tables_1!B79,input_1!A:H,8,FALSE))</f>
        <v>778734</v>
      </c>
      <c r="M79" s="69">
        <f t="shared" si="5"/>
        <v>2.64E-3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input_1!A$2</f>
        <v>3081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IFERROR(VLOOKUP(D80,input_1!L:T,9,FALSE),VLOOKUP(tables_1!B80,input_1!A:H,8,FALSE))</f>
        <v>117990</v>
      </c>
      <c r="M80" s="69">
        <f t="shared" si="5"/>
        <v>4.0000000000000002E-4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input_1!A$2</f>
        <v>3081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IFERROR(VLOOKUP(D81,input_1!L:T,9,FALSE),VLOOKUP(tables_1!B81,input_1!A:H,8,FALSE))</f>
        <v>983250</v>
      </c>
      <c r="M81" s="69">
        <f t="shared" si="5"/>
        <v>3.3333333333333335E-3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input_1!A$2</f>
        <v>3081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IFERROR(VLOOKUP(D82,input_1!L:T,9,FALSE),VLOOKUP(tables_1!B82,input_1!A:H,8,FALSE))</f>
        <v>778734</v>
      </c>
      <c r="M82" s="69">
        <f t="shared" si="5"/>
        <v>2.64E-3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input_1!A$2</f>
        <v>3081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IFERROR(VLOOKUP(D83,input_1!L:T,9,FALSE),VLOOKUP(tables_1!B83,input_1!A:H,8,FALSE))</f>
        <v>117990</v>
      </c>
      <c r="M83" s="69">
        <f t="shared" si="5"/>
        <v>4.0000000000000002E-4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input_1!A$2</f>
        <v>3081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IFERROR(VLOOKUP(D84,input_1!L:T,9,FALSE),VLOOKUP(tables_1!B84,input_1!A:H,8,FALSE))</f>
        <v>6882750</v>
      </c>
      <c r="M84" s="69">
        <f t="shared" si="5"/>
        <v>2.3333333333333334E-2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input_1!A$2</f>
        <v>3081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IFERROR(VLOOKUP(D85,input_1!L:T,9,FALSE),VLOOKUP(tables_1!B85,input_1!A:H,8,FALSE))</f>
        <v>5451138</v>
      </c>
      <c r="M85" s="69">
        <f t="shared" si="5"/>
        <v>1.848E-2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input_1!A$2</f>
        <v>3081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IFERROR(VLOOKUP(D86,input_1!L:T,9,FALSE),VLOOKUP(tables_1!B86,input_1!A:H,8,FALSE))</f>
        <v>825930</v>
      </c>
      <c r="M86" s="69">
        <f t="shared" si="5"/>
        <v>2.8E-3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input_1!A$2</f>
        <v>3081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IFERROR(VLOOKUP(D87,input_1!L:T,9,FALSE),VLOOKUP(tables_1!B87,input_1!A:H,8,FALSE))</f>
        <v>983250</v>
      </c>
      <c r="M87" s="69">
        <f t="shared" si="5"/>
        <v>3.3333333333333335E-3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input_1!A$2</f>
        <v>3081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IFERROR(VLOOKUP(D88,input_1!L:T,9,FALSE),VLOOKUP(tables_1!B88,input_1!A:H,8,FALSE))</f>
        <v>778734</v>
      </c>
      <c r="M88" s="69">
        <f t="shared" si="5"/>
        <v>2.64E-3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input_1!A$2</f>
        <v>3081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IFERROR(VLOOKUP(D89,input_1!L:T,9,FALSE),VLOOKUP(tables_1!B89,input_1!A:H,8,FALSE))</f>
        <v>117990</v>
      </c>
      <c r="M89" s="69">
        <f t="shared" si="5"/>
        <v>4.0000000000000002E-4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input_1!A$2</f>
        <v>3081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IFERROR(VLOOKUP(D90,input_1!L:T,9,FALSE),VLOOKUP(tables_1!B90,input_1!A:H,8,FALSE))</f>
        <v>983250</v>
      </c>
      <c r="M90" s="69">
        <f t="shared" si="5"/>
        <v>3.3333333333333335E-3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input_1!A$2</f>
        <v>3081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IFERROR(VLOOKUP(D91,input_1!L:T,9,FALSE),VLOOKUP(tables_1!B91,input_1!A:H,8,FALSE))</f>
        <v>778734</v>
      </c>
      <c r="M91" s="69">
        <f t="shared" si="5"/>
        <v>2.64E-3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input_1!A$2</f>
        <v>3081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IFERROR(VLOOKUP(D92,input_1!L:T,9,FALSE),VLOOKUP(tables_1!B92,input_1!A:H,8,FALSE))</f>
        <v>117990</v>
      </c>
      <c r="M92" s="69">
        <f t="shared" si="5"/>
        <v>4.0000000000000002E-4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input_1!A$2</f>
        <v>3081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IFERROR(VLOOKUP(D93,input_1!L:T,9,FALSE),VLOOKUP(tables_1!B93,input_1!A:H,8,FALSE))</f>
        <v>983250</v>
      </c>
      <c r="M93" s="69">
        <f t="shared" si="5"/>
        <v>3.3333333333333335E-3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input_1!A$2</f>
        <v>3081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IFERROR(VLOOKUP(D94,input_1!L:T,9,FALSE),VLOOKUP(tables_1!B94,input_1!A:H,8,FALSE))</f>
        <v>778734</v>
      </c>
      <c r="M94" s="69">
        <f t="shared" si="5"/>
        <v>2.64E-3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input_1!A$2</f>
        <v>3081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IFERROR(VLOOKUP(D95,input_1!L:T,9,FALSE),VLOOKUP(tables_1!B95,input_1!A:H,8,FALSE))</f>
        <v>117990</v>
      </c>
      <c r="M95" s="69">
        <f t="shared" si="5"/>
        <v>4.0000000000000002E-4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input_1!A$2</f>
        <v>3081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IFERROR(VLOOKUP(D96,input_1!L:T,9,FALSE),VLOOKUP(tables_1!B96,input_1!A:H,8,FALSE))</f>
        <v>6882750</v>
      </c>
      <c r="M96" s="69">
        <f t="shared" si="5"/>
        <v>2.3333333333333334E-2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input_1!A$2</f>
        <v>3081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IFERROR(VLOOKUP(D97,input_1!L:T,9,FALSE),VLOOKUP(tables_1!B97,input_1!A:H,8,FALSE))</f>
        <v>5451138</v>
      </c>
      <c r="M97" s="69">
        <f t="shared" si="5"/>
        <v>1.848E-2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input_1!A$2</f>
        <v>3081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IFERROR(VLOOKUP(D98,input_1!L:T,9,FALSE),VLOOKUP(tables_1!B98,input_1!A:H,8,FALSE))</f>
        <v>825930</v>
      </c>
      <c r="M98" s="69">
        <f t="shared" si="5"/>
        <v>2.8E-3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input_1!A$2</f>
        <v>3081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IFERROR(VLOOKUP(D99,input_1!L:T,9,FALSE),VLOOKUP(tables_1!B99,input_1!A:H,8,FALSE))</f>
        <v>983250</v>
      </c>
      <c r="M99" s="69">
        <f t="shared" si="5"/>
        <v>3.3333333333333335E-3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input_1!A$2</f>
        <v>3081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IFERROR(VLOOKUP(D100,input_1!L:T,9,FALSE),VLOOKUP(tables_1!B100,input_1!A:H,8,FALSE))</f>
        <v>778734</v>
      </c>
      <c r="M100" s="69">
        <f t="shared" si="5"/>
        <v>2.64E-3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input_1!A$2</f>
        <v>3081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IFERROR(VLOOKUP(D101,input_1!L:T,9,FALSE),VLOOKUP(tables_1!B101,input_1!A:H,8,FALSE))</f>
        <v>117990</v>
      </c>
      <c r="M101" s="69">
        <f t="shared" si="5"/>
        <v>4.0000000000000002E-4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input_1!A$2</f>
        <v>3081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IFERROR(VLOOKUP(D102,input_1!L:T,9,FALSE),VLOOKUP(tables_1!B102,input_1!A:H,8,FALSE))</f>
        <v>641250</v>
      </c>
      <c r="M102" s="69">
        <f t="shared" si="5"/>
        <v>2.1739130434782609E-3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input_1!A$2</f>
        <v>3081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IFERROR(VLOOKUP(D103,input_1!L:T,9,FALSE),VLOOKUP(tables_1!B103,input_1!A:H,8,FALSE))</f>
        <v>507870</v>
      </c>
      <c r="M103" s="69">
        <f t="shared" si="5"/>
        <v>1.7217391304347827E-3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input_1!A$2</f>
        <v>3081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IFERROR(VLOOKUP(D104,input_1!L:T,9,FALSE),VLOOKUP(tables_1!B104,input_1!A:H,8,FALSE))</f>
        <v>76950</v>
      </c>
      <c r="M104" s="69">
        <f t="shared" si="5"/>
        <v>2.6086956521739128E-4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input_1!A$2</f>
        <v>3081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IFERROR(VLOOKUP(D105,input_1!L:T,9,FALSE),VLOOKUP(tables_1!B105,input_1!A:H,8,FALSE))</f>
        <v>641250</v>
      </c>
      <c r="M105" s="69">
        <f t="shared" si="5"/>
        <v>2.1739130434782609E-3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input_1!A$2</f>
        <v>3081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IFERROR(VLOOKUP(D106,input_1!L:T,9,FALSE),VLOOKUP(tables_1!B106,input_1!A:H,8,FALSE))</f>
        <v>507870</v>
      </c>
      <c r="M106" s="69">
        <f t="shared" si="5"/>
        <v>1.7217391304347827E-3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input_1!A$2</f>
        <v>3081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IFERROR(VLOOKUP(D107,input_1!L:T,9,FALSE),VLOOKUP(tables_1!B107,input_1!A:H,8,FALSE))</f>
        <v>76950</v>
      </c>
      <c r="M107" s="69">
        <f t="shared" si="5"/>
        <v>2.6086956521739128E-4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input_1!A$2</f>
        <v>3081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IFERROR(VLOOKUP(D108,input_1!L:T,9,FALSE),VLOOKUP(tables_1!B108,input_1!A:H,8,FALSE))</f>
        <v>3823750</v>
      </c>
      <c r="M108" s="69">
        <f t="shared" si="5"/>
        <v>1.2962962962962963E-2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input_1!A$2</f>
        <v>3081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IFERROR(VLOOKUP(D109,input_1!L:T,9,FALSE),VLOOKUP(tables_1!B109,input_1!A:H,8,FALSE))</f>
        <v>3028410</v>
      </c>
      <c r="M109" s="69">
        <f t="shared" si="5"/>
        <v>1.0266666666666667E-2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input_1!A$2</f>
        <v>3081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IFERROR(VLOOKUP(D110,input_1!L:T,9,FALSE),VLOOKUP(tables_1!B110,input_1!A:H,8,FALSE))</f>
        <v>458850</v>
      </c>
      <c r="M110" s="69">
        <f t="shared" si="5"/>
        <v>1.5555555555555555E-3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input_1!A$2</f>
        <v>3081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IFERROR(VLOOKUP(D111,input_1!L:T,9,FALSE),VLOOKUP(tables_1!B111,input_1!A:H,8,FALSE))</f>
        <v>641250</v>
      </c>
      <c r="M111" s="69">
        <f t="shared" si="5"/>
        <v>2.1739130434782609E-3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input_1!A$2</f>
        <v>3081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IFERROR(VLOOKUP(D112,input_1!L:T,9,FALSE),VLOOKUP(tables_1!B112,input_1!A:H,8,FALSE))</f>
        <v>507870</v>
      </c>
      <c r="M112" s="69">
        <f t="shared" si="5"/>
        <v>1.7217391304347827E-3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input_1!A$2</f>
        <v>3081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IFERROR(VLOOKUP(D113,input_1!L:T,9,FALSE),VLOOKUP(tables_1!B113,input_1!A:H,8,FALSE))</f>
        <v>76950</v>
      </c>
      <c r="M113" s="69">
        <f t="shared" si="5"/>
        <v>2.6086956521739128E-4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input_1!A$2</f>
        <v>3081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IFERROR(VLOOKUP(D114,input_1!L:T,9,FALSE),VLOOKUP(tables_1!B114,input_1!A:H,8,FALSE))</f>
        <v>641250</v>
      </c>
      <c r="M114" s="69">
        <f t="shared" si="5"/>
        <v>2.1739130434782609E-3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input_1!A$2</f>
        <v>3081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IFERROR(VLOOKUP(D115,input_1!L:T,9,FALSE),VLOOKUP(tables_1!B115,input_1!A:H,8,FALSE))</f>
        <v>507870</v>
      </c>
      <c r="M115" s="69">
        <f t="shared" si="5"/>
        <v>1.7217391304347827E-3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input_1!A$2</f>
        <v>3081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IFERROR(VLOOKUP(D116,input_1!L:T,9,FALSE),VLOOKUP(tables_1!B116,input_1!A:H,8,FALSE))</f>
        <v>76950</v>
      </c>
      <c r="M116" s="69">
        <f t="shared" si="5"/>
        <v>2.6086956521739128E-4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input_1!A$2</f>
        <v>3081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IFERROR(VLOOKUP(D117,input_1!L:T,9,FALSE),VLOOKUP(tables_1!B117,input_1!A:H,8,FALSE))</f>
        <v>641250</v>
      </c>
      <c r="M117" s="69">
        <f t="shared" si="5"/>
        <v>2.1739130434782609E-3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input_1!A$2</f>
        <v>3081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IFERROR(VLOOKUP(D118,input_1!L:T,9,FALSE),VLOOKUP(tables_1!B118,input_1!A:H,8,FALSE))</f>
        <v>507870</v>
      </c>
      <c r="M118" s="69">
        <f t="shared" si="5"/>
        <v>1.7217391304347827E-3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input_1!A$2</f>
        <v>3081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IFERROR(VLOOKUP(D119,input_1!L:T,9,FALSE),VLOOKUP(tables_1!B119,input_1!A:H,8,FALSE))</f>
        <v>76950</v>
      </c>
      <c r="M119" s="69">
        <f t="shared" si="5"/>
        <v>2.6086956521739128E-4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input_1!A$2</f>
        <v>3081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IFERROR(VLOOKUP(D120,input_1!L:T,9,FALSE),VLOOKUP(tables_1!B120,input_1!A:H,8,FALSE))</f>
        <v>3823750</v>
      </c>
      <c r="M120" s="69">
        <f t="shared" si="5"/>
        <v>1.2962962962962963E-2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input_1!A$2</f>
        <v>3081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IFERROR(VLOOKUP(D121,input_1!L:T,9,FALSE),VLOOKUP(tables_1!B121,input_1!A:H,8,FALSE))</f>
        <v>3028410</v>
      </c>
      <c r="M121" s="69">
        <f t="shared" si="5"/>
        <v>1.0266666666666667E-2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input_1!A$2</f>
        <v>3081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IFERROR(VLOOKUP(D122,input_1!L:T,9,FALSE),VLOOKUP(tables_1!B122,input_1!A:H,8,FALSE))</f>
        <v>458850</v>
      </c>
      <c r="M122" s="69">
        <f t="shared" si="5"/>
        <v>1.5555555555555555E-3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input_1!A$2</f>
        <v>3081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IFERROR(VLOOKUP(D123,input_1!L:T,9,FALSE),VLOOKUP(tables_1!B123,input_1!A:H,8,FALSE))</f>
        <v>641250</v>
      </c>
      <c r="M123" s="69">
        <f t="shared" si="5"/>
        <v>2.1739130434782609E-3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input_1!A$2</f>
        <v>3081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IFERROR(VLOOKUP(D124,input_1!L:T,9,FALSE),VLOOKUP(tables_1!B124,input_1!A:H,8,FALSE))</f>
        <v>507870</v>
      </c>
      <c r="M124" s="69">
        <f t="shared" si="5"/>
        <v>1.7217391304347827E-3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input_1!A$2</f>
        <v>3081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IFERROR(VLOOKUP(D125,input_1!L:T,9,FALSE),VLOOKUP(tables_1!B125,input_1!A:H,8,FALSE))</f>
        <v>76950</v>
      </c>
      <c r="M125" s="69">
        <f t="shared" si="5"/>
        <v>2.6086956521739128E-4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input_1!A$2</f>
        <v>3081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IFERROR(VLOOKUP(D126,input_1!L:T,9,FALSE),VLOOKUP(tables_1!B126,input_1!A:H,8,FALSE))</f>
        <v>641250</v>
      </c>
      <c r="M126" s="69">
        <f t="shared" si="5"/>
        <v>2.1739130434782609E-3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input_1!A$2</f>
        <v>3081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IFERROR(VLOOKUP(D127,input_1!L:T,9,FALSE),VLOOKUP(tables_1!B127,input_1!A:H,8,FALSE))</f>
        <v>507870</v>
      </c>
      <c r="M127" s="69">
        <f t="shared" si="5"/>
        <v>1.7217391304347827E-3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input_1!A$2</f>
        <v>3081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IFERROR(VLOOKUP(D128,input_1!L:T,9,FALSE),VLOOKUP(tables_1!B128,input_1!A:H,8,FALSE))</f>
        <v>76950</v>
      </c>
      <c r="M128" s="69">
        <f t="shared" si="5"/>
        <v>2.6086956521739128E-4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input_1!A$2</f>
        <v>3081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IFERROR(VLOOKUP(D129,input_1!L:T,9,FALSE),VLOOKUP(tables_1!B129,input_1!A:H,8,FALSE))</f>
        <v>641250</v>
      </c>
      <c r="M129" s="69">
        <f t="shared" si="5"/>
        <v>2.1739130434782609E-3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input_1!A$2</f>
        <v>3081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IFERROR(VLOOKUP(D130,input_1!L:T,9,FALSE),VLOOKUP(tables_1!B130,input_1!A:H,8,FALSE))</f>
        <v>507870</v>
      </c>
      <c r="M130" s="69">
        <f t="shared" si="5"/>
        <v>1.7217391304347827E-3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input_1!A$2</f>
        <v>3081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IFERROR(VLOOKUP(D131,input_1!L:T,9,FALSE),VLOOKUP(tables_1!B131,input_1!A:H,8,FALSE))</f>
        <v>76950</v>
      </c>
      <c r="M131" s="69">
        <f t="shared" ref="M131:M194" si="8">L131/SUM(L:L)</f>
        <v>2.6086956521739128E-4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input_1!A$2</f>
        <v>3081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IFERROR(VLOOKUP(D132,input_1!L:T,9,FALSE),VLOOKUP(tables_1!B132,input_1!A:H,8,FALSE))</f>
        <v>3823750</v>
      </c>
      <c r="M132" s="69">
        <f t="shared" si="8"/>
        <v>1.2962962962962963E-2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input_1!A$2</f>
        <v>3081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IFERROR(VLOOKUP(D133,input_1!L:T,9,FALSE),VLOOKUP(tables_1!B133,input_1!A:H,8,FALSE))</f>
        <v>3028410</v>
      </c>
      <c r="M133" s="69">
        <f t="shared" si="8"/>
        <v>1.0266666666666667E-2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input_1!A$2</f>
        <v>3081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IFERROR(VLOOKUP(D134,input_1!L:T,9,FALSE),VLOOKUP(tables_1!B134,input_1!A:H,8,FALSE))</f>
        <v>458850</v>
      </c>
      <c r="M134" s="69">
        <f t="shared" si="8"/>
        <v>1.5555555555555555E-3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input_1!A$2</f>
        <v>3081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IFERROR(VLOOKUP(D135,input_1!L:T,9,FALSE),VLOOKUP(tables_1!B135,input_1!A:H,8,FALSE))</f>
        <v>641250</v>
      </c>
      <c r="M135" s="69">
        <f t="shared" si="8"/>
        <v>2.1739130434782609E-3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input_1!A$2</f>
        <v>3081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IFERROR(VLOOKUP(D136,input_1!L:T,9,FALSE),VLOOKUP(tables_1!B136,input_1!A:H,8,FALSE))</f>
        <v>507870</v>
      </c>
      <c r="M136" s="69">
        <f t="shared" si="8"/>
        <v>1.7217391304347827E-3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input_1!A$2</f>
        <v>3081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IFERROR(VLOOKUP(D137,input_1!L:T,9,FALSE),VLOOKUP(tables_1!B137,input_1!A:H,8,FALSE))</f>
        <v>76950</v>
      </c>
      <c r="M137" s="69">
        <f t="shared" si="8"/>
        <v>2.6086956521739128E-4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input_1!A$2</f>
        <v>3081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IFERROR(VLOOKUP(D138,input_1!L:T,9,FALSE),VLOOKUP(tables_1!B138,input_1!A:H,8,FALSE))</f>
        <v>419175</v>
      </c>
      <c r="M138" s="69">
        <f t="shared" si="8"/>
        <v>1.4210526315789475E-3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3081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IFERROR(VLOOKUP(D139,input_1!L:T,9,FALSE),VLOOKUP(tables_1!B139,input_1!A:H,8,FALSE))</f>
        <v>46575</v>
      </c>
      <c r="M139" s="69">
        <f t="shared" si="8"/>
        <v>1.5789473684210527E-4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input_1!A$2</f>
        <v>3081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IFERROR(VLOOKUP(D140,input_1!L:T,9,FALSE),VLOOKUP(tables_1!B140,input_1!A:H,8,FALSE))</f>
        <v>419175</v>
      </c>
      <c r="M140" s="69">
        <f t="shared" si="8"/>
        <v>1.4210526315789475E-3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3081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IFERROR(VLOOKUP(D141,input_1!L:T,9,FALSE),VLOOKUP(tables_1!B141,input_1!A:H,8,FALSE))</f>
        <v>46575</v>
      </c>
      <c r="M141" s="69">
        <f t="shared" si="8"/>
        <v>1.5789473684210527E-4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input_1!A$2</f>
        <v>3081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IFERROR(VLOOKUP(D142,input_1!L:T,9,FALSE),VLOOKUP(tables_1!B142,input_1!A:H,8,FALSE))</f>
        <v>1592865</v>
      </c>
      <c r="M142" s="69">
        <f t="shared" si="8"/>
        <v>5.4000000000000003E-3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3081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IFERROR(VLOOKUP(D143,input_1!L:T,9,FALSE),VLOOKUP(tables_1!B143,input_1!A:H,8,FALSE))</f>
        <v>176985</v>
      </c>
      <c r="M143" s="69">
        <f t="shared" si="8"/>
        <v>5.9999999999999995E-4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input_1!A$2</f>
        <v>3081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IFERROR(VLOOKUP(D144,input_1!L:T,9,FALSE),VLOOKUP(tables_1!B144,input_1!A:H,8,FALSE))</f>
        <v>419175</v>
      </c>
      <c r="M144" s="69">
        <f t="shared" si="8"/>
        <v>1.4210526315789475E-3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3081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IFERROR(VLOOKUP(D145,input_1!L:T,9,FALSE),VLOOKUP(tables_1!B145,input_1!A:H,8,FALSE))</f>
        <v>46575</v>
      </c>
      <c r="M145" s="69">
        <f t="shared" si="8"/>
        <v>1.5789473684210527E-4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input_1!A$2</f>
        <v>3081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IFERROR(VLOOKUP(D146,input_1!L:T,9,FALSE),VLOOKUP(tables_1!B146,input_1!A:H,8,FALSE))</f>
        <v>641250</v>
      </c>
      <c r="M146" s="69">
        <f t="shared" si="8"/>
        <v>2.1739130434782609E-3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input_1!A$2</f>
        <v>3081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IFERROR(VLOOKUP(D147,input_1!L:T,9,FALSE),VLOOKUP(tables_1!B147,input_1!A:H,8,FALSE))</f>
        <v>507870</v>
      </c>
      <c r="M147" s="69">
        <f t="shared" si="8"/>
        <v>1.7217391304347827E-3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input_1!A$2</f>
        <v>3081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IFERROR(VLOOKUP(D148,input_1!L:T,9,FALSE),VLOOKUP(tables_1!B148,input_1!A:H,8,FALSE))</f>
        <v>76950</v>
      </c>
      <c r="M148" s="69">
        <f t="shared" si="8"/>
        <v>2.6086956521739128E-4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input_1!A$2</f>
        <v>3081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IFERROR(VLOOKUP(D149,input_1!L:T,9,FALSE),VLOOKUP(tables_1!B149,input_1!A:H,8,FALSE))</f>
        <v>419175</v>
      </c>
      <c r="M149" s="69">
        <f t="shared" si="8"/>
        <v>1.4210526315789475E-3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3081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IFERROR(VLOOKUP(D150,input_1!L:T,9,FALSE),VLOOKUP(tables_1!B150,input_1!A:H,8,FALSE))</f>
        <v>46575</v>
      </c>
      <c r="M150" s="69">
        <f t="shared" si="8"/>
        <v>1.5789473684210527E-4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input_1!A$2</f>
        <v>3081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IFERROR(VLOOKUP(D151,input_1!L:T,9,FALSE),VLOOKUP(tables_1!B151,input_1!A:H,8,FALSE))</f>
        <v>1592865</v>
      </c>
      <c r="M151" s="69">
        <f t="shared" si="8"/>
        <v>5.4000000000000003E-3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3081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IFERROR(VLOOKUP(D152,input_1!L:T,9,FALSE),VLOOKUP(tables_1!B152,input_1!A:H,8,FALSE))</f>
        <v>176985</v>
      </c>
      <c r="M152" s="69">
        <f t="shared" si="8"/>
        <v>5.9999999999999995E-4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input_1!A$2</f>
        <v>3081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IFERROR(VLOOKUP(D153,input_1!L:T,9,FALSE),VLOOKUP(tables_1!B153,input_1!A:H,8,FALSE))</f>
        <v>641250</v>
      </c>
      <c r="M153" s="69">
        <f t="shared" si="8"/>
        <v>2.1739130434782609E-3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input_1!A$2</f>
        <v>3081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IFERROR(VLOOKUP(D154,input_1!L:T,9,FALSE),VLOOKUP(tables_1!B154,input_1!A:H,8,FALSE))</f>
        <v>507870</v>
      </c>
      <c r="M154" s="69">
        <f t="shared" si="8"/>
        <v>1.7217391304347827E-3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input_1!A$2</f>
        <v>3081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IFERROR(VLOOKUP(D155,input_1!L:T,9,FALSE),VLOOKUP(tables_1!B155,input_1!A:H,8,FALSE))</f>
        <v>76950</v>
      </c>
      <c r="M155" s="69">
        <f t="shared" si="8"/>
        <v>2.6086956521739128E-4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input_1!A$2</f>
        <v>3081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IFERROR(VLOOKUP(D156,input_1!L:T,9,FALSE),VLOOKUP(tables_1!B156,input_1!A:H,8,FALSE))</f>
        <v>419175</v>
      </c>
      <c r="M156" s="69">
        <f t="shared" si="8"/>
        <v>1.4210526315789475E-3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3081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IFERROR(VLOOKUP(D157,input_1!L:T,9,FALSE),VLOOKUP(tables_1!B157,input_1!A:H,8,FALSE))</f>
        <v>46575</v>
      </c>
      <c r="M157" s="69">
        <f t="shared" si="8"/>
        <v>1.5789473684210527E-4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input_1!A$2</f>
        <v>3081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IFERROR(VLOOKUP(D158,input_1!L:T,9,FALSE),VLOOKUP(tables_1!B158,input_1!A:H,8,FALSE))</f>
        <v>641250</v>
      </c>
      <c r="M158" s="69">
        <f t="shared" si="8"/>
        <v>2.1739130434782609E-3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input_1!A$2</f>
        <v>3081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IFERROR(VLOOKUP(D159,input_1!L:T,9,FALSE),VLOOKUP(tables_1!B159,input_1!A:H,8,FALSE))</f>
        <v>507870</v>
      </c>
      <c r="M159" s="69">
        <f t="shared" si="8"/>
        <v>1.7217391304347827E-3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input_1!A$2</f>
        <v>3081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IFERROR(VLOOKUP(D160,input_1!L:T,9,FALSE),VLOOKUP(tables_1!B160,input_1!A:H,8,FALSE))</f>
        <v>76950</v>
      </c>
      <c r="M160" s="69">
        <f t="shared" si="8"/>
        <v>2.6086956521739128E-4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input_1!A$2</f>
        <v>3081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IFERROR(VLOOKUP(D161,input_1!L:T,9,FALSE),VLOOKUP(tables_1!B161,input_1!A:H,8,FALSE))</f>
        <v>3823750</v>
      </c>
      <c r="M161" s="69">
        <f t="shared" si="8"/>
        <v>1.2962962962962963E-2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input_1!A$2</f>
        <v>3081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IFERROR(VLOOKUP(D162,input_1!L:T,9,FALSE),VLOOKUP(tables_1!B162,input_1!A:H,8,FALSE))</f>
        <v>3028410</v>
      </c>
      <c r="M162" s="69">
        <f t="shared" si="8"/>
        <v>1.0266666666666667E-2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input_1!A$2</f>
        <v>3081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IFERROR(VLOOKUP(D163,input_1!L:T,9,FALSE),VLOOKUP(tables_1!B163,input_1!A:H,8,FALSE))</f>
        <v>458850</v>
      </c>
      <c r="M163" s="69">
        <f t="shared" si="8"/>
        <v>1.5555555555555555E-3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input_1!A$2</f>
        <v>3081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IFERROR(VLOOKUP(D164,input_1!L:T,9,FALSE),VLOOKUP(tables_1!B164,input_1!A:H,8,FALSE))</f>
        <v>419175</v>
      </c>
      <c r="M164" s="69">
        <f t="shared" si="8"/>
        <v>1.4210526315789475E-3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3081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IFERROR(VLOOKUP(D165,input_1!L:T,9,FALSE),VLOOKUP(tables_1!B165,input_1!A:H,8,FALSE))</f>
        <v>46575</v>
      </c>
      <c r="M165" s="69">
        <f t="shared" si="8"/>
        <v>1.5789473684210527E-4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input_1!A$2</f>
        <v>3081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IFERROR(VLOOKUP(D166,input_1!L:T,9,FALSE),VLOOKUP(tables_1!B166,input_1!A:H,8,FALSE))</f>
        <v>641250</v>
      </c>
      <c r="M166" s="69">
        <f t="shared" si="8"/>
        <v>2.1739130434782609E-3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input_1!A$2</f>
        <v>3081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IFERROR(VLOOKUP(D167,input_1!L:T,9,FALSE),VLOOKUP(tables_1!B167,input_1!A:H,8,FALSE))</f>
        <v>507870</v>
      </c>
      <c r="M167" s="69">
        <f t="shared" si="8"/>
        <v>1.7217391304347827E-3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input_1!A$2</f>
        <v>3081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IFERROR(VLOOKUP(D168,input_1!L:T,9,FALSE),VLOOKUP(tables_1!B168,input_1!A:H,8,FALSE))</f>
        <v>76950</v>
      </c>
      <c r="M168" s="69">
        <f t="shared" si="8"/>
        <v>2.6086956521739128E-4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input_1!A$2</f>
        <v>3081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IFERROR(VLOOKUP(D169,input_1!L:T,9,FALSE),VLOOKUP(tables_1!B169,input_1!A:H,8,FALSE))</f>
        <v>419175</v>
      </c>
      <c r="M169" s="69">
        <f t="shared" si="8"/>
        <v>1.4210526315789475E-3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3081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IFERROR(VLOOKUP(D170,input_1!L:T,9,FALSE),VLOOKUP(tables_1!B170,input_1!A:H,8,FALSE))</f>
        <v>46575</v>
      </c>
      <c r="M170" s="69">
        <f t="shared" si="8"/>
        <v>1.5789473684210527E-4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input_1!A$2</f>
        <v>3081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IFERROR(VLOOKUP(D171,input_1!L:T,9,FALSE),VLOOKUP(tables_1!B171,input_1!A:H,8,FALSE))</f>
        <v>3823750</v>
      </c>
      <c r="M171" s="69">
        <f t="shared" si="8"/>
        <v>1.2962962962962963E-2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input_1!A$2</f>
        <v>3081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IFERROR(VLOOKUP(D172,input_1!L:T,9,FALSE),VLOOKUP(tables_1!B172,input_1!A:H,8,FALSE))</f>
        <v>3028410</v>
      </c>
      <c r="M172" s="69">
        <f t="shared" si="8"/>
        <v>1.0266666666666667E-2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input_1!A$2</f>
        <v>3081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IFERROR(VLOOKUP(D173,input_1!L:T,9,FALSE),VLOOKUP(tables_1!B173,input_1!A:H,8,FALSE))</f>
        <v>458850</v>
      </c>
      <c r="M173" s="69">
        <f t="shared" si="8"/>
        <v>1.5555555555555555E-3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input_1!A$2</f>
        <v>3081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IFERROR(VLOOKUP(D174,input_1!L:T,9,FALSE),VLOOKUP(tables_1!B174,input_1!A:H,8,FALSE))</f>
        <v>419175</v>
      </c>
      <c r="M174" s="69">
        <f t="shared" si="8"/>
        <v>1.4210526315789475E-3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3081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IFERROR(VLOOKUP(D175,input_1!L:T,9,FALSE),VLOOKUP(tables_1!B175,input_1!A:H,8,FALSE))</f>
        <v>46575</v>
      </c>
      <c r="M175" s="69">
        <f t="shared" si="8"/>
        <v>1.5789473684210527E-4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input_1!A$2</f>
        <v>3081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IFERROR(VLOOKUP(D176,input_1!L:T,9,FALSE),VLOOKUP(tables_1!B176,input_1!A:H,8,FALSE))</f>
        <v>419175</v>
      </c>
      <c r="M176" s="69">
        <f t="shared" si="8"/>
        <v>1.4210526315789475E-3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3081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IFERROR(VLOOKUP(D177,input_1!L:T,9,FALSE),VLOOKUP(tables_1!B177,input_1!A:H,8,FALSE))</f>
        <v>46575</v>
      </c>
      <c r="M177" s="69">
        <f t="shared" si="8"/>
        <v>1.5789473684210527E-4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input_1!A$2</f>
        <v>3081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IFERROR(VLOOKUP(D178,input_1!L:T,9,FALSE),VLOOKUP(tables_1!B178,input_1!A:H,8,FALSE))</f>
        <v>641250</v>
      </c>
      <c r="M178" s="69">
        <f t="shared" si="8"/>
        <v>2.1739130434782609E-3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input_1!A$2</f>
        <v>3081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IFERROR(VLOOKUP(D179,input_1!L:T,9,FALSE),VLOOKUP(tables_1!B179,input_1!A:H,8,FALSE))</f>
        <v>507870</v>
      </c>
      <c r="M179" s="69">
        <f t="shared" si="8"/>
        <v>1.7217391304347827E-3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input_1!A$2</f>
        <v>3081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IFERROR(VLOOKUP(D180,input_1!L:T,9,FALSE),VLOOKUP(tables_1!B180,input_1!A:H,8,FALSE))</f>
        <v>76950</v>
      </c>
      <c r="M180" s="69">
        <f t="shared" si="8"/>
        <v>2.6086956521739128E-4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input_1!A$2</f>
        <v>3081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IFERROR(VLOOKUP(D181,input_1!L:T,9,FALSE),VLOOKUP(tables_1!B181,input_1!A:H,8,FALSE))</f>
        <v>3823750</v>
      </c>
      <c r="M181" s="69">
        <f t="shared" si="8"/>
        <v>1.2962962962962963E-2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input_1!A$2</f>
        <v>3081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IFERROR(VLOOKUP(D182,input_1!L:T,9,FALSE),VLOOKUP(tables_1!B182,input_1!A:H,8,FALSE))</f>
        <v>3028410</v>
      </c>
      <c r="M182" s="69">
        <f t="shared" si="8"/>
        <v>1.0266666666666667E-2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input_1!A$2</f>
        <v>3081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IFERROR(VLOOKUP(D183,input_1!L:T,9,FALSE),VLOOKUP(tables_1!B183,input_1!A:H,8,FALSE))</f>
        <v>458850</v>
      </c>
      <c r="M183" s="69">
        <f t="shared" si="8"/>
        <v>1.5555555555555555E-3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input_1!A$2</f>
        <v>3081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IFERROR(VLOOKUP(D184,input_1!L:T,9,FALSE),VLOOKUP(tables_1!B184,input_1!A:H,8,FALSE))</f>
        <v>419175</v>
      </c>
      <c r="M184" s="69">
        <f t="shared" si="8"/>
        <v>1.4210526315789475E-3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3081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IFERROR(VLOOKUP(D185,input_1!L:T,9,FALSE),VLOOKUP(tables_1!B185,input_1!A:H,8,FALSE))</f>
        <v>46575</v>
      </c>
      <c r="M185" s="69">
        <f t="shared" si="8"/>
        <v>1.5789473684210527E-4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input_1!A$2</f>
        <v>3081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IFERROR(VLOOKUP(D186,input_1!L:T,9,FALSE),VLOOKUP(tables_1!B186,input_1!A:H,8,FALSE))</f>
        <v>641250</v>
      </c>
      <c r="M186" s="69">
        <f t="shared" si="8"/>
        <v>2.1739130434782609E-3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input_1!A$2</f>
        <v>3081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IFERROR(VLOOKUP(D187,input_1!L:T,9,FALSE),VLOOKUP(tables_1!B187,input_1!A:H,8,FALSE))</f>
        <v>507870</v>
      </c>
      <c r="M187" s="69">
        <f t="shared" si="8"/>
        <v>1.7217391304347827E-3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input_1!A$2</f>
        <v>3081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IFERROR(VLOOKUP(D188,input_1!L:T,9,FALSE),VLOOKUP(tables_1!B188,input_1!A:H,8,FALSE))</f>
        <v>76950</v>
      </c>
      <c r="M188" s="69">
        <f t="shared" si="8"/>
        <v>2.6086956521739128E-4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input_1!A$2</f>
        <v>3081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IFERROR(VLOOKUP(D189,input_1!L:T,9,FALSE),VLOOKUP(tables_1!B189,input_1!A:H,8,FALSE))</f>
        <v>419175</v>
      </c>
      <c r="M189" s="69">
        <f t="shared" si="8"/>
        <v>1.4210526315789475E-3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3081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IFERROR(VLOOKUP(D190,input_1!L:T,9,FALSE),VLOOKUP(tables_1!B190,input_1!A:H,8,FALSE))</f>
        <v>46575</v>
      </c>
      <c r="M190" s="69">
        <f t="shared" si="8"/>
        <v>1.5789473684210527E-4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input_1!A$2</f>
        <v>3081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IFERROR(VLOOKUP(D191,input_1!L:T,9,FALSE),VLOOKUP(tables_1!B191,input_1!A:H,8,FALSE))</f>
        <v>1592865</v>
      </c>
      <c r="M191" s="69">
        <f t="shared" si="8"/>
        <v>5.4000000000000003E-3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3081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IFERROR(VLOOKUP(D192,input_1!L:T,9,FALSE),VLOOKUP(tables_1!B192,input_1!A:H,8,FALSE))</f>
        <v>176985</v>
      </c>
      <c r="M192" s="69">
        <f t="shared" si="8"/>
        <v>5.9999999999999995E-4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input_1!A$2</f>
        <v>3081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IFERROR(VLOOKUP(D193,input_1!L:T,9,FALSE),VLOOKUP(tables_1!B193,input_1!A:H,8,FALSE))</f>
        <v>641250</v>
      </c>
      <c r="M193" s="69">
        <f t="shared" si="8"/>
        <v>2.1739130434782609E-3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input_1!A$2</f>
        <v>3081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IFERROR(VLOOKUP(D194,input_1!L:T,9,FALSE),VLOOKUP(tables_1!B194,input_1!A:H,8,FALSE))</f>
        <v>507870</v>
      </c>
      <c r="M194" s="69">
        <f t="shared" si="8"/>
        <v>1.7217391304347827E-3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input_1!A$2</f>
        <v>3081</v>
      </c>
      <c r="B195" s="7" t="str">
        <f t="shared" ref="B195:B245" si="9">F195&amp;G195&amp;C195</f>
        <v>PremiumS5other</v>
      </c>
      <c r="C195" s="7" t="str">
        <f t="shared" ref="C195:C245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IFERROR(VLOOKUP(D195,input_1!L:T,9,FALSE),VLOOKUP(tables_1!B195,input_1!A:H,8,FALSE))</f>
        <v>76950</v>
      </c>
      <c r="M195" s="69">
        <f t="shared" ref="M195:M245" si="11">L195/SUM(L:L)</f>
        <v>2.6086956521739128E-4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input_1!A$2</f>
        <v>3081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IFERROR(VLOOKUP(D196,input_1!L:T,9,FALSE),VLOOKUP(tables_1!B196,input_1!A:H,8,FALSE))</f>
        <v>419175</v>
      </c>
      <c r="M196" s="69">
        <f t="shared" si="11"/>
        <v>1.4210526315789475E-3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3081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IFERROR(VLOOKUP(D197,input_1!L:T,9,FALSE),VLOOKUP(tables_1!B197,input_1!A:H,8,FALSE))</f>
        <v>46575</v>
      </c>
      <c r="M197" s="69">
        <f t="shared" si="11"/>
        <v>1.5789473684210527E-4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input_1!A$2</f>
        <v>3081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IFERROR(VLOOKUP(D198,input_1!L:T,9,FALSE),VLOOKUP(tables_1!B198,input_1!A:H,8,FALSE))</f>
        <v>641250</v>
      </c>
      <c r="M198" s="69">
        <f t="shared" si="11"/>
        <v>2.1739130434782609E-3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input_1!A$2</f>
        <v>3081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IFERROR(VLOOKUP(D199,input_1!L:T,9,FALSE),VLOOKUP(tables_1!B199,input_1!A:H,8,FALSE))</f>
        <v>507870</v>
      </c>
      <c r="M199" s="69">
        <f t="shared" si="11"/>
        <v>1.7217391304347827E-3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input_1!A$2</f>
        <v>3081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IFERROR(VLOOKUP(D200,input_1!L:T,9,FALSE),VLOOKUP(tables_1!B200,input_1!A:H,8,FALSE))</f>
        <v>76950</v>
      </c>
      <c r="M200" s="69">
        <f t="shared" si="11"/>
        <v>2.6086956521739128E-4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input_1!A$2</f>
        <v>3081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IFERROR(VLOOKUP(D201,input_1!L:T,9,FALSE),VLOOKUP(tables_1!B201,input_1!A:H,8,FALSE))</f>
        <v>1592865</v>
      </c>
      <c r="M201" s="69">
        <f t="shared" si="11"/>
        <v>5.4000000000000003E-3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3081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IFERROR(VLOOKUP(D202,input_1!L:T,9,FALSE),VLOOKUP(tables_1!B202,input_1!A:H,8,FALSE))</f>
        <v>176985</v>
      </c>
      <c r="M202" s="69">
        <f t="shared" si="11"/>
        <v>5.9999999999999995E-4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input_1!A$2</f>
        <v>3081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IFERROR(VLOOKUP(D203,input_1!L:T,9,FALSE),VLOOKUP(tables_1!B203,input_1!A:H,8,FALSE))</f>
        <v>641250</v>
      </c>
      <c r="M203" s="69">
        <f t="shared" si="11"/>
        <v>2.1739130434782609E-3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input_1!A$2</f>
        <v>3081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IFERROR(VLOOKUP(D204,input_1!L:T,9,FALSE),VLOOKUP(tables_1!B204,input_1!A:H,8,FALSE))</f>
        <v>507870</v>
      </c>
      <c r="M204" s="69">
        <f t="shared" si="11"/>
        <v>1.7217391304347827E-3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input_1!A$2</f>
        <v>3081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IFERROR(VLOOKUP(D205,input_1!L:T,9,FALSE),VLOOKUP(tables_1!B205,input_1!A:H,8,FALSE))</f>
        <v>76950</v>
      </c>
      <c r="M205" s="69">
        <f t="shared" si="11"/>
        <v>2.6086956521739128E-4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input_1!A$2</f>
        <v>3081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IFERROR(VLOOKUP(D206,input_1!L:T,9,FALSE),VLOOKUP(tables_1!B206,input_1!A:H,8,FALSE))</f>
        <v>419175</v>
      </c>
      <c r="M206" s="69">
        <f t="shared" si="11"/>
        <v>1.4210526315789475E-3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3081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IFERROR(VLOOKUP(D207,input_1!L:T,9,FALSE),VLOOKUP(tables_1!B207,input_1!A:H,8,FALSE))</f>
        <v>46575</v>
      </c>
      <c r="M207" s="69">
        <f t="shared" si="11"/>
        <v>1.5789473684210527E-4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input_1!A$2</f>
        <v>3081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IFERROR(VLOOKUP(D208,input_1!L:T,9,FALSE),VLOOKUP(tables_1!B208,input_1!A:H,8,FALSE))</f>
        <v>419175</v>
      </c>
      <c r="M208" s="69">
        <f t="shared" si="11"/>
        <v>1.4210526315789475E-3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3081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IFERROR(VLOOKUP(D209,input_1!L:T,9,FALSE),VLOOKUP(tables_1!B209,input_1!A:H,8,FALSE))</f>
        <v>46575</v>
      </c>
      <c r="M209" s="69">
        <f t="shared" si="11"/>
        <v>1.5789473684210527E-4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input_1!A$2</f>
        <v>3081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IFERROR(VLOOKUP(D210,input_1!L:T,9,FALSE),VLOOKUP(tables_1!B210,input_1!A:H,8,FALSE))</f>
        <v>3823750</v>
      </c>
      <c r="M210" s="69">
        <f t="shared" si="11"/>
        <v>1.2962962962962963E-2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input_1!A$2</f>
        <v>3081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IFERROR(VLOOKUP(D211,input_1!L:T,9,FALSE),VLOOKUP(tables_1!B211,input_1!A:H,8,FALSE))</f>
        <v>3028410</v>
      </c>
      <c r="M211" s="69">
        <f t="shared" si="11"/>
        <v>1.0266666666666667E-2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input_1!A$2</f>
        <v>3081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IFERROR(VLOOKUP(D212,input_1!L:T,9,FALSE),VLOOKUP(tables_1!B212,input_1!A:H,8,FALSE))</f>
        <v>458850</v>
      </c>
      <c r="M212" s="69">
        <f t="shared" si="11"/>
        <v>1.5555555555555555E-3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input_1!A$2</f>
        <v>3081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IFERROR(VLOOKUP(D213,input_1!L:T,9,FALSE),VLOOKUP(tables_1!B213,input_1!A:H,8,FALSE))</f>
        <v>419175</v>
      </c>
      <c r="M213" s="69">
        <f t="shared" si="11"/>
        <v>1.4210526315789475E-3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3081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IFERROR(VLOOKUP(D214,input_1!L:T,9,FALSE),VLOOKUP(tables_1!B214,input_1!A:H,8,FALSE))</f>
        <v>46575</v>
      </c>
      <c r="M214" s="69">
        <f t="shared" si="11"/>
        <v>1.5789473684210527E-4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input_1!A$2</f>
        <v>3081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IFERROR(VLOOKUP(D215,input_1!L:T,9,FALSE),VLOOKUP(tables_1!B215,input_1!A:H,8,FALSE))</f>
        <v>419175</v>
      </c>
      <c r="M215" s="69">
        <f t="shared" si="11"/>
        <v>1.4210526315789475E-3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3081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IFERROR(VLOOKUP(D216,input_1!L:T,9,FALSE),VLOOKUP(tables_1!B216,input_1!A:H,8,FALSE))</f>
        <v>46575</v>
      </c>
      <c r="M216" s="69">
        <f t="shared" si="11"/>
        <v>1.5789473684210527E-4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input_1!A$2</f>
        <v>3081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IFERROR(VLOOKUP(D217,input_1!L:T,9,FALSE),VLOOKUP(tables_1!B217,input_1!A:H,8,FALSE))</f>
        <v>641250</v>
      </c>
      <c r="M217" s="69">
        <f t="shared" si="11"/>
        <v>2.1739130434782609E-3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input_1!A$2</f>
        <v>3081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IFERROR(VLOOKUP(D218,input_1!L:T,9,FALSE),VLOOKUP(tables_1!B218,input_1!A:H,8,FALSE))</f>
        <v>507870</v>
      </c>
      <c r="M218" s="69">
        <f t="shared" si="11"/>
        <v>1.7217391304347827E-3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input_1!A$2</f>
        <v>3081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IFERROR(VLOOKUP(D219,input_1!L:T,9,FALSE),VLOOKUP(tables_1!B219,input_1!A:H,8,FALSE))</f>
        <v>76950</v>
      </c>
      <c r="M219" s="69">
        <f t="shared" si="11"/>
        <v>2.6086956521739128E-4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input_1!A$2</f>
        <v>3081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IFERROR(VLOOKUP(D220,input_1!L:T,9,FALSE),VLOOKUP(tables_1!B220,input_1!A:H,8,FALSE))</f>
        <v>3823750</v>
      </c>
      <c r="M220" s="69">
        <f t="shared" si="11"/>
        <v>1.2962962962962963E-2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input_1!A$2</f>
        <v>3081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IFERROR(VLOOKUP(D221,input_1!L:T,9,FALSE),VLOOKUP(tables_1!B221,input_1!A:H,8,FALSE))</f>
        <v>3028410</v>
      </c>
      <c r="M221" s="69">
        <f t="shared" si="11"/>
        <v>1.0266666666666667E-2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input_1!A$2</f>
        <v>3081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IFERROR(VLOOKUP(D222,input_1!L:T,9,FALSE),VLOOKUP(tables_1!B222,input_1!A:H,8,FALSE))</f>
        <v>458850</v>
      </c>
      <c r="M222" s="69">
        <f t="shared" si="11"/>
        <v>1.5555555555555555E-3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input_1!A$2</f>
        <v>3081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IFERROR(VLOOKUP(D223,input_1!L:T,9,FALSE),VLOOKUP(tables_1!B223,input_1!A:H,8,FALSE))</f>
        <v>419175</v>
      </c>
      <c r="M223" s="69">
        <f t="shared" si="11"/>
        <v>1.4210526315789475E-3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3081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IFERROR(VLOOKUP(D224,input_1!L:T,9,FALSE),VLOOKUP(tables_1!B224,input_1!A:H,8,FALSE))</f>
        <v>46575</v>
      </c>
      <c r="M224" s="69">
        <f t="shared" si="11"/>
        <v>1.5789473684210527E-4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input_1!A$2</f>
        <v>3081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IFERROR(VLOOKUP(D225,input_1!L:T,9,FALSE),VLOOKUP(tables_1!B225,input_1!A:H,8,FALSE))</f>
        <v>641250</v>
      </c>
      <c r="M225" s="69">
        <f t="shared" si="11"/>
        <v>2.1739130434782609E-3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input_1!A$2</f>
        <v>3081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IFERROR(VLOOKUP(D226,input_1!L:T,9,FALSE),VLOOKUP(tables_1!B226,input_1!A:H,8,FALSE))</f>
        <v>507870</v>
      </c>
      <c r="M226" s="69">
        <f t="shared" si="11"/>
        <v>1.7217391304347827E-3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input_1!A$2</f>
        <v>3081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IFERROR(VLOOKUP(D227,input_1!L:T,9,FALSE),VLOOKUP(tables_1!B227,input_1!A:H,8,FALSE))</f>
        <v>76950</v>
      </c>
      <c r="M227" s="69">
        <f t="shared" si="11"/>
        <v>2.6086956521739128E-4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input_1!A$2</f>
        <v>3081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IFERROR(VLOOKUP(D228,input_1!L:T,9,FALSE),VLOOKUP(tables_1!B228,input_1!A:H,8,FALSE))</f>
        <v>641250</v>
      </c>
      <c r="M228" s="69">
        <f t="shared" si="11"/>
        <v>2.1739130434782609E-3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input_1!A$2</f>
        <v>3081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IFERROR(VLOOKUP(D229,input_1!L:T,9,FALSE),VLOOKUP(tables_1!B229,input_1!A:H,8,FALSE))</f>
        <v>507870</v>
      </c>
      <c r="M229" s="69">
        <f t="shared" si="11"/>
        <v>1.7217391304347827E-3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input_1!A$2</f>
        <v>3081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IFERROR(VLOOKUP(D230,input_1!L:T,9,FALSE),VLOOKUP(tables_1!B230,input_1!A:H,8,FALSE))</f>
        <v>76950</v>
      </c>
      <c r="M230" s="69">
        <f t="shared" si="11"/>
        <v>2.6086956521739128E-4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input_1!A$2</f>
        <v>3081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IFERROR(VLOOKUP(D231,input_1!L:T,9,FALSE),VLOOKUP(tables_1!B231,input_1!A:H,8,FALSE))</f>
        <v>1592865</v>
      </c>
      <c r="M231" s="69">
        <f t="shared" si="11"/>
        <v>5.4000000000000003E-3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3081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IFERROR(VLOOKUP(D232,input_1!L:T,9,FALSE),VLOOKUP(tables_1!B232,input_1!A:H,8,FALSE))</f>
        <v>176985</v>
      </c>
      <c r="M232" s="69">
        <f t="shared" si="11"/>
        <v>5.9999999999999995E-4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input_1!A$2</f>
        <v>3081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IFERROR(VLOOKUP(D233,input_1!L:T,9,FALSE),VLOOKUP(tables_1!B233,input_1!A:H,8,FALSE))</f>
        <v>641250</v>
      </c>
      <c r="M233" s="69">
        <f t="shared" si="11"/>
        <v>2.1739130434782609E-3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input_1!A$2</f>
        <v>3081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IFERROR(VLOOKUP(D234,input_1!L:T,9,FALSE),VLOOKUP(tables_1!B234,input_1!A:H,8,FALSE))</f>
        <v>507870</v>
      </c>
      <c r="M234" s="69">
        <f t="shared" si="11"/>
        <v>1.7217391304347827E-3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input_1!A$2</f>
        <v>3081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IFERROR(VLOOKUP(D235,input_1!L:T,9,FALSE),VLOOKUP(tables_1!B235,input_1!A:H,8,FALSE))</f>
        <v>76950</v>
      </c>
      <c r="M235" s="69">
        <f t="shared" si="11"/>
        <v>2.6086956521739128E-4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input_1!A$2</f>
        <v>3081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IFERROR(VLOOKUP(D236,input_1!L:T,9,FALSE),VLOOKUP(tables_1!B236,input_1!A:H,8,FALSE))</f>
        <v>419175</v>
      </c>
      <c r="M236" s="69">
        <f t="shared" si="11"/>
        <v>1.4210526315789475E-3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3081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IFERROR(VLOOKUP(D237,input_1!L:T,9,FALSE),VLOOKUP(tables_1!B237,input_1!A:H,8,FALSE))</f>
        <v>46575</v>
      </c>
      <c r="M237" s="69">
        <f t="shared" si="11"/>
        <v>1.5789473684210527E-4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input_1!A$2</f>
        <v>3081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IFERROR(VLOOKUP(D238,input_1!L:T,9,FALSE),VLOOKUP(tables_1!B238,input_1!A:H,8,FALSE))</f>
        <v>419175</v>
      </c>
      <c r="M238" s="69">
        <f t="shared" si="11"/>
        <v>1.4210526315789475E-3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3081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IFERROR(VLOOKUP(D239,input_1!L:T,9,FALSE),VLOOKUP(tables_1!B239,input_1!A:H,8,FALSE))</f>
        <v>46575</v>
      </c>
      <c r="M239" s="69">
        <f t="shared" si="11"/>
        <v>1.5789473684210527E-4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input_1!A$2</f>
        <v>3081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IFERROR(VLOOKUP(D240,input_1!L:T,9,FALSE),VLOOKUP(tables_1!B240,input_1!A:H,8,FALSE))</f>
        <v>3823750</v>
      </c>
      <c r="M240" s="69">
        <f t="shared" si="11"/>
        <v>1.2962962962962963E-2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input_1!A$2</f>
        <v>3081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IFERROR(VLOOKUP(D241,input_1!L:T,9,FALSE),VLOOKUP(tables_1!B241,input_1!A:H,8,FALSE))</f>
        <v>3028410</v>
      </c>
      <c r="M241" s="69">
        <f t="shared" si="11"/>
        <v>1.0266666666666667E-2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input_1!A$2</f>
        <v>3081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IFERROR(VLOOKUP(D242,input_1!L:T,9,FALSE),VLOOKUP(tables_1!B242,input_1!A:H,8,FALSE))</f>
        <v>458850</v>
      </c>
      <c r="M242" s="69">
        <f t="shared" si="11"/>
        <v>1.5555555555555555E-3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input_1!A$2</f>
        <v>3081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IFERROR(VLOOKUP(D243,input_1!L:T,9,FALSE),VLOOKUP(tables_1!B243,input_1!A:H,8,FALSE))</f>
        <v>641250</v>
      </c>
      <c r="M243" s="69">
        <f t="shared" si="11"/>
        <v>2.1739130434782609E-3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input_1!A$2</f>
        <v>3081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IFERROR(VLOOKUP(D244,input_1!L:T,9,FALSE),VLOOKUP(tables_1!B244,input_1!A:H,8,FALSE))</f>
        <v>507870</v>
      </c>
      <c r="M244" s="69">
        <f t="shared" si="11"/>
        <v>1.7217391304347827E-3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input_1!A$2</f>
        <v>3081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IFERROR(VLOOKUP(D245,input_1!L:T,9,FALSE),VLOOKUP(tables_1!B245,input_1!A:H,8,FALSE))</f>
        <v>76950</v>
      </c>
      <c r="M245" s="69">
        <f t="shared" si="11"/>
        <v>2.6086956521739128E-4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input_1!A$2</f>
        <v>3081</v>
      </c>
      <c r="B246" s="7" t="str">
        <f t="shared" ref="B246" si="12">F246&amp;G246&amp;C246</f>
        <v>PremiumSSS5blue</v>
      </c>
      <c r="C246" s="7" t="str">
        <f t="shared" ref="C246" si="13">IF(H246="blue",H246,"other")</f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IFERROR(VLOOKUP(D246,input_1!L:T,9,FALSE),VLOOKUP(tables_1!B246,input_1!A:H,8,FALSE))</f>
        <v>1179900</v>
      </c>
      <c r="M246" s="69">
        <f t="shared" ref="M246" si="14">L246/SUM(L:L)</f>
        <v>4.0000000000000001E-3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sortState ref="A2:T189">
    <sortCondition ref="A2:A189"/>
    <sortCondition ref="D2:D189"/>
  </sortState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U75"/>
  <sheetViews>
    <sheetView workbookViewId="0">
      <selection activeCell="B1" sqref="B1"/>
    </sheetView>
  </sheetViews>
  <sheetFormatPr baseColWidth="12" defaultRowHeight="14" x14ac:dyDescent="0"/>
  <sheetData>
    <row r="1" spans="1:20">
      <c r="A1" s="72" t="s">
        <v>106</v>
      </c>
      <c r="B1" s="92" t="s">
        <v>137</v>
      </c>
      <c r="L1" s="55" t="s">
        <v>80</v>
      </c>
      <c r="M1" s="55"/>
    </row>
    <row r="2" spans="1:20">
      <c r="A2">
        <v>3083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55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0.95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0.05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0.93599999999999994</v>
      </c>
    </row>
    <row r="14" spans="1:20">
      <c r="A14" s="47" t="s">
        <v>72</v>
      </c>
      <c r="B14" s="86">
        <v>0.06</v>
      </c>
    </row>
    <row r="15" spans="1:20">
      <c r="A15" s="47" t="s">
        <v>71</v>
      </c>
      <c r="B15" s="85">
        <v>4.0000000000000001E-3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0.7</v>
      </c>
    </row>
    <row r="19" spans="1:21">
      <c r="A19" s="62" t="s">
        <v>64</v>
      </c>
      <c r="B19" s="52">
        <v>0.3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</v>
      </c>
      <c r="C24" s="71">
        <f>SUMIF(S:S,A24,N:N)</f>
        <v>0</v>
      </c>
      <c r="D24" s="61">
        <f>B24-C24</f>
        <v>0</v>
      </c>
      <c r="E24">
        <f>COUNTIF(tables_2!B:B,input_2!A24)-COUNTIF(S:S,A24)</f>
        <v>5</v>
      </c>
      <c r="F24" s="66">
        <f>IFERROR(D24/E24,0)</f>
        <v>0</v>
      </c>
      <c r="G24">
        <f>A$49*D24</f>
        <v>0</v>
      </c>
      <c r="H24">
        <f>IFERROR(ROUND(G24/E24,5),0)</f>
        <v>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0</v>
      </c>
      <c r="C25" s="71">
        <f t="shared" ref="C25:C45" si="0">SUMIF(S:S,A25,N:N)</f>
        <v>0</v>
      </c>
      <c r="D25" s="61">
        <f t="shared" ref="D25:D45" si="1">B25-C25</f>
        <v>0</v>
      </c>
      <c r="E25">
        <f>COUNTIF(tables_2!B:B,input_2!A25)-COUNTIF(S:S,A25)</f>
        <v>15</v>
      </c>
      <c r="F25" s="66">
        <f t="shared" ref="F25:F45" si="2">IFERROR(D25/E25,0)</f>
        <v>0</v>
      </c>
      <c r="G25">
        <f t="shared" ref="G25:G45" si="3">A$49*D25</f>
        <v>0</v>
      </c>
      <c r="H25">
        <f t="shared" ref="H25:H45" si="4">IFERROR(ROUND(G25/E25,5),0)</f>
        <v>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</v>
      </c>
      <c r="C26" s="71">
        <f t="shared" si="0"/>
        <v>0</v>
      </c>
      <c r="D26" s="61">
        <f t="shared" si="1"/>
        <v>0</v>
      </c>
      <c r="E26">
        <f>COUNTIF(tables_2!B:B,input_2!A26)-COUNTIF(S:S,A26)</f>
        <v>5</v>
      </c>
      <c r="F26" s="6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0</v>
      </c>
      <c r="C27" s="71">
        <f t="shared" si="0"/>
        <v>0</v>
      </c>
      <c r="D27" s="61">
        <f t="shared" si="1"/>
        <v>0</v>
      </c>
      <c r="E27">
        <f>COUNTIF(tables_2!B:B,input_2!A27)-COUNTIF(S:S,A27)</f>
        <v>15</v>
      </c>
      <c r="F27" s="66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</v>
      </c>
      <c r="C28" s="71">
        <f t="shared" si="0"/>
        <v>0</v>
      </c>
      <c r="D28" s="61">
        <f t="shared" si="1"/>
        <v>0</v>
      </c>
      <c r="E28">
        <f>COUNTIF(tables_2!B:B,input_2!A28)-COUNTIF(S:S,A28)</f>
        <v>9</v>
      </c>
      <c r="F28" s="66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0</v>
      </c>
      <c r="C29" s="71">
        <f t="shared" si="0"/>
        <v>0</v>
      </c>
      <c r="D29" s="61">
        <f t="shared" si="1"/>
        <v>0</v>
      </c>
      <c r="E29">
        <f>COUNTIF(tables_2!B:B,input_2!A29)-COUNTIF(S:S,A29)</f>
        <v>23</v>
      </c>
      <c r="F29" s="66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56">
        <f>(B6-B36-B37-B38)*B18/3</f>
        <v>0.20906666666666662</v>
      </c>
      <c r="C30" s="71">
        <f t="shared" si="0"/>
        <v>0</v>
      </c>
      <c r="D30" s="61">
        <f t="shared" si="1"/>
        <v>0.20906666666666662</v>
      </c>
      <c r="E30">
        <f>COUNTIF(tables_2!B:B,input_2!A30)-COUNTIF(S:S,A30)</f>
        <v>5</v>
      </c>
      <c r="F30" s="66">
        <f t="shared" si="2"/>
        <v>4.1813333333333327E-2</v>
      </c>
      <c r="G30">
        <f t="shared" si="3"/>
        <v>61669439.999999985</v>
      </c>
      <c r="H30">
        <f t="shared" si="4"/>
        <v>12333888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56">
        <f>B30*3/7</f>
        <v>8.9599999999999985E-2</v>
      </c>
      <c r="C31" s="71">
        <f t="shared" si="0"/>
        <v>0</v>
      </c>
      <c r="D31" s="61">
        <f t="shared" si="1"/>
        <v>8.9599999999999985E-2</v>
      </c>
      <c r="E31">
        <f>COUNTIF(tables_2!B:B,input_2!A31)-COUNTIF(S:S,A31)</f>
        <v>15</v>
      </c>
      <c r="F31" s="66">
        <f t="shared" si="2"/>
        <v>5.9733333333333322E-3</v>
      </c>
      <c r="G31">
        <f t="shared" si="3"/>
        <v>26429759.999999996</v>
      </c>
      <c r="H31">
        <f t="shared" si="4"/>
        <v>1761984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0.20906666666666662</v>
      </c>
      <c r="C32" s="71">
        <f t="shared" si="0"/>
        <v>0</v>
      </c>
      <c r="D32" s="61">
        <f t="shared" si="1"/>
        <v>0.20906666666666662</v>
      </c>
      <c r="E32">
        <f>COUNTIF(tables_2!B:B,input_2!A32)-COUNTIF(S:S,A32)</f>
        <v>5</v>
      </c>
      <c r="F32" s="66">
        <f t="shared" si="2"/>
        <v>4.1813333333333327E-2</v>
      </c>
      <c r="G32">
        <f t="shared" si="3"/>
        <v>61669439.999999985</v>
      </c>
      <c r="H32">
        <f t="shared" si="4"/>
        <v>12333888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8.9599999999999985E-2</v>
      </c>
      <c r="C33" s="71">
        <f t="shared" si="0"/>
        <v>0</v>
      </c>
      <c r="D33" s="61">
        <f t="shared" si="1"/>
        <v>8.9599999999999985E-2</v>
      </c>
      <c r="E33">
        <f>COUNTIF(tables_2!B:B,input_2!A33)-COUNTIF(S:S,A33)</f>
        <v>15</v>
      </c>
      <c r="F33" s="66">
        <f t="shared" si="2"/>
        <v>5.9733333333333322E-3</v>
      </c>
      <c r="G33">
        <f t="shared" si="3"/>
        <v>26429759.999999996</v>
      </c>
      <c r="H33">
        <f t="shared" si="4"/>
        <v>1761984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0.20906666666666662</v>
      </c>
      <c r="C34" s="71">
        <f t="shared" si="0"/>
        <v>0</v>
      </c>
      <c r="D34" s="61">
        <f t="shared" si="1"/>
        <v>0.20906666666666662</v>
      </c>
      <c r="E34">
        <f>COUNTIF(tables_2!B:B,input_2!A34)-COUNTIF(S:S,A34)</f>
        <v>9</v>
      </c>
      <c r="F34" s="66">
        <f t="shared" si="2"/>
        <v>2.3229629629629624E-2</v>
      </c>
      <c r="G34">
        <f t="shared" si="3"/>
        <v>61669439.999999985</v>
      </c>
      <c r="H34">
        <f t="shared" si="4"/>
        <v>6852160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8.9599999999999985E-2</v>
      </c>
      <c r="C35" s="71">
        <f t="shared" si="0"/>
        <v>0</v>
      </c>
      <c r="D35" s="61">
        <f t="shared" si="1"/>
        <v>8.9599999999999985E-2</v>
      </c>
      <c r="E35">
        <f>COUNTIF(tables_2!B:B,input_2!A35)-COUNTIF(S:S,A35)</f>
        <v>23</v>
      </c>
      <c r="F35" s="66">
        <f t="shared" si="2"/>
        <v>3.8956521739130427E-3</v>
      </c>
      <c r="G35">
        <f t="shared" si="3"/>
        <v>26429759.999999996</v>
      </c>
      <c r="H35">
        <f t="shared" si="4"/>
        <v>1149120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v>2.7E-2</v>
      </c>
      <c r="C36" s="71">
        <f t="shared" si="0"/>
        <v>0</v>
      </c>
      <c r="D36" s="61">
        <f t="shared" si="1"/>
        <v>2.7E-2</v>
      </c>
      <c r="E36">
        <f>COUNTIF(tables_2!B:B,input_2!A36)-COUNTIF(S:S,A36)</f>
        <v>5</v>
      </c>
      <c r="F36" s="66">
        <f t="shared" si="2"/>
        <v>5.4000000000000003E-3</v>
      </c>
      <c r="G36">
        <f t="shared" si="3"/>
        <v>7964325</v>
      </c>
      <c r="H36">
        <f t="shared" si="4"/>
        <v>1592865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2.7E-2</v>
      </c>
      <c r="C37" s="71">
        <f t="shared" si="0"/>
        <v>0</v>
      </c>
      <c r="D37" s="61">
        <f t="shared" si="1"/>
        <v>2.7E-2</v>
      </c>
      <c r="E37">
        <f>COUNTIF(tables_2!B:B,input_2!A37)-COUNTIF(S:S,A37)</f>
        <v>19</v>
      </c>
      <c r="F37" s="66">
        <f t="shared" si="2"/>
        <v>1.4210526315789472E-3</v>
      </c>
      <c r="G37">
        <f t="shared" si="3"/>
        <v>7964325</v>
      </c>
      <c r="H37">
        <f t="shared" si="4"/>
        <v>419175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COUNTIF(tables_2!B:B,input_2!A38)-COUNTIF(S:S,A38)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1.3999999999999997E-2</v>
      </c>
      <c r="C39" s="71">
        <f t="shared" si="0"/>
        <v>0</v>
      </c>
      <c r="D39" s="61">
        <f t="shared" si="1"/>
        <v>1.3999999999999997E-2</v>
      </c>
      <c r="E39">
        <f>COUNTIF(tables_2!B:B,input_2!A39)-COUNTIF(S:S,A39)</f>
        <v>5</v>
      </c>
      <c r="F39" s="66">
        <f t="shared" si="2"/>
        <v>2.7999999999999995E-3</v>
      </c>
      <c r="G39">
        <f t="shared" si="3"/>
        <v>4129649.9999999991</v>
      </c>
      <c r="H39">
        <f t="shared" si="4"/>
        <v>825930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f>B39*3/7</f>
        <v>5.9999999999999984E-3</v>
      </c>
      <c r="C40" s="71">
        <f t="shared" si="0"/>
        <v>0</v>
      </c>
      <c r="D40" s="61">
        <f t="shared" si="1"/>
        <v>5.9999999999999984E-3</v>
      </c>
      <c r="E40">
        <f>COUNTIF(tables_2!B:B,input_2!A40)-COUNTIF(S:S,A40)</f>
        <v>15</v>
      </c>
      <c r="F40" s="66">
        <f t="shared" si="2"/>
        <v>3.9999999999999991E-4</v>
      </c>
      <c r="G40">
        <f t="shared" si="3"/>
        <v>1769849.9999999995</v>
      </c>
      <c r="H40">
        <f t="shared" si="4"/>
        <v>117990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1.3999999999999997E-2</v>
      </c>
      <c r="C41" s="71">
        <f t="shared" si="0"/>
        <v>0</v>
      </c>
      <c r="D41" s="61">
        <f t="shared" si="1"/>
        <v>1.3999999999999997E-2</v>
      </c>
      <c r="E41">
        <f>COUNTIF(tables_2!B:B,input_2!A41)-COUNTIF(S:S,A41)</f>
        <v>9</v>
      </c>
      <c r="F41" s="66">
        <f t="shared" si="2"/>
        <v>1.5555555555555553E-3</v>
      </c>
      <c r="G41">
        <f t="shared" si="3"/>
        <v>4129649.9999999991</v>
      </c>
      <c r="H41">
        <f t="shared" si="4"/>
        <v>458850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5.9999999999999984E-3</v>
      </c>
      <c r="C42" s="71">
        <f t="shared" si="0"/>
        <v>0</v>
      </c>
      <c r="D42" s="61">
        <f t="shared" si="1"/>
        <v>5.9999999999999984E-3</v>
      </c>
      <c r="E42">
        <f>COUNTIF(tables_2!B:B,input_2!A42)-COUNTIF(S:S,A42)</f>
        <v>23</v>
      </c>
      <c r="F42" s="66">
        <f t="shared" si="2"/>
        <v>2.6086956521739123E-4</v>
      </c>
      <c r="G42">
        <f t="shared" si="3"/>
        <v>1769849.9999999995</v>
      </c>
      <c r="H42">
        <f t="shared" si="4"/>
        <v>76950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3.0000000000000001E-3</v>
      </c>
      <c r="C43" s="71">
        <f t="shared" si="0"/>
        <v>0</v>
      </c>
      <c r="D43" s="61">
        <f t="shared" si="1"/>
        <v>3.0000000000000001E-3</v>
      </c>
      <c r="E43">
        <f>COUNTIF(tables_2!B:B,input_2!A43)-COUNTIF(S:S,A43)</f>
        <v>5</v>
      </c>
      <c r="F43" s="66">
        <f t="shared" si="2"/>
        <v>6.0000000000000006E-4</v>
      </c>
      <c r="G43">
        <f t="shared" si="3"/>
        <v>884925</v>
      </c>
      <c r="H43">
        <f t="shared" si="4"/>
        <v>176985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3.0000000000000001E-3</v>
      </c>
      <c r="C44" s="71">
        <f t="shared" si="0"/>
        <v>0</v>
      </c>
      <c r="D44" s="61">
        <f t="shared" si="1"/>
        <v>3.0000000000000001E-3</v>
      </c>
      <c r="E44">
        <f>COUNTIF(tables_2!B:B,input_2!A44)-COUNTIF(S:S,A44)</f>
        <v>19</v>
      </c>
      <c r="F44" s="66">
        <f t="shared" si="2"/>
        <v>1.5789473684210527E-4</v>
      </c>
      <c r="G44">
        <f t="shared" si="3"/>
        <v>884925</v>
      </c>
      <c r="H44">
        <f t="shared" si="4"/>
        <v>46575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v>4.0000000000000001E-3</v>
      </c>
      <c r="C45" s="71">
        <f t="shared" si="0"/>
        <v>0</v>
      </c>
      <c r="D45" s="61">
        <f t="shared" si="1"/>
        <v>4.0000000000000001E-3</v>
      </c>
      <c r="E45">
        <f>COUNTIF(tables_2!B:B,input_2!A45)-COUNTIF(S:S,A45)</f>
        <v>1</v>
      </c>
      <c r="F45" s="66">
        <f t="shared" si="2"/>
        <v>4.0000000000000001E-3</v>
      </c>
      <c r="G45">
        <f t="shared" si="3"/>
        <v>1179900</v>
      </c>
      <c r="H45">
        <f t="shared" si="4"/>
        <v>1179900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1</v>
      </c>
      <c r="C46" s="60">
        <f>SUM(C24:C45)</f>
        <v>0</v>
      </c>
      <c r="D46" s="65">
        <f>B46-C46</f>
        <v>1</v>
      </c>
    </row>
    <row r="48" spans="1:21">
      <c r="A48" t="s">
        <v>96</v>
      </c>
    </row>
    <row r="49" spans="1:6">
      <c r="A49" s="34">
        <f>3000*19*23*3*3*5*5</f>
        <v>294975000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SUMIF(tables_2!B:B,input_2!A53,tables_2!L:L)</f>
        <v>0</v>
      </c>
      <c r="C53">
        <f>B53/B$75</f>
        <v>0</v>
      </c>
      <c r="E53" s="47">
        <v>3</v>
      </c>
      <c r="F53" s="90">
        <f>SUM(C53:C58)</f>
        <v>0</v>
      </c>
    </row>
    <row r="54" spans="1:6">
      <c r="A54" s="47" t="s">
        <v>122</v>
      </c>
      <c r="B54" s="47">
        <f>SUMIF(tables_2!B:B,input_2!A54,tables_2!L:L)</f>
        <v>0</v>
      </c>
      <c r="C54">
        <f t="shared" ref="C54:C74" si="7">B54/B$75</f>
        <v>0</v>
      </c>
      <c r="E54" s="47">
        <v>4</v>
      </c>
      <c r="F54" s="90">
        <f>SUM(C59:C67)</f>
        <v>0.95000000000000007</v>
      </c>
    </row>
    <row r="55" spans="1:6">
      <c r="A55" s="47" t="str">
        <f>"PremiumN3"&amp;A$18</f>
        <v>PremiumN3blue</v>
      </c>
      <c r="B55" s="47">
        <f>SUMIF(tables_2!B:B,input_2!A55,tables_2!L:L)</f>
        <v>0</v>
      </c>
      <c r="C55">
        <f t="shared" si="7"/>
        <v>0</v>
      </c>
      <c r="E55" s="47">
        <v>5</v>
      </c>
      <c r="F55" s="90">
        <f>SUM(C68:C74)</f>
        <v>0.05</v>
      </c>
    </row>
    <row r="56" spans="1:6">
      <c r="A56" s="47" t="s">
        <v>123</v>
      </c>
      <c r="B56" s="47">
        <f>SUMIF(tables_2!B:B,input_2!A56,tables_2!L:L)</f>
        <v>0</v>
      </c>
      <c r="C56">
        <f t="shared" si="7"/>
        <v>0</v>
      </c>
    </row>
    <row r="57" spans="1:6">
      <c r="A57" s="47" t="str">
        <f>"PremiumS3"&amp;A$18</f>
        <v>PremiumS3blue</v>
      </c>
      <c r="B57" s="47">
        <f>SUMIF(tables_2!B:B,input_2!A57,tables_2!L:L)</f>
        <v>0</v>
      </c>
      <c r="C57">
        <f t="shared" si="7"/>
        <v>0</v>
      </c>
      <c r="E57" s="50" t="s">
        <v>70</v>
      </c>
      <c r="F57" s="50"/>
    </row>
    <row r="58" spans="1:6">
      <c r="A58" s="47" t="s">
        <v>133</v>
      </c>
      <c r="B58" s="47">
        <f>SUMIF(tables_2!B:B,input_2!A58,tables_2!L:L)</f>
        <v>0</v>
      </c>
      <c r="C58">
        <f t="shared" si="7"/>
        <v>0</v>
      </c>
      <c r="E58" s="47" t="s">
        <v>73</v>
      </c>
      <c r="F58" s="52">
        <f>1-F59-F60</f>
        <v>0.93599999999999994</v>
      </c>
    </row>
    <row r="59" spans="1:6">
      <c r="A59" s="47" t="str">
        <f>"PremiumW4"&amp;A$18</f>
        <v>PremiumW4blue</v>
      </c>
      <c r="B59" s="47">
        <f>SUMIF(tables_2!B:B,input_2!A59,tables_2!L:L)</f>
        <v>61669440</v>
      </c>
      <c r="C59">
        <f t="shared" si="7"/>
        <v>0.20906666666666668</v>
      </c>
      <c r="E59" s="47" t="s">
        <v>72</v>
      </c>
      <c r="F59" s="52">
        <f>C65+C66+C73+C72</f>
        <v>6.0000000000000005E-2</v>
      </c>
    </row>
    <row r="60" spans="1:6">
      <c r="A60" s="47" t="s">
        <v>124</v>
      </c>
      <c r="B60" s="47">
        <f>SUMIF(tables_2!B:B,input_2!A60,tables_2!L:L)</f>
        <v>26429760</v>
      </c>
      <c r="C60">
        <f t="shared" si="7"/>
        <v>8.9599999999999999E-2</v>
      </c>
      <c r="E60" s="47" t="s">
        <v>71</v>
      </c>
      <c r="F60" s="52">
        <f>C67+C74</f>
        <v>4.0000000000000001E-3</v>
      </c>
    </row>
    <row r="61" spans="1:6">
      <c r="A61" s="47" t="str">
        <f>"PremiumN4"&amp;A$18</f>
        <v>PremiumN4blue</v>
      </c>
      <c r="B61" s="47">
        <f>SUMIF(tables_2!B:B,input_2!A61,tables_2!L:L)</f>
        <v>61669440</v>
      </c>
      <c r="C61">
        <f t="shared" si="7"/>
        <v>0.20906666666666668</v>
      </c>
    </row>
    <row r="62" spans="1:6">
      <c r="A62" s="47" t="s">
        <v>125</v>
      </c>
      <c r="B62" s="47">
        <f>SUMIF(tables_2!B:B,input_2!A62,tables_2!L:L)</f>
        <v>26429760</v>
      </c>
      <c r="C62">
        <f t="shared" si="7"/>
        <v>8.9599999999999999E-2</v>
      </c>
    </row>
    <row r="63" spans="1:6">
      <c r="A63" s="47" t="str">
        <f>"PremiumS4"&amp;A$18</f>
        <v>PremiumS4blue</v>
      </c>
      <c r="B63" s="47">
        <f>SUMIF(tables_2!B:B,input_2!A63,tables_2!L:L)</f>
        <v>61669440</v>
      </c>
      <c r="C63">
        <f t="shared" si="7"/>
        <v>0.20906666666666668</v>
      </c>
    </row>
    <row r="64" spans="1:6">
      <c r="A64" s="47" t="s">
        <v>136</v>
      </c>
      <c r="B64" s="47">
        <f>SUMIF(tables_2!B:B,input_2!A64,tables_2!L:L)</f>
        <v>26429760</v>
      </c>
      <c r="C64">
        <f t="shared" si="7"/>
        <v>8.9599999999999999E-2</v>
      </c>
    </row>
    <row r="65" spans="1:3">
      <c r="A65" s="47" t="str">
        <f>"PremiumSS4"&amp;A$18</f>
        <v>PremiumSS4blue</v>
      </c>
      <c r="B65" s="47">
        <f>SUMIF(tables_2!B:B,input_2!A65,tables_2!L:L)</f>
        <v>7964325</v>
      </c>
      <c r="C65">
        <f t="shared" si="7"/>
        <v>2.7E-2</v>
      </c>
    </row>
    <row r="66" spans="1:3">
      <c r="A66" s="47" t="str">
        <f>"PremiumSS4"&amp;A$19</f>
        <v>PremiumSS4other</v>
      </c>
      <c r="B66" s="47">
        <f>SUMIF(tables_2!B:B,input_2!A66,tables_2!L:L)</f>
        <v>7964325</v>
      </c>
      <c r="C66">
        <f t="shared" si="7"/>
        <v>2.7E-2</v>
      </c>
    </row>
    <row r="67" spans="1:3">
      <c r="A67" s="47" t="s">
        <v>87</v>
      </c>
      <c r="B67" s="47">
        <f>SUMIF(tables_2!B:B,input_2!A67,tables_2!L:L)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SUMIF(tables_2!B:B,input_2!A68,tables_2!L:L)</f>
        <v>4129650</v>
      </c>
      <c r="C68">
        <f t="shared" si="7"/>
        <v>1.4E-2</v>
      </c>
    </row>
    <row r="69" spans="1:3">
      <c r="A69" s="47" t="str">
        <f>"PremiumN5"&amp;A$19</f>
        <v>PremiumN5other</v>
      </c>
      <c r="B69" s="47">
        <f>SUMIF(tables_2!B:B,input_2!A69,tables_2!L:L)</f>
        <v>1769850</v>
      </c>
      <c r="C69">
        <f t="shared" si="7"/>
        <v>6.0000000000000001E-3</v>
      </c>
    </row>
    <row r="70" spans="1:3">
      <c r="A70" s="47" t="str">
        <f>"PremiumS5"&amp;A$18</f>
        <v>PremiumS5blue</v>
      </c>
      <c r="B70" s="47">
        <f>SUMIF(tables_2!B:B,input_2!A70,tables_2!L:L)</f>
        <v>4129650</v>
      </c>
      <c r="C70">
        <f t="shared" si="7"/>
        <v>1.4E-2</v>
      </c>
    </row>
    <row r="71" spans="1:3">
      <c r="A71" s="47" t="str">
        <f>"PremiumS5"&amp;A$19</f>
        <v>PremiumS5other</v>
      </c>
      <c r="B71" s="47">
        <f>SUMIF(tables_2!B:B,input_2!A71,tables_2!L:L)</f>
        <v>1769850</v>
      </c>
      <c r="C71">
        <f t="shared" si="7"/>
        <v>6.0000000000000001E-3</v>
      </c>
    </row>
    <row r="72" spans="1:3">
      <c r="A72" s="47" t="str">
        <f>"PremiumSS5"&amp;A$18</f>
        <v>PremiumSS5blue</v>
      </c>
      <c r="B72" s="47">
        <f>SUMIF(tables_2!B:B,input_2!A72,tables_2!L:L)</f>
        <v>884925</v>
      </c>
      <c r="C72">
        <f t="shared" si="7"/>
        <v>3.0000000000000001E-3</v>
      </c>
    </row>
    <row r="73" spans="1:3">
      <c r="A73" s="47" t="str">
        <f>"PremiumSS5"&amp;A$19</f>
        <v>PremiumSS5other</v>
      </c>
      <c r="B73" s="47">
        <f>SUMIF(tables_2!B:B,input_2!A73,tables_2!L:L)</f>
        <v>884925</v>
      </c>
      <c r="C73">
        <f t="shared" si="7"/>
        <v>3.0000000000000001E-3</v>
      </c>
    </row>
    <row r="74" spans="1:3">
      <c r="A74" s="13" t="s">
        <v>134</v>
      </c>
      <c r="B74" s="47">
        <f>SUMIF(tables_2!B:B,input_2!A74,tables_2!L:L)</f>
        <v>1179900</v>
      </c>
      <c r="C74">
        <f t="shared" si="7"/>
        <v>4.0000000000000001E-3</v>
      </c>
    </row>
    <row r="75" spans="1:3">
      <c r="A75" t="s">
        <v>77</v>
      </c>
      <c r="B75">
        <f>SUM(B53:B74)</f>
        <v>294975000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L181" sqref="L181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82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input_2!A$2</f>
        <v>3083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IFERROR(VLOOKUP(D2,input_2!L:T,9,FALSE),VLOOKUP(tables_2!B2,input_2!A:H,8,FALSE))</f>
        <v>0</v>
      </c>
      <c r="M2" s="69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input_2!A$2</f>
        <v>3083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IFERROR(VLOOKUP(D3,input_2!L:T,9,FALSE),VLOOKUP(tables_2!B3,input_2!A:H,8,FALSE))</f>
        <v>1761984</v>
      </c>
      <c r="M3" s="69">
        <f t="shared" ref="M3:M66" si="2">L3/SUM(L:L)</f>
        <v>5.9733333333333331E-3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input_2!A$2</f>
        <v>3083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IFERROR(VLOOKUP(D4,input_2!L:T,9,FALSE),VLOOKUP(tables_2!B4,input_2!A:H,8,FALSE))</f>
        <v>0</v>
      </c>
      <c r="M4" s="69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input_2!A$2</f>
        <v>3083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IFERROR(VLOOKUP(D5,input_2!L:T,9,FALSE),VLOOKUP(tables_2!B5,input_2!A:H,8,FALSE))</f>
        <v>1761984</v>
      </c>
      <c r="M5" s="69">
        <f t="shared" si="2"/>
        <v>5.9733333333333331E-3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input_2!A$2</f>
        <v>3083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IFERROR(VLOOKUP(D6,input_2!L:T,9,FALSE),VLOOKUP(tables_2!B6,input_2!A:H,8,FALSE))</f>
        <v>0</v>
      </c>
      <c r="M6" s="69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input_2!A$2</f>
        <v>3083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IFERROR(VLOOKUP(D7,input_2!L:T,9,FALSE),VLOOKUP(tables_2!B7,input_2!A:H,8,FALSE))</f>
        <v>12333888</v>
      </c>
      <c r="M7" s="69">
        <f t="shared" si="2"/>
        <v>4.1813333333333334E-2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input_2!A$2</f>
        <v>3083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IFERROR(VLOOKUP(D8,input_2!L:T,9,FALSE),VLOOKUP(tables_2!B8,input_2!A:H,8,FALSE))</f>
        <v>0</v>
      </c>
      <c r="M8" s="69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input_2!A$2</f>
        <v>3083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IFERROR(VLOOKUP(D9,input_2!L:T,9,FALSE),VLOOKUP(tables_2!B9,input_2!A:H,8,FALSE))</f>
        <v>1761984</v>
      </c>
      <c r="M9" s="69">
        <f t="shared" si="2"/>
        <v>5.9733333333333331E-3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input_2!A$2</f>
        <v>3083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IFERROR(VLOOKUP(D10,input_2!L:T,9,FALSE),VLOOKUP(tables_2!B10,input_2!A:H,8,FALSE))</f>
        <v>0</v>
      </c>
      <c r="M10" s="69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input_2!A$2</f>
        <v>3083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IFERROR(VLOOKUP(D11,input_2!L:T,9,FALSE),VLOOKUP(tables_2!B11,input_2!A:H,8,FALSE))</f>
        <v>1761984</v>
      </c>
      <c r="M11" s="69">
        <f t="shared" si="2"/>
        <v>5.9733333333333331E-3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input_2!A$2</f>
        <v>3083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IFERROR(VLOOKUP(D12,input_2!L:T,9,FALSE),VLOOKUP(tables_2!B12,input_2!A:H,8,FALSE))</f>
        <v>0</v>
      </c>
      <c r="M12" s="69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input_2!A$2</f>
        <v>3083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IFERROR(VLOOKUP(D13,input_2!L:T,9,FALSE),VLOOKUP(tables_2!B13,input_2!A:H,8,FALSE))</f>
        <v>1761984</v>
      </c>
      <c r="M13" s="69">
        <f t="shared" si="2"/>
        <v>5.9733333333333331E-3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input_2!A$2</f>
        <v>3083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IFERROR(VLOOKUP(D14,input_2!L:T,9,FALSE),VLOOKUP(tables_2!B14,input_2!A:H,8,FALSE))</f>
        <v>0</v>
      </c>
      <c r="M14" s="69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input_2!A$2</f>
        <v>3083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IFERROR(VLOOKUP(D15,input_2!L:T,9,FALSE),VLOOKUP(tables_2!B15,input_2!A:H,8,FALSE))</f>
        <v>12333888</v>
      </c>
      <c r="M15" s="69">
        <f t="shared" si="2"/>
        <v>4.1813333333333334E-2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input_2!A$2</f>
        <v>3083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IFERROR(VLOOKUP(D16,input_2!L:T,9,FALSE),VLOOKUP(tables_2!B16,input_2!A:H,8,FALSE))</f>
        <v>0</v>
      </c>
      <c r="M16" s="69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input_2!A$2</f>
        <v>3083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IFERROR(VLOOKUP(D17,input_2!L:T,9,FALSE),VLOOKUP(tables_2!B17,input_2!A:H,8,FALSE))</f>
        <v>1761984</v>
      </c>
      <c r="M17" s="69">
        <f t="shared" si="2"/>
        <v>5.9733333333333331E-3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input_2!A$2</f>
        <v>3083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IFERROR(VLOOKUP(D18,input_2!L:T,9,FALSE),VLOOKUP(tables_2!B18,input_2!A:H,8,FALSE))</f>
        <v>0</v>
      </c>
      <c r="M18" s="69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input_2!A$2</f>
        <v>3083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IFERROR(VLOOKUP(D19,input_2!L:T,9,FALSE),VLOOKUP(tables_2!B19,input_2!A:H,8,FALSE))</f>
        <v>1761984</v>
      </c>
      <c r="M19" s="69">
        <f t="shared" si="2"/>
        <v>5.9733333333333331E-3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input_2!A$2</f>
        <v>3083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IFERROR(VLOOKUP(D20,input_2!L:T,9,FALSE),VLOOKUP(tables_2!B20,input_2!A:H,8,FALSE))</f>
        <v>0</v>
      </c>
      <c r="M20" s="69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input_2!A$2</f>
        <v>3083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IFERROR(VLOOKUP(D21,input_2!L:T,9,FALSE),VLOOKUP(tables_2!B21,input_2!A:H,8,FALSE))</f>
        <v>1761984</v>
      </c>
      <c r="M21" s="69">
        <f t="shared" si="2"/>
        <v>5.9733333333333331E-3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input_2!A$2</f>
        <v>3083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IFERROR(VLOOKUP(D22,input_2!L:T,9,FALSE),VLOOKUP(tables_2!B22,input_2!A:H,8,FALSE))</f>
        <v>0</v>
      </c>
      <c r="M22" s="69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input_2!A$2</f>
        <v>3083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IFERROR(VLOOKUP(D23,input_2!L:T,9,FALSE),VLOOKUP(tables_2!B23,input_2!A:H,8,FALSE))</f>
        <v>12333888</v>
      </c>
      <c r="M23" s="69">
        <f t="shared" si="2"/>
        <v>4.1813333333333334E-2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input_2!A$2</f>
        <v>3083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IFERROR(VLOOKUP(D24,input_2!L:T,9,FALSE),VLOOKUP(tables_2!B24,input_2!A:H,8,FALSE))</f>
        <v>0</v>
      </c>
      <c r="M24" s="69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input_2!A$2</f>
        <v>3083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IFERROR(VLOOKUP(D25,input_2!L:T,9,FALSE),VLOOKUP(tables_2!B25,input_2!A:H,8,FALSE))</f>
        <v>1761984</v>
      </c>
      <c r="M25" s="69">
        <f t="shared" si="2"/>
        <v>5.9733333333333331E-3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input_2!A$2</f>
        <v>3083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IFERROR(VLOOKUP(D26,input_2!L:T,9,FALSE),VLOOKUP(tables_2!B26,input_2!A:H,8,FALSE))</f>
        <v>0</v>
      </c>
      <c r="M26" s="69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input_2!A$2</f>
        <v>3083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IFERROR(VLOOKUP(D27,input_2!L:T,9,FALSE),VLOOKUP(tables_2!B27,input_2!A:H,8,FALSE))</f>
        <v>1761984</v>
      </c>
      <c r="M27" s="69">
        <f t="shared" si="2"/>
        <v>5.9733333333333331E-3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input_2!A$2</f>
        <v>3083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IFERROR(VLOOKUP(D28,input_2!L:T,9,FALSE),VLOOKUP(tables_2!B28,input_2!A:H,8,FALSE))</f>
        <v>0</v>
      </c>
      <c r="M28" s="69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input_2!A$2</f>
        <v>3083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IFERROR(VLOOKUP(D29,input_2!L:T,9,FALSE),VLOOKUP(tables_2!B29,input_2!A:H,8,FALSE))</f>
        <v>1761984</v>
      </c>
      <c r="M29" s="69">
        <f t="shared" si="2"/>
        <v>5.9733333333333331E-3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input_2!A$2</f>
        <v>3083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IFERROR(VLOOKUP(D30,input_2!L:T,9,FALSE),VLOOKUP(tables_2!B30,input_2!A:H,8,FALSE))</f>
        <v>0</v>
      </c>
      <c r="M30" s="69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input_2!A$2</f>
        <v>3083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IFERROR(VLOOKUP(D31,input_2!L:T,9,FALSE),VLOOKUP(tables_2!B31,input_2!A:H,8,FALSE))</f>
        <v>12333888</v>
      </c>
      <c r="M31" s="69">
        <f t="shared" si="2"/>
        <v>4.1813333333333334E-2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input_2!A$2</f>
        <v>3083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IFERROR(VLOOKUP(D32,input_2!L:T,9,FALSE),VLOOKUP(tables_2!B32,input_2!A:H,8,FALSE))</f>
        <v>0</v>
      </c>
      <c r="M32" s="69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input_2!A$2</f>
        <v>3083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IFERROR(VLOOKUP(D33,input_2!L:T,9,FALSE),VLOOKUP(tables_2!B33,input_2!A:H,8,FALSE))</f>
        <v>1761984</v>
      </c>
      <c r="M33" s="69">
        <f t="shared" si="2"/>
        <v>5.9733333333333331E-3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input_2!A$2</f>
        <v>3083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IFERROR(VLOOKUP(D34,input_2!L:T,9,FALSE),VLOOKUP(tables_2!B34,input_2!A:H,8,FALSE))</f>
        <v>0</v>
      </c>
      <c r="M34" s="69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input_2!A$2</f>
        <v>3083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IFERROR(VLOOKUP(D35,input_2!L:T,9,FALSE),VLOOKUP(tables_2!B35,input_2!A:H,8,FALSE))</f>
        <v>1761984</v>
      </c>
      <c r="M35" s="69">
        <f t="shared" si="2"/>
        <v>5.9733333333333331E-3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input_2!A$2</f>
        <v>3083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IFERROR(VLOOKUP(D36,input_2!L:T,9,FALSE),VLOOKUP(tables_2!B36,input_2!A:H,8,FALSE))</f>
        <v>0</v>
      </c>
      <c r="M36" s="69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input_2!A$2</f>
        <v>3083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IFERROR(VLOOKUP(D37,input_2!L:T,9,FALSE),VLOOKUP(tables_2!B37,input_2!A:H,8,FALSE))</f>
        <v>1761984</v>
      </c>
      <c r="M37" s="69">
        <f t="shared" si="2"/>
        <v>5.9733333333333331E-3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input_2!A$2</f>
        <v>3083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IFERROR(VLOOKUP(D38,input_2!L:T,9,FALSE),VLOOKUP(tables_2!B38,input_2!A:H,8,FALSE))</f>
        <v>0</v>
      </c>
      <c r="M38" s="69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input_2!A$2</f>
        <v>3083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IFERROR(VLOOKUP(D39,input_2!L:T,9,FALSE),VLOOKUP(tables_2!B39,input_2!A:H,8,FALSE))</f>
        <v>12333888</v>
      </c>
      <c r="M39" s="69">
        <f t="shared" si="2"/>
        <v>4.1813333333333334E-2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input_2!A$2</f>
        <v>3083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IFERROR(VLOOKUP(D40,input_2!L:T,9,FALSE),VLOOKUP(tables_2!B40,input_2!A:H,8,FALSE))</f>
        <v>0</v>
      </c>
      <c r="M40" s="69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input_2!A$2</f>
        <v>3083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IFERROR(VLOOKUP(D41,input_2!L:T,9,FALSE),VLOOKUP(tables_2!B41,input_2!A:H,8,FALSE))</f>
        <v>1761984</v>
      </c>
      <c r="M41" s="69">
        <f t="shared" si="2"/>
        <v>5.9733333333333331E-3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input_2!A$2</f>
        <v>3083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IFERROR(VLOOKUP(D42,input_2!L:T,9,FALSE),VLOOKUP(tables_2!B42,input_2!A:H,8,FALSE))</f>
        <v>0</v>
      </c>
      <c r="M42" s="69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input_2!A$2</f>
        <v>3083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IFERROR(VLOOKUP(D43,input_2!L:T,9,FALSE),VLOOKUP(tables_2!B43,input_2!A:H,8,FALSE))</f>
        <v>1761984</v>
      </c>
      <c r="M43" s="69">
        <f t="shared" si="2"/>
        <v>5.9733333333333331E-3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input_2!A$2</f>
        <v>3083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IFERROR(VLOOKUP(D44,input_2!L:T,9,FALSE),VLOOKUP(tables_2!B44,input_2!A:H,8,FALSE))</f>
        <v>117990</v>
      </c>
      <c r="M44" s="69">
        <f t="shared" si="2"/>
        <v>4.0000000000000002E-4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input_2!A$2</f>
        <v>3083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IFERROR(VLOOKUP(D45,input_2!L:T,9,FALSE),VLOOKUP(tables_2!B45,input_2!A:H,8,FALSE))</f>
        <v>0</v>
      </c>
      <c r="M45" s="69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input_2!A$2</f>
        <v>3083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IFERROR(VLOOKUP(D46,input_2!L:T,9,FALSE),VLOOKUP(tables_2!B46,input_2!A:H,8,FALSE))</f>
        <v>1761984</v>
      </c>
      <c r="M46" s="69">
        <f t="shared" si="2"/>
        <v>5.9733333333333331E-3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input_2!A$2</f>
        <v>3083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IFERROR(VLOOKUP(D47,input_2!L:T,9,FALSE),VLOOKUP(tables_2!B47,input_2!A:H,8,FALSE))</f>
        <v>117990</v>
      </c>
      <c r="M47" s="69">
        <f t="shared" si="2"/>
        <v>4.0000000000000002E-4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input_2!A$2</f>
        <v>3083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IFERROR(VLOOKUP(D48,input_2!L:T,9,FALSE),VLOOKUP(tables_2!B48,input_2!A:H,8,FALSE))</f>
        <v>0</v>
      </c>
      <c r="M48" s="69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input_2!A$2</f>
        <v>3083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IFERROR(VLOOKUP(D49,input_2!L:T,9,FALSE),VLOOKUP(tables_2!B49,input_2!A:H,8,FALSE))</f>
        <v>12333888</v>
      </c>
      <c r="M49" s="69">
        <f t="shared" si="2"/>
        <v>4.1813333333333334E-2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input_2!A$2</f>
        <v>3083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IFERROR(VLOOKUP(D50,input_2!L:T,9,FALSE),VLOOKUP(tables_2!B50,input_2!A:H,8,FALSE))</f>
        <v>825930</v>
      </c>
      <c r="M50" s="69">
        <f t="shared" si="2"/>
        <v>2.8E-3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input_2!A$2</f>
        <v>3083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IFERROR(VLOOKUP(D51,input_2!L:T,9,FALSE),VLOOKUP(tables_2!B51,input_2!A:H,8,FALSE))</f>
        <v>0</v>
      </c>
      <c r="M51" s="69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input_2!A$2</f>
        <v>3083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IFERROR(VLOOKUP(D52,input_2!L:T,9,FALSE),VLOOKUP(tables_2!B52,input_2!A:H,8,FALSE))</f>
        <v>1761984</v>
      </c>
      <c r="M52" s="69">
        <f t="shared" si="2"/>
        <v>5.9733333333333331E-3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input_2!A$2</f>
        <v>3083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IFERROR(VLOOKUP(D53,input_2!L:T,9,FALSE),VLOOKUP(tables_2!B53,input_2!A:H,8,FALSE))</f>
        <v>117990</v>
      </c>
      <c r="M53" s="69">
        <f t="shared" si="2"/>
        <v>4.0000000000000002E-4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input_2!A$2</f>
        <v>3083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IFERROR(VLOOKUP(D54,input_2!L:T,9,FALSE),VLOOKUP(tables_2!B54,input_2!A:H,8,FALSE))</f>
        <v>0</v>
      </c>
      <c r="M54" s="69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input_2!A$2</f>
        <v>3083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IFERROR(VLOOKUP(D55,input_2!L:T,9,FALSE),VLOOKUP(tables_2!B55,input_2!A:H,8,FALSE))</f>
        <v>1761984</v>
      </c>
      <c r="M55" s="69">
        <f t="shared" si="2"/>
        <v>5.9733333333333331E-3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input_2!A$2</f>
        <v>3083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IFERROR(VLOOKUP(D56,input_2!L:T,9,FALSE),VLOOKUP(tables_2!B56,input_2!A:H,8,FALSE))</f>
        <v>117990</v>
      </c>
      <c r="M56" s="69">
        <f t="shared" si="2"/>
        <v>4.0000000000000002E-4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input_2!A$2</f>
        <v>3083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IFERROR(VLOOKUP(D57,input_2!L:T,9,FALSE),VLOOKUP(tables_2!B57,input_2!A:H,8,FALSE))</f>
        <v>0</v>
      </c>
      <c r="M57" s="69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input_2!A$2</f>
        <v>3083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IFERROR(VLOOKUP(D58,input_2!L:T,9,FALSE),VLOOKUP(tables_2!B58,input_2!A:H,8,FALSE))</f>
        <v>1761984</v>
      </c>
      <c r="M58" s="69">
        <f t="shared" si="2"/>
        <v>5.9733333333333331E-3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input_2!A$2</f>
        <v>3083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IFERROR(VLOOKUP(D59,input_2!L:T,9,FALSE),VLOOKUP(tables_2!B59,input_2!A:H,8,FALSE))</f>
        <v>117990</v>
      </c>
      <c r="M59" s="69">
        <f t="shared" si="2"/>
        <v>4.0000000000000002E-4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input_2!A$2</f>
        <v>3083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IFERROR(VLOOKUP(D60,input_2!L:T,9,FALSE),VLOOKUP(tables_2!B60,input_2!A:H,8,FALSE))</f>
        <v>0</v>
      </c>
      <c r="M60" s="69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input_2!A$2</f>
        <v>3083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IFERROR(VLOOKUP(D61,input_2!L:T,9,FALSE),VLOOKUP(tables_2!B61,input_2!A:H,8,FALSE))</f>
        <v>12333888</v>
      </c>
      <c r="M61" s="69">
        <f t="shared" si="2"/>
        <v>4.1813333333333334E-2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input_2!A$2</f>
        <v>3083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IFERROR(VLOOKUP(D62,input_2!L:T,9,FALSE),VLOOKUP(tables_2!B62,input_2!A:H,8,FALSE))</f>
        <v>825930</v>
      </c>
      <c r="M62" s="69">
        <f t="shared" si="2"/>
        <v>2.8E-3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input_2!A$2</f>
        <v>3083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IFERROR(VLOOKUP(D63,input_2!L:T,9,FALSE),VLOOKUP(tables_2!B63,input_2!A:H,8,FALSE))</f>
        <v>0</v>
      </c>
      <c r="M63" s="69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input_2!A$2</f>
        <v>3083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IFERROR(VLOOKUP(D64,input_2!L:T,9,FALSE),VLOOKUP(tables_2!B64,input_2!A:H,8,FALSE))</f>
        <v>1761984</v>
      </c>
      <c r="M64" s="69">
        <f t="shared" si="2"/>
        <v>5.9733333333333331E-3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input_2!A$2</f>
        <v>3083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IFERROR(VLOOKUP(D65,input_2!L:T,9,FALSE),VLOOKUP(tables_2!B65,input_2!A:H,8,FALSE))</f>
        <v>117990</v>
      </c>
      <c r="M65" s="69">
        <f t="shared" si="2"/>
        <v>4.0000000000000002E-4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input_2!A$2</f>
        <v>3083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IFERROR(VLOOKUP(D66,input_2!L:T,9,FALSE),VLOOKUP(tables_2!B66,input_2!A:H,8,FALSE))</f>
        <v>0</v>
      </c>
      <c r="M66" s="69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input_2!A$2</f>
        <v>3083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IFERROR(VLOOKUP(D67,input_2!L:T,9,FALSE),VLOOKUP(tables_2!B67,input_2!A:H,8,FALSE))</f>
        <v>1761984</v>
      </c>
      <c r="M67" s="69">
        <f t="shared" ref="M67:M130" si="5">L67/SUM(L:L)</f>
        <v>5.9733333333333331E-3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input_2!A$2</f>
        <v>3083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IFERROR(VLOOKUP(D68,input_2!L:T,9,FALSE),VLOOKUP(tables_2!B68,input_2!A:H,8,FALSE))</f>
        <v>117990</v>
      </c>
      <c r="M68" s="69">
        <f t="shared" si="5"/>
        <v>4.0000000000000002E-4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input_2!A$2</f>
        <v>3083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IFERROR(VLOOKUP(D69,input_2!L:T,9,FALSE),VLOOKUP(tables_2!B69,input_2!A:H,8,FALSE))</f>
        <v>0</v>
      </c>
      <c r="M69" s="69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input_2!A$2</f>
        <v>3083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IFERROR(VLOOKUP(D70,input_2!L:T,9,FALSE),VLOOKUP(tables_2!B70,input_2!A:H,8,FALSE))</f>
        <v>1761984</v>
      </c>
      <c r="M70" s="69">
        <f t="shared" si="5"/>
        <v>5.9733333333333331E-3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input_2!A$2</f>
        <v>3083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IFERROR(VLOOKUP(D71,input_2!L:T,9,FALSE),VLOOKUP(tables_2!B71,input_2!A:H,8,FALSE))</f>
        <v>117990</v>
      </c>
      <c r="M71" s="69">
        <f t="shared" si="5"/>
        <v>4.0000000000000002E-4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input_2!A$2</f>
        <v>3083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IFERROR(VLOOKUP(D72,input_2!L:T,9,FALSE),VLOOKUP(tables_2!B72,input_2!A:H,8,FALSE))</f>
        <v>0</v>
      </c>
      <c r="M72" s="69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input_2!A$2</f>
        <v>3083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IFERROR(VLOOKUP(D73,input_2!L:T,9,FALSE),VLOOKUP(tables_2!B73,input_2!A:H,8,FALSE))</f>
        <v>1761984</v>
      </c>
      <c r="M73" s="69">
        <f t="shared" si="5"/>
        <v>5.9733333333333331E-3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input_2!A$2</f>
        <v>3083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IFERROR(VLOOKUP(D74,input_2!L:T,9,FALSE),VLOOKUP(tables_2!B74,input_2!A:H,8,FALSE))</f>
        <v>117990</v>
      </c>
      <c r="M74" s="69">
        <f t="shared" si="5"/>
        <v>4.0000000000000002E-4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input_2!A$2</f>
        <v>3083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IFERROR(VLOOKUP(D75,input_2!L:T,9,FALSE),VLOOKUP(tables_2!B75,input_2!A:H,8,FALSE))</f>
        <v>0</v>
      </c>
      <c r="M75" s="69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input_2!A$2</f>
        <v>3083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IFERROR(VLOOKUP(D76,input_2!L:T,9,FALSE),VLOOKUP(tables_2!B76,input_2!A:H,8,FALSE))</f>
        <v>12333888</v>
      </c>
      <c r="M76" s="69">
        <f t="shared" si="5"/>
        <v>4.1813333333333334E-2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input_2!A$2</f>
        <v>3083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IFERROR(VLOOKUP(D77,input_2!L:T,9,FALSE),VLOOKUP(tables_2!B77,input_2!A:H,8,FALSE))</f>
        <v>825930</v>
      </c>
      <c r="M77" s="69">
        <f t="shared" si="5"/>
        <v>2.8E-3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input_2!A$2</f>
        <v>3083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IFERROR(VLOOKUP(D78,input_2!L:T,9,FALSE),VLOOKUP(tables_2!B78,input_2!A:H,8,FALSE))</f>
        <v>0</v>
      </c>
      <c r="M78" s="69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input_2!A$2</f>
        <v>3083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IFERROR(VLOOKUP(D79,input_2!L:T,9,FALSE),VLOOKUP(tables_2!B79,input_2!A:H,8,FALSE))</f>
        <v>1761984</v>
      </c>
      <c r="M79" s="69">
        <f t="shared" si="5"/>
        <v>5.9733333333333331E-3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input_2!A$2</f>
        <v>3083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IFERROR(VLOOKUP(D80,input_2!L:T,9,FALSE),VLOOKUP(tables_2!B80,input_2!A:H,8,FALSE))</f>
        <v>117990</v>
      </c>
      <c r="M80" s="69">
        <f t="shared" si="5"/>
        <v>4.0000000000000002E-4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input_2!A$2</f>
        <v>3083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IFERROR(VLOOKUP(D81,input_2!L:T,9,FALSE),VLOOKUP(tables_2!B81,input_2!A:H,8,FALSE))</f>
        <v>0</v>
      </c>
      <c r="M81" s="69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input_2!A$2</f>
        <v>3083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IFERROR(VLOOKUP(D82,input_2!L:T,9,FALSE),VLOOKUP(tables_2!B82,input_2!A:H,8,FALSE))</f>
        <v>1761984</v>
      </c>
      <c r="M82" s="69">
        <f t="shared" si="5"/>
        <v>5.9733333333333331E-3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input_2!A$2</f>
        <v>3083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IFERROR(VLOOKUP(D83,input_2!L:T,9,FALSE),VLOOKUP(tables_2!B83,input_2!A:H,8,FALSE))</f>
        <v>117990</v>
      </c>
      <c r="M83" s="69">
        <f t="shared" si="5"/>
        <v>4.0000000000000002E-4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input_2!A$2</f>
        <v>3083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IFERROR(VLOOKUP(D84,input_2!L:T,9,FALSE),VLOOKUP(tables_2!B84,input_2!A:H,8,FALSE))</f>
        <v>0</v>
      </c>
      <c r="M84" s="69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input_2!A$2</f>
        <v>3083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IFERROR(VLOOKUP(D85,input_2!L:T,9,FALSE),VLOOKUP(tables_2!B85,input_2!A:H,8,FALSE))</f>
        <v>12333888</v>
      </c>
      <c r="M85" s="69">
        <f t="shared" si="5"/>
        <v>4.1813333333333334E-2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input_2!A$2</f>
        <v>3083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IFERROR(VLOOKUP(D86,input_2!L:T,9,FALSE),VLOOKUP(tables_2!B86,input_2!A:H,8,FALSE))</f>
        <v>825930</v>
      </c>
      <c r="M86" s="69">
        <f t="shared" si="5"/>
        <v>2.8E-3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input_2!A$2</f>
        <v>3083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IFERROR(VLOOKUP(D87,input_2!L:T,9,FALSE),VLOOKUP(tables_2!B87,input_2!A:H,8,FALSE))</f>
        <v>0</v>
      </c>
      <c r="M87" s="69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input_2!A$2</f>
        <v>3083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IFERROR(VLOOKUP(D88,input_2!L:T,9,FALSE),VLOOKUP(tables_2!B88,input_2!A:H,8,FALSE))</f>
        <v>1761984</v>
      </c>
      <c r="M88" s="69">
        <f t="shared" si="5"/>
        <v>5.9733333333333331E-3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input_2!A$2</f>
        <v>3083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IFERROR(VLOOKUP(D89,input_2!L:T,9,FALSE),VLOOKUP(tables_2!B89,input_2!A:H,8,FALSE))</f>
        <v>117990</v>
      </c>
      <c r="M89" s="69">
        <f t="shared" si="5"/>
        <v>4.0000000000000002E-4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input_2!A$2</f>
        <v>3083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IFERROR(VLOOKUP(D90,input_2!L:T,9,FALSE),VLOOKUP(tables_2!B90,input_2!A:H,8,FALSE))</f>
        <v>0</v>
      </c>
      <c r="M90" s="69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input_2!A$2</f>
        <v>3083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IFERROR(VLOOKUP(D91,input_2!L:T,9,FALSE),VLOOKUP(tables_2!B91,input_2!A:H,8,FALSE))</f>
        <v>1761984</v>
      </c>
      <c r="M91" s="69">
        <f t="shared" si="5"/>
        <v>5.9733333333333331E-3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input_2!A$2</f>
        <v>3083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IFERROR(VLOOKUP(D92,input_2!L:T,9,FALSE),VLOOKUP(tables_2!B92,input_2!A:H,8,FALSE))</f>
        <v>117990</v>
      </c>
      <c r="M92" s="69">
        <f t="shared" si="5"/>
        <v>4.0000000000000002E-4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input_2!A$2</f>
        <v>3083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IFERROR(VLOOKUP(D93,input_2!L:T,9,FALSE),VLOOKUP(tables_2!B93,input_2!A:H,8,FALSE))</f>
        <v>0</v>
      </c>
      <c r="M93" s="69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input_2!A$2</f>
        <v>3083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IFERROR(VLOOKUP(D94,input_2!L:T,9,FALSE),VLOOKUP(tables_2!B94,input_2!A:H,8,FALSE))</f>
        <v>1761984</v>
      </c>
      <c r="M94" s="69">
        <f t="shared" si="5"/>
        <v>5.9733333333333331E-3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input_2!A$2</f>
        <v>3083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IFERROR(VLOOKUP(D95,input_2!L:T,9,FALSE),VLOOKUP(tables_2!B95,input_2!A:H,8,FALSE))</f>
        <v>117990</v>
      </c>
      <c r="M95" s="69">
        <f t="shared" si="5"/>
        <v>4.0000000000000002E-4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input_2!A$2</f>
        <v>3083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IFERROR(VLOOKUP(D96,input_2!L:T,9,FALSE),VLOOKUP(tables_2!B96,input_2!A:H,8,FALSE))</f>
        <v>0</v>
      </c>
      <c r="M96" s="69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input_2!A$2</f>
        <v>3083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IFERROR(VLOOKUP(D97,input_2!L:T,9,FALSE),VLOOKUP(tables_2!B97,input_2!A:H,8,FALSE))</f>
        <v>12333888</v>
      </c>
      <c r="M97" s="69">
        <f t="shared" si="5"/>
        <v>4.1813333333333334E-2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input_2!A$2</f>
        <v>3083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IFERROR(VLOOKUP(D98,input_2!L:T,9,FALSE),VLOOKUP(tables_2!B98,input_2!A:H,8,FALSE))</f>
        <v>825930</v>
      </c>
      <c r="M98" s="69">
        <f t="shared" si="5"/>
        <v>2.8E-3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input_2!A$2</f>
        <v>3083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IFERROR(VLOOKUP(D99,input_2!L:T,9,FALSE),VLOOKUP(tables_2!B99,input_2!A:H,8,FALSE))</f>
        <v>0</v>
      </c>
      <c r="M99" s="69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input_2!A$2</f>
        <v>3083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IFERROR(VLOOKUP(D100,input_2!L:T,9,FALSE),VLOOKUP(tables_2!B100,input_2!A:H,8,FALSE))</f>
        <v>1761984</v>
      </c>
      <c r="M100" s="69">
        <f t="shared" si="5"/>
        <v>5.9733333333333331E-3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input_2!A$2</f>
        <v>3083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IFERROR(VLOOKUP(D101,input_2!L:T,9,FALSE),VLOOKUP(tables_2!B101,input_2!A:H,8,FALSE))</f>
        <v>117990</v>
      </c>
      <c r="M101" s="69">
        <f t="shared" si="5"/>
        <v>4.0000000000000002E-4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input_2!A$2</f>
        <v>3083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IFERROR(VLOOKUP(D102,input_2!L:T,9,FALSE),VLOOKUP(tables_2!B102,input_2!A:H,8,FALSE))</f>
        <v>0</v>
      </c>
      <c r="M102" s="69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input_2!A$2</f>
        <v>3083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IFERROR(VLOOKUP(D103,input_2!L:T,9,FALSE),VLOOKUP(tables_2!B103,input_2!A:H,8,FALSE))</f>
        <v>1149120</v>
      </c>
      <c r="M103" s="69">
        <f t="shared" si="5"/>
        <v>3.8956521739130436E-3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input_2!A$2</f>
        <v>3083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IFERROR(VLOOKUP(D104,input_2!L:T,9,FALSE),VLOOKUP(tables_2!B104,input_2!A:H,8,FALSE))</f>
        <v>76950</v>
      </c>
      <c r="M104" s="69">
        <f t="shared" si="5"/>
        <v>2.6086956521739128E-4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input_2!A$2</f>
        <v>3083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IFERROR(VLOOKUP(D105,input_2!L:T,9,FALSE),VLOOKUP(tables_2!B105,input_2!A:H,8,FALSE))</f>
        <v>0</v>
      </c>
      <c r="M105" s="69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input_2!A$2</f>
        <v>3083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IFERROR(VLOOKUP(D106,input_2!L:T,9,FALSE),VLOOKUP(tables_2!B106,input_2!A:H,8,FALSE))</f>
        <v>1149120</v>
      </c>
      <c r="M106" s="69">
        <f t="shared" si="5"/>
        <v>3.8956521739130436E-3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input_2!A$2</f>
        <v>3083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IFERROR(VLOOKUP(D107,input_2!L:T,9,FALSE),VLOOKUP(tables_2!B107,input_2!A:H,8,FALSE))</f>
        <v>76950</v>
      </c>
      <c r="M107" s="69">
        <f t="shared" si="5"/>
        <v>2.6086956521739128E-4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input_2!A$2</f>
        <v>3083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IFERROR(VLOOKUP(D108,input_2!L:T,9,FALSE),VLOOKUP(tables_2!B108,input_2!A:H,8,FALSE))</f>
        <v>0</v>
      </c>
      <c r="M108" s="69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input_2!A$2</f>
        <v>3083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IFERROR(VLOOKUP(D109,input_2!L:T,9,FALSE),VLOOKUP(tables_2!B109,input_2!A:H,8,FALSE))</f>
        <v>6852160</v>
      </c>
      <c r="M109" s="69">
        <f t="shared" si="5"/>
        <v>2.3229629629629631E-2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input_2!A$2</f>
        <v>3083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IFERROR(VLOOKUP(D110,input_2!L:T,9,FALSE),VLOOKUP(tables_2!B110,input_2!A:H,8,FALSE))</f>
        <v>458850</v>
      </c>
      <c r="M110" s="69">
        <f t="shared" si="5"/>
        <v>1.5555555555555555E-3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input_2!A$2</f>
        <v>3083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IFERROR(VLOOKUP(D111,input_2!L:T,9,FALSE),VLOOKUP(tables_2!B111,input_2!A:H,8,FALSE))</f>
        <v>0</v>
      </c>
      <c r="M111" s="69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input_2!A$2</f>
        <v>3083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IFERROR(VLOOKUP(D112,input_2!L:T,9,FALSE),VLOOKUP(tables_2!B112,input_2!A:H,8,FALSE))</f>
        <v>1149120</v>
      </c>
      <c r="M112" s="69">
        <f t="shared" si="5"/>
        <v>3.8956521739130436E-3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input_2!A$2</f>
        <v>3083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IFERROR(VLOOKUP(D113,input_2!L:T,9,FALSE),VLOOKUP(tables_2!B113,input_2!A:H,8,FALSE))</f>
        <v>76950</v>
      </c>
      <c r="M113" s="69">
        <f t="shared" si="5"/>
        <v>2.6086956521739128E-4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input_2!A$2</f>
        <v>3083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IFERROR(VLOOKUP(D114,input_2!L:T,9,FALSE),VLOOKUP(tables_2!B114,input_2!A:H,8,FALSE))</f>
        <v>0</v>
      </c>
      <c r="M114" s="69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input_2!A$2</f>
        <v>3083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IFERROR(VLOOKUP(D115,input_2!L:T,9,FALSE),VLOOKUP(tables_2!B115,input_2!A:H,8,FALSE))</f>
        <v>1149120</v>
      </c>
      <c r="M115" s="69">
        <f t="shared" si="5"/>
        <v>3.8956521739130436E-3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input_2!A$2</f>
        <v>3083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IFERROR(VLOOKUP(D116,input_2!L:T,9,FALSE),VLOOKUP(tables_2!B116,input_2!A:H,8,FALSE))</f>
        <v>76950</v>
      </c>
      <c r="M116" s="69">
        <f t="shared" si="5"/>
        <v>2.6086956521739128E-4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input_2!A$2</f>
        <v>3083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IFERROR(VLOOKUP(D117,input_2!L:T,9,FALSE),VLOOKUP(tables_2!B117,input_2!A:H,8,FALSE))</f>
        <v>0</v>
      </c>
      <c r="M117" s="69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input_2!A$2</f>
        <v>3083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IFERROR(VLOOKUP(D118,input_2!L:T,9,FALSE),VLOOKUP(tables_2!B118,input_2!A:H,8,FALSE))</f>
        <v>1149120</v>
      </c>
      <c r="M118" s="69">
        <f t="shared" si="5"/>
        <v>3.8956521739130436E-3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input_2!A$2</f>
        <v>3083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IFERROR(VLOOKUP(D119,input_2!L:T,9,FALSE),VLOOKUP(tables_2!B119,input_2!A:H,8,FALSE))</f>
        <v>76950</v>
      </c>
      <c r="M119" s="69">
        <f t="shared" si="5"/>
        <v>2.6086956521739128E-4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input_2!A$2</f>
        <v>3083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IFERROR(VLOOKUP(D120,input_2!L:T,9,FALSE),VLOOKUP(tables_2!B120,input_2!A:H,8,FALSE))</f>
        <v>0</v>
      </c>
      <c r="M120" s="69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input_2!A$2</f>
        <v>3083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IFERROR(VLOOKUP(D121,input_2!L:T,9,FALSE),VLOOKUP(tables_2!B121,input_2!A:H,8,FALSE))</f>
        <v>6852160</v>
      </c>
      <c r="M121" s="69">
        <f t="shared" si="5"/>
        <v>2.3229629629629631E-2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input_2!A$2</f>
        <v>3083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IFERROR(VLOOKUP(D122,input_2!L:T,9,FALSE),VLOOKUP(tables_2!B122,input_2!A:H,8,FALSE))</f>
        <v>458850</v>
      </c>
      <c r="M122" s="69">
        <f t="shared" si="5"/>
        <v>1.5555555555555555E-3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input_2!A$2</f>
        <v>3083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IFERROR(VLOOKUP(D123,input_2!L:T,9,FALSE),VLOOKUP(tables_2!B123,input_2!A:H,8,FALSE))</f>
        <v>0</v>
      </c>
      <c r="M123" s="69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input_2!A$2</f>
        <v>3083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IFERROR(VLOOKUP(D124,input_2!L:T,9,FALSE),VLOOKUP(tables_2!B124,input_2!A:H,8,FALSE))</f>
        <v>1149120</v>
      </c>
      <c r="M124" s="69">
        <f t="shared" si="5"/>
        <v>3.8956521739130436E-3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input_2!A$2</f>
        <v>3083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IFERROR(VLOOKUP(D125,input_2!L:T,9,FALSE),VLOOKUP(tables_2!B125,input_2!A:H,8,FALSE))</f>
        <v>76950</v>
      </c>
      <c r="M125" s="69">
        <f t="shared" si="5"/>
        <v>2.6086956521739128E-4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input_2!A$2</f>
        <v>3083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IFERROR(VLOOKUP(D126,input_2!L:T,9,FALSE),VLOOKUP(tables_2!B126,input_2!A:H,8,FALSE))</f>
        <v>0</v>
      </c>
      <c r="M126" s="69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input_2!A$2</f>
        <v>3083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IFERROR(VLOOKUP(D127,input_2!L:T,9,FALSE),VLOOKUP(tables_2!B127,input_2!A:H,8,FALSE))</f>
        <v>1149120</v>
      </c>
      <c r="M127" s="69">
        <f t="shared" si="5"/>
        <v>3.8956521739130436E-3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input_2!A$2</f>
        <v>3083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IFERROR(VLOOKUP(D128,input_2!L:T,9,FALSE),VLOOKUP(tables_2!B128,input_2!A:H,8,FALSE))</f>
        <v>76950</v>
      </c>
      <c r="M128" s="69">
        <f t="shared" si="5"/>
        <v>2.6086956521739128E-4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input_2!A$2</f>
        <v>3083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IFERROR(VLOOKUP(D129,input_2!L:T,9,FALSE),VLOOKUP(tables_2!B129,input_2!A:H,8,FALSE))</f>
        <v>0</v>
      </c>
      <c r="M129" s="69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input_2!A$2</f>
        <v>3083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IFERROR(VLOOKUP(D130,input_2!L:T,9,FALSE),VLOOKUP(tables_2!B130,input_2!A:H,8,FALSE))</f>
        <v>1149120</v>
      </c>
      <c r="M130" s="69">
        <f t="shared" si="5"/>
        <v>3.8956521739130436E-3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input_2!A$2</f>
        <v>3083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IFERROR(VLOOKUP(D131,input_2!L:T,9,FALSE),VLOOKUP(tables_2!B131,input_2!A:H,8,FALSE))</f>
        <v>76950</v>
      </c>
      <c r="M131" s="69">
        <f t="shared" ref="M131:M194" si="8">L131/SUM(L:L)</f>
        <v>2.6086956521739128E-4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input_2!A$2</f>
        <v>3083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IFERROR(VLOOKUP(D132,input_2!L:T,9,FALSE),VLOOKUP(tables_2!B132,input_2!A:H,8,FALSE))</f>
        <v>0</v>
      </c>
      <c r="M132" s="69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input_2!A$2</f>
        <v>3083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IFERROR(VLOOKUP(D133,input_2!L:T,9,FALSE),VLOOKUP(tables_2!B133,input_2!A:H,8,FALSE))</f>
        <v>6852160</v>
      </c>
      <c r="M133" s="69">
        <f t="shared" si="8"/>
        <v>2.3229629629629631E-2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input_2!A$2</f>
        <v>3083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IFERROR(VLOOKUP(D134,input_2!L:T,9,FALSE),VLOOKUP(tables_2!B134,input_2!A:H,8,FALSE))</f>
        <v>458850</v>
      </c>
      <c r="M134" s="69">
        <f t="shared" si="8"/>
        <v>1.5555555555555555E-3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input_2!A$2</f>
        <v>3083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IFERROR(VLOOKUP(D135,input_2!L:T,9,FALSE),VLOOKUP(tables_2!B135,input_2!A:H,8,FALSE))</f>
        <v>0</v>
      </c>
      <c r="M135" s="69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input_2!A$2</f>
        <v>3083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IFERROR(VLOOKUP(D136,input_2!L:T,9,FALSE),VLOOKUP(tables_2!B136,input_2!A:H,8,FALSE))</f>
        <v>1149120</v>
      </c>
      <c r="M136" s="69">
        <f t="shared" si="8"/>
        <v>3.8956521739130436E-3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input_2!A$2</f>
        <v>3083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IFERROR(VLOOKUP(D137,input_2!L:T,9,FALSE),VLOOKUP(tables_2!B137,input_2!A:H,8,FALSE))</f>
        <v>76950</v>
      </c>
      <c r="M137" s="69">
        <f t="shared" si="8"/>
        <v>2.6086956521739128E-4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input_2!A$2</f>
        <v>3083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IFERROR(VLOOKUP(D138,input_2!L:T,9,FALSE),VLOOKUP(tables_2!B138,input_2!A:H,8,FALSE))</f>
        <v>419175</v>
      </c>
      <c r="M138" s="69">
        <f t="shared" si="8"/>
        <v>1.4210526315789475E-3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input_2!A$2</f>
        <v>3083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IFERROR(VLOOKUP(D139,input_2!L:T,9,FALSE),VLOOKUP(tables_2!B139,input_2!A:H,8,FALSE))</f>
        <v>46575</v>
      </c>
      <c r="M139" s="69">
        <f t="shared" si="8"/>
        <v>1.5789473684210527E-4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input_2!A$2</f>
        <v>3083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IFERROR(VLOOKUP(D140,input_2!L:T,9,FALSE),VLOOKUP(tables_2!B140,input_2!A:H,8,FALSE))</f>
        <v>419175</v>
      </c>
      <c r="M140" s="69">
        <f t="shared" si="8"/>
        <v>1.4210526315789475E-3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input_2!A$2</f>
        <v>3083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IFERROR(VLOOKUP(D141,input_2!L:T,9,FALSE),VLOOKUP(tables_2!B141,input_2!A:H,8,FALSE))</f>
        <v>46575</v>
      </c>
      <c r="M141" s="69">
        <f t="shared" si="8"/>
        <v>1.5789473684210527E-4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input_2!A$2</f>
        <v>3083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IFERROR(VLOOKUP(D142,input_2!L:T,9,FALSE),VLOOKUP(tables_2!B142,input_2!A:H,8,FALSE))</f>
        <v>1592865</v>
      </c>
      <c r="M142" s="69">
        <f t="shared" si="8"/>
        <v>5.4000000000000003E-3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input_2!A$2</f>
        <v>3083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IFERROR(VLOOKUP(D143,input_2!L:T,9,FALSE),VLOOKUP(tables_2!B143,input_2!A:H,8,FALSE))</f>
        <v>176985</v>
      </c>
      <c r="M143" s="69">
        <f t="shared" si="8"/>
        <v>5.9999999999999995E-4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input_2!A$2</f>
        <v>3083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IFERROR(VLOOKUP(D144,input_2!L:T,9,FALSE),VLOOKUP(tables_2!B144,input_2!A:H,8,FALSE))</f>
        <v>419175</v>
      </c>
      <c r="M144" s="69">
        <f t="shared" si="8"/>
        <v>1.4210526315789475E-3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input_2!A$2</f>
        <v>3083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IFERROR(VLOOKUP(D145,input_2!L:T,9,FALSE),VLOOKUP(tables_2!B145,input_2!A:H,8,FALSE))</f>
        <v>46575</v>
      </c>
      <c r="M145" s="69">
        <f t="shared" si="8"/>
        <v>1.5789473684210527E-4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input_2!A$2</f>
        <v>3083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IFERROR(VLOOKUP(D146,input_2!L:T,9,FALSE),VLOOKUP(tables_2!B146,input_2!A:H,8,FALSE))</f>
        <v>0</v>
      </c>
      <c r="M146" s="69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input_2!A$2</f>
        <v>3083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IFERROR(VLOOKUP(D147,input_2!L:T,9,FALSE),VLOOKUP(tables_2!B147,input_2!A:H,8,FALSE))</f>
        <v>1149120</v>
      </c>
      <c r="M147" s="69">
        <f t="shared" si="8"/>
        <v>3.8956521739130436E-3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input_2!A$2</f>
        <v>3083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IFERROR(VLOOKUP(D148,input_2!L:T,9,FALSE),VLOOKUP(tables_2!B148,input_2!A:H,8,FALSE))</f>
        <v>76950</v>
      </c>
      <c r="M148" s="69">
        <f t="shared" si="8"/>
        <v>2.6086956521739128E-4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input_2!A$2</f>
        <v>3083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IFERROR(VLOOKUP(D149,input_2!L:T,9,FALSE),VLOOKUP(tables_2!B149,input_2!A:H,8,FALSE))</f>
        <v>419175</v>
      </c>
      <c r="M149" s="69">
        <f t="shared" si="8"/>
        <v>1.4210526315789475E-3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input_2!A$2</f>
        <v>3083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IFERROR(VLOOKUP(D150,input_2!L:T,9,FALSE),VLOOKUP(tables_2!B150,input_2!A:H,8,FALSE))</f>
        <v>46575</v>
      </c>
      <c r="M150" s="69">
        <f t="shared" si="8"/>
        <v>1.5789473684210527E-4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input_2!A$2</f>
        <v>3083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IFERROR(VLOOKUP(D151,input_2!L:T,9,FALSE),VLOOKUP(tables_2!B151,input_2!A:H,8,FALSE))</f>
        <v>1592865</v>
      </c>
      <c r="M151" s="69">
        <f t="shared" si="8"/>
        <v>5.4000000000000003E-3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input_2!A$2</f>
        <v>3083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IFERROR(VLOOKUP(D152,input_2!L:T,9,FALSE),VLOOKUP(tables_2!B152,input_2!A:H,8,FALSE))</f>
        <v>176985</v>
      </c>
      <c r="M152" s="69">
        <f t="shared" si="8"/>
        <v>5.9999999999999995E-4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input_2!A$2</f>
        <v>3083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IFERROR(VLOOKUP(D153,input_2!L:T,9,FALSE),VLOOKUP(tables_2!B153,input_2!A:H,8,FALSE))</f>
        <v>0</v>
      </c>
      <c r="M153" s="69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input_2!A$2</f>
        <v>3083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IFERROR(VLOOKUP(D154,input_2!L:T,9,FALSE),VLOOKUP(tables_2!B154,input_2!A:H,8,FALSE))</f>
        <v>1149120</v>
      </c>
      <c r="M154" s="69">
        <f t="shared" si="8"/>
        <v>3.8956521739130436E-3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input_2!A$2</f>
        <v>3083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IFERROR(VLOOKUP(D155,input_2!L:T,9,FALSE),VLOOKUP(tables_2!B155,input_2!A:H,8,FALSE))</f>
        <v>76950</v>
      </c>
      <c r="M155" s="69">
        <f t="shared" si="8"/>
        <v>2.6086956521739128E-4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input_2!A$2</f>
        <v>3083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IFERROR(VLOOKUP(D156,input_2!L:T,9,FALSE),VLOOKUP(tables_2!B156,input_2!A:H,8,FALSE))</f>
        <v>419175</v>
      </c>
      <c r="M156" s="69">
        <f t="shared" si="8"/>
        <v>1.4210526315789475E-3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input_2!A$2</f>
        <v>3083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IFERROR(VLOOKUP(D157,input_2!L:T,9,FALSE),VLOOKUP(tables_2!B157,input_2!A:H,8,FALSE))</f>
        <v>46575</v>
      </c>
      <c r="M157" s="69">
        <f t="shared" si="8"/>
        <v>1.5789473684210527E-4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input_2!A$2</f>
        <v>3083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IFERROR(VLOOKUP(D158,input_2!L:T,9,FALSE),VLOOKUP(tables_2!B158,input_2!A:H,8,FALSE))</f>
        <v>0</v>
      </c>
      <c r="M158" s="69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input_2!A$2</f>
        <v>3083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IFERROR(VLOOKUP(D159,input_2!L:T,9,FALSE),VLOOKUP(tables_2!B159,input_2!A:H,8,FALSE))</f>
        <v>1149120</v>
      </c>
      <c r="M159" s="69">
        <f t="shared" si="8"/>
        <v>3.8956521739130436E-3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input_2!A$2</f>
        <v>3083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IFERROR(VLOOKUP(D160,input_2!L:T,9,FALSE),VLOOKUP(tables_2!B160,input_2!A:H,8,FALSE))</f>
        <v>76950</v>
      </c>
      <c r="M160" s="69">
        <f t="shared" si="8"/>
        <v>2.6086956521739128E-4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input_2!A$2</f>
        <v>3083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IFERROR(VLOOKUP(D161,input_2!L:T,9,FALSE),VLOOKUP(tables_2!B161,input_2!A:H,8,FALSE))</f>
        <v>0</v>
      </c>
      <c r="M161" s="69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input_2!A$2</f>
        <v>3083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IFERROR(VLOOKUP(D162,input_2!L:T,9,FALSE),VLOOKUP(tables_2!B162,input_2!A:H,8,FALSE))</f>
        <v>6852160</v>
      </c>
      <c r="M162" s="69">
        <f t="shared" si="8"/>
        <v>2.3229629629629631E-2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input_2!A$2</f>
        <v>3083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IFERROR(VLOOKUP(D163,input_2!L:T,9,FALSE),VLOOKUP(tables_2!B163,input_2!A:H,8,FALSE))</f>
        <v>458850</v>
      </c>
      <c r="M163" s="69">
        <f t="shared" si="8"/>
        <v>1.5555555555555555E-3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input_2!A$2</f>
        <v>3083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IFERROR(VLOOKUP(D164,input_2!L:T,9,FALSE),VLOOKUP(tables_2!B164,input_2!A:H,8,FALSE))</f>
        <v>419175</v>
      </c>
      <c r="M164" s="69">
        <f t="shared" si="8"/>
        <v>1.4210526315789475E-3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input_2!A$2</f>
        <v>3083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IFERROR(VLOOKUP(D165,input_2!L:T,9,FALSE),VLOOKUP(tables_2!B165,input_2!A:H,8,FALSE))</f>
        <v>46575</v>
      </c>
      <c r="M165" s="69">
        <f t="shared" si="8"/>
        <v>1.5789473684210527E-4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input_2!A$2</f>
        <v>3083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IFERROR(VLOOKUP(D166,input_2!L:T,9,FALSE),VLOOKUP(tables_2!B166,input_2!A:H,8,FALSE))</f>
        <v>0</v>
      </c>
      <c r="M166" s="69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input_2!A$2</f>
        <v>3083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IFERROR(VLOOKUP(D167,input_2!L:T,9,FALSE),VLOOKUP(tables_2!B167,input_2!A:H,8,FALSE))</f>
        <v>1149120</v>
      </c>
      <c r="M167" s="69">
        <f t="shared" si="8"/>
        <v>3.8956521739130436E-3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input_2!A$2</f>
        <v>3083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IFERROR(VLOOKUP(D168,input_2!L:T,9,FALSE),VLOOKUP(tables_2!B168,input_2!A:H,8,FALSE))</f>
        <v>76950</v>
      </c>
      <c r="M168" s="69">
        <f t="shared" si="8"/>
        <v>2.6086956521739128E-4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input_2!A$2</f>
        <v>3083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IFERROR(VLOOKUP(D169,input_2!L:T,9,FALSE),VLOOKUP(tables_2!B169,input_2!A:H,8,FALSE))</f>
        <v>419175</v>
      </c>
      <c r="M169" s="69">
        <f t="shared" si="8"/>
        <v>1.4210526315789475E-3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input_2!A$2</f>
        <v>3083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IFERROR(VLOOKUP(D170,input_2!L:T,9,FALSE),VLOOKUP(tables_2!B170,input_2!A:H,8,FALSE))</f>
        <v>46575</v>
      </c>
      <c r="M170" s="69">
        <f t="shared" si="8"/>
        <v>1.5789473684210527E-4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input_2!A$2</f>
        <v>3083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IFERROR(VLOOKUP(D171,input_2!L:T,9,FALSE),VLOOKUP(tables_2!B171,input_2!A:H,8,FALSE))</f>
        <v>0</v>
      </c>
      <c r="M171" s="69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input_2!A$2</f>
        <v>3083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IFERROR(VLOOKUP(D172,input_2!L:T,9,FALSE),VLOOKUP(tables_2!B172,input_2!A:H,8,FALSE))</f>
        <v>6852160</v>
      </c>
      <c r="M172" s="69">
        <f t="shared" si="8"/>
        <v>2.3229629629629631E-2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input_2!A$2</f>
        <v>3083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IFERROR(VLOOKUP(D173,input_2!L:T,9,FALSE),VLOOKUP(tables_2!B173,input_2!A:H,8,FALSE))</f>
        <v>458850</v>
      </c>
      <c r="M173" s="69">
        <f t="shared" si="8"/>
        <v>1.5555555555555555E-3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input_2!A$2</f>
        <v>3083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IFERROR(VLOOKUP(D174,input_2!L:T,9,FALSE),VLOOKUP(tables_2!B174,input_2!A:H,8,FALSE))</f>
        <v>419175</v>
      </c>
      <c r="M174" s="69">
        <f t="shared" si="8"/>
        <v>1.4210526315789475E-3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input_2!A$2</f>
        <v>3083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IFERROR(VLOOKUP(D175,input_2!L:T,9,FALSE),VLOOKUP(tables_2!B175,input_2!A:H,8,FALSE))</f>
        <v>46575</v>
      </c>
      <c r="M175" s="69">
        <f t="shared" si="8"/>
        <v>1.5789473684210527E-4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input_2!A$2</f>
        <v>3083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IFERROR(VLOOKUP(D176,input_2!L:T,9,FALSE),VLOOKUP(tables_2!B176,input_2!A:H,8,FALSE))</f>
        <v>419175</v>
      </c>
      <c r="M176" s="69">
        <f t="shared" si="8"/>
        <v>1.4210526315789475E-3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input_2!A$2</f>
        <v>3083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IFERROR(VLOOKUP(D177,input_2!L:T,9,FALSE),VLOOKUP(tables_2!B177,input_2!A:H,8,FALSE))</f>
        <v>46575</v>
      </c>
      <c r="M177" s="69">
        <f t="shared" si="8"/>
        <v>1.5789473684210527E-4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input_2!A$2</f>
        <v>3083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IFERROR(VLOOKUP(D178,input_2!L:T,9,FALSE),VLOOKUP(tables_2!B178,input_2!A:H,8,FALSE))</f>
        <v>0</v>
      </c>
      <c r="M178" s="69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input_2!A$2</f>
        <v>3083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IFERROR(VLOOKUP(D179,input_2!L:T,9,FALSE),VLOOKUP(tables_2!B179,input_2!A:H,8,FALSE))</f>
        <v>1149120</v>
      </c>
      <c r="M179" s="69">
        <f t="shared" si="8"/>
        <v>3.8956521739130436E-3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input_2!A$2</f>
        <v>3083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IFERROR(VLOOKUP(D180,input_2!L:T,9,FALSE),VLOOKUP(tables_2!B180,input_2!A:H,8,FALSE))</f>
        <v>76950</v>
      </c>
      <c r="M180" s="69">
        <f t="shared" si="8"/>
        <v>2.6086956521739128E-4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input_2!A$2</f>
        <v>3083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IFERROR(VLOOKUP(D181,input_2!L:T,9,FALSE),VLOOKUP(tables_2!B181,input_2!A:H,8,FALSE))</f>
        <v>0</v>
      </c>
      <c r="M181" s="69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input_2!A$2</f>
        <v>3083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IFERROR(VLOOKUP(D182,input_2!L:T,9,FALSE),VLOOKUP(tables_2!B182,input_2!A:H,8,FALSE))</f>
        <v>6852160</v>
      </c>
      <c r="M182" s="69">
        <f t="shared" si="8"/>
        <v>2.3229629629629631E-2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input_2!A$2</f>
        <v>3083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IFERROR(VLOOKUP(D183,input_2!L:T,9,FALSE),VLOOKUP(tables_2!B183,input_2!A:H,8,FALSE))</f>
        <v>458850</v>
      </c>
      <c r="M183" s="69">
        <f t="shared" si="8"/>
        <v>1.5555555555555555E-3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input_2!A$2</f>
        <v>3083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IFERROR(VLOOKUP(D184,input_2!L:T,9,FALSE),VLOOKUP(tables_2!B184,input_2!A:H,8,FALSE))</f>
        <v>419175</v>
      </c>
      <c r="M184" s="69">
        <f t="shared" si="8"/>
        <v>1.4210526315789475E-3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input_2!A$2</f>
        <v>3083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IFERROR(VLOOKUP(D185,input_2!L:T,9,FALSE),VLOOKUP(tables_2!B185,input_2!A:H,8,FALSE))</f>
        <v>46575</v>
      </c>
      <c r="M185" s="69">
        <f t="shared" si="8"/>
        <v>1.5789473684210527E-4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input_2!A$2</f>
        <v>3083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IFERROR(VLOOKUP(D186,input_2!L:T,9,FALSE),VLOOKUP(tables_2!B186,input_2!A:H,8,FALSE))</f>
        <v>0</v>
      </c>
      <c r="M186" s="69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input_2!A$2</f>
        <v>3083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IFERROR(VLOOKUP(D187,input_2!L:T,9,FALSE),VLOOKUP(tables_2!B187,input_2!A:H,8,FALSE))</f>
        <v>1149120</v>
      </c>
      <c r="M187" s="69">
        <f t="shared" si="8"/>
        <v>3.8956521739130436E-3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input_2!A$2</f>
        <v>3083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IFERROR(VLOOKUP(D188,input_2!L:T,9,FALSE),VLOOKUP(tables_2!B188,input_2!A:H,8,FALSE))</f>
        <v>76950</v>
      </c>
      <c r="M188" s="69">
        <f t="shared" si="8"/>
        <v>2.6086956521739128E-4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input_2!A$2</f>
        <v>3083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IFERROR(VLOOKUP(D189,input_2!L:T,9,FALSE),VLOOKUP(tables_2!B189,input_2!A:H,8,FALSE))</f>
        <v>419175</v>
      </c>
      <c r="M189" s="69">
        <f t="shared" si="8"/>
        <v>1.4210526315789475E-3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input_2!A$2</f>
        <v>3083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IFERROR(VLOOKUP(D190,input_2!L:T,9,FALSE),VLOOKUP(tables_2!B190,input_2!A:H,8,FALSE))</f>
        <v>46575</v>
      </c>
      <c r="M190" s="69">
        <f t="shared" si="8"/>
        <v>1.5789473684210527E-4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input_2!A$2</f>
        <v>3083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IFERROR(VLOOKUP(D191,input_2!L:T,9,FALSE),VLOOKUP(tables_2!B191,input_2!A:H,8,FALSE))</f>
        <v>1592865</v>
      </c>
      <c r="M191" s="69">
        <f t="shared" si="8"/>
        <v>5.4000000000000003E-3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input_2!A$2</f>
        <v>3083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IFERROR(VLOOKUP(D192,input_2!L:T,9,FALSE),VLOOKUP(tables_2!B192,input_2!A:H,8,FALSE))</f>
        <v>176985</v>
      </c>
      <c r="M192" s="69">
        <f t="shared" si="8"/>
        <v>5.9999999999999995E-4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input_2!A$2</f>
        <v>3083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IFERROR(VLOOKUP(D193,input_2!L:T,9,FALSE),VLOOKUP(tables_2!B193,input_2!A:H,8,FALSE))</f>
        <v>0</v>
      </c>
      <c r="M193" s="69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input_2!A$2</f>
        <v>3083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IFERROR(VLOOKUP(D194,input_2!L:T,9,FALSE),VLOOKUP(tables_2!B194,input_2!A:H,8,FALSE))</f>
        <v>1149120</v>
      </c>
      <c r="M194" s="69">
        <f t="shared" si="8"/>
        <v>3.8956521739130436E-3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input_2!A$2</f>
        <v>3083</v>
      </c>
      <c r="B195" s="7" t="str">
        <f t="shared" ref="B195:B246" si="9">F195&amp;G195&amp;C195</f>
        <v>PremiumS5other</v>
      </c>
      <c r="C195" s="7" t="str">
        <f t="shared" ref="C195:C246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IFERROR(VLOOKUP(D195,input_2!L:T,9,FALSE),VLOOKUP(tables_2!B195,input_2!A:H,8,FALSE))</f>
        <v>76950</v>
      </c>
      <c r="M195" s="69">
        <f t="shared" ref="M195:M246" si="11">L195/SUM(L:L)</f>
        <v>2.6086956521739128E-4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input_2!A$2</f>
        <v>3083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IFERROR(VLOOKUP(D196,input_2!L:T,9,FALSE),VLOOKUP(tables_2!B196,input_2!A:H,8,FALSE))</f>
        <v>419175</v>
      </c>
      <c r="M196" s="69">
        <f t="shared" si="11"/>
        <v>1.4210526315789475E-3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input_2!A$2</f>
        <v>3083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IFERROR(VLOOKUP(D197,input_2!L:T,9,FALSE),VLOOKUP(tables_2!B197,input_2!A:H,8,FALSE))</f>
        <v>46575</v>
      </c>
      <c r="M197" s="69">
        <f t="shared" si="11"/>
        <v>1.5789473684210527E-4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input_2!A$2</f>
        <v>3083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IFERROR(VLOOKUP(D198,input_2!L:T,9,FALSE),VLOOKUP(tables_2!B198,input_2!A:H,8,FALSE))</f>
        <v>0</v>
      </c>
      <c r="M198" s="69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input_2!A$2</f>
        <v>3083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IFERROR(VLOOKUP(D199,input_2!L:T,9,FALSE),VLOOKUP(tables_2!B199,input_2!A:H,8,FALSE))</f>
        <v>1149120</v>
      </c>
      <c r="M199" s="69">
        <f t="shared" si="11"/>
        <v>3.8956521739130436E-3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input_2!A$2</f>
        <v>3083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IFERROR(VLOOKUP(D200,input_2!L:T,9,FALSE),VLOOKUP(tables_2!B200,input_2!A:H,8,FALSE))</f>
        <v>76950</v>
      </c>
      <c r="M200" s="69">
        <f t="shared" si="11"/>
        <v>2.6086956521739128E-4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input_2!A$2</f>
        <v>3083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IFERROR(VLOOKUP(D201,input_2!L:T,9,FALSE),VLOOKUP(tables_2!B201,input_2!A:H,8,FALSE))</f>
        <v>1592865</v>
      </c>
      <c r="M201" s="69">
        <f t="shared" si="11"/>
        <v>5.4000000000000003E-3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input_2!A$2</f>
        <v>3083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IFERROR(VLOOKUP(D202,input_2!L:T,9,FALSE),VLOOKUP(tables_2!B202,input_2!A:H,8,FALSE))</f>
        <v>176985</v>
      </c>
      <c r="M202" s="69">
        <f t="shared" si="11"/>
        <v>5.9999999999999995E-4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input_2!A$2</f>
        <v>3083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IFERROR(VLOOKUP(D203,input_2!L:T,9,FALSE),VLOOKUP(tables_2!B203,input_2!A:H,8,FALSE))</f>
        <v>0</v>
      </c>
      <c r="M203" s="69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input_2!A$2</f>
        <v>3083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IFERROR(VLOOKUP(D204,input_2!L:T,9,FALSE),VLOOKUP(tables_2!B204,input_2!A:H,8,FALSE))</f>
        <v>1149120</v>
      </c>
      <c r="M204" s="69">
        <f t="shared" si="11"/>
        <v>3.8956521739130436E-3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input_2!A$2</f>
        <v>3083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IFERROR(VLOOKUP(D205,input_2!L:T,9,FALSE),VLOOKUP(tables_2!B205,input_2!A:H,8,FALSE))</f>
        <v>76950</v>
      </c>
      <c r="M205" s="69">
        <f t="shared" si="11"/>
        <v>2.6086956521739128E-4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input_2!A$2</f>
        <v>3083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IFERROR(VLOOKUP(D206,input_2!L:T,9,FALSE),VLOOKUP(tables_2!B206,input_2!A:H,8,FALSE))</f>
        <v>419175</v>
      </c>
      <c r="M206" s="69">
        <f t="shared" si="11"/>
        <v>1.4210526315789475E-3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input_2!A$2</f>
        <v>3083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IFERROR(VLOOKUP(D207,input_2!L:T,9,FALSE),VLOOKUP(tables_2!B207,input_2!A:H,8,FALSE))</f>
        <v>46575</v>
      </c>
      <c r="M207" s="69">
        <f t="shared" si="11"/>
        <v>1.5789473684210527E-4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input_2!A$2</f>
        <v>3083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IFERROR(VLOOKUP(D208,input_2!L:T,9,FALSE),VLOOKUP(tables_2!B208,input_2!A:H,8,FALSE))</f>
        <v>419175</v>
      </c>
      <c r="M208" s="69">
        <f t="shared" si="11"/>
        <v>1.4210526315789475E-3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input_2!A$2</f>
        <v>3083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IFERROR(VLOOKUP(D209,input_2!L:T,9,FALSE),VLOOKUP(tables_2!B209,input_2!A:H,8,FALSE))</f>
        <v>46575</v>
      </c>
      <c r="M209" s="69">
        <f t="shared" si="11"/>
        <v>1.5789473684210527E-4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input_2!A$2</f>
        <v>3083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IFERROR(VLOOKUP(D210,input_2!L:T,9,FALSE),VLOOKUP(tables_2!B210,input_2!A:H,8,FALSE))</f>
        <v>0</v>
      </c>
      <c r="M210" s="69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input_2!A$2</f>
        <v>3083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IFERROR(VLOOKUP(D211,input_2!L:T,9,FALSE),VLOOKUP(tables_2!B211,input_2!A:H,8,FALSE))</f>
        <v>6852160</v>
      </c>
      <c r="M211" s="69">
        <f t="shared" si="11"/>
        <v>2.3229629629629631E-2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input_2!A$2</f>
        <v>3083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IFERROR(VLOOKUP(D212,input_2!L:T,9,FALSE),VLOOKUP(tables_2!B212,input_2!A:H,8,FALSE))</f>
        <v>458850</v>
      </c>
      <c r="M212" s="69">
        <f t="shared" si="11"/>
        <v>1.5555555555555555E-3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input_2!A$2</f>
        <v>3083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IFERROR(VLOOKUP(D213,input_2!L:T,9,FALSE),VLOOKUP(tables_2!B213,input_2!A:H,8,FALSE))</f>
        <v>419175</v>
      </c>
      <c r="M213" s="69">
        <f t="shared" si="11"/>
        <v>1.4210526315789475E-3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input_2!A$2</f>
        <v>3083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IFERROR(VLOOKUP(D214,input_2!L:T,9,FALSE),VLOOKUP(tables_2!B214,input_2!A:H,8,FALSE))</f>
        <v>46575</v>
      </c>
      <c r="M214" s="69">
        <f t="shared" si="11"/>
        <v>1.5789473684210527E-4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input_2!A$2</f>
        <v>3083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IFERROR(VLOOKUP(D215,input_2!L:T,9,FALSE),VLOOKUP(tables_2!B215,input_2!A:H,8,FALSE))</f>
        <v>419175</v>
      </c>
      <c r="M215" s="69">
        <f t="shared" si="11"/>
        <v>1.4210526315789475E-3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input_2!A$2</f>
        <v>3083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IFERROR(VLOOKUP(D216,input_2!L:T,9,FALSE),VLOOKUP(tables_2!B216,input_2!A:H,8,FALSE))</f>
        <v>46575</v>
      </c>
      <c r="M216" s="69">
        <f t="shared" si="11"/>
        <v>1.5789473684210527E-4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input_2!A$2</f>
        <v>3083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IFERROR(VLOOKUP(D217,input_2!L:T,9,FALSE),VLOOKUP(tables_2!B217,input_2!A:H,8,FALSE))</f>
        <v>0</v>
      </c>
      <c r="M217" s="69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input_2!A$2</f>
        <v>3083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IFERROR(VLOOKUP(D218,input_2!L:T,9,FALSE),VLOOKUP(tables_2!B218,input_2!A:H,8,FALSE))</f>
        <v>1149120</v>
      </c>
      <c r="M218" s="69">
        <f t="shared" si="11"/>
        <v>3.8956521739130436E-3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input_2!A$2</f>
        <v>3083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IFERROR(VLOOKUP(D219,input_2!L:T,9,FALSE),VLOOKUP(tables_2!B219,input_2!A:H,8,FALSE))</f>
        <v>76950</v>
      </c>
      <c r="M219" s="69">
        <f t="shared" si="11"/>
        <v>2.6086956521739128E-4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input_2!A$2</f>
        <v>3083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IFERROR(VLOOKUP(D220,input_2!L:T,9,FALSE),VLOOKUP(tables_2!B220,input_2!A:H,8,FALSE))</f>
        <v>0</v>
      </c>
      <c r="M220" s="69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input_2!A$2</f>
        <v>3083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IFERROR(VLOOKUP(D221,input_2!L:T,9,FALSE),VLOOKUP(tables_2!B221,input_2!A:H,8,FALSE))</f>
        <v>6852160</v>
      </c>
      <c r="M221" s="69">
        <f t="shared" si="11"/>
        <v>2.3229629629629631E-2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input_2!A$2</f>
        <v>3083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IFERROR(VLOOKUP(D222,input_2!L:T,9,FALSE),VLOOKUP(tables_2!B222,input_2!A:H,8,FALSE))</f>
        <v>458850</v>
      </c>
      <c r="M222" s="69">
        <f t="shared" si="11"/>
        <v>1.5555555555555555E-3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input_2!A$2</f>
        <v>3083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IFERROR(VLOOKUP(D223,input_2!L:T,9,FALSE),VLOOKUP(tables_2!B223,input_2!A:H,8,FALSE))</f>
        <v>419175</v>
      </c>
      <c r="M223" s="69">
        <f t="shared" si="11"/>
        <v>1.4210526315789475E-3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input_2!A$2</f>
        <v>3083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IFERROR(VLOOKUP(D224,input_2!L:T,9,FALSE),VLOOKUP(tables_2!B224,input_2!A:H,8,FALSE))</f>
        <v>46575</v>
      </c>
      <c r="M224" s="69">
        <f t="shared" si="11"/>
        <v>1.5789473684210527E-4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input_2!A$2</f>
        <v>3083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IFERROR(VLOOKUP(D225,input_2!L:T,9,FALSE),VLOOKUP(tables_2!B225,input_2!A:H,8,FALSE))</f>
        <v>0</v>
      </c>
      <c r="M225" s="69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input_2!A$2</f>
        <v>3083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IFERROR(VLOOKUP(D226,input_2!L:T,9,FALSE),VLOOKUP(tables_2!B226,input_2!A:H,8,FALSE))</f>
        <v>1149120</v>
      </c>
      <c r="M226" s="69">
        <f t="shared" si="11"/>
        <v>3.8956521739130436E-3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input_2!A$2</f>
        <v>3083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IFERROR(VLOOKUP(D227,input_2!L:T,9,FALSE),VLOOKUP(tables_2!B227,input_2!A:H,8,FALSE))</f>
        <v>76950</v>
      </c>
      <c r="M227" s="69">
        <f t="shared" si="11"/>
        <v>2.6086956521739128E-4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input_2!A$2</f>
        <v>3083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IFERROR(VLOOKUP(D228,input_2!L:T,9,FALSE),VLOOKUP(tables_2!B228,input_2!A:H,8,FALSE))</f>
        <v>0</v>
      </c>
      <c r="M228" s="69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input_2!A$2</f>
        <v>3083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IFERROR(VLOOKUP(D229,input_2!L:T,9,FALSE),VLOOKUP(tables_2!B229,input_2!A:H,8,FALSE))</f>
        <v>1149120</v>
      </c>
      <c r="M229" s="69">
        <f t="shared" si="11"/>
        <v>3.8956521739130436E-3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input_2!A$2</f>
        <v>3083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IFERROR(VLOOKUP(D230,input_2!L:T,9,FALSE),VLOOKUP(tables_2!B230,input_2!A:H,8,FALSE))</f>
        <v>76950</v>
      </c>
      <c r="M230" s="69">
        <f t="shared" si="11"/>
        <v>2.6086956521739128E-4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input_2!A$2</f>
        <v>3083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IFERROR(VLOOKUP(D231,input_2!L:T,9,FALSE),VLOOKUP(tables_2!B231,input_2!A:H,8,FALSE))</f>
        <v>1592865</v>
      </c>
      <c r="M231" s="69">
        <f t="shared" si="11"/>
        <v>5.4000000000000003E-3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input_2!A$2</f>
        <v>3083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IFERROR(VLOOKUP(D232,input_2!L:T,9,FALSE),VLOOKUP(tables_2!B232,input_2!A:H,8,FALSE))</f>
        <v>176985</v>
      </c>
      <c r="M232" s="69">
        <f t="shared" si="11"/>
        <v>5.9999999999999995E-4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input_2!A$2</f>
        <v>3083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IFERROR(VLOOKUP(D233,input_2!L:T,9,FALSE),VLOOKUP(tables_2!B233,input_2!A:H,8,FALSE))</f>
        <v>0</v>
      </c>
      <c r="M233" s="69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input_2!A$2</f>
        <v>3083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IFERROR(VLOOKUP(D234,input_2!L:T,9,FALSE),VLOOKUP(tables_2!B234,input_2!A:H,8,FALSE))</f>
        <v>1149120</v>
      </c>
      <c r="M234" s="69">
        <f t="shared" si="11"/>
        <v>3.8956521739130436E-3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input_2!A$2</f>
        <v>3083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IFERROR(VLOOKUP(D235,input_2!L:T,9,FALSE),VLOOKUP(tables_2!B235,input_2!A:H,8,FALSE))</f>
        <v>76950</v>
      </c>
      <c r="M235" s="69">
        <f t="shared" si="11"/>
        <v>2.6086956521739128E-4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input_2!A$2</f>
        <v>3083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IFERROR(VLOOKUP(D236,input_2!L:T,9,FALSE),VLOOKUP(tables_2!B236,input_2!A:H,8,FALSE))</f>
        <v>419175</v>
      </c>
      <c r="M236" s="69">
        <f t="shared" si="11"/>
        <v>1.4210526315789475E-3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input_2!A$2</f>
        <v>3083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IFERROR(VLOOKUP(D237,input_2!L:T,9,FALSE),VLOOKUP(tables_2!B237,input_2!A:H,8,FALSE))</f>
        <v>46575</v>
      </c>
      <c r="M237" s="69">
        <f t="shared" si="11"/>
        <v>1.5789473684210527E-4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input_2!A$2</f>
        <v>3083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IFERROR(VLOOKUP(D238,input_2!L:T,9,FALSE),VLOOKUP(tables_2!B238,input_2!A:H,8,FALSE))</f>
        <v>419175</v>
      </c>
      <c r="M238" s="69">
        <f t="shared" si="11"/>
        <v>1.4210526315789475E-3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input_2!A$2</f>
        <v>3083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IFERROR(VLOOKUP(D239,input_2!L:T,9,FALSE),VLOOKUP(tables_2!B239,input_2!A:H,8,FALSE))</f>
        <v>46575</v>
      </c>
      <c r="M239" s="69">
        <f t="shared" si="11"/>
        <v>1.5789473684210527E-4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input_2!A$2</f>
        <v>3083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IFERROR(VLOOKUP(D240,input_2!L:T,9,FALSE),VLOOKUP(tables_2!B240,input_2!A:H,8,FALSE))</f>
        <v>0</v>
      </c>
      <c r="M240" s="69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input_2!A$2</f>
        <v>3083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IFERROR(VLOOKUP(D241,input_2!L:T,9,FALSE),VLOOKUP(tables_2!B241,input_2!A:H,8,FALSE))</f>
        <v>6852160</v>
      </c>
      <c r="M241" s="69">
        <f t="shared" si="11"/>
        <v>2.3229629629629631E-2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input_2!A$2</f>
        <v>3083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IFERROR(VLOOKUP(D242,input_2!L:T,9,FALSE),VLOOKUP(tables_2!B242,input_2!A:H,8,FALSE))</f>
        <v>458850</v>
      </c>
      <c r="M242" s="69">
        <f t="shared" si="11"/>
        <v>1.5555555555555555E-3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input_2!A$2</f>
        <v>3083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IFERROR(VLOOKUP(D243,input_2!L:T,9,FALSE),VLOOKUP(tables_2!B243,input_2!A:H,8,FALSE))</f>
        <v>0</v>
      </c>
      <c r="M243" s="69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input_2!A$2</f>
        <v>3083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IFERROR(VLOOKUP(D244,input_2!L:T,9,FALSE),VLOOKUP(tables_2!B244,input_2!A:H,8,FALSE))</f>
        <v>1149120</v>
      </c>
      <c r="M244" s="69">
        <f t="shared" si="11"/>
        <v>3.8956521739130436E-3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input_2!A$2</f>
        <v>3083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IFERROR(VLOOKUP(D245,input_2!L:T,9,FALSE),VLOOKUP(tables_2!B245,input_2!A:H,8,FALSE))</f>
        <v>76950</v>
      </c>
      <c r="M245" s="69">
        <f t="shared" si="11"/>
        <v>2.6086956521739128E-4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input_2!A$2</f>
        <v>3083</v>
      </c>
      <c r="B246" s="7" t="str">
        <f t="shared" si="9"/>
        <v>PremiumSSS5blue</v>
      </c>
      <c r="C246" s="7" t="str">
        <f t="shared" si="10"/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IFERROR(VLOOKUP(D246,input_2!L:T,9,FALSE),VLOOKUP(tables_2!B246,input_2!A:H,8,FALSE))</f>
        <v>1179900</v>
      </c>
      <c r="M246" s="69">
        <f t="shared" si="11"/>
        <v>4.0000000000000001E-3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U75"/>
  <sheetViews>
    <sheetView workbookViewId="0">
      <selection activeCell="C15" sqref="C15"/>
    </sheetView>
  </sheetViews>
  <sheetFormatPr baseColWidth="12" defaultRowHeight="14" x14ac:dyDescent="0"/>
  <sheetData>
    <row r="1" spans="1:20">
      <c r="A1" s="72" t="s">
        <v>106</v>
      </c>
      <c r="B1" s="92" t="s">
        <v>138</v>
      </c>
      <c r="L1" s="55" t="s">
        <v>80</v>
      </c>
      <c r="M1" s="55"/>
    </row>
    <row r="2" spans="1:20">
      <c r="A2">
        <v>3083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55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1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0.96599999999999997</v>
      </c>
    </row>
    <row r="14" spans="1:20">
      <c r="A14" s="47" t="s">
        <v>72</v>
      </c>
      <c r="B14" s="86">
        <v>0.03</v>
      </c>
      <c r="C14" t="s">
        <v>139</v>
      </c>
    </row>
    <row r="15" spans="1:20">
      <c r="A15" s="47" t="s">
        <v>71</v>
      </c>
      <c r="B15" s="85">
        <v>4.0000000000000001E-3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1</v>
      </c>
    </row>
    <row r="19" spans="1:21">
      <c r="A19" s="62" t="s">
        <v>64</v>
      </c>
      <c r="B19" s="52">
        <v>0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</v>
      </c>
      <c r="C24" s="71">
        <f>SUMIF(S:S,A24,N:N)</f>
        <v>0</v>
      </c>
      <c r="D24" s="61">
        <f>B24-C24</f>
        <v>0</v>
      </c>
      <c r="E24">
        <f>COUNTIF(tables_3!B:B,input_3!A24)-COUNTIF(S:S,A24)</f>
        <v>5</v>
      </c>
      <c r="F24" s="66">
        <f>IFERROR(D24/E24,0)</f>
        <v>0</v>
      </c>
      <c r="G24">
        <f>A$49*D24</f>
        <v>0</v>
      </c>
      <c r="H24">
        <f>IFERROR(ROUND(G24/E24,5),0)</f>
        <v>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0</v>
      </c>
      <c r="C25" s="71">
        <f t="shared" ref="C25:C45" si="0">SUMIF(S:S,A25,N:N)</f>
        <v>0</v>
      </c>
      <c r="D25" s="61">
        <f t="shared" ref="D25:D45" si="1">B25-C25</f>
        <v>0</v>
      </c>
      <c r="E25">
        <f>COUNTIF(tables_3!B:B,input_3!A25)-COUNTIF(S:S,A25)</f>
        <v>15</v>
      </c>
      <c r="F25" s="66">
        <f t="shared" ref="F25:F45" si="2">IFERROR(D25/E25,0)</f>
        <v>0</v>
      </c>
      <c r="G25">
        <f t="shared" ref="G25:G45" si="3">A$49*D25</f>
        <v>0</v>
      </c>
      <c r="H25">
        <f t="shared" ref="H25:H45" si="4">IFERROR(ROUND(G25/E25,5),0)</f>
        <v>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</v>
      </c>
      <c r="C26" s="71">
        <f t="shared" si="0"/>
        <v>0</v>
      </c>
      <c r="D26" s="61">
        <f t="shared" si="1"/>
        <v>0</v>
      </c>
      <c r="E26">
        <f>COUNTIF(tables_3!B:B,input_3!A26)-COUNTIF(S:S,A26)</f>
        <v>5</v>
      </c>
      <c r="F26" s="6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0</v>
      </c>
      <c r="C27" s="71">
        <f t="shared" si="0"/>
        <v>0</v>
      </c>
      <c r="D27" s="61">
        <f t="shared" si="1"/>
        <v>0</v>
      </c>
      <c r="E27">
        <f>COUNTIF(tables_3!B:B,input_3!A27)-COUNTIF(S:S,A27)</f>
        <v>15</v>
      </c>
      <c r="F27" s="66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</v>
      </c>
      <c r="C28" s="71">
        <f t="shared" si="0"/>
        <v>0</v>
      </c>
      <c r="D28" s="61">
        <f t="shared" si="1"/>
        <v>0</v>
      </c>
      <c r="E28">
        <f>COUNTIF(tables_3!B:B,input_3!A28)-COUNTIF(S:S,A28)</f>
        <v>9</v>
      </c>
      <c r="F28" s="66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0</v>
      </c>
      <c r="C29" s="71">
        <f t="shared" si="0"/>
        <v>0</v>
      </c>
      <c r="D29" s="61">
        <f t="shared" si="1"/>
        <v>0</v>
      </c>
      <c r="E29">
        <f>COUNTIF(tables_3!B:B,input_3!A29)-COUNTIF(S:S,A29)</f>
        <v>23</v>
      </c>
      <c r="F29" s="66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93">
        <v>0</v>
      </c>
      <c r="C30" s="71">
        <f t="shared" si="0"/>
        <v>0</v>
      </c>
      <c r="D30" s="61">
        <f t="shared" si="1"/>
        <v>0</v>
      </c>
      <c r="E30">
        <f>COUNTIF(tables_3!B:B,input_3!A30)-COUNTIF(S:S,A30)</f>
        <v>5</v>
      </c>
      <c r="F30" s="66">
        <f t="shared" si="2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93">
        <v>0</v>
      </c>
      <c r="C31" s="71">
        <f t="shared" si="0"/>
        <v>0</v>
      </c>
      <c r="D31" s="61">
        <f t="shared" si="1"/>
        <v>0</v>
      </c>
      <c r="E31">
        <f>COUNTIF(tables_3!B:B,input_3!A31)-COUNTIF(S:S,A31)</f>
        <v>15</v>
      </c>
      <c r="F31" s="66">
        <f t="shared" si="2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0</v>
      </c>
      <c r="C32" s="71">
        <f t="shared" si="0"/>
        <v>0</v>
      </c>
      <c r="D32" s="61">
        <f t="shared" si="1"/>
        <v>0</v>
      </c>
      <c r="E32">
        <f>COUNTIF(tables_3!B:B,input_3!A32)-COUNTIF(S:S,A32)</f>
        <v>5</v>
      </c>
      <c r="F32" s="66">
        <f t="shared" si="2"/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0</v>
      </c>
      <c r="C33" s="71">
        <f t="shared" si="0"/>
        <v>0</v>
      </c>
      <c r="D33" s="61">
        <f t="shared" si="1"/>
        <v>0</v>
      </c>
      <c r="E33">
        <f>COUNTIF(tables_3!B:B,input_3!A33)-COUNTIF(S:S,A33)</f>
        <v>15</v>
      </c>
      <c r="F33" s="66">
        <f t="shared" si="2"/>
        <v>0</v>
      </c>
      <c r="G33">
        <f t="shared" si="3"/>
        <v>0</v>
      </c>
      <c r="H33">
        <f t="shared" si="4"/>
        <v>0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0</v>
      </c>
      <c r="C34" s="71">
        <f t="shared" si="0"/>
        <v>0</v>
      </c>
      <c r="D34" s="61">
        <f t="shared" si="1"/>
        <v>0</v>
      </c>
      <c r="E34">
        <f>COUNTIF(tables_3!B:B,input_3!A34)-COUNTIF(S:S,A34)</f>
        <v>9</v>
      </c>
      <c r="F34" s="66">
        <f t="shared" si="2"/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0</v>
      </c>
      <c r="C35" s="71">
        <f t="shared" si="0"/>
        <v>0</v>
      </c>
      <c r="D35" s="61">
        <f t="shared" si="1"/>
        <v>0</v>
      </c>
      <c r="E35">
        <f>COUNTIF(tables_3!B:B,input_3!A35)-COUNTIF(S:S,A35)</f>
        <v>23</v>
      </c>
      <c r="F35" s="66">
        <f t="shared" si="2"/>
        <v>0</v>
      </c>
      <c r="G35">
        <f t="shared" si="3"/>
        <v>0</v>
      </c>
      <c r="H35">
        <f t="shared" si="4"/>
        <v>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v>0</v>
      </c>
      <c r="C36" s="71">
        <f t="shared" si="0"/>
        <v>0</v>
      </c>
      <c r="D36" s="61">
        <f t="shared" si="1"/>
        <v>0</v>
      </c>
      <c r="E36">
        <f>COUNTIF(tables_3!B:B,input_3!A36)-COUNTIF(S:S,A36)</f>
        <v>5</v>
      </c>
      <c r="F36" s="66">
        <f t="shared" si="2"/>
        <v>0</v>
      </c>
      <c r="G36">
        <f t="shared" si="3"/>
        <v>0</v>
      </c>
      <c r="H36">
        <f t="shared" si="4"/>
        <v>0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0</v>
      </c>
      <c r="C37" s="71">
        <f t="shared" si="0"/>
        <v>0</v>
      </c>
      <c r="D37" s="61">
        <f t="shared" si="1"/>
        <v>0</v>
      </c>
      <c r="E37">
        <f>COUNTIF(tables_3!B:B,input_3!A37)-COUNTIF(S:S,A37)</f>
        <v>19</v>
      </c>
      <c r="F37" s="66">
        <f t="shared" si="2"/>
        <v>0</v>
      </c>
      <c r="G37">
        <f t="shared" si="3"/>
        <v>0</v>
      </c>
      <c r="H37">
        <f t="shared" si="4"/>
        <v>0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COUNTIF(tables_3!B:B,input_3!A38)-COUNTIF(S:S,A38)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0.48299999999999998</v>
      </c>
      <c r="C39" s="71">
        <f t="shared" si="0"/>
        <v>0</v>
      </c>
      <c r="D39" s="61">
        <f t="shared" si="1"/>
        <v>0.48299999999999998</v>
      </c>
      <c r="E39">
        <f>COUNTIF(tables_3!B:B,input_3!A39)-COUNTIF(S:S,A39)</f>
        <v>5</v>
      </c>
      <c r="F39" s="66">
        <f t="shared" si="2"/>
        <v>9.6599999999999991E-2</v>
      </c>
      <c r="G39">
        <f t="shared" si="3"/>
        <v>65205</v>
      </c>
      <c r="H39">
        <f t="shared" si="4"/>
        <v>13041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v>0</v>
      </c>
      <c r="C40" s="71">
        <f t="shared" si="0"/>
        <v>0</v>
      </c>
      <c r="D40" s="61">
        <f t="shared" si="1"/>
        <v>0</v>
      </c>
      <c r="E40">
        <f>COUNTIF(tables_3!B:B,input_3!A40)-COUNTIF(S:S,A40)</f>
        <v>15</v>
      </c>
      <c r="F40" s="66">
        <f t="shared" si="2"/>
        <v>0</v>
      </c>
      <c r="G40">
        <f t="shared" si="3"/>
        <v>0</v>
      </c>
      <c r="H40">
        <f t="shared" si="4"/>
        <v>0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0.48299999999999998</v>
      </c>
      <c r="C41" s="71">
        <f t="shared" si="0"/>
        <v>0</v>
      </c>
      <c r="D41" s="61">
        <f t="shared" si="1"/>
        <v>0.48299999999999998</v>
      </c>
      <c r="E41">
        <f>COUNTIF(tables_3!B:B,input_3!A41)-COUNTIF(S:S,A41)</f>
        <v>9</v>
      </c>
      <c r="F41" s="66">
        <f t="shared" si="2"/>
        <v>5.3666666666666668E-2</v>
      </c>
      <c r="G41">
        <f t="shared" si="3"/>
        <v>65205</v>
      </c>
      <c r="H41">
        <f t="shared" si="4"/>
        <v>7245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0</v>
      </c>
      <c r="C42" s="71">
        <f t="shared" si="0"/>
        <v>0</v>
      </c>
      <c r="D42" s="61">
        <f t="shared" si="1"/>
        <v>0</v>
      </c>
      <c r="E42">
        <f>COUNTIF(tables_3!B:B,input_3!A42)-COUNTIF(S:S,A42)</f>
        <v>23</v>
      </c>
      <c r="F42" s="66">
        <f t="shared" si="2"/>
        <v>0</v>
      </c>
      <c r="G42">
        <f t="shared" si="3"/>
        <v>0</v>
      </c>
      <c r="H42">
        <f t="shared" si="4"/>
        <v>0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0.03</v>
      </c>
      <c r="C43" s="71">
        <f t="shared" si="0"/>
        <v>0</v>
      </c>
      <c r="D43" s="61">
        <f t="shared" si="1"/>
        <v>0.03</v>
      </c>
      <c r="E43">
        <f>COUNTIF(tables_3!B:B,input_3!A43)-COUNTIF(S:S,A43)</f>
        <v>5</v>
      </c>
      <c r="F43" s="66">
        <f t="shared" si="2"/>
        <v>6.0000000000000001E-3</v>
      </c>
      <c r="G43">
        <f t="shared" si="3"/>
        <v>4050</v>
      </c>
      <c r="H43">
        <f t="shared" si="4"/>
        <v>810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0</v>
      </c>
      <c r="C44" s="71">
        <f t="shared" si="0"/>
        <v>0</v>
      </c>
      <c r="D44" s="61">
        <f t="shared" si="1"/>
        <v>0</v>
      </c>
      <c r="E44">
        <f>COUNTIF(tables_3!B:B,input_3!A44)-COUNTIF(S:S,A44)</f>
        <v>19</v>
      </c>
      <c r="F44" s="66">
        <f t="shared" si="2"/>
        <v>0</v>
      </c>
      <c r="G44">
        <f t="shared" si="3"/>
        <v>0</v>
      </c>
      <c r="H44">
        <f t="shared" si="4"/>
        <v>0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v>4.0000000000000001E-3</v>
      </c>
      <c r="C45" s="71">
        <f t="shared" si="0"/>
        <v>0</v>
      </c>
      <c r="D45" s="61">
        <f t="shared" si="1"/>
        <v>4.0000000000000001E-3</v>
      </c>
      <c r="E45">
        <f>COUNTIF(tables_3!B:B,input_3!A45)-COUNTIF(S:S,A45)</f>
        <v>1</v>
      </c>
      <c r="F45" s="66">
        <f t="shared" si="2"/>
        <v>4.0000000000000001E-3</v>
      </c>
      <c r="G45">
        <f t="shared" si="3"/>
        <v>540</v>
      </c>
      <c r="H45">
        <f t="shared" si="4"/>
        <v>540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1</v>
      </c>
      <c r="C46" s="60">
        <f>SUM(C24:C45)</f>
        <v>0</v>
      </c>
      <c r="D46" s="65">
        <f>B46-C46</f>
        <v>1</v>
      </c>
    </row>
    <row r="48" spans="1:21">
      <c r="A48" t="s">
        <v>96</v>
      </c>
    </row>
    <row r="49" spans="1:6">
      <c r="A49" s="34">
        <f>3000*9*5</f>
        <v>135000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SUMIF(tables_3!B:B,input_3!A53,tables_3!L:L)</f>
        <v>0</v>
      </c>
      <c r="C53">
        <f>B53/B$75</f>
        <v>0</v>
      </c>
      <c r="E53" s="47">
        <v>3</v>
      </c>
      <c r="F53" s="90">
        <f>SUM(C53:C58)</f>
        <v>0</v>
      </c>
    </row>
    <row r="54" spans="1:6">
      <c r="A54" s="47" t="s">
        <v>122</v>
      </c>
      <c r="B54" s="47">
        <f>SUMIF(tables_3!B:B,input_3!A54,tables_3!L:L)</f>
        <v>0</v>
      </c>
      <c r="C54">
        <f t="shared" ref="C54:C74" si="7">B54/B$75</f>
        <v>0</v>
      </c>
      <c r="E54" s="47">
        <v>4</v>
      </c>
      <c r="F54" s="90">
        <f>SUM(C59:C67)</f>
        <v>0</v>
      </c>
    </row>
    <row r="55" spans="1:6">
      <c r="A55" s="47" t="str">
        <f>"PremiumN3"&amp;A$18</f>
        <v>PremiumN3blue</v>
      </c>
      <c r="B55" s="47">
        <f>SUMIF(tables_3!B:B,input_3!A55,tables_3!L:L)</f>
        <v>0</v>
      </c>
      <c r="C55">
        <f t="shared" si="7"/>
        <v>0</v>
      </c>
      <c r="E55" s="47">
        <v>5</v>
      </c>
      <c r="F55" s="90">
        <f>SUM(C68:C74)</f>
        <v>1</v>
      </c>
    </row>
    <row r="56" spans="1:6">
      <c r="A56" s="47" t="s">
        <v>123</v>
      </c>
      <c r="B56" s="47">
        <f>SUMIF(tables_3!B:B,input_3!A56,tables_3!L:L)</f>
        <v>0</v>
      </c>
      <c r="C56">
        <f t="shared" si="7"/>
        <v>0</v>
      </c>
    </row>
    <row r="57" spans="1:6">
      <c r="A57" s="47" t="str">
        <f>"PremiumS3"&amp;A$18</f>
        <v>PremiumS3blue</v>
      </c>
      <c r="B57" s="47">
        <f>SUMIF(tables_3!B:B,input_3!A57,tables_3!L:L)</f>
        <v>0</v>
      </c>
      <c r="C57">
        <f t="shared" si="7"/>
        <v>0</v>
      </c>
      <c r="E57" s="50" t="s">
        <v>70</v>
      </c>
      <c r="F57" s="50"/>
    </row>
    <row r="58" spans="1:6">
      <c r="A58" s="47" t="s">
        <v>133</v>
      </c>
      <c r="B58" s="47">
        <f>SUMIF(tables_3!B:B,input_3!A58,tables_3!L:L)</f>
        <v>0</v>
      </c>
      <c r="C58">
        <f t="shared" si="7"/>
        <v>0</v>
      </c>
      <c r="E58" s="47" t="s">
        <v>73</v>
      </c>
      <c r="F58" s="52">
        <f>1-F59-F60</f>
        <v>0.96599999999999997</v>
      </c>
    </row>
    <row r="59" spans="1:6">
      <c r="A59" s="47" t="str">
        <f>"PremiumW4"&amp;A$18</f>
        <v>PremiumW4blue</v>
      </c>
      <c r="B59" s="47">
        <f>SUMIF(tables_3!B:B,input_3!A59,tables_3!L:L)</f>
        <v>0</v>
      </c>
      <c r="C59">
        <f t="shared" si="7"/>
        <v>0</v>
      </c>
      <c r="E59" s="47" t="s">
        <v>72</v>
      </c>
      <c r="F59" s="52">
        <f>C65+C66+C73+C72</f>
        <v>0.03</v>
      </c>
    </row>
    <row r="60" spans="1:6">
      <c r="A60" s="47" t="s">
        <v>124</v>
      </c>
      <c r="B60" s="47">
        <f>SUMIF(tables_3!B:B,input_3!A60,tables_3!L:L)</f>
        <v>0</v>
      </c>
      <c r="C60">
        <f t="shared" si="7"/>
        <v>0</v>
      </c>
      <c r="E60" s="47" t="s">
        <v>71</v>
      </c>
      <c r="F60" s="52">
        <f>C67+C74</f>
        <v>4.0000000000000001E-3</v>
      </c>
    </row>
    <row r="61" spans="1:6">
      <c r="A61" s="47" t="str">
        <f>"PremiumN4"&amp;A$18</f>
        <v>PremiumN4blue</v>
      </c>
      <c r="B61" s="47">
        <f>SUMIF(tables_3!B:B,input_3!A61,tables_3!L:L)</f>
        <v>0</v>
      </c>
      <c r="C61">
        <f t="shared" si="7"/>
        <v>0</v>
      </c>
    </row>
    <row r="62" spans="1:6">
      <c r="A62" s="47" t="s">
        <v>125</v>
      </c>
      <c r="B62" s="47">
        <f>SUMIF(tables_3!B:B,input_3!A62,tables_3!L:L)</f>
        <v>0</v>
      </c>
      <c r="C62">
        <f t="shared" si="7"/>
        <v>0</v>
      </c>
    </row>
    <row r="63" spans="1:6">
      <c r="A63" s="47" t="str">
        <f>"PremiumS4"&amp;A$18</f>
        <v>PremiumS4blue</v>
      </c>
      <c r="B63" s="47">
        <f>SUMIF(tables_3!B:B,input_3!A63,tables_3!L:L)</f>
        <v>0</v>
      </c>
      <c r="C63">
        <f t="shared" si="7"/>
        <v>0</v>
      </c>
    </row>
    <row r="64" spans="1:6">
      <c r="A64" s="47" t="s">
        <v>136</v>
      </c>
      <c r="B64" s="47">
        <f>SUMIF(tables_3!B:B,input_3!A64,tables_3!L:L)</f>
        <v>0</v>
      </c>
      <c r="C64">
        <f t="shared" si="7"/>
        <v>0</v>
      </c>
    </row>
    <row r="65" spans="1:3">
      <c r="A65" s="47" t="str">
        <f>"PremiumSS4"&amp;A$18</f>
        <v>PremiumSS4blue</v>
      </c>
      <c r="B65" s="47">
        <f>SUMIF(tables_3!B:B,input_3!A65,tables_3!L:L)</f>
        <v>0</v>
      </c>
      <c r="C65">
        <f t="shared" si="7"/>
        <v>0</v>
      </c>
    </row>
    <row r="66" spans="1:3">
      <c r="A66" s="47" t="str">
        <f>"PremiumSS4"&amp;A$19</f>
        <v>PremiumSS4other</v>
      </c>
      <c r="B66" s="47">
        <f>SUMIF(tables_3!B:B,input_3!A66,tables_3!L:L)</f>
        <v>0</v>
      </c>
      <c r="C66">
        <f t="shared" si="7"/>
        <v>0</v>
      </c>
    </row>
    <row r="67" spans="1:3">
      <c r="A67" s="47" t="s">
        <v>87</v>
      </c>
      <c r="B67" s="47">
        <f>SUMIF(tables_3!B:B,input_3!A67,tables_3!L:L)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SUMIF(tables_3!B:B,input_3!A68,tables_3!L:L)</f>
        <v>65205</v>
      </c>
      <c r="C68">
        <f t="shared" si="7"/>
        <v>0.48299999999999998</v>
      </c>
    </row>
    <row r="69" spans="1:3">
      <c r="A69" s="47" t="str">
        <f>"PremiumN5"&amp;A$19</f>
        <v>PremiumN5other</v>
      </c>
      <c r="B69" s="47">
        <f>SUMIF(tables_3!B:B,input_3!A69,tables_3!L:L)</f>
        <v>0</v>
      </c>
      <c r="C69">
        <f t="shared" si="7"/>
        <v>0</v>
      </c>
    </row>
    <row r="70" spans="1:3">
      <c r="A70" s="47" t="str">
        <f>"PremiumS5"&amp;A$18</f>
        <v>PremiumS5blue</v>
      </c>
      <c r="B70" s="47">
        <f>SUMIF(tables_3!B:B,input_3!A70,tables_3!L:L)</f>
        <v>65205</v>
      </c>
      <c r="C70">
        <f t="shared" si="7"/>
        <v>0.48299999999999998</v>
      </c>
    </row>
    <row r="71" spans="1:3">
      <c r="A71" s="47" t="str">
        <f>"PremiumS5"&amp;A$19</f>
        <v>PremiumS5other</v>
      </c>
      <c r="B71" s="47">
        <f>SUMIF(tables_3!B:B,input_3!A71,tables_3!L:L)</f>
        <v>0</v>
      </c>
      <c r="C71">
        <f t="shared" si="7"/>
        <v>0</v>
      </c>
    </row>
    <row r="72" spans="1:3">
      <c r="A72" s="47" t="str">
        <f>"PremiumSS5"&amp;A$18</f>
        <v>PremiumSS5blue</v>
      </c>
      <c r="B72" s="47">
        <f>SUMIF(tables_3!B:B,input_3!A72,tables_3!L:L)</f>
        <v>4050</v>
      </c>
      <c r="C72">
        <f t="shared" si="7"/>
        <v>0.03</v>
      </c>
    </row>
    <row r="73" spans="1:3">
      <c r="A73" s="47" t="str">
        <f>"PremiumSS5"&amp;A$19</f>
        <v>PremiumSS5other</v>
      </c>
      <c r="B73" s="47">
        <f>SUMIF(tables_3!B:B,input_3!A73,tables_3!L:L)</f>
        <v>0</v>
      </c>
      <c r="C73">
        <f t="shared" si="7"/>
        <v>0</v>
      </c>
    </row>
    <row r="74" spans="1:3">
      <c r="A74" s="13" t="s">
        <v>134</v>
      </c>
      <c r="B74" s="47">
        <f>SUMIF(tables_3!B:B,input_3!A74,tables_3!L:L)</f>
        <v>540</v>
      </c>
      <c r="C74">
        <f t="shared" si="7"/>
        <v>4.0000000000000001E-3</v>
      </c>
    </row>
    <row r="75" spans="1:3">
      <c r="A75" t="s">
        <v>77</v>
      </c>
      <c r="B75">
        <f>SUM(B53:B74)</f>
        <v>135000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M122" sqref="M12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82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input_3!A$2</f>
        <v>3083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IFERROR(VLOOKUP(D2,input_3!L:T,9,FALSE),VLOOKUP(tables_3!B2,input_3!A:H,8,FALSE))</f>
        <v>0</v>
      </c>
      <c r="M2" s="69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input_3!A$2</f>
        <v>3083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IFERROR(VLOOKUP(D3,input_3!L:T,9,FALSE),VLOOKUP(tables_3!B3,input_3!A:H,8,FALSE))</f>
        <v>0</v>
      </c>
      <c r="M3" s="69">
        <f t="shared" ref="M3:M66" si="2">L3/SUM(L:L)</f>
        <v>0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input_3!A$2</f>
        <v>3083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IFERROR(VLOOKUP(D4,input_3!L:T,9,FALSE),VLOOKUP(tables_3!B4,input_3!A:H,8,FALSE))</f>
        <v>0</v>
      </c>
      <c r="M4" s="69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input_3!A$2</f>
        <v>3083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IFERROR(VLOOKUP(D5,input_3!L:T,9,FALSE),VLOOKUP(tables_3!B5,input_3!A:H,8,FALSE))</f>
        <v>0</v>
      </c>
      <c r="M5" s="69">
        <f t="shared" si="2"/>
        <v>0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input_3!A$2</f>
        <v>3083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IFERROR(VLOOKUP(D6,input_3!L:T,9,FALSE),VLOOKUP(tables_3!B6,input_3!A:H,8,FALSE))</f>
        <v>0</v>
      </c>
      <c r="M6" s="69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input_3!A$2</f>
        <v>3083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IFERROR(VLOOKUP(D7,input_3!L:T,9,FALSE),VLOOKUP(tables_3!B7,input_3!A:H,8,FALSE))</f>
        <v>0</v>
      </c>
      <c r="M7" s="69">
        <f t="shared" si="2"/>
        <v>0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input_3!A$2</f>
        <v>3083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IFERROR(VLOOKUP(D8,input_3!L:T,9,FALSE),VLOOKUP(tables_3!B8,input_3!A:H,8,FALSE))</f>
        <v>0</v>
      </c>
      <c r="M8" s="69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input_3!A$2</f>
        <v>3083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IFERROR(VLOOKUP(D9,input_3!L:T,9,FALSE),VLOOKUP(tables_3!B9,input_3!A:H,8,FALSE))</f>
        <v>0</v>
      </c>
      <c r="M9" s="69">
        <f t="shared" si="2"/>
        <v>0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input_3!A$2</f>
        <v>3083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IFERROR(VLOOKUP(D10,input_3!L:T,9,FALSE),VLOOKUP(tables_3!B10,input_3!A:H,8,FALSE))</f>
        <v>0</v>
      </c>
      <c r="M10" s="69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input_3!A$2</f>
        <v>3083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IFERROR(VLOOKUP(D11,input_3!L:T,9,FALSE),VLOOKUP(tables_3!B11,input_3!A:H,8,FALSE))</f>
        <v>0</v>
      </c>
      <c r="M11" s="69">
        <f t="shared" si="2"/>
        <v>0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input_3!A$2</f>
        <v>3083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IFERROR(VLOOKUP(D12,input_3!L:T,9,FALSE),VLOOKUP(tables_3!B12,input_3!A:H,8,FALSE))</f>
        <v>0</v>
      </c>
      <c r="M12" s="69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input_3!A$2</f>
        <v>3083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IFERROR(VLOOKUP(D13,input_3!L:T,9,FALSE),VLOOKUP(tables_3!B13,input_3!A:H,8,FALSE))</f>
        <v>0</v>
      </c>
      <c r="M13" s="69">
        <f t="shared" si="2"/>
        <v>0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input_3!A$2</f>
        <v>3083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IFERROR(VLOOKUP(D14,input_3!L:T,9,FALSE),VLOOKUP(tables_3!B14,input_3!A:H,8,FALSE))</f>
        <v>0</v>
      </c>
      <c r="M14" s="69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input_3!A$2</f>
        <v>3083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IFERROR(VLOOKUP(D15,input_3!L:T,9,FALSE),VLOOKUP(tables_3!B15,input_3!A:H,8,FALSE))</f>
        <v>0</v>
      </c>
      <c r="M15" s="69">
        <f t="shared" si="2"/>
        <v>0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input_3!A$2</f>
        <v>3083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IFERROR(VLOOKUP(D16,input_3!L:T,9,FALSE),VLOOKUP(tables_3!B16,input_3!A:H,8,FALSE))</f>
        <v>0</v>
      </c>
      <c r="M16" s="69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input_3!A$2</f>
        <v>3083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IFERROR(VLOOKUP(D17,input_3!L:T,9,FALSE),VLOOKUP(tables_3!B17,input_3!A:H,8,FALSE))</f>
        <v>0</v>
      </c>
      <c r="M17" s="69">
        <f t="shared" si="2"/>
        <v>0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input_3!A$2</f>
        <v>3083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IFERROR(VLOOKUP(D18,input_3!L:T,9,FALSE),VLOOKUP(tables_3!B18,input_3!A:H,8,FALSE))</f>
        <v>0</v>
      </c>
      <c r="M18" s="69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input_3!A$2</f>
        <v>3083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IFERROR(VLOOKUP(D19,input_3!L:T,9,FALSE),VLOOKUP(tables_3!B19,input_3!A:H,8,FALSE))</f>
        <v>0</v>
      </c>
      <c r="M19" s="69">
        <f t="shared" si="2"/>
        <v>0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input_3!A$2</f>
        <v>3083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IFERROR(VLOOKUP(D20,input_3!L:T,9,FALSE),VLOOKUP(tables_3!B20,input_3!A:H,8,FALSE))</f>
        <v>0</v>
      </c>
      <c r="M20" s="69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input_3!A$2</f>
        <v>3083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IFERROR(VLOOKUP(D21,input_3!L:T,9,FALSE),VLOOKUP(tables_3!B21,input_3!A:H,8,FALSE))</f>
        <v>0</v>
      </c>
      <c r="M21" s="69">
        <f t="shared" si="2"/>
        <v>0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input_3!A$2</f>
        <v>3083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IFERROR(VLOOKUP(D22,input_3!L:T,9,FALSE),VLOOKUP(tables_3!B22,input_3!A:H,8,FALSE))</f>
        <v>0</v>
      </c>
      <c r="M22" s="69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input_3!A$2</f>
        <v>3083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IFERROR(VLOOKUP(D23,input_3!L:T,9,FALSE),VLOOKUP(tables_3!B23,input_3!A:H,8,FALSE))</f>
        <v>0</v>
      </c>
      <c r="M23" s="69">
        <f t="shared" si="2"/>
        <v>0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input_3!A$2</f>
        <v>3083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IFERROR(VLOOKUP(D24,input_3!L:T,9,FALSE),VLOOKUP(tables_3!B24,input_3!A:H,8,FALSE))</f>
        <v>0</v>
      </c>
      <c r="M24" s="69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input_3!A$2</f>
        <v>3083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IFERROR(VLOOKUP(D25,input_3!L:T,9,FALSE),VLOOKUP(tables_3!B25,input_3!A:H,8,FALSE))</f>
        <v>0</v>
      </c>
      <c r="M25" s="69">
        <f t="shared" si="2"/>
        <v>0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input_3!A$2</f>
        <v>3083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IFERROR(VLOOKUP(D26,input_3!L:T,9,FALSE),VLOOKUP(tables_3!B26,input_3!A:H,8,FALSE))</f>
        <v>0</v>
      </c>
      <c r="M26" s="69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input_3!A$2</f>
        <v>3083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IFERROR(VLOOKUP(D27,input_3!L:T,9,FALSE),VLOOKUP(tables_3!B27,input_3!A:H,8,FALSE))</f>
        <v>0</v>
      </c>
      <c r="M27" s="69">
        <f t="shared" si="2"/>
        <v>0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input_3!A$2</f>
        <v>3083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IFERROR(VLOOKUP(D28,input_3!L:T,9,FALSE),VLOOKUP(tables_3!B28,input_3!A:H,8,FALSE))</f>
        <v>0</v>
      </c>
      <c r="M28" s="69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input_3!A$2</f>
        <v>3083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IFERROR(VLOOKUP(D29,input_3!L:T,9,FALSE),VLOOKUP(tables_3!B29,input_3!A:H,8,FALSE))</f>
        <v>0</v>
      </c>
      <c r="M29" s="69">
        <f t="shared" si="2"/>
        <v>0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input_3!A$2</f>
        <v>3083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IFERROR(VLOOKUP(D30,input_3!L:T,9,FALSE),VLOOKUP(tables_3!B30,input_3!A:H,8,FALSE))</f>
        <v>0</v>
      </c>
      <c r="M30" s="69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input_3!A$2</f>
        <v>3083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IFERROR(VLOOKUP(D31,input_3!L:T,9,FALSE),VLOOKUP(tables_3!B31,input_3!A:H,8,FALSE))</f>
        <v>0</v>
      </c>
      <c r="M31" s="69">
        <f t="shared" si="2"/>
        <v>0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input_3!A$2</f>
        <v>3083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IFERROR(VLOOKUP(D32,input_3!L:T,9,FALSE),VLOOKUP(tables_3!B32,input_3!A:H,8,FALSE))</f>
        <v>0</v>
      </c>
      <c r="M32" s="69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input_3!A$2</f>
        <v>3083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IFERROR(VLOOKUP(D33,input_3!L:T,9,FALSE),VLOOKUP(tables_3!B33,input_3!A:H,8,FALSE))</f>
        <v>0</v>
      </c>
      <c r="M33" s="69">
        <f t="shared" si="2"/>
        <v>0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input_3!A$2</f>
        <v>3083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IFERROR(VLOOKUP(D34,input_3!L:T,9,FALSE),VLOOKUP(tables_3!B34,input_3!A:H,8,FALSE))</f>
        <v>0</v>
      </c>
      <c r="M34" s="69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input_3!A$2</f>
        <v>3083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IFERROR(VLOOKUP(D35,input_3!L:T,9,FALSE),VLOOKUP(tables_3!B35,input_3!A:H,8,FALSE))</f>
        <v>0</v>
      </c>
      <c r="M35" s="69">
        <f t="shared" si="2"/>
        <v>0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input_3!A$2</f>
        <v>3083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IFERROR(VLOOKUP(D36,input_3!L:T,9,FALSE),VLOOKUP(tables_3!B36,input_3!A:H,8,FALSE))</f>
        <v>0</v>
      </c>
      <c r="M36" s="69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input_3!A$2</f>
        <v>3083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IFERROR(VLOOKUP(D37,input_3!L:T,9,FALSE),VLOOKUP(tables_3!B37,input_3!A:H,8,FALSE))</f>
        <v>0</v>
      </c>
      <c r="M37" s="69">
        <f t="shared" si="2"/>
        <v>0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input_3!A$2</f>
        <v>3083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IFERROR(VLOOKUP(D38,input_3!L:T,9,FALSE),VLOOKUP(tables_3!B38,input_3!A:H,8,FALSE))</f>
        <v>0</v>
      </c>
      <c r="M38" s="69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input_3!A$2</f>
        <v>3083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IFERROR(VLOOKUP(D39,input_3!L:T,9,FALSE),VLOOKUP(tables_3!B39,input_3!A:H,8,FALSE))</f>
        <v>0</v>
      </c>
      <c r="M39" s="69">
        <f t="shared" si="2"/>
        <v>0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input_3!A$2</f>
        <v>3083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IFERROR(VLOOKUP(D40,input_3!L:T,9,FALSE),VLOOKUP(tables_3!B40,input_3!A:H,8,FALSE))</f>
        <v>0</v>
      </c>
      <c r="M40" s="69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input_3!A$2</f>
        <v>3083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IFERROR(VLOOKUP(D41,input_3!L:T,9,FALSE),VLOOKUP(tables_3!B41,input_3!A:H,8,FALSE))</f>
        <v>0</v>
      </c>
      <c r="M41" s="69">
        <f t="shared" si="2"/>
        <v>0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input_3!A$2</f>
        <v>3083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IFERROR(VLOOKUP(D42,input_3!L:T,9,FALSE),VLOOKUP(tables_3!B42,input_3!A:H,8,FALSE))</f>
        <v>0</v>
      </c>
      <c r="M42" s="69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input_3!A$2</f>
        <v>3083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IFERROR(VLOOKUP(D43,input_3!L:T,9,FALSE),VLOOKUP(tables_3!B43,input_3!A:H,8,FALSE))</f>
        <v>0</v>
      </c>
      <c r="M43" s="69">
        <f t="shared" si="2"/>
        <v>0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input_3!A$2</f>
        <v>3083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IFERROR(VLOOKUP(D44,input_3!L:T,9,FALSE),VLOOKUP(tables_3!B44,input_3!A:H,8,FALSE))</f>
        <v>0</v>
      </c>
      <c r="M44" s="69">
        <f t="shared" si="2"/>
        <v>0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input_3!A$2</f>
        <v>3083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IFERROR(VLOOKUP(D45,input_3!L:T,9,FALSE),VLOOKUP(tables_3!B45,input_3!A:H,8,FALSE))</f>
        <v>0</v>
      </c>
      <c r="M45" s="69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input_3!A$2</f>
        <v>3083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IFERROR(VLOOKUP(D46,input_3!L:T,9,FALSE),VLOOKUP(tables_3!B46,input_3!A:H,8,FALSE))</f>
        <v>0</v>
      </c>
      <c r="M46" s="69">
        <f t="shared" si="2"/>
        <v>0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input_3!A$2</f>
        <v>3083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IFERROR(VLOOKUP(D47,input_3!L:T,9,FALSE),VLOOKUP(tables_3!B47,input_3!A:H,8,FALSE))</f>
        <v>0</v>
      </c>
      <c r="M47" s="69">
        <f t="shared" si="2"/>
        <v>0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input_3!A$2</f>
        <v>3083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IFERROR(VLOOKUP(D48,input_3!L:T,9,FALSE),VLOOKUP(tables_3!B48,input_3!A:H,8,FALSE))</f>
        <v>0</v>
      </c>
      <c r="M48" s="69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input_3!A$2</f>
        <v>3083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IFERROR(VLOOKUP(D49,input_3!L:T,9,FALSE),VLOOKUP(tables_3!B49,input_3!A:H,8,FALSE))</f>
        <v>0</v>
      </c>
      <c r="M49" s="69">
        <f t="shared" si="2"/>
        <v>0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input_3!A$2</f>
        <v>3083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IFERROR(VLOOKUP(D50,input_3!L:T,9,FALSE),VLOOKUP(tables_3!B50,input_3!A:H,8,FALSE))</f>
        <v>13041</v>
      </c>
      <c r="M50" s="69">
        <f t="shared" si="2"/>
        <v>9.6600000000000005E-2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input_3!A$2</f>
        <v>3083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IFERROR(VLOOKUP(D51,input_3!L:T,9,FALSE),VLOOKUP(tables_3!B51,input_3!A:H,8,FALSE))</f>
        <v>0</v>
      </c>
      <c r="M51" s="69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input_3!A$2</f>
        <v>3083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IFERROR(VLOOKUP(D52,input_3!L:T,9,FALSE),VLOOKUP(tables_3!B52,input_3!A:H,8,FALSE))</f>
        <v>0</v>
      </c>
      <c r="M52" s="69">
        <f t="shared" si="2"/>
        <v>0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input_3!A$2</f>
        <v>3083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IFERROR(VLOOKUP(D53,input_3!L:T,9,FALSE),VLOOKUP(tables_3!B53,input_3!A:H,8,FALSE))</f>
        <v>0</v>
      </c>
      <c r="M53" s="69">
        <f t="shared" si="2"/>
        <v>0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input_3!A$2</f>
        <v>3083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IFERROR(VLOOKUP(D54,input_3!L:T,9,FALSE),VLOOKUP(tables_3!B54,input_3!A:H,8,FALSE))</f>
        <v>0</v>
      </c>
      <c r="M54" s="69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input_3!A$2</f>
        <v>3083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IFERROR(VLOOKUP(D55,input_3!L:T,9,FALSE),VLOOKUP(tables_3!B55,input_3!A:H,8,FALSE))</f>
        <v>0</v>
      </c>
      <c r="M55" s="69">
        <f t="shared" si="2"/>
        <v>0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input_3!A$2</f>
        <v>3083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IFERROR(VLOOKUP(D56,input_3!L:T,9,FALSE),VLOOKUP(tables_3!B56,input_3!A:H,8,FALSE))</f>
        <v>0</v>
      </c>
      <c r="M56" s="69">
        <f t="shared" si="2"/>
        <v>0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input_3!A$2</f>
        <v>3083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IFERROR(VLOOKUP(D57,input_3!L:T,9,FALSE),VLOOKUP(tables_3!B57,input_3!A:H,8,FALSE))</f>
        <v>0</v>
      </c>
      <c r="M57" s="69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input_3!A$2</f>
        <v>3083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IFERROR(VLOOKUP(D58,input_3!L:T,9,FALSE),VLOOKUP(tables_3!B58,input_3!A:H,8,FALSE))</f>
        <v>0</v>
      </c>
      <c r="M58" s="69">
        <f t="shared" si="2"/>
        <v>0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input_3!A$2</f>
        <v>3083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IFERROR(VLOOKUP(D59,input_3!L:T,9,FALSE),VLOOKUP(tables_3!B59,input_3!A:H,8,FALSE))</f>
        <v>0</v>
      </c>
      <c r="M59" s="69">
        <f t="shared" si="2"/>
        <v>0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input_3!A$2</f>
        <v>3083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IFERROR(VLOOKUP(D60,input_3!L:T,9,FALSE),VLOOKUP(tables_3!B60,input_3!A:H,8,FALSE))</f>
        <v>0</v>
      </c>
      <c r="M60" s="69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input_3!A$2</f>
        <v>3083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IFERROR(VLOOKUP(D61,input_3!L:T,9,FALSE),VLOOKUP(tables_3!B61,input_3!A:H,8,FALSE))</f>
        <v>0</v>
      </c>
      <c r="M61" s="69">
        <f t="shared" si="2"/>
        <v>0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input_3!A$2</f>
        <v>3083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IFERROR(VLOOKUP(D62,input_3!L:T,9,FALSE),VLOOKUP(tables_3!B62,input_3!A:H,8,FALSE))</f>
        <v>13041</v>
      </c>
      <c r="M62" s="69">
        <f t="shared" si="2"/>
        <v>9.6600000000000005E-2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input_3!A$2</f>
        <v>3083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IFERROR(VLOOKUP(D63,input_3!L:T,9,FALSE),VLOOKUP(tables_3!B63,input_3!A:H,8,FALSE))</f>
        <v>0</v>
      </c>
      <c r="M63" s="69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input_3!A$2</f>
        <v>3083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IFERROR(VLOOKUP(D64,input_3!L:T,9,FALSE),VLOOKUP(tables_3!B64,input_3!A:H,8,FALSE))</f>
        <v>0</v>
      </c>
      <c r="M64" s="69">
        <f t="shared" si="2"/>
        <v>0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input_3!A$2</f>
        <v>3083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IFERROR(VLOOKUP(D65,input_3!L:T,9,FALSE),VLOOKUP(tables_3!B65,input_3!A:H,8,FALSE))</f>
        <v>0</v>
      </c>
      <c r="M65" s="69">
        <f t="shared" si="2"/>
        <v>0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input_3!A$2</f>
        <v>3083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IFERROR(VLOOKUP(D66,input_3!L:T,9,FALSE),VLOOKUP(tables_3!B66,input_3!A:H,8,FALSE))</f>
        <v>0</v>
      </c>
      <c r="M66" s="69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input_3!A$2</f>
        <v>3083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IFERROR(VLOOKUP(D67,input_3!L:T,9,FALSE),VLOOKUP(tables_3!B67,input_3!A:H,8,FALSE))</f>
        <v>0</v>
      </c>
      <c r="M67" s="69">
        <f t="shared" ref="M67:M130" si="5">L67/SUM(L:L)</f>
        <v>0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input_3!A$2</f>
        <v>3083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IFERROR(VLOOKUP(D68,input_3!L:T,9,FALSE),VLOOKUP(tables_3!B68,input_3!A:H,8,FALSE))</f>
        <v>0</v>
      </c>
      <c r="M68" s="69">
        <f t="shared" si="5"/>
        <v>0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input_3!A$2</f>
        <v>3083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IFERROR(VLOOKUP(D69,input_3!L:T,9,FALSE),VLOOKUP(tables_3!B69,input_3!A:H,8,FALSE))</f>
        <v>0</v>
      </c>
      <c r="M69" s="69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input_3!A$2</f>
        <v>3083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IFERROR(VLOOKUP(D70,input_3!L:T,9,FALSE),VLOOKUP(tables_3!B70,input_3!A:H,8,FALSE))</f>
        <v>0</v>
      </c>
      <c r="M70" s="69">
        <f t="shared" si="5"/>
        <v>0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input_3!A$2</f>
        <v>3083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IFERROR(VLOOKUP(D71,input_3!L:T,9,FALSE),VLOOKUP(tables_3!B71,input_3!A:H,8,FALSE))</f>
        <v>0</v>
      </c>
      <c r="M71" s="69">
        <f t="shared" si="5"/>
        <v>0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input_3!A$2</f>
        <v>3083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IFERROR(VLOOKUP(D72,input_3!L:T,9,FALSE),VLOOKUP(tables_3!B72,input_3!A:H,8,FALSE))</f>
        <v>0</v>
      </c>
      <c r="M72" s="69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input_3!A$2</f>
        <v>3083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IFERROR(VLOOKUP(D73,input_3!L:T,9,FALSE),VLOOKUP(tables_3!B73,input_3!A:H,8,FALSE))</f>
        <v>0</v>
      </c>
      <c r="M73" s="69">
        <f t="shared" si="5"/>
        <v>0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input_3!A$2</f>
        <v>3083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IFERROR(VLOOKUP(D74,input_3!L:T,9,FALSE),VLOOKUP(tables_3!B74,input_3!A:H,8,FALSE))</f>
        <v>0</v>
      </c>
      <c r="M74" s="69">
        <f t="shared" si="5"/>
        <v>0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input_3!A$2</f>
        <v>3083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IFERROR(VLOOKUP(D75,input_3!L:T,9,FALSE),VLOOKUP(tables_3!B75,input_3!A:H,8,FALSE))</f>
        <v>0</v>
      </c>
      <c r="M75" s="69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input_3!A$2</f>
        <v>3083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IFERROR(VLOOKUP(D76,input_3!L:T,9,FALSE),VLOOKUP(tables_3!B76,input_3!A:H,8,FALSE))</f>
        <v>0</v>
      </c>
      <c r="M76" s="69">
        <f t="shared" si="5"/>
        <v>0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input_3!A$2</f>
        <v>3083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IFERROR(VLOOKUP(D77,input_3!L:T,9,FALSE),VLOOKUP(tables_3!B77,input_3!A:H,8,FALSE))</f>
        <v>13041</v>
      </c>
      <c r="M77" s="69">
        <f t="shared" si="5"/>
        <v>9.6600000000000005E-2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input_3!A$2</f>
        <v>3083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IFERROR(VLOOKUP(D78,input_3!L:T,9,FALSE),VLOOKUP(tables_3!B78,input_3!A:H,8,FALSE))</f>
        <v>0</v>
      </c>
      <c r="M78" s="69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input_3!A$2</f>
        <v>3083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IFERROR(VLOOKUP(D79,input_3!L:T,9,FALSE),VLOOKUP(tables_3!B79,input_3!A:H,8,FALSE))</f>
        <v>0</v>
      </c>
      <c r="M79" s="69">
        <f t="shared" si="5"/>
        <v>0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input_3!A$2</f>
        <v>3083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IFERROR(VLOOKUP(D80,input_3!L:T,9,FALSE),VLOOKUP(tables_3!B80,input_3!A:H,8,FALSE))</f>
        <v>0</v>
      </c>
      <c r="M80" s="69">
        <f t="shared" si="5"/>
        <v>0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input_3!A$2</f>
        <v>3083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IFERROR(VLOOKUP(D81,input_3!L:T,9,FALSE),VLOOKUP(tables_3!B81,input_3!A:H,8,FALSE))</f>
        <v>0</v>
      </c>
      <c r="M81" s="69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input_3!A$2</f>
        <v>3083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IFERROR(VLOOKUP(D82,input_3!L:T,9,FALSE),VLOOKUP(tables_3!B82,input_3!A:H,8,FALSE))</f>
        <v>0</v>
      </c>
      <c r="M82" s="69">
        <f t="shared" si="5"/>
        <v>0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input_3!A$2</f>
        <v>3083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IFERROR(VLOOKUP(D83,input_3!L:T,9,FALSE),VLOOKUP(tables_3!B83,input_3!A:H,8,FALSE))</f>
        <v>0</v>
      </c>
      <c r="M83" s="69">
        <f t="shared" si="5"/>
        <v>0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input_3!A$2</f>
        <v>3083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IFERROR(VLOOKUP(D84,input_3!L:T,9,FALSE),VLOOKUP(tables_3!B84,input_3!A:H,8,FALSE))</f>
        <v>0</v>
      </c>
      <c r="M84" s="69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input_3!A$2</f>
        <v>3083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IFERROR(VLOOKUP(D85,input_3!L:T,9,FALSE),VLOOKUP(tables_3!B85,input_3!A:H,8,FALSE))</f>
        <v>0</v>
      </c>
      <c r="M85" s="69">
        <f t="shared" si="5"/>
        <v>0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input_3!A$2</f>
        <v>3083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IFERROR(VLOOKUP(D86,input_3!L:T,9,FALSE),VLOOKUP(tables_3!B86,input_3!A:H,8,FALSE))</f>
        <v>13041</v>
      </c>
      <c r="M86" s="69">
        <f t="shared" si="5"/>
        <v>9.6600000000000005E-2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input_3!A$2</f>
        <v>3083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IFERROR(VLOOKUP(D87,input_3!L:T,9,FALSE),VLOOKUP(tables_3!B87,input_3!A:H,8,FALSE))</f>
        <v>0</v>
      </c>
      <c r="M87" s="69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input_3!A$2</f>
        <v>3083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IFERROR(VLOOKUP(D88,input_3!L:T,9,FALSE),VLOOKUP(tables_3!B88,input_3!A:H,8,FALSE))</f>
        <v>0</v>
      </c>
      <c r="M88" s="69">
        <f t="shared" si="5"/>
        <v>0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input_3!A$2</f>
        <v>3083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IFERROR(VLOOKUP(D89,input_3!L:T,9,FALSE),VLOOKUP(tables_3!B89,input_3!A:H,8,FALSE))</f>
        <v>0</v>
      </c>
      <c r="M89" s="69">
        <f t="shared" si="5"/>
        <v>0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input_3!A$2</f>
        <v>3083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IFERROR(VLOOKUP(D90,input_3!L:T,9,FALSE),VLOOKUP(tables_3!B90,input_3!A:H,8,FALSE))</f>
        <v>0</v>
      </c>
      <c r="M90" s="69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input_3!A$2</f>
        <v>3083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IFERROR(VLOOKUP(D91,input_3!L:T,9,FALSE),VLOOKUP(tables_3!B91,input_3!A:H,8,FALSE))</f>
        <v>0</v>
      </c>
      <c r="M91" s="69">
        <f t="shared" si="5"/>
        <v>0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input_3!A$2</f>
        <v>3083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IFERROR(VLOOKUP(D92,input_3!L:T,9,FALSE),VLOOKUP(tables_3!B92,input_3!A:H,8,FALSE))</f>
        <v>0</v>
      </c>
      <c r="M92" s="69">
        <f t="shared" si="5"/>
        <v>0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input_3!A$2</f>
        <v>3083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IFERROR(VLOOKUP(D93,input_3!L:T,9,FALSE),VLOOKUP(tables_3!B93,input_3!A:H,8,FALSE))</f>
        <v>0</v>
      </c>
      <c r="M93" s="69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input_3!A$2</f>
        <v>3083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IFERROR(VLOOKUP(D94,input_3!L:T,9,FALSE),VLOOKUP(tables_3!B94,input_3!A:H,8,FALSE))</f>
        <v>0</v>
      </c>
      <c r="M94" s="69">
        <f t="shared" si="5"/>
        <v>0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input_3!A$2</f>
        <v>3083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IFERROR(VLOOKUP(D95,input_3!L:T,9,FALSE),VLOOKUP(tables_3!B95,input_3!A:H,8,FALSE))</f>
        <v>0</v>
      </c>
      <c r="M95" s="69">
        <f t="shared" si="5"/>
        <v>0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input_3!A$2</f>
        <v>3083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IFERROR(VLOOKUP(D96,input_3!L:T,9,FALSE),VLOOKUP(tables_3!B96,input_3!A:H,8,FALSE))</f>
        <v>0</v>
      </c>
      <c r="M96" s="69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input_3!A$2</f>
        <v>3083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IFERROR(VLOOKUP(D97,input_3!L:T,9,FALSE),VLOOKUP(tables_3!B97,input_3!A:H,8,FALSE))</f>
        <v>0</v>
      </c>
      <c r="M97" s="69">
        <f t="shared" si="5"/>
        <v>0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input_3!A$2</f>
        <v>3083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IFERROR(VLOOKUP(D98,input_3!L:T,9,FALSE),VLOOKUP(tables_3!B98,input_3!A:H,8,FALSE))</f>
        <v>13041</v>
      </c>
      <c r="M98" s="69">
        <f t="shared" si="5"/>
        <v>9.6600000000000005E-2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input_3!A$2</f>
        <v>3083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IFERROR(VLOOKUP(D99,input_3!L:T,9,FALSE),VLOOKUP(tables_3!B99,input_3!A:H,8,FALSE))</f>
        <v>0</v>
      </c>
      <c r="M99" s="69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input_3!A$2</f>
        <v>3083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IFERROR(VLOOKUP(D100,input_3!L:T,9,FALSE),VLOOKUP(tables_3!B100,input_3!A:H,8,FALSE))</f>
        <v>0</v>
      </c>
      <c r="M100" s="69">
        <f t="shared" si="5"/>
        <v>0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input_3!A$2</f>
        <v>3083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IFERROR(VLOOKUP(D101,input_3!L:T,9,FALSE),VLOOKUP(tables_3!B101,input_3!A:H,8,FALSE))</f>
        <v>0</v>
      </c>
      <c r="M101" s="69">
        <f t="shared" si="5"/>
        <v>0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input_3!A$2</f>
        <v>3083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IFERROR(VLOOKUP(D102,input_3!L:T,9,FALSE),VLOOKUP(tables_3!B102,input_3!A:H,8,FALSE))</f>
        <v>0</v>
      </c>
      <c r="M102" s="69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input_3!A$2</f>
        <v>3083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IFERROR(VLOOKUP(D103,input_3!L:T,9,FALSE),VLOOKUP(tables_3!B103,input_3!A:H,8,FALSE))</f>
        <v>0</v>
      </c>
      <c r="M103" s="69">
        <f t="shared" si="5"/>
        <v>0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input_3!A$2</f>
        <v>3083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IFERROR(VLOOKUP(D104,input_3!L:T,9,FALSE),VLOOKUP(tables_3!B104,input_3!A:H,8,FALSE))</f>
        <v>0</v>
      </c>
      <c r="M104" s="69">
        <f t="shared" si="5"/>
        <v>0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input_3!A$2</f>
        <v>3083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IFERROR(VLOOKUP(D105,input_3!L:T,9,FALSE),VLOOKUP(tables_3!B105,input_3!A:H,8,FALSE))</f>
        <v>0</v>
      </c>
      <c r="M105" s="69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input_3!A$2</f>
        <v>3083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IFERROR(VLOOKUP(D106,input_3!L:T,9,FALSE),VLOOKUP(tables_3!B106,input_3!A:H,8,FALSE))</f>
        <v>0</v>
      </c>
      <c r="M106" s="69">
        <f t="shared" si="5"/>
        <v>0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input_3!A$2</f>
        <v>3083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IFERROR(VLOOKUP(D107,input_3!L:T,9,FALSE),VLOOKUP(tables_3!B107,input_3!A:H,8,FALSE))</f>
        <v>0</v>
      </c>
      <c r="M107" s="69">
        <f t="shared" si="5"/>
        <v>0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input_3!A$2</f>
        <v>3083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IFERROR(VLOOKUP(D108,input_3!L:T,9,FALSE),VLOOKUP(tables_3!B108,input_3!A:H,8,FALSE))</f>
        <v>0</v>
      </c>
      <c r="M108" s="69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input_3!A$2</f>
        <v>3083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IFERROR(VLOOKUP(D109,input_3!L:T,9,FALSE),VLOOKUP(tables_3!B109,input_3!A:H,8,FALSE))</f>
        <v>0</v>
      </c>
      <c r="M109" s="69">
        <f t="shared" si="5"/>
        <v>0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input_3!A$2</f>
        <v>3083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IFERROR(VLOOKUP(D110,input_3!L:T,9,FALSE),VLOOKUP(tables_3!B110,input_3!A:H,8,FALSE))</f>
        <v>7245</v>
      </c>
      <c r="M110" s="69">
        <f t="shared" si="5"/>
        <v>5.3666666666666668E-2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input_3!A$2</f>
        <v>3083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IFERROR(VLOOKUP(D111,input_3!L:T,9,FALSE),VLOOKUP(tables_3!B111,input_3!A:H,8,FALSE))</f>
        <v>0</v>
      </c>
      <c r="M111" s="69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input_3!A$2</f>
        <v>3083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IFERROR(VLOOKUP(D112,input_3!L:T,9,FALSE),VLOOKUP(tables_3!B112,input_3!A:H,8,FALSE))</f>
        <v>0</v>
      </c>
      <c r="M112" s="69">
        <f t="shared" si="5"/>
        <v>0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input_3!A$2</f>
        <v>3083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IFERROR(VLOOKUP(D113,input_3!L:T,9,FALSE),VLOOKUP(tables_3!B113,input_3!A:H,8,FALSE))</f>
        <v>0</v>
      </c>
      <c r="M113" s="69">
        <f t="shared" si="5"/>
        <v>0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input_3!A$2</f>
        <v>3083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IFERROR(VLOOKUP(D114,input_3!L:T,9,FALSE),VLOOKUP(tables_3!B114,input_3!A:H,8,FALSE))</f>
        <v>0</v>
      </c>
      <c r="M114" s="69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input_3!A$2</f>
        <v>3083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IFERROR(VLOOKUP(D115,input_3!L:T,9,FALSE),VLOOKUP(tables_3!B115,input_3!A:H,8,FALSE))</f>
        <v>0</v>
      </c>
      <c r="M115" s="69">
        <f t="shared" si="5"/>
        <v>0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input_3!A$2</f>
        <v>3083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IFERROR(VLOOKUP(D116,input_3!L:T,9,FALSE),VLOOKUP(tables_3!B116,input_3!A:H,8,FALSE))</f>
        <v>0</v>
      </c>
      <c r="M116" s="69">
        <f t="shared" si="5"/>
        <v>0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input_3!A$2</f>
        <v>3083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IFERROR(VLOOKUP(D117,input_3!L:T,9,FALSE),VLOOKUP(tables_3!B117,input_3!A:H,8,FALSE))</f>
        <v>0</v>
      </c>
      <c r="M117" s="69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input_3!A$2</f>
        <v>3083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IFERROR(VLOOKUP(D118,input_3!L:T,9,FALSE),VLOOKUP(tables_3!B118,input_3!A:H,8,FALSE))</f>
        <v>0</v>
      </c>
      <c r="M118" s="69">
        <f t="shared" si="5"/>
        <v>0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input_3!A$2</f>
        <v>3083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IFERROR(VLOOKUP(D119,input_3!L:T,9,FALSE),VLOOKUP(tables_3!B119,input_3!A:H,8,FALSE))</f>
        <v>0</v>
      </c>
      <c r="M119" s="69">
        <f t="shared" si="5"/>
        <v>0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input_3!A$2</f>
        <v>3083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IFERROR(VLOOKUP(D120,input_3!L:T,9,FALSE),VLOOKUP(tables_3!B120,input_3!A:H,8,FALSE))</f>
        <v>0</v>
      </c>
      <c r="M120" s="69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input_3!A$2</f>
        <v>3083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IFERROR(VLOOKUP(D121,input_3!L:T,9,FALSE),VLOOKUP(tables_3!B121,input_3!A:H,8,FALSE))</f>
        <v>0</v>
      </c>
      <c r="M121" s="69">
        <f t="shared" si="5"/>
        <v>0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input_3!A$2</f>
        <v>3083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IFERROR(VLOOKUP(D122,input_3!L:T,9,FALSE),VLOOKUP(tables_3!B122,input_3!A:H,8,FALSE))</f>
        <v>7245</v>
      </c>
      <c r="M122" s="69">
        <f t="shared" si="5"/>
        <v>5.3666666666666668E-2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input_3!A$2</f>
        <v>3083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IFERROR(VLOOKUP(D123,input_3!L:T,9,FALSE),VLOOKUP(tables_3!B123,input_3!A:H,8,FALSE))</f>
        <v>0</v>
      </c>
      <c r="M123" s="69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input_3!A$2</f>
        <v>3083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IFERROR(VLOOKUP(D124,input_3!L:T,9,FALSE),VLOOKUP(tables_3!B124,input_3!A:H,8,FALSE))</f>
        <v>0</v>
      </c>
      <c r="M124" s="69">
        <f t="shared" si="5"/>
        <v>0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input_3!A$2</f>
        <v>3083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IFERROR(VLOOKUP(D125,input_3!L:T,9,FALSE),VLOOKUP(tables_3!B125,input_3!A:H,8,FALSE))</f>
        <v>0</v>
      </c>
      <c r="M125" s="69">
        <f t="shared" si="5"/>
        <v>0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input_3!A$2</f>
        <v>3083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IFERROR(VLOOKUP(D126,input_3!L:T,9,FALSE),VLOOKUP(tables_3!B126,input_3!A:H,8,FALSE))</f>
        <v>0</v>
      </c>
      <c r="M126" s="69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input_3!A$2</f>
        <v>3083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IFERROR(VLOOKUP(D127,input_3!L:T,9,FALSE),VLOOKUP(tables_3!B127,input_3!A:H,8,FALSE))</f>
        <v>0</v>
      </c>
      <c r="M127" s="69">
        <f t="shared" si="5"/>
        <v>0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input_3!A$2</f>
        <v>3083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IFERROR(VLOOKUP(D128,input_3!L:T,9,FALSE),VLOOKUP(tables_3!B128,input_3!A:H,8,FALSE))</f>
        <v>0</v>
      </c>
      <c r="M128" s="69">
        <f t="shared" si="5"/>
        <v>0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input_3!A$2</f>
        <v>3083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IFERROR(VLOOKUP(D129,input_3!L:T,9,FALSE),VLOOKUP(tables_3!B129,input_3!A:H,8,FALSE))</f>
        <v>0</v>
      </c>
      <c r="M129" s="69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input_3!A$2</f>
        <v>3083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IFERROR(VLOOKUP(D130,input_3!L:T,9,FALSE),VLOOKUP(tables_3!B130,input_3!A:H,8,FALSE))</f>
        <v>0</v>
      </c>
      <c r="M130" s="69">
        <f t="shared" si="5"/>
        <v>0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input_3!A$2</f>
        <v>3083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IFERROR(VLOOKUP(D131,input_3!L:T,9,FALSE),VLOOKUP(tables_3!B131,input_3!A:H,8,FALSE))</f>
        <v>0</v>
      </c>
      <c r="M131" s="69">
        <f t="shared" ref="M131:M194" si="8">L131/SUM(L:L)</f>
        <v>0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input_3!A$2</f>
        <v>3083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IFERROR(VLOOKUP(D132,input_3!L:T,9,FALSE),VLOOKUP(tables_3!B132,input_3!A:H,8,FALSE))</f>
        <v>0</v>
      </c>
      <c r="M132" s="69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input_3!A$2</f>
        <v>3083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IFERROR(VLOOKUP(D133,input_3!L:T,9,FALSE),VLOOKUP(tables_3!B133,input_3!A:H,8,FALSE))</f>
        <v>0</v>
      </c>
      <c r="M133" s="69">
        <f t="shared" si="8"/>
        <v>0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input_3!A$2</f>
        <v>3083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IFERROR(VLOOKUP(D134,input_3!L:T,9,FALSE),VLOOKUP(tables_3!B134,input_3!A:H,8,FALSE))</f>
        <v>7245</v>
      </c>
      <c r="M134" s="69">
        <f t="shared" si="8"/>
        <v>5.3666666666666668E-2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input_3!A$2</f>
        <v>3083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IFERROR(VLOOKUP(D135,input_3!L:T,9,FALSE),VLOOKUP(tables_3!B135,input_3!A:H,8,FALSE))</f>
        <v>0</v>
      </c>
      <c r="M135" s="69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input_3!A$2</f>
        <v>3083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IFERROR(VLOOKUP(D136,input_3!L:T,9,FALSE),VLOOKUP(tables_3!B136,input_3!A:H,8,FALSE))</f>
        <v>0</v>
      </c>
      <c r="M136" s="69">
        <f t="shared" si="8"/>
        <v>0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input_3!A$2</f>
        <v>3083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IFERROR(VLOOKUP(D137,input_3!L:T,9,FALSE),VLOOKUP(tables_3!B137,input_3!A:H,8,FALSE))</f>
        <v>0</v>
      </c>
      <c r="M137" s="69">
        <f t="shared" si="8"/>
        <v>0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input_3!A$2</f>
        <v>3083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IFERROR(VLOOKUP(D138,input_3!L:T,9,FALSE),VLOOKUP(tables_3!B138,input_3!A:H,8,FALSE))</f>
        <v>0</v>
      </c>
      <c r="M138" s="69">
        <f t="shared" si="8"/>
        <v>0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input_3!A$2</f>
        <v>3083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IFERROR(VLOOKUP(D139,input_3!L:T,9,FALSE),VLOOKUP(tables_3!B139,input_3!A:H,8,FALSE))</f>
        <v>0</v>
      </c>
      <c r="M139" s="69">
        <f t="shared" si="8"/>
        <v>0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input_3!A$2</f>
        <v>3083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IFERROR(VLOOKUP(D140,input_3!L:T,9,FALSE),VLOOKUP(tables_3!B140,input_3!A:H,8,FALSE))</f>
        <v>0</v>
      </c>
      <c r="M140" s="69">
        <f t="shared" si="8"/>
        <v>0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input_3!A$2</f>
        <v>3083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IFERROR(VLOOKUP(D141,input_3!L:T,9,FALSE),VLOOKUP(tables_3!B141,input_3!A:H,8,FALSE))</f>
        <v>0</v>
      </c>
      <c r="M141" s="69">
        <f t="shared" si="8"/>
        <v>0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input_3!A$2</f>
        <v>3083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IFERROR(VLOOKUP(D142,input_3!L:T,9,FALSE),VLOOKUP(tables_3!B142,input_3!A:H,8,FALSE))</f>
        <v>0</v>
      </c>
      <c r="M142" s="69">
        <f t="shared" si="8"/>
        <v>0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input_3!A$2</f>
        <v>3083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IFERROR(VLOOKUP(D143,input_3!L:T,9,FALSE),VLOOKUP(tables_3!B143,input_3!A:H,8,FALSE))</f>
        <v>810</v>
      </c>
      <c r="M143" s="69">
        <f t="shared" si="8"/>
        <v>6.0000000000000001E-3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input_3!A$2</f>
        <v>3083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IFERROR(VLOOKUP(D144,input_3!L:T,9,FALSE),VLOOKUP(tables_3!B144,input_3!A:H,8,FALSE))</f>
        <v>0</v>
      </c>
      <c r="M144" s="69">
        <f t="shared" si="8"/>
        <v>0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input_3!A$2</f>
        <v>3083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IFERROR(VLOOKUP(D145,input_3!L:T,9,FALSE),VLOOKUP(tables_3!B145,input_3!A:H,8,FALSE))</f>
        <v>0</v>
      </c>
      <c r="M145" s="69">
        <f t="shared" si="8"/>
        <v>0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input_3!A$2</f>
        <v>3083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IFERROR(VLOOKUP(D146,input_3!L:T,9,FALSE),VLOOKUP(tables_3!B146,input_3!A:H,8,FALSE))</f>
        <v>0</v>
      </c>
      <c r="M146" s="69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input_3!A$2</f>
        <v>3083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IFERROR(VLOOKUP(D147,input_3!L:T,9,FALSE),VLOOKUP(tables_3!B147,input_3!A:H,8,FALSE))</f>
        <v>0</v>
      </c>
      <c r="M147" s="69">
        <f t="shared" si="8"/>
        <v>0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input_3!A$2</f>
        <v>3083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IFERROR(VLOOKUP(D148,input_3!L:T,9,FALSE),VLOOKUP(tables_3!B148,input_3!A:H,8,FALSE))</f>
        <v>0</v>
      </c>
      <c r="M148" s="69">
        <f t="shared" si="8"/>
        <v>0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input_3!A$2</f>
        <v>3083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IFERROR(VLOOKUP(D149,input_3!L:T,9,FALSE),VLOOKUP(tables_3!B149,input_3!A:H,8,FALSE))</f>
        <v>0</v>
      </c>
      <c r="M149" s="69">
        <f t="shared" si="8"/>
        <v>0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input_3!A$2</f>
        <v>3083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IFERROR(VLOOKUP(D150,input_3!L:T,9,FALSE),VLOOKUP(tables_3!B150,input_3!A:H,8,FALSE))</f>
        <v>0</v>
      </c>
      <c r="M150" s="69">
        <f t="shared" si="8"/>
        <v>0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input_3!A$2</f>
        <v>3083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IFERROR(VLOOKUP(D151,input_3!L:T,9,FALSE),VLOOKUP(tables_3!B151,input_3!A:H,8,FALSE))</f>
        <v>0</v>
      </c>
      <c r="M151" s="69">
        <f t="shared" si="8"/>
        <v>0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input_3!A$2</f>
        <v>3083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IFERROR(VLOOKUP(D152,input_3!L:T,9,FALSE),VLOOKUP(tables_3!B152,input_3!A:H,8,FALSE))</f>
        <v>810</v>
      </c>
      <c r="M152" s="69">
        <f t="shared" si="8"/>
        <v>6.0000000000000001E-3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input_3!A$2</f>
        <v>3083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IFERROR(VLOOKUP(D153,input_3!L:T,9,FALSE),VLOOKUP(tables_3!B153,input_3!A:H,8,FALSE))</f>
        <v>0</v>
      </c>
      <c r="M153" s="69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input_3!A$2</f>
        <v>3083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IFERROR(VLOOKUP(D154,input_3!L:T,9,FALSE),VLOOKUP(tables_3!B154,input_3!A:H,8,FALSE))</f>
        <v>0</v>
      </c>
      <c r="M154" s="69">
        <f t="shared" si="8"/>
        <v>0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input_3!A$2</f>
        <v>3083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IFERROR(VLOOKUP(D155,input_3!L:T,9,FALSE),VLOOKUP(tables_3!B155,input_3!A:H,8,FALSE))</f>
        <v>0</v>
      </c>
      <c r="M155" s="69">
        <f t="shared" si="8"/>
        <v>0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input_3!A$2</f>
        <v>3083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IFERROR(VLOOKUP(D156,input_3!L:T,9,FALSE),VLOOKUP(tables_3!B156,input_3!A:H,8,FALSE))</f>
        <v>0</v>
      </c>
      <c r="M156" s="69">
        <f t="shared" si="8"/>
        <v>0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input_3!A$2</f>
        <v>3083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IFERROR(VLOOKUP(D157,input_3!L:T,9,FALSE),VLOOKUP(tables_3!B157,input_3!A:H,8,FALSE))</f>
        <v>0</v>
      </c>
      <c r="M157" s="69">
        <f t="shared" si="8"/>
        <v>0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input_3!A$2</f>
        <v>3083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IFERROR(VLOOKUP(D158,input_3!L:T,9,FALSE),VLOOKUP(tables_3!B158,input_3!A:H,8,FALSE))</f>
        <v>0</v>
      </c>
      <c r="M158" s="69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input_3!A$2</f>
        <v>3083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IFERROR(VLOOKUP(D159,input_3!L:T,9,FALSE),VLOOKUP(tables_3!B159,input_3!A:H,8,FALSE))</f>
        <v>0</v>
      </c>
      <c r="M159" s="69">
        <f t="shared" si="8"/>
        <v>0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input_3!A$2</f>
        <v>3083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IFERROR(VLOOKUP(D160,input_3!L:T,9,FALSE),VLOOKUP(tables_3!B160,input_3!A:H,8,FALSE))</f>
        <v>0</v>
      </c>
      <c r="M160" s="69">
        <f t="shared" si="8"/>
        <v>0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input_3!A$2</f>
        <v>3083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IFERROR(VLOOKUP(D161,input_3!L:T,9,FALSE),VLOOKUP(tables_3!B161,input_3!A:H,8,FALSE))</f>
        <v>0</v>
      </c>
      <c r="M161" s="69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input_3!A$2</f>
        <v>3083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IFERROR(VLOOKUP(D162,input_3!L:T,9,FALSE),VLOOKUP(tables_3!B162,input_3!A:H,8,FALSE))</f>
        <v>0</v>
      </c>
      <c r="M162" s="69">
        <f t="shared" si="8"/>
        <v>0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input_3!A$2</f>
        <v>3083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IFERROR(VLOOKUP(D163,input_3!L:T,9,FALSE),VLOOKUP(tables_3!B163,input_3!A:H,8,FALSE))</f>
        <v>7245</v>
      </c>
      <c r="M163" s="69">
        <f t="shared" si="8"/>
        <v>5.3666666666666668E-2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input_3!A$2</f>
        <v>3083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IFERROR(VLOOKUP(D164,input_3!L:T,9,FALSE),VLOOKUP(tables_3!B164,input_3!A:H,8,FALSE))</f>
        <v>0</v>
      </c>
      <c r="M164" s="69">
        <f t="shared" si="8"/>
        <v>0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input_3!A$2</f>
        <v>3083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IFERROR(VLOOKUP(D165,input_3!L:T,9,FALSE),VLOOKUP(tables_3!B165,input_3!A:H,8,FALSE))</f>
        <v>0</v>
      </c>
      <c r="M165" s="69">
        <f t="shared" si="8"/>
        <v>0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input_3!A$2</f>
        <v>3083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IFERROR(VLOOKUP(D166,input_3!L:T,9,FALSE),VLOOKUP(tables_3!B166,input_3!A:H,8,FALSE))</f>
        <v>0</v>
      </c>
      <c r="M166" s="69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input_3!A$2</f>
        <v>3083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IFERROR(VLOOKUP(D167,input_3!L:T,9,FALSE),VLOOKUP(tables_3!B167,input_3!A:H,8,FALSE))</f>
        <v>0</v>
      </c>
      <c r="M167" s="69">
        <f t="shared" si="8"/>
        <v>0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input_3!A$2</f>
        <v>3083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IFERROR(VLOOKUP(D168,input_3!L:T,9,FALSE),VLOOKUP(tables_3!B168,input_3!A:H,8,FALSE))</f>
        <v>0</v>
      </c>
      <c r="M168" s="69">
        <f t="shared" si="8"/>
        <v>0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input_3!A$2</f>
        <v>3083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IFERROR(VLOOKUP(D169,input_3!L:T,9,FALSE),VLOOKUP(tables_3!B169,input_3!A:H,8,FALSE))</f>
        <v>0</v>
      </c>
      <c r="M169" s="69">
        <f t="shared" si="8"/>
        <v>0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input_3!A$2</f>
        <v>3083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IFERROR(VLOOKUP(D170,input_3!L:T,9,FALSE),VLOOKUP(tables_3!B170,input_3!A:H,8,FALSE))</f>
        <v>0</v>
      </c>
      <c r="M170" s="69">
        <f t="shared" si="8"/>
        <v>0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input_3!A$2</f>
        <v>3083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IFERROR(VLOOKUP(D171,input_3!L:T,9,FALSE),VLOOKUP(tables_3!B171,input_3!A:H,8,FALSE))</f>
        <v>0</v>
      </c>
      <c r="M171" s="69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input_3!A$2</f>
        <v>3083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IFERROR(VLOOKUP(D172,input_3!L:T,9,FALSE),VLOOKUP(tables_3!B172,input_3!A:H,8,FALSE))</f>
        <v>0</v>
      </c>
      <c r="M172" s="69">
        <f t="shared" si="8"/>
        <v>0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input_3!A$2</f>
        <v>3083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IFERROR(VLOOKUP(D173,input_3!L:T,9,FALSE),VLOOKUP(tables_3!B173,input_3!A:H,8,FALSE))</f>
        <v>7245</v>
      </c>
      <c r="M173" s="69">
        <f t="shared" si="8"/>
        <v>5.3666666666666668E-2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input_3!A$2</f>
        <v>3083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IFERROR(VLOOKUP(D174,input_3!L:T,9,FALSE),VLOOKUP(tables_3!B174,input_3!A:H,8,FALSE))</f>
        <v>0</v>
      </c>
      <c r="M174" s="69">
        <f t="shared" si="8"/>
        <v>0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input_3!A$2</f>
        <v>3083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IFERROR(VLOOKUP(D175,input_3!L:T,9,FALSE),VLOOKUP(tables_3!B175,input_3!A:H,8,FALSE))</f>
        <v>0</v>
      </c>
      <c r="M175" s="69">
        <f t="shared" si="8"/>
        <v>0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input_3!A$2</f>
        <v>3083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IFERROR(VLOOKUP(D176,input_3!L:T,9,FALSE),VLOOKUP(tables_3!B176,input_3!A:H,8,FALSE))</f>
        <v>0</v>
      </c>
      <c r="M176" s="69">
        <f t="shared" si="8"/>
        <v>0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input_3!A$2</f>
        <v>3083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IFERROR(VLOOKUP(D177,input_3!L:T,9,FALSE),VLOOKUP(tables_3!B177,input_3!A:H,8,FALSE))</f>
        <v>0</v>
      </c>
      <c r="M177" s="69">
        <f t="shared" si="8"/>
        <v>0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input_3!A$2</f>
        <v>3083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IFERROR(VLOOKUP(D178,input_3!L:T,9,FALSE),VLOOKUP(tables_3!B178,input_3!A:H,8,FALSE))</f>
        <v>0</v>
      </c>
      <c r="M178" s="69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input_3!A$2</f>
        <v>3083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IFERROR(VLOOKUP(D179,input_3!L:T,9,FALSE),VLOOKUP(tables_3!B179,input_3!A:H,8,FALSE))</f>
        <v>0</v>
      </c>
      <c r="M179" s="69">
        <f t="shared" si="8"/>
        <v>0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input_3!A$2</f>
        <v>3083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IFERROR(VLOOKUP(D180,input_3!L:T,9,FALSE),VLOOKUP(tables_3!B180,input_3!A:H,8,FALSE))</f>
        <v>0</v>
      </c>
      <c r="M180" s="69">
        <f t="shared" si="8"/>
        <v>0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input_3!A$2</f>
        <v>3083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IFERROR(VLOOKUP(D181,input_3!L:T,9,FALSE),VLOOKUP(tables_3!B181,input_3!A:H,8,FALSE))</f>
        <v>0</v>
      </c>
      <c r="M181" s="69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input_3!A$2</f>
        <v>3083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IFERROR(VLOOKUP(D182,input_3!L:T,9,FALSE),VLOOKUP(tables_3!B182,input_3!A:H,8,FALSE))</f>
        <v>0</v>
      </c>
      <c r="M182" s="69">
        <f t="shared" si="8"/>
        <v>0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input_3!A$2</f>
        <v>3083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IFERROR(VLOOKUP(D183,input_3!L:T,9,FALSE),VLOOKUP(tables_3!B183,input_3!A:H,8,FALSE))</f>
        <v>7245</v>
      </c>
      <c r="M183" s="69">
        <f t="shared" si="8"/>
        <v>5.3666666666666668E-2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input_3!A$2</f>
        <v>3083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IFERROR(VLOOKUP(D184,input_3!L:T,9,FALSE),VLOOKUP(tables_3!B184,input_3!A:H,8,FALSE))</f>
        <v>0</v>
      </c>
      <c r="M184" s="69">
        <f t="shared" si="8"/>
        <v>0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input_3!A$2</f>
        <v>3083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IFERROR(VLOOKUP(D185,input_3!L:T,9,FALSE),VLOOKUP(tables_3!B185,input_3!A:H,8,FALSE))</f>
        <v>0</v>
      </c>
      <c r="M185" s="69">
        <f t="shared" si="8"/>
        <v>0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input_3!A$2</f>
        <v>3083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IFERROR(VLOOKUP(D186,input_3!L:T,9,FALSE),VLOOKUP(tables_3!B186,input_3!A:H,8,FALSE))</f>
        <v>0</v>
      </c>
      <c r="M186" s="69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input_3!A$2</f>
        <v>3083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IFERROR(VLOOKUP(D187,input_3!L:T,9,FALSE),VLOOKUP(tables_3!B187,input_3!A:H,8,FALSE))</f>
        <v>0</v>
      </c>
      <c r="M187" s="69">
        <f t="shared" si="8"/>
        <v>0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input_3!A$2</f>
        <v>3083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IFERROR(VLOOKUP(D188,input_3!L:T,9,FALSE),VLOOKUP(tables_3!B188,input_3!A:H,8,FALSE))</f>
        <v>0</v>
      </c>
      <c r="M188" s="69">
        <f t="shared" si="8"/>
        <v>0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input_3!A$2</f>
        <v>3083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IFERROR(VLOOKUP(D189,input_3!L:T,9,FALSE),VLOOKUP(tables_3!B189,input_3!A:H,8,FALSE))</f>
        <v>0</v>
      </c>
      <c r="M189" s="69">
        <f t="shared" si="8"/>
        <v>0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input_3!A$2</f>
        <v>3083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IFERROR(VLOOKUP(D190,input_3!L:T,9,FALSE),VLOOKUP(tables_3!B190,input_3!A:H,8,FALSE))</f>
        <v>0</v>
      </c>
      <c r="M190" s="69">
        <f t="shared" si="8"/>
        <v>0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input_3!A$2</f>
        <v>3083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IFERROR(VLOOKUP(D191,input_3!L:T,9,FALSE),VLOOKUP(tables_3!B191,input_3!A:H,8,FALSE))</f>
        <v>0</v>
      </c>
      <c r="M191" s="69">
        <f t="shared" si="8"/>
        <v>0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input_3!A$2</f>
        <v>3083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IFERROR(VLOOKUP(D192,input_3!L:T,9,FALSE),VLOOKUP(tables_3!B192,input_3!A:H,8,FALSE))</f>
        <v>810</v>
      </c>
      <c r="M192" s="69">
        <f t="shared" si="8"/>
        <v>6.0000000000000001E-3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input_3!A$2</f>
        <v>3083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IFERROR(VLOOKUP(D193,input_3!L:T,9,FALSE),VLOOKUP(tables_3!B193,input_3!A:H,8,FALSE))</f>
        <v>0</v>
      </c>
      <c r="M193" s="69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input_3!A$2</f>
        <v>3083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IFERROR(VLOOKUP(D194,input_3!L:T,9,FALSE),VLOOKUP(tables_3!B194,input_3!A:H,8,FALSE))</f>
        <v>0</v>
      </c>
      <c r="M194" s="69">
        <f t="shared" si="8"/>
        <v>0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input_3!A$2</f>
        <v>3083</v>
      </c>
      <c r="B195" s="7" t="str">
        <f t="shared" ref="B195:B246" si="9">F195&amp;G195&amp;C195</f>
        <v>PremiumS5other</v>
      </c>
      <c r="C195" s="7" t="str">
        <f t="shared" ref="C195:C246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IFERROR(VLOOKUP(D195,input_3!L:T,9,FALSE),VLOOKUP(tables_3!B195,input_3!A:H,8,FALSE))</f>
        <v>0</v>
      </c>
      <c r="M195" s="69">
        <f t="shared" ref="M195:M246" si="11">L195/SUM(L:L)</f>
        <v>0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input_3!A$2</f>
        <v>3083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IFERROR(VLOOKUP(D196,input_3!L:T,9,FALSE),VLOOKUP(tables_3!B196,input_3!A:H,8,FALSE))</f>
        <v>0</v>
      </c>
      <c r="M196" s="69">
        <f t="shared" si="11"/>
        <v>0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input_3!A$2</f>
        <v>3083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IFERROR(VLOOKUP(D197,input_3!L:T,9,FALSE),VLOOKUP(tables_3!B197,input_3!A:H,8,FALSE))</f>
        <v>0</v>
      </c>
      <c r="M197" s="69">
        <f t="shared" si="11"/>
        <v>0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input_3!A$2</f>
        <v>3083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IFERROR(VLOOKUP(D198,input_3!L:T,9,FALSE),VLOOKUP(tables_3!B198,input_3!A:H,8,FALSE))</f>
        <v>0</v>
      </c>
      <c r="M198" s="69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input_3!A$2</f>
        <v>3083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IFERROR(VLOOKUP(D199,input_3!L:T,9,FALSE),VLOOKUP(tables_3!B199,input_3!A:H,8,FALSE))</f>
        <v>0</v>
      </c>
      <c r="M199" s="69">
        <f t="shared" si="11"/>
        <v>0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input_3!A$2</f>
        <v>3083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IFERROR(VLOOKUP(D200,input_3!L:T,9,FALSE),VLOOKUP(tables_3!B200,input_3!A:H,8,FALSE))</f>
        <v>0</v>
      </c>
      <c r="M200" s="69">
        <f t="shared" si="11"/>
        <v>0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input_3!A$2</f>
        <v>3083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IFERROR(VLOOKUP(D201,input_3!L:T,9,FALSE),VLOOKUP(tables_3!B201,input_3!A:H,8,FALSE))</f>
        <v>0</v>
      </c>
      <c r="M201" s="69">
        <f t="shared" si="11"/>
        <v>0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input_3!A$2</f>
        <v>3083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IFERROR(VLOOKUP(D202,input_3!L:T,9,FALSE),VLOOKUP(tables_3!B202,input_3!A:H,8,FALSE))</f>
        <v>810</v>
      </c>
      <c r="M202" s="69">
        <f t="shared" si="11"/>
        <v>6.0000000000000001E-3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input_3!A$2</f>
        <v>3083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IFERROR(VLOOKUP(D203,input_3!L:T,9,FALSE),VLOOKUP(tables_3!B203,input_3!A:H,8,FALSE))</f>
        <v>0</v>
      </c>
      <c r="M203" s="69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input_3!A$2</f>
        <v>3083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IFERROR(VLOOKUP(D204,input_3!L:T,9,FALSE),VLOOKUP(tables_3!B204,input_3!A:H,8,FALSE))</f>
        <v>0</v>
      </c>
      <c r="M204" s="69">
        <f t="shared" si="11"/>
        <v>0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input_3!A$2</f>
        <v>3083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IFERROR(VLOOKUP(D205,input_3!L:T,9,FALSE),VLOOKUP(tables_3!B205,input_3!A:H,8,FALSE))</f>
        <v>0</v>
      </c>
      <c r="M205" s="69">
        <f t="shared" si="11"/>
        <v>0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input_3!A$2</f>
        <v>3083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IFERROR(VLOOKUP(D206,input_3!L:T,9,FALSE),VLOOKUP(tables_3!B206,input_3!A:H,8,FALSE))</f>
        <v>0</v>
      </c>
      <c r="M206" s="69">
        <f t="shared" si="11"/>
        <v>0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input_3!A$2</f>
        <v>3083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IFERROR(VLOOKUP(D207,input_3!L:T,9,FALSE),VLOOKUP(tables_3!B207,input_3!A:H,8,FALSE))</f>
        <v>0</v>
      </c>
      <c r="M207" s="69">
        <f t="shared" si="11"/>
        <v>0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input_3!A$2</f>
        <v>3083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IFERROR(VLOOKUP(D208,input_3!L:T,9,FALSE),VLOOKUP(tables_3!B208,input_3!A:H,8,FALSE))</f>
        <v>0</v>
      </c>
      <c r="M208" s="69">
        <f t="shared" si="11"/>
        <v>0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input_3!A$2</f>
        <v>3083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IFERROR(VLOOKUP(D209,input_3!L:T,9,FALSE),VLOOKUP(tables_3!B209,input_3!A:H,8,FALSE))</f>
        <v>0</v>
      </c>
      <c r="M209" s="69">
        <f t="shared" si="11"/>
        <v>0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input_3!A$2</f>
        <v>3083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IFERROR(VLOOKUP(D210,input_3!L:T,9,FALSE),VLOOKUP(tables_3!B210,input_3!A:H,8,FALSE))</f>
        <v>0</v>
      </c>
      <c r="M210" s="69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input_3!A$2</f>
        <v>3083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IFERROR(VLOOKUP(D211,input_3!L:T,9,FALSE),VLOOKUP(tables_3!B211,input_3!A:H,8,FALSE))</f>
        <v>0</v>
      </c>
      <c r="M211" s="69">
        <f t="shared" si="11"/>
        <v>0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input_3!A$2</f>
        <v>3083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IFERROR(VLOOKUP(D212,input_3!L:T,9,FALSE),VLOOKUP(tables_3!B212,input_3!A:H,8,FALSE))</f>
        <v>7245</v>
      </c>
      <c r="M212" s="69">
        <f t="shared" si="11"/>
        <v>5.3666666666666668E-2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input_3!A$2</f>
        <v>3083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IFERROR(VLOOKUP(D213,input_3!L:T,9,FALSE),VLOOKUP(tables_3!B213,input_3!A:H,8,FALSE))</f>
        <v>0</v>
      </c>
      <c r="M213" s="69">
        <f t="shared" si="11"/>
        <v>0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input_3!A$2</f>
        <v>3083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IFERROR(VLOOKUP(D214,input_3!L:T,9,FALSE),VLOOKUP(tables_3!B214,input_3!A:H,8,FALSE))</f>
        <v>0</v>
      </c>
      <c r="M214" s="69">
        <f t="shared" si="11"/>
        <v>0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input_3!A$2</f>
        <v>3083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IFERROR(VLOOKUP(D215,input_3!L:T,9,FALSE),VLOOKUP(tables_3!B215,input_3!A:H,8,FALSE))</f>
        <v>0</v>
      </c>
      <c r="M215" s="69">
        <f t="shared" si="11"/>
        <v>0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input_3!A$2</f>
        <v>3083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IFERROR(VLOOKUP(D216,input_3!L:T,9,FALSE),VLOOKUP(tables_3!B216,input_3!A:H,8,FALSE))</f>
        <v>0</v>
      </c>
      <c r="M216" s="69">
        <f t="shared" si="11"/>
        <v>0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input_3!A$2</f>
        <v>3083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IFERROR(VLOOKUP(D217,input_3!L:T,9,FALSE),VLOOKUP(tables_3!B217,input_3!A:H,8,FALSE))</f>
        <v>0</v>
      </c>
      <c r="M217" s="69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input_3!A$2</f>
        <v>3083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IFERROR(VLOOKUP(D218,input_3!L:T,9,FALSE),VLOOKUP(tables_3!B218,input_3!A:H,8,FALSE))</f>
        <v>0</v>
      </c>
      <c r="M218" s="69">
        <f t="shared" si="11"/>
        <v>0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input_3!A$2</f>
        <v>3083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IFERROR(VLOOKUP(D219,input_3!L:T,9,FALSE),VLOOKUP(tables_3!B219,input_3!A:H,8,FALSE))</f>
        <v>0</v>
      </c>
      <c r="M219" s="69">
        <f t="shared" si="11"/>
        <v>0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input_3!A$2</f>
        <v>3083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IFERROR(VLOOKUP(D220,input_3!L:T,9,FALSE),VLOOKUP(tables_3!B220,input_3!A:H,8,FALSE))</f>
        <v>0</v>
      </c>
      <c r="M220" s="69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input_3!A$2</f>
        <v>3083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IFERROR(VLOOKUP(D221,input_3!L:T,9,FALSE),VLOOKUP(tables_3!B221,input_3!A:H,8,FALSE))</f>
        <v>0</v>
      </c>
      <c r="M221" s="69">
        <f t="shared" si="11"/>
        <v>0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input_3!A$2</f>
        <v>3083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IFERROR(VLOOKUP(D222,input_3!L:T,9,FALSE),VLOOKUP(tables_3!B222,input_3!A:H,8,FALSE))</f>
        <v>7245</v>
      </c>
      <c r="M222" s="69">
        <f t="shared" si="11"/>
        <v>5.3666666666666668E-2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input_3!A$2</f>
        <v>3083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IFERROR(VLOOKUP(D223,input_3!L:T,9,FALSE),VLOOKUP(tables_3!B223,input_3!A:H,8,FALSE))</f>
        <v>0</v>
      </c>
      <c r="M223" s="69">
        <f t="shared" si="11"/>
        <v>0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input_3!A$2</f>
        <v>3083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IFERROR(VLOOKUP(D224,input_3!L:T,9,FALSE),VLOOKUP(tables_3!B224,input_3!A:H,8,FALSE))</f>
        <v>0</v>
      </c>
      <c r="M224" s="69">
        <f t="shared" si="11"/>
        <v>0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input_3!A$2</f>
        <v>3083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IFERROR(VLOOKUP(D225,input_3!L:T,9,FALSE),VLOOKUP(tables_3!B225,input_3!A:H,8,FALSE))</f>
        <v>0</v>
      </c>
      <c r="M225" s="69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input_3!A$2</f>
        <v>3083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IFERROR(VLOOKUP(D226,input_3!L:T,9,FALSE),VLOOKUP(tables_3!B226,input_3!A:H,8,FALSE))</f>
        <v>0</v>
      </c>
      <c r="M226" s="69">
        <f t="shared" si="11"/>
        <v>0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input_3!A$2</f>
        <v>3083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IFERROR(VLOOKUP(D227,input_3!L:T,9,FALSE),VLOOKUP(tables_3!B227,input_3!A:H,8,FALSE))</f>
        <v>0</v>
      </c>
      <c r="M227" s="69">
        <f t="shared" si="11"/>
        <v>0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input_3!A$2</f>
        <v>3083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IFERROR(VLOOKUP(D228,input_3!L:T,9,FALSE),VLOOKUP(tables_3!B228,input_3!A:H,8,FALSE))</f>
        <v>0</v>
      </c>
      <c r="M228" s="69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input_3!A$2</f>
        <v>3083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IFERROR(VLOOKUP(D229,input_3!L:T,9,FALSE),VLOOKUP(tables_3!B229,input_3!A:H,8,FALSE))</f>
        <v>0</v>
      </c>
      <c r="M229" s="69">
        <f t="shared" si="11"/>
        <v>0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input_3!A$2</f>
        <v>3083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IFERROR(VLOOKUP(D230,input_3!L:T,9,FALSE),VLOOKUP(tables_3!B230,input_3!A:H,8,FALSE))</f>
        <v>0</v>
      </c>
      <c r="M230" s="69">
        <f t="shared" si="11"/>
        <v>0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input_3!A$2</f>
        <v>3083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IFERROR(VLOOKUP(D231,input_3!L:T,9,FALSE),VLOOKUP(tables_3!B231,input_3!A:H,8,FALSE))</f>
        <v>0</v>
      </c>
      <c r="M231" s="69">
        <f t="shared" si="11"/>
        <v>0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input_3!A$2</f>
        <v>3083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IFERROR(VLOOKUP(D232,input_3!L:T,9,FALSE),VLOOKUP(tables_3!B232,input_3!A:H,8,FALSE))</f>
        <v>810</v>
      </c>
      <c r="M232" s="69">
        <f t="shared" si="11"/>
        <v>6.0000000000000001E-3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input_3!A$2</f>
        <v>3083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IFERROR(VLOOKUP(D233,input_3!L:T,9,FALSE),VLOOKUP(tables_3!B233,input_3!A:H,8,FALSE))</f>
        <v>0</v>
      </c>
      <c r="M233" s="69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input_3!A$2</f>
        <v>3083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IFERROR(VLOOKUP(D234,input_3!L:T,9,FALSE),VLOOKUP(tables_3!B234,input_3!A:H,8,FALSE))</f>
        <v>0</v>
      </c>
      <c r="M234" s="69">
        <f t="shared" si="11"/>
        <v>0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input_3!A$2</f>
        <v>3083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IFERROR(VLOOKUP(D235,input_3!L:T,9,FALSE),VLOOKUP(tables_3!B235,input_3!A:H,8,FALSE))</f>
        <v>0</v>
      </c>
      <c r="M235" s="69">
        <f t="shared" si="11"/>
        <v>0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input_3!A$2</f>
        <v>3083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IFERROR(VLOOKUP(D236,input_3!L:T,9,FALSE),VLOOKUP(tables_3!B236,input_3!A:H,8,FALSE))</f>
        <v>0</v>
      </c>
      <c r="M236" s="69">
        <f t="shared" si="11"/>
        <v>0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input_3!A$2</f>
        <v>3083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IFERROR(VLOOKUP(D237,input_3!L:T,9,FALSE),VLOOKUP(tables_3!B237,input_3!A:H,8,FALSE))</f>
        <v>0</v>
      </c>
      <c r="M237" s="69">
        <f t="shared" si="11"/>
        <v>0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input_3!A$2</f>
        <v>3083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IFERROR(VLOOKUP(D238,input_3!L:T,9,FALSE),VLOOKUP(tables_3!B238,input_3!A:H,8,FALSE))</f>
        <v>0</v>
      </c>
      <c r="M238" s="69">
        <f t="shared" si="11"/>
        <v>0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input_3!A$2</f>
        <v>3083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IFERROR(VLOOKUP(D239,input_3!L:T,9,FALSE),VLOOKUP(tables_3!B239,input_3!A:H,8,FALSE))</f>
        <v>0</v>
      </c>
      <c r="M239" s="69">
        <f t="shared" si="11"/>
        <v>0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input_3!A$2</f>
        <v>3083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IFERROR(VLOOKUP(D240,input_3!L:T,9,FALSE),VLOOKUP(tables_3!B240,input_3!A:H,8,FALSE))</f>
        <v>0</v>
      </c>
      <c r="M240" s="69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input_3!A$2</f>
        <v>3083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IFERROR(VLOOKUP(D241,input_3!L:T,9,FALSE),VLOOKUP(tables_3!B241,input_3!A:H,8,FALSE))</f>
        <v>0</v>
      </c>
      <c r="M241" s="69">
        <f t="shared" si="11"/>
        <v>0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input_3!A$2</f>
        <v>3083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IFERROR(VLOOKUP(D242,input_3!L:T,9,FALSE),VLOOKUP(tables_3!B242,input_3!A:H,8,FALSE))</f>
        <v>7245</v>
      </c>
      <c r="M242" s="69">
        <f t="shared" si="11"/>
        <v>5.3666666666666668E-2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input_3!A$2</f>
        <v>3083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IFERROR(VLOOKUP(D243,input_3!L:T,9,FALSE),VLOOKUP(tables_3!B243,input_3!A:H,8,FALSE))</f>
        <v>0</v>
      </c>
      <c r="M243" s="69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input_3!A$2</f>
        <v>3083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IFERROR(VLOOKUP(D244,input_3!L:T,9,FALSE),VLOOKUP(tables_3!B244,input_3!A:H,8,FALSE))</f>
        <v>0</v>
      </c>
      <c r="M244" s="69">
        <f t="shared" si="11"/>
        <v>0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input_3!A$2</f>
        <v>3083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IFERROR(VLOOKUP(D245,input_3!L:T,9,FALSE),VLOOKUP(tables_3!B245,input_3!A:H,8,FALSE))</f>
        <v>0</v>
      </c>
      <c r="M245" s="69">
        <f t="shared" si="11"/>
        <v>0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input_3!A$2</f>
        <v>3083</v>
      </c>
      <c r="B246" s="7" t="str">
        <f t="shared" si="9"/>
        <v>PremiumSSS5blue</v>
      </c>
      <c r="C246" s="7" t="str">
        <f t="shared" si="10"/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IFERROR(VLOOKUP(D246,input_3!L:T,9,FALSE),VLOOKUP(tables_3!B246,input_3!A:H,8,FALSE))</f>
        <v>540</v>
      </c>
      <c r="M246" s="69">
        <f t="shared" si="11"/>
        <v>4.0000000000000001E-3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</sheetPr>
  <dimension ref="A1:U75"/>
  <sheetViews>
    <sheetView tabSelected="1" topLeftCell="A58" workbookViewId="0">
      <selection activeCell="G75" sqref="G75"/>
    </sheetView>
  </sheetViews>
  <sheetFormatPr baseColWidth="12" defaultRowHeight="14" x14ac:dyDescent="0"/>
  <sheetData>
    <row r="1" spans="1:20">
      <c r="A1" s="72" t="s">
        <v>106</v>
      </c>
      <c r="B1" s="92" t="s">
        <v>140</v>
      </c>
      <c r="L1" s="55" t="s">
        <v>80</v>
      </c>
      <c r="M1" s="55"/>
    </row>
    <row r="2" spans="1:20">
      <c r="A2">
        <v>3084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55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0.95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0.05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0.93199999999999994</v>
      </c>
    </row>
    <row r="14" spans="1:20">
      <c r="A14" s="47" t="s">
        <v>72</v>
      </c>
      <c r="B14" s="86">
        <v>0.06</v>
      </c>
    </row>
    <row r="15" spans="1:20">
      <c r="A15" s="47" t="s">
        <v>71</v>
      </c>
      <c r="B15" s="85">
        <v>8.0000000000000002E-3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0.7</v>
      </c>
    </row>
    <row r="19" spans="1:21">
      <c r="A19" s="62" t="s">
        <v>64</v>
      </c>
      <c r="B19" s="52">
        <v>0.3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</v>
      </c>
      <c r="C24" s="71">
        <f>SUMIF(S:S,A24,N:N)</f>
        <v>0</v>
      </c>
      <c r="D24" s="61">
        <f>B24-C24</f>
        <v>0</v>
      </c>
      <c r="E24">
        <f>COUNTIF(tables_4!B:B,input_4!A24)-COUNTIF(S:S,A24)</f>
        <v>5</v>
      </c>
      <c r="F24" s="66">
        <f>IFERROR(D24/E24,0)</f>
        <v>0</v>
      </c>
      <c r="G24">
        <f>A$49*D24</f>
        <v>0</v>
      </c>
      <c r="H24">
        <f>IFERROR(ROUND(G24/E24,5),0)</f>
        <v>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0</v>
      </c>
      <c r="C25" s="71">
        <f t="shared" ref="C25:C45" si="0">SUMIF(S:S,A25,N:N)</f>
        <v>0</v>
      </c>
      <c r="D25" s="61">
        <f t="shared" ref="D25:D45" si="1">B25-C25</f>
        <v>0</v>
      </c>
      <c r="E25">
        <f>COUNTIF(tables_4!B:B,input_4!A25)-COUNTIF(S:S,A25)</f>
        <v>15</v>
      </c>
      <c r="F25" s="66">
        <f t="shared" ref="F25:F45" si="2">IFERROR(D25/E25,0)</f>
        <v>0</v>
      </c>
      <c r="G25">
        <f t="shared" ref="G25:G45" si="3">A$49*D25</f>
        <v>0</v>
      </c>
      <c r="H25">
        <f t="shared" ref="H25:H45" si="4">IFERROR(ROUND(G25/E25,5),0)</f>
        <v>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</v>
      </c>
      <c r="C26" s="71">
        <f t="shared" si="0"/>
        <v>0</v>
      </c>
      <c r="D26" s="61">
        <f t="shared" si="1"/>
        <v>0</v>
      </c>
      <c r="E26">
        <f>COUNTIF(tables_4!B:B,input_4!A26)-COUNTIF(S:S,A26)</f>
        <v>5</v>
      </c>
      <c r="F26" s="6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0</v>
      </c>
      <c r="C27" s="71">
        <f t="shared" si="0"/>
        <v>0</v>
      </c>
      <c r="D27" s="61">
        <f t="shared" si="1"/>
        <v>0</v>
      </c>
      <c r="E27">
        <f>COUNTIF(tables_4!B:B,input_4!A27)-COUNTIF(S:S,A27)</f>
        <v>15</v>
      </c>
      <c r="F27" s="66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</v>
      </c>
      <c r="C28" s="71">
        <f t="shared" si="0"/>
        <v>0</v>
      </c>
      <c r="D28" s="61">
        <f t="shared" si="1"/>
        <v>0</v>
      </c>
      <c r="E28">
        <f>COUNTIF(tables_4!B:B,input_4!A28)-COUNTIF(S:S,A28)</f>
        <v>9</v>
      </c>
      <c r="F28" s="66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0</v>
      </c>
      <c r="C29" s="71">
        <f t="shared" si="0"/>
        <v>0</v>
      </c>
      <c r="D29" s="61">
        <f t="shared" si="1"/>
        <v>0</v>
      </c>
      <c r="E29">
        <f>COUNTIF(tables_4!B:B,input_4!A29)-COUNTIF(S:S,A29)</f>
        <v>23</v>
      </c>
      <c r="F29" s="66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56">
        <f>(B6-B36-B37-B38)*B18/3</f>
        <v>0.20906666666666662</v>
      </c>
      <c r="C30" s="71">
        <f t="shared" si="0"/>
        <v>0</v>
      </c>
      <c r="D30" s="61">
        <f t="shared" si="1"/>
        <v>0.20906666666666662</v>
      </c>
      <c r="E30">
        <f>COUNTIF(tables_4!B:B,input_4!A30)-COUNTIF(S:S,A30)</f>
        <v>5</v>
      </c>
      <c r="F30" s="66">
        <f t="shared" si="2"/>
        <v>4.1813333333333327E-2</v>
      </c>
      <c r="G30">
        <f t="shared" si="3"/>
        <v>61669439.999999985</v>
      </c>
      <c r="H30">
        <f t="shared" si="4"/>
        <v>12333888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56">
        <f>B30*3/7</f>
        <v>8.9599999999999985E-2</v>
      </c>
      <c r="C31" s="71">
        <f t="shared" si="0"/>
        <v>0</v>
      </c>
      <c r="D31" s="61">
        <f t="shared" si="1"/>
        <v>8.9599999999999985E-2</v>
      </c>
      <c r="E31">
        <f>COUNTIF(tables_4!B:B,input_4!A31)-COUNTIF(S:S,A31)</f>
        <v>15</v>
      </c>
      <c r="F31" s="66">
        <f t="shared" si="2"/>
        <v>5.9733333333333322E-3</v>
      </c>
      <c r="G31">
        <f t="shared" si="3"/>
        <v>26429759.999999996</v>
      </c>
      <c r="H31">
        <f t="shared" si="4"/>
        <v>1761984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0.20906666666666662</v>
      </c>
      <c r="C32" s="71">
        <f t="shared" si="0"/>
        <v>0</v>
      </c>
      <c r="D32" s="61">
        <f t="shared" si="1"/>
        <v>0.20906666666666662</v>
      </c>
      <c r="E32">
        <f>COUNTIF(tables_4!B:B,input_4!A32)-COUNTIF(S:S,A32)</f>
        <v>5</v>
      </c>
      <c r="F32" s="66">
        <f t="shared" si="2"/>
        <v>4.1813333333333327E-2</v>
      </c>
      <c r="G32">
        <f t="shared" si="3"/>
        <v>61669439.999999985</v>
      </c>
      <c r="H32">
        <f t="shared" si="4"/>
        <v>12333888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8.9599999999999985E-2</v>
      </c>
      <c r="C33" s="71">
        <f t="shared" si="0"/>
        <v>0</v>
      </c>
      <c r="D33" s="61">
        <f t="shared" si="1"/>
        <v>8.9599999999999985E-2</v>
      </c>
      <c r="E33">
        <f>COUNTIF(tables_4!B:B,input_4!A33)-COUNTIF(S:S,A33)</f>
        <v>15</v>
      </c>
      <c r="F33" s="66">
        <f t="shared" si="2"/>
        <v>5.9733333333333322E-3</v>
      </c>
      <c r="G33">
        <f t="shared" si="3"/>
        <v>26429759.999999996</v>
      </c>
      <c r="H33">
        <f t="shared" si="4"/>
        <v>1761984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0.20906666666666662</v>
      </c>
      <c r="C34" s="71">
        <f t="shared" si="0"/>
        <v>0</v>
      </c>
      <c r="D34" s="61">
        <f t="shared" si="1"/>
        <v>0.20906666666666662</v>
      </c>
      <c r="E34">
        <f>COUNTIF(tables_4!B:B,input_4!A34)-COUNTIF(S:S,A34)</f>
        <v>9</v>
      </c>
      <c r="F34" s="66">
        <f t="shared" si="2"/>
        <v>2.3229629629629624E-2</v>
      </c>
      <c r="G34">
        <f t="shared" si="3"/>
        <v>61669439.999999985</v>
      </c>
      <c r="H34">
        <f t="shared" si="4"/>
        <v>6852160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8.9599999999999985E-2</v>
      </c>
      <c r="C35" s="71">
        <f t="shared" si="0"/>
        <v>0</v>
      </c>
      <c r="D35" s="61">
        <f t="shared" si="1"/>
        <v>8.9599999999999985E-2</v>
      </c>
      <c r="E35">
        <f>COUNTIF(tables_4!B:B,input_4!A35)-COUNTIF(S:S,A35)</f>
        <v>23</v>
      </c>
      <c r="F35" s="66">
        <f t="shared" si="2"/>
        <v>3.8956521739130427E-3</v>
      </c>
      <c r="G35">
        <f t="shared" si="3"/>
        <v>26429759.999999996</v>
      </c>
      <c r="H35">
        <f t="shared" si="4"/>
        <v>1149120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v>2.7E-2</v>
      </c>
      <c r="C36" s="71">
        <f t="shared" si="0"/>
        <v>0</v>
      </c>
      <c r="D36" s="61">
        <f t="shared" si="1"/>
        <v>2.7E-2</v>
      </c>
      <c r="E36">
        <f>COUNTIF(tables_4!B:B,input_4!A36)-COUNTIF(S:S,A36)</f>
        <v>5</v>
      </c>
      <c r="F36" s="66">
        <f t="shared" si="2"/>
        <v>5.4000000000000003E-3</v>
      </c>
      <c r="G36">
        <f t="shared" si="3"/>
        <v>7964325</v>
      </c>
      <c r="H36">
        <f t="shared" si="4"/>
        <v>1592865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2.7E-2</v>
      </c>
      <c r="C37" s="71">
        <f t="shared" si="0"/>
        <v>0</v>
      </c>
      <c r="D37" s="61">
        <f t="shared" si="1"/>
        <v>2.7E-2</v>
      </c>
      <c r="E37">
        <f>COUNTIF(tables_4!B:B,input_4!A37)-COUNTIF(S:S,A37)</f>
        <v>19</v>
      </c>
      <c r="F37" s="66">
        <f t="shared" si="2"/>
        <v>1.4210526315789472E-3</v>
      </c>
      <c r="G37">
        <f t="shared" si="3"/>
        <v>7964325</v>
      </c>
      <c r="H37">
        <f t="shared" si="4"/>
        <v>419175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COUNTIF(tables_4!B:B,input_4!A38)-COUNTIF(S:S,A38)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1.2599999999999998E-2</v>
      </c>
      <c r="C39" s="71">
        <f t="shared" si="0"/>
        <v>0</v>
      </c>
      <c r="D39" s="61">
        <f t="shared" si="1"/>
        <v>1.2599999999999998E-2</v>
      </c>
      <c r="E39">
        <f>COUNTIF(tables_4!B:B,input_4!A39)-COUNTIF(S:S,A39)</f>
        <v>5</v>
      </c>
      <c r="F39" s="66">
        <f t="shared" si="2"/>
        <v>2.5199999999999997E-3</v>
      </c>
      <c r="G39">
        <f t="shared" si="3"/>
        <v>3716684.9999999995</v>
      </c>
      <c r="H39">
        <f t="shared" si="4"/>
        <v>743337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f>B39*3/7</f>
        <v>5.3999999999999994E-3</v>
      </c>
      <c r="C40" s="71">
        <f t="shared" si="0"/>
        <v>0</v>
      </c>
      <c r="D40" s="61">
        <f t="shared" si="1"/>
        <v>5.3999999999999994E-3</v>
      </c>
      <c r="E40">
        <f>COUNTIF(tables_4!B:B,input_4!A40)-COUNTIF(S:S,A40)</f>
        <v>15</v>
      </c>
      <c r="F40" s="66">
        <f t="shared" si="2"/>
        <v>3.5999999999999997E-4</v>
      </c>
      <c r="G40">
        <f t="shared" si="3"/>
        <v>1592864.9999999998</v>
      </c>
      <c r="H40">
        <f t="shared" si="4"/>
        <v>106191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1.2599999999999998E-2</v>
      </c>
      <c r="C41" s="71">
        <f t="shared" si="0"/>
        <v>0</v>
      </c>
      <c r="D41" s="61">
        <f t="shared" si="1"/>
        <v>1.2599999999999998E-2</v>
      </c>
      <c r="E41">
        <f>COUNTIF(tables_4!B:B,input_4!A41)-COUNTIF(S:S,A41)</f>
        <v>9</v>
      </c>
      <c r="F41" s="66">
        <f t="shared" si="2"/>
        <v>1.3999999999999998E-3</v>
      </c>
      <c r="G41">
        <f t="shared" si="3"/>
        <v>3716684.9999999995</v>
      </c>
      <c r="H41">
        <f t="shared" si="4"/>
        <v>412965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5.3999999999999994E-3</v>
      </c>
      <c r="C42" s="71">
        <f t="shared" si="0"/>
        <v>0</v>
      </c>
      <c r="D42" s="61">
        <f t="shared" si="1"/>
        <v>5.3999999999999994E-3</v>
      </c>
      <c r="E42">
        <f>COUNTIF(tables_4!B:B,input_4!A42)-COUNTIF(S:S,A42)</f>
        <v>23</v>
      </c>
      <c r="F42" s="66">
        <f t="shared" si="2"/>
        <v>2.3478260869565215E-4</v>
      </c>
      <c r="G42">
        <f t="shared" si="3"/>
        <v>1592864.9999999998</v>
      </c>
      <c r="H42">
        <f t="shared" si="4"/>
        <v>69255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3.0000000000000001E-3</v>
      </c>
      <c r="C43" s="71">
        <f t="shared" si="0"/>
        <v>0</v>
      </c>
      <c r="D43" s="61">
        <f t="shared" si="1"/>
        <v>3.0000000000000001E-3</v>
      </c>
      <c r="E43">
        <f>COUNTIF(tables_4!B:B,input_4!A43)-COUNTIF(S:S,A43)</f>
        <v>5</v>
      </c>
      <c r="F43" s="66">
        <f t="shared" si="2"/>
        <v>6.0000000000000006E-4</v>
      </c>
      <c r="G43">
        <f t="shared" si="3"/>
        <v>884925</v>
      </c>
      <c r="H43">
        <f t="shared" si="4"/>
        <v>176985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3.0000000000000001E-3</v>
      </c>
      <c r="C44" s="71">
        <f t="shared" si="0"/>
        <v>0</v>
      </c>
      <c r="D44" s="61">
        <f t="shared" si="1"/>
        <v>3.0000000000000001E-3</v>
      </c>
      <c r="E44">
        <f>COUNTIF(tables_4!B:B,input_4!A44)-COUNTIF(S:S,A44)</f>
        <v>19</v>
      </c>
      <c r="F44" s="66">
        <f t="shared" si="2"/>
        <v>1.5789473684210527E-4</v>
      </c>
      <c r="G44">
        <f t="shared" si="3"/>
        <v>884925</v>
      </c>
      <c r="H44">
        <f t="shared" si="4"/>
        <v>46575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f>B15</f>
        <v>8.0000000000000002E-3</v>
      </c>
      <c r="C45" s="71">
        <f t="shared" si="0"/>
        <v>0</v>
      </c>
      <c r="D45" s="61">
        <f t="shared" si="1"/>
        <v>8.0000000000000002E-3</v>
      </c>
      <c r="E45">
        <f>COUNTIF(tables_4!B:B,input_4!A45)-COUNTIF(S:S,A45)</f>
        <v>1</v>
      </c>
      <c r="F45" s="66">
        <f t="shared" si="2"/>
        <v>8.0000000000000002E-3</v>
      </c>
      <c r="G45">
        <f t="shared" si="3"/>
        <v>2359800</v>
      </c>
      <c r="H45">
        <f t="shared" si="4"/>
        <v>2359800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0.99999999999999978</v>
      </c>
      <c r="C46" s="60">
        <f>SUM(C24:C45)</f>
        <v>0</v>
      </c>
      <c r="D46" s="65">
        <f>B46-C46</f>
        <v>0.99999999999999978</v>
      </c>
    </row>
    <row r="48" spans="1:21">
      <c r="A48" t="s">
        <v>96</v>
      </c>
    </row>
    <row r="49" spans="1:6">
      <c r="A49" s="34">
        <f>3000*19*23*3*3*5*5</f>
        <v>294975000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SUMIF(tables_4!B:B,input_4!A53,tables_4!L:L)</f>
        <v>0</v>
      </c>
      <c r="C53">
        <f>B53/B$75</f>
        <v>0</v>
      </c>
      <c r="E53" s="47">
        <v>3</v>
      </c>
      <c r="F53" s="90">
        <f>SUM(C53:C58)</f>
        <v>0</v>
      </c>
    </row>
    <row r="54" spans="1:6">
      <c r="A54" s="47" t="s">
        <v>122</v>
      </c>
      <c r="B54" s="47">
        <f>SUMIF(tables_4!B:B,input_4!A54,tables_4!L:L)</f>
        <v>0</v>
      </c>
      <c r="C54">
        <f t="shared" ref="C54:C74" si="7">B54/B$75</f>
        <v>0</v>
      </c>
      <c r="E54" s="47">
        <v>4</v>
      </c>
      <c r="F54" s="90">
        <f>SUM(C59:C67)</f>
        <v>0.95000000000000007</v>
      </c>
    </row>
    <row r="55" spans="1:6">
      <c r="A55" s="47" t="str">
        <f>"PremiumN3"&amp;A$18</f>
        <v>PremiumN3blue</v>
      </c>
      <c r="B55" s="47">
        <f>SUMIF(tables_4!B:B,input_4!A55,tables_4!L:L)</f>
        <v>0</v>
      </c>
      <c r="C55">
        <f t="shared" si="7"/>
        <v>0</v>
      </c>
      <c r="E55" s="47">
        <v>5</v>
      </c>
      <c r="F55" s="90">
        <f>SUM(C68:C74)</f>
        <v>5.000000000000001E-2</v>
      </c>
    </row>
    <row r="56" spans="1:6">
      <c r="A56" s="47" t="s">
        <v>123</v>
      </c>
      <c r="B56" s="47">
        <f>SUMIF(tables_4!B:B,input_4!A56,tables_4!L:L)</f>
        <v>0</v>
      </c>
      <c r="C56">
        <f t="shared" si="7"/>
        <v>0</v>
      </c>
    </row>
    <row r="57" spans="1:6">
      <c r="A57" s="47" t="str">
        <f>"PremiumS3"&amp;A$18</f>
        <v>PremiumS3blue</v>
      </c>
      <c r="B57" s="47">
        <f>SUMIF(tables_4!B:B,input_4!A57,tables_4!L:L)</f>
        <v>0</v>
      </c>
      <c r="C57">
        <f t="shared" si="7"/>
        <v>0</v>
      </c>
      <c r="E57" s="50" t="s">
        <v>70</v>
      </c>
      <c r="F57" s="50"/>
    </row>
    <row r="58" spans="1:6">
      <c r="A58" s="47" t="s">
        <v>133</v>
      </c>
      <c r="B58" s="47">
        <f>SUMIF(tables_4!B:B,input_4!A58,tables_4!L:L)</f>
        <v>0</v>
      </c>
      <c r="C58">
        <f t="shared" si="7"/>
        <v>0</v>
      </c>
      <c r="E58" s="47" t="s">
        <v>73</v>
      </c>
      <c r="F58" s="52">
        <f>1-F59-F60</f>
        <v>0.93199999999999994</v>
      </c>
    </row>
    <row r="59" spans="1:6">
      <c r="A59" s="47" t="str">
        <f>"PremiumW4"&amp;A$18</f>
        <v>PremiumW4blue</v>
      </c>
      <c r="B59" s="47">
        <f>SUMIF(tables_4!B:B,input_4!A59,tables_4!L:L)</f>
        <v>61669440</v>
      </c>
      <c r="C59">
        <f t="shared" si="7"/>
        <v>0.20906666666666668</v>
      </c>
      <c r="E59" s="47" t="s">
        <v>72</v>
      </c>
      <c r="F59" s="52">
        <f>C65+C66+C73+C72</f>
        <v>6.0000000000000005E-2</v>
      </c>
    </row>
    <row r="60" spans="1:6">
      <c r="A60" s="47" t="s">
        <v>124</v>
      </c>
      <c r="B60" s="47">
        <f>SUMIF(tables_4!B:B,input_4!A60,tables_4!L:L)</f>
        <v>26429760</v>
      </c>
      <c r="C60">
        <f t="shared" si="7"/>
        <v>8.9599999999999999E-2</v>
      </c>
      <c r="E60" s="47" t="s">
        <v>71</v>
      </c>
      <c r="F60" s="52">
        <f>C67+C74</f>
        <v>8.0000000000000002E-3</v>
      </c>
    </row>
    <row r="61" spans="1:6">
      <c r="A61" s="47" t="str">
        <f>"PremiumN4"&amp;A$18</f>
        <v>PremiumN4blue</v>
      </c>
      <c r="B61" s="47">
        <f>SUMIF(tables_4!B:B,input_4!A61,tables_4!L:L)</f>
        <v>61669440</v>
      </c>
      <c r="C61">
        <f t="shared" si="7"/>
        <v>0.20906666666666668</v>
      </c>
    </row>
    <row r="62" spans="1:6">
      <c r="A62" s="47" t="s">
        <v>125</v>
      </c>
      <c r="B62" s="47">
        <f>SUMIF(tables_4!B:B,input_4!A62,tables_4!L:L)</f>
        <v>26429760</v>
      </c>
      <c r="C62">
        <f t="shared" si="7"/>
        <v>8.9599999999999999E-2</v>
      </c>
    </row>
    <row r="63" spans="1:6">
      <c r="A63" s="47" t="str">
        <f>"PremiumS4"&amp;A$18</f>
        <v>PremiumS4blue</v>
      </c>
      <c r="B63" s="47">
        <f>SUMIF(tables_4!B:B,input_4!A63,tables_4!L:L)</f>
        <v>61669440</v>
      </c>
      <c r="C63">
        <f t="shared" si="7"/>
        <v>0.20906666666666668</v>
      </c>
    </row>
    <row r="64" spans="1:6">
      <c r="A64" s="47" t="s">
        <v>136</v>
      </c>
      <c r="B64" s="47">
        <f>SUMIF(tables_4!B:B,input_4!A64,tables_4!L:L)</f>
        <v>26429760</v>
      </c>
      <c r="C64">
        <f t="shared" si="7"/>
        <v>8.9599999999999999E-2</v>
      </c>
    </row>
    <row r="65" spans="1:3">
      <c r="A65" s="47" t="str">
        <f>"PremiumSS4"&amp;A$18</f>
        <v>PremiumSS4blue</v>
      </c>
      <c r="B65" s="47">
        <f>SUMIF(tables_4!B:B,input_4!A65,tables_4!L:L)</f>
        <v>7964325</v>
      </c>
      <c r="C65">
        <f t="shared" si="7"/>
        <v>2.7E-2</v>
      </c>
    </row>
    <row r="66" spans="1:3">
      <c r="A66" s="47" t="str">
        <f>"PremiumSS4"&amp;A$19</f>
        <v>PremiumSS4other</v>
      </c>
      <c r="B66" s="47">
        <f>SUMIF(tables_4!B:B,input_4!A66,tables_4!L:L)</f>
        <v>7964325</v>
      </c>
      <c r="C66">
        <f t="shared" si="7"/>
        <v>2.7E-2</v>
      </c>
    </row>
    <row r="67" spans="1:3">
      <c r="A67" s="47" t="s">
        <v>87</v>
      </c>
      <c r="B67" s="47">
        <f>SUMIF(tables_4!B:B,input_4!A67,tables_4!L:L)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SUMIF(tables_4!B:B,input_4!A68,tables_4!L:L)</f>
        <v>3716685</v>
      </c>
      <c r="C68">
        <f t="shared" si="7"/>
        <v>1.26E-2</v>
      </c>
    </row>
    <row r="69" spans="1:3">
      <c r="A69" s="47" t="str">
        <f>"PremiumN5"&amp;A$19</f>
        <v>PremiumN5other</v>
      </c>
      <c r="B69" s="47">
        <f>SUMIF(tables_4!B:B,input_4!A69,tables_4!L:L)</f>
        <v>1592865</v>
      </c>
      <c r="C69">
        <f t="shared" si="7"/>
        <v>5.4000000000000003E-3</v>
      </c>
    </row>
    <row r="70" spans="1:3">
      <c r="A70" s="47" t="str">
        <f>"PremiumS5"&amp;A$18</f>
        <v>PremiumS5blue</v>
      </c>
      <c r="B70" s="47">
        <f>SUMIF(tables_4!B:B,input_4!A70,tables_4!L:L)</f>
        <v>3716685</v>
      </c>
      <c r="C70">
        <f t="shared" si="7"/>
        <v>1.26E-2</v>
      </c>
    </row>
    <row r="71" spans="1:3">
      <c r="A71" s="47" t="str">
        <f>"PremiumS5"&amp;A$19</f>
        <v>PremiumS5other</v>
      </c>
      <c r="B71" s="47">
        <f>SUMIF(tables_4!B:B,input_4!A71,tables_4!L:L)</f>
        <v>1592865</v>
      </c>
      <c r="C71">
        <f t="shared" si="7"/>
        <v>5.4000000000000003E-3</v>
      </c>
    </row>
    <row r="72" spans="1:3">
      <c r="A72" s="47" t="str">
        <f>"PremiumSS5"&amp;A$18</f>
        <v>PremiumSS5blue</v>
      </c>
      <c r="B72" s="47">
        <f>SUMIF(tables_4!B:B,input_4!A72,tables_4!L:L)</f>
        <v>884925</v>
      </c>
      <c r="C72">
        <f t="shared" si="7"/>
        <v>3.0000000000000001E-3</v>
      </c>
    </row>
    <row r="73" spans="1:3">
      <c r="A73" s="47" t="str">
        <f>"PremiumSS5"&amp;A$19</f>
        <v>PremiumSS5other</v>
      </c>
      <c r="B73" s="47">
        <f>SUMIF(tables_4!B:B,input_4!A73,tables_4!L:L)</f>
        <v>884925</v>
      </c>
      <c r="C73">
        <f t="shared" si="7"/>
        <v>3.0000000000000001E-3</v>
      </c>
    </row>
    <row r="74" spans="1:3">
      <c r="A74" s="13" t="s">
        <v>134</v>
      </c>
      <c r="B74" s="47">
        <f>SUMIF(tables_4!B:B,input_4!A74,tables_4!L:L)</f>
        <v>2359800</v>
      </c>
      <c r="C74">
        <f t="shared" si="7"/>
        <v>8.0000000000000002E-3</v>
      </c>
    </row>
    <row r="75" spans="1:3">
      <c r="A75" t="s">
        <v>77</v>
      </c>
      <c r="B75">
        <f>SUM(B53:B74)</f>
        <v>294975000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L181" sqref="L181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82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input_4!A$2</f>
        <v>3084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IFERROR(VLOOKUP(D2,input_4!L:T,9,FALSE),VLOOKUP(tables_4!B2,input_4!A:H,8,FALSE))</f>
        <v>0</v>
      </c>
      <c r="M2" s="69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input_4!A$2</f>
        <v>3084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IFERROR(VLOOKUP(D3,input_4!L:T,9,FALSE),VLOOKUP(tables_4!B3,input_4!A:H,8,FALSE))</f>
        <v>1761984</v>
      </c>
      <c r="M3" s="69">
        <f t="shared" ref="M3:M66" si="2">L3/SUM(L:L)</f>
        <v>5.9733333333333331E-3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input_4!A$2</f>
        <v>3084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IFERROR(VLOOKUP(D4,input_4!L:T,9,FALSE),VLOOKUP(tables_4!B4,input_4!A:H,8,FALSE))</f>
        <v>0</v>
      </c>
      <c r="M4" s="69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input_4!A$2</f>
        <v>3084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IFERROR(VLOOKUP(D5,input_4!L:T,9,FALSE),VLOOKUP(tables_4!B5,input_4!A:H,8,FALSE))</f>
        <v>1761984</v>
      </c>
      <c r="M5" s="69">
        <f t="shared" si="2"/>
        <v>5.9733333333333331E-3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input_4!A$2</f>
        <v>3084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IFERROR(VLOOKUP(D6,input_4!L:T,9,FALSE),VLOOKUP(tables_4!B6,input_4!A:H,8,FALSE))</f>
        <v>0</v>
      </c>
      <c r="M6" s="69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input_4!A$2</f>
        <v>3084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IFERROR(VLOOKUP(D7,input_4!L:T,9,FALSE),VLOOKUP(tables_4!B7,input_4!A:H,8,FALSE))</f>
        <v>12333888</v>
      </c>
      <c r="M7" s="69">
        <f t="shared" si="2"/>
        <v>4.1813333333333334E-2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input_4!A$2</f>
        <v>3084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IFERROR(VLOOKUP(D8,input_4!L:T,9,FALSE),VLOOKUP(tables_4!B8,input_4!A:H,8,FALSE))</f>
        <v>0</v>
      </c>
      <c r="M8" s="69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input_4!A$2</f>
        <v>3084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IFERROR(VLOOKUP(D9,input_4!L:T,9,FALSE),VLOOKUP(tables_4!B9,input_4!A:H,8,FALSE))</f>
        <v>1761984</v>
      </c>
      <c r="M9" s="69">
        <f t="shared" si="2"/>
        <v>5.9733333333333331E-3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input_4!A$2</f>
        <v>3084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IFERROR(VLOOKUP(D10,input_4!L:T,9,FALSE),VLOOKUP(tables_4!B10,input_4!A:H,8,FALSE))</f>
        <v>0</v>
      </c>
      <c r="M10" s="69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input_4!A$2</f>
        <v>3084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IFERROR(VLOOKUP(D11,input_4!L:T,9,FALSE),VLOOKUP(tables_4!B11,input_4!A:H,8,FALSE))</f>
        <v>1761984</v>
      </c>
      <c r="M11" s="69">
        <f t="shared" si="2"/>
        <v>5.9733333333333331E-3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input_4!A$2</f>
        <v>3084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IFERROR(VLOOKUP(D12,input_4!L:T,9,FALSE),VLOOKUP(tables_4!B12,input_4!A:H,8,FALSE))</f>
        <v>0</v>
      </c>
      <c r="M12" s="69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input_4!A$2</f>
        <v>3084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IFERROR(VLOOKUP(D13,input_4!L:T,9,FALSE),VLOOKUP(tables_4!B13,input_4!A:H,8,FALSE))</f>
        <v>1761984</v>
      </c>
      <c r="M13" s="69">
        <f t="shared" si="2"/>
        <v>5.9733333333333331E-3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input_4!A$2</f>
        <v>3084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IFERROR(VLOOKUP(D14,input_4!L:T,9,FALSE),VLOOKUP(tables_4!B14,input_4!A:H,8,FALSE))</f>
        <v>0</v>
      </c>
      <c r="M14" s="69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input_4!A$2</f>
        <v>3084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IFERROR(VLOOKUP(D15,input_4!L:T,9,FALSE),VLOOKUP(tables_4!B15,input_4!A:H,8,FALSE))</f>
        <v>12333888</v>
      </c>
      <c r="M15" s="69">
        <f t="shared" si="2"/>
        <v>4.1813333333333334E-2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input_4!A$2</f>
        <v>3084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IFERROR(VLOOKUP(D16,input_4!L:T,9,FALSE),VLOOKUP(tables_4!B16,input_4!A:H,8,FALSE))</f>
        <v>0</v>
      </c>
      <c r="M16" s="69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input_4!A$2</f>
        <v>3084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IFERROR(VLOOKUP(D17,input_4!L:T,9,FALSE),VLOOKUP(tables_4!B17,input_4!A:H,8,FALSE))</f>
        <v>1761984</v>
      </c>
      <c r="M17" s="69">
        <f t="shared" si="2"/>
        <v>5.9733333333333331E-3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input_4!A$2</f>
        <v>3084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IFERROR(VLOOKUP(D18,input_4!L:T,9,FALSE),VLOOKUP(tables_4!B18,input_4!A:H,8,FALSE))</f>
        <v>0</v>
      </c>
      <c r="M18" s="69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input_4!A$2</f>
        <v>3084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IFERROR(VLOOKUP(D19,input_4!L:T,9,FALSE),VLOOKUP(tables_4!B19,input_4!A:H,8,FALSE))</f>
        <v>1761984</v>
      </c>
      <c r="M19" s="69">
        <f t="shared" si="2"/>
        <v>5.9733333333333331E-3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input_4!A$2</f>
        <v>3084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IFERROR(VLOOKUP(D20,input_4!L:T,9,FALSE),VLOOKUP(tables_4!B20,input_4!A:H,8,FALSE))</f>
        <v>0</v>
      </c>
      <c r="M20" s="69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input_4!A$2</f>
        <v>3084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IFERROR(VLOOKUP(D21,input_4!L:T,9,FALSE),VLOOKUP(tables_4!B21,input_4!A:H,8,FALSE))</f>
        <v>1761984</v>
      </c>
      <c r="M21" s="69">
        <f t="shared" si="2"/>
        <v>5.9733333333333331E-3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input_4!A$2</f>
        <v>3084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IFERROR(VLOOKUP(D22,input_4!L:T,9,FALSE),VLOOKUP(tables_4!B22,input_4!A:H,8,FALSE))</f>
        <v>0</v>
      </c>
      <c r="M22" s="69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input_4!A$2</f>
        <v>3084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IFERROR(VLOOKUP(D23,input_4!L:T,9,FALSE),VLOOKUP(tables_4!B23,input_4!A:H,8,FALSE))</f>
        <v>12333888</v>
      </c>
      <c r="M23" s="69">
        <f t="shared" si="2"/>
        <v>4.1813333333333334E-2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input_4!A$2</f>
        <v>3084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IFERROR(VLOOKUP(D24,input_4!L:T,9,FALSE),VLOOKUP(tables_4!B24,input_4!A:H,8,FALSE))</f>
        <v>0</v>
      </c>
      <c r="M24" s="69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input_4!A$2</f>
        <v>3084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IFERROR(VLOOKUP(D25,input_4!L:T,9,FALSE),VLOOKUP(tables_4!B25,input_4!A:H,8,FALSE))</f>
        <v>1761984</v>
      </c>
      <c r="M25" s="69">
        <f t="shared" si="2"/>
        <v>5.9733333333333331E-3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input_4!A$2</f>
        <v>3084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IFERROR(VLOOKUP(D26,input_4!L:T,9,FALSE),VLOOKUP(tables_4!B26,input_4!A:H,8,FALSE))</f>
        <v>0</v>
      </c>
      <c r="M26" s="69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input_4!A$2</f>
        <v>3084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IFERROR(VLOOKUP(D27,input_4!L:T,9,FALSE),VLOOKUP(tables_4!B27,input_4!A:H,8,FALSE))</f>
        <v>1761984</v>
      </c>
      <c r="M27" s="69">
        <f t="shared" si="2"/>
        <v>5.9733333333333331E-3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input_4!A$2</f>
        <v>3084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IFERROR(VLOOKUP(D28,input_4!L:T,9,FALSE),VLOOKUP(tables_4!B28,input_4!A:H,8,FALSE))</f>
        <v>0</v>
      </c>
      <c r="M28" s="69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input_4!A$2</f>
        <v>3084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IFERROR(VLOOKUP(D29,input_4!L:T,9,FALSE),VLOOKUP(tables_4!B29,input_4!A:H,8,FALSE))</f>
        <v>1761984</v>
      </c>
      <c r="M29" s="69">
        <f t="shared" si="2"/>
        <v>5.9733333333333331E-3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input_4!A$2</f>
        <v>3084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IFERROR(VLOOKUP(D30,input_4!L:T,9,FALSE),VLOOKUP(tables_4!B30,input_4!A:H,8,FALSE))</f>
        <v>0</v>
      </c>
      <c r="M30" s="69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input_4!A$2</f>
        <v>3084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IFERROR(VLOOKUP(D31,input_4!L:T,9,FALSE),VLOOKUP(tables_4!B31,input_4!A:H,8,FALSE))</f>
        <v>12333888</v>
      </c>
      <c r="M31" s="69">
        <f t="shared" si="2"/>
        <v>4.1813333333333334E-2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input_4!A$2</f>
        <v>3084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IFERROR(VLOOKUP(D32,input_4!L:T,9,FALSE),VLOOKUP(tables_4!B32,input_4!A:H,8,FALSE))</f>
        <v>0</v>
      </c>
      <c r="M32" s="69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input_4!A$2</f>
        <v>3084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IFERROR(VLOOKUP(D33,input_4!L:T,9,FALSE),VLOOKUP(tables_4!B33,input_4!A:H,8,FALSE))</f>
        <v>1761984</v>
      </c>
      <c r="M33" s="69">
        <f t="shared" si="2"/>
        <v>5.9733333333333331E-3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input_4!A$2</f>
        <v>3084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IFERROR(VLOOKUP(D34,input_4!L:T,9,FALSE),VLOOKUP(tables_4!B34,input_4!A:H,8,FALSE))</f>
        <v>0</v>
      </c>
      <c r="M34" s="69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input_4!A$2</f>
        <v>3084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IFERROR(VLOOKUP(D35,input_4!L:T,9,FALSE),VLOOKUP(tables_4!B35,input_4!A:H,8,FALSE))</f>
        <v>1761984</v>
      </c>
      <c r="M35" s="69">
        <f t="shared" si="2"/>
        <v>5.9733333333333331E-3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input_4!A$2</f>
        <v>3084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IFERROR(VLOOKUP(D36,input_4!L:T,9,FALSE),VLOOKUP(tables_4!B36,input_4!A:H,8,FALSE))</f>
        <v>0</v>
      </c>
      <c r="M36" s="69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input_4!A$2</f>
        <v>3084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IFERROR(VLOOKUP(D37,input_4!L:T,9,FALSE),VLOOKUP(tables_4!B37,input_4!A:H,8,FALSE))</f>
        <v>1761984</v>
      </c>
      <c r="M37" s="69">
        <f t="shared" si="2"/>
        <v>5.9733333333333331E-3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input_4!A$2</f>
        <v>3084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IFERROR(VLOOKUP(D38,input_4!L:T,9,FALSE),VLOOKUP(tables_4!B38,input_4!A:H,8,FALSE))</f>
        <v>0</v>
      </c>
      <c r="M38" s="69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input_4!A$2</f>
        <v>3084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IFERROR(VLOOKUP(D39,input_4!L:T,9,FALSE),VLOOKUP(tables_4!B39,input_4!A:H,8,FALSE))</f>
        <v>12333888</v>
      </c>
      <c r="M39" s="69">
        <f t="shared" si="2"/>
        <v>4.1813333333333334E-2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input_4!A$2</f>
        <v>3084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IFERROR(VLOOKUP(D40,input_4!L:T,9,FALSE),VLOOKUP(tables_4!B40,input_4!A:H,8,FALSE))</f>
        <v>0</v>
      </c>
      <c r="M40" s="69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input_4!A$2</f>
        <v>3084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IFERROR(VLOOKUP(D41,input_4!L:T,9,FALSE),VLOOKUP(tables_4!B41,input_4!A:H,8,FALSE))</f>
        <v>1761984</v>
      </c>
      <c r="M41" s="69">
        <f t="shared" si="2"/>
        <v>5.9733333333333331E-3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input_4!A$2</f>
        <v>3084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IFERROR(VLOOKUP(D42,input_4!L:T,9,FALSE),VLOOKUP(tables_4!B42,input_4!A:H,8,FALSE))</f>
        <v>0</v>
      </c>
      <c r="M42" s="69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input_4!A$2</f>
        <v>3084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IFERROR(VLOOKUP(D43,input_4!L:T,9,FALSE),VLOOKUP(tables_4!B43,input_4!A:H,8,FALSE))</f>
        <v>1761984</v>
      </c>
      <c r="M43" s="69">
        <f t="shared" si="2"/>
        <v>5.9733333333333331E-3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input_4!A$2</f>
        <v>3084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IFERROR(VLOOKUP(D44,input_4!L:T,9,FALSE),VLOOKUP(tables_4!B44,input_4!A:H,8,FALSE))</f>
        <v>106191</v>
      </c>
      <c r="M44" s="69">
        <f t="shared" si="2"/>
        <v>3.6000000000000002E-4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input_4!A$2</f>
        <v>3084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IFERROR(VLOOKUP(D45,input_4!L:T,9,FALSE),VLOOKUP(tables_4!B45,input_4!A:H,8,FALSE))</f>
        <v>0</v>
      </c>
      <c r="M45" s="69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input_4!A$2</f>
        <v>3084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IFERROR(VLOOKUP(D46,input_4!L:T,9,FALSE),VLOOKUP(tables_4!B46,input_4!A:H,8,FALSE))</f>
        <v>1761984</v>
      </c>
      <c r="M46" s="69">
        <f t="shared" si="2"/>
        <v>5.9733333333333331E-3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input_4!A$2</f>
        <v>3084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IFERROR(VLOOKUP(D47,input_4!L:T,9,FALSE),VLOOKUP(tables_4!B47,input_4!A:H,8,FALSE))</f>
        <v>106191</v>
      </c>
      <c r="M47" s="69">
        <f t="shared" si="2"/>
        <v>3.6000000000000002E-4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input_4!A$2</f>
        <v>3084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IFERROR(VLOOKUP(D48,input_4!L:T,9,FALSE),VLOOKUP(tables_4!B48,input_4!A:H,8,FALSE))</f>
        <v>0</v>
      </c>
      <c r="M48" s="69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input_4!A$2</f>
        <v>3084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IFERROR(VLOOKUP(D49,input_4!L:T,9,FALSE),VLOOKUP(tables_4!B49,input_4!A:H,8,FALSE))</f>
        <v>12333888</v>
      </c>
      <c r="M49" s="69">
        <f t="shared" si="2"/>
        <v>4.1813333333333334E-2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input_4!A$2</f>
        <v>3084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IFERROR(VLOOKUP(D50,input_4!L:T,9,FALSE),VLOOKUP(tables_4!B50,input_4!A:H,8,FALSE))</f>
        <v>743337</v>
      </c>
      <c r="M50" s="69">
        <f t="shared" si="2"/>
        <v>2.5200000000000001E-3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input_4!A$2</f>
        <v>3084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IFERROR(VLOOKUP(D51,input_4!L:T,9,FALSE),VLOOKUP(tables_4!B51,input_4!A:H,8,FALSE))</f>
        <v>0</v>
      </c>
      <c r="M51" s="69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input_4!A$2</f>
        <v>3084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IFERROR(VLOOKUP(D52,input_4!L:T,9,FALSE),VLOOKUP(tables_4!B52,input_4!A:H,8,FALSE))</f>
        <v>1761984</v>
      </c>
      <c r="M52" s="69">
        <f t="shared" si="2"/>
        <v>5.9733333333333331E-3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input_4!A$2</f>
        <v>3084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IFERROR(VLOOKUP(D53,input_4!L:T,9,FALSE),VLOOKUP(tables_4!B53,input_4!A:H,8,FALSE))</f>
        <v>106191</v>
      </c>
      <c r="M53" s="69">
        <f t="shared" si="2"/>
        <v>3.6000000000000002E-4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input_4!A$2</f>
        <v>3084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IFERROR(VLOOKUP(D54,input_4!L:T,9,FALSE),VLOOKUP(tables_4!B54,input_4!A:H,8,FALSE))</f>
        <v>0</v>
      </c>
      <c r="M54" s="69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input_4!A$2</f>
        <v>3084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IFERROR(VLOOKUP(D55,input_4!L:T,9,FALSE),VLOOKUP(tables_4!B55,input_4!A:H,8,FALSE))</f>
        <v>1761984</v>
      </c>
      <c r="M55" s="69">
        <f t="shared" si="2"/>
        <v>5.9733333333333331E-3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input_4!A$2</f>
        <v>3084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IFERROR(VLOOKUP(D56,input_4!L:T,9,FALSE),VLOOKUP(tables_4!B56,input_4!A:H,8,FALSE))</f>
        <v>106191</v>
      </c>
      <c r="M56" s="69">
        <f t="shared" si="2"/>
        <v>3.6000000000000002E-4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input_4!A$2</f>
        <v>3084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IFERROR(VLOOKUP(D57,input_4!L:T,9,FALSE),VLOOKUP(tables_4!B57,input_4!A:H,8,FALSE))</f>
        <v>0</v>
      </c>
      <c r="M57" s="69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input_4!A$2</f>
        <v>3084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IFERROR(VLOOKUP(D58,input_4!L:T,9,FALSE),VLOOKUP(tables_4!B58,input_4!A:H,8,FALSE))</f>
        <v>1761984</v>
      </c>
      <c r="M58" s="69">
        <f t="shared" si="2"/>
        <v>5.9733333333333331E-3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input_4!A$2</f>
        <v>3084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IFERROR(VLOOKUP(D59,input_4!L:T,9,FALSE),VLOOKUP(tables_4!B59,input_4!A:H,8,FALSE))</f>
        <v>106191</v>
      </c>
      <c r="M59" s="69">
        <f t="shared" si="2"/>
        <v>3.6000000000000002E-4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input_4!A$2</f>
        <v>3084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IFERROR(VLOOKUP(D60,input_4!L:T,9,FALSE),VLOOKUP(tables_4!B60,input_4!A:H,8,FALSE))</f>
        <v>0</v>
      </c>
      <c r="M60" s="69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input_4!A$2</f>
        <v>3084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IFERROR(VLOOKUP(D61,input_4!L:T,9,FALSE),VLOOKUP(tables_4!B61,input_4!A:H,8,FALSE))</f>
        <v>12333888</v>
      </c>
      <c r="M61" s="69">
        <f t="shared" si="2"/>
        <v>4.1813333333333334E-2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input_4!A$2</f>
        <v>3084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IFERROR(VLOOKUP(D62,input_4!L:T,9,FALSE),VLOOKUP(tables_4!B62,input_4!A:H,8,FALSE))</f>
        <v>743337</v>
      </c>
      <c r="M62" s="69">
        <f t="shared" si="2"/>
        <v>2.5200000000000001E-3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input_4!A$2</f>
        <v>3084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IFERROR(VLOOKUP(D63,input_4!L:T,9,FALSE),VLOOKUP(tables_4!B63,input_4!A:H,8,FALSE))</f>
        <v>0</v>
      </c>
      <c r="M63" s="69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input_4!A$2</f>
        <v>3084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IFERROR(VLOOKUP(D64,input_4!L:T,9,FALSE),VLOOKUP(tables_4!B64,input_4!A:H,8,FALSE))</f>
        <v>1761984</v>
      </c>
      <c r="M64" s="69">
        <f t="shared" si="2"/>
        <v>5.9733333333333331E-3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input_4!A$2</f>
        <v>3084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IFERROR(VLOOKUP(D65,input_4!L:T,9,FALSE),VLOOKUP(tables_4!B65,input_4!A:H,8,FALSE))</f>
        <v>106191</v>
      </c>
      <c r="M65" s="69">
        <f t="shared" si="2"/>
        <v>3.6000000000000002E-4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input_4!A$2</f>
        <v>3084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IFERROR(VLOOKUP(D66,input_4!L:T,9,FALSE),VLOOKUP(tables_4!B66,input_4!A:H,8,FALSE))</f>
        <v>0</v>
      </c>
      <c r="M66" s="69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input_4!A$2</f>
        <v>3084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IFERROR(VLOOKUP(D67,input_4!L:T,9,FALSE),VLOOKUP(tables_4!B67,input_4!A:H,8,FALSE))</f>
        <v>1761984</v>
      </c>
      <c r="M67" s="69">
        <f t="shared" ref="M67:M130" si="5">L67/SUM(L:L)</f>
        <v>5.9733333333333331E-3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input_4!A$2</f>
        <v>3084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IFERROR(VLOOKUP(D68,input_4!L:T,9,FALSE),VLOOKUP(tables_4!B68,input_4!A:H,8,FALSE))</f>
        <v>106191</v>
      </c>
      <c r="M68" s="69">
        <f t="shared" si="5"/>
        <v>3.6000000000000002E-4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input_4!A$2</f>
        <v>3084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IFERROR(VLOOKUP(D69,input_4!L:T,9,FALSE),VLOOKUP(tables_4!B69,input_4!A:H,8,FALSE))</f>
        <v>0</v>
      </c>
      <c r="M69" s="69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input_4!A$2</f>
        <v>3084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IFERROR(VLOOKUP(D70,input_4!L:T,9,FALSE),VLOOKUP(tables_4!B70,input_4!A:H,8,FALSE))</f>
        <v>1761984</v>
      </c>
      <c r="M70" s="69">
        <f t="shared" si="5"/>
        <v>5.9733333333333331E-3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input_4!A$2</f>
        <v>3084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IFERROR(VLOOKUP(D71,input_4!L:T,9,FALSE),VLOOKUP(tables_4!B71,input_4!A:H,8,FALSE))</f>
        <v>106191</v>
      </c>
      <c r="M71" s="69">
        <f t="shared" si="5"/>
        <v>3.6000000000000002E-4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input_4!A$2</f>
        <v>3084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IFERROR(VLOOKUP(D72,input_4!L:T,9,FALSE),VLOOKUP(tables_4!B72,input_4!A:H,8,FALSE))</f>
        <v>0</v>
      </c>
      <c r="M72" s="69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input_4!A$2</f>
        <v>3084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IFERROR(VLOOKUP(D73,input_4!L:T,9,FALSE),VLOOKUP(tables_4!B73,input_4!A:H,8,FALSE))</f>
        <v>1761984</v>
      </c>
      <c r="M73" s="69">
        <f t="shared" si="5"/>
        <v>5.9733333333333331E-3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input_4!A$2</f>
        <v>3084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IFERROR(VLOOKUP(D74,input_4!L:T,9,FALSE),VLOOKUP(tables_4!B74,input_4!A:H,8,FALSE))</f>
        <v>106191</v>
      </c>
      <c r="M74" s="69">
        <f t="shared" si="5"/>
        <v>3.6000000000000002E-4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input_4!A$2</f>
        <v>3084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IFERROR(VLOOKUP(D75,input_4!L:T,9,FALSE),VLOOKUP(tables_4!B75,input_4!A:H,8,FALSE))</f>
        <v>0</v>
      </c>
      <c r="M75" s="69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input_4!A$2</f>
        <v>3084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IFERROR(VLOOKUP(D76,input_4!L:T,9,FALSE),VLOOKUP(tables_4!B76,input_4!A:H,8,FALSE))</f>
        <v>12333888</v>
      </c>
      <c r="M76" s="69">
        <f t="shared" si="5"/>
        <v>4.1813333333333334E-2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input_4!A$2</f>
        <v>3084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IFERROR(VLOOKUP(D77,input_4!L:T,9,FALSE),VLOOKUP(tables_4!B77,input_4!A:H,8,FALSE))</f>
        <v>743337</v>
      </c>
      <c r="M77" s="69">
        <f t="shared" si="5"/>
        <v>2.5200000000000001E-3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input_4!A$2</f>
        <v>3084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IFERROR(VLOOKUP(D78,input_4!L:T,9,FALSE),VLOOKUP(tables_4!B78,input_4!A:H,8,FALSE))</f>
        <v>0</v>
      </c>
      <c r="M78" s="69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input_4!A$2</f>
        <v>3084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IFERROR(VLOOKUP(D79,input_4!L:T,9,FALSE),VLOOKUP(tables_4!B79,input_4!A:H,8,FALSE))</f>
        <v>1761984</v>
      </c>
      <c r="M79" s="69">
        <f t="shared" si="5"/>
        <v>5.9733333333333331E-3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input_4!A$2</f>
        <v>3084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IFERROR(VLOOKUP(D80,input_4!L:T,9,FALSE),VLOOKUP(tables_4!B80,input_4!A:H,8,FALSE))</f>
        <v>106191</v>
      </c>
      <c r="M80" s="69">
        <f t="shared" si="5"/>
        <v>3.6000000000000002E-4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input_4!A$2</f>
        <v>3084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IFERROR(VLOOKUP(D81,input_4!L:T,9,FALSE),VLOOKUP(tables_4!B81,input_4!A:H,8,FALSE))</f>
        <v>0</v>
      </c>
      <c r="M81" s="69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input_4!A$2</f>
        <v>3084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IFERROR(VLOOKUP(D82,input_4!L:T,9,FALSE),VLOOKUP(tables_4!B82,input_4!A:H,8,FALSE))</f>
        <v>1761984</v>
      </c>
      <c r="M82" s="69">
        <f t="shared" si="5"/>
        <v>5.9733333333333331E-3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input_4!A$2</f>
        <v>3084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IFERROR(VLOOKUP(D83,input_4!L:T,9,FALSE),VLOOKUP(tables_4!B83,input_4!A:H,8,FALSE))</f>
        <v>106191</v>
      </c>
      <c r="M83" s="69">
        <f t="shared" si="5"/>
        <v>3.6000000000000002E-4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input_4!A$2</f>
        <v>3084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IFERROR(VLOOKUP(D84,input_4!L:T,9,FALSE),VLOOKUP(tables_4!B84,input_4!A:H,8,FALSE))</f>
        <v>0</v>
      </c>
      <c r="M84" s="69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input_4!A$2</f>
        <v>3084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IFERROR(VLOOKUP(D85,input_4!L:T,9,FALSE),VLOOKUP(tables_4!B85,input_4!A:H,8,FALSE))</f>
        <v>12333888</v>
      </c>
      <c r="M85" s="69">
        <f t="shared" si="5"/>
        <v>4.1813333333333334E-2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input_4!A$2</f>
        <v>3084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IFERROR(VLOOKUP(D86,input_4!L:T,9,FALSE),VLOOKUP(tables_4!B86,input_4!A:H,8,FALSE))</f>
        <v>743337</v>
      </c>
      <c r="M86" s="69">
        <f t="shared" si="5"/>
        <v>2.5200000000000001E-3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input_4!A$2</f>
        <v>3084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IFERROR(VLOOKUP(D87,input_4!L:T,9,FALSE),VLOOKUP(tables_4!B87,input_4!A:H,8,FALSE))</f>
        <v>0</v>
      </c>
      <c r="M87" s="69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input_4!A$2</f>
        <v>3084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IFERROR(VLOOKUP(D88,input_4!L:T,9,FALSE),VLOOKUP(tables_4!B88,input_4!A:H,8,FALSE))</f>
        <v>1761984</v>
      </c>
      <c r="M88" s="69">
        <f t="shared" si="5"/>
        <v>5.9733333333333331E-3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input_4!A$2</f>
        <v>3084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IFERROR(VLOOKUP(D89,input_4!L:T,9,FALSE),VLOOKUP(tables_4!B89,input_4!A:H,8,FALSE))</f>
        <v>106191</v>
      </c>
      <c r="M89" s="69">
        <f t="shared" si="5"/>
        <v>3.6000000000000002E-4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input_4!A$2</f>
        <v>3084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IFERROR(VLOOKUP(D90,input_4!L:T,9,FALSE),VLOOKUP(tables_4!B90,input_4!A:H,8,FALSE))</f>
        <v>0</v>
      </c>
      <c r="M90" s="69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input_4!A$2</f>
        <v>3084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IFERROR(VLOOKUP(D91,input_4!L:T,9,FALSE),VLOOKUP(tables_4!B91,input_4!A:H,8,FALSE))</f>
        <v>1761984</v>
      </c>
      <c r="M91" s="69">
        <f t="shared" si="5"/>
        <v>5.9733333333333331E-3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input_4!A$2</f>
        <v>3084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IFERROR(VLOOKUP(D92,input_4!L:T,9,FALSE),VLOOKUP(tables_4!B92,input_4!A:H,8,FALSE))</f>
        <v>106191</v>
      </c>
      <c r="M92" s="69">
        <f t="shared" si="5"/>
        <v>3.6000000000000002E-4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input_4!A$2</f>
        <v>3084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IFERROR(VLOOKUP(D93,input_4!L:T,9,FALSE),VLOOKUP(tables_4!B93,input_4!A:H,8,FALSE))</f>
        <v>0</v>
      </c>
      <c r="M93" s="69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input_4!A$2</f>
        <v>3084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IFERROR(VLOOKUP(D94,input_4!L:T,9,FALSE),VLOOKUP(tables_4!B94,input_4!A:H,8,FALSE))</f>
        <v>1761984</v>
      </c>
      <c r="M94" s="69">
        <f t="shared" si="5"/>
        <v>5.9733333333333331E-3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input_4!A$2</f>
        <v>3084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IFERROR(VLOOKUP(D95,input_4!L:T,9,FALSE),VLOOKUP(tables_4!B95,input_4!A:H,8,FALSE))</f>
        <v>106191</v>
      </c>
      <c r="M95" s="69">
        <f t="shared" si="5"/>
        <v>3.6000000000000002E-4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input_4!A$2</f>
        <v>3084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IFERROR(VLOOKUP(D96,input_4!L:T,9,FALSE),VLOOKUP(tables_4!B96,input_4!A:H,8,FALSE))</f>
        <v>0</v>
      </c>
      <c r="M96" s="69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input_4!A$2</f>
        <v>3084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IFERROR(VLOOKUP(D97,input_4!L:T,9,FALSE),VLOOKUP(tables_4!B97,input_4!A:H,8,FALSE))</f>
        <v>12333888</v>
      </c>
      <c r="M97" s="69">
        <f t="shared" si="5"/>
        <v>4.1813333333333334E-2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input_4!A$2</f>
        <v>3084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IFERROR(VLOOKUP(D98,input_4!L:T,9,FALSE),VLOOKUP(tables_4!B98,input_4!A:H,8,FALSE))</f>
        <v>743337</v>
      </c>
      <c r="M98" s="69">
        <f t="shared" si="5"/>
        <v>2.5200000000000001E-3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input_4!A$2</f>
        <v>3084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IFERROR(VLOOKUP(D99,input_4!L:T,9,FALSE),VLOOKUP(tables_4!B99,input_4!A:H,8,FALSE))</f>
        <v>0</v>
      </c>
      <c r="M99" s="69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input_4!A$2</f>
        <v>3084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IFERROR(VLOOKUP(D100,input_4!L:T,9,FALSE),VLOOKUP(tables_4!B100,input_4!A:H,8,FALSE))</f>
        <v>1761984</v>
      </c>
      <c r="M100" s="69">
        <f t="shared" si="5"/>
        <v>5.9733333333333331E-3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input_4!A$2</f>
        <v>3084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IFERROR(VLOOKUP(D101,input_4!L:T,9,FALSE),VLOOKUP(tables_4!B101,input_4!A:H,8,FALSE))</f>
        <v>106191</v>
      </c>
      <c r="M101" s="69">
        <f t="shared" si="5"/>
        <v>3.6000000000000002E-4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input_4!A$2</f>
        <v>3084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IFERROR(VLOOKUP(D102,input_4!L:T,9,FALSE),VLOOKUP(tables_4!B102,input_4!A:H,8,FALSE))</f>
        <v>0</v>
      </c>
      <c r="M102" s="69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input_4!A$2</f>
        <v>3084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IFERROR(VLOOKUP(D103,input_4!L:T,9,FALSE),VLOOKUP(tables_4!B103,input_4!A:H,8,FALSE))</f>
        <v>1149120</v>
      </c>
      <c r="M103" s="69">
        <f t="shared" si="5"/>
        <v>3.8956521739130436E-3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input_4!A$2</f>
        <v>3084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IFERROR(VLOOKUP(D104,input_4!L:T,9,FALSE),VLOOKUP(tables_4!B104,input_4!A:H,8,FALSE))</f>
        <v>69255</v>
      </c>
      <c r="M104" s="69">
        <f t="shared" si="5"/>
        <v>2.3478260869565218E-4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input_4!A$2</f>
        <v>3084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IFERROR(VLOOKUP(D105,input_4!L:T,9,FALSE),VLOOKUP(tables_4!B105,input_4!A:H,8,FALSE))</f>
        <v>0</v>
      </c>
      <c r="M105" s="69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input_4!A$2</f>
        <v>3084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IFERROR(VLOOKUP(D106,input_4!L:T,9,FALSE),VLOOKUP(tables_4!B106,input_4!A:H,8,FALSE))</f>
        <v>1149120</v>
      </c>
      <c r="M106" s="69">
        <f t="shared" si="5"/>
        <v>3.8956521739130436E-3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input_4!A$2</f>
        <v>3084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IFERROR(VLOOKUP(D107,input_4!L:T,9,FALSE),VLOOKUP(tables_4!B107,input_4!A:H,8,FALSE))</f>
        <v>69255</v>
      </c>
      <c r="M107" s="69">
        <f t="shared" si="5"/>
        <v>2.3478260869565218E-4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input_4!A$2</f>
        <v>3084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IFERROR(VLOOKUP(D108,input_4!L:T,9,FALSE),VLOOKUP(tables_4!B108,input_4!A:H,8,FALSE))</f>
        <v>0</v>
      </c>
      <c r="M108" s="69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input_4!A$2</f>
        <v>3084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IFERROR(VLOOKUP(D109,input_4!L:T,9,FALSE),VLOOKUP(tables_4!B109,input_4!A:H,8,FALSE))</f>
        <v>6852160</v>
      </c>
      <c r="M109" s="69">
        <f t="shared" si="5"/>
        <v>2.3229629629629631E-2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input_4!A$2</f>
        <v>3084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IFERROR(VLOOKUP(D110,input_4!L:T,9,FALSE),VLOOKUP(tables_4!B110,input_4!A:H,8,FALSE))</f>
        <v>412965</v>
      </c>
      <c r="M110" s="69">
        <f t="shared" si="5"/>
        <v>1.4E-3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input_4!A$2</f>
        <v>3084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IFERROR(VLOOKUP(D111,input_4!L:T,9,FALSE),VLOOKUP(tables_4!B111,input_4!A:H,8,FALSE))</f>
        <v>0</v>
      </c>
      <c r="M111" s="69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input_4!A$2</f>
        <v>3084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IFERROR(VLOOKUP(D112,input_4!L:T,9,FALSE),VLOOKUP(tables_4!B112,input_4!A:H,8,FALSE))</f>
        <v>1149120</v>
      </c>
      <c r="M112" s="69">
        <f t="shared" si="5"/>
        <v>3.8956521739130436E-3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input_4!A$2</f>
        <v>3084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IFERROR(VLOOKUP(D113,input_4!L:T,9,FALSE),VLOOKUP(tables_4!B113,input_4!A:H,8,FALSE))</f>
        <v>69255</v>
      </c>
      <c r="M113" s="69">
        <f t="shared" si="5"/>
        <v>2.3478260869565218E-4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input_4!A$2</f>
        <v>3084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IFERROR(VLOOKUP(D114,input_4!L:T,9,FALSE),VLOOKUP(tables_4!B114,input_4!A:H,8,FALSE))</f>
        <v>0</v>
      </c>
      <c r="M114" s="69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input_4!A$2</f>
        <v>3084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IFERROR(VLOOKUP(D115,input_4!L:T,9,FALSE),VLOOKUP(tables_4!B115,input_4!A:H,8,FALSE))</f>
        <v>1149120</v>
      </c>
      <c r="M115" s="69">
        <f t="shared" si="5"/>
        <v>3.8956521739130436E-3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input_4!A$2</f>
        <v>3084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IFERROR(VLOOKUP(D116,input_4!L:T,9,FALSE),VLOOKUP(tables_4!B116,input_4!A:H,8,FALSE))</f>
        <v>69255</v>
      </c>
      <c r="M116" s="69">
        <f t="shared" si="5"/>
        <v>2.3478260869565218E-4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input_4!A$2</f>
        <v>3084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IFERROR(VLOOKUP(D117,input_4!L:T,9,FALSE),VLOOKUP(tables_4!B117,input_4!A:H,8,FALSE))</f>
        <v>0</v>
      </c>
      <c r="M117" s="69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input_4!A$2</f>
        <v>3084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IFERROR(VLOOKUP(D118,input_4!L:T,9,FALSE),VLOOKUP(tables_4!B118,input_4!A:H,8,FALSE))</f>
        <v>1149120</v>
      </c>
      <c r="M118" s="69">
        <f t="shared" si="5"/>
        <v>3.8956521739130436E-3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input_4!A$2</f>
        <v>3084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IFERROR(VLOOKUP(D119,input_4!L:T,9,FALSE),VLOOKUP(tables_4!B119,input_4!A:H,8,FALSE))</f>
        <v>69255</v>
      </c>
      <c r="M119" s="69">
        <f t="shared" si="5"/>
        <v>2.3478260869565218E-4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input_4!A$2</f>
        <v>3084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IFERROR(VLOOKUP(D120,input_4!L:T,9,FALSE),VLOOKUP(tables_4!B120,input_4!A:H,8,FALSE))</f>
        <v>0</v>
      </c>
      <c r="M120" s="69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input_4!A$2</f>
        <v>3084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IFERROR(VLOOKUP(D121,input_4!L:T,9,FALSE),VLOOKUP(tables_4!B121,input_4!A:H,8,FALSE))</f>
        <v>6852160</v>
      </c>
      <c r="M121" s="69">
        <f t="shared" si="5"/>
        <v>2.3229629629629631E-2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input_4!A$2</f>
        <v>3084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IFERROR(VLOOKUP(D122,input_4!L:T,9,FALSE),VLOOKUP(tables_4!B122,input_4!A:H,8,FALSE))</f>
        <v>412965</v>
      </c>
      <c r="M122" s="69">
        <f t="shared" si="5"/>
        <v>1.4E-3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input_4!A$2</f>
        <v>3084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IFERROR(VLOOKUP(D123,input_4!L:T,9,FALSE),VLOOKUP(tables_4!B123,input_4!A:H,8,FALSE))</f>
        <v>0</v>
      </c>
      <c r="M123" s="69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input_4!A$2</f>
        <v>3084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IFERROR(VLOOKUP(D124,input_4!L:T,9,FALSE),VLOOKUP(tables_4!B124,input_4!A:H,8,FALSE))</f>
        <v>1149120</v>
      </c>
      <c r="M124" s="69">
        <f t="shared" si="5"/>
        <v>3.8956521739130436E-3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input_4!A$2</f>
        <v>3084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IFERROR(VLOOKUP(D125,input_4!L:T,9,FALSE),VLOOKUP(tables_4!B125,input_4!A:H,8,FALSE))</f>
        <v>69255</v>
      </c>
      <c r="M125" s="69">
        <f t="shared" si="5"/>
        <v>2.3478260869565218E-4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input_4!A$2</f>
        <v>3084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IFERROR(VLOOKUP(D126,input_4!L:T,9,FALSE),VLOOKUP(tables_4!B126,input_4!A:H,8,FALSE))</f>
        <v>0</v>
      </c>
      <c r="M126" s="69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input_4!A$2</f>
        <v>3084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IFERROR(VLOOKUP(D127,input_4!L:T,9,FALSE),VLOOKUP(tables_4!B127,input_4!A:H,8,FALSE))</f>
        <v>1149120</v>
      </c>
      <c r="M127" s="69">
        <f t="shared" si="5"/>
        <v>3.8956521739130436E-3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input_4!A$2</f>
        <v>3084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IFERROR(VLOOKUP(D128,input_4!L:T,9,FALSE),VLOOKUP(tables_4!B128,input_4!A:H,8,FALSE))</f>
        <v>69255</v>
      </c>
      <c r="M128" s="69">
        <f t="shared" si="5"/>
        <v>2.3478260869565218E-4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input_4!A$2</f>
        <v>3084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IFERROR(VLOOKUP(D129,input_4!L:T,9,FALSE),VLOOKUP(tables_4!B129,input_4!A:H,8,FALSE))</f>
        <v>0</v>
      </c>
      <c r="M129" s="69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input_4!A$2</f>
        <v>3084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IFERROR(VLOOKUP(D130,input_4!L:T,9,FALSE),VLOOKUP(tables_4!B130,input_4!A:H,8,FALSE))</f>
        <v>1149120</v>
      </c>
      <c r="M130" s="69">
        <f t="shared" si="5"/>
        <v>3.8956521739130436E-3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input_4!A$2</f>
        <v>3084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IFERROR(VLOOKUP(D131,input_4!L:T,9,FALSE),VLOOKUP(tables_4!B131,input_4!A:H,8,FALSE))</f>
        <v>69255</v>
      </c>
      <c r="M131" s="69">
        <f t="shared" ref="M131:M194" si="8">L131/SUM(L:L)</f>
        <v>2.3478260869565218E-4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input_4!A$2</f>
        <v>3084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IFERROR(VLOOKUP(D132,input_4!L:T,9,FALSE),VLOOKUP(tables_4!B132,input_4!A:H,8,FALSE))</f>
        <v>0</v>
      </c>
      <c r="M132" s="69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input_4!A$2</f>
        <v>3084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IFERROR(VLOOKUP(D133,input_4!L:T,9,FALSE),VLOOKUP(tables_4!B133,input_4!A:H,8,FALSE))</f>
        <v>6852160</v>
      </c>
      <c r="M133" s="69">
        <f t="shared" si="8"/>
        <v>2.3229629629629631E-2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input_4!A$2</f>
        <v>3084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IFERROR(VLOOKUP(D134,input_4!L:T,9,FALSE),VLOOKUP(tables_4!B134,input_4!A:H,8,FALSE))</f>
        <v>412965</v>
      </c>
      <c r="M134" s="69">
        <f t="shared" si="8"/>
        <v>1.4E-3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input_4!A$2</f>
        <v>3084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IFERROR(VLOOKUP(D135,input_4!L:T,9,FALSE),VLOOKUP(tables_4!B135,input_4!A:H,8,FALSE))</f>
        <v>0</v>
      </c>
      <c r="M135" s="69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input_4!A$2</f>
        <v>3084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IFERROR(VLOOKUP(D136,input_4!L:T,9,FALSE),VLOOKUP(tables_4!B136,input_4!A:H,8,FALSE))</f>
        <v>1149120</v>
      </c>
      <c r="M136" s="69">
        <f t="shared" si="8"/>
        <v>3.8956521739130436E-3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input_4!A$2</f>
        <v>3084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IFERROR(VLOOKUP(D137,input_4!L:T,9,FALSE),VLOOKUP(tables_4!B137,input_4!A:H,8,FALSE))</f>
        <v>69255</v>
      </c>
      <c r="M137" s="69">
        <f t="shared" si="8"/>
        <v>2.3478260869565218E-4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input_4!A$2</f>
        <v>3084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IFERROR(VLOOKUP(D138,input_4!L:T,9,FALSE),VLOOKUP(tables_4!B138,input_4!A:H,8,FALSE))</f>
        <v>419175</v>
      </c>
      <c r="M138" s="69">
        <f t="shared" si="8"/>
        <v>1.4210526315789475E-3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input_4!A$2</f>
        <v>3084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IFERROR(VLOOKUP(D139,input_4!L:T,9,FALSE),VLOOKUP(tables_4!B139,input_4!A:H,8,FALSE))</f>
        <v>46575</v>
      </c>
      <c r="M139" s="69">
        <f t="shared" si="8"/>
        <v>1.5789473684210527E-4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input_4!A$2</f>
        <v>3084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IFERROR(VLOOKUP(D140,input_4!L:T,9,FALSE),VLOOKUP(tables_4!B140,input_4!A:H,8,FALSE))</f>
        <v>419175</v>
      </c>
      <c r="M140" s="69">
        <f t="shared" si="8"/>
        <v>1.4210526315789475E-3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input_4!A$2</f>
        <v>3084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IFERROR(VLOOKUP(D141,input_4!L:T,9,FALSE),VLOOKUP(tables_4!B141,input_4!A:H,8,FALSE))</f>
        <v>46575</v>
      </c>
      <c r="M141" s="69">
        <f t="shared" si="8"/>
        <v>1.5789473684210527E-4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input_4!A$2</f>
        <v>3084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IFERROR(VLOOKUP(D142,input_4!L:T,9,FALSE),VLOOKUP(tables_4!B142,input_4!A:H,8,FALSE))</f>
        <v>1592865</v>
      </c>
      <c r="M142" s="69">
        <f t="shared" si="8"/>
        <v>5.4000000000000003E-3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input_4!A$2</f>
        <v>3084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IFERROR(VLOOKUP(D143,input_4!L:T,9,FALSE),VLOOKUP(tables_4!B143,input_4!A:H,8,FALSE))</f>
        <v>176985</v>
      </c>
      <c r="M143" s="69">
        <f t="shared" si="8"/>
        <v>5.9999999999999995E-4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input_4!A$2</f>
        <v>3084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IFERROR(VLOOKUP(D144,input_4!L:T,9,FALSE),VLOOKUP(tables_4!B144,input_4!A:H,8,FALSE))</f>
        <v>419175</v>
      </c>
      <c r="M144" s="69">
        <f t="shared" si="8"/>
        <v>1.4210526315789475E-3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input_4!A$2</f>
        <v>3084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IFERROR(VLOOKUP(D145,input_4!L:T,9,FALSE),VLOOKUP(tables_4!B145,input_4!A:H,8,FALSE))</f>
        <v>46575</v>
      </c>
      <c r="M145" s="69">
        <f t="shared" si="8"/>
        <v>1.5789473684210527E-4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input_4!A$2</f>
        <v>3084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IFERROR(VLOOKUP(D146,input_4!L:T,9,FALSE),VLOOKUP(tables_4!B146,input_4!A:H,8,FALSE))</f>
        <v>0</v>
      </c>
      <c r="M146" s="69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input_4!A$2</f>
        <v>3084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IFERROR(VLOOKUP(D147,input_4!L:T,9,FALSE),VLOOKUP(tables_4!B147,input_4!A:H,8,FALSE))</f>
        <v>1149120</v>
      </c>
      <c r="M147" s="69">
        <f t="shared" si="8"/>
        <v>3.8956521739130436E-3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input_4!A$2</f>
        <v>3084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IFERROR(VLOOKUP(D148,input_4!L:T,9,FALSE),VLOOKUP(tables_4!B148,input_4!A:H,8,FALSE))</f>
        <v>69255</v>
      </c>
      <c r="M148" s="69">
        <f t="shared" si="8"/>
        <v>2.3478260869565218E-4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input_4!A$2</f>
        <v>3084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IFERROR(VLOOKUP(D149,input_4!L:T,9,FALSE),VLOOKUP(tables_4!B149,input_4!A:H,8,FALSE))</f>
        <v>419175</v>
      </c>
      <c r="M149" s="69">
        <f t="shared" si="8"/>
        <v>1.4210526315789475E-3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input_4!A$2</f>
        <v>3084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IFERROR(VLOOKUP(D150,input_4!L:T,9,FALSE),VLOOKUP(tables_4!B150,input_4!A:H,8,FALSE))</f>
        <v>46575</v>
      </c>
      <c r="M150" s="69">
        <f t="shared" si="8"/>
        <v>1.5789473684210527E-4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input_4!A$2</f>
        <v>3084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IFERROR(VLOOKUP(D151,input_4!L:T,9,FALSE),VLOOKUP(tables_4!B151,input_4!A:H,8,FALSE))</f>
        <v>1592865</v>
      </c>
      <c r="M151" s="69">
        <f t="shared" si="8"/>
        <v>5.4000000000000003E-3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input_4!A$2</f>
        <v>3084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IFERROR(VLOOKUP(D152,input_4!L:T,9,FALSE),VLOOKUP(tables_4!B152,input_4!A:H,8,FALSE))</f>
        <v>176985</v>
      </c>
      <c r="M152" s="69">
        <f t="shared" si="8"/>
        <v>5.9999999999999995E-4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input_4!A$2</f>
        <v>3084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IFERROR(VLOOKUP(D153,input_4!L:T,9,FALSE),VLOOKUP(tables_4!B153,input_4!A:H,8,FALSE))</f>
        <v>0</v>
      </c>
      <c r="M153" s="69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input_4!A$2</f>
        <v>3084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IFERROR(VLOOKUP(D154,input_4!L:T,9,FALSE),VLOOKUP(tables_4!B154,input_4!A:H,8,FALSE))</f>
        <v>1149120</v>
      </c>
      <c r="M154" s="69">
        <f t="shared" si="8"/>
        <v>3.8956521739130436E-3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input_4!A$2</f>
        <v>3084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IFERROR(VLOOKUP(D155,input_4!L:T,9,FALSE),VLOOKUP(tables_4!B155,input_4!A:H,8,FALSE))</f>
        <v>69255</v>
      </c>
      <c r="M155" s="69">
        <f t="shared" si="8"/>
        <v>2.3478260869565218E-4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input_4!A$2</f>
        <v>3084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IFERROR(VLOOKUP(D156,input_4!L:T,9,FALSE),VLOOKUP(tables_4!B156,input_4!A:H,8,FALSE))</f>
        <v>419175</v>
      </c>
      <c r="M156" s="69">
        <f t="shared" si="8"/>
        <v>1.4210526315789475E-3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input_4!A$2</f>
        <v>3084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IFERROR(VLOOKUP(D157,input_4!L:T,9,FALSE),VLOOKUP(tables_4!B157,input_4!A:H,8,FALSE))</f>
        <v>46575</v>
      </c>
      <c r="M157" s="69">
        <f t="shared" si="8"/>
        <v>1.5789473684210527E-4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input_4!A$2</f>
        <v>3084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IFERROR(VLOOKUP(D158,input_4!L:T,9,FALSE),VLOOKUP(tables_4!B158,input_4!A:H,8,FALSE))</f>
        <v>0</v>
      </c>
      <c r="M158" s="69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input_4!A$2</f>
        <v>3084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IFERROR(VLOOKUP(D159,input_4!L:T,9,FALSE),VLOOKUP(tables_4!B159,input_4!A:H,8,FALSE))</f>
        <v>1149120</v>
      </c>
      <c r="M159" s="69">
        <f t="shared" si="8"/>
        <v>3.8956521739130436E-3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input_4!A$2</f>
        <v>3084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IFERROR(VLOOKUP(D160,input_4!L:T,9,FALSE),VLOOKUP(tables_4!B160,input_4!A:H,8,FALSE))</f>
        <v>69255</v>
      </c>
      <c r="M160" s="69">
        <f t="shared" si="8"/>
        <v>2.3478260869565218E-4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input_4!A$2</f>
        <v>3084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IFERROR(VLOOKUP(D161,input_4!L:T,9,FALSE),VLOOKUP(tables_4!B161,input_4!A:H,8,FALSE))</f>
        <v>0</v>
      </c>
      <c r="M161" s="69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input_4!A$2</f>
        <v>3084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IFERROR(VLOOKUP(D162,input_4!L:T,9,FALSE),VLOOKUP(tables_4!B162,input_4!A:H,8,FALSE))</f>
        <v>6852160</v>
      </c>
      <c r="M162" s="69">
        <f t="shared" si="8"/>
        <v>2.3229629629629631E-2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input_4!A$2</f>
        <v>3084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IFERROR(VLOOKUP(D163,input_4!L:T,9,FALSE),VLOOKUP(tables_4!B163,input_4!A:H,8,FALSE))</f>
        <v>412965</v>
      </c>
      <c r="M163" s="69">
        <f t="shared" si="8"/>
        <v>1.4E-3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input_4!A$2</f>
        <v>3084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IFERROR(VLOOKUP(D164,input_4!L:T,9,FALSE),VLOOKUP(tables_4!B164,input_4!A:H,8,FALSE))</f>
        <v>419175</v>
      </c>
      <c r="M164" s="69">
        <f t="shared" si="8"/>
        <v>1.4210526315789475E-3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input_4!A$2</f>
        <v>3084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IFERROR(VLOOKUP(D165,input_4!L:T,9,FALSE),VLOOKUP(tables_4!B165,input_4!A:H,8,FALSE))</f>
        <v>46575</v>
      </c>
      <c r="M165" s="69">
        <f t="shared" si="8"/>
        <v>1.5789473684210527E-4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input_4!A$2</f>
        <v>3084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IFERROR(VLOOKUP(D166,input_4!L:T,9,FALSE),VLOOKUP(tables_4!B166,input_4!A:H,8,FALSE))</f>
        <v>0</v>
      </c>
      <c r="M166" s="69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input_4!A$2</f>
        <v>3084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IFERROR(VLOOKUP(D167,input_4!L:T,9,FALSE),VLOOKUP(tables_4!B167,input_4!A:H,8,FALSE))</f>
        <v>1149120</v>
      </c>
      <c r="M167" s="69">
        <f t="shared" si="8"/>
        <v>3.8956521739130436E-3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input_4!A$2</f>
        <v>3084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IFERROR(VLOOKUP(D168,input_4!L:T,9,FALSE),VLOOKUP(tables_4!B168,input_4!A:H,8,FALSE))</f>
        <v>69255</v>
      </c>
      <c r="M168" s="69">
        <f t="shared" si="8"/>
        <v>2.3478260869565218E-4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input_4!A$2</f>
        <v>3084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IFERROR(VLOOKUP(D169,input_4!L:T,9,FALSE),VLOOKUP(tables_4!B169,input_4!A:H,8,FALSE))</f>
        <v>419175</v>
      </c>
      <c r="M169" s="69">
        <f t="shared" si="8"/>
        <v>1.4210526315789475E-3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input_4!A$2</f>
        <v>3084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IFERROR(VLOOKUP(D170,input_4!L:T,9,FALSE),VLOOKUP(tables_4!B170,input_4!A:H,8,FALSE))</f>
        <v>46575</v>
      </c>
      <c r="M170" s="69">
        <f t="shared" si="8"/>
        <v>1.5789473684210527E-4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input_4!A$2</f>
        <v>3084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IFERROR(VLOOKUP(D171,input_4!L:T,9,FALSE),VLOOKUP(tables_4!B171,input_4!A:H,8,FALSE))</f>
        <v>0</v>
      </c>
      <c r="M171" s="69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input_4!A$2</f>
        <v>3084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IFERROR(VLOOKUP(D172,input_4!L:T,9,FALSE),VLOOKUP(tables_4!B172,input_4!A:H,8,FALSE))</f>
        <v>6852160</v>
      </c>
      <c r="M172" s="69">
        <f t="shared" si="8"/>
        <v>2.3229629629629631E-2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input_4!A$2</f>
        <v>3084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IFERROR(VLOOKUP(D173,input_4!L:T,9,FALSE),VLOOKUP(tables_4!B173,input_4!A:H,8,FALSE))</f>
        <v>412965</v>
      </c>
      <c r="M173" s="69">
        <f t="shared" si="8"/>
        <v>1.4E-3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input_4!A$2</f>
        <v>3084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IFERROR(VLOOKUP(D174,input_4!L:T,9,FALSE),VLOOKUP(tables_4!B174,input_4!A:H,8,FALSE))</f>
        <v>419175</v>
      </c>
      <c r="M174" s="69">
        <f t="shared" si="8"/>
        <v>1.4210526315789475E-3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input_4!A$2</f>
        <v>3084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IFERROR(VLOOKUP(D175,input_4!L:T,9,FALSE),VLOOKUP(tables_4!B175,input_4!A:H,8,FALSE))</f>
        <v>46575</v>
      </c>
      <c r="M175" s="69">
        <f t="shared" si="8"/>
        <v>1.5789473684210527E-4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input_4!A$2</f>
        <v>3084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IFERROR(VLOOKUP(D176,input_4!L:T,9,FALSE),VLOOKUP(tables_4!B176,input_4!A:H,8,FALSE))</f>
        <v>419175</v>
      </c>
      <c r="M176" s="69">
        <f t="shared" si="8"/>
        <v>1.4210526315789475E-3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input_4!A$2</f>
        <v>3084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IFERROR(VLOOKUP(D177,input_4!L:T,9,FALSE),VLOOKUP(tables_4!B177,input_4!A:H,8,FALSE))</f>
        <v>46575</v>
      </c>
      <c r="M177" s="69">
        <f t="shared" si="8"/>
        <v>1.5789473684210527E-4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input_4!A$2</f>
        <v>3084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IFERROR(VLOOKUP(D178,input_4!L:T,9,FALSE),VLOOKUP(tables_4!B178,input_4!A:H,8,FALSE))</f>
        <v>0</v>
      </c>
      <c r="M178" s="69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input_4!A$2</f>
        <v>3084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IFERROR(VLOOKUP(D179,input_4!L:T,9,FALSE),VLOOKUP(tables_4!B179,input_4!A:H,8,FALSE))</f>
        <v>1149120</v>
      </c>
      <c r="M179" s="69">
        <f t="shared" si="8"/>
        <v>3.8956521739130436E-3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input_4!A$2</f>
        <v>3084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IFERROR(VLOOKUP(D180,input_4!L:T,9,FALSE),VLOOKUP(tables_4!B180,input_4!A:H,8,FALSE))</f>
        <v>69255</v>
      </c>
      <c r="M180" s="69">
        <f t="shared" si="8"/>
        <v>2.3478260869565218E-4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input_4!A$2</f>
        <v>3084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IFERROR(VLOOKUP(D181,input_4!L:T,9,FALSE),VLOOKUP(tables_4!B181,input_4!A:H,8,FALSE))</f>
        <v>0</v>
      </c>
      <c r="M181" s="69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input_4!A$2</f>
        <v>3084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IFERROR(VLOOKUP(D182,input_4!L:T,9,FALSE),VLOOKUP(tables_4!B182,input_4!A:H,8,FALSE))</f>
        <v>6852160</v>
      </c>
      <c r="M182" s="69">
        <f t="shared" si="8"/>
        <v>2.3229629629629631E-2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input_4!A$2</f>
        <v>3084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IFERROR(VLOOKUP(D183,input_4!L:T,9,FALSE),VLOOKUP(tables_4!B183,input_4!A:H,8,FALSE))</f>
        <v>412965</v>
      </c>
      <c r="M183" s="69">
        <f t="shared" si="8"/>
        <v>1.4E-3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input_4!A$2</f>
        <v>3084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IFERROR(VLOOKUP(D184,input_4!L:T,9,FALSE),VLOOKUP(tables_4!B184,input_4!A:H,8,FALSE))</f>
        <v>419175</v>
      </c>
      <c r="M184" s="69">
        <f t="shared" si="8"/>
        <v>1.4210526315789475E-3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input_4!A$2</f>
        <v>3084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IFERROR(VLOOKUP(D185,input_4!L:T,9,FALSE),VLOOKUP(tables_4!B185,input_4!A:H,8,FALSE))</f>
        <v>46575</v>
      </c>
      <c r="M185" s="69">
        <f t="shared" si="8"/>
        <v>1.5789473684210527E-4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input_4!A$2</f>
        <v>3084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IFERROR(VLOOKUP(D186,input_4!L:T,9,FALSE),VLOOKUP(tables_4!B186,input_4!A:H,8,FALSE))</f>
        <v>0</v>
      </c>
      <c r="M186" s="69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input_4!A$2</f>
        <v>3084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IFERROR(VLOOKUP(D187,input_4!L:T,9,FALSE),VLOOKUP(tables_4!B187,input_4!A:H,8,FALSE))</f>
        <v>1149120</v>
      </c>
      <c r="M187" s="69">
        <f t="shared" si="8"/>
        <v>3.8956521739130436E-3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input_4!A$2</f>
        <v>3084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IFERROR(VLOOKUP(D188,input_4!L:T,9,FALSE),VLOOKUP(tables_4!B188,input_4!A:H,8,FALSE))</f>
        <v>69255</v>
      </c>
      <c r="M188" s="69">
        <f t="shared" si="8"/>
        <v>2.3478260869565218E-4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input_4!A$2</f>
        <v>3084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IFERROR(VLOOKUP(D189,input_4!L:T,9,FALSE),VLOOKUP(tables_4!B189,input_4!A:H,8,FALSE))</f>
        <v>419175</v>
      </c>
      <c r="M189" s="69">
        <f t="shared" si="8"/>
        <v>1.4210526315789475E-3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input_4!A$2</f>
        <v>3084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IFERROR(VLOOKUP(D190,input_4!L:T,9,FALSE),VLOOKUP(tables_4!B190,input_4!A:H,8,FALSE))</f>
        <v>46575</v>
      </c>
      <c r="M190" s="69">
        <f t="shared" si="8"/>
        <v>1.5789473684210527E-4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input_4!A$2</f>
        <v>3084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IFERROR(VLOOKUP(D191,input_4!L:T,9,FALSE),VLOOKUP(tables_4!B191,input_4!A:H,8,FALSE))</f>
        <v>1592865</v>
      </c>
      <c r="M191" s="69">
        <f t="shared" si="8"/>
        <v>5.4000000000000003E-3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input_4!A$2</f>
        <v>3084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IFERROR(VLOOKUP(D192,input_4!L:T,9,FALSE),VLOOKUP(tables_4!B192,input_4!A:H,8,FALSE))</f>
        <v>176985</v>
      </c>
      <c r="M192" s="69">
        <f t="shared" si="8"/>
        <v>5.9999999999999995E-4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input_4!A$2</f>
        <v>3084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IFERROR(VLOOKUP(D193,input_4!L:T,9,FALSE),VLOOKUP(tables_4!B193,input_4!A:H,8,FALSE))</f>
        <v>0</v>
      </c>
      <c r="M193" s="69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input_4!A$2</f>
        <v>3084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IFERROR(VLOOKUP(D194,input_4!L:T,9,FALSE),VLOOKUP(tables_4!B194,input_4!A:H,8,FALSE))</f>
        <v>1149120</v>
      </c>
      <c r="M194" s="69">
        <f t="shared" si="8"/>
        <v>3.8956521739130436E-3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input_4!A$2</f>
        <v>3084</v>
      </c>
      <c r="B195" s="7" t="str">
        <f t="shared" ref="B195:B246" si="9">F195&amp;G195&amp;C195</f>
        <v>PremiumS5other</v>
      </c>
      <c r="C195" s="7" t="str">
        <f t="shared" ref="C195:C246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IFERROR(VLOOKUP(D195,input_4!L:T,9,FALSE),VLOOKUP(tables_4!B195,input_4!A:H,8,FALSE))</f>
        <v>69255</v>
      </c>
      <c r="M195" s="69">
        <f t="shared" ref="M195:M246" si="11">L195/SUM(L:L)</f>
        <v>2.3478260869565218E-4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input_4!A$2</f>
        <v>3084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IFERROR(VLOOKUP(D196,input_4!L:T,9,FALSE),VLOOKUP(tables_4!B196,input_4!A:H,8,FALSE))</f>
        <v>419175</v>
      </c>
      <c r="M196" s="69">
        <f t="shared" si="11"/>
        <v>1.4210526315789475E-3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input_4!A$2</f>
        <v>3084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IFERROR(VLOOKUP(D197,input_4!L:T,9,FALSE),VLOOKUP(tables_4!B197,input_4!A:H,8,FALSE))</f>
        <v>46575</v>
      </c>
      <c r="M197" s="69">
        <f t="shared" si="11"/>
        <v>1.5789473684210527E-4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input_4!A$2</f>
        <v>3084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IFERROR(VLOOKUP(D198,input_4!L:T,9,FALSE),VLOOKUP(tables_4!B198,input_4!A:H,8,FALSE))</f>
        <v>0</v>
      </c>
      <c r="M198" s="69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input_4!A$2</f>
        <v>3084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IFERROR(VLOOKUP(D199,input_4!L:T,9,FALSE),VLOOKUP(tables_4!B199,input_4!A:H,8,FALSE))</f>
        <v>1149120</v>
      </c>
      <c r="M199" s="69">
        <f t="shared" si="11"/>
        <v>3.8956521739130436E-3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input_4!A$2</f>
        <v>3084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IFERROR(VLOOKUP(D200,input_4!L:T,9,FALSE),VLOOKUP(tables_4!B200,input_4!A:H,8,FALSE))</f>
        <v>69255</v>
      </c>
      <c r="M200" s="69">
        <f t="shared" si="11"/>
        <v>2.3478260869565218E-4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input_4!A$2</f>
        <v>3084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IFERROR(VLOOKUP(D201,input_4!L:T,9,FALSE),VLOOKUP(tables_4!B201,input_4!A:H,8,FALSE))</f>
        <v>1592865</v>
      </c>
      <c r="M201" s="69">
        <f t="shared" si="11"/>
        <v>5.4000000000000003E-3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input_4!A$2</f>
        <v>3084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IFERROR(VLOOKUP(D202,input_4!L:T,9,FALSE),VLOOKUP(tables_4!B202,input_4!A:H,8,FALSE))</f>
        <v>176985</v>
      </c>
      <c r="M202" s="69">
        <f t="shared" si="11"/>
        <v>5.9999999999999995E-4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input_4!A$2</f>
        <v>3084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IFERROR(VLOOKUP(D203,input_4!L:T,9,FALSE),VLOOKUP(tables_4!B203,input_4!A:H,8,FALSE))</f>
        <v>0</v>
      </c>
      <c r="M203" s="69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input_4!A$2</f>
        <v>3084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IFERROR(VLOOKUP(D204,input_4!L:T,9,FALSE),VLOOKUP(tables_4!B204,input_4!A:H,8,FALSE))</f>
        <v>1149120</v>
      </c>
      <c r="M204" s="69">
        <f t="shared" si="11"/>
        <v>3.8956521739130436E-3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input_4!A$2</f>
        <v>3084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IFERROR(VLOOKUP(D205,input_4!L:T,9,FALSE),VLOOKUP(tables_4!B205,input_4!A:H,8,FALSE))</f>
        <v>69255</v>
      </c>
      <c r="M205" s="69">
        <f t="shared" si="11"/>
        <v>2.3478260869565218E-4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input_4!A$2</f>
        <v>3084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IFERROR(VLOOKUP(D206,input_4!L:T,9,FALSE),VLOOKUP(tables_4!B206,input_4!A:H,8,FALSE))</f>
        <v>419175</v>
      </c>
      <c r="M206" s="69">
        <f t="shared" si="11"/>
        <v>1.4210526315789475E-3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input_4!A$2</f>
        <v>3084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IFERROR(VLOOKUP(D207,input_4!L:T,9,FALSE),VLOOKUP(tables_4!B207,input_4!A:H,8,FALSE))</f>
        <v>46575</v>
      </c>
      <c r="M207" s="69">
        <f t="shared" si="11"/>
        <v>1.5789473684210527E-4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input_4!A$2</f>
        <v>3084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IFERROR(VLOOKUP(D208,input_4!L:T,9,FALSE),VLOOKUP(tables_4!B208,input_4!A:H,8,FALSE))</f>
        <v>419175</v>
      </c>
      <c r="M208" s="69">
        <f t="shared" si="11"/>
        <v>1.4210526315789475E-3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input_4!A$2</f>
        <v>3084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IFERROR(VLOOKUP(D209,input_4!L:T,9,FALSE),VLOOKUP(tables_4!B209,input_4!A:H,8,FALSE))</f>
        <v>46575</v>
      </c>
      <c r="M209" s="69">
        <f t="shared" si="11"/>
        <v>1.5789473684210527E-4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input_4!A$2</f>
        <v>3084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IFERROR(VLOOKUP(D210,input_4!L:T,9,FALSE),VLOOKUP(tables_4!B210,input_4!A:H,8,FALSE))</f>
        <v>0</v>
      </c>
      <c r="M210" s="69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input_4!A$2</f>
        <v>3084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IFERROR(VLOOKUP(D211,input_4!L:T,9,FALSE),VLOOKUP(tables_4!B211,input_4!A:H,8,FALSE))</f>
        <v>6852160</v>
      </c>
      <c r="M211" s="69">
        <f t="shared" si="11"/>
        <v>2.3229629629629631E-2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input_4!A$2</f>
        <v>3084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IFERROR(VLOOKUP(D212,input_4!L:T,9,FALSE),VLOOKUP(tables_4!B212,input_4!A:H,8,FALSE))</f>
        <v>412965</v>
      </c>
      <c r="M212" s="69">
        <f t="shared" si="11"/>
        <v>1.4E-3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input_4!A$2</f>
        <v>3084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IFERROR(VLOOKUP(D213,input_4!L:T,9,FALSE),VLOOKUP(tables_4!B213,input_4!A:H,8,FALSE))</f>
        <v>419175</v>
      </c>
      <c r="M213" s="69">
        <f t="shared" si="11"/>
        <v>1.4210526315789475E-3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input_4!A$2</f>
        <v>3084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IFERROR(VLOOKUP(D214,input_4!L:T,9,FALSE),VLOOKUP(tables_4!B214,input_4!A:H,8,FALSE))</f>
        <v>46575</v>
      </c>
      <c r="M214" s="69">
        <f t="shared" si="11"/>
        <v>1.5789473684210527E-4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input_4!A$2</f>
        <v>3084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IFERROR(VLOOKUP(D215,input_4!L:T,9,FALSE),VLOOKUP(tables_4!B215,input_4!A:H,8,FALSE))</f>
        <v>419175</v>
      </c>
      <c r="M215" s="69">
        <f t="shared" si="11"/>
        <v>1.4210526315789475E-3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input_4!A$2</f>
        <v>3084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IFERROR(VLOOKUP(D216,input_4!L:T,9,FALSE),VLOOKUP(tables_4!B216,input_4!A:H,8,FALSE))</f>
        <v>46575</v>
      </c>
      <c r="M216" s="69">
        <f t="shared" si="11"/>
        <v>1.5789473684210527E-4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input_4!A$2</f>
        <v>3084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IFERROR(VLOOKUP(D217,input_4!L:T,9,FALSE),VLOOKUP(tables_4!B217,input_4!A:H,8,FALSE))</f>
        <v>0</v>
      </c>
      <c r="M217" s="69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input_4!A$2</f>
        <v>3084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IFERROR(VLOOKUP(D218,input_4!L:T,9,FALSE),VLOOKUP(tables_4!B218,input_4!A:H,8,FALSE))</f>
        <v>1149120</v>
      </c>
      <c r="M218" s="69">
        <f t="shared" si="11"/>
        <v>3.8956521739130436E-3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input_4!A$2</f>
        <v>3084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IFERROR(VLOOKUP(D219,input_4!L:T,9,FALSE),VLOOKUP(tables_4!B219,input_4!A:H,8,FALSE))</f>
        <v>69255</v>
      </c>
      <c r="M219" s="69">
        <f t="shared" si="11"/>
        <v>2.3478260869565218E-4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input_4!A$2</f>
        <v>3084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IFERROR(VLOOKUP(D220,input_4!L:T,9,FALSE),VLOOKUP(tables_4!B220,input_4!A:H,8,FALSE))</f>
        <v>0</v>
      </c>
      <c r="M220" s="69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input_4!A$2</f>
        <v>3084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IFERROR(VLOOKUP(D221,input_4!L:T,9,FALSE),VLOOKUP(tables_4!B221,input_4!A:H,8,FALSE))</f>
        <v>6852160</v>
      </c>
      <c r="M221" s="69">
        <f t="shared" si="11"/>
        <v>2.3229629629629631E-2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input_4!A$2</f>
        <v>3084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IFERROR(VLOOKUP(D222,input_4!L:T,9,FALSE),VLOOKUP(tables_4!B222,input_4!A:H,8,FALSE))</f>
        <v>412965</v>
      </c>
      <c r="M222" s="69">
        <f t="shared" si="11"/>
        <v>1.4E-3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input_4!A$2</f>
        <v>3084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IFERROR(VLOOKUP(D223,input_4!L:T,9,FALSE),VLOOKUP(tables_4!B223,input_4!A:H,8,FALSE))</f>
        <v>419175</v>
      </c>
      <c r="M223" s="69">
        <f t="shared" si="11"/>
        <v>1.4210526315789475E-3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input_4!A$2</f>
        <v>3084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IFERROR(VLOOKUP(D224,input_4!L:T,9,FALSE),VLOOKUP(tables_4!B224,input_4!A:H,8,FALSE))</f>
        <v>46575</v>
      </c>
      <c r="M224" s="69">
        <f t="shared" si="11"/>
        <v>1.5789473684210527E-4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input_4!A$2</f>
        <v>3084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IFERROR(VLOOKUP(D225,input_4!L:T,9,FALSE),VLOOKUP(tables_4!B225,input_4!A:H,8,FALSE))</f>
        <v>0</v>
      </c>
      <c r="M225" s="69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input_4!A$2</f>
        <v>3084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IFERROR(VLOOKUP(D226,input_4!L:T,9,FALSE),VLOOKUP(tables_4!B226,input_4!A:H,8,FALSE))</f>
        <v>1149120</v>
      </c>
      <c r="M226" s="69">
        <f t="shared" si="11"/>
        <v>3.8956521739130436E-3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input_4!A$2</f>
        <v>3084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IFERROR(VLOOKUP(D227,input_4!L:T,9,FALSE),VLOOKUP(tables_4!B227,input_4!A:H,8,FALSE))</f>
        <v>69255</v>
      </c>
      <c r="M227" s="69">
        <f t="shared" si="11"/>
        <v>2.3478260869565218E-4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input_4!A$2</f>
        <v>3084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IFERROR(VLOOKUP(D228,input_4!L:T,9,FALSE),VLOOKUP(tables_4!B228,input_4!A:H,8,FALSE))</f>
        <v>0</v>
      </c>
      <c r="M228" s="69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input_4!A$2</f>
        <v>3084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IFERROR(VLOOKUP(D229,input_4!L:T,9,FALSE),VLOOKUP(tables_4!B229,input_4!A:H,8,FALSE))</f>
        <v>1149120</v>
      </c>
      <c r="M229" s="69">
        <f t="shared" si="11"/>
        <v>3.8956521739130436E-3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input_4!A$2</f>
        <v>3084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IFERROR(VLOOKUP(D230,input_4!L:T,9,FALSE),VLOOKUP(tables_4!B230,input_4!A:H,8,FALSE))</f>
        <v>69255</v>
      </c>
      <c r="M230" s="69">
        <f t="shared" si="11"/>
        <v>2.3478260869565218E-4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input_4!A$2</f>
        <v>3084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IFERROR(VLOOKUP(D231,input_4!L:T,9,FALSE),VLOOKUP(tables_4!B231,input_4!A:H,8,FALSE))</f>
        <v>1592865</v>
      </c>
      <c r="M231" s="69">
        <f t="shared" si="11"/>
        <v>5.4000000000000003E-3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input_4!A$2</f>
        <v>3084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IFERROR(VLOOKUP(D232,input_4!L:T,9,FALSE),VLOOKUP(tables_4!B232,input_4!A:H,8,FALSE))</f>
        <v>176985</v>
      </c>
      <c r="M232" s="69">
        <f t="shared" si="11"/>
        <v>5.9999999999999995E-4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input_4!A$2</f>
        <v>3084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IFERROR(VLOOKUP(D233,input_4!L:T,9,FALSE),VLOOKUP(tables_4!B233,input_4!A:H,8,FALSE))</f>
        <v>0</v>
      </c>
      <c r="M233" s="69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input_4!A$2</f>
        <v>3084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IFERROR(VLOOKUP(D234,input_4!L:T,9,FALSE),VLOOKUP(tables_4!B234,input_4!A:H,8,FALSE))</f>
        <v>1149120</v>
      </c>
      <c r="M234" s="69">
        <f t="shared" si="11"/>
        <v>3.8956521739130436E-3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input_4!A$2</f>
        <v>3084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IFERROR(VLOOKUP(D235,input_4!L:T,9,FALSE),VLOOKUP(tables_4!B235,input_4!A:H,8,FALSE))</f>
        <v>69255</v>
      </c>
      <c r="M235" s="69">
        <f t="shared" si="11"/>
        <v>2.3478260869565218E-4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input_4!A$2</f>
        <v>3084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IFERROR(VLOOKUP(D236,input_4!L:T,9,FALSE),VLOOKUP(tables_4!B236,input_4!A:H,8,FALSE))</f>
        <v>419175</v>
      </c>
      <c r="M236" s="69">
        <f t="shared" si="11"/>
        <v>1.4210526315789475E-3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input_4!A$2</f>
        <v>3084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IFERROR(VLOOKUP(D237,input_4!L:T,9,FALSE),VLOOKUP(tables_4!B237,input_4!A:H,8,FALSE))</f>
        <v>46575</v>
      </c>
      <c r="M237" s="69">
        <f t="shared" si="11"/>
        <v>1.5789473684210527E-4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input_4!A$2</f>
        <v>3084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IFERROR(VLOOKUP(D238,input_4!L:T,9,FALSE),VLOOKUP(tables_4!B238,input_4!A:H,8,FALSE))</f>
        <v>419175</v>
      </c>
      <c r="M238" s="69">
        <f t="shared" si="11"/>
        <v>1.4210526315789475E-3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input_4!A$2</f>
        <v>3084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IFERROR(VLOOKUP(D239,input_4!L:T,9,FALSE),VLOOKUP(tables_4!B239,input_4!A:H,8,FALSE))</f>
        <v>46575</v>
      </c>
      <c r="M239" s="69">
        <f t="shared" si="11"/>
        <v>1.5789473684210527E-4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input_4!A$2</f>
        <v>3084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IFERROR(VLOOKUP(D240,input_4!L:T,9,FALSE),VLOOKUP(tables_4!B240,input_4!A:H,8,FALSE))</f>
        <v>0</v>
      </c>
      <c r="M240" s="69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input_4!A$2</f>
        <v>3084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IFERROR(VLOOKUP(D241,input_4!L:T,9,FALSE),VLOOKUP(tables_4!B241,input_4!A:H,8,FALSE))</f>
        <v>6852160</v>
      </c>
      <c r="M241" s="69">
        <f t="shared" si="11"/>
        <v>2.3229629629629631E-2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input_4!A$2</f>
        <v>3084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IFERROR(VLOOKUP(D242,input_4!L:T,9,FALSE),VLOOKUP(tables_4!B242,input_4!A:H,8,FALSE))</f>
        <v>412965</v>
      </c>
      <c r="M242" s="69">
        <f t="shared" si="11"/>
        <v>1.4E-3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input_4!A$2</f>
        <v>3084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IFERROR(VLOOKUP(D243,input_4!L:T,9,FALSE),VLOOKUP(tables_4!B243,input_4!A:H,8,FALSE))</f>
        <v>0</v>
      </c>
      <c r="M243" s="69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input_4!A$2</f>
        <v>3084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IFERROR(VLOOKUP(D244,input_4!L:T,9,FALSE),VLOOKUP(tables_4!B244,input_4!A:H,8,FALSE))</f>
        <v>1149120</v>
      </c>
      <c r="M244" s="69">
        <f t="shared" si="11"/>
        <v>3.8956521739130436E-3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input_4!A$2</f>
        <v>3084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IFERROR(VLOOKUP(D245,input_4!L:T,9,FALSE),VLOOKUP(tables_4!B245,input_4!A:H,8,FALSE))</f>
        <v>69255</v>
      </c>
      <c r="M245" s="69">
        <f t="shared" si="11"/>
        <v>2.3478260869565218E-4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input_4!A$2</f>
        <v>3084</v>
      </c>
      <c r="B246" s="7" t="str">
        <f t="shared" si="9"/>
        <v>PremiumSSS5blue</v>
      </c>
      <c r="C246" s="7" t="str">
        <f t="shared" si="10"/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IFERROR(VLOOKUP(D246,input_4!L:T,9,FALSE),VLOOKUP(tables_4!B246,input_4!A:H,8,FALSE))</f>
        <v>2359800</v>
      </c>
      <c r="M246" s="69">
        <f t="shared" si="11"/>
        <v>8.0000000000000002E-3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U75"/>
  <sheetViews>
    <sheetView topLeftCell="A46" workbookViewId="0">
      <selection activeCell="A3" sqref="A3"/>
    </sheetView>
  </sheetViews>
  <sheetFormatPr baseColWidth="12" defaultRowHeight="14" x14ac:dyDescent="0"/>
  <sheetData>
    <row r="1" spans="1:20">
      <c r="A1" s="72" t="s">
        <v>106</v>
      </c>
      <c r="B1" s="92" t="s">
        <v>142</v>
      </c>
      <c r="L1" s="55" t="s">
        <v>80</v>
      </c>
      <c r="M1" s="55"/>
    </row>
    <row r="2" spans="1:20">
      <c r="A2">
        <v>3085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55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0.95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0.05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0.92799999999999994</v>
      </c>
    </row>
    <row r="14" spans="1:20">
      <c r="A14" s="47" t="s">
        <v>72</v>
      </c>
      <c r="B14" s="86">
        <v>0.06</v>
      </c>
    </row>
    <row r="15" spans="1:20">
      <c r="A15" s="47" t="s">
        <v>71</v>
      </c>
      <c r="B15" s="85">
        <v>1.2E-2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0.7</v>
      </c>
    </row>
    <row r="19" spans="1:21">
      <c r="A19" s="62" t="s">
        <v>64</v>
      </c>
      <c r="B19" s="52">
        <v>0.3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</v>
      </c>
      <c r="C24" s="71">
        <f>SUMIF(S:S,A24,N:N)</f>
        <v>0</v>
      </c>
      <c r="D24" s="61">
        <f>B24-C24</f>
        <v>0</v>
      </c>
      <c r="E24">
        <f>COUNTIF(tables_5!B:B,input_5!A24)-COUNTIF(S:S,A24)</f>
        <v>5</v>
      </c>
      <c r="F24" s="66">
        <f>IFERROR(D24/E24,0)</f>
        <v>0</v>
      </c>
      <c r="G24">
        <f>A$49*D24</f>
        <v>0</v>
      </c>
      <c r="H24">
        <f>IFERROR(ROUND(G24/E24,5),0)</f>
        <v>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0</v>
      </c>
      <c r="C25" s="71">
        <f t="shared" ref="C25:C45" si="0">SUMIF(S:S,A25,N:N)</f>
        <v>0</v>
      </c>
      <c r="D25" s="61">
        <f t="shared" ref="D25:D45" si="1">B25-C25</f>
        <v>0</v>
      </c>
      <c r="E25">
        <f>COUNTIF(tables_5!B:B,input_5!A25)-COUNTIF(S:S,A25)</f>
        <v>15</v>
      </c>
      <c r="F25" s="66">
        <f t="shared" ref="F25:F45" si="2">IFERROR(D25/E25,0)</f>
        <v>0</v>
      </c>
      <c r="G25">
        <f t="shared" ref="G25:G45" si="3">A$49*D25</f>
        <v>0</v>
      </c>
      <c r="H25">
        <f t="shared" ref="H25:H45" si="4">IFERROR(ROUND(G25/E25,5),0)</f>
        <v>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</v>
      </c>
      <c r="C26" s="71">
        <f t="shared" si="0"/>
        <v>0</v>
      </c>
      <c r="D26" s="61">
        <f t="shared" si="1"/>
        <v>0</v>
      </c>
      <c r="E26">
        <f>COUNTIF(tables_5!B:B,input_5!A26)-COUNTIF(S:S,A26)</f>
        <v>5</v>
      </c>
      <c r="F26" s="6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0</v>
      </c>
      <c r="C27" s="71">
        <f t="shared" si="0"/>
        <v>0</v>
      </c>
      <c r="D27" s="61">
        <f t="shared" si="1"/>
        <v>0</v>
      </c>
      <c r="E27">
        <f>COUNTIF(tables_5!B:B,input_5!A27)-COUNTIF(S:S,A27)</f>
        <v>15</v>
      </c>
      <c r="F27" s="66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</v>
      </c>
      <c r="C28" s="71">
        <f t="shared" si="0"/>
        <v>0</v>
      </c>
      <c r="D28" s="61">
        <f t="shared" si="1"/>
        <v>0</v>
      </c>
      <c r="E28">
        <f>COUNTIF(tables_5!B:B,input_5!A28)-COUNTIF(S:S,A28)</f>
        <v>9</v>
      </c>
      <c r="F28" s="66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0</v>
      </c>
      <c r="C29" s="71">
        <f t="shared" si="0"/>
        <v>0</v>
      </c>
      <c r="D29" s="61">
        <f t="shared" si="1"/>
        <v>0</v>
      </c>
      <c r="E29">
        <f>COUNTIF(tables_5!B:B,input_5!A29)-COUNTIF(S:S,A29)</f>
        <v>23</v>
      </c>
      <c r="F29" s="66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56">
        <f>(B6-B36-B37-B38)*B18/3</f>
        <v>0.20906666666666662</v>
      </c>
      <c r="C30" s="71">
        <f t="shared" si="0"/>
        <v>0</v>
      </c>
      <c r="D30" s="61">
        <f t="shared" si="1"/>
        <v>0.20906666666666662</v>
      </c>
      <c r="E30">
        <f>COUNTIF(tables_5!B:B,input_5!A30)-COUNTIF(S:S,A30)</f>
        <v>5</v>
      </c>
      <c r="F30" s="66">
        <f t="shared" si="2"/>
        <v>4.1813333333333327E-2</v>
      </c>
      <c r="G30">
        <f t="shared" si="3"/>
        <v>61669439.999999985</v>
      </c>
      <c r="H30">
        <f t="shared" si="4"/>
        <v>12333888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56">
        <f>B30*3/7</f>
        <v>8.9599999999999985E-2</v>
      </c>
      <c r="C31" s="71">
        <f t="shared" si="0"/>
        <v>0</v>
      </c>
      <c r="D31" s="61">
        <f t="shared" si="1"/>
        <v>8.9599999999999985E-2</v>
      </c>
      <c r="E31">
        <f>COUNTIF(tables_5!B:B,input_5!A31)-COUNTIF(S:S,A31)</f>
        <v>15</v>
      </c>
      <c r="F31" s="66">
        <f t="shared" si="2"/>
        <v>5.9733333333333322E-3</v>
      </c>
      <c r="G31">
        <f t="shared" si="3"/>
        <v>26429759.999999996</v>
      </c>
      <c r="H31">
        <f t="shared" si="4"/>
        <v>1761984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0.20906666666666662</v>
      </c>
      <c r="C32" s="71">
        <f t="shared" si="0"/>
        <v>0</v>
      </c>
      <c r="D32" s="61">
        <f t="shared" si="1"/>
        <v>0.20906666666666662</v>
      </c>
      <c r="E32">
        <f>COUNTIF(tables_5!B:B,input_5!A32)-COUNTIF(S:S,A32)</f>
        <v>5</v>
      </c>
      <c r="F32" s="66">
        <f t="shared" si="2"/>
        <v>4.1813333333333327E-2</v>
      </c>
      <c r="G32">
        <f t="shared" si="3"/>
        <v>61669439.999999985</v>
      </c>
      <c r="H32">
        <f t="shared" si="4"/>
        <v>12333888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8.9599999999999985E-2</v>
      </c>
      <c r="C33" s="71">
        <f t="shared" si="0"/>
        <v>0</v>
      </c>
      <c r="D33" s="61">
        <f t="shared" si="1"/>
        <v>8.9599999999999985E-2</v>
      </c>
      <c r="E33">
        <f>COUNTIF(tables_5!B:B,input_5!A33)-COUNTIF(S:S,A33)</f>
        <v>15</v>
      </c>
      <c r="F33" s="66">
        <f t="shared" si="2"/>
        <v>5.9733333333333322E-3</v>
      </c>
      <c r="G33">
        <f t="shared" si="3"/>
        <v>26429759.999999996</v>
      </c>
      <c r="H33">
        <f t="shared" si="4"/>
        <v>1761984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0.20906666666666662</v>
      </c>
      <c r="C34" s="71">
        <f t="shared" si="0"/>
        <v>0</v>
      </c>
      <c r="D34" s="61">
        <f t="shared" si="1"/>
        <v>0.20906666666666662</v>
      </c>
      <c r="E34">
        <f>COUNTIF(tables_5!B:B,input_5!A34)-COUNTIF(S:S,A34)</f>
        <v>9</v>
      </c>
      <c r="F34" s="66">
        <f t="shared" si="2"/>
        <v>2.3229629629629624E-2</v>
      </c>
      <c r="G34">
        <f t="shared" si="3"/>
        <v>61669439.999999985</v>
      </c>
      <c r="H34">
        <f t="shared" si="4"/>
        <v>6852160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8.9599999999999985E-2</v>
      </c>
      <c r="C35" s="71">
        <f t="shared" si="0"/>
        <v>0</v>
      </c>
      <c r="D35" s="61">
        <f t="shared" si="1"/>
        <v>8.9599999999999985E-2</v>
      </c>
      <c r="E35">
        <f>COUNTIF(tables_5!B:B,input_5!A35)-COUNTIF(S:S,A35)</f>
        <v>23</v>
      </c>
      <c r="F35" s="66">
        <f t="shared" si="2"/>
        <v>3.8956521739130427E-3</v>
      </c>
      <c r="G35">
        <f t="shared" si="3"/>
        <v>26429759.999999996</v>
      </c>
      <c r="H35">
        <f t="shared" si="4"/>
        <v>1149120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v>2.7E-2</v>
      </c>
      <c r="C36" s="71">
        <f t="shared" si="0"/>
        <v>0</v>
      </c>
      <c r="D36" s="61">
        <f t="shared" si="1"/>
        <v>2.7E-2</v>
      </c>
      <c r="E36">
        <f>COUNTIF(tables_5!B:B,input_5!A36)-COUNTIF(S:S,A36)</f>
        <v>5</v>
      </c>
      <c r="F36" s="66">
        <f t="shared" si="2"/>
        <v>5.4000000000000003E-3</v>
      </c>
      <c r="G36">
        <f t="shared" si="3"/>
        <v>7964325</v>
      </c>
      <c r="H36">
        <f t="shared" si="4"/>
        <v>1592865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2.7E-2</v>
      </c>
      <c r="C37" s="71">
        <f t="shared" si="0"/>
        <v>0</v>
      </c>
      <c r="D37" s="61">
        <f t="shared" si="1"/>
        <v>2.7E-2</v>
      </c>
      <c r="E37">
        <f>COUNTIF(tables_5!B:B,input_5!A37)-COUNTIF(S:S,A37)</f>
        <v>19</v>
      </c>
      <c r="F37" s="66">
        <f t="shared" si="2"/>
        <v>1.4210526315789472E-3</v>
      </c>
      <c r="G37">
        <f t="shared" si="3"/>
        <v>7964325</v>
      </c>
      <c r="H37">
        <f t="shared" si="4"/>
        <v>419175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COUNTIF(tables_5!B:B,input_5!A38)-COUNTIF(S:S,A38)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1.12E-2</v>
      </c>
      <c r="C39" s="71">
        <f t="shared" si="0"/>
        <v>0</v>
      </c>
      <c r="D39" s="61">
        <f t="shared" si="1"/>
        <v>1.12E-2</v>
      </c>
      <c r="E39">
        <f>COUNTIF(tables_5!B:B,input_5!A39)-COUNTIF(S:S,A39)</f>
        <v>5</v>
      </c>
      <c r="F39" s="66">
        <f t="shared" si="2"/>
        <v>2.2399999999999998E-3</v>
      </c>
      <c r="G39">
        <f t="shared" si="3"/>
        <v>3303720</v>
      </c>
      <c r="H39">
        <f t="shared" si="4"/>
        <v>660744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f>B39*3/7</f>
        <v>4.7999999999999996E-3</v>
      </c>
      <c r="C40" s="71">
        <f t="shared" si="0"/>
        <v>0</v>
      </c>
      <c r="D40" s="61">
        <f t="shared" si="1"/>
        <v>4.7999999999999996E-3</v>
      </c>
      <c r="E40">
        <f>COUNTIF(tables_5!B:B,input_5!A40)-COUNTIF(S:S,A40)</f>
        <v>15</v>
      </c>
      <c r="F40" s="66">
        <f t="shared" si="2"/>
        <v>3.1999999999999997E-4</v>
      </c>
      <c r="G40">
        <f t="shared" si="3"/>
        <v>1415879.9999999998</v>
      </c>
      <c r="H40">
        <f t="shared" si="4"/>
        <v>94392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1.12E-2</v>
      </c>
      <c r="C41" s="71">
        <f t="shared" si="0"/>
        <v>0</v>
      </c>
      <c r="D41" s="61">
        <f t="shared" si="1"/>
        <v>1.12E-2</v>
      </c>
      <c r="E41">
        <f>COUNTIF(tables_5!B:B,input_5!A41)-COUNTIF(S:S,A41)</f>
        <v>9</v>
      </c>
      <c r="F41" s="66">
        <f t="shared" si="2"/>
        <v>1.2444444444444445E-3</v>
      </c>
      <c r="G41">
        <f t="shared" si="3"/>
        <v>3303720</v>
      </c>
      <c r="H41">
        <f t="shared" si="4"/>
        <v>367080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4.7999999999999996E-3</v>
      </c>
      <c r="C42" s="71">
        <f t="shared" si="0"/>
        <v>0</v>
      </c>
      <c r="D42" s="61">
        <f t="shared" si="1"/>
        <v>4.7999999999999996E-3</v>
      </c>
      <c r="E42">
        <f>COUNTIF(tables_5!B:B,input_5!A42)-COUNTIF(S:S,A42)</f>
        <v>23</v>
      </c>
      <c r="F42" s="66">
        <f t="shared" si="2"/>
        <v>2.0869565217391303E-4</v>
      </c>
      <c r="G42">
        <f t="shared" si="3"/>
        <v>1415879.9999999998</v>
      </c>
      <c r="H42">
        <f t="shared" si="4"/>
        <v>61560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3.0000000000000001E-3</v>
      </c>
      <c r="C43" s="71">
        <f t="shared" si="0"/>
        <v>0</v>
      </c>
      <c r="D43" s="61">
        <f t="shared" si="1"/>
        <v>3.0000000000000001E-3</v>
      </c>
      <c r="E43">
        <f>COUNTIF(tables_5!B:B,input_5!A43)-COUNTIF(S:S,A43)</f>
        <v>5</v>
      </c>
      <c r="F43" s="66">
        <f t="shared" si="2"/>
        <v>6.0000000000000006E-4</v>
      </c>
      <c r="G43">
        <f t="shared" si="3"/>
        <v>884925</v>
      </c>
      <c r="H43">
        <f t="shared" si="4"/>
        <v>176985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3.0000000000000001E-3</v>
      </c>
      <c r="C44" s="71">
        <f t="shared" si="0"/>
        <v>0</v>
      </c>
      <c r="D44" s="61">
        <f t="shared" si="1"/>
        <v>3.0000000000000001E-3</v>
      </c>
      <c r="E44">
        <f>COUNTIF(tables_5!B:B,input_5!A44)-COUNTIF(S:S,A44)</f>
        <v>19</v>
      </c>
      <c r="F44" s="66">
        <f t="shared" si="2"/>
        <v>1.5789473684210527E-4</v>
      </c>
      <c r="G44">
        <f t="shared" si="3"/>
        <v>884925</v>
      </c>
      <c r="H44">
        <f t="shared" si="4"/>
        <v>46575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f>B15</f>
        <v>1.2E-2</v>
      </c>
      <c r="C45" s="71">
        <f t="shared" si="0"/>
        <v>0</v>
      </c>
      <c r="D45" s="61">
        <f t="shared" si="1"/>
        <v>1.2E-2</v>
      </c>
      <c r="E45">
        <f>COUNTIF(tables_5!B:B,input_5!A45)-COUNTIF(S:S,A45)</f>
        <v>1</v>
      </c>
      <c r="F45" s="66">
        <f t="shared" si="2"/>
        <v>1.2E-2</v>
      </c>
      <c r="G45">
        <f t="shared" si="3"/>
        <v>3539700</v>
      </c>
      <c r="H45">
        <f t="shared" si="4"/>
        <v>3539700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1</v>
      </c>
      <c r="C46" s="60">
        <f>SUM(C24:C45)</f>
        <v>0</v>
      </c>
      <c r="D46" s="65">
        <f>B46-C46</f>
        <v>1</v>
      </c>
    </row>
    <row r="48" spans="1:21">
      <c r="A48" t="s">
        <v>96</v>
      </c>
    </row>
    <row r="49" spans="1:6">
      <c r="A49" s="34">
        <f>3000*19*23*3*3*5*5</f>
        <v>294975000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SUMIF(tables_5!B:B,input_5!A53,tables_5!L:L)</f>
        <v>0</v>
      </c>
      <c r="C53">
        <f>B53/B$75</f>
        <v>0</v>
      </c>
      <c r="E53" s="47">
        <v>3</v>
      </c>
      <c r="F53" s="90">
        <f>SUM(C53:C58)</f>
        <v>0</v>
      </c>
    </row>
    <row r="54" spans="1:6">
      <c r="A54" s="47" t="s">
        <v>122</v>
      </c>
      <c r="B54" s="47">
        <f>SUMIF(tables_5!B:B,input_5!A54,tables_5!L:L)</f>
        <v>0</v>
      </c>
      <c r="C54">
        <f t="shared" ref="C54:C74" si="7">B54/B$75</f>
        <v>0</v>
      </c>
      <c r="E54" s="47">
        <v>4</v>
      </c>
      <c r="F54" s="90">
        <f>SUM(C59:C67)</f>
        <v>0.95000000000000007</v>
      </c>
    </row>
    <row r="55" spans="1:6">
      <c r="A55" s="47" t="str">
        <f>"PremiumN3"&amp;A$18</f>
        <v>PremiumN3blue</v>
      </c>
      <c r="B55" s="47">
        <f>SUMIF(tables_5!B:B,input_5!A55,tables_5!L:L)</f>
        <v>0</v>
      </c>
      <c r="C55">
        <f t="shared" si="7"/>
        <v>0</v>
      </c>
      <c r="E55" s="47">
        <v>5</v>
      </c>
      <c r="F55" s="90">
        <f>SUM(C68:C74)</f>
        <v>0.05</v>
      </c>
    </row>
    <row r="56" spans="1:6">
      <c r="A56" s="47" t="s">
        <v>123</v>
      </c>
      <c r="B56" s="47">
        <f>SUMIF(tables_5!B:B,input_5!A56,tables_5!L:L)</f>
        <v>0</v>
      </c>
      <c r="C56">
        <f t="shared" si="7"/>
        <v>0</v>
      </c>
    </row>
    <row r="57" spans="1:6">
      <c r="A57" s="47" t="str">
        <f>"PremiumS3"&amp;A$18</f>
        <v>PremiumS3blue</v>
      </c>
      <c r="B57" s="47">
        <f>SUMIF(tables_5!B:B,input_5!A57,tables_5!L:L)</f>
        <v>0</v>
      </c>
      <c r="C57">
        <f t="shared" si="7"/>
        <v>0</v>
      </c>
      <c r="E57" s="50" t="s">
        <v>70</v>
      </c>
      <c r="F57" s="50"/>
    </row>
    <row r="58" spans="1:6">
      <c r="A58" s="47" t="s">
        <v>133</v>
      </c>
      <c r="B58" s="47">
        <f>SUMIF(tables_5!B:B,input_5!A58,tables_5!L:L)</f>
        <v>0</v>
      </c>
      <c r="C58">
        <f t="shared" si="7"/>
        <v>0</v>
      </c>
      <c r="E58" s="47" t="s">
        <v>73</v>
      </c>
      <c r="F58" s="52">
        <f>1-F59-F60</f>
        <v>0.92799999999999994</v>
      </c>
    </row>
    <row r="59" spans="1:6">
      <c r="A59" s="47" t="str">
        <f>"PremiumW4"&amp;A$18</f>
        <v>PremiumW4blue</v>
      </c>
      <c r="B59" s="47">
        <f>SUMIF(tables_5!B:B,input_5!A59,tables_5!L:L)</f>
        <v>61669440</v>
      </c>
      <c r="C59">
        <f t="shared" si="7"/>
        <v>0.20906666666666668</v>
      </c>
      <c r="E59" s="47" t="s">
        <v>72</v>
      </c>
      <c r="F59" s="52">
        <f>C65+C66+C73+C72</f>
        <v>6.0000000000000005E-2</v>
      </c>
    </row>
    <row r="60" spans="1:6">
      <c r="A60" s="47" t="s">
        <v>124</v>
      </c>
      <c r="B60" s="47">
        <f>SUMIF(tables_5!B:B,input_5!A60,tables_5!L:L)</f>
        <v>26429760</v>
      </c>
      <c r="C60">
        <f t="shared" si="7"/>
        <v>8.9599999999999999E-2</v>
      </c>
      <c r="E60" s="47" t="s">
        <v>71</v>
      </c>
      <c r="F60" s="52">
        <f>C67+C74</f>
        <v>1.2E-2</v>
      </c>
    </row>
    <row r="61" spans="1:6">
      <c r="A61" s="47" t="str">
        <f>"PremiumN4"&amp;A$18</f>
        <v>PremiumN4blue</v>
      </c>
      <c r="B61" s="47">
        <f>SUMIF(tables_5!B:B,input_5!A61,tables_5!L:L)</f>
        <v>61669440</v>
      </c>
      <c r="C61">
        <f t="shared" si="7"/>
        <v>0.20906666666666668</v>
      </c>
    </row>
    <row r="62" spans="1:6">
      <c r="A62" s="47" t="s">
        <v>125</v>
      </c>
      <c r="B62" s="47">
        <f>SUMIF(tables_5!B:B,input_5!A62,tables_5!L:L)</f>
        <v>26429760</v>
      </c>
      <c r="C62">
        <f t="shared" si="7"/>
        <v>8.9599999999999999E-2</v>
      </c>
    </row>
    <row r="63" spans="1:6">
      <c r="A63" s="47" t="str">
        <f>"PremiumS4"&amp;A$18</f>
        <v>PremiumS4blue</v>
      </c>
      <c r="B63" s="47">
        <f>SUMIF(tables_5!B:B,input_5!A63,tables_5!L:L)</f>
        <v>61669440</v>
      </c>
      <c r="C63">
        <f t="shared" si="7"/>
        <v>0.20906666666666668</v>
      </c>
    </row>
    <row r="64" spans="1:6">
      <c r="A64" s="47" t="s">
        <v>136</v>
      </c>
      <c r="B64" s="47">
        <f>SUMIF(tables_5!B:B,input_5!A64,tables_5!L:L)</f>
        <v>26429760</v>
      </c>
      <c r="C64">
        <f t="shared" si="7"/>
        <v>8.9599999999999999E-2</v>
      </c>
    </row>
    <row r="65" spans="1:3">
      <c r="A65" s="47" t="str">
        <f>"PremiumSS4"&amp;A$18</f>
        <v>PremiumSS4blue</v>
      </c>
      <c r="B65" s="47">
        <f>SUMIF(tables_5!B:B,input_5!A65,tables_5!L:L)</f>
        <v>7964325</v>
      </c>
      <c r="C65">
        <f t="shared" si="7"/>
        <v>2.7E-2</v>
      </c>
    </row>
    <row r="66" spans="1:3">
      <c r="A66" s="47" t="str">
        <f>"PremiumSS4"&amp;A$19</f>
        <v>PremiumSS4other</v>
      </c>
      <c r="B66" s="47">
        <f>SUMIF(tables_5!B:B,input_5!A66,tables_5!L:L)</f>
        <v>7964325</v>
      </c>
      <c r="C66">
        <f t="shared" si="7"/>
        <v>2.7E-2</v>
      </c>
    </row>
    <row r="67" spans="1:3">
      <c r="A67" s="47" t="s">
        <v>87</v>
      </c>
      <c r="B67" s="47">
        <f>SUMIF(tables_5!B:B,input_5!A67,tables_5!L:L)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SUMIF(tables_5!B:B,input_5!A68,tables_5!L:L)</f>
        <v>3303720</v>
      </c>
      <c r="C68">
        <f t="shared" si="7"/>
        <v>1.12E-2</v>
      </c>
    </row>
    <row r="69" spans="1:3">
      <c r="A69" s="47" t="str">
        <f>"PremiumN5"&amp;A$19</f>
        <v>PremiumN5other</v>
      </c>
      <c r="B69" s="47">
        <f>SUMIF(tables_5!B:B,input_5!A69,tables_5!L:L)</f>
        <v>1415880</v>
      </c>
      <c r="C69">
        <f t="shared" si="7"/>
        <v>4.7999999999999996E-3</v>
      </c>
    </row>
    <row r="70" spans="1:3">
      <c r="A70" s="47" t="str">
        <f>"PremiumS5"&amp;A$18</f>
        <v>PremiumS5blue</v>
      </c>
      <c r="B70" s="47">
        <f>SUMIF(tables_5!B:B,input_5!A70,tables_5!L:L)</f>
        <v>3303720</v>
      </c>
      <c r="C70">
        <f t="shared" si="7"/>
        <v>1.12E-2</v>
      </c>
    </row>
    <row r="71" spans="1:3">
      <c r="A71" s="47" t="str">
        <f>"PremiumS5"&amp;A$19</f>
        <v>PremiumS5other</v>
      </c>
      <c r="B71" s="47">
        <f>SUMIF(tables_5!B:B,input_5!A71,tables_5!L:L)</f>
        <v>1415880</v>
      </c>
      <c r="C71">
        <f t="shared" si="7"/>
        <v>4.7999999999999996E-3</v>
      </c>
    </row>
    <row r="72" spans="1:3">
      <c r="A72" s="47" t="str">
        <f>"PremiumSS5"&amp;A$18</f>
        <v>PremiumSS5blue</v>
      </c>
      <c r="B72" s="47">
        <f>SUMIF(tables_5!B:B,input_5!A72,tables_5!L:L)</f>
        <v>884925</v>
      </c>
      <c r="C72">
        <f t="shared" si="7"/>
        <v>3.0000000000000001E-3</v>
      </c>
    </row>
    <row r="73" spans="1:3">
      <c r="A73" s="47" t="str">
        <f>"PremiumSS5"&amp;A$19</f>
        <v>PremiumSS5other</v>
      </c>
      <c r="B73" s="47">
        <f>SUMIF(tables_5!B:B,input_5!A73,tables_5!L:L)</f>
        <v>884925</v>
      </c>
      <c r="C73">
        <f t="shared" si="7"/>
        <v>3.0000000000000001E-3</v>
      </c>
    </row>
    <row r="74" spans="1:3">
      <c r="A74" s="13" t="s">
        <v>134</v>
      </c>
      <c r="B74" s="47">
        <f>SUMIF(tables_5!B:B,input_5!A74,tables_5!L:L)</f>
        <v>3539700</v>
      </c>
      <c r="C74">
        <f t="shared" si="7"/>
        <v>1.2E-2</v>
      </c>
    </row>
    <row r="75" spans="1:3">
      <c r="A75" t="s">
        <v>77</v>
      </c>
      <c r="B75">
        <f>SUM(B53:B74)</f>
        <v>294975000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I25" sqref="I2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82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input_5!A$2</f>
        <v>3085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IFERROR(VLOOKUP(D2,input_5!L:T,9,FALSE),VLOOKUP(tables_5!B2,input_5!A:H,8,FALSE))</f>
        <v>0</v>
      </c>
      <c r="M2" s="69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input_5!A$2</f>
        <v>3085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IFERROR(VLOOKUP(D3,input_5!L:T,9,FALSE),VLOOKUP(tables_5!B3,input_5!A:H,8,FALSE))</f>
        <v>1761984</v>
      </c>
      <c r="M3" s="69">
        <f t="shared" ref="M3:M66" si="2">L3/SUM(L:L)</f>
        <v>5.9733333333333331E-3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input_5!A$2</f>
        <v>3085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IFERROR(VLOOKUP(D4,input_5!L:T,9,FALSE),VLOOKUP(tables_5!B4,input_5!A:H,8,FALSE))</f>
        <v>0</v>
      </c>
      <c r="M4" s="69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input_5!A$2</f>
        <v>3085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IFERROR(VLOOKUP(D5,input_5!L:T,9,FALSE),VLOOKUP(tables_5!B5,input_5!A:H,8,FALSE))</f>
        <v>1761984</v>
      </c>
      <c r="M5" s="69">
        <f t="shared" si="2"/>
        <v>5.9733333333333331E-3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input_5!A$2</f>
        <v>3085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IFERROR(VLOOKUP(D6,input_5!L:T,9,FALSE),VLOOKUP(tables_5!B6,input_5!A:H,8,FALSE))</f>
        <v>0</v>
      </c>
      <c r="M6" s="69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input_5!A$2</f>
        <v>3085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IFERROR(VLOOKUP(D7,input_5!L:T,9,FALSE),VLOOKUP(tables_5!B7,input_5!A:H,8,FALSE))</f>
        <v>12333888</v>
      </c>
      <c r="M7" s="69">
        <f t="shared" si="2"/>
        <v>4.1813333333333334E-2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input_5!A$2</f>
        <v>3085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IFERROR(VLOOKUP(D8,input_5!L:T,9,FALSE),VLOOKUP(tables_5!B8,input_5!A:H,8,FALSE))</f>
        <v>0</v>
      </c>
      <c r="M8" s="69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input_5!A$2</f>
        <v>3085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IFERROR(VLOOKUP(D9,input_5!L:T,9,FALSE),VLOOKUP(tables_5!B9,input_5!A:H,8,FALSE))</f>
        <v>1761984</v>
      </c>
      <c r="M9" s="69">
        <f t="shared" si="2"/>
        <v>5.9733333333333331E-3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input_5!A$2</f>
        <v>3085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IFERROR(VLOOKUP(D10,input_5!L:T,9,FALSE),VLOOKUP(tables_5!B10,input_5!A:H,8,FALSE))</f>
        <v>0</v>
      </c>
      <c r="M10" s="69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input_5!A$2</f>
        <v>3085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IFERROR(VLOOKUP(D11,input_5!L:T,9,FALSE),VLOOKUP(tables_5!B11,input_5!A:H,8,FALSE))</f>
        <v>1761984</v>
      </c>
      <c r="M11" s="69">
        <f t="shared" si="2"/>
        <v>5.9733333333333331E-3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input_5!A$2</f>
        <v>3085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IFERROR(VLOOKUP(D12,input_5!L:T,9,FALSE),VLOOKUP(tables_5!B12,input_5!A:H,8,FALSE))</f>
        <v>0</v>
      </c>
      <c r="M12" s="69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input_5!A$2</f>
        <v>3085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IFERROR(VLOOKUP(D13,input_5!L:T,9,FALSE),VLOOKUP(tables_5!B13,input_5!A:H,8,FALSE))</f>
        <v>1761984</v>
      </c>
      <c r="M13" s="69">
        <f t="shared" si="2"/>
        <v>5.9733333333333331E-3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input_5!A$2</f>
        <v>3085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IFERROR(VLOOKUP(D14,input_5!L:T,9,FALSE),VLOOKUP(tables_5!B14,input_5!A:H,8,FALSE))</f>
        <v>0</v>
      </c>
      <c r="M14" s="69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input_5!A$2</f>
        <v>3085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IFERROR(VLOOKUP(D15,input_5!L:T,9,FALSE),VLOOKUP(tables_5!B15,input_5!A:H,8,FALSE))</f>
        <v>12333888</v>
      </c>
      <c r="M15" s="69">
        <f t="shared" si="2"/>
        <v>4.1813333333333334E-2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input_5!A$2</f>
        <v>3085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IFERROR(VLOOKUP(D16,input_5!L:T,9,FALSE),VLOOKUP(tables_5!B16,input_5!A:H,8,FALSE))</f>
        <v>0</v>
      </c>
      <c r="M16" s="69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input_5!A$2</f>
        <v>3085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IFERROR(VLOOKUP(D17,input_5!L:T,9,FALSE),VLOOKUP(tables_5!B17,input_5!A:H,8,FALSE))</f>
        <v>1761984</v>
      </c>
      <c r="M17" s="69">
        <f t="shared" si="2"/>
        <v>5.9733333333333331E-3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input_5!A$2</f>
        <v>3085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IFERROR(VLOOKUP(D18,input_5!L:T,9,FALSE),VLOOKUP(tables_5!B18,input_5!A:H,8,FALSE))</f>
        <v>0</v>
      </c>
      <c r="M18" s="69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input_5!A$2</f>
        <v>3085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IFERROR(VLOOKUP(D19,input_5!L:T,9,FALSE),VLOOKUP(tables_5!B19,input_5!A:H,8,FALSE))</f>
        <v>1761984</v>
      </c>
      <c r="M19" s="69">
        <f t="shared" si="2"/>
        <v>5.9733333333333331E-3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input_5!A$2</f>
        <v>3085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IFERROR(VLOOKUP(D20,input_5!L:T,9,FALSE),VLOOKUP(tables_5!B20,input_5!A:H,8,FALSE))</f>
        <v>0</v>
      </c>
      <c r="M20" s="69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input_5!A$2</f>
        <v>3085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IFERROR(VLOOKUP(D21,input_5!L:T,9,FALSE),VLOOKUP(tables_5!B21,input_5!A:H,8,FALSE))</f>
        <v>1761984</v>
      </c>
      <c r="M21" s="69">
        <f t="shared" si="2"/>
        <v>5.9733333333333331E-3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input_5!A$2</f>
        <v>3085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IFERROR(VLOOKUP(D22,input_5!L:T,9,FALSE),VLOOKUP(tables_5!B22,input_5!A:H,8,FALSE))</f>
        <v>0</v>
      </c>
      <c r="M22" s="69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input_5!A$2</f>
        <v>3085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IFERROR(VLOOKUP(D23,input_5!L:T,9,FALSE),VLOOKUP(tables_5!B23,input_5!A:H,8,FALSE))</f>
        <v>12333888</v>
      </c>
      <c r="M23" s="69">
        <f t="shared" si="2"/>
        <v>4.1813333333333334E-2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input_5!A$2</f>
        <v>3085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IFERROR(VLOOKUP(D24,input_5!L:T,9,FALSE),VLOOKUP(tables_5!B24,input_5!A:H,8,FALSE))</f>
        <v>0</v>
      </c>
      <c r="M24" s="69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input_5!A$2</f>
        <v>3085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IFERROR(VLOOKUP(D25,input_5!L:T,9,FALSE),VLOOKUP(tables_5!B25,input_5!A:H,8,FALSE))</f>
        <v>1761984</v>
      </c>
      <c r="M25" s="69">
        <f t="shared" si="2"/>
        <v>5.9733333333333331E-3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input_5!A$2</f>
        <v>3085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IFERROR(VLOOKUP(D26,input_5!L:T,9,FALSE),VLOOKUP(tables_5!B26,input_5!A:H,8,FALSE))</f>
        <v>0</v>
      </c>
      <c r="M26" s="69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input_5!A$2</f>
        <v>3085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IFERROR(VLOOKUP(D27,input_5!L:T,9,FALSE),VLOOKUP(tables_5!B27,input_5!A:H,8,FALSE))</f>
        <v>1761984</v>
      </c>
      <c r="M27" s="69">
        <f t="shared" si="2"/>
        <v>5.9733333333333331E-3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input_5!A$2</f>
        <v>3085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IFERROR(VLOOKUP(D28,input_5!L:T,9,FALSE),VLOOKUP(tables_5!B28,input_5!A:H,8,FALSE))</f>
        <v>0</v>
      </c>
      <c r="M28" s="69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input_5!A$2</f>
        <v>3085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IFERROR(VLOOKUP(D29,input_5!L:T,9,FALSE),VLOOKUP(tables_5!B29,input_5!A:H,8,FALSE))</f>
        <v>1761984</v>
      </c>
      <c r="M29" s="69">
        <f t="shared" si="2"/>
        <v>5.9733333333333331E-3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input_5!A$2</f>
        <v>3085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IFERROR(VLOOKUP(D30,input_5!L:T,9,FALSE),VLOOKUP(tables_5!B30,input_5!A:H,8,FALSE))</f>
        <v>0</v>
      </c>
      <c r="M30" s="69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input_5!A$2</f>
        <v>3085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IFERROR(VLOOKUP(D31,input_5!L:T,9,FALSE),VLOOKUP(tables_5!B31,input_5!A:H,8,FALSE))</f>
        <v>12333888</v>
      </c>
      <c r="M31" s="69">
        <f t="shared" si="2"/>
        <v>4.1813333333333334E-2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input_5!A$2</f>
        <v>3085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IFERROR(VLOOKUP(D32,input_5!L:T,9,FALSE),VLOOKUP(tables_5!B32,input_5!A:H,8,FALSE))</f>
        <v>0</v>
      </c>
      <c r="M32" s="69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input_5!A$2</f>
        <v>3085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IFERROR(VLOOKUP(D33,input_5!L:T,9,FALSE),VLOOKUP(tables_5!B33,input_5!A:H,8,FALSE))</f>
        <v>1761984</v>
      </c>
      <c r="M33" s="69">
        <f t="shared" si="2"/>
        <v>5.9733333333333331E-3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input_5!A$2</f>
        <v>3085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IFERROR(VLOOKUP(D34,input_5!L:T,9,FALSE),VLOOKUP(tables_5!B34,input_5!A:H,8,FALSE))</f>
        <v>0</v>
      </c>
      <c r="M34" s="69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input_5!A$2</f>
        <v>3085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IFERROR(VLOOKUP(D35,input_5!L:T,9,FALSE),VLOOKUP(tables_5!B35,input_5!A:H,8,FALSE))</f>
        <v>1761984</v>
      </c>
      <c r="M35" s="69">
        <f t="shared" si="2"/>
        <v>5.9733333333333331E-3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input_5!A$2</f>
        <v>3085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IFERROR(VLOOKUP(D36,input_5!L:T,9,FALSE),VLOOKUP(tables_5!B36,input_5!A:H,8,FALSE))</f>
        <v>0</v>
      </c>
      <c r="M36" s="69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input_5!A$2</f>
        <v>3085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IFERROR(VLOOKUP(D37,input_5!L:T,9,FALSE),VLOOKUP(tables_5!B37,input_5!A:H,8,FALSE))</f>
        <v>1761984</v>
      </c>
      <c r="M37" s="69">
        <f t="shared" si="2"/>
        <v>5.9733333333333331E-3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input_5!A$2</f>
        <v>3085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IFERROR(VLOOKUP(D38,input_5!L:T,9,FALSE),VLOOKUP(tables_5!B38,input_5!A:H,8,FALSE))</f>
        <v>0</v>
      </c>
      <c r="M38" s="69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input_5!A$2</f>
        <v>3085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IFERROR(VLOOKUP(D39,input_5!L:T,9,FALSE),VLOOKUP(tables_5!B39,input_5!A:H,8,FALSE))</f>
        <v>12333888</v>
      </c>
      <c r="M39" s="69">
        <f t="shared" si="2"/>
        <v>4.1813333333333334E-2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input_5!A$2</f>
        <v>3085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IFERROR(VLOOKUP(D40,input_5!L:T,9,FALSE),VLOOKUP(tables_5!B40,input_5!A:H,8,FALSE))</f>
        <v>0</v>
      </c>
      <c r="M40" s="69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input_5!A$2</f>
        <v>3085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IFERROR(VLOOKUP(D41,input_5!L:T,9,FALSE),VLOOKUP(tables_5!B41,input_5!A:H,8,FALSE))</f>
        <v>1761984</v>
      </c>
      <c r="M41" s="69">
        <f t="shared" si="2"/>
        <v>5.9733333333333331E-3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input_5!A$2</f>
        <v>3085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IFERROR(VLOOKUP(D42,input_5!L:T,9,FALSE),VLOOKUP(tables_5!B42,input_5!A:H,8,FALSE))</f>
        <v>0</v>
      </c>
      <c r="M42" s="69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input_5!A$2</f>
        <v>3085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IFERROR(VLOOKUP(D43,input_5!L:T,9,FALSE),VLOOKUP(tables_5!B43,input_5!A:H,8,FALSE))</f>
        <v>1761984</v>
      </c>
      <c r="M43" s="69">
        <f t="shared" si="2"/>
        <v>5.9733333333333331E-3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input_5!A$2</f>
        <v>3085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IFERROR(VLOOKUP(D44,input_5!L:T,9,FALSE),VLOOKUP(tables_5!B44,input_5!A:H,8,FALSE))</f>
        <v>94392</v>
      </c>
      <c r="M44" s="69">
        <f t="shared" si="2"/>
        <v>3.2000000000000003E-4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input_5!A$2</f>
        <v>3085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IFERROR(VLOOKUP(D45,input_5!L:T,9,FALSE),VLOOKUP(tables_5!B45,input_5!A:H,8,FALSE))</f>
        <v>0</v>
      </c>
      <c r="M45" s="69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input_5!A$2</f>
        <v>3085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IFERROR(VLOOKUP(D46,input_5!L:T,9,FALSE),VLOOKUP(tables_5!B46,input_5!A:H,8,FALSE))</f>
        <v>1761984</v>
      </c>
      <c r="M46" s="69">
        <f t="shared" si="2"/>
        <v>5.9733333333333331E-3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input_5!A$2</f>
        <v>3085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IFERROR(VLOOKUP(D47,input_5!L:T,9,FALSE),VLOOKUP(tables_5!B47,input_5!A:H,8,FALSE))</f>
        <v>94392</v>
      </c>
      <c r="M47" s="69">
        <f t="shared" si="2"/>
        <v>3.2000000000000003E-4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input_5!A$2</f>
        <v>3085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IFERROR(VLOOKUP(D48,input_5!L:T,9,FALSE),VLOOKUP(tables_5!B48,input_5!A:H,8,FALSE))</f>
        <v>0</v>
      </c>
      <c r="M48" s="69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input_5!A$2</f>
        <v>3085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IFERROR(VLOOKUP(D49,input_5!L:T,9,FALSE),VLOOKUP(tables_5!B49,input_5!A:H,8,FALSE))</f>
        <v>12333888</v>
      </c>
      <c r="M49" s="69">
        <f t="shared" si="2"/>
        <v>4.1813333333333334E-2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input_5!A$2</f>
        <v>3085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IFERROR(VLOOKUP(D50,input_5!L:T,9,FALSE),VLOOKUP(tables_5!B50,input_5!A:H,8,FALSE))</f>
        <v>660744</v>
      </c>
      <c r="M50" s="69">
        <f t="shared" si="2"/>
        <v>2.2399999999999998E-3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input_5!A$2</f>
        <v>3085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IFERROR(VLOOKUP(D51,input_5!L:T,9,FALSE),VLOOKUP(tables_5!B51,input_5!A:H,8,FALSE))</f>
        <v>0</v>
      </c>
      <c r="M51" s="69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input_5!A$2</f>
        <v>3085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IFERROR(VLOOKUP(D52,input_5!L:T,9,FALSE),VLOOKUP(tables_5!B52,input_5!A:H,8,FALSE))</f>
        <v>1761984</v>
      </c>
      <c r="M52" s="69">
        <f t="shared" si="2"/>
        <v>5.9733333333333331E-3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input_5!A$2</f>
        <v>3085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IFERROR(VLOOKUP(D53,input_5!L:T,9,FALSE),VLOOKUP(tables_5!B53,input_5!A:H,8,FALSE))</f>
        <v>94392</v>
      </c>
      <c r="M53" s="69">
        <f t="shared" si="2"/>
        <v>3.2000000000000003E-4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input_5!A$2</f>
        <v>3085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IFERROR(VLOOKUP(D54,input_5!L:T,9,FALSE),VLOOKUP(tables_5!B54,input_5!A:H,8,FALSE))</f>
        <v>0</v>
      </c>
      <c r="M54" s="69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input_5!A$2</f>
        <v>3085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IFERROR(VLOOKUP(D55,input_5!L:T,9,FALSE),VLOOKUP(tables_5!B55,input_5!A:H,8,FALSE))</f>
        <v>1761984</v>
      </c>
      <c r="M55" s="69">
        <f t="shared" si="2"/>
        <v>5.9733333333333331E-3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input_5!A$2</f>
        <v>3085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IFERROR(VLOOKUP(D56,input_5!L:T,9,FALSE),VLOOKUP(tables_5!B56,input_5!A:H,8,FALSE))</f>
        <v>94392</v>
      </c>
      <c r="M56" s="69">
        <f t="shared" si="2"/>
        <v>3.2000000000000003E-4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input_5!A$2</f>
        <v>3085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IFERROR(VLOOKUP(D57,input_5!L:T,9,FALSE),VLOOKUP(tables_5!B57,input_5!A:H,8,FALSE))</f>
        <v>0</v>
      </c>
      <c r="M57" s="69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input_5!A$2</f>
        <v>3085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IFERROR(VLOOKUP(D58,input_5!L:T,9,FALSE),VLOOKUP(tables_5!B58,input_5!A:H,8,FALSE))</f>
        <v>1761984</v>
      </c>
      <c r="M58" s="69">
        <f t="shared" si="2"/>
        <v>5.9733333333333331E-3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input_5!A$2</f>
        <v>3085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IFERROR(VLOOKUP(D59,input_5!L:T,9,FALSE),VLOOKUP(tables_5!B59,input_5!A:H,8,FALSE))</f>
        <v>94392</v>
      </c>
      <c r="M59" s="69">
        <f t="shared" si="2"/>
        <v>3.2000000000000003E-4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input_5!A$2</f>
        <v>3085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IFERROR(VLOOKUP(D60,input_5!L:T,9,FALSE),VLOOKUP(tables_5!B60,input_5!A:H,8,FALSE))</f>
        <v>0</v>
      </c>
      <c r="M60" s="69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input_5!A$2</f>
        <v>3085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IFERROR(VLOOKUP(D61,input_5!L:T,9,FALSE),VLOOKUP(tables_5!B61,input_5!A:H,8,FALSE))</f>
        <v>12333888</v>
      </c>
      <c r="M61" s="69">
        <f t="shared" si="2"/>
        <v>4.1813333333333334E-2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input_5!A$2</f>
        <v>3085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IFERROR(VLOOKUP(D62,input_5!L:T,9,FALSE),VLOOKUP(tables_5!B62,input_5!A:H,8,FALSE))</f>
        <v>660744</v>
      </c>
      <c r="M62" s="69">
        <f t="shared" si="2"/>
        <v>2.2399999999999998E-3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input_5!A$2</f>
        <v>3085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IFERROR(VLOOKUP(D63,input_5!L:T,9,FALSE),VLOOKUP(tables_5!B63,input_5!A:H,8,FALSE))</f>
        <v>0</v>
      </c>
      <c r="M63" s="69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input_5!A$2</f>
        <v>3085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IFERROR(VLOOKUP(D64,input_5!L:T,9,FALSE),VLOOKUP(tables_5!B64,input_5!A:H,8,FALSE))</f>
        <v>1761984</v>
      </c>
      <c r="M64" s="69">
        <f t="shared" si="2"/>
        <v>5.9733333333333331E-3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input_5!A$2</f>
        <v>3085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IFERROR(VLOOKUP(D65,input_5!L:T,9,FALSE),VLOOKUP(tables_5!B65,input_5!A:H,8,FALSE))</f>
        <v>94392</v>
      </c>
      <c r="M65" s="69">
        <f t="shared" si="2"/>
        <v>3.2000000000000003E-4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input_5!A$2</f>
        <v>3085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IFERROR(VLOOKUP(D66,input_5!L:T,9,FALSE),VLOOKUP(tables_5!B66,input_5!A:H,8,FALSE))</f>
        <v>0</v>
      </c>
      <c r="M66" s="69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input_5!A$2</f>
        <v>3085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IFERROR(VLOOKUP(D67,input_5!L:T,9,FALSE),VLOOKUP(tables_5!B67,input_5!A:H,8,FALSE))</f>
        <v>1761984</v>
      </c>
      <c r="M67" s="69">
        <f t="shared" ref="M67:M130" si="5">L67/SUM(L:L)</f>
        <v>5.9733333333333331E-3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input_5!A$2</f>
        <v>3085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IFERROR(VLOOKUP(D68,input_5!L:T,9,FALSE),VLOOKUP(tables_5!B68,input_5!A:H,8,FALSE))</f>
        <v>94392</v>
      </c>
      <c r="M68" s="69">
        <f t="shared" si="5"/>
        <v>3.2000000000000003E-4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input_5!A$2</f>
        <v>3085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IFERROR(VLOOKUP(D69,input_5!L:T,9,FALSE),VLOOKUP(tables_5!B69,input_5!A:H,8,FALSE))</f>
        <v>0</v>
      </c>
      <c r="M69" s="69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input_5!A$2</f>
        <v>3085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IFERROR(VLOOKUP(D70,input_5!L:T,9,FALSE),VLOOKUP(tables_5!B70,input_5!A:H,8,FALSE))</f>
        <v>1761984</v>
      </c>
      <c r="M70" s="69">
        <f t="shared" si="5"/>
        <v>5.9733333333333331E-3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input_5!A$2</f>
        <v>3085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IFERROR(VLOOKUP(D71,input_5!L:T,9,FALSE),VLOOKUP(tables_5!B71,input_5!A:H,8,FALSE))</f>
        <v>94392</v>
      </c>
      <c r="M71" s="69">
        <f t="shared" si="5"/>
        <v>3.2000000000000003E-4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input_5!A$2</f>
        <v>3085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IFERROR(VLOOKUP(D72,input_5!L:T,9,FALSE),VLOOKUP(tables_5!B72,input_5!A:H,8,FALSE))</f>
        <v>0</v>
      </c>
      <c r="M72" s="69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input_5!A$2</f>
        <v>3085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IFERROR(VLOOKUP(D73,input_5!L:T,9,FALSE),VLOOKUP(tables_5!B73,input_5!A:H,8,FALSE))</f>
        <v>1761984</v>
      </c>
      <c r="M73" s="69">
        <f t="shared" si="5"/>
        <v>5.9733333333333331E-3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input_5!A$2</f>
        <v>3085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IFERROR(VLOOKUP(D74,input_5!L:T,9,FALSE),VLOOKUP(tables_5!B74,input_5!A:H,8,FALSE))</f>
        <v>94392</v>
      </c>
      <c r="M74" s="69">
        <f t="shared" si="5"/>
        <v>3.2000000000000003E-4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input_5!A$2</f>
        <v>3085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IFERROR(VLOOKUP(D75,input_5!L:T,9,FALSE),VLOOKUP(tables_5!B75,input_5!A:H,8,FALSE))</f>
        <v>0</v>
      </c>
      <c r="M75" s="69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input_5!A$2</f>
        <v>3085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IFERROR(VLOOKUP(D76,input_5!L:T,9,FALSE),VLOOKUP(tables_5!B76,input_5!A:H,8,FALSE))</f>
        <v>12333888</v>
      </c>
      <c r="M76" s="69">
        <f t="shared" si="5"/>
        <v>4.1813333333333334E-2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input_5!A$2</f>
        <v>3085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IFERROR(VLOOKUP(D77,input_5!L:T,9,FALSE),VLOOKUP(tables_5!B77,input_5!A:H,8,FALSE))</f>
        <v>660744</v>
      </c>
      <c r="M77" s="69">
        <f t="shared" si="5"/>
        <v>2.2399999999999998E-3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input_5!A$2</f>
        <v>3085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IFERROR(VLOOKUP(D78,input_5!L:T,9,FALSE),VLOOKUP(tables_5!B78,input_5!A:H,8,FALSE))</f>
        <v>0</v>
      </c>
      <c r="M78" s="69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input_5!A$2</f>
        <v>3085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IFERROR(VLOOKUP(D79,input_5!L:T,9,FALSE),VLOOKUP(tables_5!B79,input_5!A:H,8,FALSE))</f>
        <v>1761984</v>
      </c>
      <c r="M79" s="69">
        <f t="shared" si="5"/>
        <v>5.9733333333333331E-3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input_5!A$2</f>
        <v>3085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IFERROR(VLOOKUP(D80,input_5!L:T,9,FALSE),VLOOKUP(tables_5!B80,input_5!A:H,8,FALSE))</f>
        <v>94392</v>
      </c>
      <c r="M80" s="69">
        <f t="shared" si="5"/>
        <v>3.2000000000000003E-4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input_5!A$2</f>
        <v>3085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IFERROR(VLOOKUP(D81,input_5!L:T,9,FALSE),VLOOKUP(tables_5!B81,input_5!A:H,8,FALSE))</f>
        <v>0</v>
      </c>
      <c r="M81" s="69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input_5!A$2</f>
        <v>3085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IFERROR(VLOOKUP(D82,input_5!L:T,9,FALSE),VLOOKUP(tables_5!B82,input_5!A:H,8,FALSE))</f>
        <v>1761984</v>
      </c>
      <c r="M82" s="69">
        <f t="shared" si="5"/>
        <v>5.9733333333333331E-3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input_5!A$2</f>
        <v>3085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IFERROR(VLOOKUP(D83,input_5!L:T,9,FALSE),VLOOKUP(tables_5!B83,input_5!A:H,8,FALSE))</f>
        <v>94392</v>
      </c>
      <c r="M83" s="69">
        <f t="shared" si="5"/>
        <v>3.2000000000000003E-4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input_5!A$2</f>
        <v>3085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IFERROR(VLOOKUP(D84,input_5!L:T,9,FALSE),VLOOKUP(tables_5!B84,input_5!A:H,8,FALSE))</f>
        <v>0</v>
      </c>
      <c r="M84" s="69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input_5!A$2</f>
        <v>3085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IFERROR(VLOOKUP(D85,input_5!L:T,9,FALSE),VLOOKUP(tables_5!B85,input_5!A:H,8,FALSE))</f>
        <v>12333888</v>
      </c>
      <c r="M85" s="69">
        <f t="shared" si="5"/>
        <v>4.1813333333333334E-2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input_5!A$2</f>
        <v>3085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IFERROR(VLOOKUP(D86,input_5!L:T,9,FALSE),VLOOKUP(tables_5!B86,input_5!A:H,8,FALSE))</f>
        <v>660744</v>
      </c>
      <c r="M86" s="69">
        <f t="shared" si="5"/>
        <v>2.2399999999999998E-3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input_5!A$2</f>
        <v>3085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IFERROR(VLOOKUP(D87,input_5!L:T,9,FALSE),VLOOKUP(tables_5!B87,input_5!A:H,8,FALSE))</f>
        <v>0</v>
      </c>
      <c r="M87" s="69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input_5!A$2</f>
        <v>3085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IFERROR(VLOOKUP(D88,input_5!L:T,9,FALSE),VLOOKUP(tables_5!B88,input_5!A:H,8,FALSE))</f>
        <v>1761984</v>
      </c>
      <c r="M88" s="69">
        <f t="shared" si="5"/>
        <v>5.9733333333333331E-3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input_5!A$2</f>
        <v>3085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IFERROR(VLOOKUP(D89,input_5!L:T,9,FALSE),VLOOKUP(tables_5!B89,input_5!A:H,8,FALSE))</f>
        <v>94392</v>
      </c>
      <c r="M89" s="69">
        <f t="shared" si="5"/>
        <v>3.2000000000000003E-4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input_5!A$2</f>
        <v>3085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IFERROR(VLOOKUP(D90,input_5!L:T,9,FALSE),VLOOKUP(tables_5!B90,input_5!A:H,8,FALSE))</f>
        <v>0</v>
      </c>
      <c r="M90" s="69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input_5!A$2</f>
        <v>3085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IFERROR(VLOOKUP(D91,input_5!L:T,9,FALSE),VLOOKUP(tables_5!B91,input_5!A:H,8,FALSE))</f>
        <v>1761984</v>
      </c>
      <c r="M91" s="69">
        <f t="shared" si="5"/>
        <v>5.9733333333333331E-3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input_5!A$2</f>
        <v>3085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IFERROR(VLOOKUP(D92,input_5!L:T,9,FALSE),VLOOKUP(tables_5!B92,input_5!A:H,8,FALSE))</f>
        <v>94392</v>
      </c>
      <c r="M92" s="69">
        <f t="shared" si="5"/>
        <v>3.2000000000000003E-4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input_5!A$2</f>
        <v>3085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IFERROR(VLOOKUP(D93,input_5!L:T,9,FALSE),VLOOKUP(tables_5!B93,input_5!A:H,8,FALSE))</f>
        <v>0</v>
      </c>
      <c r="M93" s="69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input_5!A$2</f>
        <v>3085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IFERROR(VLOOKUP(D94,input_5!L:T,9,FALSE),VLOOKUP(tables_5!B94,input_5!A:H,8,FALSE))</f>
        <v>1761984</v>
      </c>
      <c r="M94" s="69">
        <f t="shared" si="5"/>
        <v>5.9733333333333331E-3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input_5!A$2</f>
        <v>3085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IFERROR(VLOOKUP(D95,input_5!L:T,9,FALSE),VLOOKUP(tables_5!B95,input_5!A:H,8,FALSE))</f>
        <v>94392</v>
      </c>
      <c r="M95" s="69">
        <f t="shared" si="5"/>
        <v>3.2000000000000003E-4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input_5!A$2</f>
        <v>3085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IFERROR(VLOOKUP(D96,input_5!L:T,9,FALSE),VLOOKUP(tables_5!B96,input_5!A:H,8,FALSE))</f>
        <v>0</v>
      </c>
      <c r="M96" s="69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input_5!A$2</f>
        <v>3085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IFERROR(VLOOKUP(D97,input_5!L:T,9,FALSE),VLOOKUP(tables_5!B97,input_5!A:H,8,FALSE))</f>
        <v>12333888</v>
      </c>
      <c r="M97" s="69">
        <f t="shared" si="5"/>
        <v>4.1813333333333334E-2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input_5!A$2</f>
        <v>3085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IFERROR(VLOOKUP(D98,input_5!L:T,9,FALSE),VLOOKUP(tables_5!B98,input_5!A:H,8,FALSE))</f>
        <v>660744</v>
      </c>
      <c r="M98" s="69">
        <f t="shared" si="5"/>
        <v>2.2399999999999998E-3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input_5!A$2</f>
        <v>3085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IFERROR(VLOOKUP(D99,input_5!L:T,9,FALSE),VLOOKUP(tables_5!B99,input_5!A:H,8,FALSE))</f>
        <v>0</v>
      </c>
      <c r="M99" s="69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input_5!A$2</f>
        <v>3085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IFERROR(VLOOKUP(D100,input_5!L:T,9,FALSE),VLOOKUP(tables_5!B100,input_5!A:H,8,FALSE))</f>
        <v>1761984</v>
      </c>
      <c r="M100" s="69">
        <f t="shared" si="5"/>
        <v>5.9733333333333331E-3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input_5!A$2</f>
        <v>3085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IFERROR(VLOOKUP(D101,input_5!L:T,9,FALSE),VLOOKUP(tables_5!B101,input_5!A:H,8,FALSE))</f>
        <v>94392</v>
      </c>
      <c r="M101" s="69">
        <f t="shared" si="5"/>
        <v>3.2000000000000003E-4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input_5!A$2</f>
        <v>3085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IFERROR(VLOOKUP(D102,input_5!L:T,9,FALSE),VLOOKUP(tables_5!B102,input_5!A:H,8,FALSE))</f>
        <v>0</v>
      </c>
      <c r="M102" s="69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input_5!A$2</f>
        <v>3085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IFERROR(VLOOKUP(D103,input_5!L:T,9,FALSE),VLOOKUP(tables_5!B103,input_5!A:H,8,FALSE))</f>
        <v>1149120</v>
      </c>
      <c r="M103" s="69">
        <f t="shared" si="5"/>
        <v>3.8956521739130436E-3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input_5!A$2</f>
        <v>3085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IFERROR(VLOOKUP(D104,input_5!L:T,9,FALSE),VLOOKUP(tables_5!B104,input_5!A:H,8,FALSE))</f>
        <v>61560</v>
      </c>
      <c r="M104" s="69">
        <f t="shared" si="5"/>
        <v>2.0869565217391305E-4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input_5!A$2</f>
        <v>3085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IFERROR(VLOOKUP(D105,input_5!L:T,9,FALSE),VLOOKUP(tables_5!B105,input_5!A:H,8,FALSE))</f>
        <v>0</v>
      </c>
      <c r="M105" s="69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input_5!A$2</f>
        <v>3085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IFERROR(VLOOKUP(D106,input_5!L:T,9,FALSE),VLOOKUP(tables_5!B106,input_5!A:H,8,FALSE))</f>
        <v>1149120</v>
      </c>
      <c r="M106" s="69">
        <f t="shared" si="5"/>
        <v>3.8956521739130436E-3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input_5!A$2</f>
        <v>3085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IFERROR(VLOOKUP(D107,input_5!L:T,9,FALSE),VLOOKUP(tables_5!B107,input_5!A:H,8,FALSE))</f>
        <v>61560</v>
      </c>
      <c r="M107" s="69">
        <f t="shared" si="5"/>
        <v>2.0869565217391305E-4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input_5!A$2</f>
        <v>3085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IFERROR(VLOOKUP(D108,input_5!L:T,9,FALSE),VLOOKUP(tables_5!B108,input_5!A:H,8,FALSE))</f>
        <v>0</v>
      </c>
      <c r="M108" s="69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input_5!A$2</f>
        <v>3085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IFERROR(VLOOKUP(D109,input_5!L:T,9,FALSE),VLOOKUP(tables_5!B109,input_5!A:H,8,FALSE))</f>
        <v>6852160</v>
      </c>
      <c r="M109" s="69">
        <f t="shared" si="5"/>
        <v>2.3229629629629631E-2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input_5!A$2</f>
        <v>3085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IFERROR(VLOOKUP(D110,input_5!L:T,9,FALSE),VLOOKUP(tables_5!B110,input_5!A:H,8,FALSE))</f>
        <v>367080</v>
      </c>
      <c r="M110" s="69">
        <f t="shared" si="5"/>
        <v>1.2444444444444445E-3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input_5!A$2</f>
        <v>3085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IFERROR(VLOOKUP(D111,input_5!L:T,9,FALSE),VLOOKUP(tables_5!B111,input_5!A:H,8,FALSE))</f>
        <v>0</v>
      </c>
      <c r="M111" s="69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input_5!A$2</f>
        <v>3085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IFERROR(VLOOKUP(D112,input_5!L:T,9,FALSE),VLOOKUP(tables_5!B112,input_5!A:H,8,FALSE))</f>
        <v>1149120</v>
      </c>
      <c r="M112" s="69">
        <f t="shared" si="5"/>
        <v>3.8956521739130436E-3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input_5!A$2</f>
        <v>3085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IFERROR(VLOOKUP(D113,input_5!L:T,9,FALSE),VLOOKUP(tables_5!B113,input_5!A:H,8,FALSE))</f>
        <v>61560</v>
      </c>
      <c r="M113" s="69">
        <f t="shared" si="5"/>
        <v>2.0869565217391305E-4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input_5!A$2</f>
        <v>3085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IFERROR(VLOOKUP(D114,input_5!L:T,9,FALSE),VLOOKUP(tables_5!B114,input_5!A:H,8,FALSE))</f>
        <v>0</v>
      </c>
      <c r="M114" s="69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input_5!A$2</f>
        <v>3085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IFERROR(VLOOKUP(D115,input_5!L:T,9,FALSE),VLOOKUP(tables_5!B115,input_5!A:H,8,FALSE))</f>
        <v>1149120</v>
      </c>
      <c r="M115" s="69">
        <f t="shared" si="5"/>
        <v>3.8956521739130436E-3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input_5!A$2</f>
        <v>3085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IFERROR(VLOOKUP(D116,input_5!L:T,9,FALSE),VLOOKUP(tables_5!B116,input_5!A:H,8,FALSE))</f>
        <v>61560</v>
      </c>
      <c r="M116" s="69">
        <f t="shared" si="5"/>
        <v>2.0869565217391305E-4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input_5!A$2</f>
        <v>3085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IFERROR(VLOOKUP(D117,input_5!L:T,9,FALSE),VLOOKUP(tables_5!B117,input_5!A:H,8,FALSE))</f>
        <v>0</v>
      </c>
      <c r="M117" s="69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input_5!A$2</f>
        <v>3085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IFERROR(VLOOKUP(D118,input_5!L:T,9,FALSE),VLOOKUP(tables_5!B118,input_5!A:H,8,FALSE))</f>
        <v>1149120</v>
      </c>
      <c r="M118" s="69">
        <f t="shared" si="5"/>
        <v>3.8956521739130436E-3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input_5!A$2</f>
        <v>3085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IFERROR(VLOOKUP(D119,input_5!L:T,9,FALSE),VLOOKUP(tables_5!B119,input_5!A:H,8,FALSE))</f>
        <v>61560</v>
      </c>
      <c r="M119" s="69">
        <f t="shared" si="5"/>
        <v>2.0869565217391305E-4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input_5!A$2</f>
        <v>3085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IFERROR(VLOOKUP(D120,input_5!L:T,9,FALSE),VLOOKUP(tables_5!B120,input_5!A:H,8,FALSE))</f>
        <v>0</v>
      </c>
      <c r="M120" s="69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input_5!A$2</f>
        <v>3085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IFERROR(VLOOKUP(D121,input_5!L:T,9,FALSE),VLOOKUP(tables_5!B121,input_5!A:H,8,FALSE))</f>
        <v>6852160</v>
      </c>
      <c r="M121" s="69">
        <f t="shared" si="5"/>
        <v>2.3229629629629631E-2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input_5!A$2</f>
        <v>3085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IFERROR(VLOOKUP(D122,input_5!L:T,9,FALSE),VLOOKUP(tables_5!B122,input_5!A:H,8,FALSE))</f>
        <v>367080</v>
      </c>
      <c r="M122" s="69">
        <f t="shared" si="5"/>
        <v>1.2444444444444445E-3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input_5!A$2</f>
        <v>3085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IFERROR(VLOOKUP(D123,input_5!L:T,9,FALSE),VLOOKUP(tables_5!B123,input_5!A:H,8,FALSE))</f>
        <v>0</v>
      </c>
      <c r="M123" s="69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input_5!A$2</f>
        <v>3085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IFERROR(VLOOKUP(D124,input_5!L:T,9,FALSE),VLOOKUP(tables_5!B124,input_5!A:H,8,FALSE))</f>
        <v>1149120</v>
      </c>
      <c r="M124" s="69">
        <f t="shared" si="5"/>
        <v>3.8956521739130436E-3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input_5!A$2</f>
        <v>3085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IFERROR(VLOOKUP(D125,input_5!L:T,9,FALSE),VLOOKUP(tables_5!B125,input_5!A:H,8,FALSE))</f>
        <v>61560</v>
      </c>
      <c r="M125" s="69">
        <f t="shared" si="5"/>
        <v>2.0869565217391305E-4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input_5!A$2</f>
        <v>3085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IFERROR(VLOOKUP(D126,input_5!L:T,9,FALSE),VLOOKUP(tables_5!B126,input_5!A:H,8,FALSE))</f>
        <v>0</v>
      </c>
      <c r="M126" s="69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input_5!A$2</f>
        <v>3085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IFERROR(VLOOKUP(D127,input_5!L:T,9,FALSE),VLOOKUP(tables_5!B127,input_5!A:H,8,FALSE))</f>
        <v>1149120</v>
      </c>
      <c r="M127" s="69">
        <f t="shared" si="5"/>
        <v>3.8956521739130436E-3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input_5!A$2</f>
        <v>3085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IFERROR(VLOOKUP(D128,input_5!L:T,9,FALSE),VLOOKUP(tables_5!B128,input_5!A:H,8,FALSE))</f>
        <v>61560</v>
      </c>
      <c r="M128" s="69">
        <f t="shared" si="5"/>
        <v>2.0869565217391305E-4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input_5!A$2</f>
        <v>3085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IFERROR(VLOOKUP(D129,input_5!L:T,9,FALSE),VLOOKUP(tables_5!B129,input_5!A:H,8,FALSE))</f>
        <v>0</v>
      </c>
      <c r="M129" s="69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input_5!A$2</f>
        <v>3085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IFERROR(VLOOKUP(D130,input_5!L:T,9,FALSE),VLOOKUP(tables_5!B130,input_5!A:H,8,FALSE))</f>
        <v>1149120</v>
      </c>
      <c r="M130" s="69">
        <f t="shared" si="5"/>
        <v>3.8956521739130436E-3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input_5!A$2</f>
        <v>3085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IFERROR(VLOOKUP(D131,input_5!L:T,9,FALSE),VLOOKUP(tables_5!B131,input_5!A:H,8,FALSE))</f>
        <v>61560</v>
      </c>
      <c r="M131" s="69">
        <f t="shared" ref="M131:M194" si="8">L131/SUM(L:L)</f>
        <v>2.0869565217391305E-4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input_5!A$2</f>
        <v>3085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IFERROR(VLOOKUP(D132,input_5!L:T,9,FALSE),VLOOKUP(tables_5!B132,input_5!A:H,8,FALSE))</f>
        <v>0</v>
      </c>
      <c r="M132" s="69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input_5!A$2</f>
        <v>3085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IFERROR(VLOOKUP(D133,input_5!L:T,9,FALSE),VLOOKUP(tables_5!B133,input_5!A:H,8,FALSE))</f>
        <v>6852160</v>
      </c>
      <c r="M133" s="69">
        <f t="shared" si="8"/>
        <v>2.3229629629629631E-2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input_5!A$2</f>
        <v>3085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IFERROR(VLOOKUP(D134,input_5!L:T,9,FALSE),VLOOKUP(tables_5!B134,input_5!A:H,8,FALSE))</f>
        <v>367080</v>
      </c>
      <c r="M134" s="69">
        <f t="shared" si="8"/>
        <v>1.2444444444444445E-3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input_5!A$2</f>
        <v>3085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IFERROR(VLOOKUP(D135,input_5!L:T,9,FALSE),VLOOKUP(tables_5!B135,input_5!A:H,8,FALSE))</f>
        <v>0</v>
      </c>
      <c r="M135" s="69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input_5!A$2</f>
        <v>3085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IFERROR(VLOOKUP(D136,input_5!L:T,9,FALSE),VLOOKUP(tables_5!B136,input_5!A:H,8,FALSE))</f>
        <v>1149120</v>
      </c>
      <c r="M136" s="69">
        <f t="shared" si="8"/>
        <v>3.8956521739130436E-3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input_5!A$2</f>
        <v>3085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IFERROR(VLOOKUP(D137,input_5!L:T,9,FALSE),VLOOKUP(tables_5!B137,input_5!A:H,8,FALSE))</f>
        <v>61560</v>
      </c>
      <c r="M137" s="69">
        <f t="shared" si="8"/>
        <v>2.0869565217391305E-4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input_5!A$2</f>
        <v>3085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IFERROR(VLOOKUP(D138,input_5!L:T,9,FALSE),VLOOKUP(tables_5!B138,input_5!A:H,8,FALSE))</f>
        <v>419175</v>
      </c>
      <c r="M138" s="69">
        <f t="shared" si="8"/>
        <v>1.4210526315789475E-3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input_5!A$2</f>
        <v>3085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IFERROR(VLOOKUP(D139,input_5!L:T,9,FALSE),VLOOKUP(tables_5!B139,input_5!A:H,8,FALSE))</f>
        <v>46575</v>
      </c>
      <c r="M139" s="69">
        <f t="shared" si="8"/>
        <v>1.5789473684210527E-4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input_5!A$2</f>
        <v>3085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IFERROR(VLOOKUP(D140,input_5!L:T,9,FALSE),VLOOKUP(tables_5!B140,input_5!A:H,8,FALSE))</f>
        <v>419175</v>
      </c>
      <c r="M140" s="69">
        <f t="shared" si="8"/>
        <v>1.4210526315789475E-3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input_5!A$2</f>
        <v>3085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IFERROR(VLOOKUP(D141,input_5!L:T,9,FALSE),VLOOKUP(tables_5!B141,input_5!A:H,8,FALSE))</f>
        <v>46575</v>
      </c>
      <c r="M141" s="69">
        <f t="shared" si="8"/>
        <v>1.5789473684210527E-4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input_5!A$2</f>
        <v>3085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IFERROR(VLOOKUP(D142,input_5!L:T,9,FALSE),VLOOKUP(tables_5!B142,input_5!A:H,8,FALSE))</f>
        <v>1592865</v>
      </c>
      <c r="M142" s="69">
        <f t="shared" si="8"/>
        <v>5.4000000000000003E-3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input_5!A$2</f>
        <v>3085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IFERROR(VLOOKUP(D143,input_5!L:T,9,FALSE),VLOOKUP(tables_5!B143,input_5!A:H,8,FALSE))</f>
        <v>176985</v>
      </c>
      <c r="M143" s="69">
        <f t="shared" si="8"/>
        <v>5.9999999999999995E-4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input_5!A$2</f>
        <v>3085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IFERROR(VLOOKUP(D144,input_5!L:T,9,FALSE),VLOOKUP(tables_5!B144,input_5!A:H,8,FALSE))</f>
        <v>419175</v>
      </c>
      <c r="M144" s="69">
        <f t="shared" si="8"/>
        <v>1.4210526315789475E-3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input_5!A$2</f>
        <v>3085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IFERROR(VLOOKUP(D145,input_5!L:T,9,FALSE),VLOOKUP(tables_5!B145,input_5!A:H,8,FALSE))</f>
        <v>46575</v>
      </c>
      <c r="M145" s="69">
        <f t="shared" si="8"/>
        <v>1.5789473684210527E-4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input_5!A$2</f>
        <v>3085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IFERROR(VLOOKUP(D146,input_5!L:T,9,FALSE),VLOOKUP(tables_5!B146,input_5!A:H,8,FALSE))</f>
        <v>0</v>
      </c>
      <c r="M146" s="69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input_5!A$2</f>
        <v>3085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IFERROR(VLOOKUP(D147,input_5!L:T,9,FALSE),VLOOKUP(tables_5!B147,input_5!A:H,8,FALSE))</f>
        <v>1149120</v>
      </c>
      <c r="M147" s="69">
        <f t="shared" si="8"/>
        <v>3.8956521739130436E-3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input_5!A$2</f>
        <v>3085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IFERROR(VLOOKUP(D148,input_5!L:T,9,FALSE),VLOOKUP(tables_5!B148,input_5!A:H,8,FALSE))</f>
        <v>61560</v>
      </c>
      <c r="M148" s="69">
        <f t="shared" si="8"/>
        <v>2.0869565217391305E-4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input_5!A$2</f>
        <v>3085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IFERROR(VLOOKUP(D149,input_5!L:T,9,FALSE),VLOOKUP(tables_5!B149,input_5!A:H,8,FALSE))</f>
        <v>419175</v>
      </c>
      <c r="M149" s="69">
        <f t="shared" si="8"/>
        <v>1.4210526315789475E-3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input_5!A$2</f>
        <v>3085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IFERROR(VLOOKUP(D150,input_5!L:T,9,FALSE),VLOOKUP(tables_5!B150,input_5!A:H,8,FALSE))</f>
        <v>46575</v>
      </c>
      <c r="M150" s="69">
        <f t="shared" si="8"/>
        <v>1.5789473684210527E-4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input_5!A$2</f>
        <v>3085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IFERROR(VLOOKUP(D151,input_5!L:T,9,FALSE),VLOOKUP(tables_5!B151,input_5!A:H,8,FALSE))</f>
        <v>1592865</v>
      </c>
      <c r="M151" s="69">
        <f t="shared" si="8"/>
        <v>5.4000000000000003E-3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input_5!A$2</f>
        <v>3085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IFERROR(VLOOKUP(D152,input_5!L:T,9,FALSE),VLOOKUP(tables_5!B152,input_5!A:H,8,FALSE))</f>
        <v>176985</v>
      </c>
      <c r="M152" s="69">
        <f t="shared" si="8"/>
        <v>5.9999999999999995E-4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input_5!A$2</f>
        <v>3085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IFERROR(VLOOKUP(D153,input_5!L:T,9,FALSE),VLOOKUP(tables_5!B153,input_5!A:H,8,FALSE))</f>
        <v>0</v>
      </c>
      <c r="M153" s="69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input_5!A$2</f>
        <v>3085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IFERROR(VLOOKUP(D154,input_5!L:T,9,FALSE),VLOOKUP(tables_5!B154,input_5!A:H,8,FALSE))</f>
        <v>1149120</v>
      </c>
      <c r="M154" s="69">
        <f t="shared" si="8"/>
        <v>3.8956521739130436E-3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input_5!A$2</f>
        <v>3085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IFERROR(VLOOKUP(D155,input_5!L:T,9,FALSE),VLOOKUP(tables_5!B155,input_5!A:H,8,FALSE))</f>
        <v>61560</v>
      </c>
      <c r="M155" s="69">
        <f t="shared" si="8"/>
        <v>2.0869565217391305E-4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input_5!A$2</f>
        <v>3085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IFERROR(VLOOKUP(D156,input_5!L:T,9,FALSE),VLOOKUP(tables_5!B156,input_5!A:H,8,FALSE))</f>
        <v>419175</v>
      </c>
      <c r="M156" s="69">
        <f t="shared" si="8"/>
        <v>1.4210526315789475E-3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input_5!A$2</f>
        <v>3085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IFERROR(VLOOKUP(D157,input_5!L:T,9,FALSE),VLOOKUP(tables_5!B157,input_5!A:H,8,FALSE))</f>
        <v>46575</v>
      </c>
      <c r="M157" s="69">
        <f t="shared" si="8"/>
        <v>1.5789473684210527E-4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input_5!A$2</f>
        <v>3085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IFERROR(VLOOKUP(D158,input_5!L:T,9,FALSE),VLOOKUP(tables_5!B158,input_5!A:H,8,FALSE))</f>
        <v>0</v>
      </c>
      <c r="M158" s="69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input_5!A$2</f>
        <v>3085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IFERROR(VLOOKUP(D159,input_5!L:T,9,FALSE),VLOOKUP(tables_5!B159,input_5!A:H,8,FALSE))</f>
        <v>1149120</v>
      </c>
      <c r="M159" s="69">
        <f t="shared" si="8"/>
        <v>3.8956521739130436E-3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input_5!A$2</f>
        <v>3085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IFERROR(VLOOKUP(D160,input_5!L:T,9,FALSE),VLOOKUP(tables_5!B160,input_5!A:H,8,FALSE))</f>
        <v>61560</v>
      </c>
      <c r="M160" s="69">
        <f t="shared" si="8"/>
        <v>2.0869565217391305E-4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input_5!A$2</f>
        <v>3085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IFERROR(VLOOKUP(D161,input_5!L:T,9,FALSE),VLOOKUP(tables_5!B161,input_5!A:H,8,FALSE))</f>
        <v>0</v>
      </c>
      <c r="M161" s="69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input_5!A$2</f>
        <v>3085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IFERROR(VLOOKUP(D162,input_5!L:T,9,FALSE),VLOOKUP(tables_5!B162,input_5!A:H,8,FALSE))</f>
        <v>6852160</v>
      </c>
      <c r="M162" s="69">
        <f t="shared" si="8"/>
        <v>2.3229629629629631E-2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input_5!A$2</f>
        <v>3085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IFERROR(VLOOKUP(D163,input_5!L:T,9,FALSE),VLOOKUP(tables_5!B163,input_5!A:H,8,FALSE))</f>
        <v>367080</v>
      </c>
      <c r="M163" s="69">
        <f t="shared" si="8"/>
        <v>1.2444444444444445E-3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input_5!A$2</f>
        <v>3085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IFERROR(VLOOKUP(D164,input_5!L:T,9,FALSE),VLOOKUP(tables_5!B164,input_5!A:H,8,FALSE))</f>
        <v>419175</v>
      </c>
      <c r="M164" s="69">
        <f t="shared" si="8"/>
        <v>1.4210526315789475E-3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input_5!A$2</f>
        <v>3085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IFERROR(VLOOKUP(D165,input_5!L:T,9,FALSE),VLOOKUP(tables_5!B165,input_5!A:H,8,FALSE))</f>
        <v>46575</v>
      </c>
      <c r="M165" s="69">
        <f t="shared" si="8"/>
        <v>1.5789473684210527E-4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input_5!A$2</f>
        <v>3085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IFERROR(VLOOKUP(D166,input_5!L:T,9,FALSE),VLOOKUP(tables_5!B166,input_5!A:H,8,FALSE))</f>
        <v>0</v>
      </c>
      <c r="M166" s="69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input_5!A$2</f>
        <v>3085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IFERROR(VLOOKUP(D167,input_5!L:T,9,FALSE),VLOOKUP(tables_5!B167,input_5!A:H,8,FALSE))</f>
        <v>1149120</v>
      </c>
      <c r="M167" s="69">
        <f t="shared" si="8"/>
        <v>3.8956521739130436E-3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input_5!A$2</f>
        <v>3085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IFERROR(VLOOKUP(D168,input_5!L:T,9,FALSE),VLOOKUP(tables_5!B168,input_5!A:H,8,FALSE))</f>
        <v>61560</v>
      </c>
      <c r="M168" s="69">
        <f t="shared" si="8"/>
        <v>2.0869565217391305E-4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input_5!A$2</f>
        <v>3085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IFERROR(VLOOKUP(D169,input_5!L:T,9,FALSE),VLOOKUP(tables_5!B169,input_5!A:H,8,FALSE))</f>
        <v>419175</v>
      </c>
      <c r="M169" s="69">
        <f t="shared" si="8"/>
        <v>1.4210526315789475E-3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input_5!A$2</f>
        <v>3085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IFERROR(VLOOKUP(D170,input_5!L:T,9,FALSE),VLOOKUP(tables_5!B170,input_5!A:H,8,FALSE))</f>
        <v>46575</v>
      </c>
      <c r="M170" s="69">
        <f t="shared" si="8"/>
        <v>1.5789473684210527E-4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input_5!A$2</f>
        <v>3085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IFERROR(VLOOKUP(D171,input_5!L:T,9,FALSE),VLOOKUP(tables_5!B171,input_5!A:H,8,FALSE))</f>
        <v>0</v>
      </c>
      <c r="M171" s="69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input_5!A$2</f>
        <v>3085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IFERROR(VLOOKUP(D172,input_5!L:T,9,FALSE),VLOOKUP(tables_5!B172,input_5!A:H,8,FALSE))</f>
        <v>6852160</v>
      </c>
      <c r="M172" s="69">
        <f t="shared" si="8"/>
        <v>2.3229629629629631E-2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input_5!A$2</f>
        <v>3085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IFERROR(VLOOKUP(D173,input_5!L:T,9,FALSE),VLOOKUP(tables_5!B173,input_5!A:H,8,FALSE))</f>
        <v>367080</v>
      </c>
      <c r="M173" s="69">
        <f t="shared" si="8"/>
        <v>1.2444444444444445E-3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input_5!A$2</f>
        <v>3085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IFERROR(VLOOKUP(D174,input_5!L:T,9,FALSE),VLOOKUP(tables_5!B174,input_5!A:H,8,FALSE))</f>
        <v>419175</v>
      </c>
      <c r="M174" s="69">
        <f t="shared" si="8"/>
        <v>1.4210526315789475E-3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input_5!A$2</f>
        <v>3085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IFERROR(VLOOKUP(D175,input_5!L:T,9,FALSE),VLOOKUP(tables_5!B175,input_5!A:H,8,FALSE))</f>
        <v>46575</v>
      </c>
      <c r="M175" s="69">
        <f t="shared" si="8"/>
        <v>1.5789473684210527E-4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input_5!A$2</f>
        <v>3085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IFERROR(VLOOKUP(D176,input_5!L:T,9,FALSE),VLOOKUP(tables_5!B176,input_5!A:H,8,FALSE))</f>
        <v>419175</v>
      </c>
      <c r="M176" s="69">
        <f t="shared" si="8"/>
        <v>1.4210526315789475E-3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input_5!A$2</f>
        <v>3085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IFERROR(VLOOKUP(D177,input_5!L:T,9,FALSE),VLOOKUP(tables_5!B177,input_5!A:H,8,FALSE))</f>
        <v>46575</v>
      </c>
      <c r="M177" s="69">
        <f t="shared" si="8"/>
        <v>1.5789473684210527E-4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input_5!A$2</f>
        <v>3085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IFERROR(VLOOKUP(D178,input_5!L:T,9,FALSE),VLOOKUP(tables_5!B178,input_5!A:H,8,FALSE))</f>
        <v>0</v>
      </c>
      <c r="M178" s="69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input_5!A$2</f>
        <v>3085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IFERROR(VLOOKUP(D179,input_5!L:T,9,FALSE),VLOOKUP(tables_5!B179,input_5!A:H,8,FALSE))</f>
        <v>1149120</v>
      </c>
      <c r="M179" s="69">
        <f t="shared" si="8"/>
        <v>3.8956521739130436E-3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input_5!A$2</f>
        <v>3085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IFERROR(VLOOKUP(D180,input_5!L:T,9,FALSE),VLOOKUP(tables_5!B180,input_5!A:H,8,FALSE))</f>
        <v>61560</v>
      </c>
      <c r="M180" s="69">
        <f t="shared" si="8"/>
        <v>2.0869565217391305E-4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input_5!A$2</f>
        <v>3085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IFERROR(VLOOKUP(D181,input_5!L:T,9,FALSE),VLOOKUP(tables_5!B181,input_5!A:H,8,FALSE))</f>
        <v>0</v>
      </c>
      <c r="M181" s="69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input_5!A$2</f>
        <v>3085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IFERROR(VLOOKUP(D182,input_5!L:T,9,FALSE),VLOOKUP(tables_5!B182,input_5!A:H,8,FALSE))</f>
        <v>6852160</v>
      </c>
      <c r="M182" s="69">
        <f t="shared" si="8"/>
        <v>2.3229629629629631E-2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input_5!A$2</f>
        <v>3085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IFERROR(VLOOKUP(D183,input_5!L:T,9,FALSE),VLOOKUP(tables_5!B183,input_5!A:H,8,FALSE))</f>
        <v>367080</v>
      </c>
      <c r="M183" s="69">
        <f t="shared" si="8"/>
        <v>1.2444444444444445E-3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input_5!A$2</f>
        <v>3085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IFERROR(VLOOKUP(D184,input_5!L:T,9,FALSE),VLOOKUP(tables_5!B184,input_5!A:H,8,FALSE))</f>
        <v>419175</v>
      </c>
      <c r="M184" s="69">
        <f t="shared" si="8"/>
        <v>1.4210526315789475E-3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input_5!A$2</f>
        <v>3085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IFERROR(VLOOKUP(D185,input_5!L:T,9,FALSE),VLOOKUP(tables_5!B185,input_5!A:H,8,FALSE))</f>
        <v>46575</v>
      </c>
      <c r="M185" s="69">
        <f t="shared" si="8"/>
        <v>1.5789473684210527E-4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input_5!A$2</f>
        <v>3085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IFERROR(VLOOKUP(D186,input_5!L:T,9,FALSE),VLOOKUP(tables_5!B186,input_5!A:H,8,FALSE))</f>
        <v>0</v>
      </c>
      <c r="M186" s="69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input_5!A$2</f>
        <v>3085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IFERROR(VLOOKUP(D187,input_5!L:T,9,FALSE),VLOOKUP(tables_5!B187,input_5!A:H,8,FALSE))</f>
        <v>1149120</v>
      </c>
      <c r="M187" s="69">
        <f t="shared" si="8"/>
        <v>3.8956521739130436E-3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input_5!A$2</f>
        <v>3085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IFERROR(VLOOKUP(D188,input_5!L:T,9,FALSE),VLOOKUP(tables_5!B188,input_5!A:H,8,FALSE))</f>
        <v>61560</v>
      </c>
      <c r="M188" s="69">
        <f t="shared" si="8"/>
        <v>2.0869565217391305E-4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input_5!A$2</f>
        <v>3085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IFERROR(VLOOKUP(D189,input_5!L:T,9,FALSE),VLOOKUP(tables_5!B189,input_5!A:H,8,FALSE))</f>
        <v>419175</v>
      </c>
      <c r="M189" s="69">
        <f t="shared" si="8"/>
        <v>1.4210526315789475E-3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input_5!A$2</f>
        <v>3085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IFERROR(VLOOKUP(D190,input_5!L:T,9,FALSE),VLOOKUP(tables_5!B190,input_5!A:H,8,FALSE))</f>
        <v>46575</v>
      </c>
      <c r="M190" s="69">
        <f t="shared" si="8"/>
        <v>1.5789473684210527E-4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input_5!A$2</f>
        <v>3085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IFERROR(VLOOKUP(D191,input_5!L:T,9,FALSE),VLOOKUP(tables_5!B191,input_5!A:H,8,FALSE))</f>
        <v>1592865</v>
      </c>
      <c r="M191" s="69">
        <f t="shared" si="8"/>
        <v>5.4000000000000003E-3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input_5!A$2</f>
        <v>3085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IFERROR(VLOOKUP(D192,input_5!L:T,9,FALSE),VLOOKUP(tables_5!B192,input_5!A:H,8,FALSE))</f>
        <v>176985</v>
      </c>
      <c r="M192" s="69">
        <f t="shared" si="8"/>
        <v>5.9999999999999995E-4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input_5!A$2</f>
        <v>3085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IFERROR(VLOOKUP(D193,input_5!L:T,9,FALSE),VLOOKUP(tables_5!B193,input_5!A:H,8,FALSE))</f>
        <v>0</v>
      </c>
      <c r="M193" s="69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input_5!A$2</f>
        <v>3085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IFERROR(VLOOKUP(D194,input_5!L:T,9,FALSE),VLOOKUP(tables_5!B194,input_5!A:H,8,FALSE))</f>
        <v>1149120</v>
      </c>
      <c r="M194" s="69">
        <f t="shared" si="8"/>
        <v>3.8956521739130436E-3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input_5!A$2</f>
        <v>3085</v>
      </c>
      <c r="B195" s="7" t="str">
        <f t="shared" ref="B195:B246" si="9">F195&amp;G195&amp;C195</f>
        <v>PremiumS5other</v>
      </c>
      <c r="C195" s="7" t="str">
        <f t="shared" ref="C195:C246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IFERROR(VLOOKUP(D195,input_5!L:T,9,FALSE),VLOOKUP(tables_5!B195,input_5!A:H,8,FALSE))</f>
        <v>61560</v>
      </c>
      <c r="M195" s="69">
        <f t="shared" ref="M195:M246" si="11">L195/SUM(L:L)</f>
        <v>2.0869565217391305E-4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input_5!A$2</f>
        <v>3085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IFERROR(VLOOKUP(D196,input_5!L:T,9,FALSE),VLOOKUP(tables_5!B196,input_5!A:H,8,FALSE))</f>
        <v>419175</v>
      </c>
      <c r="M196" s="69">
        <f t="shared" si="11"/>
        <v>1.4210526315789475E-3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input_5!A$2</f>
        <v>3085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IFERROR(VLOOKUP(D197,input_5!L:T,9,FALSE),VLOOKUP(tables_5!B197,input_5!A:H,8,FALSE))</f>
        <v>46575</v>
      </c>
      <c r="M197" s="69">
        <f t="shared" si="11"/>
        <v>1.5789473684210527E-4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input_5!A$2</f>
        <v>3085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IFERROR(VLOOKUP(D198,input_5!L:T,9,FALSE),VLOOKUP(tables_5!B198,input_5!A:H,8,FALSE))</f>
        <v>0</v>
      </c>
      <c r="M198" s="69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input_5!A$2</f>
        <v>3085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IFERROR(VLOOKUP(D199,input_5!L:T,9,FALSE),VLOOKUP(tables_5!B199,input_5!A:H,8,FALSE))</f>
        <v>1149120</v>
      </c>
      <c r="M199" s="69">
        <f t="shared" si="11"/>
        <v>3.8956521739130436E-3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input_5!A$2</f>
        <v>3085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IFERROR(VLOOKUP(D200,input_5!L:T,9,FALSE),VLOOKUP(tables_5!B200,input_5!A:H,8,FALSE))</f>
        <v>61560</v>
      </c>
      <c r="M200" s="69">
        <f t="shared" si="11"/>
        <v>2.0869565217391305E-4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input_5!A$2</f>
        <v>3085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IFERROR(VLOOKUP(D201,input_5!L:T,9,FALSE),VLOOKUP(tables_5!B201,input_5!A:H,8,FALSE))</f>
        <v>1592865</v>
      </c>
      <c r="M201" s="69">
        <f t="shared" si="11"/>
        <v>5.4000000000000003E-3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input_5!A$2</f>
        <v>3085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IFERROR(VLOOKUP(D202,input_5!L:T,9,FALSE),VLOOKUP(tables_5!B202,input_5!A:H,8,FALSE))</f>
        <v>176985</v>
      </c>
      <c r="M202" s="69">
        <f t="shared" si="11"/>
        <v>5.9999999999999995E-4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input_5!A$2</f>
        <v>3085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IFERROR(VLOOKUP(D203,input_5!L:T,9,FALSE),VLOOKUP(tables_5!B203,input_5!A:H,8,FALSE))</f>
        <v>0</v>
      </c>
      <c r="M203" s="69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input_5!A$2</f>
        <v>3085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IFERROR(VLOOKUP(D204,input_5!L:T,9,FALSE),VLOOKUP(tables_5!B204,input_5!A:H,8,FALSE))</f>
        <v>1149120</v>
      </c>
      <c r="M204" s="69">
        <f t="shared" si="11"/>
        <v>3.8956521739130436E-3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input_5!A$2</f>
        <v>3085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IFERROR(VLOOKUP(D205,input_5!L:T,9,FALSE),VLOOKUP(tables_5!B205,input_5!A:H,8,FALSE))</f>
        <v>61560</v>
      </c>
      <c r="M205" s="69">
        <f t="shared" si="11"/>
        <v>2.0869565217391305E-4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input_5!A$2</f>
        <v>3085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IFERROR(VLOOKUP(D206,input_5!L:T,9,FALSE),VLOOKUP(tables_5!B206,input_5!A:H,8,FALSE))</f>
        <v>419175</v>
      </c>
      <c r="M206" s="69">
        <f t="shared" si="11"/>
        <v>1.4210526315789475E-3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input_5!A$2</f>
        <v>3085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IFERROR(VLOOKUP(D207,input_5!L:T,9,FALSE),VLOOKUP(tables_5!B207,input_5!A:H,8,FALSE))</f>
        <v>46575</v>
      </c>
      <c r="M207" s="69">
        <f t="shared" si="11"/>
        <v>1.5789473684210527E-4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input_5!A$2</f>
        <v>3085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IFERROR(VLOOKUP(D208,input_5!L:T,9,FALSE),VLOOKUP(tables_5!B208,input_5!A:H,8,FALSE))</f>
        <v>419175</v>
      </c>
      <c r="M208" s="69">
        <f t="shared" si="11"/>
        <v>1.4210526315789475E-3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input_5!A$2</f>
        <v>3085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IFERROR(VLOOKUP(D209,input_5!L:T,9,FALSE),VLOOKUP(tables_5!B209,input_5!A:H,8,FALSE))</f>
        <v>46575</v>
      </c>
      <c r="M209" s="69">
        <f t="shared" si="11"/>
        <v>1.5789473684210527E-4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input_5!A$2</f>
        <v>3085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IFERROR(VLOOKUP(D210,input_5!L:T,9,FALSE),VLOOKUP(tables_5!B210,input_5!A:H,8,FALSE))</f>
        <v>0</v>
      </c>
      <c r="M210" s="69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input_5!A$2</f>
        <v>3085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IFERROR(VLOOKUP(D211,input_5!L:T,9,FALSE),VLOOKUP(tables_5!B211,input_5!A:H,8,FALSE))</f>
        <v>6852160</v>
      </c>
      <c r="M211" s="69">
        <f t="shared" si="11"/>
        <v>2.3229629629629631E-2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input_5!A$2</f>
        <v>3085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IFERROR(VLOOKUP(D212,input_5!L:T,9,FALSE),VLOOKUP(tables_5!B212,input_5!A:H,8,FALSE))</f>
        <v>367080</v>
      </c>
      <c r="M212" s="69">
        <f t="shared" si="11"/>
        <v>1.2444444444444445E-3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input_5!A$2</f>
        <v>3085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IFERROR(VLOOKUP(D213,input_5!L:T,9,FALSE),VLOOKUP(tables_5!B213,input_5!A:H,8,FALSE))</f>
        <v>419175</v>
      </c>
      <c r="M213" s="69">
        <f t="shared" si="11"/>
        <v>1.4210526315789475E-3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input_5!A$2</f>
        <v>3085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IFERROR(VLOOKUP(D214,input_5!L:T,9,FALSE),VLOOKUP(tables_5!B214,input_5!A:H,8,FALSE))</f>
        <v>46575</v>
      </c>
      <c r="M214" s="69">
        <f t="shared" si="11"/>
        <v>1.5789473684210527E-4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input_5!A$2</f>
        <v>3085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IFERROR(VLOOKUP(D215,input_5!L:T,9,FALSE),VLOOKUP(tables_5!B215,input_5!A:H,8,FALSE))</f>
        <v>419175</v>
      </c>
      <c r="M215" s="69">
        <f t="shared" si="11"/>
        <v>1.4210526315789475E-3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input_5!A$2</f>
        <v>3085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IFERROR(VLOOKUP(D216,input_5!L:T,9,FALSE),VLOOKUP(tables_5!B216,input_5!A:H,8,FALSE))</f>
        <v>46575</v>
      </c>
      <c r="M216" s="69">
        <f t="shared" si="11"/>
        <v>1.5789473684210527E-4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input_5!A$2</f>
        <v>3085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IFERROR(VLOOKUP(D217,input_5!L:T,9,FALSE),VLOOKUP(tables_5!B217,input_5!A:H,8,FALSE))</f>
        <v>0</v>
      </c>
      <c r="M217" s="69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input_5!A$2</f>
        <v>3085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IFERROR(VLOOKUP(D218,input_5!L:T,9,FALSE),VLOOKUP(tables_5!B218,input_5!A:H,8,FALSE))</f>
        <v>1149120</v>
      </c>
      <c r="M218" s="69">
        <f t="shared" si="11"/>
        <v>3.8956521739130436E-3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input_5!A$2</f>
        <v>3085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IFERROR(VLOOKUP(D219,input_5!L:T,9,FALSE),VLOOKUP(tables_5!B219,input_5!A:H,8,FALSE))</f>
        <v>61560</v>
      </c>
      <c r="M219" s="69">
        <f t="shared" si="11"/>
        <v>2.0869565217391305E-4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input_5!A$2</f>
        <v>3085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IFERROR(VLOOKUP(D220,input_5!L:T,9,FALSE),VLOOKUP(tables_5!B220,input_5!A:H,8,FALSE))</f>
        <v>0</v>
      </c>
      <c r="M220" s="69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input_5!A$2</f>
        <v>3085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IFERROR(VLOOKUP(D221,input_5!L:T,9,FALSE),VLOOKUP(tables_5!B221,input_5!A:H,8,FALSE))</f>
        <v>6852160</v>
      </c>
      <c r="M221" s="69">
        <f t="shared" si="11"/>
        <v>2.3229629629629631E-2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input_5!A$2</f>
        <v>3085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IFERROR(VLOOKUP(D222,input_5!L:T,9,FALSE),VLOOKUP(tables_5!B222,input_5!A:H,8,FALSE))</f>
        <v>367080</v>
      </c>
      <c r="M222" s="69">
        <f t="shared" si="11"/>
        <v>1.2444444444444445E-3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input_5!A$2</f>
        <v>3085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IFERROR(VLOOKUP(D223,input_5!L:T,9,FALSE),VLOOKUP(tables_5!B223,input_5!A:H,8,FALSE))</f>
        <v>419175</v>
      </c>
      <c r="M223" s="69">
        <f t="shared" si="11"/>
        <v>1.4210526315789475E-3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input_5!A$2</f>
        <v>3085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IFERROR(VLOOKUP(D224,input_5!L:T,9,FALSE),VLOOKUP(tables_5!B224,input_5!A:H,8,FALSE))</f>
        <v>46575</v>
      </c>
      <c r="M224" s="69">
        <f t="shared" si="11"/>
        <v>1.5789473684210527E-4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input_5!A$2</f>
        <v>3085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IFERROR(VLOOKUP(D225,input_5!L:T,9,FALSE),VLOOKUP(tables_5!B225,input_5!A:H,8,FALSE))</f>
        <v>0</v>
      </c>
      <c r="M225" s="69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input_5!A$2</f>
        <v>3085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IFERROR(VLOOKUP(D226,input_5!L:T,9,FALSE),VLOOKUP(tables_5!B226,input_5!A:H,8,FALSE))</f>
        <v>1149120</v>
      </c>
      <c r="M226" s="69">
        <f t="shared" si="11"/>
        <v>3.8956521739130436E-3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input_5!A$2</f>
        <v>3085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IFERROR(VLOOKUP(D227,input_5!L:T,9,FALSE),VLOOKUP(tables_5!B227,input_5!A:H,8,FALSE))</f>
        <v>61560</v>
      </c>
      <c r="M227" s="69">
        <f t="shared" si="11"/>
        <v>2.0869565217391305E-4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input_5!A$2</f>
        <v>3085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IFERROR(VLOOKUP(D228,input_5!L:T,9,FALSE),VLOOKUP(tables_5!B228,input_5!A:H,8,FALSE))</f>
        <v>0</v>
      </c>
      <c r="M228" s="69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input_5!A$2</f>
        <v>3085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IFERROR(VLOOKUP(D229,input_5!L:T,9,FALSE),VLOOKUP(tables_5!B229,input_5!A:H,8,FALSE))</f>
        <v>1149120</v>
      </c>
      <c r="M229" s="69">
        <f t="shared" si="11"/>
        <v>3.8956521739130436E-3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input_5!A$2</f>
        <v>3085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IFERROR(VLOOKUP(D230,input_5!L:T,9,FALSE),VLOOKUP(tables_5!B230,input_5!A:H,8,FALSE))</f>
        <v>61560</v>
      </c>
      <c r="M230" s="69">
        <f t="shared" si="11"/>
        <v>2.0869565217391305E-4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input_5!A$2</f>
        <v>3085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IFERROR(VLOOKUP(D231,input_5!L:T,9,FALSE),VLOOKUP(tables_5!B231,input_5!A:H,8,FALSE))</f>
        <v>1592865</v>
      </c>
      <c r="M231" s="69">
        <f t="shared" si="11"/>
        <v>5.4000000000000003E-3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input_5!A$2</f>
        <v>3085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IFERROR(VLOOKUP(D232,input_5!L:T,9,FALSE),VLOOKUP(tables_5!B232,input_5!A:H,8,FALSE))</f>
        <v>176985</v>
      </c>
      <c r="M232" s="69">
        <f t="shared" si="11"/>
        <v>5.9999999999999995E-4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input_5!A$2</f>
        <v>3085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IFERROR(VLOOKUP(D233,input_5!L:T,9,FALSE),VLOOKUP(tables_5!B233,input_5!A:H,8,FALSE))</f>
        <v>0</v>
      </c>
      <c r="M233" s="69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input_5!A$2</f>
        <v>3085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IFERROR(VLOOKUP(D234,input_5!L:T,9,FALSE),VLOOKUP(tables_5!B234,input_5!A:H,8,FALSE))</f>
        <v>1149120</v>
      </c>
      <c r="M234" s="69">
        <f t="shared" si="11"/>
        <v>3.8956521739130436E-3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input_5!A$2</f>
        <v>3085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IFERROR(VLOOKUP(D235,input_5!L:T,9,FALSE),VLOOKUP(tables_5!B235,input_5!A:H,8,FALSE))</f>
        <v>61560</v>
      </c>
      <c r="M235" s="69">
        <f t="shared" si="11"/>
        <v>2.0869565217391305E-4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input_5!A$2</f>
        <v>3085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IFERROR(VLOOKUP(D236,input_5!L:T,9,FALSE),VLOOKUP(tables_5!B236,input_5!A:H,8,FALSE))</f>
        <v>419175</v>
      </c>
      <c r="M236" s="69">
        <f t="shared" si="11"/>
        <v>1.4210526315789475E-3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input_5!A$2</f>
        <v>3085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IFERROR(VLOOKUP(D237,input_5!L:T,9,FALSE),VLOOKUP(tables_5!B237,input_5!A:H,8,FALSE))</f>
        <v>46575</v>
      </c>
      <c r="M237" s="69">
        <f t="shared" si="11"/>
        <v>1.5789473684210527E-4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input_5!A$2</f>
        <v>3085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IFERROR(VLOOKUP(D238,input_5!L:T,9,FALSE),VLOOKUP(tables_5!B238,input_5!A:H,8,FALSE))</f>
        <v>419175</v>
      </c>
      <c r="M238" s="69">
        <f t="shared" si="11"/>
        <v>1.4210526315789475E-3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input_5!A$2</f>
        <v>3085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IFERROR(VLOOKUP(D239,input_5!L:T,9,FALSE),VLOOKUP(tables_5!B239,input_5!A:H,8,FALSE))</f>
        <v>46575</v>
      </c>
      <c r="M239" s="69">
        <f t="shared" si="11"/>
        <v>1.5789473684210527E-4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input_5!A$2</f>
        <v>3085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IFERROR(VLOOKUP(D240,input_5!L:T,9,FALSE),VLOOKUP(tables_5!B240,input_5!A:H,8,FALSE))</f>
        <v>0</v>
      </c>
      <c r="M240" s="69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input_5!A$2</f>
        <v>3085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IFERROR(VLOOKUP(D241,input_5!L:T,9,FALSE),VLOOKUP(tables_5!B241,input_5!A:H,8,FALSE))</f>
        <v>6852160</v>
      </c>
      <c r="M241" s="69">
        <f t="shared" si="11"/>
        <v>2.3229629629629631E-2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input_5!A$2</f>
        <v>3085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IFERROR(VLOOKUP(D242,input_5!L:T,9,FALSE),VLOOKUP(tables_5!B242,input_5!A:H,8,FALSE))</f>
        <v>367080</v>
      </c>
      <c r="M242" s="69">
        <f t="shared" si="11"/>
        <v>1.2444444444444445E-3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input_5!A$2</f>
        <v>3085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IFERROR(VLOOKUP(D243,input_5!L:T,9,FALSE),VLOOKUP(tables_5!B243,input_5!A:H,8,FALSE))</f>
        <v>0</v>
      </c>
      <c r="M243" s="69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input_5!A$2</f>
        <v>3085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IFERROR(VLOOKUP(D244,input_5!L:T,9,FALSE),VLOOKUP(tables_5!B244,input_5!A:H,8,FALSE))</f>
        <v>1149120</v>
      </c>
      <c r="M244" s="69">
        <f t="shared" si="11"/>
        <v>3.8956521739130436E-3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input_5!A$2</f>
        <v>3085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IFERROR(VLOOKUP(D245,input_5!L:T,9,FALSE),VLOOKUP(tables_5!B245,input_5!A:H,8,FALSE))</f>
        <v>61560</v>
      </c>
      <c r="M245" s="69">
        <f t="shared" si="11"/>
        <v>2.0869565217391305E-4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input_5!A$2</f>
        <v>3085</v>
      </c>
      <c r="B246" s="7" t="str">
        <f t="shared" si="9"/>
        <v>PremiumSSS5blue</v>
      </c>
      <c r="C246" s="7" t="str">
        <f t="shared" si="10"/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IFERROR(VLOOKUP(D246,input_5!L:T,9,FALSE),VLOOKUP(tables_5!B246,input_5!A:H,8,FALSE))</f>
        <v>3539700</v>
      </c>
      <c r="M246" s="69">
        <f t="shared" si="11"/>
        <v>1.2E-2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U75"/>
  <sheetViews>
    <sheetView topLeftCell="A46" workbookViewId="0">
      <selection activeCell="B46" sqref="B46"/>
    </sheetView>
  </sheetViews>
  <sheetFormatPr baseColWidth="12" defaultRowHeight="14" x14ac:dyDescent="0"/>
  <sheetData>
    <row r="1" spans="1:20">
      <c r="A1" s="72" t="s">
        <v>106</v>
      </c>
      <c r="B1" s="92" t="s">
        <v>141</v>
      </c>
      <c r="L1" s="55" t="s">
        <v>80</v>
      </c>
      <c r="M1" s="55"/>
    </row>
    <row r="2" spans="1:20">
      <c r="A2">
        <v>3086</v>
      </c>
      <c r="L2" s="47" t="s">
        <v>1</v>
      </c>
      <c r="M2" s="54" t="s">
        <v>84</v>
      </c>
      <c r="N2" s="47" t="s">
        <v>82</v>
      </c>
      <c r="O2" s="54" t="s">
        <v>85</v>
      </c>
      <c r="P2" s="54" t="s">
        <v>86</v>
      </c>
      <c r="Q2" s="54" t="s">
        <v>55</v>
      </c>
      <c r="R2" s="54" t="s">
        <v>129</v>
      </c>
      <c r="S2" s="54" t="s">
        <v>83</v>
      </c>
      <c r="T2" s="67" t="s">
        <v>96</v>
      </c>
    </row>
    <row r="3" spans="1:20">
      <c r="L3" s="47"/>
      <c r="M3" s="54"/>
      <c r="N3" s="52"/>
      <c r="O3" s="54"/>
      <c r="P3" s="54"/>
      <c r="Q3" s="54"/>
      <c r="R3" s="54"/>
      <c r="S3" s="54"/>
    </row>
    <row r="4" spans="1:20">
      <c r="A4" s="49" t="s">
        <v>69</v>
      </c>
      <c r="B4" s="49"/>
      <c r="L4" s="47"/>
      <c r="M4" s="54"/>
      <c r="N4" s="52"/>
      <c r="O4" s="54"/>
      <c r="P4" s="54"/>
      <c r="Q4" s="54"/>
      <c r="R4" s="54"/>
      <c r="S4" s="54"/>
    </row>
    <row r="5" spans="1:20">
      <c r="A5" s="47" t="s">
        <v>88</v>
      </c>
      <c r="B5" s="48">
        <f>1-B6-B7</f>
        <v>0</v>
      </c>
      <c r="L5" s="47"/>
      <c r="M5" s="54"/>
      <c r="N5" s="52"/>
      <c r="O5" s="54"/>
      <c r="P5" s="54"/>
      <c r="Q5" s="54"/>
      <c r="R5" s="54"/>
      <c r="S5" s="54"/>
    </row>
    <row r="6" spans="1:20">
      <c r="A6" s="47" t="s">
        <v>89</v>
      </c>
      <c r="B6" s="48">
        <v>0.95</v>
      </c>
      <c r="L6" s="47"/>
      <c r="M6" s="54"/>
      <c r="N6" s="52"/>
      <c r="O6" s="54"/>
      <c r="P6" s="54"/>
      <c r="Q6" s="54"/>
      <c r="R6" s="54"/>
      <c r="S6" s="54"/>
    </row>
    <row r="7" spans="1:20">
      <c r="A7" s="47" t="s">
        <v>90</v>
      </c>
      <c r="B7" s="48">
        <v>0.05</v>
      </c>
      <c r="L7" s="47"/>
      <c r="M7" s="54"/>
      <c r="N7" s="47"/>
      <c r="O7" s="54"/>
      <c r="P7" s="54"/>
      <c r="Q7" s="54"/>
      <c r="R7" s="54"/>
      <c r="S7" s="54"/>
    </row>
    <row r="8" spans="1:20">
      <c r="L8" s="47"/>
      <c r="M8" s="54"/>
      <c r="N8" s="47"/>
      <c r="O8" s="54"/>
      <c r="P8" s="54"/>
      <c r="Q8" s="54"/>
      <c r="R8" s="54"/>
      <c r="S8" s="54"/>
    </row>
    <row r="9" spans="1:20">
      <c r="A9" s="50" t="s">
        <v>70</v>
      </c>
      <c r="B9" s="50"/>
      <c r="L9" s="47"/>
      <c r="M9" s="54"/>
      <c r="N9" s="47"/>
      <c r="O9" s="54"/>
      <c r="P9" s="54"/>
      <c r="Q9" s="54"/>
      <c r="R9" s="54"/>
      <c r="S9" s="54"/>
    </row>
    <row r="10" spans="1:20">
      <c r="A10" s="62" t="s">
        <v>91</v>
      </c>
      <c r="B10" s="62"/>
      <c r="L10" s="47"/>
      <c r="M10" s="54"/>
      <c r="N10" s="47"/>
      <c r="O10" s="54"/>
      <c r="P10" s="54"/>
      <c r="Q10" s="54"/>
      <c r="R10" s="54"/>
      <c r="S10" s="54"/>
    </row>
    <row r="11" spans="1:20">
      <c r="A11" s="62" t="s">
        <v>92</v>
      </c>
      <c r="B11" s="62"/>
    </row>
    <row r="12" spans="1:20">
      <c r="A12" s="62" t="s">
        <v>93</v>
      </c>
      <c r="B12" s="62"/>
    </row>
    <row r="13" spans="1:20">
      <c r="A13" s="47" t="s">
        <v>73</v>
      </c>
      <c r="B13" s="85">
        <f>1-B14-B15</f>
        <v>0.91999999999999993</v>
      </c>
    </row>
    <row r="14" spans="1:20">
      <c r="A14" s="47" t="s">
        <v>72</v>
      </c>
      <c r="B14" s="86">
        <v>0.06</v>
      </c>
    </row>
    <row r="15" spans="1:20">
      <c r="A15" s="47" t="s">
        <v>71</v>
      </c>
      <c r="B15" s="85">
        <v>0.02</v>
      </c>
    </row>
    <row r="16" spans="1:20">
      <c r="A16" s="43"/>
      <c r="B16" s="79"/>
    </row>
    <row r="17" spans="1:21">
      <c r="A17" s="81" t="s">
        <v>120</v>
      </c>
      <c r="B17" s="82"/>
    </row>
    <row r="18" spans="1:21">
      <c r="A18" s="13" t="s">
        <v>130</v>
      </c>
      <c r="B18" s="87">
        <v>0.7</v>
      </c>
    </row>
    <row r="19" spans="1:21">
      <c r="A19" s="62" t="s">
        <v>64</v>
      </c>
      <c r="B19" s="52">
        <v>0.3</v>
      </c>
    </row>
    <row r="21" spans="1:21"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53" t="s">
        <v>75</v>
      </c>
      <c r="B22" s="53"/>
      <c r="C22" t="s">
        <v>107</v>
      </c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47" t="s">
        <v>78</v>
      </c>
      <c r="B23" s="47" t="s">
        <v>79</v>
      </c>
      <c r="C23" s="54" t="s">
        <v>80</v>
      </c>
      <c r="D23" s="54" t="s">
        <v>81</v>
      </c>
      <c r="E23" t="s">
        <v>95</v>
      </c>
      <c r="F23" t="s">
        <v>94</v>
      </c>
      <c r="G23" t="s">
        <v>97</v>
      </c>
      <c r="H23" t="s">
        <v>96</v>
      </c>
      <c r="I23" t="s">
        <v>98</v>
      </c>
      <c r="J23" t="s">
        <v>101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47" t="str">
        <f>"PremiumW3"&amp;A$18</f>
        <v>PremiumW3blue</v>
      </c>
      <c r="B24" s="51">
        <f>B$5/3*B18</f>
        <v>0</v>
      </c>
      <c r="C24" s="71">
        <f>SUMIF(S:S,A24,N:N)</f>
        <v>0</v>
      </c>
      <c r="D24" s="61">
        <f>B24-C24</f>
        <v>0</v>
      </c>
      <c r="E24">
        <f>COUNTIF(tables_6!B:B,input_6!A24)-COUNTIF(S:S,A24)</f>
        <v>5</v>
      </c>
      <c r="F24" s="66">
        <f>IFERROR(D24/E24,0)</f>
        <v>0</v>
      </c>
      <c r="G24">
        <f>A$49*D24</f>
        <v>0</v>
      </c>
      <c r="H24">
        <f>IFERROR(ROUND(G24/E24,5),0)</f>
        <v>0</v>
      </c>
      <c r="I24">
        <f>MOD(H24,1)</f>
        <v>0</v>
      </c>
      <c r="J24">
        <f>IFERROR(1/I24,1)</f>
        <v>1</v>
      </c>
      <c r="L24" s="80"/>
      <c r="M24" s="80"/>
      <c r="N24" s="83"/>
      <c r="O24" s="80"/>
      <c r="P24" s="80"/>
      <c r="Q24" s="80"/>
      <c r="R24" s="80"/>
      <c r="S24" s="80"/>
      <c r="T24" s="80"/>
      <c r="U24" s="80"/>
    </row>
    <row r="25" spans="1:21">
      <c r="A25" s="47" t="s">
        <v>122</v>
      </c>
      <c r="B25" s="51">
        <f>B$5/3*B19</f>
        <v>0</v>
      </c>
      <c r="C25" s="71">
        <f t="shared" ref="C25:C45" si="0">SUMIF(S:S,A25,N:N)</f>
        <v>0</v>
      </c>
      <c r="D25" s="61">
        <f t="shared" ref="D25:D45" si="1">B25-C25</f>
        <v>0</v>
      </c>
      <c r="E25">
        <f>COUNTIF(tables_6!B:B,input_6!A25)-COUNTIF(S:S,A25)</f>
        <v>15</v>
      </c>
      <c r="F25" s="66">
        <f t="shared" ref="F25:F45" si="2">IFERROR(D25/E25,0)</f>
        <v>0</v>
      </c>
      <c r="G25">
        <f t="shared" ref="G25:G45" si="3">A$49*D25</f>
        <v>0</v>
      </c>
      <c r="H25">
        <f t="shared" ref="H25:H45" si="4">IFERROR(ROUND(G25/E25,5),0)</f>
        <v>0</v>
      </c>
      <c r="I25">
        <f t="shared" ref="I25:I45" si="5">MOD(H25,1)</f>
        <v>0</v>
      </c>
      <c r="J25">
        <f t="shared" ref="J25:J45" si="6">IFERROR(1/I25,1)</f>
        <v>1</v>
      </c>
      <c r="L25" s="80"/>
      <c r="M25" s="80"/>
      <c r="N25" s="83"/>
      <c r="O25" s="80"/>
      <c r="P25" s="80"/>
      <c r="Q25" s="80"/>
      <c r="R25" s="80"/>
      <c r="S25" s="80"/>
      <c r="T25" s="80"/>
      <c r="U25" s="80"/>
    </row>
    <row r="26" spans="1:21">
      <c r="A26" s="47" t="str">
        <f>"PremiumN3"&amp;A$18</f>
        <v>PremiumN3blue</v>
      </c>
      <c r="B26" s="84">
        <f>B24</f>
        <v>0</v>
      </c>
      <c r="C26" s="71">
        <f t="shared" si="0"/>
        <v>0</v>
      </c>
      <c r="D26" s="61">
        <f t="shared" si="1"/>
        <v>0</v>
      </c>
      <c r="E26">
        <f>COUNTIF(tables_6!B:B,input_6!A26)-COUNTIF(S:S,A26)</f>
        <v>5</v>
      </c>
      <c r="F26" s="6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80"/>
      <c r="M26" s="80"/>
      <c r="N26" s="83"/>
      <c r="O26" s="80"/>
      <c r="P26" s="80"/>
      <c r="Q26" s="80"/>
      <c r="R26" s="80"/>
      <c r="S26" s="80"/>
      <c r="T26" s="80"/>
      <c r="U26" s="80"/>
    </row>
    <row r="27" spans="1:21">
      <c r="A27" s="47" t="s">
        <v>123</v>
      </c>
      <c r="B27" s="84">
        <f>B25</f>
        <v>0</v>
      </c>
      <c r="C27" s="71">
        <f t="shared" si="0"/>
        <v>0</v>
      </c>
      <c r="D27" s="61">
        <f t="shared" si="1"/>
        <v>0</v>
      </c>
      <c r="E27">
        <f>COUNTIF(tables_6!B:B,input_6!A27)-COUNTIF(S:S,A27)</f>
        <v>15</v>
      </c>
      <c r="F27" s="66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80"/>
      <c r="M27" s="80"/>
      <c r="N27" s="83"/>
      <c r="O27" s="80"/>
      <c r="P27" s="80"/>
      <c r="Q27" s="80"/>
      <c r="R27" s="80"/>
      <c r="S27" s="80"/>
      <c r="T27" s="80"/>
      <c r="U27" s="80"/>
    </row>
    <row r="28" spans="1:21">
      <c r="A28" s="47" t="str">
        <f>"PremiumS3"&amp;A$18</f>
        <v>PremiumS3blue</v>
      </c>
      <c r="B28" s="84">
        <f>B24</f>
        <v>0</v>
      </c>
      <c r="C28" s="71">
        <f t="shared" si="0"/>
        <v>0</v>
      </c>
      <c r="D28" s="61">
        <f t="shared" si="1"/>
        <v>0</v>
      </c>
      <c r="E28">
        <f>COUNTIF(tables_6!B:B,input_6!A28)-COUNTIF(S:S,A28)</f>
        <v>9</v>
      </c>
      <c r="F28" s="66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80"/>
      <c r="M28" s="80"/>
      <c r="N28" s="83"/>
      <c r="O28" s="80"/>
      <c r="P28" s="80"/>
      <c r="Q28" s="80"/>
      <c r="R28" s="80"/>
      <c r="S28" s="80"/>
      <c r="T28" s="80"/>
      <c r="U28" s="80"/>
    </row>
    <row r="29" spans="1:21">
      <c r="A29" s="47" t="s">
        <v>133</v>
      </c>
      <c r="B29" s="84">
        <f>B25</f>
        <v>0</v>
      </c>
      <c r="C29" s="71">
        <f t="shared" si="0"/>
        <v>0</v>
      </c>
      <c r="D29" s="61">
        <f t="shared" si="1"/>
        <v>0</v>
      </c>
      <c r="E29">
        <f>COUNTIF(tables_6!B:B,input_6!A29)-COUNTIF(S:S,A29)</f>
        <v>23</v>
      </c>
      <c r="F29" s="66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80"/>
      <c r="M29" s="80"/>
      <c r="N29" s="83"/>
      <c r="O29" s="80"/>
      <c r="P29" s="80"/>
      <c r="Q29" s="80"/>
      <c r="R29" s="80"/>
      <c r="S29" s="80"/>
      <c r="T29" s="80"/>
      <c r="U29" s="80"/>
    </row>
    <row r="30" spans="1:21">
      <c r="A30" s="47" t="str">
        <f>"PremiumW4"&amp;A$18</f>
        <v>PremiumW4blue</v>
      </c>
      <c r="B30" s="56">
        <f>(B6-B36-B37-B38)*B18/3</f>
        <v>0.20906666666666662</v>
      </c>
      <c r="C30" s="71">
        <f t="shared" si="0"/>
        <v>0</v>
      </c>
      <c r="D30" s="61">
        <f t="shared" si="1"/>
        <v>0.20906666666666662</v>
      </c>
      <c r="E30">
        <f>COUNTIF(tables_6!B:B,input_6!A30)-COUNTIF(S:S,A30)</f>
        <v>5</v>
      </c>
      <c r="F30" s="66">
        <f t="shared" si="2"/>
        <v>4.1813333333333327E-2</v>
      </c>
      <c r="G30">
        <f t="shared" si="3"/>
        <v>61669439.999999985</v>
      </c>
      <c r="H30">
        <f t="shared" si="4"/>
        <v>12333888</v>
      </c>
      <c r="I30">
        <f t="shared" si="5"/>
        <v>0</v>
      </c>
      <c r="J30">
        <f t="shared" si="6"/>
        <v>1</v>
      </c>
      <c r="L30" s="80"/>
      <c r="M30" s="80"/>
      <c r="N30" s="83"/>
      <c r="O30" s="80"/>
      <c r="P30" s="80"/>
      <c r="Q30" s="80"/>
      <c r="R30" s="80"/>
      <c r="S30" s="80"/>
      <c r="T30" s="80"/>
      <c r="U30" s="80"/>
    </row>
    <row r="31" spans="1:21">
      <c r="A31" s="47" t="s">
        <v>124</v>
      </c>
      <c r="B31" s="56">
        <f>B30*3/7</f>
        <v>8.9599999999999985E-2</v>
      </c>
      <c r="C31" s="71">
        <f t="shared" si="0"/>
        <v>0</v>
      </c>
      <c r="D31" s="61">
        <f t="shared" si="1"/>
        <v>8.9599999999999985E-2</v>
      </c>
      <c r="E31">
        <f>COUNTIF(tables_6!B:B,input_6!A31)-COUNTIF(S:S,A31)</f>
        <v>15</v>
      </c>
      <c r="F31" s="66">
        <f t="shared" si="2"/>
        <v>5.9733333333333322E-3</v>
      </c>
      <c r="G31">
        <f t="shared" si="3"/>
        <v>26429759.999999996</v>
      </c>
      <c r="H31">
        <f t="shared" si="4"/>
        <v>1761984</v>
      </c>
      <c r="I31">
        <f t="shared" si="5"/>
        <v>0</v>
      </c>
      <c r="J31">
        <f t="shared" si="6"/>
        <v>1</v>
      </c>
      <c r="L31" s="80"/>
      <c r="M31" s="80"/>
      <c r="N31" s="83"/>
      <c r="O31" s="80"/>
      <c r="P31" s="80"/>
      <c r="Q31" s="80"/>
      <c r="R31" s="80"/>
      <c r="S31" s="80"/>
      <c r="T31" s="80"/>
      <c r="U31" s="80"/>
    </row>
    <row r="32" spans="1:21">
      <c r="A32" s="47" t="str">
        <f>"PremiumN4"&amp;A$18</f>
        <v>PremiumN4blue</v>
      </c>
      <c r="B32" s="63">
        <f>B30</f>
        <v>0.20906666666666662</v>
      </c>
      <c r="C32" s="71">
        <f t="shared" si="0"/>
        <v>0</v>
      </c>
      <c r="D32" s="61">
        <f t="shared" si="1"/>
        <v>0.20906666666666662</v>
      </c>
      <c r="E32">
        <f>COUNTIF(tables_6!B:B,input_6!A32)-COUNTIF(S:S,A32)</f>
        <v>5</v>
      </c>
      <c r="F32" s="66">
        <f t="shared" si="2"/>
        <v>4.1813333333333327E-2</v>
      </c>
      <c r="G32">
        <f t="shared" si="3"/>
        <v>61669439.999999985</v>
      </c>
      <c r="H32">
        <f t="shared" si="4"/>
        <v>12333888</v>
      </c>
      <c r="I32">
        <f t="shared" si="5"/>
        <v>0</v>
      </c>
      <c r="J32">
        <f t="shared" si="6"/>
        <v>1</v>
      </c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47" t="s">
        <v>125</v>
      </c>
      <c r="B33" s="63">
        <f>B31</f>
        <v>8.9599999999999985E-2</v>
      </c>
      <c r="C33" s="71">
        <f t="shared" si="0"/>
        <v>0</v>
      </c>
      <c r="D33" s="61">
        <f t="shared" si="1"/>
        <v>8.9599999999999985E-2</v>
      </c>
      <c r="E33">
        <f>COUNTIF(tables_6!B:B,input_6!A33)-COUNTIF(S:S,A33)</f>
        <v>15</v>
      </c>
      <c r="F33" s="66">
        <f t="shared" si="2"/>
        <v>5.9733333333333322E-3</v>
      </c>
      <c r="G33">
        <f t="shared" si="3"/>
        <v>26429759.999999996</v>
      </c>
      <c r="H33">
        <f t="shared" si="4"/>
        <v>1761984</v>
      </c>
      <c r="I33">
        <f t="shared" si="5"/>
        <v>0</v>
      </c>
      <c r="J33">
        <f t="shared" si="6"/>
        <v>1</v>
      </c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>
      <c r="A34" s="47" t="str">
        <f>"PremiumS4"&amp;A$18</f>
        <v>PremiumS4blue</v>
      </c>
      <c r="B34" s="63">
        <f>B30</f>
        <v>0.20906666666666662</v>
      </c>
      <c r="C34" s="71">
        <f t="shared" si="0"/>
        <v>0</v>
      </c>
      <c r="D34" s="61">
        <f t="shared" si="1"/>
        <v>0.20906666666666662</v>
      </c>
      <c r="E34">
        <f>COUNTIF(tables_6!B:B,input_6!A34)-COUNTIF(S:S,A34)</f>
        <v>9</v>
      </c>
      <c r="F34" s="66">
        <f t="shared" si="2"/>
        <v>2.3229629629629624E-2</v>
      </c>
      <c r="G34">
        <f t="shared" si="3"/>
        <v>61669439.999999985</v>
      </c>
      <c r="H34">
        <f t="shared" si="4"/>
        <v>6852160</v>
      </c>
      <c r="I34">
        <f t="shared" si="5"/>
        <v>0</v>
      </c>
      <c r="J34">
        <f t="shared" si="6"/>
        <v>1</v>
      </c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>
      <c r="A35" s="47" t="str">
        <f>"PremiumS4"&amp;A19</f>
        <v>PremiumS4other</v>
      </c>
      <c r="B35" s="63">
        <f>B33</f>
        <v>8.9599999999999985E-2</v>
      </c>
      <c r="C35" s="71">
        <f t="shared" si="0"/>
        <v>0</v>
      </c>
      <c r="D35" s="61">
        <f t="shared" si="1"/>
        <v>8.9599999999999985E-2</v>
      </c>
      <c r="E35">
        <f>COUNTIF(tables_6!B:B,input_6!A35)-COUNTIF(S:S,A35)</f>
        <v>23</v>
      </c>
      <c r="F35" s="66">
        <f t="shared" si="2"/>
        <v>3.8956521739130427E-3</v>
      </c>
      <c r="G35">
        <f t="shared" si="3"/>
        <v>26429759.999999996</v>
      </c>
      <c r="H35">
        <f t="shared" si="4"/>
        <v>1149120</v>
      </c>
      <c r="I35">
        <f t="shared" si="5"/>
        <v>0</v>
      </c>
      <c r="J35">
        <f t="shared" si="6"/>
        <v>1</v>
      </c>
      <c r="L35" s="80"/>
      <c r="M35" s="80"/>
      <c r="N35" s="80"/>
      <c r="O35" s="80"/>
      <c r="P35" s="80"/>
      <c r="Q35" s="80"/>
      <c r="R35" s="80"/>
      <c r="S35" s="80"/>
      <c r="T35" s="80"/>
      <c r="U35" s="80"/>
    </row>
    <row r="36" spans="1:21">
      <c r="A36" s="47" t="str">
        <f>"PremiumSS4"&amp;A$18</f>
        <v>PremiumSS4blue</v>
      </c>
      <c r="B36" s="91">
        <v>2.7E-2</v>
      </c>
      <c r="C36" s="71">
        <f t="shared" si="0"/>
        <v>0</v>
      </c>
      <c r="D36" s="61">
        <f t="shared" si="1"/>
        <v>2.7E-2</v>
      </c>
      <c r="E36">
        <f>COUNTIF(tables_6!B:B,input_6!A36)-COUNTIF(S:S,A36)</f>
        <v>5</v>
      </c>
      <c r="F36" s="66">
        <f t="shared" si="2"/>
        <v>5.4000000000000003E-3</v>
      </c>
      <c r="G36">
        <f t="shared" si="3"/>
        <v>7964325</v>
      </c>
      <c r="H36">
        <f t="shared" si="4"/>
        <v>1592865</v>
      </c>
      <c r="I36">
        <f t="shared" si="5"/>
        <v>0</v>
      </c>
      <c r="J36">
        <f t="shared" si="6"/>
        <v>1</v>
      </c>
      <c r="L36" s="80"/>
      <c r="M36" s="80"/>
      <c r="N36" s="80"/>
      <c r="O36" s="80"/>
      <c r="P36" s="80"/>
      <c r="Q36" s="80"/>
      <c r="R36" s="80"/>
      <c r="S36" s="80"/>
      <c r="T36" s="80"/>
      <c r="U36" s="80"/>
    </row>
    <row r="37" spans="1:21">
      <c r="A37" s="47" t="str">
        <f>"PremiumSS4"&amp;A$19</f>
        <v>PremiumSS4other</v>
      </c>
      <c r="B37" s="91">
        <f>B36</f>
        <v>2.7E-2</v>
      </c>
      <c r="C37" s="71">
        <f t="shared" si="0"/>
        <v>0</v>
      </c>
      <c r="D37" s="61">
        <f t="shared" si="1"/>
        <v>2.7E-2</v>
      </c>
      <c r="E37">
        <f>COUNTIF(tables_6!B:B,input_6!A37)-COUNTIF(S:S,A37)</f>
        <v>19</v>
      </c>
      <c r="F37" s="66">
        <f t="shared" si="2"/>
        <v>1.4210526315789472E-3</v>
      </c>
      <c r="G37">
        <f t="shared" si="3"/>
        <v>7964325</v>
      </c>
      <c r="H37">
        <f t="shared" si="4"/>
        <v>419175</v>
      </c>
      <c r="I37">
        <f t="shared" si="5"/>
        <v>0</v>
      </c>
      <c r="J37">
        <f t="shared" si="6"/>
        <v>1</v>
      </c>
      <c r="L37" s="80"/>
      <c r="M37" s="80"/>
      <c r="N37" s="80"/>
      <c r="O37" s="80"/>
      <c r="P37" s="80"/>
      <c r="Q37" s="80"/>
      <c r="R37" s="80"/>
      <c r="S37" s="80"/>
      <c r="T37" s="80"/>
      <c r="U37" s="80"/>
    </row>
    <row r="38" spans="1:21">
      <c r="A38" s="47" t="s">
        <v>87</v>
      </c>
      <c r="B38" s="89">
        <v>0</v>
      </c>
      <c r="C38" s="71">
        <f t="shared" si="0"/>
        <v>0</v>
      </c>
      <c r="D38" s="61">
        <f t="shared" si="1"/>
        <v>0</v>
      </c>
      <c r="E38">
        <f>COUNTIF(tables_6!B:B,input_6!A38)-COUNTIF(S:S,A38)</f>
        <v>0</v>
      </c>
      <c r="F38" s="66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J38">
        <f t="shared" si="6"/>
        <v>1</v>
      </c>
      <c r="L38" s="80"/>
      <c r="M38" s="80"/>
      <c r="N38" s="80"/>
      <c r="O38" s="80"/>
      <c r="P38" s="80"/>
      <c r="Q38" s="80"/>
      <c r="R38" s="80"/>
      <c r="S38" s="80"/>
      <c r="T38" s="80"/>
      <c r="U38" s="80"/>
    </row>
    <row r="39" spans="1:21">
      <c r="A39" s="47" t="str">
        <f>"PremiumN5"&amp;A$18</f>
        <v>PremiumN5blue</v>
      </c>
      <c r="B39" s="57">
        <f>(B7-B43-B44-B45)*B18/2</f>
        <v>8.3999999999999977E-3</v>
      </c>
      <c r="C39" s="71">
        <f t="shared" si="0"/>
        <v>0</v>
      </c>
      <c r="D39" s="61">
        <f t="shared" si="1"/>
        <v>8.3999999999999977E-3</v>
      </c>
      <c r="E39">
        <f>COUNTIF(tables_6!B:B,input_6!A39)-COUNTIF(S:S,A39)</f>
        <v>5</v>
      </c>
      <c r="F39" s="66">
        <f t="shared" si="2"/>
        <v>1.6799999999999996E-3</v>
      </c>
      <c r="G39">
        <f t="shared" si="3"/>
        <v>2477789.9999999995</v>
      </c>
      <c r="H39">
        <f t="shared" si="4"/>
        <v>495558</v>
      </c>
      <c r="I39">
        <f t="shared" si="5"/>
        <v>0</v>
      </c>
      <c r="J39">
        <f t="shared" si="6"/>
        <v>1</v>
      </c>
    </row>
    <row r="40" spans="1:21">
      <c r="A40" s="47" t="str">
        <f>"PremiumN5"&amp;A$19</f>
        <v>PremiumN5other</v>
      </c>
      <c r="B40" s="56">
        <f>B39*3/7</f>
        <v>3.599999999999999E-3</v>
      </c>
      <c r="C40" s="71">
        <f t="shared" si="0"/>
        <v>0</v>
      </c>
      <c r="D40" s="61">
        <f t="shared" si="1"/>
        <v>3.599999999999999E-3</v>
      </c>
      <c r="E40">
        <f>COUNTIF(tables_6!B:B,input_6!A40)-COUNTIF(S:S,A40)</f>
        <v>15</v>
      </c>
      <c r="F40" s="66">
        <f t="shared" si="2"/>
        <v>2.3999999999999992E-4</v>
      </c>
      <c r="G40">
        <f t="shared" si="3"/>
        <v>1061909.9999999998</v>
      </c>
      <c r="H40">
        <f t="shared" si="4"/>
        <v>70794</v>
      </c>
      <c r="I40">
        <f t="shared" si="5"/>
        <v>0</v>
      </c>
      <c r="J40">
        <f t="shared" si="6"/>
        <v>1</v>
      </c>
    </row>
    <row r="41" spans="1:21">
      <c r="A41" s="47" t="str">
        <f>"PremiumS5"&amp;A$18</f>
        <v>PremiumS5blue</v>
      </c>
      <c r="B41" s="64">
        <f>B39</f>
        <v>8.3999999999999977E-3</v>
      </c>
      <c r="C41" s="71">
        <f t="shared" si="0"/>
        <v>0</v>
      </c>
      <c r="D41" s="61">
        <f t="shared" si="1"/>
        <v>8.3999999999999977E-3</v>
      </c>
      <c r="E41">
        <f>COUNTIF(tables_6!B:B,input_6!A41)-COUNTIF(S:S,A41)</f>
        <v>9</v>
      </c>
      <c r="F41" s="66">
        <f t="shared" si="2"/>
        <v>9.3333333333333311E-4</v>
      </c>
      <c r="G41">
        <f t="shared" si="3"/>
        <v>2477789.9999999995</v>
      </c>
      <c r="H41">
        <f t="shared" si="4"/>
        <v>275310</v>
      </c>
      <c r="I41">
        <f t="shared" si="5"/>
        <v>0</v>
      </c>
      <c r="J41">
        <f t="shared" si="6"/>
        <v>1</v>
      </c>
    </row>
    <row r="42" spans="1:21">
      <c r="A42" s="47" t="str">
        <f>"PremiumS5"&amp;A$19</f>
        <v>PremiumS5other</v>
      </c>
      <c r="B42" s="64">
        <f>B40</f>
        <v>3.599999999999999E-3</v>
      </c>
      <c r="C42" s="71">
        <f t="shared" si="0"/>
        <v>0</v>
      </c>
      <c r="D42" s="61">
        <f t="shared" si="1"/>
        <v>3.599999999999999E-3</v>
      </c>
      <c r="E42">
        <f>COUNTIF(tables_6!B:B,input_6!A42)-COUNTIF(S:S,A42)</f>
        <v>23</v>
      </c>
      <c r="F42" s="66">
        <f t="shared" si="2"/>
        <v>1.5652173913043474E-4</v>
      </c>
      <c r="G42">
        <f t="shared" si="3"/>
        <v>1061909.9999999998</v>
      </c>
      <c r="H42">
        <f t="shared" si="4"/>
        <v>46170</v>
      </c>
      <c r="I42">
        <f t="shared" si="5"/>
        <v>0</v>
      </c>
      <c r="J42">
        <f t="shared" si="6"/>
        <v>1</v>
      </c>
    </row>
    <row r="43" spans="1:21">
      <c r="A43" s="47" t="str">
        <f>"PremiumSS5"&amp;A$18</f>
        <v>PremiumSS5blue</v>
      </c>
      <c r="B43" s="88">
        <v>3.0000000000000001E-3</v>
      </c>
      <c r="C43" s="71">
        <f t="shared" si="0"/>
        <v>0</v>
      </c>
      <c r="D43" s="61">
        <f t="shared" si="1"/>
        <v>3.0000000000000001E-3</v>
      </c>
      <c r="E43">
        <f>COUNTIF(tables_6!B:B,input_6!A43)-COUNTIF(S:S,A43)</f>
        <v>5</v>
      </c>
      <c r="F43" s="66">
        <f t="shared" si="2"/>
        <v>6.0000000000000006E-4</v>
      </c>
      <c r="G43">
        <f t="shared" si="3"/>
        <v>884925</v>
      </c>
      <c r="H43">
        <f t="shared" si="4"/>
        <v>176985</v>
      </c>
      <c r="I43">
        <f t="shared" si="5"/>
        <v>0</v>
      </c>
      <c r="J43">
        <f t="shared" si="6"/>
        <v>1</v>
      </c>
    </row>
    <row r="44" spans="1:21">
      <c r="A44" s="47" t="str">
        <f>"PremiumSS5"&amp;A$19</f>
        <v>PremiumSS5other</v>
      </c>
      <c r="B44" s="88">
        <v>3.0000000000000001E-3</v>
      </c>
      <c r="C44" s="71">
        <f t="shared" si="0"/>
        <v>0</v>
      </c>
      <c r="D44" s="61">
        <f t="shared" si="1"/>
        <v>3.0000000000000001E-3</v>
      </c>
      <c r="E44">
        <f>COUNTIF(tables_6!B:B,input_6!A44)-COUNTIF(S:S,A44)</f>
        <v>19</v>
      </c>
      <c r="F44" s="66">
        <f t="shared" si="2"/>
        <v>1.5789473684210527E-4</v>
      </c>
      <c r="G44">
        <f t="shared" si="3"/>
        <v>884925</v>
      </c>
      <c r="H44">
        <f t="shared" si="4"/>
        <v>46575</v>
      </c>
      <c r="I44">
        <f t="shared" si="5"/>
        <v>0</v>
      </c>
      <c r="J44">
        <f t="shared" si="6"/>
        <v>1</v>
      </c>
    </row>
    <row r="45" spans="1:21">
      <c r="A45" s="13" t="s">
        <v>134</v>
      </c>
      <c r="B45" s="88">
        <f>B15</f>
        <v>0.02</v>
      </c>
      <c r="C45" s="71">
        <f t="shared" si="0"/>
        <v>0</v>
      </c>
      <c r="D45" s="61">
        <f t="shared" si="1"/>
        <v>0.02</v>
      </c>
      <c r="E45">
        <f>COUNTIF(tables_6!B:B,input_6!A45)-COUNTIF(S:S,A45)</f>
        <v>1</v>
      </c>
      <c r="F45" s="66">
        <f t="shared" si="2"/>
        <v>0.02</v>
      </c>
      <c r="G45">
        <f t="shared" si="3"/>
        <v>5899500</v>
      </c>
      <c r="H45">
        <f t="shared" si="4"/>
        <v>5899500</v>
      </c>
      <c r="I45">
        <f t="shared" si="5"/>
        <v>0</v>
      </c>
      <c r="J45">
        <f t="shared" si="6"/>
        <v>1</v>
      </c>
    </row>
    <row r="46" spans="1:21">
      <c r="A46" s="58" t="s">
        <v>77</v>
      </c>
      <c r="B46" s="59">
        <f>SUM(B24:B45)</f>
        <v>1</v>
      </c>
      <c r="C46" s="60">
        <f>SUM(C24:C45)</f>
        <v>0</v>
      </c>
      <c r="D46" s="65">
        <f>B46-C46</f>
        <v>1</v>
      </c>
    </row>
    <row r="48" spans="1:21">
      <c r="A48" t="s">
        <v>96</v>
      </c>
    </row>
    <row r="49" spans="1:6">
      <c r="A49" s="34">
        <f>3000*19*23*3*3*5*5</f>
        <v>294975000</v>
      </c>
    </row>
    <row r="51" spans="1:6">
      <c r="A51" s="70" t="s">
        <v>100</v>
      </c>
    </row>
    <row r="52" spans="1:6">
      <c r="A52" s="47" t="s">
        <v>126</v>
      </c>
      <c r="B52" s="47" t="s">
        <v>97</v>
      </c>
      <c r="C52" t="s">
        <v>131</v>
      </c>
      <c r="E52" s="49" t="s">
        <v>132</v>
      </c>
      <c r="F52" s="49"/>
    </row>
    <row r="53" spans="1:6">
      <c r="A53" s="47" t="str">
        <f>"PremiumW3"&amp;A$18</f>
        <v>PremiumW3blue</v>
      </c>
      <c r="B53" s="47">
        <f>SUMIF(tables_6!B:B,input_6!A53,tables_6!L:L)</f>
        <v>0</v>
      </c>
      <c r="C53">
        <f>B53/B$75</f>
        <v>0</v>
      </c>
      <c r="E53" s="47">
        <v>3</v>
      </c>
      <c r="F53" s="90">
        <f>SUM(C53:C58)</f>
        <v>0</v>
      </c>
    </row>
    <row r="54" spans="1:6">
      <c r="A54" s="47" t="s">
        <v>122</v>
      </c>
      <c r="B54" s="47">
        <f>SUMIF(tables_6!B:B,input_6!A54,tables_6!L:L)</f>
        <v>0</v>
      </c>
      <c r="C54">
        <f t="shared" ref="C54:C74" si="7">B54/B$75</f>
        <v>0</v>
      </c>
      <c r="E54" s="47">
        <v>4</v>
      </c>
      <c r="F54" s="90">
        <f>SUM(C59:C67)</f>
        <v>0.95000000000000007</v>
      </c>
    </row>
    <row r="55" spans="1:6">
      <c r="A55" s="47" t="str">
        <f>"PremiumN3"&amp;A$18</f>
        <v>PremiumN3blue</v>
      </c>
      <c r="B55" s="47">
        <f>SUMIF(tables_6!B:B,input_6!A55,tables_6!L:L)</f>
        <v>0</v>
      </c>
      <c r="C55">
        <f t="shared" si="7"/>
        <v>0</v>
      </c>
      <c r="E55" s="47">
        <v>5</v>
      </c>
      <c r="F55" s="90">
        <f>SUM(C68:C74)</f>
        <v>0.05</v>
      </c>
    </row>
    <row r="56" spans="1:6">
      <c r="A56" s="47" t="s">
        <v>123</v>
      </c>
      <c r="B56" s="47">
        <f>SUMIF(tables_6!B:B,input_6!A56,tables_6!L:L)</f>
        <v>0</v>
      </c>
      <c r="C56">
        <f t="shared" si="7"/>
        <v>0</v>
      </c>
    </row>
    <row r="57" spans="1:6">
      <c r="A57" s="47" t="str">
        <f>"PremiumS3"&amp;A$18</f>
        <v>PremiumS3blue</v>
      </c>
      <c r="B57" s="47">
        <f>SUMIF(tables_6!B:B,input_6!A57,tables_6!L:L)</f>
        <v>0</v>
      </c>
      <c r="C57">
        <f t="shared" si="7"/>
        <v>0</v>
      </c>
      <c r="E57" s="50" t="s">
        <v>70</v>
      </c>
      <c r="F57" s="50"/>
    </row>
    <row r="58" spans="1:6">
      <c r="A58" s="47" t="s">
        <v>133</v>
      </c>
      <c r="B58" s="47">
        <f>SUMIF(tables_6!B:B,input_6!A58,tables_6!L:L)</f>
        <v>0</v>
      </c>
      <c r="C58">
        <f t="shared" si="7"/>
        <v>0</v>
      </c>
      <c r="E58" s="47" t="s">
        <v>73</v>
      </c>
      <c r="F58" s="52">
        <f>1-F59-F60</f>
        <v>0.91999999999999993</v>
      </c>
    </row>
    <row r="59" spans="1:6">
      <c r="A59" s="47" t="str">
        <f>"PremiumW4"&amp;A$18</f>
        <v>PremiumW4blue</v>
      </c>
      <c r="B59" s="47">
        <f>SUMIF(tables_6!B:B,input_6!A59,tables_6!L:L)</f>
        <v>61669440</v>
      </c>
      <c r="C59">
        <f t="shared" si="7"/>
        <v>0.20906666666666668</v>
      </c>
      <c r="E59" s="47" t="s">
        <v>72</v>
      </c>
      <c r="F59" s="52">
        <f>C65+C66+C73+C72</f>
        <v>6.0000000000000005E-2</v>
      </c>
    </row>
    <row r="60" spans="1:6">
      <c r="A60" s="47" t="s">
        <v>124</v>
      </c>
      <c r="B60" s="47">
        <f>SUMIF(tables_6!B:B,input_6!A60,tables_6!L:L)</f>
        <v>26429760</v>
      </c>
      <c r="C60">
        <f t="shared" si="7"/>
        <v>8.9599999999999999E-2</v>
      </c>
      <c r="E60" s="47" t="s">
        <v>71</v>
      </c>
      <c r="F60" s="52">
        <f>C67+C74</f>
        <v>0.02</v>
      </c>
    </row>
    <row r="61" spans="1:6">
      <c r="A61" s="47" t="str">
        <f>"PremiumN4"&amp;A$18</f>
        <v>PremiumN4blue</v>
      </c>
      <c r="B61" s="47">
        <f>SUMIF(tables_6!B:B,input_6!A61,tables_6!L:L)</f>
        <v>61669440</v>
      </c>
      <c r="C61">
        <f t="shared" si="7"/>
        <v>0.20906666666666668</v>
      </c>
    </row>
    <row r="62" spans="1:6">
      <c r="A62" s="47" t="s">
        <v>125</v>
      </c>
      <c r="B62" s="47">
        <f>SUMIF(tables_6!B:B,input_6!A62,tables_6!L:L)</f>
        <v>26429760</v>
      </c>
      <c r="C62">
        <f t="shared" si="7"/>
        <v>8.9599999999999999E-2</v>
      </c>
    </row>
    <row r="63" spans="1:6">
      <c r="A63" s="47" t="str">
        <f>"PremiumS4"&amp;A$18</f>
        <v>PremiumS4blue</v>
      </c>
      <c r="B63" s="47">
        <f>SUMIF(tables_6!B:B,input_6!A63,tables_6!L:L)</f>
        <v>61669440</v>
      </c>
      <c r="C63">
        <f t="shared" si="7"/>
        <v>0.20906666666666668</v>
      </c>
    </row>
    <row r="64" spans="1:6">
      <c r="A64" s="47" t="s">
        <v>136</v>
      </c>
      <c r="B64" s="47">
        <f>SUMIF(tables_6!B:B,input_6!A64,tables_6!L:L)</f>
        <v>26429760</v>
      </c>
      <c r="C64">
        <f t="shared" si="7"/>
        <v>8.9599999999999999E-2</v>
      </c>
    </row>
    <row r="65" spans="1:3">
      <c r="A65" s="47" t="str">
        <f>"PremiumSS4"&amp;A$18</f>
        <v>PremiumSS4blue</v>
      </c>
      <c r="B65" s="47">
        <f>SUMIF(tables_6!B:B,input_6!A65,tables_6!L:L)</f>
        <v>7964325</v>
      </c>
      <c r="C65">
        <f t="shared" si="7"/>
        <v>2.7E-2</v>
      </c>
    </row>
    <row r="66" spans="1:3">
      <c r="A66" s="47" t="str">
        <f>"PremiumSS4"&amp;A$19</f>
        <v>PremiumSS4other</v>
      </c>
      <c r="B66" s="47">
        <f>SUMIF(tables_6!B:B,input_6!A66,tables_6!L:L)</f>
        <v>7964325</v>
      </c>
      <c r="C66">
        <f t="shared" si="7"/>
        <v>2.7E-2</v>
      </c>
    </row>
    <row r="67" spans="1:3">
      <c r="A67" s="47" t="s">
        <v>87</v>
      </c>
      <c r="B67" s="47">
        <f>SUMIF(tables_6!B:B,input_6!A67,tables_6!L:L)</f>
        <v>0</v>
      </c>
      <c r="C67">
        <f t="shared" si="7"/>
        <v>0</v>
      </c>
    </row>
    <row r="68" spans="1:3">
      <c r="A68" s="47" t="str">
        <f>"PremiumN5"&amp;A$18</f>
        <v>PremiumN5blue</v>
      </c>
      <c r="B68" s="47">
        <f>SUMIF(tables_6!B:B,input_6!A68,tables_6!L:L)</f>
        <v>2477790</v>
      </c>
      <c r="C68">
        <f t="shared" si="7"/>
        <v>8.3999999999999995E-3</v>
      </c>
    </row>
    <row r="69" spans="1:3">
      <c r="A69" s="47" t="str">
        <f>"PremiumN5"&amp;A$19</f>
        <v>PremiumN5other</v>
      </c>
      <c r="B69" s="47">
        <f>SUMIF(tables_6!B:B,input_6!A69,tables_6!L:L)</f>
        <v>1061910</v>
      </c>
      <c r="C69">
        <f t="shared" si="7"/>
        <v>3.5999999999999999E-3</v>
      </c>
    </row>
    <row r="70" spans="1:3">
      <c r="A70" s="47" t="str">
        <f>"PremiumS5"&amp;A$18</f>
        <v>PremiumS5blue</v>
      </c>
      <c r="B70" s="47">
        <f>SUMIF(tables_6!B:B,input_6!A70,tables_6!L:L)</f>
        <v>2477790</v>
      </c>
      <c r="C70">
        <f t="shared" si="7"/>
        <v>8.3999999999999995E-3</v>
      </c>
    </row>
    <row r="71" spans="1:3">
      <c r="A71" s="47" t="str">
        <f>"PremiumS5"&amp;A$19</f>
        <v>PremiumS5other</v>
      </c>
      <c r="B71" s="47">
        <f>SUMIF(tables_6!B:B,input_6!A71,tables_6!L:L)</f>
        <v>1061910</v>
      </c>
      <c r="C71">
        <f t="shared" si="7"/>
        <v>3.5999999999999999E-3</v>
      </c>
    </row>
    <row r="72" spans="1:3">
      <c r="A72" s="47" t="str">
        <f>"PremiumSS5"&amp;A$18</f>
        <v>PremiumSS5blue</v>
      </c>
      <c r="B72" s="47">
        <f>SUMIF(tables_6!B:B,input_6!A72,tables_6!L:L)</f>
        <v>884925</v>
      </c>
      <c r="C72">
        <f t="shared" si="7"/>
        <v>3.0000000000000001E-3</v>
      </c>
    </row>
    <row r="73" spans="1:3">
      <c r="A73" s="47" t="str">
        <f>"PremiumSS5"&amp;A$19</f>
        <v>PremiumSS5other</v>
      </c>
      <c r="B73" s="47">
        <f>SUMIF(tables_6!B:B,input_6!A73,tables_6!L:L)</f>
        <v>884925</v>
      </c>
      <c r="C73">
        <f t="shared" si="7"/>
        <v>3.0000000000000001E-3</v>
      </c>
    </row>
    <row r="74" spans="1:3">
      <c r="A74" s="13" t="s">
        <v>134</v>
      </c>
      <c r="B74" s="47">
        <f>SUMIF(tables_6!B:B,input_6!A74,tables_6!L:L)</f>
        <v>5899500</v>
      </c>
      <c r="C74">
        <f t="shared" si="7"/>
        <v>0.02</v>
      </c>
    </row>
    <row r="75" spans="1:3">
      <c r="A75" t="s">
        <v>77</v>
      </c>
      <c r="B75">
        <f>SUM(B53:B74)</f>
        <v>294975000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S246"/>
  <sheetViews>
    <sheetView showGridLines="0" zoomScale="75" zoomScaleNormal="75" zoomScalePageLayoutView="75" workbookViewId="0">
      <pane ySplit="1" topLeftCell="A228" activePane="bottomLeft" state="frozen"/>
      <selection activeCell="M24" sqref="M24"/>
      <selection pane="bottomLeft" activeCell="I23" sqref="I23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108</v>
      </c>
      <c r="B1" s="3" t="s">
        <v>31</v>
      </c>
      <c r="C1" s="3" t="s">
        <v>127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76</v>
      </c>
      <c r="L1" s="16" t="s">
        <v>39</v>
      </c>
      <c r="M1" s="3" t="s">
        <v>82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input_6!A$2</f>
        <v>3086</v>
      </c>
      <c r="B2" s="7" t="str">
        <f>F2&amp;G2&amp;C2</f>
        <v>PremiumW3other</v>
      </c>
      <c r="C2" s="7" t="str">
        <f>IF(H2="blue",H2,"other")</f>
        <v>other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68">
        <f>IFERROR(VLOOKUP(D2,input_6!L:T,9,FALSE),VLOOKUP(tables_6!B2,input_6!A:H,8,FALSE))</f>
        <v>0</v>
      </c>
      <c r="M2" s="69">
        <f>L2/SUM(L:L)</f>
        <v>0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input_6!A$2</f>
        <v>3086</v>
      </c>
      <c r="B3" s="7" t="str">
        <f t="shared" ref="B3:B66" si="0">F3&amp;G3&amp;C3</f>
        <v>PremiumW4other</v>
      </c>
      <c r="C3" s="7" t="str">
        <f t="shared" ref="C3:C66" si="1">IF(H3="blue",H3,"other")</f>
        <v>other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68">
        <f>IFERROR(VLOOKUP(D3,input_6!L:T,9,FALSE),VLOOKUP(tables_6!B3,input_6!A:H,8,FALSE))</f>
        <v>1761984</v>
      </c>
      <c r="M3" s="69">
        <f t="shared" ref="M3:M66" si="2">L3/SUM(L:L)</f>
        <v>5.9733333333333331E-3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input_6!A$2</f>
        <v>3086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68">
        <f>IFERROR(VLOOKUP(D4,input_6!L:T,9,FALSE),VLOOKUP(tables_6!B4,input_6!A:H,8,FALSE))</f>
        <v>0</v>
      </c>
      <c r="M4" s="69">
        <f t="shared" si="2"/>
        <v>0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input_6!A$2</f>
        <v>3086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68">
        <f>IFERROR(VLOOKUP(D5,input_6!L:T,9,FALSE),VLOOKUP(tables_6!B5,input_6!A:H,8,FALSE))</f>
        <v>1761984</v>
      </c>
      <c r="M5" s="69">
        <f t="shared" si="2"/>
        <v>5.9733333333333331E-3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input_6!A$2</f>
        <v>3086</v>
      </c>
      <c r="B6" s="7" t="str">
        <f t="shared" si="0"/>
        <v>PremiumW3blue</v>
      </c>
      <c r="C6" s="7" t="str">
        <f t="shared" si="1"/>
        <v>blue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68">
        <f>IFERROR(VLOOKUP(D6,input_6!L:T,9,FALSE),VLOOKUP(tables_6!B6,input_6!A:H,8,FALSE))</f>
        <v>0</v>
      </c>
      <c r="M6" s="69">
        <f t="shared" si="2"/>
        <v>0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input_6!A$2</f>
        <v>3086</v>
      </c>
      <c r="B7" s="7" t="str">
        <f t="shared" si="0"/>
        <v>PremiumW4blue</v>
      </c>
      <c r="C7" s="7" t="str">
        <f t="shared" si="1"/>
        <v>blue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68">
        <f>IFERROR(VLOOKUP(D7,input_6!L:T,9,FALSE),VLOOKUP(tables_6!B7,input_6!A:H,8,FALSE))</f>
        <v>12333888</v>
      </c>
      <c r="M7" s="69">
        <f t="shared" si="2"/>
        <v>4.1813333333333334E-2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input_6!A$2</f>
        <v>3086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68">
        <f>IFERROR(VLOOKUP(D8,input_6!L:T,9,FALSE),VLOOKUP(tables_6!B8,input_6!A:H,8,FALSE))</f>
        <v>0</v>
      </c>
      <c r="M8" s="69">
        <f t="shared" si="2"/>
        <v>0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input_6!A$2</f>
        <v>3086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68">
        <f>IFERROR(VLOOKUP(D9,input_6!L:T,9,FALSE),VLOOKUP(tables_6!B9,input_6!A:H,8,FALSE))</f>
        <v>1761984</v>
      </c>
      <c r="M9" s="69">
        <f t="shared" si="2"/>
        <v>5.9733333333333331E-3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input_6!A$2</f>
        <v>3086</v>
      </c>
      <c r="B10" s="7" t="str">
        <f t="shared" si="0"/>
        <v>PremiumW3other</v>
      </c>
      <c r="C10" s="7" t="str">
        <f t="shared" si="1"/>
        <v>other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68">
        <f>IFERROR(VLOOKUP(D10,input_6!L:T,9,FALSE),VLOOKUP(tables_6!B10,input_6!A:H,8,FALSE))</f>
        <v>0</v>
      </c>
      <c r="M10" s="69">
        <f t="shared" si="2"/>
        <v>0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input_6!A$2</f>
        <v>3086</v>
      </c>
      <c r="B11" s="7" t="str">
        <f t="shared" si="0"/>
        <v>PremiumW4other</v>
      </c>
      <c r="C11" s="7" t="str">
        <f t="shared" si="1"/>
        <v>other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68">
        <f>IFERROR(VLOOKUP(D11,input_6!L:T,9,FALSE),VLOOKUP(tables_6!B11,input_6!A:H,8,FALSE))</f>
        <v>1761984</v>
      </c>
      <c r="M11" s="69">
        <f t="shared" si="2"/>
        <v>5.9733333333333331E-3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input_6!A$2</f>
        <v>3086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68">
        <f>IFERROR(VLOOKUP(D12,input_6!L:T,9,FALSE),VLOOKUP(tables_6!B12,input_6!A:H,8,FALSE))</f>
        <v>0</v>
      </c>
      <c r="M12" s="69">
        <f t="shared" si="2"/>
        <v>0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input_6!A$2</f>
        <v>3086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68">
        <f>IFERROR(VLOOKUP(D13,input_6!L:T,9,FALSE),VLOOKUP(tables_6!B13,input_6!A:H,8,FALSE))</f>
        <v>1761984</v>
      </c>
      <c r="M13" s="69">
        <f t="shared" si="2"/>
        <v>5.9733333333333331E-3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input_6!A$2</f>
        <v>3086</v>
      </c>
      <c r="B14" s="7" t="str">
        <f t="shared" si="0"/>
        <v>PremiumW3blue</v>
      </c>
      <c r="C14" s="7" t="str">
        <f t="shared" si="1"/>
        <v>blue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68">
        <f>IFERROR(VLOOKUP(D14,input_6!L:T,9,FALSE),VLOOKUP(tables_6!B14,input_6!A:H,8,FALSE))</f>
        <v>0</v>
      </c>
      <c r="M14" s="69">
        <f t="shared" si="2"/>
        <v>0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input_6!A$2</f>
        <v>3086</v>
      </c>
      <c r="B15" s="7" t="str">
        <f t="shared" si="0"/>
        <v>PremiumW4blue</v>
      </c>
      <c r="C15" s="7" t="str">
        <f t="shared" si="1"/>
        <v>blue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68">
        <f>IFERROR(VLOOKUP(D15,input_6!L:T,9,FALSE),VLOOKUP(tables_6!B15,input_6!A:H,8,FALSE))</f>
        <v>12333888</v>
      </c>
      <c r="M15" s="69">
        <f t="shared" si="2"/>
        <v>4.1813333333333334E-2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input_6!A$2</f>
        <v>3086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68">
        <f>IFERROR(VLOOKUP(D16,input_6!L:T,9,FALSE),VLOOKUP(tables_6!B16,input_6!A:H,8,FALSE))</f>
        <v>0</v>
      </c>
      <c r="M16" s="69">
        <f t="shared" si="2"/>
        <v>0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input_6!A$2</f>
        <v>3086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68">
        <f>IFERROR(VLOOKUP(D17,input_6!L:T,9,FALSE),VLOOKUP(tables_6!B17,input_6!A:H,8,FALSE))</f>
        <v>1761984</v>
      </c>
      <c r="M17" s="69">
        <f t="shared" si="2"/>
        <v>5.9733333333333331E-3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input_6!A$2</f>
        <v>3086</v>
      </c>
      <c r="B18" s="7" t="str">
        <f t="shared" si="0"/>
        <v>PremiumW3other</v>
      </c>
      <c r="C18" s="7" t="str">
        <f t="shared" si="1"/>
        <v>other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68">
        <f>IFERROR(VLOOKUP(D18,input_6!L:T,9,FALSE),VLOOKUP(tables_6!B18,input_6!A:H,8,FALSE))</f>
        <v>0</v>
      </c>
      <c r="M18" s="69">
        <f t="shared" si="2"/>
        <v>0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input_6!A$2</f>
        <v>3086</v>
      </c>
      <c r="B19" s="7" t="str">
        <f t="shared" si="0"/>
        <v>PremiumW4other</v>
      </c>
      <c r="C19" s="7" t="str">
        <f t="shared" si="1"/>
        <v>other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68">
        <f>IFERROR(VLOOKUP(D19,input_6!L:T,9,FALSE),VLOOKUP(tables_6!B19,input_6!A:H,8,FALSE))</f>
        <v>1761984</v>
      </c>
      <c r="M19" s="69">
        <f t="shared" si="2"/>
        <v>5.9733333333333331E-3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input_6!A$2</f>
        <v>3086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68">
        <f>IFERROR(VLOOKUP(D20,input_6!L:T,9,FALSE),VLOOKUP(tables_6!B20,input_6!A:H,8,FALSE))</f>
        <v>0</v>
      </c>
      <c r="M20" s="69">
        <f t="shared" si="2"/>
        <v>0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input_6!A$2</f>
        <v>3086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68">
        <f>IFERROR(VLOOKUP(D21,input_6!L:T,9,FALSE),VLOOKUP(tables_6!B21,input_6!A:H,8,FALSE))</f>
        <v>1761984</v>
      </c>
      <c r="M21" s="69">
        <f t="shared" si="2"/>
        <v>5.9733333333333331E-3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input_6!A$2</f>
        <v>3086</v>
      </c>
      <c r="B22" s="7" t="str">
        <f t="shared" si="0"/>
        <v>PremiumW3blue</v>
      </c>
      <c r="C22" s="7" t="str">
        <f t="shared" si="1"/>
        <v>blue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68">
        <f>IFERROR(VLOOKUP(D22,input_6!L:T,9,FALSE),VLOOKUP(tables_6!B22,input_6!A:H,8,FALSE))</f>
        <v>0</v>
      </c>
      <c r="M22" s="69">
        <f t="shared" si="2"/>
        <v>0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input_6!A$2</f>
        <v>3086</v>
      </c>
      <c r="B23" s="7" t="str">
        <f t="shared" si="0"/>
        <v>PremiumW4blue</v>
      </c>
      <c r="C23" s="7" t="str">
        <f t="shared" si="1"/>
        <v>blue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68">
        <f>IFERROR(VLOOKUP(D23,input_6!L:T,9,FALSE),VLOOKUP(tables_6!B23,input_6!A:H,8,FALSE))</f>
        <v>12333888</v>
      </c>
      <c r="M23" s="69">
        <f t="shared" si="2"/>
        <v>4.1813333333333334E-2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input_6!A$2</f>
        <v>3086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68">
        <f>IFERROR(VLOOKUP(D24,input_6!L:T,9,FALSE),VLOOKUP(tables_6!B24,input_6!A:H,8,FALSE))</f>
        <v>0</v>
      </c>
      <c r="M24" s="69">
        <f t="shared" si="2"/>
        <v>0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input_6!A$2</f>
        <v>3086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68">
        <f>IFERROR(VLOOKUP(D25,input_6!L:T,9,FALSE),VLOOKUP(tables_6!B25,input_6!A:H,8,FALSE))</f>
        <v>1761984</v>
      </c>
      <c r="M25" s="69">
        <f t="shared" si="2"/>
        <v>5.9733333333333331E-3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input_6!A$2</f>
        <v>3086</v>
      </c>
      <c r="B26" s="7" t="str">
        <f t="shared" si="0"/>
        <v>PremiumW3other</v>
      </c>
      <c r="C26" s="7" t="str">
        <f t="shared" si="1"/>
        <v>other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68">
        <f>IFERROR(VLOOKUP(D26,input_6!L:T,9,FALSE),VLOOKUP(tables_6!B26,input_6!A:H,8,FALSE))</f>
        <v>0</v>
      </c>
      <c r="M26" s="69">
        <f t="shared" si="2"/>
        <v>0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input_6!A$2</f>
        <v>3086</v>
      </c>
      <c r="B27" s="7" t="str">
        <f t="shared" si="0"/>
        <v>PremiumW4other</v>
      </c>
      <c r="C27" s="7" t="str">
        <f t="shared" si="1"/>
        <v>other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68">
        <f>IFERROR(VLOOKUP(D27,input_6!L:T,9,FALSE),VLOOKUP(tables_6!B27,input_6!A:H,8,FALSE))</f>
        <v>1761984</v>
      </c>
      <c r="M27" s="69">
        <f t="shared" si="2"/>
        <v>5.9733333333333331E-3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input_6!A$2</f>
        <v>3086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68">
        <f>IFERROR(VLOOKUP(D28,input_6!L:T,9,FALSE),VLOOKUP(tables_6!B28,input_6!A:H,8,FALSE))</f>
        <v>0</v>
      </c>
      <c r="M28" s="69">
        <f t="shared" si="2"/>
        <v>0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input_6!A$2</f>
        <v>3086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68">
        <f>IFERROR(VLOOKUP(D29,input_6!L:T,9,FALSE),VLOOKUP(tables_6!B29,input_6!A:H,8,FALSE))</f>
        <v>1761984</v>
      </c>
      <c r="M29" s="69">
        <f t="shared" si="2"/>
        <v>5.9733333333333331E-3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input_6!A$2</f>
        <v>3086</v>
      </c>
      <c r="B30" s="7" t="str">
        <f t="shared" si="0"/>
        <v>PremiumW3blue</v>
      </c>
      <c r="C30" s="7" t="str">
        <f t="shared" si="1"/>
        <v>blue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68">
        <f>IFERROR(VLOOKUP(D30,input_6!L:T,9,FALSE),VLOOKUP(tables_6!B30,input_6!A:H,8,FALSE))</f>
        <v>0</v>
      </c>
      <c r="M30" s="69">
        <f t="shared" si="2"/>
        <v>0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input_6!A$2</f>
        <v>3086</v>
      </c>
      <c r="B31" s="7" t="str">
        <f t="shared" si="0"/>
        <v>PremiumW4blue</v>
      </c>
      <c r="C31" s="7" t="str">
        <f t="shared" si="1"/>
        <v>blue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68">
        <f>IFERROR(VLOOKUP(D31,input_6!L:T,9,FALSE),VLOOKUP(tables_6!B31,input_6!A:H,8,FALSE))</f>
        <v>12333888</v>
      </c>
      <c r="M31" s="69">
        <f t="shared" si="2"/>
        <v>4.1813333333333334E-2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input_6!A$2</f>
        <v>3086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68">
        <f>IFERROR(VLOOKUP(D32,input_6!L:T,9,FALSE),VLOOKUP(tables_6!B32,input_6!A:H,8,FALSE))</f>
        <v>0</v>
      </c>
      <c r="M32" s="69">
        <f t="shared" si="2"/>
        <v>0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input_6!A$2</f>
        <v>3086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68">
        <f>IFERROR(VLOOKUP(D33,input_6!L:T,9,FALSE),VLOOKUP(tables_6!B33,input_6!A:H,8,FALSE))</f>
        <v>1761984</v>
      </c>
      <c r="M33" s="69">
        <f t="shared" si="2"/>
        <v>5.9733333333333331E-3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input_6!A$2</f>
        <v>3086</v>
      </c>
      <c r="B34" s="7" t="str">
        <f t="shared" si="0"/>
        <v>PremiumW3other</v>
      </c>
      <c r="C34" s="7" t="str">
        <f t="shared" si="1"/>
        <v>other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68">
        <f>IFERROR(VLOOKUP(D34,input_6!L:T,9,FALSE),VLOOKUP(tables_6!B34,input_6!A:H,8,FALSE))</f>
        <v>0</v>
      </c>
      <c r="M34" s="69">
        <f t="shared" si="2"/>
        <v>0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input_6!A$2</f>
        <v>3086</v>
      </c>
      <c r="B35" s="7" t="str">
        <f t="shared" si="0"/>
        <v>PremiumW4other</v>
      </c>
      <c r="C35" s="7" t="str">
        <f t="shared" si="1"/>
        <v>other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68">
        <f>IFERROR(VLOOKUP(D35,input_6!L:T,9,FALSE),VLOOKUP(tables_6!B35,input_6!A:H,8,FALSE))</f>
        <v>1761984</v>
      </c>
      <c r="M35" s="69">
        <f t="shared" si="2"/>
        <v>5.9733333333333331E-3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input_6!A$2</f>
        <v>3086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68">
        <f>IFERROR(VLOOKUP(D36,input_6!L:T,9,FALSE),VLOOKUP(tables_6!B36,input_6!A:H,8,FALSE))</f>
        <v>0</v>
      </c>
      <c r="M36" s="69">
        <f t="shared" si="2"/>
        <v>0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input_6!A$2</f>
        <v>3086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68">
        <f>IFERROR(VLOOKUP(D37,input_6!L:T,9,FALSE),VLOOKUP(tables_6!B37,input_6!A:H,8,FALSE))</f>
        <v>1761984</v>
      </c>
      <c r="M37" s="69">
        <f t="shared" si="2"/>
        <v>5.9733333333333331E-3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input_6!A$2</f>
        <v>3086</v>
      </c>
      <c r="B38" s="7" t="str">
        <f t="shared" si="0"/>
        <v>PremiumW3blue</v>
      </c>
      <c r="C38" s="7" t="str">
        <f t="shared" si="1"/>
        <v>blue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68">
        <f>IFERROR(VLOOKUP(D38,input_6!L:T,9,FALSE),VLOOKUP(tables_6!B38,input_6!A:H,8,FALSE))</f>
        <v>0</v>
      </c>
      <c r="M38" s="69">
        <f t="shared" si="2"/>
        <v>0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input_6!A$2</f>
        <v>3086</v>
      </c>
      <c r="B39" s="7" t="str">
        <f t="shared" si="0"/>
        <v>PremiumW4blue</v>
      </c>
      <c r="C39" s="7" t="str">
        <f t="shared" si="1"/>
        <v>blue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68">
        <f>IFERROR(VLOOKUP(D39,input_6!L:T,9,FALSE),VLOOKUP(tables_6!B39,input_6!A:H,8,FALSE))</f>
        <v>12333888</v>
      </c>
      <c r="M39" s="69">
        <f t="shared" si="2"/>
        <v>4.1813333333333334E-2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input_6!A$2</f>
        <v>3086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68">
        <f>IFERROR(VLOOKUP(D40,input_6!L:T,9,FALSE),VLOOKUP(tables_6!B40,input_6!A:H,8,FALSE))</f>
        <v>0</v>
      </c>
      <c r="M40" s="69">
        <f t="shared" si="2"/>
        <v>0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input_6!A$2</f>
        <v>3086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68">
        <f>IFERROR(VLOOKUP(D41,input_6!L:T,9,FALSE),VLOOKUP(tables_6!B41,input_6!A:H,8,FALSE))</f>
        <v>1761984</v>
      </c>
      <c r="M41" s="69">
        <f t="shared" si="2"/>
        <v>5.9733333333333331E-3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input_6!A$2</f>
        <v>3086</v>
      </c>
      <c r="B42" s="7" t="str">
        <f t="shared" si="0"/>
        <v>PremiumN3other</v>
      </c>
      <c r="C42" s="7" t="str">
        <f t="shared" si="1"/>
        <v>other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68">
        <f>IFERROR(VLOOKUP(D42,input_6!L:T,9,FALSE),VLOOKUP(tables_6!B42,input_6!A:H,8,FALSE))</f>
        <v>0</v>
      </c>
      <c r="M42" s="69">
        <f t="shared" si="2"/>
        <v>0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input_6!A$2</f>
        <v>3086</v>
      </c>
      <c r="B43" s="7" t="str">
        <f t="shared" si="0"/>
        <v>PremiumN4other</v>
      </c>
      <c r="C43" s="7" t="str">
        <f t="shared" si="1"/>
        <v>other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68">
        <f>IFERROR(VLOOKUP(D43,input_6!L:T,9,FALSE),VLOOKUP(tables_6!B43,input_6!A:H,8,FALSE))</f>
        <v>1761984</v>
      </c>
      <c r="M43" s="69">
        <f t="shared" si="2"/>
        <v>5.9733333333333331E-3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input_6!A$2</f>
        <v>3086</v>
      </c>
      <c r="B44" s="7" t="str">
        <f t="shared" si="0"/>
        <v>PremiumN5other</v>
      </c>
      <c r="C44" s="7" t="str">
        <f t="shared" si="1"/>
        <v>other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68">
        <f>IFERROR(VLOOKUP(D44,input_6!L:T,9,FALSE),VLOOKUP(tables_6!B44,input_6!A:H,8,FALSE))</f>
        <v>70794</v>
      </c>
      <c r="M44" s="69">
        <f t="shared" si="2"/>
        <v>2.4000000000000001E-4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input_6!A$2</f>
        <v>3086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68">
        <f>IFERROR(VLOOKUP(D45,input_6!L:T,9,FALSE),VLOOKUP(tables_6!B45,input_6!A:H,8,FALSE))</f>
        <v>0</v>
      </c>
      <c r="M45" s="69">
        <f t="shared" si="2"/>
        <v>0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input_6!A$2</f>
        <v>3086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68">
        <f>IFERROR(VLOOKUP(D46,input_6!L:T,9,FALSE),VLOOKUP(tables_6!B46,input_6!A:H,8,FALSE))</f>
        <v>1761984</v>
      </c>
      <c r="M46" s="69">
        <f t="shared" si="2"/>
        <v>5.9733333333333331E-3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input_6!A$2</f>
        <v>3086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68">
        <f>IFERROR(VLOOKUP(D47,input_6!L:T,9,FALSE),VLOOKUP(tables_6!B47,input_6!A:H,8,FALSE))</f>
        <v>70794</v>
      </c>
      <c r="M47" s="69">
        <f t="shared" si="2"/>
        <v>2.4000000000000001E-4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input_6!A$2</f>
        <v>3086</v>
      </c>
      <c r="B48" s="7" t="str">
        <f t="shared" si="0"/>
        <v>PremiumN3blue</v>
      </c>
      <c r="C48" s="7" t="str">
        <f t="shared" si="1"/>
        <v>blue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68">
        <f>IFERROR(VLOOKUP(D48,input_6!L:T,9,FALSE),VLOOKUP(tables_6!B48,input_6!A:H,8,FALSE))</f>
        <v>0</v>
      </c>
      <c r="M48" s="69">
        <f t="shared" si="2"/>
        <v>0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input_6!A$2</f>
        <v>3086</v>
      </c>
      <c r="B49" s="7" t="str">
        <f t="shared" si="0"/>
        <v>PremiumN4blue</v>
      </c>
      <c r="C49" s="7" t="str">
        <f t="shared" si="1"/>
        <v>blue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68">
        <f>IFERROR(VLOOKUP(D49,input_6!L:T,9,FALSE),VLOOKUP(tables_6!B49,input_6!A:H,8,FALSE))</f>
        <v>12333888</v>
      </c>
      <c r="M49" s="69">
        <f t="shared" si="2"/>
        <v>4.1813333333333334E-2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input_6!A$2</f>
        <v>3086</v>
      </c>
      <c r="B50" s="7" t="str">
        <f t="shared" si="0"/>
        <v>PremiumN5blue</v>
      </c>
      <c r="C50" s="7" t="str">
        <f t="shared" si="1"/>
        <v>blue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68">
        <f>IFERROR(VLOOKUP(D50,input_6!L:T,9,FALSE),VLOOKUP(tables_6!B50,input_6!A:H,8,FALSE))</f>
        <v>495558</v>
      </c>
      <c r="M50" s="69">
        <f t="shared" si="2"/>
        <v>1.6800000000000001E-3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input_6!A$2</f>
        <v>3086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68">
        <f>IFERROR(VLOOKUP(D51,input_6!L:T,9,FALSE),VLOOKUP(tables_6!B51,input_6!A:H,8,FALSE))</f>
        <v>0</v>
      </c>
      <c r="M51" s="69">
        <f t="shared" si="2"/>
        <v>0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input_6!A$2</f>
        <v>3086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68">
        <f>IFERROR(VLOOKUP(D52,input_6!L:T,9,FALSE),VLOOKUP(tables_6!B52,input_6!A:H,8,FALSE))</f>
        <v>1761984</v>
      </c>
      <c r="M52" s="69">
        <f t="shared" si="2"/>
        <v>5.9733333333333331E-3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input_6!A$2</f>
        <v>3086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68">
        <f>IFERROR(VLOOKUP(D53,input_6!L:T,9,FALSE),VLOOKUP(tables_6!B53,input_6!A:H,8,FALSE))</f>
        <v>70794</v>
      </c>
      <c r="M53" s="69">
        <f t="shared" si="2"/>
        <v>2.4000000000000001E-4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input_6!A$2</f>
        <v>3086</v>
      </c>
      <c r="B54" s="7" t="str">
        <f t="shared" si="0"/>
        <v>PremiumN3other</v>
      </c>
      <c r="C54" s="7" t="str">
        <f t="shared" si="1"/>
        <v>other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68">
        <f>IFERROR(VLOOKUP(D54,input_6!L:T,9,FALSE),VLOOKUP(tables_6!B54,input_6!A:H,8,FALSE))</f>
        <v>0</v>
      </c>
      <c r="M54" s="69">
        <f t="shared" si="2"/>
        <v>0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input_6!A$2</f>
        <v>3086</v>
      </c>
      <c r="B55" s="7" t="str">
        <f t="shared" si="0"/>
        <v>PremiumN4other</v>
      </c>
      <c r="C55" s="7" t="str">
        <f t="shared" si="1"/>
        <v>other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68">
        <f>IFERROR(VLOOKUP(D55,input_6!L:T,9,FALSE),VLOOKUP(tables_6!B55,input_6!A:H,8,FALSE))</f>
        <v>1761984</v>
      </c>
      <c r="M55" s="69">
        <f t="shared" si="2"/>
        <v>5.9733333333333331E-3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input_6!A$2</f>
        <v>3086</v>
      </c>
      <c r="B56" s="7" t="str">
        <f t="shared" si="0"/>
        <v>PremiumN5other</v>
      </c>
      <c r="C56" s="7" t="str">
        <f t="shared" si="1"/>
        <v>other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68">
        <f>IFERROR(VLOOKUP(D56,input_6!L:T,9,FALSE),VLOOKUP(tables_6!B56,input_6!A:H,8,FALSE))</f>
        <v>70794</v>
      </c>
      <c r="M56" s="69">
        <f t="shared" si="2"/>
        <v>2.4000000000000001E-4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input_6!A$2</f>
        <v>3086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68">
        <f>IFERROR(VLOOKUP(D57,input_6!L:T,9,FALSE),VLOOKUP(tables_6!B57,input_6!A:H,8,FALSE))</f>
        <v>0</v>
      </c>
      <c r="M57" s="69">
        <f t="shared" si="2"/>
        <v>0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input_6!A$2</f>
        <v>3086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68">
        <f>IFERROR(VLOOKUP(D58,input_6!L:T,9,FALSE),VLOOKUP(tables_6!B58,input_6!A:H,8,FALSE))</f>
        <v>1761984</v>
      </c>
      <c r="M58" s="69">
        <f t="shared" si="2"/>
        <v>5.9733333333333331E-3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input_6!A$2</f>
        <v>3086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68">
        <f>IFERROR(VLOOKUP(D59,input_6!L:T,9,FALSE),VLOOKUP(tables_6!B59,input_6!A:H,8,FALSE))</f>
        <v>70794</v>
      </c>
      <c r="M59" s="69">
        <f t="shared" si="2"/>
        <v>2.4000000000000001E-4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input_6!A$2</f>
        <v>3086</v>
      </c>
      <c r="B60" s="7" t="str">
        <f t="shared" si="0"/>
        <v>PremiumN3blue</v>
      </c>
      <c r="C60" s="7" t="str">
        <f t="shared" si="1"/>
        <v>blue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68">
        <f>IFERROR(VLOOKUP(D60,input_6!L:T,9,FALSE),VLOOKUP(tables_6!B60,input_6!A:H,8,FALSE))</f>
        <v>0</v>
      </c>
      <c r="M60" s="69">
        <f t="shared" si="2"/>
        <v>0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input_6!A$2</f>
        <v>3086</v>
      </c>
      <c r="B61" s="7" t="str">
        <f t="shared" si="0"/>
        <v>PremiumN4blue</v>
      </c>
      <c r="C61" s="7" t="str">
        <f t="shared" si="1"/>
        <v>blue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68">
        <f>IFERROR(VLOOKUP(D61,input_6!L:T,9,FALSE),VLOOKUP(tables_6!B61,input_6!A:H,8,FALSE))</f>
        <v>12333888</v>
      </c>
      <c r="M61" s="69">
        <f t="shared" si="2"/>
        <v>4.1813333333333334E-2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input_6!A$2</f>
        <v>3086</v>
      </c>
      <c r="B62" s="7" t="str">
        <f t="shared" si="0"/>
        <v>PremiumN5blue</v>
      </c>
      <c r="C62" s="7" t="str">
        <f t="shared" si="1"/>
        <v>blue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68">
        <f>IFERROR(VLOOKUP(D62,input_6!L:T,9,FALSE),VLOOKUP(tables_6!B62,input_6!A:H,8,FALSE))</f>
        <v>495558</v>
      </c>
      <c r="M62" s="69">
        <f t="shared" si="2"/>
        <v>1.6800000000000001E-3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input_6!A$2</f>
        <v>3086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68">
        <f>IFERROR(VLOOKUP(D63,input_6!L:T,9,FALSE),VLOOKUP(tables_6!B63,input_6!A:H,8,FALSE))</f>
        <v>0</v>
      </c>
      <c r="M63" s="69">
        <f t="shared" si="2"/>
        <v>0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input_6!A$2</f>
        <v>3086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68">
        <f>IFERROR(VLOOKUP(D64,input_6!L:T,9,FALSE),VLOOKUP(tables_6!B64,input_6!A:H,8,FALSE))</f>
        <v>1761984</v>
      </c>
      <c r="M64" s="69">
        <f t="shared" si="2"/>
        <v>5.9733333333333331E-3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input_6!A$2</f>
        <v>3086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68">
        <f>IFERROR(VLOOKUP(D65,input_6!L:T,9,FALSE),VLOOKUP(tables_6!B65,input_6!A:H,8,FALSE))</f>
        <v>70794</v>
      </c>
      <c r="M65" s="69">
        <f t="shared" si="2"/>
        <v>2.4000000000000001E-4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input_6!A$2</f>
        <v>3086</v>
      </c>
      <c r="B66" s="7" t="str">
        <f t="shared" si="0"/>
        <v>PremiumN3other</v>
      </c>
      <c r="C66" s="7" t="str">
        <f t="shared" si="1"/>
        <v>other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68">
        <f>IFERROR(VLOOKUP(D66,input_6!L:T,9,FALSE),VLOOKUP(tables_6!B66,input_6!A:H,8,FALSE))</f>
        <v>0</v>
      </c>
      <c r="M66" s="69">
        <f t="shared" si="2"/>
        <v>0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input_6!A$2</f>
        <v>3086</v>
      </c>
      <c r="B67" s="7" t="str">
        <f t="shared" ref="B67:B130" si="3">F67&amp;G67&amp;C67</f>
        <v>PremiumN4other</v>
      </c>
      <c r="C67" s="7" t="str">
        <f t="shared" ref="C67:C130" si="4">IF(H67="blue",H67,"other")</f>
        <v>other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68">
        <f>IFERROR(VLOOKUP(D67,input_6!L:T,9,FALSE),VLOOKUP(tables_6!B67,input_6!A:H,8,FALSE))</f>
        <v>1761984</v>
      </c>
      <c r="M67" s="69">
        <f t="shared" ref="M67:M130" si="5">L67/SUM(L:L)</f>
        <v>5.9733333333333331E-3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input_6!A$2</f>
        <v>3086</v>
      </c>
      <c r="B68" s="7" t="str">
        <f t="shared" si="3"/>
        <v>PremiumN5other</v>
      </c>
      <c r="C68" s="7" t="str">
        <f t="shared" si="4"/>
        <v>other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68">
        <f>IFERROR(VLOOKUP(D68,input_6!L:T,9,FALSE),VLOOKUP(tables_6!B68,input_6!A:H,8,FALSE))</f>
        <v>70794</v>
      </c>
      <c r="M68" s="69">
        <f t="shared" si="5"/>
        <v>2.4000000000000001E-4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input_6!A$2</f>
        <v>3086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68">
        <f>IFERROR(VLOOKUP(D69,input_6!L:T,9,FALSE),VLOOKUP(tables_6!B69,input_6!A:H,8,FALSE))</f>
        <v>0</v>
      </c>
      <c r="M69" s="69">
        <f t="shared" si="5"/>
        <v>0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input_6!A$2</f>
        <v>3086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68">
        <f>IFERROR(VLOOKUP(D70,input_6!L:T,9,FALSE),VLOOKUP(tables_6!B70,input_6!A:H,8,FALSE))</f>
        <v>1761984</v>
      </c>
      <c r="M70" s="69">
        <f t="shared" si="5"/>
        <v>5.9733333333333331E-3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input_6!A$2</f>
        <v>3086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68">
        <f>IFERROR(VLOOKUP(D71,input_6!L:T,9,FALSE),VLOOKUP(tables_6!B71,input_6!A:H,8,FALSE))</f>
        <v>70794</v>
      </c>
      <c r="M71" s="69">
        <f t="shared" si="5"/>
        <v>2.4000000000000001E-4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input_6!A$2</f>
        <v>3086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68">
        <f>IFERROR(VLOOKUP(D72,input_6!L:T,9,FALSE),VLOOKUP(tables_6!B72,input_6!A:H,8,FALSE))</f>
        <v>0</v>
      </c>
      <c r="M72" s="69">
        <f t="shared" si="5"/>
        <v>0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input_6!A$2</f>
        <v>3086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68">
        <f>IFERROR(VLOOKUP(D73,input_6!L:T,9,FALSE),VLOOKUP(tables_6!B73,input_6!A:H,8,FALSE))</f>
        <v>1761984</v>
      </c>
      <c r="M73" s="69">
        <f t="shared" si="5"/>
        <v>5.9733333333333331E-3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input_6!A$2</f>
        <v>3086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68">
        <f>IFERROR(VLOOKUP(D74,input_6!L:T,9,FALSE),VLOOKUP(tables_6!B74,input_6!A:H,8,FALSE))</f>
        <v>70794</v>
      </c>
      <c r="M74" s="69">
        <f t="shared" si="5"/>
        <v>2.4000000000000001E-4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input_6!A$2</f>
        <v>3086</v>
      </c>
      <c r="B75" s="7" t="str">
        <f t="shared" si="3"/>
        <v>PremiumN3blue</v>
      </c>
      <c r="C75" s="7" t="str">
        <f t="shared" si="4"/>
        <v>blue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68">
        <f>IFERROR(VLOOKUP(D75,input_6!L:T,9,FALSE),VLOOKUP(tables_6!B75,input_6!A:H,8,FALSE))</f>
        <v>0</v>
      </c>
      <c r="M75" s="69">
        <f t="shared" si="5"/>
        <v>0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input_6!A$2</f>
        <v>3086</v>
      </c>
      <c r="B76" s="7" t="str">
        <f t="shared" si="3"/>
        <v>PremiumN4blue</v>
      </c>
      <c r="C76" s="7" t="str">
        <f t="shared" si="4"/>
        <v>blue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68">
        <f>IFERROR(VLOOKUP(D76,input_6!L:T,9,FALSE),VLOOKUP(tables_6!B76,input_6!A:H,8,FALSE))</f>
        <v>12333888</v>
      </c>
      <c r="M76" s="69">
        <f t="shared" si="5"/>
        <v>4.1813333333333334E-2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input_6!A$2</f>
        <v>3086</v>
      </c>
      <c r="B77" s="7" t="str">
        <f t="shared" si="3"/>
        <v>PremiumN5blue</v>
      </c>
      <c r="C77" s="7" t="str">
        <f t="shared" si="4"/>
        <v>blue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68">
        <f>IFERROR(VLOOKUP(D77,input_6!L:T,9,FALSE),VLOOKUP(tables_6!B77,input_6!A:H,8,FALSE))</f>
        <v>495558</v>
      </c>
      <c r="M77" s="69">
        <f t="shared" si="5"/>
        <v>1.6800000000000001E-3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input_6!A$2</f>
        <v>3086</v>
      </c>
      <c r="B78" s="7" t="str">
        <f t="shared" si="3"/>
        <v>PremiumN3other</v>
      </c>
      <c r="C78" s="7" t="str">
        <f t="shared" si="4"/>
        <v>other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68">
        <f>IFERROR(VLOOKUP(D78,input_6!L:T,9,FALSE),VLOOKUP(tables_6!B78,input_6!A:H,8,FALSE))</f>
        <v>0</v>
      </c>
      <c r="M78" s="69">
        <f t="shared" si="5"/>
        <v>0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input_6!A$2</f>
        <v>3086</v>
      </c>
      <c r="B79" s="7" t="str">
        <f t="shared" si="3"/>
        <v>PremiumN4other</v>
      </c>
      <c r="C79" s="7" t="str">
        <f t="shared" si="4"/>
        <v>other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68">
        <f>IFERROR(VLOOKUP(D79,input_6!L:T,9,FALSE),VLOOKUP(tables_6!B79,input_6!A:H,8,FALSE))</f>
        <v>1761984</v>
      </c>
      <c r="M79" s="69">
        <f t="shared" si="5"/>
        <v>5.9733333333333331E-3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input_6!A$2</f>
        <v>3086</v>
      </c>
      <c r="B80" s="7" t="str">
        <f t="shared" si="3"/>
        <v>PremiumN5other</v>
      </c>
      <c r="C80" s="7" t="str">
        <f t="shared" si="4"/>
        <v>other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68">
        <f>IFERROR(VLOOKUP(D80,input_6!L:T,9,FALSE),VLOOKUP(tables_6!B80,input_6!A:H,8,FALSE))</f>
        <v>70794</v>
      </c>
      <c r="M80" s="69">
        <f t="shared" si="5"/>
        <v>2.4000000000000001E-4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input_6!A$2</f>
        <v>3086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68">
        <f>IFERROR(VLOOKUP(D81,input_6!L:T,9,FALSE),VLOOKUP(tables_6!B81,input_6!A:H,8,FALSE))</f>
        <v>0</v>
      </c>
      <c r="M81" s="69">
        <f t="shared" si="5"/>
        <v>0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input_6!A$2</f>
        <v>3086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68">
        <f>IFERROR(VLOOKUP(D82,input_6!L:T,9,FALSE),VLOOKUP(tables_6!B82,input_6!A:H,8,FALSE))</f>
        <v>1761984</v>
      </c>
      <c r="M82" s="69">
        <f t="shared" si="5"/>
        <v>5.9733333333333331E-3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input_6!A$2</f>
        <v>3086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68">
        <f>IFERROR(VLOOKUP(D83,input_6!L:T,9,FALSE),VLOOKUP(tables_6!B83,input_6!A:H,8,FALSE))</f>
        <v>70794</v>
      </c>
      <c r="M83" s="69">
        <f t="shared" si="5"/>
        <v>2.4000000000000001E-4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input_6!A$2</f>
        <v>3086</v>
      </c>
      <c r="B84" s="7" t="str">
        <f t="shared" si="3"/>
        <v>PremiumN3blue</v>
      </c>
      <c r="C84" s="7" t="str">
        <f t="shared" si="4"/>
        <v>blue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68">
        <f>IFERROR(VLOOKUP(D84,input_6!L:T,9,FALSE),VLOOKUP(tables_6!B84,input_6!A:H,8,FALSE))</f>
        <v>0</v>
      </c>
      <c r="M84" s="69">
        <f t="shared" si="5"/>
        <v>0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input_6!A$2</f>
        <v>3086</v>
      </c>
      <c r="B85" s="7" t="str">
        <f t="shared" si="3"/>
        <v>PremiumN4blue</v>
      </c>
      <c r="C85" s="7" t="str">
        <f t="shared" si="4"/>
        <v>blue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68">
        <f>IFERROR(VLOOKUP(D85,input_6!L:T,9,FALSE),VLOOKUP(tables_6!B85,input_6!A:H,8,FALSE))</f>
        <v>12333888</v>
      </c>
      <c r="M85" s="69">
        <f t="shared" si="5"/>
        <v>4.1813333333333334E-2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input_6!A$2</f>
        <v>3086</v>
      </c>
      <c r="B86" s="7" t="str">
        <f t="shared" si="3"/>
        <v>PremiumN5blue</v>
      </c>
      <c r="C86" s="7" t="str">
        <f t="shared" si="4"/>
        <v>blue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68">
        <f>IFERROR(VLOOKUP(D86,input_6!L:T,9,FALSE),VLOOKUP(tables_6!B86,input_6!A:H,8,FALSE))</f>
        <v>495558</v>
      </c>
      <c r="M86" s="69">
        <f t="shared" si="5"/>
        <v>1.6800000000000001E-3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input_6!A$2</f>
        <v>3086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68">
        <f>IFERROR(VLOOKUP(D87,input_6!L:T,9,FALSE),VLOOKUP(tables_6!B87,input_6!A:H,8,FALSE))</f>
        <v>0</v>
      </c>
      <c r="M87" s="69">
        <f t="shared" si="5"/>
        <v>0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input_6!A$2</f>
        <v>3086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68">
        <f>IFERROR(VLOOKUP(D88,input_6!L:T,9,FALSE),VLOOKUP(tables_6!B88,input_6!A:H,8,FALSE))</f>
        <v>1761984</v>
      </c>
      <c r="M88" s="69">
        <f t="shared" si="5"/>
        <v>5.9733333333333331E-3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input_6!A$2</f>
        <v>3086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68">
        <f>IFERROR(VLOOKUP(D89,input_6!L:T,9,FALSE),VLOOKUP(tables_6!B89,input_6!A:H,8,FALSE))</f>
        <v>70794</v>
      </c>
      <c r="M89" s="69">
        <f t="shared" si="5"/>
        <v>2.4000000000000001E-4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input_6!A$2</f>
        <v>3086</v>
      </c>
      <c r="B90" s="7" t="str">
        <f t="shared" si="3"/>
        <v>PremiumN3other</v>
      </c>
      <c r="C90" s="7" t="str">
        <f t="shared" si="4"/>
        <v>other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68">
        <f>IFERROR(VLOOKUP(D90,input_6!L:T,9,FALSE),VLOOKUP(tables_6!B90,input_6!A:H,8,FALSE))</f>
        <v>0</v>
      </c>
      <c r="M90" s="69">
        <f t="shared" si="5"/>
        <v>0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input_6!A$2</f>
        <v>3086</v>
      </c>
      <c r="B91" s="7" t="str">
        <f t="shared" si="3"/>
        <v>PremiumN4other</v>
      </c>
      <c r="C91" s="7" t="str">
        <f t="shared" si="4"/>
        <v>other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68">
        <f>IFERROR(VLOOKUP(D91,input_6!L:T,9,FALSE),VLOOKUP(tables_6!B91,input_6!A:H,8,FALSE))</f>
        <v>1761984</v>
      </c>
      <c r="M91" s="69">
        <f t="shared" si="5"/>
        <v>5.9733333333333331E-3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input_6!A$2</f>
        <v>3086</v>
      </c>
      <c r="B92" s="7" t="str">
        <f t="shared" si="3"/>
        <v>PremiumN5other</v>
      </c>
      <c r="C92" s="7" t="str">
        <f t="shared" si="4"/>
        <v>other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68">
        <f>IFERROR(VLOOKUP(D92,input_6!L:T,9,FALSE),VLOOKUP(tables_6!B92,input_6!A:H,8,FALSE))</f>
        <v>70794</v>
      </c>
      <c r="M92" s="69">
        <f t="shared" si="5"/>
        <v>2.4000000000000001E-4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input_6!A$2</f>
        <v>3086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68">
        <f>IFERROR(VLOOKUP(D93,input_6!L:T,9,FALSE),VLOOKUP(tables_6!B93,input_6!A:H,8,FALSE))</f>
        <v>0</v>
      </c>
      <c r="M93" s="69">
        <f t="shared" si="5"/>
        <v>0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input_6!A$2</f>
        <v>3086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68">
        <f>IFERROR(VLOOKUP(D94,input_6!L:T,9,FALSE),VLOOKUP(tables_6!B94,input_6!A:H,8,FALSE))</f>
        <v>1761984</v>
      </c>
      <c r="M94" s="69">
        <f t="shared" si="5"/>
        <v>5.9733333333333331E-3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input_6!A$2</f>
        <v>3086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68">
        <f>IFERROR(VLOOKUP(D95,input_6!L:T,9,FALSE),VLOOKUP(tables_6!B95,input_6!A:H,8,FALSE))</f>
        <v>70794</v>
      </c>
      <c r="M95" s="69">
        <f t="shared" si="5"/>
        <v>2.4000000000000001E-4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input_6!A$2</f>
        <v>3086</v>
      </c>
      <c r="B96" s="7" t="str">
        <f t="shared" si="3"/>
        <v>PremiumN3blue</v>
      </c>
      <c r="C96" s="7" t="str">
        <f t="shared" si="4"/>
        <v>blue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68">
        <f>IFERROR(VLOOKUP(D96,input_6!L:T,9,FALSE),VLOOKUP(tables_6!B96,input_6!A:H,8,FALSE))</f>
        <v>0</v>
      </c>
      <c r="M96" s="69">
        <f t="shared" si="5"/>
        <v>0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input_6!A$2</f>
        <v>3086</v>
      </c>
      <c r="B97" s="7" t="str">
        <f t="shared" si="3"/>
        <v>PremiumN4blue</v>
      </c>
      <c r="C97" s="7" t="str">
        <f t="shared" si="4"/>
        <v>blue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68">
        <f>IFERROR(VLOOKUP(D97,input_6!L:T,9,FALSE),VLOOKUP(tables_6!B97,input_6!A:H,8,FALSE))</f>
        <v>12333888</v>
      </c>
      <c r="M97" s="69">
        <f t="shared" si="5"/>
        <v>4.1813333333333334E-2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input_6!A$2</f>
        <v>3086</v>
      </c>
      <c r="B98" s="7" t="str">
        <f t="shared" si="3"/>
        <v>PremiumN5blue</v>
      </c>
      <c r="C98" s="7" t="str">
        <f t="shared" si="4"/>
        <v>blue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68">
        <f>IFERROR(VLOOKUP(D98,input_6!L:T,9,FALSE),VLOOKUP(tables_6!B98,input_6!A:H,8,FALSE))</f>
        <v>495558</v>
      </c>
      <c r="M98" s="69">
        <f t="shared" si="5"/>
        <v>1.6800000000000001E-3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input_6!A$2</f>
        <v>3086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68">
        <f>IFERROR(VLOOKUP(D99,input_6!L:T,9,FALSE),VLOOKUP(tables_6!B99,input_6!A:H,8,FALSE))</f>
        <v>0</v>
      </c>
      <c r="M99" s="69">
        <f t="shared" si="5"/>
        <v>0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input_6!A$2</f>
        <v>3086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68">
        <f>IFERROR(VLOOKUP(D100,input_6!L:T,9,FALSE),VLOOKUP(tables_6!B100,input_6!A:H,8,FALSE))</f>
        <v>1761984</v>
      </c>
      <c r="M100" s="69">
        <f t="shared" si="5"/>
        <v>5.9733333333333331E-3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input_6!A$2</f>
        <v>3086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68">
        <f>IFERROR(VLOOKUP(D101,input_6!L:T,9,FALSE),VLOOKUP(tables_6!B101,input_6!A:H,8,FALSE))</f>
        <v>70794</v>
      </c>
      <c r="M101" s="69">
        <f t="shared" si="5"/>
        <v>2.4000000000000001E-4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input_6!A$2</f>
        <v>3086</v>
      </c>
      <c r="B102" s="7" t="str">
        <f t="shared" si="3"/>
        <v>PremiumS3other</v>
      </c>
      <c r="C102" s="7" t="str">
        <f t="shared" si="4"/>
        <v>other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68">
        <f>IFERROR(VLOOKUP(D102,input_6!L:T,9,FALSE),VLOOKUP(tables_6!B102,input_6!A:H,8,FALSE))</f>
        <v>0</v>
      </c>
      <c r="M102" s="69">
        <f t="shared" si="5"/>
        <v>0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input_6!A$2</f>
        <v>3086</v>
      </c>
      <c r="B103" s="7" t="str">
        <f t="shared" si="3"/>
        <v>PremiumS4other</v>
      </c>
      <c r="C103" s="7" t="str">
        <f t="shared" si="4"/>
        <v>other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68">
        <f>IFERROR(VLOOKUP(D103,input_6!L:T,9,FALSE),VLOOKUP(tables_6!B103,input_6!A:H,8,FALSE))</f>
        <v>1149120</v>
      </c>
      <c r="M103" s="69">
        <f t="shared" si="5"/>
        <v>3.8956521739130436E-3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input_6!A$2</f>
        <v>3086</v>
      </c>
      <c r="B104" s="7" t="str">
        <f t="shared" si="3"/>
        <v>PremiumS5other</v>
      </c>
      <c r="C104" s="7" t="str">
        <f t="shared" si="4"/>
        <v>other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68">
        <f>IFERROR(VLOOKUP(D104,input_6!L:T,9,FALSE),VLOOKUP(tables_6!B104,input_6!A:H,8,FALSE))</f>
        <v>46170</v>
      </c>
      <c r="M104" s="69">
        <f t="shared" si="5"/>
        <v>1.565217391304348E-4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input_6!A$2</f>
        <v>3086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68">
        <f>IFERROR(VLOOKUP(D105,input_6!L:T,9,FALSE),VLOOKUP(tables_6!B105,input_6!A:H,8,FALSE))</f>
        <v>0</v>
      </c>
      <c r="M105" s="69">
        <f t="shared" si="5"/>
        <v>0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input_6!A$2</f>
        <v>3086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68">
        <f>IFERROR(VLOOKUP(D106,input_6!L:T,9,FALSE),VLOOKUP(tables_6!B106,input_6!A:H,8,FALSE))</f>
        <v>1149120</v>
      </c>
      <c r="M106" s="69">
        <f t="shared" si="5"/>
        <v>3.8956521739130436E-3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input_6!A$2</f>
        <v>3086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68">
        <f>IFERROR(VLOOKUP(D107,input_6!L:T,9,FALSE),VLOOKUP(tables_6!B107,input_6!A:H,8,FALSE))</f>
        <v>46170</v>
      </c>
      <c r="M107" s="69">
        <f t="shared" si="5"/>
        <v>1.565217391304348E-4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input_6!A$2</f>
        <v>3086</v>
      </c>
      <c r="B108" s="7" t="str">
        <f t="shared" si="3"/>
        <v>PremiumS3blue</v>
      </c>
      <c r="C108" s="7" t="str">
        <f t="shared" si="4"/>
        <v>blue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68">
        <f>IFERROR(VLOOKUP(D108,input_6!L:T,9,FALSE),VLOOKUP(tables_6!B108,input_6!A:H,8,FALSE))</f>
        <v>0</v>
      </c>
      <c r="M108" s="69">
        <f t="shared" si="5"/>
        <v>0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input_6!A$2</f>
        <v>3086</v>
      </c>
      <c r="B109" s="7" t="str">
        <f t="shared" si="3"/>
        <v>PremiumS4blue</v>
      </c>
      <c r="C109" s="7" t="str">
        <f t="shared" si="4"/>
        <v>blue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68">
        <f>IFERROR(VLOOKUP(D109,input_6!L:T,9,FALSE),VLOOKUP(tables_6!B109,input_6!A:H,8,FALSE))</f>
        <v>6852160</v>
      </c>
      <c r="M109" s="69">
        <f t="shared" si="5"/>
        <v>2.3229629629629631E-2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input_6!A$2</f>
        <v>3086</v>
      </c>
      <c r="B110" s="7" t="str">
        <f t="shared" si="3"/>
        <v>PremiumS5blue</v>
      </c>
      <c r="C110" s="7" t="str">
        <f t="shared" si="4"/>
        <v>blue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68">
        <f>IFERROR(VLOOKUP(D110,input_6!L:T,9,FALSE),VLOOKUP(tables_6!B110,input_6!A:H,8,FALSE))</f>
        <v>275310</v>
      </c>
      <c r="M110" s="69">
        <f t="shared" si="5"/>
        <v>9.3333333333333332E-4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input_6!A$2</f>
        <v>3086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68">
        <f>IFERROR(VLOOKUP(D111,input_6!L:T,9,FALSE),VLOOKUP(tables_6!B111,input_6!A:H,8,FALSE))</f>
        <v>0</v>
      </c>
      <c r="M111" s="69">
        <f t="shared" si="5"/>
        <v>0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input_6!A$2</f>
        <v>3086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68">
        <f>IFERROR(VLOOKUP(D112,input_6!L:T,9,FALSE),VLOOKUP(tables_6!B112,input_6!A:H,8,FALSE))</f>
        <v>1149120</v>
      </c>
      <c r="M112" s="69">
        <f t="shared" si="5"/>
        <v>3.8956521739130436E-3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input_6!A$2</f>
        <v>3086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68">
        <f>IFERROR(VLOOKUP(D113,input_6!L:T,9,FALSE),VLOOKUP(tables_6!B113,input_6!A:H,8,FALSE))</f>
        <v>46170</v>
      </c>
      <c r="M113" s="69">
        <f t="shared" si="5"/>
        <v>1.565217391304348E-4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input_6!A$2</f>
        <v>3086</v>
      </c>
      <c r="B114" s="7" t="str">
        <f t="shared" si="3"/>
        <v>PremiumS3other</v>
      </c>
      <c r="C114" s="7" t="str">
        <f t="shared" si="4"/>
        <v>other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68">
        <f>IFERROR(VLOOKUP(D114,input_6!L:T,9,FALSE),VLOOKUP(tables_6!B114,input_6!A:H,8,FALSE))</f>
        <v>0</v>
      </c>
      <c r="M114" s="69">
        <f t="shared" si="5"/>
        <v>0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input_6!A$2</f>
        <v>3086</v>
      </c>
      <c r="B115" s="7" t="str">
        <f t="shared" si="3"/>
        <v>PremiumS4other</v>
      </c>
      <c r="C115" s="7" t="str">
        <f t="shared" si="4"/>
        <v>other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68">
        <f>IFERROR(VLOOKUP(D115,input_6!L:T,9,FALSE),VLOOKUP(tables_6!B115,input_6!A:H,8,FALSE))</f>
        <v>1149120</v>
      </c>
      <c r="M115" s="69">
        <f t="shared" si="5"/>
        <v>3.8956521739130436E-3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input_6!A$2</f>
        <v>3086</v>
      </c>
      <c r="B116" s="7" t="str">
        <f t="shared" si="3"/>
        <v>PremiumS5other</v>
      </c>
      <c r="C116" s="7" t="str">
        <f t="shared" si="4"/>
        <v>other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68">
        <f>IFERROR(VLOOKUP(D116,input_6!L:T,9,FALSE),VLOOKUP(tables_6!B116,input_6!A:H,8,FALSE))</f>
        <v>46170</v>
      </c>
      <c r="M116" s="69">
        <f t="shared" si="5"/>
        <v>1.565217391304348E-4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input_6!A$2</f>
        <v>3086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68">
        <f>IFERROR(VLOOKUP(D117,input_6!L:T,9,FALSE),VLOOKUP(tables_6!B117,input_6!A:H,8,FALSE))</f>
        <v>0</v>
      </c>
      <c r="M117" s="69">
        <f t="shared" si="5"/>
        <v>0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input_6!A$2</f>
        <v>3086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68">
        <f>IFERROR(VLOOKUP(D118,input_6!L:T,9,FALSE),VLOOKUP(tables_6!B118,input_6!A:H,8,FALSE))</f>
        <v>1149120</v>
      </c>
      <c r="M118" s="69">
        <f t="shared" si="5"/>
        <v>3.8956521739130436E-3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input_6!A$2</f>
        <v>3086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68">
        <f>IFERROR(VLOOKUP(D119,input_6!L:T,9,FALSE),VLOOKUP(tables_6!B119,input_6!A:H,8,FALSE))</f>
        <v>46170</v>
      </c>
      <c r="M119" s="69">
        <f t="shared" si="5"/>
        <v>1.565217391304348E-4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input_6!A$2</f>
        <v>3086</v>
      </c>
      <c r="B120" s="7" t="str">
        <f t="shared" si="3"/>
        <v>PremiumS3blue</v>
      </c>
      <c r="C120" s="7" t="str">
        <f t="shared" si="4"/>
        <v>blue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68">
        <f>IFERROR(VLOOKUP(D120,input_6!L:T,9,FALSE),VLOOKUP(tables_6!B120,input_6!A:H,8,FALSE))</f>
        <v>0</v>
      </c>
      <c r="M120" s="69">
        <f t="shared" si="5"/>
        <v>0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input_6!A$2</f>
        <v>3086</v>
      </c>
      <c r="B121" s="7" t="str">
        <f t="shared" si="3"/>
        <v>PremiumS4blue</v>
      </c>
      <c r="C121" s="7" t="str">
        <f t="shared" si="4"/>
        <v>blue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68">
        <f>IFERROR(VLOOKUP(D121,input_6!L:T,9,FALSE),VLOOKUP(tables_6!B121,input_6!A:H,8,FALSE))</f>
        <v>6852160</v>
      </c>
      <c r="M121" s="69">
        <f t="shared" si="5"/>
        <v>2.3229629629629631E-2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input_6!A$2</f>
        <v>3086</v>
      </c>
      <c r="B122" s="7" t="str">
        <f t="shared" si="3"/>
        <v>PremiumS5blue</v>
      </c>
      <c r="C122" s="7" t="str">
        <f t="shared" si="4"/>
        <v>blue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68">
        <f>IFERROR(VLOOKUP(D122,input_6!L:T,9,FALSE),VLOOKUP(tables_6!B122,input_6!A:H,8,FALSE))</f>
        <v>275310</v>
      </c>
      <c r="M122" s="69">
        <f t="shared" si="5"/>
        <v>9.3333333333333332E-4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input_6!A$2</f>
        <v>3086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68">
        <f>IFERROR(VLOOKUP(D123,input_6!L:T,9,FALSE),VLOOKUP(tables_6!B123,input_6!A:H,8,FALSE))</f>
        <v>0</v>
      </c>
      <c r="M123" s="69">
        <f t="shared" si="5"/>
        <v>0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input_6!A$2</f>
        <v>3086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68">
        <f>IFERROR(VLOOKUP(D124,input_6!L:T,9,FALSE),VLOOKUP(tables_6!B124,input_6!A:H,8,FALSE))</f>
        <v>1149120</v>
      </c>
      <c r="M124" s="69">
        <f t="shared" si="5"/>
        <v>3.8956521739130436E-3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input_6!A$2</f>
        <v>3086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68">
        <f>IFERROR(VLOOKUP(D125,input_6!L:T,9,FALSE),VLOOKUP(tables_6!B125,input_6!A:H,8,FALSE))</f>
        <v>46170</v>
      </c>
      <c r="M125" s="69">
        <f t="shared" si="5"/>
        <v>1.565217391304348E-4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input_6!A$2</f>
        <v>3086</v>
      </c>
      <c r="B126" s="7" t="str">
        <f t="shared" si="3"/>
        <v>PremiumS3other</v>
      </c>
      <c r="C126" s="7" t="str">
        <f t="shared" si="4"/>
        <v>other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68">
        <f>IFERROR(VLOOKUP(D126,input_6!L:T,9,FALSE),VLOOKUP(tables_6!B126,input_6!A:H,8,FALSE))</f>
        <v>0</v>
      </c>
      <c r="M126" s="69">
        <f t="shared" si="5"/>
        <v>0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input_6!A$2</f>
        <v>3086</v>
      </c>
      <c r="B127" s="7" t="str">
        <f t="shared" si="3"/>
        <v>PremiumS4other</v>
      </c>
      <c r="C127" s="7" t="str">
        <f t="shared" si="4"/>
        <v>other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68">
        <f>IFERROR(VLOOKUP(D127,input_6!L:T,9,FALSE),VLOOKUP(tables_6!B127,input_6!A:H,8,FALSE))</f>
        <v>1149120</v>
      </c>
      <c r="M127" s="69">
        <f t="shared" si="5"/>
        <v>3.8956521739130436E-3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input_6!A$2</f>
        <v>3086</v>
      </c>
      <c r="B128" s="7" t="str">
        <f t="shared" si="3"/>
        <v>PremiumS5other</v>
      </c>
      <c r="C128" s="7" t="str">
        <f t="shared" si="4"/>
        <v>other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68">
        <f>IFERROR(VLOOKUP(D128,input_6!L:T,9,FALSE),VLOOKUP(tables_6!B128,input_6!A:H,8,FALSE))</f>
        <v>46170</v>
      </c>
      <c r="M128" s="69">
        <f t="shared" si="5"/>
        <v>1.565217391304348E-4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input_6!A$2</f>
        <v>3086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68">
        <f>IFERROR(VLOOKUP(D129,input_6!L:T,9,FALSE),VLOOKUP(tables_6!B129,input_6!A:H,8,FALSE))</f>
        <v>0</v>
      </c>
      <c r="M129" s="69">
        <f t="shared" si="5"/>
        <v>0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input_6!A$2</f>
        <v>3086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68">
        <f>IFERROR(VLOOKUP(D130,input_6!L:T,9,FALSE),VLOOKUP(tables_6!B130,input_6!A:H,8,FALSE))</f>
        <v>1149120</v>
      </c>
      <c r="M130" s="69">
        <f t="shared" si="5"/>
        <v>3.8956521739130436E-3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input_6!A$2</f>
        <v>3086</v>
      </c>
      <c r="B131" s="7" t="str">
        <f t="shared" ref="B131:B194" si="6">F131&amp;G131&amp;C131</f>
        <v>PremiumS5other</v>
      </c>
      <c r="C131" s="7" t="str">
        <f t="shared" ref="C131:C194" si="7">IF(H131="blue",H131,"other")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68">
        <f>IFERROR(VLOOKUP(D131,input_6!L:T,9,FALSE),VLOOKUP(tables_6!B131,input_6!A:H,8,FALSE))</f>
        <v>46170</v>
      </c>
      <c r="M131" s="69">
        <f t="shared" ref="M131:M194" si="8">L131/SUM(L:L)</f>
        <v>1.565217391304348E-4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input_6!A$2</f>
        <v>3086</v>
      </c>
      <c r="B132" s="7" t="str">
        <f t="shared" si="6"/>
        <v>PremiumS3blue</v>
      </c>
      <c r="C132" s="7" t="str">
        <f t="shared" si="7"/>
        <v>blue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68">
        <f>IFERROR(VLOOKUP(D132,input_6!L:T,9,FALSE),VLOOKUP(tables_6!B132,input_6!A:H,8,FALSE))</f>
        <v>0</v>
      </c>
      <c r="M132" s="69">
        <f t="shared" si="8"/>
        <v>0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input_6!A$2</f>
        <v>3086</v>
      </c>
      <c r="B133" s="7" t="str">
        <f t="shared" si="6"/>
        <v>PremiumS4blue</v>
      </c>
      <c r="C133" s="7" t="str">
        <f t="shared" si="7"/>
        <v>blue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68">
        <f>IFERROR(VLOOKUP(D133,input_6!L:T,9,FALSE),VLOOKUP(tables_6!B133,input_6!A:H,8,FALSE))</f>
        <v>6852160</v>
      </c>
      <c r="M133" s="69">
        <f t="shared" si="8"/>
        <v>2.3229629629629631E-2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input_6!A$2</f>
        <v>3086</v>
      </c>
      <c r="B134" s="7" t="str">
        <f t="shared" si="6"/>
        <v>PremiumS5blue</v>
      </c>
      <c r="C134" s="7" t="str">
        <f t="shared" si="7"/>
        <v>blue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68">
        <f>IFERROR(VLOOKUP(D134,input_6!L:T,9,FALSE),VLOOKUP(tables_6!B134,input_6!A:H,8,FALSE))</f>
        <v>275310</v>
      </c>
      <c r="M134" s="69">
        <f t="shared" si="8"/>
        <v>9.3333333333333332E-4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input_6!A$2</f>
        <v>3086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68">
        <f>IFERROR(VLOOKUP(D135,input_6!L:T,9,FALSE),VLOOKUP(tables_6!B135,input_6!A:H,8,FALSE))</f>
        <v>0</v>
      </c>
      <c r="M135" s="69">
        <f t="shared" si="8"/>
        <v>0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input_6!A$2</f>
        <v>3086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68">
        <f>IFERROR(VLOOKUP(D136,input_6!L:T,9,FALSE),VLOOKUP(tables_6!B136,input_6!A:H,8,FALSE))</f>
        <v>1149120</v>
      </c>
      <c r="M136" s="69">
        <f t="shared" si="8"/>
        <v>3.8956521739130436E-3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input_6!A$2</f>
        <v>3086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68">
        <f>IFERROR(VLOOKUP(D137,input_6!L:T,9,FALSE),VLOOKUP(tables_6!B137,input_6!A:H,8,FALSE))</f>
        <v>46170</v>
      </c>
      <c r="M137" s="69">
        <f t="shared" si="8"/>
        <v>1.565217391304348E-4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input_6!A$2</f>
        <v>3086</v>
      </c>
      <c r="B138" s="7" t="str">
        <f t="shared" si="6"/>
        <v>PremiumSS4other</v>
      </c>
      <c r="C138" s="7" t="str">
        <f t="shared" si="7"/>
        <v>other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68">
        <f>IFERROR(VLOOKUP(D138,input_6!L:T,9,FALSE),VLOOKUP(tables_6!B138,input_6!A:H,8,FALSE))</f>
        <v>419175</v>
      </c>
      <c r="M138" s="69">
        <f t="shared" si="8"/>
        <v>1.4210526315789475E-3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input_6!A$2</f>
        <v>3086</v>
      </c>
      <c r="B139" s="7" t="str">
        <f t="shared" si="6"/>
        <v>PremiumSS5other</v>
      </c>
      <c r="C139" s="7" t="str">
        <f t="shared" si="7"/>
        <v>other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68">
        <f>IFERROR(VLOOKUP(D139,input_6!L:T,9,FALSE),VLOOKUP(tables_6!B139,input_6!A:H,8,FALSE))</f>
        <v>46575</v>
      </c>
      <c r="M139" s="69">
        <f t="shared" si="8"/>
        <v>1.5789473684210527E-4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input_6!A$2</f>
        <v>3086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68">
        <f>IFERROR(VLOOKUP(D140,input_6!L:T,9,FALSE),VLOOKUP(tables_6!B140,input_6!A:H,8,FALSE))</f>
        <v>419175</v>
      </c>
      <c r="M140" s="69">
        <f t="shared" si="8"/>
        <v>1.4210526315789475E-3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input_6!A$2</f>
        <v>3086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68">
        <f>IFERROR(VLOOKUP(D141,input_6!L:T,9,FALSE),VLOOKUP(tables_6!B141,input_6!A:H,8,FALSE))</f>
        <v>46575</v>
      </c>
      <c r="M141" s="69">
        <f t="shared" si="8"/>
        <v>1.5789473684210527E-4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input_6!A$2</f>
        <v>3086</v>
      </c>
      <c r="B142" s="7" t="str">
        <f t="shared" si="6"/>
        <v>PremiumSS4blue</v>
      </c>
      <c r="C142" s="7" t="str">
        <f t="shared" si="7"/>
        <v>blue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68">
        <f>IFERROR(VLOOKUP(D142,input_6!L:T,9,FALSE),VLOOKUP(tables_6!B142,input_6!A:H,8,FALSE))</f>
        <v>1592865</v>
      </c>
      <c r="M142" s="69">
        <f t="shared" si="8"/>
        <v>5.4000000000000003E-3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input_6!A$2</f>
        <v>3086</v>
      </c>
      <c r="B143" s="7" t="str">
        <f t="shared" si="6"/>
        <v>PremiumSS5blue</v>
      </c>
      <c r="C143" s="7" t="str">
        <f t="shared" si="7"/>
        <v>blue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68">
        <f>IFERROR(VLOOKUP(D143,input_6!L:T,9,FALSE),VLOOKUP(tables_6!B143,input_6!A:H,8,FALSE))</f>
        <v>176985</v>
      </c>
      <c r="M143" s="69">
        <f t="shared" si="8"/>
        <v>5.9999999999999995E-4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input_6!A$2</f>
        <v>3086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68">
        <f>IFERROR(VLOOKUP(D144,input_6!L:T,9,FALSE),VLOOKUP(tables_6!B144,input_6!A:H,8,FALSE))</f>
        <v>419175</v>
      </c>
      <c r="M144" s="69">
        <f t="shared" si="8"/>
        <v>1.4210526315789475E-3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input_6!A$2</f>
        <v>3086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68">
        <f>IFERROR(VLOOKUP(D145,input_6!L:T,9,FALSE),VLOOKUP(tables_6!B145,input_6!A:H,8,FALSE))</f>
        <v>46575</v>
      </c>
      <c r="M145" s="69">
        <f t="shared" si="8"/>
        <v>1.5789473684210527E-4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input_6!A$2</f>
        <v>3086</v>
      </c>
      <c r="B146" s="7" t="str">
        <f t="shared" si="6"/>
        <v>PremiumS3other</v>
      </c>
      <c r="C146" s="7" t="str">
        <f t="shared" si="7"/>
        <v>other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68">
        <f>IFERROR(VLOOKUP(D146,input_6!L:T,9,FALSE),VLOOKUP(tables_6!B146,input_6!A:H,8,FALSE))</f>
        <v>0</v>
      </c>
      <c r="M146" s="69">
        <f t="shared" si="8"/>
        <v>0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input_6!A$2</f>
        <v>3086</v>
      </c>
      <c r="B147" s="7" t="str">
        <f t="shared" si="6"/>
        <v>PremiumS4other</v>
      </c>
      <c r="C147" s="7" t="str">
        <f t="shared" si="7"/>
        <v>other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68">
        <f>IFERROR(VLOOKUP(D147,input_6!L:T,9,FALSE),VLOOKUP(tables_6!B147,input_6!A:H,8,FALSE))</f>
        <v>1149120</v>
      </c>
      <c r="M147" s="69">
        <f t="shared" si="8"/>
        <v>3.8956521739130436E-3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input_6!A$2</f>
        <v>3086</v>
      </c>
      <c r="B148" s="7" t="str">
        <f t="shared" si="6"/>
        <v>PremiumS5other</v>
      </c>
      <c r="C148" s="7" t="str">
        <f t="shared" si="7"/>
        <v>other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68">
        <f>IFERROR(VLOOKUP(D148,input_6!L:T,9,FALSE),VLOOKUP(tables_6!B148,input_6!A:H,8,FALSE))</f>
        <v>46170</v>
      </c>
      <c r="M148" s="69">
        <f t="shared" si="8"/>
        <v>1.565217391304348E-4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input_6!A$2</f>
        <v>3086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68">
        <f>IFERROR(VLOOKUP(D149,input_6!L:T,9,FALSE),VLOOKUP(tables_6!B149,input_6!A:H,8,FALSE))</f>
        <v>419175</v>
      </c>
      <c r="M149" s="69">
        <f t="shared" si="8"/>
        <v>1.4210526315789475E-3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input_6!A$2</f>
        <v>3086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68">
        <f>IFERROR(VLOOKUP(D150,input_6!L:T,9,FALSE),VLOOKUP(tables_6!B150,input_6!A:H,8,FALSE))</f>
        <v>46575</v>
      </c>
      <c r="M150" s="69">
        <f t="shared" si="8"/>
        <v>1.5789473684210527E-4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input_6!A$2</f>
        <v>3086</v>
      </c>
      <c r="B151" s="7" t="str">
        <f t="shared" si="6"/>
        <v>PremiumSS4blue</v>
      </c>
      <c r="C151" s="7" t="str">
        <f t="shared" si="7"/>
        <v>blue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68">
        <f>IFERROR(VLOOKUP(D151,input_6!L:T,9,FALSE),VLOOKUP(tables_6!B151,input_6!A:H,8,FALSE))</f>
        <v>1592865</v>
      </c>
      <c r="M151" s="69">
        <f t="shared" si="8"/>
        <v>5.4000000000000003E-3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input_6!A$2</f>
        <v>3086</v>
      </c>
      <c r="B152" s="7" t="str">
        <f t="shared" si="6"/>
        <v>PremiumSS5blue</v>
      </c>
      <c r="C152" s="7" t="str">
        <f t="shared" si="7"/>
        <v>blue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68">
        <f>IFERROR(VLOOKUP(D152,input_6!L:T,9,FALSE),VLOOKUP(tables_6!B152,input_6!A:H,8,FALSE))</f>
        <v>176985</v>
      </c>
      <c r="M152" s="69">
        <f t="shared" si="8"/>
        <v>5.9999999999999995E-4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input_6!A$2</f>
        <v>3086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68">
        <f>IFERROR(VLOOKUP(D153,input_6!L:T,9,FALSE),VLOOKUP(tables_6!B153,input_6!A:H,8,FALSE))</f>
        <v>0</v>
      </c>
      <c r="M153" s="69">
        <f t="shared" si="8"/>
        <v>0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input_6!A$2</f>
        <v>3086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68">
        <f>IFERROR(VLOOKUP(D154,input_6!L:T,9,FALSE),VLOOKUP(tables_6!B154,input_6!A:H,8,FALSE))</f>
        <v>1149120</v>
      </c>
      <c r="M154" s="69">
        <f t="shared" si="8"/>
        <v>3.8956521739130436E-3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input_6!A$2</f>
        <v>3086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68">
        <f>IFERROR(VLOOKUP(D155,input_6!L:T,9,FALSE),VLOOKUP(tables_6!B155,input_6!A:H,8,FALSE))</f>
        <v>46170</v>
      </c>
      <c r="M155" s="69">
        <f t="shared" si="8"/>
        <v>1.565217391304348E-4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input_6!A$2</f>
        <v>3086</v>
      </c>
      <c r="B156" s="7" t="str">
        <f t="shared" si="6"/>
        <v>PremiumSS4other</v>
      </c>
      <c r="C156" s="7" t="str">
        <f t="shared" si="7"/>
        <v>other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68">
        <f>IFERROR(VLOOKUP(D156,input_6!L:T,9,FALSE),VLOOKUP(tables_6!B156,input_6!A:H,8,FALSE))</f>
        <v>419175</v>
      </c>
      <c r="M156" s="69">
        <f t="shared" si="8"/>
        <v>1.4210526315789475E-3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input_6!A$2</f>
        <v>3086</v>
      </c>
      <c r="B157" s="7" t="str">
        <f t="shared" si="6"/>
        <v>PremiumSS5other</v>
      </c>
      <c r="C157" s="7" t="str">
        <f t="shared" si="7"/>
        <v>other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68">
        <f>IFERROR(VLOOKUP(D157,input_6!L:T,9,FALSE),VLOOKUP(tables_6!B157,input_6!A:H,8,FALSE))</f>
        <v>46575</v>
      </c>
      <c r="M157" s="69">
        <f t="shared" si="8"/>
        <v>1.5789473684210527E-4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input_6!A$2</f>
        <v>3086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68">
        <f>IFERROR(VLOOKUP(D158,input_6!L:T,9,FALSE),VLOOKUP(tables_6!B158,input_6!A:H,8,FALSE))</f>
        <v>0</v>
      </c>
      <c r="M158" s="69">
        <f t="shared" si="8"/>
        <v>0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input_6!A$2</f>
        <v>3086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68">
        <f>IFERROR(VLOOKUP(D159,input_6!L:T,9,FALSE),VLOOKUP(tables_6!B159,input_6!A:H,8,FALSE))</f>
        <v>1149120</v>
      </c>
      <c r="M159" s="69">
        <f t="shared" si="8"/>
        <v>3.8956521739130436E-3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input_6!A$2</f>
        <v>3086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68">
        <f>IFERROR(VLOOKUP(D160,input_6!L:T,9,FALSE),VLOOKUP(tables_6!B160,input_6!A:H,8,FALSE))</f>
        <v>46170</v>
      </c>
      <c r="M160" s="69">
        <f t="shared" si="8"/>
        <v>1.565217391304348E-4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input_6!A$2</f>
        <v>3086</v>
      </c>
      <c r="B161" s="7" t="str">
        <f t="shared" si="6"/>
        <v>PremiumS3blue</v>
      </c>
      <c r="C161" s="7" t="str">
        <f t="shared" si="7"/>
        <v>blue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68">
        <f>IFERROR(VLOOKUP(D161,input_6!L:T,9,FALSE),VLOOKUP(tables_6!B161,input_6!A:H,8,FALSE))</f>
        <v>0</v>
      </c>
      <c r="M161" s="69">
        <f t="shared" si="8"/>
        <v>0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input_6!A$2</f>
        <v>3086</v>
      </c>
      <c r="B162" s="7" t="str">
        <f t="shared" si="6"/>
        <v>PremiumS4blue</v>
      </c>
      <c r="C162" s="7" t="str">
        <f t="shared" si="7"/>
        <v>blue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68">
        <f>IFERROR(VLOOKUP(D162,input_6!L:T,9,FALSE),VLOOKUP(tables_6!B162,input_6!A:H,8,FALSE))</f>
        <v>6852160</v>
      </c>
      <c r="M162" s="69">
        <f t="shared" si="8"/>
        <v>2.3229629629629631E-2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input_6!A$2</f>
        <v>3086</v>
      </c>
      <c r="B163" s="7" t="str">
        <f t="shared" si="6"/>
        <v>PremiumS5blue</v>
      </c>
      <c r="C163" s="7" t="str">
        <f t="shared" si="7"/>
        <v>blue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68">
        <f>IFERROR(VLOOKUP(D163,input_6!L:T,9,FALSE),VLOOKUP(tables_6!B163,input_6!A:H,8,FALSE))</f>
        <v>275310</v>
      </c>
      <c r="M163" s="69">
        <f t="shared" si="8"/>
        <v>9.3333333333333332E-4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input_6!A$2</f>
        <v>3086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68">
        <f>IFERROR(VLOOKUP(D164,input_6!L:T,9,FALSE),VLOOKUP(tables_6!B164,input_6!A:H,8,FALSE))</f>
        <v>419175</v>
      </c>
      <c r="M164" s="69">
        <f t="shared" si="8"/>
        <v>1.4210526315789475E-3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input_6!A$2</f>
        <v>3086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68">
        <f>IFERROR(VLOOKUP(D165,input_6!L:T,9,FALSE),VLOOKUP(tables_6!B165,input_6!A:H,8,FALSE))</f>
        <v>46575</v>
      </c>
      <c r="M165" s="69">
        <f t="shared" si="8"/>
        <v>1.5789473684210527E-4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input_6!A$2</f>
        <v>3086</v>
      </c>
      <c r="B166" s="7" t="str">
        <f t="shared" si="6"/>
        <v>PremiumS3other</v>
      </c>
      <c r="C166" s="7" t="str">
        <f t="shared" si="7"/>
        <v>other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68">
        <f>IFERROR(VLOOKUP(D166,input_6!L:T,9,FALSE),VLOOKUP(tables_6!B166,input_6!A:H,8,FALSE))</f>
        <v>0</v>
      </c>
      <c r="M166" s="69">
        <f t="shared" si="8"/>
        <v>0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input_6!A$2</f>
        <v>3086</v>
      </c>
      <c r="B167" s="7" t="str">
        <f t="shared" si="6"/>
        <v>PremiumS4other</v>
      </c>
      <c r="C167" s="7" t="str">
        <f t="shared" si="7"/>
        <v>other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68">
        <f>IFERROR(VLOOKUP(D167,input_6!L:T,9,FALSE),VLOOKUP(tables_6!B167,input_6!A:H,8,FALSE))</f>
        <v>1149120</v>
      </c>
      <c r="M167" s="69">
        <f t="shared" si="8"/>
        <v>3.8956521739130436E-3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input_6!A$2</f>
        <v>3086</v>
      </c>
      <c r="B168" s="7" t="str">
        <f t="shared" si="6"/>
        <v>PremiumS5other</v>
      </c>
      <c r="C168" s="7" t="str">
        <f t="shared" si="7"/>
        <v>other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68">
        <f>IFERROR(VLOOKUP(D168,input_6!L:T,9,FALSE),VLOOKUP(tables_6!B168,input_6!A:H,8,FALSE))</f>
        <v>46170</v>
      </c>
      <c r="M168" s="69">
        <f t="shared" si="8"/>
        <v>1.565217391304348E-4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input_6!A$2</f>
        <v>3086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68">
        <f>IFERROR(VLOOKUP(D169,input_6!L:T,9,FALSE),VLOOKUP(tables_6!B169,input_6!A:H,8,FALSE))</f>
        <v>419175</v>
      </c>
      <c r="M169" s="69">
        <f t="shared" si="8"/>
        <v>1.4210526315789475E-3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input_6!A$2</f>
        <v>3086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68">
        <f>IFERROR(VLOOKUP(D170,input_6!L:T,9,FALSE),VLOOKUP(tables_6!B170,input_6!A:H,8,FALSE))</f>
        <v>46575</v>
      </c>
      <c r="M170" s="69">
        <f t="shared" si="8"/>
        <v>1.5789473684210527E-4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input_6!A$2</f>
        <v>3086</v>
      </c>
      <c r="B171" s="7" t="str">
        <f t="shared" si="6"/>
        <v>PremiumS3blue</v>
      </c>
      <c r="C171" s="7" t="str">
        <f t="shared" si="7"/>
        <v>blue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68">
        <f>IFERROR(VLOOKUP(D171,input_6!L:T,9,FALSE),VLOOKUP(tables_6!B171,input_6!A:H,8,FALSE))</f>
        <v>0</v>
      </c>
      <c r="M171" s="69">
        <f t="shared" si="8"/>
        <v>0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input_6!A$2</f>
        <v>3086</v>
      </c>
      <c r="B172" s="7" t="str">
        <f t="shared" si="6"/>
        <v>PremiumS4blue</v>
      </c>
      <c r="C172" s="7" t="str">
        <f t="shared" si="7"/>
        <v>blue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68">
        <f>IFERROR(VLOOKUP(D172,input_6!L:T,9,FALSE),VLOOKUP(tables_6!B172,input_6!A:H,8,FALSE))</f>
        <v>6852160</v>
      </c>
      <c r="M172" s="69">
        <f t="shared" si="8"/>
        <v>2.3229629629629631E-2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input_6!A$2</f>
        <v>3086</v>
      </c>
      <c r="B173" s="7" t="str">
        <f t="shared" si="6"/>
        <v>PremiumS5blue</v>
      </c>
      <c r="C173" s="7" t="str">
        <f t="shared" si="7"/>
        <v>blue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68">
        <f>IFERROR(VLOOKUP(D173,input_6!L:T,9,FALSE),VLOOKUP(tables_6!B173,input_6!A:H,8,FALSE))</f>
        <v>275310</v>
      </c>
      <c r="M173" s="69">
        <f t="shared" si="8"/>
        <v>9.3333333333333332E-4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input_6!A$2</f>
        <v>3086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68">
        <f>IFERROR(VLOOKUP(D174,input_6!L:T,9,FALSE),VLOOKUP(tables_6!B174,input_6!A:H,8,FALSE))</f>
        <v>419175</v>
      </c>
      <c r="M174" s="69">
        <f t="shared" si="8"/>
        <v>1.4210526315789475E-3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input_6!A$2</f>
        <v>3086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68">
        <f>IFERROR(VLOOKUP(D175,input_6!L:T,9,FALSE),VLOOKUP(tables_6!B175,input_6!A:H,8,FALSE))</f>
        <v>46575</v>
      </c>
      <c r="M175" s="69">
        <f t="shared" si="8"/>
        <v>1.5789473684210527E-4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input_6!A$2</f>
        <v>3086</v>
      </c>
      <c r="B176" s="7" t="str">
        <f t="shared" si="6"/>
        <v>PremiumSS4other</v>
      </c>
      <c r="C176" s="7" t="str">
        <f t="shared" si="7"/>
        <v>other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68">
        <f>IFERROR(VLOOKUP(D176,input_6!L:T,9,FALSE),VLOOKUP(tables_6!B176,input_6!A:H,8,FALSE))</f>
        <v>419175</v>
      </c>
      <c r="M176" s="69">
        <f t="shared" si="8"/>
        <v>1.4210526315789475E-3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input_6!A$2</f>
        <v>3086</v>
      </c>
      <c r="B177" s="7" t="str">
        <f t="shared" si="6"/>
        <v>PremiumSS5other</v>
      </c>
      <c r="C177" s="7" t="str">
        <f t="shared" si="7"/>
        <v>other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68">
        <f>IFERROR(VLOOKUP(D177,input_6!L:T,9,FALSE),VLOOKUP(tables_6!B177,input_6!A:H,8,FALSE))</f>
        <v>46575</v>
      </c>
      <c r="M177" s="69">
        <f t="shared" si="8"/>
        <v>1.5789473684210527E-4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input_6!A$2</f>
        <v>3086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68">
        <f>IFERROR(VLOOKUP(D178,input_6!L:T,9,FALSE),VLOOKUP(tables_6!B178,input_6!A:H,8,FALSE))</f>
        <v>0</v>
      </c>
      <c r="M178" s="69">
        <f t="shared" si="8"/>
        <v>0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input_6!A$2</f>
        <v>3086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68">
        <f>IFERROR(VLOOKUP(D179,input_6!L:T,9,FALSE),VLOOKUP(tables_6!B179,input_6!A:H,8,FALSE))</f>
        <v>1149120</v>
      </c>
      <c r="M179" s="69">
        <f t="shared" si="8"/>
        <v>3.8956521739130436E-3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input_6!A$2</f>
        <v>3086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68">
        <f>IFERROR(VLOOKUP(D180,input_6!L:T,9,FALSE),VLOOKUP(tables_6!B180,input_6!A:H,8,FALSE))</f>
        <v>46170</v>
      </c>
      <c r="M180" s="69">
        <f t="shared" si="8"/>
        <v>1.565217391304348E-4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input_6!A$2</f>
        <v>3086</v>
      </c>
      <c r="B181" s="7" t="str">
        <f t="shared" si="6"/>
        <v>PremiumS3blue</v>
      </c>
      <c r="C181" s="7" t="str">
        <f t="shared" si="7"/>
        <v>blue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68">
        <f>IFERROR(VLOOKUP(D181,input_6!L:T,9,FALSE),VLOOKUP(tables_6!B181,input_6!A:H,8,FALSE))</f>
        <v>0</v>
      </c>
      <c r="M181" s="69">
        <f t="shared" si="8"/>
        <v>0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input_6!A$2</f>
        <v>3086</v>
      </c>
      <c r="B182" s="7" t="str">
        <f t="shared" si="6"/>
        <v>PremiumS4blue</v>
      </c>
      <c r="C182" s="7" t="str">
        <f t="shared" si="7"/>
        <v>blue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68">
        <f>IFERROR(VLOOKUP(D182,input_6!L:T,9,FALSE),VLOOKUP(tables_6!B182,input_6!A:H,8,FALSE))</f>
        <v>6852160</v>
      </c>
      <c r="M182" s="69">
        <f t="shared" si="8"/>
        <v>2.3229629629629631E-2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input_6!A$2</f>
        <v>3086</v>
      </c>
      <c r="B183" s="7" t="str">
        <f t="shared" si="6"/>
        <v>PremiumS5blue</v>
      </c>
      <c r="C183" s="7" t="str">
        <f t="shared" si="7"/>
        <v>blue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68">
        <f>IFERROR(VLOOKUP(D183,input_6!L:T,9,FALSE),VLOOKUP(tables_6!B183,input_6!A:H,8,FALSE))</f>
        <v>275310</v>
      </c>
      <c r="M183" s="69">
        <f t="shared" si="8"/>
        <v>9.3333333333333332E-4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input_6!A$2</f>
        <v>3086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68">
        <f>IFERROR(VLOOKUP(D184,input_6!L:T,9,FALSE),VLOOKUP(tables_6!B184,input_6!A:H,8,FALSE))</f>
        <v>419175</v>
      </c>
      <c r="M184" s="69">
        <f t="shared" si="8"/>
        <v>1.4210526315789475E-3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input_6!A$2</f>
        <v>3086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68">
        <f>IFERROR(VLOOKUP(D185,input_6!L:T,9,FALSE),VLOOKUP(tables_6!B185,input_6!A:H,8,FALSE))</f>
        <v>46575</v>
      </c>
      <c r="M185" s="69">
        <f t="shared" si="8"/>
        <v>1.5789473684210527E-4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input_6!A$2</f>
        <v>3086</v>
      </c>
      <c r="B186" s="7" t="str">
        <f t="shared" si="6"/>
        <v>PremiumS3other</v>
      </c>
      <c r="C186" s="7" t="str">
        <f t="shared" si="7"/>
        <v>other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68">
        <f>IFERROR(VLOOKUP(D186,input_6!L:T,9,FALSE),VLOOKUP(tables_6!B186,input_6!A:H,8,FALSE))</f>
        <v>0</v>
      </c>
      <c r="M186" s="69">
        <f t="shared" si="8"/>
        <v>0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input_6!A$2</f>
        <v>3086</v>
      </c>
      <c r="B187" s="7" t="str">
        <f t="shared" si="6"/>
        <v>PremiumS4other</v>
      </c>
      <c r="C187" s="7" t="str">
        <f t="shared" si="7"/>
        <v>other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68">
        <f>IFERROR(VLOOKUP(D187,input_6!L:T,9,FALSE),VLOOKUP(tables_6!B187,input_6!A:H,8,FALSE))</f>
        <v>1149120</v>
      </c>
      <c r="M187" s="69">
        <f t="shared" si="8"/>
        <v>3.8956521739130436E-3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input_6!A$2</f>
        <v>3086</v>
      </c>
      <c r="B188" s="7" t="str">
        <f t="shared" si="6"/>
        <v>PremiumS5other</v>
      </c>
      <c r="C188" s="7" t="str">
        <f t="shared" si="7"/>
        <v>other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68">
        <f>IFERROR(VLOOKUP(D188,input_6!L:T,9,FALSE),VLOOKUP(tables_6!B188,input_6!A:H,8,FALSE))</f>
        <v>46170</v>
      </c>
      <c r="M188" s="69">
        <f t="shared" si="8"/>
        <v>1.565217391304348E-4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input_6!A$2</f>
        <v>3086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68">
        <f>IFERROR(VLOOKUP(D189,input_6!L:T,9,FALSE),VLOOKUP(tables_6!B189,input_6!A:H,8,FALSE))</f>
        <v>419175</v>
      </c>
      <c r="M189" s="69">
        <f t="shared" si="8"/>
        <v>1.4210526315789475E-3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input_6!A$2</f>
        <v>3086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68">
        <f>IFERROR(VLOOKUP(D190,input_6!L:T,9,FALSE),VLOOKUP(tables_6!B190,input_6!A:H,8,FALSE))</f>
        <v>46575</v>
      </c>
      <c r="M190" s="69">
        <f t="shared" si="8"/>
        <v>1.5789473684210527E-4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input_6!A$2</f>
        <v>3086</v>
      </c>
      <c r="B191" s="7" t="str">
        <f t="shared" si="6"/>
        <v>PremiumSS4blue</v>
      </c>
      <c r="C191" s="7" t="str">
        <f t="shared" si="7"/>
        <v>blue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68">
        <f>IFERROR(VLOOKUP(D191,input_6!L:T,9,FALSE),VLOOKUP(tables_6!B191,input_6!A:H,8,FALSE))</f>
        <v>1592865</v>
      </c>
      <c r="M191" s="69">
        <f t="shared" si="8"/>
        <v>5.4000000000000003E-3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input_6!A$2</f>
        <v>3086</v>
      </c>
      <c r="B192" s="7" t="str">
        <f t="shared" si="6"/>
        <v>PremiumSS5blue</v>
      </c>
      <c r="C192" s="7" t="str">
        <f t="shared" si="7"/>
        <v>blue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68">
        <f>IFERROR(VLOOKUP(D192,input_6!L:T,9,FALSE),VLOOKUP(tables_6!B192,input_6!A:H,8,FALSE))</f>
        <v>176985</v>
      </c>
      <c r="M192" s="69">
        <f t="shared" si="8"/>
        <v>5.9999999999999995E-4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input_6!A$2</f>
        <v>3086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68">
        <f>IFERROR(VLOOKUP(D193,input_6!L:T,9,FALSE),VLOOKUP(tables_6!B193,input_6!A:H,8,FALSE))</f>
        <v>0</v>
      </c>
      <c r="M193" s="69">
        <f t="shared" si="8"/>
        <v>0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input_6!A$2</f>
        <v>3086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68">
        <f>IFERROR(VLOOKUP(D194,input_6!L:T,9,FALSE),VLOOKUP(tables_6!B194,input_6!A:H,8,FALSE))</f>
        <v>1149120</v>
      </c>
      <c r="M194" s="69">
        <f t="shared" si="8"/>
        <v>3.8956521739130436E-3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input_6!A$2</f>
        <v>3086</v>
      </c>
      <c r="B195" s="7" t="str">
        <f t="shared" ref="B195:B246" si="9">F195&amp;G195&amp;C195</f>
        <v>PremiumS5other</v>
      </c>
      <c r="C195" s="7" t="str">
        <f t="shared" ref="C195:C246" si="10">IF(H195="blue",H195,"other")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68">
        <f>IFERROR(VLOOKUP(D195,input_6!L:T,9,FALSE),VLOOKUP(tables_6!B195,input_6!A:H,8,FALSE))</f>
        <v>46170</v>
      </c>
      <c r="M195" s="69">
        <f t="shared" ref="M195:M246" si="11">L195/SUM(L:L)</f>
        <v>1.565217391304348E-4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input_6!A$2</f>
        <v>3086</v>
      </c>
      <c r="B196" s="7" t="str">
        <f t="shared" si="9"/>
        <v>PremiumSS4other</v>
      </c>
      <c r="C196" s="7" t="str">
        <f t="shared" si="10"/>
        <v>other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68">
        <f>IFERROR(VLOOKUP(D196,input_6!L:T,9,FALSE),VLOOKUP(tables_6!B196,input_6!A:H,8,FALSE))</f>
        <v>419175</v>
      </c>
      <c r="M196" s="69">
        <f t="shared" si="11"/>
        <v>1.4210526315789475E-3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input_6!A$2</f>
        <v>3086</v>
      </c>
      <c r="B197" s="7" t="str">
        <f t="shared" si="9"/>
        <v>PremiumSS5other</v>
      </c>
      <c r="C197" s="7" t="str">
        <f t="shared" si="10"/>
        <v>other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68">
        <f>IFERROR(VLOOKUP(D197,input_6!L:T,9,FALSE),VLOOKUP(tables_6!B197,input_6!A:H,8,FALSE))</f>
        <v>46575</v>
      </c>
      <c r="M197" s="69">
        <f t="shared" si="11"/>
        <v>1.5789473684210527E-4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input_6!A$2</f>
        <v>3086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68">
        <f>IFERROR(VLOOKUP(D198,input_6!L:T,9,FALSE),VLOOKUP(tables_6!B198,input_6!A:H,8,FALSE))</f>
        <v>0</v>
      </c>
      <c r="M198" s="69">
        <f t="shared" si="11"/>
        <v>0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input_6!A$2</f>
        <v>3086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68">
        <f>IFERROR(VLOOKUP(D199,input_6!L:T,9,FALSE),VLOOKUP(tables_6!B199,input_6!A:H,8,FALSE))</f>
        <v>1149120</v>
      </c>
      <c r="M199" s="69">
        <f t="shared" si="11"/>
        <v>3.8956521739130436E-3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input_6!A$2</f>
        <v>3086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68">
        <f>IFERROR(VLOOKUP(D200,input_6!L:T,9,FALSE),VLOOKUP(tables_6!B200,input_6!A:H,8,FALSE))</f>
        <v>46170</v>
      </c>
      <c r="M200" s="69">
        <f t="shared" si="11"/>
        <v>1.565217391304348E-4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input_6!A$2</f>
        <v>3086</v>
      </c>
      <c r="B201" s="7" t="str">
        <f t="shared" si="9"/>
        <v>PremiumSS4blue</v>
      </c>
      <c r="C201" s="7" t="str">
        <f t="shared" si="10"/>
        <v>blue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68">
        <f>IFERROR(VLOOKUP(D201,input_6!L:T,9,FALSE),VLOOKUP(tables_6!B201,input_6!A:H,8,FALSE))</f>
        <v>1592865</v>
      </c>
      <c r="M201" s="69">
        <f t="shared" si="11"/>
        <v>5.4000000000000003E-3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input_6!A$2</f>
        <v>3086</v>
      </c>
      <c r="B202" s="7" t="str">
        <f t="shared" si="9"/>
        <v>PremiumSS5blue</v>
      </c>
      <c r="C202" s="7" t="str">
        <f t="shared" si="10"/>
        <v>blue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68">
        <f>IFERROR(VLOOKUP(D202,input_6!L:T,9,FALSE),VLOOKUP(tables_6!B202,input_6!A:H,8,FALSE))</f>
        <v>176985</v>
      </c>
      <c r="M202" s="69">
        <f t="shared" si="11"/>
        <v>5.9999999999999995E-4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input_6!A$2</f>
        <v>3086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68">
        <f>IFERROR(VLOOKUP(D203,input_6!L:T,9,FALSE),VLOOKUP(tables_6!B203,input_6!A:H,8,FALSE))</f>
        <v>0</v>
      </c>
      <c r="M203" s="69">
        <f t="shared" si="11"/>
        <v>0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input_6!A$2</f>
        <v>3086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68">
        <f>IFERROR(VLOOKUP(D204,input_6!L:T,9,FALSE),VLOOKUP(tables_6!B204,input_6!A:H,8,FALSE))</f>
        <v>1149120</v>
      </c>
      <c r="M204" s="69">
        <f t="shared" si="11"/>
        <v>3.8956521739130436E-3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input_6!A$2</f>
        <v>3086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68">
        <f>IFERROR(VLOOKUP(D205,input_6!L:T,9,FALSE),VLOOKUP(tables_6!B205,input_6!A:H,8,FALSE))</f>
        <v>46170</v>
      </c>
      <c r="M205" s="69">
        <f t="shared" si="11"/>
        <v>1.565217391304348E-4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input_6!A$2</f>
        <v>3086</v>
      </c>
      <c r="B206" s="7" t="str">
        <f t="shared" si="9"/>
        <v>PremiumSS4other</v>
      </c>
      <c r="C206" s="7" t="str">
        <f t="shared" si="10"/>
        <v>other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68">
        <f>IFERROR(VLOOKUP(D206,input_6!L:T,9,FALSE),VLOOKUP(tables_6!B206,input_6!A:H,8,FALSE))</f>
        <v>419175</v>
      </c>
      <c r="M206" s="69">
        <f t="shared" si="11"/>
        <v>1.4210526315789475E-3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input_6!A$2</f>
        <v>3086</v>
      </c>
      <c r="B207" s="7" t="str">
        <f t="shared" si="9"/>
        <v>PremiumSS5other</v>
      </c>
      <c r="C207" s="7" t="str">
        <f t="shared" si="10"/>
        <v>other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68">
        <f>IFERROR(VLOOKUP(D207,input_6!L:T,9,FALSE),VLOOKUP(tables_6!B207,input_6!A:H,8,FALSE))</f>
        <v>46575</v>
      </c>
      <c r="M207" s="69">
        <f t="shared" si="11"/>
        <v>1.5789473684210527E-4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input_6!A$2</f>
        <v>3086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68">
        <f>IFERROR(VLOOKUP(D208,input_6!L:T,9,FALSE),VLOOKUP(tables_6!B208,input_6!A:H,8,FALSE))</f>
        <v>419175</v>
      </c>
      <c r="M208" s="69">
        <f t="shared" si="11"/>
        <v>1.4210526315789475E-3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input_6!A$2</f>
        <v>3086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68">
        <f>IFERROR(VLOOKUP(D209,input_6!L:T,9,FALSE),VLOOKUP(tables_6!B209,input_6!A:H,8,FALSE))</f>
        <v>46575</v>
      </c>
      <c r="M209" s="69">
        <f t="shared" si="11"/>
        <v>1.5789473684210527E-4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input_6!A$2</f>
        <v>3086</v>
      </c>
      <c r="B210" s="7" t="str">
        <f t="shared" si="9"/>
        <v>PremiumS3blue</v>
      </c>
      <c r="C210" s="7" t="str">
        <f t="shared" si="10"/>
        <v>blue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68">
        <f>IFERROR(VLOOKUP(D210,input_6!L:T,9,FALSE),VLOOKUP(tables_6!B210,input_6!A:H,8,FALSE))</f>
        <v>0</v>
      </c>
      <c r="M210" s="69">
        <f t="shared" si="11"/>
        <v>0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input_6!A$2</f>
        <v>3086</v>
      </c>
      <c r="B211" s="7" t="str">
        <f t="shared" si="9"/>
        <v>PremiumS4blue</v>
      </c>
      <c r="C211" s="7" t="str">
        <f t="shared" si="10"/>
        <v>blue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68">
        <f>IFERROR(VLOOKUP(D211,input_6!L:T,9,FALSE),VLOOKUP(tables_6!B211,input_6!A:H,8,FALSE))</f>
        <v>6852160</v>
      </c>
      <c r="M211" s="69">
        <f t="shared" si="11"/>
        <v>2.3229629629629631E-2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input_6!A$2</f>
        <v>3086</v>
      </c>
      <c r="B212" s="7" t="str">
        <f t="shared" si="9"/>
        <v>PremiumS5blue</v>
      </c>
      <c r="C212" s="7" t="str">
        <f t="shared" si="10"/>
        <v>blue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68">
        <f>IFERROR(VLOOKUP(D212,input_6!L:T,9,FALSE),VLOOKUP(tables_6!B212,input_6!A:H,8,FALSE))</f>
        <v>275310</v>
      </c>
      <c r="M212" s="69">
        <f t="shared" si="11"/>
        <v>9.3333333333333332E-4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input_6!A$2</f>
        <v>3086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68">
        <f>IFERROR(VLOOKUP(D213,input_6!L:T,9,FALSE),VLOOKUP(tables_6!B213,input_6!A:H,8,FALSE))</f>
        <v>419175</v>
      </c>
      <c r="M213" s="69">
        <f t="shared" si="11"/>
        <v>1.4210526315789475E-3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input_6!A$2</f>
        <v>3086</v>
      </c>
      <c r="B214" s="7" t="str">
        <f t="shared" si="9"/>
        <v>PremiumSS5other</v>
      </c>
      <c r="C214" s="7" t="str">
        <f t="shared" si="10"/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68">
        <f>IFERROR(VLOOKUP(D214,input_6!L:T,9,FALSE),VLOOKUP(tables_6!B214,input_6!A:H,8,FALSE))</f>
        <v>46575</v>
      </c>
      <c r="M214" s="69">
        <f t="shared" si="11"/>
        <v>1.5789473684210527E-4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input_6!A$2</f>
        <v>3086</v>
      </c>
      <c r="B215" s="7" t="str">
        <f t="shared" si="9"/>
        <v>PremiumSS4other</v>
      </c>
      <c r="C215" s="7" t="str">
        <f t="shared" si="10"/>
        <v>other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68">
        <f>IFERROR(VLOOKUP(D215,input_6!L:T,9,FALSE),VLOOKUP(tables_6!B215,input_6!A:H,8,FALSE))</f>
        <v>419175</v>
      </c>
      <c r="M215" s="69">
        <f t="shared" si="11"/>
        <v>1.4210526315789475E-3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input_6!A$2</f>
        <v>3086</v>
      </c>
      <c r="B216" s="7" t="str">
        <f t="shared" si="9"/>
        <v>PremiumSS5other</v>
      </c>
      <c r="C216" s="7" t="str">
        <f t="shared" si="10"/>
        <v>other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68">
        <f>IFERROR(VLOOKUP(D216,input_6!L:T,9,FALSE),VLOOKUP(tables_6!B216,input_6!A:H,8,FALSE))</f>
        <v>46575</v>
      </c>
      <c r="M216" s="69">
        <f t="shared" si="11"/>
        <v>1.5789473684210527E-4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input_6!A$2</f>
        <v>3086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68">
        <f>IFERROR(VLOOKUP(D217,input_6!L:T,9,FALSE),VLOOKUP(tables_6!B217,input_6!A:H,8,FALSE))</f>
        <v>0</v>
      </c>
      <c r="M217" s="69">
        <f t="shared" si="11"/>
        <v>0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input_6!A$2</f>
        <v>3086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68">
        <f>IFERROR(VLOOKUP(D218,input_6!L:T,9,FALSE),VLOOKUP(tables_6!B218,input_6!A:H,8,FALSE))</f>
        <v>1149120</v>
      </c>
      <c r="M218" s="69">
        <f t="shared" si="11"/>
        <v>3.8956521739130436E-3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input_6!A$2</f>
        <v>3086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68">
        <f>IFERROR(VLOOKUP(D219,input_6!L:T,9,FALSE),VLOOKUP(tables_6!B219,input_6!A:H,8,FALSE))</f>
        <v>46170</v>
      </c>
      <c r="M219" s="69">
        <f t="shared" si="11"/>
        <v>1.565217391304348E-4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input_6!A$2</f>
        <v>3086</v>
      </c>
      <c r="B220" s="7" t="str">
        <f t="shared" si="9"/>
        <v>PremiumS3blue</v>
      </c>
      <c r="C220" s="7" t="str">
        <f t="shared" si="10"/>
        <v>blue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68">
        <f>IFERROR(VLOOKUP(D220,input_6!L:T,9,FALSE),VLOOKUP(tables_6!B220,input_6!A:H,8,FALSE))</f>
        <v>0</v>
      </c>
      <c r="M220" s="69">
        <f t="shared" si="11"/>
        <v>0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input_6!A$2</f>
        <v>3086</v>
      </c>
      <c r="B221" s="7" t="str">
        <f t="shared" si="9"/>
        <v>PremiumS4blue</v>
      </c>
      <c r="C221" s="7" t="str">
        <f t="shared" si="10"/>
        <v>blue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68">
        <f>IFERROR(VLOOKUP(D221,input_6!L:T,9,FALSE),VLOOKUP(tables_6!B221,input_6!A:H,8,FALSE))</f>
        <v>6852160</v>
      </c>
      <c r="M221" s="69">
        <f t="shared" si="11"/>
        <v>2.3229629629629631E-2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input_6!A$2</f>
        <v>3086</v>
      </c>
      <c r="B222" s="7" t="str">
        <f t="shared" si="9"/>
        <v>PremiumS5blue</v>
      </c>
      <c r="C222" s="7" t="str">
        <f t="shared" si="10"/>
        <v>blue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68">
        <f>IFERROR(VLOOKUP(D222,input_6!L:T,9,FALSE),VLOOKUP(tables_6!B222,input_6!A:H,8,FALSE))</f>
        <v>275310</v>
      </c>
      <c r="M222" s="69">
        <f t="shared" si="11"/>
        <v>9.3333333333333332E-4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input_6!A$2</f>
        <v>3086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68">
        <f>IFERROR(VLOOKUP(D223,input_6!L:T,9,FALSE),VLOOKUP(tables_6!B223,input_6!A:H,8,FALSE))</f>
        <v>419175</v>
      </c>
      <c r="M223" s="69">
        <f t="shared" si="11"/>
        <v>1.4210526315789475E-3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input_6!A$2</f>
        <v>3086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68">
        <f>IFERROR(VLOOKUP(D224,input_6!L:T,9,FALSE),VLOOKUP(tables_6!B224,input_6!A:H,8,FALSE))</f>
        <v>46575</v>
      </c>
      <c r="M224" s="69">
        <f t="shared" si="11"/>
        <v>1.5789473684210527E-4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input_6!A$2</f>
        <v>3086</v>
      </c>
      <c r="B225" s="7" t="str">
        <f t="shared" si="9"/>
        <v>PremiumS3other</v>
      </c>
      <c r="C225" s="7" t="str">
        <f t="shared" si="10"/>
        <v>other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68">
        <f>IFERROR(VLOOKUP(D225,input_6!L:T,9,FALSE),VLOOKUP(tables_6!B225,input_6!A:H,8,FALSE))</f>
        <v>0</v>
      </c>
      <c r="M225" s="69">
        <f t="shared" si="11"/>
        <v>0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input_6!A$2</f>
        <v>3086</v>
      </c>
      <c r="B226" s="7" t="str">
        <f t="shared" si="9"/>
        <v>PremiumS4other</v>
      </c>
      <c r="C226" s="7" t="str">
        <f t="shared" si="10"/>
        <v>other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68">
        <f>IFERROR(VLOOKUP(D226,input_6!L:T,9,FALSE),VLOOKUP(tables_6!B226,input_6!A:H,8,FALSE))</f>
        <v>1149120</v>
      </c>
      <c r="M226" s="69">
        <f t="shared" si="11"/>
        <v>3.8956521739130436E-3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input_6!A$2</f>
        <v>3086</v>
      </c>
      <c r="B227" s="7" t="str">
        <f t="shared" si="9"/>
        <v>PremiumS5other</v>
      </c>
      <c r="C227" s="7" t="str">
        <f t="shared" si="10"/>
        <v>other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68">
        <f>IFERROR(VLOOKUP(D227,input_6!L:T,9,FALSE),VLOOKUP(tables_6!B227,input_6!A:H,8,FALSE))</f>
        <v>46170</v>
      </c>
      <c r="M227" s="69">
        <f t="shared" si="11"/>
        <v>1.565217391304348E-4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input_6!A$2</f>
        <v>3086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68">
        <f>IFERROR(VLOOKUP(D228,input_6!L:T,9,FALSE),VLOOKUP(tables_6!B228,input_6!A:H,8,FALSE))</f>
        <v>0</v>
      </c>
      <c r="M228" s="69">
        <f t="shared" si="11"/>
        <v>0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input_6!A$2</f>
        <v>3086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68">
        <f>IFERROR(VLOOKUP(D229,input_6!L:T,9,FALSE),VLOOKUP(tables_6!B229,input_6!A:H,8,FALSE))</f>
        <v>1149120</v>
      </c>
      <c r="M229" s="69">
        <f t="shared" si="11"/>
        <v>3.8956521739130436E-3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input_6!A$2</f>
        <v>3086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68">
        <f>IFERROR(VLOOKUP(D230,input_6!L:T,9,FALSE),VLOOKUP(tables_6!B230,input_6!A:H,8,FALSE))</f>
        <v>46170</v>
      </c>
      <c r="M230" s="69">
        <f t="shared" si="11"/>
        <v>1.565217391304348E-4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input_6!A$2</f>
        <v>3086</v>
      </c>
      <c r="B231" s="7" t="str">
        <f t="shared" si="9"/>
        <v>PremiumSS4blue</v>
      </c>
      <c r="C231" s="7" t="str">
        <f t="shared" si="10"/>
        <v>blue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68">
        <f>IFERROR(VLOOKUP(D231,input_6!L:T,9,FALSE),VLOOKUP(tables_6!B231,input_6!A:H,8,FALSE))</f>
        <v>1592865</v>
      </c>
      <c r="M231" s="69">
        <f t="shared" si="11"/>
        <v>5.4000000000000003E-3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input_6!A$2</f>
        <v>3086</v>
      </c>
      <c r="B232" s="7" t="str">
        <f t="shared" si="9"/>
        <v>PremiumSS5blue</v>
      </c>
      <c r="C232" s="7" t="str">
        <f t="shared" si="10"/>
        <v>blue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68">
        <f>IFERROR(VLOOKUP(D232,input_6!L:T,9,FALSE),VLOOKUP(tables_6!B232,input_6!A:H,8,FALSE))</f>
        <v>176985</v>
      </c>
      <c r="M232" s="69">
        <f t="shared" si="11"/>
        <v>5.9999999999999995E-4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input_6!A$2</f>
        <v>3086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68">
        <f>IFERROR(VLOOKUP(D233,input_6!L:T,9,FALSE),VLOOKUP(tables_6!B233,input_6!A:H,8,FALSE))</f>
        <v>0</v>
      </c>
      <c r="M233" s="69">
        <f t="shared" si="11"/>
        <v>0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input_6!A$2</f>
        <v>3086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68">
        <f>IFERROR(VLOOKUP(D234,input_6!L:T,9,FALSE),VLOOKUP(tables_6!B234,input_6!A:H,8,FALSE))</f>
        <v>1149120</v>
      </c>
      <c r="M234" s="69">
        <f t="shared" si="11"/>
        <v>3.8956521739130436E-3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input_6!A$2</f>
        <v>3086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68">
        <f>IFERROR(VLOOKUP(D235,input_6!L:T,9,FALSE),VLOOKUP(tables_6!B235,input_6!A:H,8,FALSE))</f>
        <v>46170</v>
      </c>
      <c r="M235" s="69">
        <f t="shared" si="11"/>
        <v>1.565217391304348E-4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input_6!A$2</f>
        <v>3086</v>
      </c>
      <c r="B236" s="7" t="str">
        <f t="shared" si="9"/>
        <v>PremiumSS4other</v>
      </c>
      <c r="C236" s="7" t="str">
        <f t="shared" si="10"/>
        <v>other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68">
        <f>IFERROR(VLOOKUP(D236,input_6!L:T,9,FALSE),VLOOKUP(tables_6!B236,input_6!A:H,8,FALSE))</f>
        <v>419175</v>
      </c>
      <c r="M236" s="69">
        <f t="shared" si="11"/>
        <v>1.4210526315789475E-3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input_6!A$2</f>
        <v>3086</v>
      </c>
      <c r="B237" s="7" t="str">
        <f t="shared" si="9"/>
        <v>PremiumSS5other</v>
      </c>
      <c r="C237" s="7" t="str">
        <f t="shared" si="10"/>
        <v>other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68">
        <f>IFERROR(VLOOKUP(D237,input_6!L:T,9,FALSE),VLOOKUP(tables_6!B237,input_6!A:H,8,FALSE))</f>
        <v>46575</v>
      </c>
      <c r="M237" s="69">
        <f t="shared" si="11"/>
        <v>1.5789473684210527E-4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input_6!A$2</f>
        <v>3086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68">
        <f>IFERROR(VLOOKUP(D238,input_6!L:T,9,FALSE),VLOOKUP(tables_6!B238,input_6!A:H,8,FALSE))</f>
        <v>419175</v>
      </c>
      <c r="M238" s="69">
        <f t="shared" si="11"/>
        <v>1.4210526315789475E-3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input_6!A$2</f>
        <v>3086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68">
        <f>IFERROR(VLOOKUP(D239,input_6!L:T,9,FALSE),VLOOKUP(tables_6!B239,input_6!A:H,8,FALSE))</f>
        <v>46575</v>
      </c>
      <c r="M239" s="69">
        <f t="shared" si="11"/>
        <v>1.5789473684210527E-4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input_6!A$2</f>
        <v>3086</v>
      </c>
      <c r="B240" s="7" t="str">
        <f t="shared" si="9"/>
        <v>PremiumS3blue</v>
      </c>
      <c r="C240" s="7" t="str">
        <f t="shared" si="10"/>
        <v>blue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68">
        <f>IFERROR(VLOOKUP(D240,input_6!L:T,9,FALSE),VLOOKUP(tables_6!B240,input_6!A:H,8,FALSE))</f>
        <v>0</v>
      </c>
      <c r="M240" s="69">
        <f t="shared" si="11"/>
        <v>0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input_6!A$2</f>
        <v>3086</v>
      </c>
      <c r="B241" s="7" t="str">
        <f t="shared" si="9"/>
        <v>PremiumS4blue</v>
      </c>
      <c r="C241" s="7" t="str">
        <f t="shared" si="10"/>
        <v>blue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68">
        <f>IFERROR(VLOOKUP(D241,input_6!L:T,9,FALSE),VLOOKUP(tables_6!B241,input_6!A:H,8,FALSE))</f>
        <v>6852160</v>
      </c>
      <c r="M241" s="69">
        <f t="shared" si="11"/>
        <v>2.3229629629629631E-2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input_6!A$2</f>
        <v>3086</v>
      </c>
      <c r="B242" s="7" t="str">
        <f t="shared" si="9"/>
        <v>PremiumS5blue</v>
      </c>
      <c r="C242" s="7" t="str">
        <f t="shared" si="10"/>
        <v>blue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68">
        <f>IFERROR(VLOOKUP(D242,input_6!L:T,9,FALSE),VLOOKUP(tables_6!B242,input_6!A:H,8,FALSE))</f>
        <v>275310</v>
      </c>
      <c r="M242" s="69">
        <f t="shared" si="11"/>
        <v>9.3333333333333332E-4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input_6!A$2</f>
        <v>3086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68">
        <f>IFERROR(VLOOKUP(D243,input_6!L:T,9,FALSE),VLOOKUP(tables_6!B243,input_6!A:H,8,FALSE))</f>
        <v>0</v>
      </c>
      <c r="M243" s="69">
        <f t="shared" si="11"/>
        <v>0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input_6!A$2</f>
        <v>3086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68">
        <f>IFERROR(VLOOKUP(D244,input_6!L:T,9,FALSE),VLOOKUP(tables_6!B244,input_6!A:H,8,FALSE))</f>
        <v>1149120</v>
      </c>
      <c r="M244" s="69">
        <f t="shared" si="11"/>
        <v>3.8956521739130436E-3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input_6!A$2</f>
        <v>3086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68">
        <f>IFERROR(VLOOKUP(D245,input_6!L:T,9,FALSE),VLOOKUP(tables_6!B245,input_6!A:H,8,FALSE))</f>
        <v>46170</v>
      </c>
      <c r="M245" s="69">
        <f t="shared" si="11"/>
        <v>1.565217391304348E-4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  <row r="246" spans="1:19" ht="21" customHeight="1">
      <c r="A246" s="2">
        <f>input_6!A$2</f>
        <v>3086</v>
      </c>
      <c r="B246" s="7" t="str">
        <f t="shared" si="9"/>
        <v>PremiumSSS5blue</v>
      </c>
      <c r="C246" s="7" t="str">
        <f t="shared" si="10"/>
        <v>blue</v>
      </c>
      <c r="D246" s="6">
        <v>790</v>
      </c>
      <c r="E246" s="7" t="str">
        <f>VLOOKUP(D246,[1]characters!$A:$C,3,FALSE)</f>
        <v>戦略級の才脳 ノイマン</v>
      </c>
      <c r="F246" s="7" t="str">
        <f>VLOOKUP(D246,[1]characters!$A:$J,10,FALSE)</f>
        <v>PremiumSSS</v>
      </c>
      <c r="G246" s="7">
        <f>VLOOKUP(D246,[1]characters!$A:$I,9,FALSE)</f>
        <v>5</v>
      </c>
      <c r="H246" s="7" t="str">
        <f>VLOOKUP(D246,[1]characters!$A:$H,8,FALSE)</f>
        <v>blue</v>
      </c>
      <c r="I246" s="7" t="str">
        <f>VLOOKUP(D246,[1]characters!$A:$K,11,FALSE)</f>
        <v>attack</v>
      </c>
      <c r="J246" s="7" t="str">
        <f>VLOOKUP(D246,[1]characters!$A:$M,13,FALSE)</f>
        <v>machine</v>
      </c>
      <c r="K246" s="7" t="str">
        <f>VLOOKUP(D246,[1]characters!$A:$G,7,FALSE)</f>
        <v>男性</v>
      </c>
      <c r="L246" s="68">
        <f>IFERROR(VLOOKUP(D246,input_6!L:T,9,FALSE),VLOOKUP(tables_6!B246,input_6!A:H,8,FALSE))</f>
        <v>5899500</v>
      </c>
      <c r="M246" s="69">
        <f t="shared" si="11"/>
        <v>0.02</v>
      </c>
      <c r="N246" s="31">
        <f>IFERROR(VLOOKUP($D246,bug_conf_sheet!$A:$H,3,FALSE),VLOOKUP("other",bug_conf_sheet!$A:$H,3,FALSE))</f>
        <v>1</v>
      </c>
      <c r="O246" s="31">
        <f>IFERROR(VLOOKUP($D246,bug_conf_sheet!$A:$H,4,FALSE),VLOOKUP("other",bug_conf_sheet!$A:$H,4,FALSE))</f>
        <v>0</v>
      </c>
      <c r="P246" s="31">
        <f>IFERROR(VLOOKUP($D246,bug_conf_sheet!$A:$H,5,FALSE),VLOOKUP("other",bug_conf_sheet!$A:$H,5,FALSE))</f>
        <v>0</v>
      </c>
      <c r="Q246" s="31">
        <f>IFERROR(VLOOKUP($D246,bug_conf_sheet!$A:$H,6,FALSE),VLOOKUP("other",bug_conf_sheet!$A:$H,6,FALSE))</f>
        <v>0</v>
      </c>
      <c r="R246" s="31">
        <f>IFERROR(VLOOKUP($D246,bug_conf_sheet!$A:$H,7,FALSE),VLOOKUP("other",bug_conf_sheet!$A:$H,7,FALSE))</f>
        <v>0</v>
      </c>
      <c r="S246" s="31">
        <f>IFERROR(VLOOKUP($D246,bug_conf_sheet!$A:$H,8,FALSE),VLOOKUP("other",bug_conf_sheet!$A:$H,8,FALSE))</f>
        <v>1</v>
      </c>
    </row>
  </sheetData>
  <autoFilter ref="A1:S245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7" t="s">
        <v>112</v>
      </c>
      <c r="H1" s="77" t="s">
        <v>113</v>
      </c>
      <c r="I1" s="78" t="s">
        <v>114</v>
      </c>
      <c r="J1" s="78" t="s">
        <v>115</v>
      </c>
      <c r="K1" s="78" t="s">
        <v>116</v>
      </c>
      <c r="L1" s="78" t="s">
        <v>117</v>
      </c>
      <c r="M1" s="78" t="s">
        <v>118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119</v>
      </c>
    </row>
  </sheetData>
  <autoFilter ref="A1:F1"/>
  <phoneticPr fontId="1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56</v>
      </c>
      <c r="C1" s="32" t="s">
        <v>59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64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63</v>
      </c>
    </row>
    <row r="3" spans="1:8">
      <c r="A3" s="34">
        <v>300</v>
      </c>
    </row>
    <row r="5" spans="1:8">
      <c r="A5" s="35" t="s">
        <v>58</v>
      </c>
      <c r="B5" s="36" t="str">
        <f>$A$3 &amp; "1"</f>
        <v>3001</v>
      </c>
      <c r="C5" s="43"/>
      <c r="D5" s="35" t="s">
        <v>61</v>
      </c>
      <c r="E5" s="36" t="str">
        <f>$A$3 &amp; "0"</f>
        <v>3000</v>
      </c>
      <c r="F5" s="43"/>
      <c r="G5" s="35" t="s">
        <v>62</v>
      </c>
      <c r="H5" s="36" t="str">
        <f>$A$3 &amp; "3"</f>
        <v>3003</v>
      </c>
    </row>
    <row r="6" spans="1:8">
      <c r="A6" s="37" t="s">
        <v>60</v>
      </c>
      <c r="B6" s="38"/>
      <c r="C6" s="43"/>
      <c r="D6" s="37" t="s">
        <v>60</v>
      </c>
      <c r="E6" s="38"/>
      <c r="F6" s="43"/>
      <c r="G6" s="37" t="s">
        <v>60</v>
      </c>
      <c r="H6" s="38"/>
    </row>
    <row r="7" spans="1:8">
      <c r="A7" s="40">
        <f>COUNTIFS(tables_1!$F:$F,"PremiumSSS",tables_1!$A:$A,B5)</f>
        <v>0</v>
      </c>
      <c r="B7" s="38"/>
      <c r="C7" s="43"/>
      <c r="D7" s="40">
        <f>COUNTIFS(tables_1!$F:$F,"PremiumSSS",tables_1!$A:$A,E5)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57</v>
      </c>
      <c r="B9" s="38"/>
      <c r="C9" s="43"/>
      <c r="D9" s="37" t="s">
        <v>57</v>
      </c>
      <c r="E9" s="38"/>
      <c r="F9" s="43"/>
      <c r="G9" s="37" t="s">
        <v>57</v>
      </c>
      <c r="H9" s="38"/>
    </row>
    <row r="10" spans="1:8">
      <c r="A10" s="40">
        <f>COUNTIFS(tables_1!$S:$S,"&gt;1",tables_1!$A:$A,B5)</f>
        <v>0</v>
      </c>
      <c r="B10" s="38"/>
      <c r="C10" s="43"/>
      <c r="D10" s="40">
        <f>COUNTIFS(tables_1!$S:$S,"&gt;1",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67</v>
      </c>
      <c r="B12" s="38"/>
      <c r="C12" s="43"/>
      <c r="D12" s="37" t="s">
        <v>67</v>
      </c>
      <c r="E12" s="38"/>
      <c r="F12" s="43"/>
      <c r="G12" s="37" t="s">
        <v>67</v>
      </c>
      <c r="H12" s="38"/>
    </row>
    <row r="13" spans="1:8">
      <c r="A13" s="40">
        <f>COUNTIFS(tables_1!$N:$N,"&gt;1",tables_1!$A:$A,B5)</f>
        <v>0</v>
      </c>
      <c r="B13" s="38"/>
      <c r="C13" s="43"/>
      <c r="D13" s="40">
        <f>COUNTIFS(tables_1!$N:$N,"&gt;1",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65</v>
      </c>
      <c r="B15" s="38"/>
      <c r="C15" s="43"/>
      <c r="D15" s="37" t="s">
        <v>66</v>
      </c>
      <c r="E15" s="38"/>
      <c r="F15" s="43"/>
      <c r="G15" s="37" t="s">
        <v>66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output</vt:lpstr>
      <vt:lpstr>input_1</vt:lpstr>
      <vt:lpstr>tables_1</vt:lpstr>
      <vt:lpstr>input_2</vt:lpstr>
      <vt:lpstr>tables_2</vt:lpstr>
      <vt:lpstr>input_3</vt:lpstr>
      <vt:lpstr>tables_3</vt:lpstr>
      <vt:lpstr>input_4</vt:lpstr>
      <vt:lpstr>tables_4</vt:lpstr>
      <vt:lpstr>input_5</vt:lpstr>
      <vt:lpstr>tables_5</vt:lpstr>
      <vt:lpstr>input_6</vt:lpstr>
      <vt:lpstr>tables_6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2016-03-16T14:18:10Z</dcterms:modified>
</cp:coreProperties>
</file>