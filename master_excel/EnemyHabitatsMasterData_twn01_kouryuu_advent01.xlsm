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ukutani/Documents/BULL_data/master_excel/"/>
    </mc:Choice>
  </mc:AlternateContent>
  <bookViews>
    <workbookView xWindow="-120" yWindow="0" windowWidth="38400" windowHeight="17920" tabRatio="740" activeTab="3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21" l="1"/>
  <c r="I7" i="21"/>
  <c r="J7" i="21"/>
  <c r="G7" i="21"/>
  <c r="F7" i="21"/>
  <c r="D7" i="21"/>
  <c r="C7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G3" i="9"/>
  <c r="H3" i="9"/>
  <c r="I3" i="9"/>
  <c r="J3" i="9"/>
  <c r="K3" i="9"/>
  <c r="L3" i="9"/>
  <c r="M3" i="9"/>
  <c r="N3" i="9"/>
  <c r="O3" i="9"/>
  <c r="G4" i="9"/>
  <c r="H4" i="9"/>
  <c r="I4" i="9"/>
  <c r="J4" i="9"/>
  <c r="K4" i="9"/>
  <c r="L4" i="9"/>
  <c r="M4" i="9"/>
  <c r="N4" i="9"/>
  <c r="O4" i="9"/>
  <c r="G5" i="9"/>
  <c r="H5" i="9"/>
  <c r="I5" i="9"/>
  <c r="J5" i="9"/>
  <c r="K5" i="9"/>
  <c r="L5" i="9"/>
  <c r="M5" i="9"/>
  <c r="N5" i="9"/>
  <c r="O5" i="9"/>
  <c r="G6" i="9"/>
  <c r="H6" i="9"/>
  <c r="I6" i="9"/>
  <c r="J6" i="9"/>
  <c r="K6" i="9"/>
  <c r="L6" i="9"/>
  <c r="M6" i="9"/>
  <c r="N6" i="9"/>
  <c r="O6" i="9"/>
  <c r="G7" i="9"/>
  <c r="H7" i="9"/>
  <c r="I7" i="9"/>
  <c r="J7" i="9"/>
  <c r="K7" i="9"/>
  <c r="L7" i="9"/>
  <c r="M7" i="9"/>
  <c r="N7" i="9"/>
  <c r="O7" i="9"/>
  <c r="G8" i="9"/>
  <c r="H8" i="9"/>
  <c r="I8" i="9"/>
  <c r="J8" i="9"/>
  <c r="K8" i="9"/>
  <c r="L8" i="9"/>
  <c r="M8" i="9"/>
  <c r="N8" i="9"/>
  <c r="O8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O10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O12" i="9"/>
  <c r="G13" i="9"/>
  <c r="H13" i="9"/>
  <c r="I13" i="9"/>
  <c r="J13" i="9"/>
  <c r="K13" i="9"/>
  <c r="L13" i="9"/>
  <c r="M13" i="9"/>
  <c r="N13" i="9"/>
  <c r="O13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O17" i="9"/>
  <c r="G18" i="9"/>
  <c r="H18" i="9"/>
  <c r="I18" i="9"/>
  <c r="J18" i="9"/>
  <c r="K18" i="9"/>
  <c r="L18" i="9"/>
  <c r="M18" i="9"/>
  <c r="N18" i="9"/>
  <c r="O18" i="9"/>
  <c r="G19" i="9"/>
  <c r="H19" i="9"/>
  <c r="I19" i="9"/>
  <c r="J19" i="9"/>
  <c r="K19" i="9"/>
  <c r="L19" i="9"/>
  <c r="M19" i="9"/>
  <c r="N19" i="9"/>
  <c r="O19" i="9"/>
  <c r="G20" i="9"/>
  <c r="H20" i="9"/>
  <c r="I20" i="9"/>
  <c r="J20" i="9"/>
  <c r="K20" i="9"/>
  <c r="L20" i="9"/>
  <c r="M20" i="9"/>
  <c r="N20" i="9"/>
  <c r="O20" i="9"/>
  <c r="G21" i="9"/>
  <c r="H21" i="9"/>
  <c r="I21" i="9"/>
  <c r="J21" i="9"/>
  <c r="K21" i="9"/>
  <c r="L21" i="9"/>
  <c r="M21" i="9"/>
  <c r="N21" i="9"/>
  <c r="O21" i="9"/>
  <c r="G22" i="9"/>
  <c r="H22" i="9"/>
  <c r="I22" i="9"/>
  <c r="J22" i="9"/>
  <c r="K22" i="9"/>
  <c r="L22" i="9"/>
  <c r="M22" i="9"/>
  <c r="N22" i="9"/>
  <c r="O22" i="9"/>
  <c r="A22" i="9"/>
  <c r="D22" i="9"/>
  <c r="E22" i="9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A3" i="9"/>
  <c r="D3" i="9"/>
  <c r="E3" i="9"/>
  <c r="A4" i="9"/>
  <c r="D4" i="9"/>
  <c r="E4" i="9"/>
  <c r="A5" i="9"/>
  <c r="D5" i="9"/>
  <c r="E5" i="9"/>
  <c r="A6" i="9"/>
  <c r="D6" i="9"/>
  <c r="E6" i="9"/>
  <c r="A7" i="9"/>
  <c r="D7" i="9"/>
  <c r="E7" i="9"/>
  <c r="A8" i="9"/>
  <c r="D8" i="9"/>
  <c r="E8" i="9"/>
  <c r="A9" i="9"/>
  <c r="D9" i="9"/>
  <c r="E9" i="9"/>
  <c r="A10" i="9"/>
  <c r="D10" i="9"/>
  <c r="E10" i="9"/>
  <c r="A11" i="9"/>
  <c r="D11" i="9"/>
  <c r="E11" i="9"/>
  <c r="A12" i="9"/>
  <c r="D12" i="9"/>
  <c r="E12" i="9"/>
  <c r="A13" i="9"/>
  <c r="D13" i="9"/>
  <c r="E13" i="9"/>
  <c r="A14" i="9"/>
  <c r="D14" i="9"/>
  <c r="E14" i="9"/>
  <c r="A15" i="9"/>
  <c r="D15" i="9"/>
  <c r="E15" i="9"/>
  <c r="A16" i="9"/>
  <c r="D16" i="9"/>
  <c r="E16" i="9"/>
  <c r="A17" i="9"/>
  <c r="D17" i="9"/>
  <c r="E17" i="9"/>
  <c r="A18" i="9"/>
  <c r="D18" i="9"/>
  <c r="E18" i="9"/>
  <c r="A19" i="9"/>
  <c r="D19" i="9"/>
  <c r="E19" i="9"/>
  <c r="A20" i="9"/>
  <c r="D20" i="9"/>
  <c r="E20" i="9"/>
  <c r="A21" i="9"/>
  <c r="D21" i="9"/>
  <c r="E21" i="9"/>
  <c r="E2" i="9"/>
  <c r="V2" i="1"/>
  <c r="V4" i="1"/>
  <c r="V5" i="1"/>
  <c r="V6" i="1"/>
  <c r="V7" i="1"/>
  <c r="V8" i="1"/>
  <c r="V9" i="1"/>
  <c r="V10" i="1"/>
  <c r="A9" i="1"/>
  <c r="D9" i="1"/>
  <c r="E9" i="1"/>
  <c r="F9" i="1"/>
  <c r="H9" i="1"/>
  <c r="G2" i="2"/>
  <c r="A2" i="2"/>
  <c r="G3" i="2"/>
  <c r="A3" i="2"/>
  <c r="G4" i="2"/>
  <c r="A4" i="2"/>
  <c r="G5" i="2"/>
  <c r="A5" i="2"/>
  <c r="I9" i="1"/>
  <c r="J9" i="1"/>
  <c r="M9" i="1"/>
  <c r="N9" i="1"/>
  <c r="O9" i="1"/>
  <c r="P9" i="1"/>
  <c r="Q9" i="1"/>
  <c r="AB9" i="1"/>
  <c r="AC9" i="1"/>
  <c r="AD9" i="1"/>
  <c r="AE9" i="1"/>
  <c r="AG9" i="1"/>
  <c r="A10" i="1"/>
  <c r="D10" i="1"/>
  <c r="E10" i="1"/>
  <c r="F10" i="1"/>
  <c r="H10" i="1"/>
  <c r="I10" i="1"/>
  <c r="J10" i="1"/>
  <c r="M10" i="1"/>
  <c r="N10" i="1"/>
  <c r="O10" i="1"/>
  <c r="P10" i="1"/>
  <c r="Q10" i="1"/>
  <c r="AB10" i="1"/>
  <c r="AC10" i="1"/>
  <c r="AD10" i="1"/>
  <c r="AE10" i="1"/>
  <c r="AG10" i="1"/>
  <c r="A4" i="1"/>
  <c r="D4" i="1"/>
  <c r="E4" i="1"/>
  <c r="F4" i="1"/>
  <c r="H4" i="1"/>
  <c r="I4" i="1"/>
  <c r="J4" i="1"/>
  <c r="M4" i="1"/>
  <c r="N4" i="1"/>
  <c r="O4" i="1"/>
  <c r="P4" i="1"/>
  <c r="Q4" i="1"/>
  <c r="AB4" i="1"/>
  <c r="AC4" i="1"/>
  <c r="AD4" i="1"/>
  <c r="AE4" i="1"/>
  <c r="AG4" i="1"/>
  <c r="A5" i="1"/>
  <c r="D5" i="1"/>
  <c r="E5" i="1"/>
  <c r="F5" i="1"/>
  <c r="H5" i="1"/>
  <c r="I5" i="1"/>
  <c r="J5" i="1"/>
  <c r="M5" i="1"/>
  <c r="N5" i="1"/>
  <c r="O5" i="1"/>
  <c r="P5" i="1"/>
  <c r="Q5" i="1"/>
  <c r="AB5" i="1"/>
  <c r="AC5" i="1"/>
  <c r="AD5" i="1"/>
  <c r="AE5" i="1"/>
  <c r="AG5" i="1"/>
  <c r="A6" i="1"/>
  <c r="D6" i="1"/>
  <c r="E6" i="1"/>
  <c r="F6" i="1"/>
  <c r="H6" i="1"/>
  <c r="I6" i="1"/>
  <c r="J6" i="1"/>
  <c r="M6" i="1"/>
  <c r="N6" i="1"/>
  <c r="O6" i="1"/>
  <c r="P6" i="1"/>
  <c r="Q6" i="1"/>
  <c r="AB6" i="1"/>
  <c r="AC6" i="1"/>
  <c r="AD6" i="1"/>
  <c r="AE6" i="1"/>
  <c r="AG6" i="1"/>
  <c r="A7" i="1"/>
  <c r="D7" i="1"/>
  <c r="E7" i="1"/>
  <c r="F7" i="1"/>
  <c r="H7" i="1"/>
  <c r="I7" i="1"/>
  <c r="J7" i="1"/>
  <c r="M7" i="1"/>
  <c r="N7" i="1"/>
  <c r="O7" i="1"/>
  <c r="P7" i="1"/>
  <c r="Q7" i="1"/>
  <c r="AB7" i="1"/>
  <c r="AC7" i="1"/>
  <c r="AD7" i="1"/>
  <c r="AE7" i="1"/>
  <c r="AG7" i="1"/>
  <c r="A8" i="1"/>
  <c r="D8" i="1"/>
  <c r="E8" i="1"/>
  <c r="F8" i="1"/>
  <c r="H8" i="1"/>
  <c r="I8" i="1"/>
  <c r="J8" i="1"/>
  <c r="M8" i="1"/>
  <c r="N8" i="1"/>
  <c r="O8" i="1"/>
  <c r="P8" i="1"/>
  <c r="Q8" i="1"/>
  <c r="AB8" i="1"/>
  <c r="AC8" i="1"/>
  <c r="AD8" i="1"/>
  <c r="AE8" i="1"/>
  <c r="AG8" i="1"/>
  <c r="H3" i="1"/>
  <c r="H2" i="1"/>
  <c r="B3" i="2"/>
  <c r="D3" i="2"/>
  <c r="E3" i="2"/>
  <c r="H3" i="2"/>
  <c r="B4" i="2"/>
  <c r="D4" i="2"/>
  <c r="E4" i="2"/>
  <c r="H4" i="2"/>
  <c r="B5" i="2"/>
  <c r="D5" i="2"/>
  <c r="E5" i="2"/>
  <c r="H5" i="2"/>
  <c r="L40" i="19"/>
  <c r="K40" i="19"/>
  <c r="B40" i="19"/>
  <c r="G40" i="19"/>
  <c r="F40" i="19"/>
  <c r="D40" i="19"/>
  <c r="C40" i="19"/>
  <c r="L39" i="19"/>
  <c r="K39" i="19"/>
  <c r="B39" i="19"/>
  <c r="G39" i="19"/>
  <c r="F39" i="19"/>
  <c r="D39" i="19"/>
  <c r="C39" i="19"/>
  <c r="L38" i="19"/>
  <c r="K38" i="19"/>
  <c r="B38" i="19"/>
  <c r="G38" i="19"/>
  <c r="F38" i="19"/>
  <c r="D38" i="19"/>
  <c r="C38" i="19"/>
  <c r="L37" i="19"/>
  <c r="K37" i="19"/>
  <c r="B37" i="19"/>
  <c r="G37" i="19"/>
  <c r="F37" i="19"/>
  <c r="D37" i="19"/>
  <c r="C37" i="19"/>
  <c r="L36" i="19"/>
  <c r="K36" i="19"/>
  <c r="B36" i="19"/>
  <c r="G36" i="19"/>
  <c r="F36" i="19"/>
  <c r="D36" i="19"/>
  <c r="C36" i="19"/>
  <c r="L35" i="19"/>
  <c r="K35" i="19"/>
  <c r="B35" i="19"/>
  <c r="G35" i="19"/>
  <c r="F35" i="19"/>
  <c r="D35" i="19"/>
  <c r="C35" i="19"/>
  <c r="L34" i="19"/>
  <c r="K34" i="19"/>
  <c r="B34" i="19"/>
  <c r="G34" i="19"/>
  <c r="F34" i="19"/>
  <c r="D34" i="19"/>
  <c r="C34" i="19"/>
  <c r="L33" i="19"/>
  <c r="K33" i="19"/>
  <c r="B33" i="19"/>
  <c r="G33" i="19"/>
  <c r="F33" i="19"/>
  <c r="D33" i="19"/>
  <c r="C33" i="19"/>
  <c r="L32" i="19"/>
  <c r="K32" i="19"/>
  <c r="B32" i="19"/>
  <c r="G32" i="19"/>
  <c r="F32" i="19"/>
  <c r="D32" i="19"/>
  <c r="C32" i="19"/>
  <c r="L31" i="19"/>
  <c r="K31" i="19"/>
  <c r="B31" i="19"/>
  <c r="G31" i="19"/>
  <c r="F31" i="19"/>
  <c r="D31" i="19"/>
  <c r="C31" i="19"/>
  <c r="L30" i="19"/>
  <c r="K30" i="19"/>
  <c r="B30" i="19"/>
  <c r="G30" i="19"/>
  <c r="F30" i="19"/>
  <c r="D30" i="19"/>
  <c r="C30" i="19"/>
  <c r="L29" i="19"/>
  <c r="K29" i="19"/>
  <c r="B29" i="19"/>
  <c r="G29" i="19"/>
  <c r="F29" i="19"/>
  <c r="D29" i="19"/>
  <c r="C29" i="19"/>
  <c r="L28" i="19"/>
  <c r="K28" i="19"/>
  <c r="B28" i="19"/>
  <c r="G28" i="19"/>
  <c r="F28" i="19"/>
  <c r="D28" i="19"/>
  <c r="C28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7" i="19"/>
  <c r="L27" i="19"/>
  <c r="B15" i="19"/>
  <c r="C15" i="19"/>
  <c r="D15" i="19"/>
  <c r="F15" i="19"/>
  <c r="G15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W2" i="7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V3" i="1"/>
  <c r="Q3" i="1"/>
  <c r="P3" i="1"/>
  <c r="O3" i="1"/>
  <c r="N3" i="1"/>
  <c r="M3" i="1"/>
  <c r="Q2" i="1"/>
  <c r="P2" i="1"/>
  <c r="O2" i="1"/>
  <c r="N2" i="1"/>
  <c r="M2" i="1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<sst xmlns="http://schemas.openxmlformats.org/spreadsheetml/2006/main" count="724" uniqueCount="296">
  <si>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</si>
  <si>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</si>
  <si>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</si>
  <si>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</si>
  <si>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</si>
  <si>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</si>
  <si>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</si>
  <si>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</si>
  <si>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</si>
  <si>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</si>
  <si>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</si>
  <si>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</si>
  <si>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</si>
  <si>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</si>
  <si>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</si>
  <si>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</si>
  <si>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</si>
  <si>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</si>
  <si>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</si>
  <si>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</si>
  <si>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</si>
  <si>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</si>
  <si>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</si>
  <si>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</si>
  <si>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</si>
  <si>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</si>
  <si>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</si>
  <si>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</si>
  <si>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</si>
  <si>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</si>
  <si>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</si>
  <si>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</si>
  <si>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</si>
  <si>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</si>
  <si>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</si>
  <si>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</si>
  <si>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</si>
  <si>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</si>
  <si>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</si>
  <si>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</si>
  <si>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</si>
  <si>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</si>
  <si>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</si>
  <si>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</si>
  <si>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</si>
  <si>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</si>
  <si>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</si>
  <si>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</si>
  <si>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</si>
  <si>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</si>
  <si>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</si>
  <si>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</si>
  <si>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</si>
  <si>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</si>
  <si>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</si>
  <si>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</si>
  <si>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</si>
  <si>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</si>
  <si>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</si>
  <si>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</si>
  <si>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</si>
  <si>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</si>
  <si>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</si>
  <si>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</si>
  <si>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</si>
  <si>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</si>
  <si>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</si>
  <si>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</si>
  <si>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</si>
  <si>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</si>
  <si>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</si>
  <si>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</si>
  <si>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</si>
  <si>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</si>
  <si>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</si>
  <si>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</si>
  <si>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</si>
  <si>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</si>
  <si>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</si>
  <si>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</si>
  <si>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</si>
  <si>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</si>
  <si>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</si>
  <si>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</si>
  <si>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</si>
  <si>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</si>
  <si>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</si>
  <si>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</si>
  <si>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</si>
  <si>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</si>
  <si>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</si>
  <si>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</si>
  <si>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</si>
  <si>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</si>
  <si>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</si>
  <si>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</si>
  <si>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</si>
  <si>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</si>
  <si>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</si>
  <si>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</si>
  <si>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</si>
  <si>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</si>
  <si>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</si>
  <si>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</si>
  <si>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</si>
  <si>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</si>
  <si>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</si>
  <si>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</si>
  <si>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</si>
  <si>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</si>
  <si>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</si>
  <si>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</si>
  <si>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</si>
  <si>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</si>
  <si>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</si>
  <si>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</si>
  <si>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</si>
  <si>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</si>
  <si>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</si>
  <si>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</si>
  <si>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</si>
  <si>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</si>
  <si>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</si>
  <si>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</si>
  <si>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</si>
  <si>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</si>
  <si>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</si>
  <si>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</si>
  <si>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</si>
  <si>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</si>
  <si>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</si>
  <si>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</si>
  <si>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</si>
  <si>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</si>
  <si>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</si>
  <si>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</si>
  <si>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</si>
  <si>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</si>
  <si>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</si>
  <si>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</si>
  <si>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</si>
  <si>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</si>
  <si>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</si>
  <si>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</si>
  <si>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</si>
  <si>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</si>
  <si>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</si>
  <si>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</si>
  <si>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</si>
  <si>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</si>
  <si>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</si>
  <si>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</si>
  <si>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</si>
  <si>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</si>
  <si>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</si>
  <si>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</si>
  <si>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</si>
  <si>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</si>
  <si>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</si>
  <si>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</si>
  <si>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</si>
  <si>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</si>
  <si>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</si>
  <si>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</si>
  <si>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</si>
  <si>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</si>
  <si>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</si>
  <si>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</si>
  <si>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</si>
  <si>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</si>
  <si>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</si>
  <si>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</si>
  <si>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</si>
  <si>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</si>
  <si>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</si>
  <si>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</si>
  <si>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</si>
  <si>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</si>
  <si>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</si>
  <si>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</si>
  <si>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</si>
  <si>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</si>
  <si>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</si>
  <si>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</si>
  <si>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</si>
  <si>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</si>
  <si>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</si>
  <si>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</si>
  <si>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</si>
  <si>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</si>
  <si>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</si>
  <si>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</si>
  <si>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</si>
  <si>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</si>
  <si>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</si>
  <si>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</si>
  <si>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</si>
  <si>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</si>
  <si>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</si>
  <si>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</si>
  <si>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</si>
  <si>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</si>
  <si>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</si>
  <si>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</si>
  <si>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</si>
  <si>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</si>
  <si>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</si>
  <si>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</si>
  <si>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</si>
  <si>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</si>
  <si>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</si>
  <si>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</si>
  <si>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old</t>
  </si>
  <si>
    <t>[effect:spread, val:0.26]</t>
    <phoneticPr fontId="5"/>
  </si>
  <si>
    <t>ja</t>
    <phoneticPr fontId="5"/>
  </si>
  <si>
    <t xml:space="preserve">[effect:freq_turn, target:myself, turn:-1, val:1, animation:enemy_freq_turn]    </t>
    <phoneticPr fontId="5"/>
  </si>
  <si>
    <t>ja</t>
    <phoneticPr fontId="5"/>
  </si>
  <si>
    <t>[effect:rush, count:2, val:0.6]</t>
    <phoneticPr fontId="5"/>
  </si>
  <si>
    <t>[effect:heal, target:enemy_all, val:0.05, animation:enemy_heal]</t>
    <phoneticPr fontId="5"/>
  </si>
  <si>
    <t>[effect:heal, target:enemy_one, val:0.1, animation:enemy_heal]</t>
    <phoneticPr fontId="5"/>
  </si>
  <si>
    <t>[effect:enhance_enemy, target:myself, turn:3, status:defense, val:2000, calc:add, animation:enemy_enhance_defense],[effect:tolerance, target:myself, turn:-1, tolerance_effect:hungup, count:-1],[effect:tolerance, target:myself, turn:-1, tolerance_effect:virus, count:-1],[effect:tolerance, target:myself, turn:-1, tolerance_effect:sleep, count:-1, animation:enemy_tolerance]</t>
    <phoneticPr fontId="5"/>
  </si>
  <si>
    <t>[effect:enhance_enemy, target:myself, turn:3, status:defense, val:8000, calc:add, animation:enemy_enhance_defense],[effect:spread, val:0.25]</t>
    <phoneticPr fontId="5"/>
  </si>
  <si>
    <t>[effect:rush, count:2, val:0.65]</t>
    <phoneticPr fontId="5"/>
  </si>
  <si>
    <t>[effect:rush, count:3, val:0.45]</t>
    <phoneticPr fontId="5"/>
  </si>
  <si>
    <t>[effect:rush, count:4, val:0.35]</t>
    <phoneticPr fontId="5"/>
  </si>
  <si>
    <t>[effect:rush, count:5, val:0.29]</t>
    <phoneticPr fontId="5"/>
  </si>
  <si>
    <t>[effect:rush, count:3, val:0.5]</t>
    <phoneticPr fontId="5"/>
  </si>
  <si>
    <t>[effect:critical, val:1.7]</t>
    <phoneticPr fontId="5"/>
  </si>
  <si>
    <t>久保</t>
    <phoneticPr fontId="5"/>
  </si>
  <si>
    <t>台湾コウリュウ　マーメイド</t>
    <phoneticPr fontId="5"/>
  </si>
  <si>
    <t>台湾コウリュウ　スケアクロウ</t>
    <phoneticPr fontId="5"/>
  </si>
  <si>
    <t>台湾コウリュウ　ポチ</t>
    <phoneticPr fontId="5"/>
  </si>
  <si>
    <t>台湾コウリュウ　ハチ</t>
    <phoneticPr fontId="5"/>
  </si>
  <si>
    <t>台湾コウリュウ　クロウ</t>
    <phoneticPr fontId="5"/>
  </si>
  <si>
    <t>台湾コウリュウ　ショウイン</t>
    <phoneticPr fontId="5"/>
  </si>
  <si>
    <t>台湾コウリュウ　テティス</t>
    <phoneticPr fontId="5"/>
  </si>
  <si>
    <t>台湾コウリュウ　フォルネウス</t>
    <phoneticPr fontId="5"/>
  </si>
  <si>
    <t>台湾コウリュウ　コウリュウ１</t>
    <phoneticPr fontId="5"/>
  </si>
  <si>
    <t>台湾コウリュウ　コウリュウ１　連続攻撃の回数がランダムに見えるような演出</t>
    <phoneticPr fontId="5"/>
  </si>
  <si>
    <t>台湾コウリュウ　コウリュウ2</t>
    <phoneticPr fontId="5"/>
  </si>
  <si>
    <t>[effect:freq_turn, target:myself, turn:-1, val:1, animation:enemy_freq_turn]</t>
    <phoneticPr fontId="5"/>
  </si>
  <si>
    <t xml:space="preserve">[effect:enhance_enemy, target:enemy_human, turn:-1, status:defense, val:2000, calc:add, animation:enemy_enhance_defense]    </t>
    <phoneticPr fontId="5"/>
  </si>
  <si>
    <t>全体攻撃</t>
    <phoneticPr fontId="5"/>
  </si>
  <si>
    <t>スピードアップ</t>
    <phoneticPr fontId="5"/>
  </si>
  <si>
    <t>マーメイドの攻撃力UP</t>
    <phoneticPr fontId="5"/>
  </si>
  <si>
    <t>マーメイドの防御力UP</t>
    <phoneticPr fontId="5"/>
  </si>
  <si>
    <t>1ターンスキルバインド</t>
    <phoneticPr fontId="5"/>
  </si>
  <si>
    <t>[effect:hungup, target:unit_one, turn:1, rate:1, animation:hungup01]</t>
    <phoneticPr fontId="5"/>
  </si>
  <si>
    <t>全体回復</t>
    <phoneticPr fontId="5"/>
  </si>
  <si>
    <t>全体攻撃</t>
    <phoneticPr fontId="5"/>
  </si>
  <si>
    <t>回復</t>
    <phoneticPr fontId="5"/>
  </si>
  <si>
    <t xml:space="preserve">3ターン防御力激烈UP＋攻撃 </t>
    <phoneticPr fontId="5"/>
  </si>
  <si>
    <t>ランダムな回数の連続攻撃</t>
    <phoneticPr fontId="5"/>
  </si>
  <si>
    <t xml:space="preserve">3ターン防御力UP＆状態異常無効 </t>
    <phoneticPr fontId="5"/>
  </si>
  <si>
    <t>連続攻撃</t>
    <phoneticPr fontId="5"/>
  </si>
  <si>
    <t>連続攻撃</t>
    <phoneticPr fontId="5"/>
  </si>
  <si>
    <t>3ターン味方ユニットの攻撃力激烈DOWN</t>
    <phoneticPr fontId="5"/>
  </si>
  <si>
    <t>次のターンに大ダメージ＋スピードアップ</t>
    <phoneticPr fontId="5"/>
  </si>
  <si>
    <t>準備完了！</t>
    <phoneticPr fontId="5"/>
  </si>
  <si>
    <t>スプラッシュバブル</t>
    <phoneticPr fontId="5"/>
  </si>
  <si>
    <t>サポートモード</t>
    <phoneticPr fontId="5"/>
  </si>
  <si>
    <t>セキュリティモード</t>
    <phoneticPr fontId="5"/>
  </si>
  <si>
    <t>ヒーリングスペル</t>
    <phoneticPr fontId="5"/>
  </si>
  <si>
    <t>バインドメロディ</t>
    <phoneticPr fontId="5"/>
  </si>
  <si>
    <t>ディープオーシャン</t>
    <phoneticPr fontId="5"/>
  </si>
  <si>
    <t>ダブルタスク</t>
    <phoneticPr fontId="5"/>
  </si>
  <si>
    <t>パールドロップ</t>
    <phoneticPr fontId="5"/>
  </si>
  <si>
    <t>大波襲来！いっけー！</t>
    <phoneticPr fontId="5"/>
  </si>
  <si>
    <t>[effect:spread, val:0.51]</t>
    <phoneticPr fontId="5"/>
  </si>
  <si>
    <t xml:space="preserve">3ターン防御力UP＋状態異常無効 </t>
    <phoneticPr fontId="5"/>
  </si>
  <si>
    <t>強力な全体攻撃！</t>
    <phoneticPr fontId="5"/>
  </si>
  <si>
    <t>テールウィップ</t>
    <phoneticPr fontId="5"/>
  </si>
  <si>
    <t>ワタクシは誰にも従わないの！</t>
    <phoneticPr fontId="5"/>
  </si>
  <si>
    <t>アズールウェーブ</t>
    <phoneticPr fontId="5"/>
  </si>
  <si>
    <t>クリティカル！</t>
    <phoneticPr fontId="5"/>
  </si>
  <si>
    <t>テールウィップ</t>
    <phoneticPr fontId="5"/>
  </si>
  <si>
    <t>ダークカレント</t>
    <phoneticPr fontId="5"/>
  </si>
  <si>
    <t>ふふ…命知らずが来たわね…</t>
    <phoneticPr fontId="5"/>
  </si>
  <si>
    <t>ここはワタクシの海域よ！</t>
    <phoneticPr fontId="5"/>
  </si>
  <si>
    <t>ここで神様になりたいの！</t>
    <phoneticPr fontId="5"/>
  </si>
  <si>
    <t>[effect:degrade_unit, target:unit_all, turn:3, status:attack, val:0.8, calc:mul],[effect:spread, val:0.25]</t>
    <phoneticPr fontId="5"/>
  </si>
  <si>
    <t>[effect:enhance_enemy, target:myself, turn:3, status:defense, val:2000, calc:add, animation:enemy_enhance_defense],[effect:tolerance, target:myself, turn:-1, tolerance_effect:hungup, count:-1],[effect:tolerance, target:myself, turn:-1, tolerance_effect:virus, count:-1],[effect:tolerance, target:myself, turn:-1, tolerance_effect:sleep, count:-1, animation:enemy_tolerance]</t>
    <phoneticPr fontId="5"/>
  </si>
  <si>
    <t>満潮ね…チャンスだわ！</t>
    <phoneticPr fontId="5"/>
  </si>
  <si>
    <t>テールウィップ</t>
    <phoneticPr fontId="5"/>
  </si>
  <si>
    <t xml:space="preserve">[effect:enhance_enemy, target:enemy_human, turn:-1, status:attack, val:0.4, calc:mul, animation:enemy_enhance_attack]    </t>
    <phoneticPr fontId="5"/>
  </si>
  <si>
    <t>link</t>
    <phoneticPr fontId="5"/>
  </si>
  <si>
    <t>null</t>
    <phoneticPr fontId="5"/>
  </si>
  <si>
    <t>unit</t>
    <phoneticPr fontId="5"/>
  </si>
  <si>
    <t>unit</t>
    <phoneticPr fontId="5"/>
  </si>
  <si>
    <t>unit</t>
    <phoneticPr fontId="5"/>
  </si>
  <si>
    <t>ポチとスケアクロウは体力が減ると
マーメイドを強化します
ダメージを与えるタイミングや
倒す順番を工夫しましょう</t>
    <phoneticPr fontId="5"/>
  </si>
  <si>
    <t>ハチ　ショウイン　クロウは
それぞれスキルを一つずつ持っています
厄介なスキルを使うユニットを
優先して倒しましょう</t>
    <phoneticPr fontId="5"/>
  </si>
  <si>
    <t>フォルネウスは体力が半分以下になると
スピードアップします
その次のターンにはクリティカル攻撃を
します</t>
    <phoneticPr fontId="5"/>
  </si>
  <si>
    <t>蛟龍は2ゲージ目の体力が半分以下になると
クリティカル攻撃を行うようになります</t>
    <phoneticPr fontId="5"/>
  </si>
  <si>
    <t>蛟龍は2ゲージ目の体力が半分以下になると
味方ユニットの攻撃力を大幅に下げる
スキルを使います</t>
    <phoneticPr fontId="5"/>
  </si>
  <si>
    <t>蛟龍は1ゲージ目の体力が半分以下になると
防御力が大幅に上がるスキルを使います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</si>
</sst>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69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0" fillId="0" borderId="7" xfId="0" applyBorder="1" applyAlignment="1">
      <alignment vertical="center" wrapText="1"/>
    </xf>
    <xf numFmtId="0" fontId="0" fillId="0" borderId="7" xfId="0" applyFill="1" applyBorder="1" applyAlignment="1">
      <alignment vertical="center"/>
    </xf>
    <xf numFmtId="0" fontId="0" fillId="0" borderId="7" xfId="0" applyFill="1" applyBorder="1" applyAlignment="1">
      <alignment vertical="center" wrapText="1"/>
    </xf>
    <xf numFmtId="0" fontId="16" fillId="0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3" borderId="24" xfId="0" applyFont="1" applyFill="1" applyBorder="1" applyAlignment="1">
      <alignment vertical="center"/>
    </xf>
    <xf numFmtId="0" fontId="16" fillId="3" borderId="25" xfId="0" applyFont="1" applyFill="1" applyBorder="1" applyAlignment="1">
      <alignment vertical="center"/>
    </xf>
    <xf numFmtId="0" fontId="16" fillId="3" borderId="10" xfId="0" applyFont="1" applyFill="1" applyBorder="1" applyAlignment="1">
      <alignment vertical="center"/>
    </xf>
    <xf numFmtId="0" fontId="16" fillId="0" borderId="26" xfId="0" applyFont="1" applyFill="1" applyBorder="1" applyAlignment="1">
      <alignment vertical="center"/>
    </xf>
    <xf numFmtId="0" fontId="16" fillId="3" borderId="27" xfId="0" applyFont="1" applyFill="1" applyBorder="1" applyAlignment="1">
      <alignment vertical="center"/>
    </xf>
    <xf numFmtId="0" fontId="16" fillId="0" borderId="28" xfId="0" applyFont="1" applyFill="1" applyBorder="1" applyAlignment="1">
      <alignment vertical="center"/>
    </xf>
    <xf numFmtId="0" fontId="16" fillId="3" borderId="29" xfId="0" applyFont="1" applyFill="1" applyBorder="1" applyAlignment="1">
      <alignment vertical="center"/>
    </xf>
    <xf numFmtId="0" fontId="16" fillId="3" borderId="30" xfId="0" applyFont="1" applyFill="1" applyBorder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16" fillId="13" borderId="7" xfId="0" applyFont="1" applyFill="1" applyBorder="1" applyAlignment="1">
      <alignment vertical="center"/>
    </xf>
    <xf numFmtId="0" fontId="16" fillId="0" borderId="7" xfId="0" applyFont="1" applyBorder="1" applyAlignment="1">
      <alignment vertical="center"/>
    </xf>
    <xf numFmtId="14" fontId="16" fillId="0" borderId="10" xfId="0" applyNumberFormat="1" applyFont="1" applyFill="1" applyBorder="1" applyAlignment="1">
      <alignment vertical="center"/>
    </xf>
    <xf numFmtId="0" fontId="27" fillId="31" borderId="7" xfId="0" applyFont="1" applyFill="1" applyBorder="1"/>
    <xf numFmtId="0" fontId="27" fillId="14" borderId="7" xfId="0" applyFont="1" applyFill="1" applyBorder="1"/>
    <xf numFmtId="38" fontId="16" fillId="0" borderId="7" xfId="628" applyFont="1" applyFill="1" applyBorder="1" applyAlignment="1">
      <alignment wrapText="1"/>
    </xf>
  </cellXfs>
  <cellStyles count="69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11225</v>
          </cell>
        </row>
        <row r="80">
          <cell r="A80">
            <v>12001</v>
          </cell>
        </row>
        <row r="81">
          <cell r="A81">
            <v>12002</v>
          </cell>
        </row>
        <row r="82">
          <cell r="A82">
            <v>12003</v>
          </cell>
        </row>
        <row r="83">
          <cell r="A83">
            <v>12004</v>
          </cell>
        </row>
        <row r="84">
          <cell r="A84">
            <v>13001</v>
          </cell>
        </row>
        <row r="85">
          <cell r="A85">
            <v>14001</v>
          </cell>
        </row>
        <row r="86">
          <cell r="A86">
            <v>14002</v>
          </cell>
        </row>
        <row r="87">
          <cell r="A87">
            <v>14003</v>
          </cell>
        </row>
        <row r="88">
          <cell r="A88">
            <v>14004</v>
          </cell>
        </row>
        <row r="89">
          <cell r="A89">
            <v>14005</v>
          </cell>
        </row>
        <row r="90">
          <cell r="A90">
            <v>14006</v>
          </cell>
        </row>
        <row r="91">
          <cell r="A91">
            <v>15027</v>
          </cell>
        </row>
        <row r="92">
          <cell r="A92">
            <v>15028</v>
          </cell>
        </row>
        <row r="93">
          <cell r="A93">
            <v>15029</v>
          </cell>
        </row>
        <row r="94">
          <cell r="A94">
            <v>15030</v>
          </cell>
        </row>
        <row r="95">
          <cell r="A95">
            <v>15031</v>
          </cell>
        </row>
        <row r="96">
          <cell r="A96">
            <v>20001</v>
          </cell>
        </row>
        <row r="97">
          <cell r="A97">
            <v>20002</v>
          </cell>
        </row>
        <row r="98">
          <cell r="A98">
            <v>20003</v>
          </cell>
        </row>
        <row r="99">
          <cell r="A99">
            <v>20004</v>
          </cell>
        </row>
        <row r="100">
          <cell r="A100">
            <v>20005</v>
          </cell>
        </row>
        <row r="101">
          <cell r="A101">
            <v>20006</v>
          </cell>
        </row>
        <row r="102">
          <cell r="A102">
            <v>20007</v>
          </cell>
        </row>
        <row r="103">
          <cell r="A103">
            <v>20008</v>
          </cell>
        </row>
        <row r="104">
          <cell r="A104">
            <v>20009</v>
          </cell>
        </row>
        <row r="105">
          <cell r="A105">
            <v>20010</v>
          </cell>
        </row>
        <row r="106">
          <cell r="A106">
            <v>20011</v>
          </cell>
        </row>
        <row r="107">
          <cell r="A107">
            <v>20012</v>
          </cell>
        </row>
        <row r="108">
          <cell r="A108">
            <v>20013</v>
          </cell>
        </row>
        <row r="109">
          <cell r="A109">
            <v>20014</v>
          </cell>
        </row>
        <row r="110">
          <cell r="A110">
            <v>20015</v>
          </cell>
        </row>
        <row r="111">
          <cell r="A111">
            <v>20016</v>
          </cell>
        </row>
        <row r="112">
          <cell r="A112">
            <v>30001</v>
          </cell>
        </row>
        <row r="113">
          <cell r="A113">
            <v>30002</v>
          </cell>
        </row>
        <row r="114">
          <cell r="A114">
            <v>30003</v>
          </cell>
        </row>
        <row r="115">
          <cell r="A115">
            <v>30004</v>
          </cell>
        </row>
        <row r="116">
          <cell r="A116">
            <v>30005</v>
          </cell>
        </row>
        <row r="117">
          <cell r="A117">
            <v>30006</v>
          </cell>
        </row>
        <row r="118">
          <cell r="A118">
            <v>30007</v>
          </cell>
        </row>
        <row r="119">
          <cell r="A119">
            <v>30008</v>
          </cell>
        </row>
        <row r="120">
          <cell r="A120">
            <v>30009</v>
          </cell>
        </row>
        <row r="121">
          <cell r="A121">
            <v>30010</v>
          </cell>
        </row>
        <row r="122">
          <cell r="A122">
            <v>30011</v>
          </cell>
        </row>
        <row r="123">
          <cell r="A123">
            <v>30012</v>
          </cell>
        </row>
        <row r="124">
          <cell r="A124">
            <v>30013</v>
          </cell>
        </row>
        <row r="125">
          <cell r="A125">
            <v>30014</v>
          </cell>
        </row>
        <row r="126">
          <cell r="A126">
            <v>30015</v>
          </cell>
        </row>
        <row r="127">
          <cell r="A127">
            <v>30016</v>
          </cell>
        </row>
        <row r="128">
          <cell r="A128">
            <v>30017</v>
          </cell>
        </row>
        <row r="129">
          <cell r="A129">
            <v>30018</v>
          </cell>
        </row>
        <row r="130">
          <cell r="A130">
            <v>30019</v>
          </cell>
        </row>
        <row r="131">
          <cell r="A131">
            <v>30020</v>
          </cell>
        </row>
        <row r="132">
          <cell r="A132">
            <v>30021</v>
          </cell>
        </row>
        <row r="133">
          <cell r="A133">
            <v>30022</v>
          </cell>
        </row>
        <row r="134">
          <cell r="A134">
            <v>30023</v>
          </cell>
        </row>
        <row r="135">
          <cell r="A135">
            <v>30024</v>
          </cell>
        </row>
        <row r="136">
          <cell r="A136">
            <v>30025</v>
          </cell>
        </row>
        <row r="137">
          <cell r="A137">
            <v>30026</v>
          </cell>
        </row>
        <row r="138">
          <cell r="A138">
            <v>30027</v>
          </cell>
        </row>
        <row r="139">
          <cell r="A139">
            <v>30028</v>
          </cell>
        </row>
        <row r="140">
          <cell r="A140">
            <v>30029</v>
          </cell>
        </row>
        <row r="141">
          <cell r="A141">
            <v>30030</v>
          </cell>
        </row>
        <row r="142">
          <cell r="A142">
            <v>30031</v>
          </cell>
        </row>
        <row r="143">
          <cell r="A143">
            <v>30032</v>
          </cell>
        </row>
        <row r="144">
          <cell r="A144">
            <v>30033</v>
          </cell>
        </row>
        <row r="145">
          <cell r="A145">
            <v>30034</v>
          </cell>
        </row>
        <row r="146">
          <cell r="A146">
            <v>30035</v>
          </cell>
        </row>
        <row r="147">
          <cell r="A147">
            <v>30036</v>
          </cell>
        </row>
        <row r="148">
          <cell r="A148">
            <v>39001</v>
          </cell>
        </row>
        <row r="149">
          <cell r="A149">
            <v>39002</v>
          </cell>
        </row>
        <row r="150">
          <cell r="A150">
            <v>39003</v>
          </cell>
        </row>
        <row r="151">
          <cell r="A151">
            <v>39004</v>
          </cell>
        </row>
        <row r="152">
          <cell r="A152">
            <v>39005</v>
          </cell>
        </row>
        <row r="153">
          <cell r="A153">
            <v>39006</v>
          </cell>
        </row>
        <row r="154">
          <cell r="A154">
            <v>40001</v>
          </cell>
        </row>
        <row r="155">
          <cell r="A155">
            <v>40002</v>
          </cell>
        </row>
        <row r="156">
          <cell r="A156">
            <v>40003</v>
          </cell>
        </row>
        <row r="157">
          <cell r="A157">
            <v>40004</v>
          </cell>
        </row>
        <row r="158">
          <cell r="A158">
            <v>40005</v>
          </cell>
        </row>
        <row r="159">
          <cell r="A159">
            <v>40006</v>
          </cell>
        </row>
        <row r="160">
          <cell r="A160">
            <v>40007</v>
          </cell>
        </row>
        <row r="161">
          <cell r="A161">
            <v>40008</v>
          </cell>
        </row>
        <row r="162">
          <cell r="A162">
            <v>40009</v>
          </cell>
        </row>
        <row r="163">
          <cell r="A163">
            <v>40010</v>
          </cell>
        </row>
        <row r="164">
          <cell r="A164">
            <v>40011</v>
          </cell>
        </row>
        <row r="165">
          <cell r="A165">
            <v>40012</v>
          </cell>
        </row>
        <row r="166">
          <cell r="A166">
            <v>40013</v>
          </cell>
        </row>
        <row r="167">
          <cell r="A167">
            <v>40014</v>
          </cell>
        </row>
        <row r="168">
          <cell r="A168">
            <v>40015</v>
          </cell>
        </row>
        <row r="169">
          <cell r="A169">
            <v>40016</v>
          </cell>
        </row>
        <row r="170">
          <cell r="A170">
            <v>40017</v>
          </cell>
        </row>
        <row r="171">
          <cell r="A171">
            <v>40018</v>
          </cell>
        </row>
        <row r="172">
          <cell r="A172">
            <v>40019</v>
          </cell>
        </row>
        <row r="173">
          <cell r="A173">
            <v>48001</v>
          </cell>
        </row>
        <row r="174">
          <cell r="A174">
            <v>41001</v>
          </cell>
        </row>
        <row r="175">
          <cell r="A175">
            <v>41002</v>
          </cell>
        </row>
        <row r="176">
          <cell r="A176">
            <v>41003</v>
          </cell>
        </row>
        <row r="177">
          <cell r="A177">
            <v>41004</v>
          </cell>
        </row>
        <row r="178">
          <cell r="A178">
            <v>41005</v>
          </cell>
        </row>
        <row r="179">
          <cell r="A179">
            <v>41006</v>
          </cell>
        </row>
        <row r="180">
          <cell r="A180">
            <v>41007</v>
          </cell>
        </row>
        <row r="181">
          <cell r="A181">
            <v>41008</v>
          </cell>
        </row>
        <row r="182">
          <cell r="A182">
            <v>41009</v>
          </cell>
        </row>
        <row r="183">
          <cell r="A183">
            <v>49001</v>
          </cell>
        </row>
        <row r="184">
          <cell r="A184">
            <v>49002</v>
          </cell>
        </row>
        <row r="185">
          <cell r="A185">
            <v>49003</v>
          </cell>
        </row>
        <row r="186">
          <cell r="A186">
            <v>49004</v>
          </cell>
        </row>
        <row r="187">
          <cell r="A187">
            <v>49005</v>
          </cell>
        </row>
        <row r="188">
          <cell r="A188">
            <v>49006</v>
          </cell>
        </row>
        <row r="189">
          <cell r="A189">
            <v>50001</v>
          </cell>
        </row>
        <row r="190">
          <cell r="A190">
            <v>50002</v>
          </cell>
        </row>
        <row r="191">
          <cell r="A191">
            <v>50003</v>
          </cell>
        </row>
        <row r="192">
          <cell r="A192">
            <v>50004</v>
          </cell>
        </row>
        <row r="193">
          <cell r="A193">
            <v>51001</v>
          </cell>
        </row>
        <row r="194">
          <cell r="A194">
            <v>51002</v>
          </cell>
        </row>
        <row r="195">
          <cell r="A195">
            <v>60001</v>
          </cell>
        </row>
        <row r="196">
          <cell r="A196">
            <v>60002</v>
          </cell>
        </row>
        <row r="197">
          <cell r="A197">
            <v>60003</v>
          </cell>
        </row>
        <row r="198">
          <cell r="A198">
            <v>60004</v>
          </cell>
        </row>
        <row r="199">
          <cell r="A199">
            <v>60005</v>
          </cell>
        </row>
        <row r="200">
          <cell r="A200">
            <v>60006</v>
          </cell>
        </row>
        <row r="201">
          <cell r="A201">
            <v>60007</v>
          </cell>
        </row>
        <row r="202">
          <cell r="A202">
            <v>60010</v>
          </cell>
        </row>
        <row r="203">
          <cell r="A203">
            <v>60011</v>
          </cell>
        </row>
        <row r="204">
          <cell r="A204">
            <v>65535</v>
          </cell>
        </row>
        <row r="205">
          <cell r="A205">
            <v>60021</v>
          </cell>
        </row>
        <row r="206">
          <cell r="A206">
            <v>60022</v>
          </cell>
        </row>
        <row r="207">
          <cell r="A207">
            <v>60023</v>
          </cell>
        </row>
        <row r="208">
          <cell r="A208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11101_1</v>
          </cell>
          <cell r="B223">
            <v>3</v>
          </cell>
          <cell r="C223">
            <v>11101</v>
          </cell>
          <cell r="D223" t="str">
            <v>【期間限定】 黄の素材</v>
          </cell>
          <cell r="E223" t="str">
            <v>月曜クエスト</v>
          </cell>
          <cell r="F223">
            <v>1</v>
          </cell>
          <cell r="G223" t="str">
            <v>ja</v>
          </cell>
          <cell r="H223" t="str">
            <v>【初級】雷のチェシャ猫</v>
          </cell>
          <cell r="I223" t="str">
            <v>初級</v>
          </cell>
          <cell r="J223">
            <v>113</v>
          </cell>
          <cell r="K223">
            <v>8</v>
          </cell>
          <cell r="L223">
            <v>240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101</v>
          </cell>
          <cell r="AD223">
            <v>6</v>
          </cell>
          <cell r="AE223" t="str">
            <v>everyone</v>
          </cell>
        </row>
        <row r="224">
          <cell r="A224" t="str">
            <v>11101_2</v>
          </cell>
          <cell r="B224">
            <v>3</v>
          </cell>
          <cell r="C224">
            <v>11101</v>
          </cell>
          <cell r="D224" t="str">
            <v>【期間限定】 黄の素材</v>
          </cell>
          <cell r="E224" t="str">
            <v>月曜クエスト</v>
          </cell>
          <cell r="F224">
            <v>2</v>
          </cell>
          <cell r="G224" t="str">
            <v>ja</v>
          </cell>
          <cell r="H224" t="str">
            <v xml:space="preserve">【中級】雷のウサギ </v>
          </cell>
          <cell r="I224" t="str">
            <v>中級</v>
          </cell>
          <cell r="J224">
            <v>114</v>
          </cell>
          <cell r="K224">
            <v>15</v>
          </cell>
          <cell r="L224">
            <v>525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101</v>
          </cell>
          <cell r="AD224">
            <v>6</v>
          </cell>
          <cell r="AE224" t="str">
            <v>everyone</v>
          </cell>
        </row>
        <row r="225">
          <cell r="A225" t="str">
            <v>11101_3</v>
          </cell>
          <cell r="B225">
            <v>0</v>
          </cell>
          <cell r="C225">
            <v>11101</v>
          </cell>
          <cell r="D225" t="str">
            <v>【期間限定】 黄の素材</v>
          </cell>
          <cell r="E225" t="str">
            <v>月曜クエスト</v>
          </cell>
          <cell r="F225">
            <v>3</v>
          </cell>
          <cell r="G225" t="str">
            <v>ja</v>
          </cell>
          <cell r="H225" t="str">
            <v>【上級】雷のイモムシ</v>
          </cell>
          <cell r="I225" t="str">
            <v>上級</v>
          </cell>
          <cell r="J225">
            <v>115</v>
          </cell>
          <cell r="K225">
            <v>20</v>
          </cell>
          <cell r="L225">
            <v>860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101</v>
          </cell>
          <cell r="AD225">
            <v>6</v>
          </cell>
          <cell r="AE225" t="str">
            <v>everyone</v>
          </cell>
        </row>
        <row r="226">
          <cell r="A226" t="str">
            <v>11101_4</v>
          </cell>
          <cell r="B226">
            <v>3</v>
          </cell>
          <cell r="C226">
            <v>11101</v>
          </cell>
          <cell r="D226" t="str">
            <v>【期間限定】 黄の素材</v>
          </cell>
          <cell r="E226" t="str">
            <v>月曜クエスト</v>
          </cell>
          <cell r="F226">
            <v>4</v>
          </cell>
          <cell r="G226" t="str">
            <v>ja</v>
          </cell>
          <cell r="H226" t="str">
            <v>【上級】雷のイモムシ</v>
          </cell>
          <cell r="I226" t="str">
            <v>上級</v>
          </cell>
          <cell r="J226">
            <v>115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101</v>
          </cell>
          <cell r="AD226">
            <v>6</v>
          </cell>
          <cell r="AE226" t="str">
            <v>everyone</v>
          </cell>
        </row>
        <row r="227">
          <cell r="A227" t="str">
            <v>11101_10</v>
          </cell>
          <cell r="B227">
            <v>3</v>
          </cell>
          <cell r="C227">
            <v>11101</v>
          </cell>
          <cell r="D227" t="str">
            <v>【期間限定】 黄の素材</v>
          </cell>
          <cell r="E227" t="str">
            <v>月曜クエスト</v>
          </cell>
          <cell r="F227">
            <v>10</v>
          </cell>
          <cell r="G227" t="str">
            <v>ja</v>
          </cell>
          <cell r="H227" t="str">
            <v>【超絶級】醒電の眠りネズミ</v>
          </cell>
          <cell r="I227" t="str">
            <v>超絶級（★6覚醒素材）</v>
          </cell>
          <cell r="J227">
            <v>359</v>
          </cell>
          <cell r="K227">
            <v>35</v>
          </cell>
          <cell r="L227">
            <v>2240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101</v>
          </cell>
          <cell r="AD227">
            <v>6</v>
          </cell>
          <cell r="AE227" t="str">
            <v>everyone</v>
          </cell>
        </row>
        <row r="228">
          <cell r="A228" t="str">
            <v>11102_1</v>
          </cell>
          <cell r="B228">
            <v>3</v>
          </cell>
          <cell r="C228">
            <v>11102</v>
          </cell>
          <cell r="D228" t="str">
            <v>【期間限定】 赤の素材</v>
          </cell>
          <cell r="E228" t="str">
            <v>火曜クエスト</v>
          </cell>
          <cell r="F228">
            <v>1</v>
          </cell>
          <cell r="G228" t="str">
            <v>ja</v>
          </cell>
          <cell r="H228" t="str">
            <v xml:space="preserve">【初級】火のチェシャ猫 </v>
          </cell>
          <cell r="I228" t="str">
            <v>初級</v>
          </cell>
          <cell r="J228">
            <v>101</v>
          </cell>
          <cell r="K228">
            <v>8</v>
          </cell>
          <cell r="L228">
            <v>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102</v>
          </cell>
          <cell r="AD228">
            <v>6</v>
          </cell>
          <cell r="AE228" t="str">
            <v>everyone</v>
          </cell>
        </row>
        <row r="229">
          <cell r="A229" t="str">
            <v>11102_2</v>
          </cell>
          <cell r="B229">
            <v>3</v>
          </cell>
          <cell r="C229">
            <v>11102</v>
          </cell>
          <cell r="D229" t="str">
            <v>【期間限定】 赤の素材</v>
          </cell>
          <cell r="E229" t="str">
            <v>火曜クエスト</v>
          </cell>
          <cell r="F229">
            <v>2</v>
          </cell>
          <cell r="G229" t="str">
            <v>ja</v>
          </cell>
          <cell r="H229" t="str">
            <v xml:space="preserve">【中級】火のウサギ </v>
          </cell>
          <cell r="I229" t="str">
            <v>中級</v>
          </cell>
          <cell r="J229">
            <v>102</v>
          </cell>
          <cell r="K229">
            <v>15</v>
          </cell>
          <cell r="L229">
            <v>525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102</v>
          </cell>
          <cell r="AD229">
            <v>6</v>
          </cell>
          <cell r="AE229" t="str">
            <v>everyone</v>
          </cell>
        </row>
        <row r="230">
          <cell r="A230" t="str">
            <v>11102_3</v>
          </cell>
          <cell r="B230">
            <v>0</v>
          </cell>
          <cell r="C230">
            <v>11102</v>
          </cell>
          <cell r="D230" t="str">
            <v>【期間限定】 赤の素材</v>
          </cell>
          <cell r="E230" t="str">
            <v>火曜クエスト</v>
          </cell>
          <cell r="F230">
            <v>3</v>
          </cell>
          <cell r="G230" t="str">
            <v>ja</v>
          </cell>
          <cell r="H230" t="str">
            <v xml:space="preserve">【上級】火のイモムシ </v>
          </cell>
          <cell r="I230" t="str">
            <v>上級</v>
          </cell>
          <cell r="J230">
            <v>103</v>
          </cell>
          <cell r="K230">
            <v>20</v>
          </cell>
          <cell r="L230">
            <v>860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102</v>
          </cell>
          <cell r="AD230">
            <v>6</v>
          </cell>
          <cell r="AE230" t="str">
            <v>everyone</v>
          </cell>
        </row>
        <row r="231">
          <cell r="A231" t="str">
            <v>11102_4</v>
          </cell>
          <cell r="B231">
            <v>3</v>
          </cell>
          <cell r="C231">
            <v>11102</v>
          </cell>
          <cell r="D231" t="str">
            <v>【期間限定】 赤の素材</v>
          </cell>
          <cell r="E231" t="str">
            <v>火曜クエスト</v>
          </cell>
          <cell r="F231">
            <v>4</v>
          </cell>
          <cell r="G231" t="str">
            <v>ja</v>
          </cell>
          <cell r="H231" t="str">
            <v xml:space="preserve">【上級】火のイモムシ </v>
          </cell>
          <cell r="I231" t="str">
            <v>上級</v>
          </cell>
          <cell r="J231">
            <v>103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102</v>
          </cell>
          <cell r="AD231">
            <v>6</v>
          </cell>
          <cell r="AE231" t="str">
            <v>everyone</v>
          </cell>
        </row>
        <row r="232">
          <cell r="A232" t="str">
            <v>11102_10</v>
          </cell>
          <cell r="B232">
            <v>3</v>
          </cell>
          <cell r="C232">
            <v>11102</v>
          </cell>
          <cell r="D232" t="str">
            <v>【期間限定】 赤の素材</v>
          </cell>
          <cell r="E232" t="str">
            <v>火曜クエスト</v>
          </cell>
          <cell r="F232">
            <v>10</v>
          </cell>
          <cell r="G232" t="str">
            <v>ja</v>
          </cell>
          <cell r="H232" t="str">
            <v>【超絶級】炎上のドードー</v>
          </cell>
          <cell r="I232" t="str">
            <v>超絶級（★6覚醒素材）</v>
          </cell>
          <cell r="J232">
            <v>356</v>
          </cell>
          <cell r="K232">
            <v>35</v>
          </cell>
          <cell r="L232">
            <v>2240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102</v>
          </cell>
          <cell r="AD232">
            <v>6</v>
          </cell>
          <cell r="AE232" t="str">
            <v>everyone</v>
          </cell>
        </row>
        <row r="233">
          <cell r="A233" t="str">
            <v>11103_1</v>
          </cell>
          <cell r="B233">
            <v>3</v>
          </cell>
          <cell r="C233">
            <v>11103</v>
          </cell>
          <cell r="D233" t="str">
            <v>【期間限定】 青の素材</v>
          </cell>
          <cell r="E233" t="str">
            <v>水曜クエスト</v>
          </cell>
          <cell r="F233">
            <v>1</v>
          </cell>
          <cell r="G233" t="str">
            <v>ja</v>
          </cell>
          <cell r="H233" t="str">
            <v>【初級】水のチェシャ猫</v>
          </cell>
          <cell r="I233" t="str">
            <v>初級</v>
          </cell>
          <cell r="J233">
            <v>109</v>
          </cell>
          <cell r="K233">
            <v>8</v>
          </cell>
          <cell r="L233">
            <v>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everyone</v>
          </cell>
        </row>
        <row r="234">
          <cell r="A234" t="str">
            <v>11103_2</v>
          </cell>
          <cell r="B234">
            <v>3</v>
          </cell>
          <cell r="C234">
            <v>11103</v>
          </cell>
          <cell r="D234" t="str">
            <v>【期間限定】 青の素材</v>
          </cell>
          <cell r="E234" t="str">
            <v>水曜クエスト</v>
          </cell>
          <cell r="F234">
            <v>2</v>
          </cell>
          <cell r="G234" t="str">
            <v>ja</v>
          </cell>
          <cell r="H234" t="str">
            <v xml:space="preserve">【中級】水のウサギ </v>
          </cell>
          <cell r="I234" t="str">
            <v>中級</v>
          </cell>
          <cell r="J234">
            <v>110</v>
          </cell>
          <cell r="K234">
            <v>15</v>
          </cell>
          <cell r="L234">
            <v>525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103</v>
          </cell>
          <cell r="AD234">
            <v>6</v>
          </cell>
          <cell r="AE234" t="str">
            <v>everyone</v>
          </cell>
        </row>
        <row r="235">
          <cell r="A235" t="str">
            <v>11103_3</v>
          </cell>
          <cell r="B235">
            <v>0</v>
          </cell>
          <cell r="C235">
            <v>11103</v>
          </cell>
          <cell r="D235" t="str">
            <v>【期間限定】 青の素材</v>
          </cell>
          <cell r="E235" t="str">
            <v>水曜クエスト</v>
          </cell>
          <cell r="F235">
            <v>3</v>
          </cell>
          <cell r="G235" t="str">
            <v>ja</v>
          </cell>
          <cell r="H235" t="str">
            <v xml:space="preserve">【上級】水のイモムシ </v>
          </cell>
          <cell r="I235" t="str">
            <v>上級</v>
          </cell>
          <cell r="J235">
            <v>111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103</v>
          </cell>
          <cell r="AD235">
            <v>6</v>
          </cell>
          <cell r="AE235" t="str">
            <v>everyone</v>
          </cell>
        </row>
        <row r="236">
          <cell r="A236" t="str">
            <v>11103_4</v>
          </cell>
          <cell r="B236">
            <v>3</v>
          </cell>
          <cell r="C236">
            <v>11103</v>
          </cell>
          <cell r="D236" t="str">
            <v>【期間限定】 青の素材</v>
          </cell>
          <cell r="E236" t="str">
            <v>水曜クエスト</v>
          </cell>
          <cell r="F236">
            <v>4</v>
          </cell>
          <cell r="G236" t="str">
            <v>ja</v>
          </cell>
          <cell r="H236" t="str">
            <v xml:space="preserve">【上級】水のイモムシ </v>
          </cell>
          <cell r="I236" t="str">
            <v>上級</v>
          </cell>
          <cell r="J236">
            <v>111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103</v>
          </cell>
          <cell r="AD236">
            <v>6</v>
          </cell>
          <cell r="AE236" t="str">
            <v>everyone</v>
          </cell>
        </row>
        <row r="237">
          <cell r="A237" t="str">
            <v>11103_10</v>
          </cell>
          <cell r="B237">
            <v>3</v>
          </cell>
          <cell r="C237">
            <v>11103</v>
          </cell>
          <cell r="D237" t="str">
            <v>【期間限定】 青の素材</v>
          </cell>
          <cell r="E237" t="str">
            <v>水曜クエスト</v>
          </cell>
          <cell r="F237">
            <v>10</v>
          </cell>
          <cell r="G237" t="str">
            <v>ja</v>
          </cell>
          <cell r="H237" t="str">
            <v>【超絶級】深淵の代用ウミガメ</v>
          </cell>
          <cell r="I237" t="str">
            <v>超絶級（★6覚醒素材）</v>
          </cell>
          <cell r="J237">
            <v>358</v>
          </cell>
          <cell r="K237">
            <v>35</v>
          </cell>
          <cell r="L237">
            <v>2240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103</v>
          </cell>
          <cell r="AD237">
            <v>6</v>
          </cell>
          <cell r="AE237" t="str">
            <v>everyone</v>
          </cell>
        </row>
        <row r="238">
          <cell r="A238" t="str">
            <v>11104_1</v>
          </cell>
          <cell r="B238">
            <v>3</v>
          </cell>
          <cell r="C238">
            <v>11104</v>
          </cell>
          <cell r="D238" t="str">
            <v>【期間限定】 緑の素材</v>
          </cell>
          <cell r="E238" t="str">
            <v>木曜クエスト</v>
          </cell>
          <cell r="F238">
            <v>1</v>
          </cell>
          <cell r="G238" t="str">
            <v>ja</v>
          </cell>
          <cell r="H238" t="str">
            <v xml:space="preserve">【初級】樹のチェシャ猫 </v>
          </cell>
          <cell r="I238" t="str">
            <v>初級</v>
          </cell>
          <cell r="J238">
            <v>105</v>
          </cell>
          <cell r="K238">
            <v>8</v>
          </cell>
          <cell r="L238">
            <v>240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104</v>
          </cell>
          <cell r="AD238">
            <v>6</v>
          </cell>
          <cell r="AE238" t="str">
            <v>everyone</v>
          </cell>
        </row>
        <row r="239">
          <cell r="A239" t="str">
            <v>11104_2</v>
          </cell>
          <cell r="B239">
            <v>3</v>
          </cell>
          <cell r="C239">
            <v>11104</v>
          </cell>
          <cell r="D239" t="str">
            <v>【期間限定】 緑の素材</v>
          </cell>
          <cell r="E239" t="str">
            <v>木曜クエスト</v>
          </cell>
          <cell r="F239">
            <v>2</v>
          </cell>
          <cell r="G239" t="str">
            <v>ja</v>
          </cell>
          <cell r="H239" t="str">
            <v xml:space="preserve">【中級】樹のウサギ </v>
          </cell>
          <cell r="I239" t="str">
            <v>中級</v>
          </cell>
          <cell r="J239">
            <v>106</v>
          </cell>
          <cell r="K239">
            <v>15</v>
          </cell>
          <cell r="L239">
            <v>525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104</v>
          </cell>
          <cell r="AD239">
            <v>6</v>
          </cell>
          <cell r="AE239" t="str">
            <v>everyone</v>
          </cell>
        </row>
        <row r="240">
          <cell r="A240" t="str">
            <v>11104_3</v>
          </cell>
          <cell r="B240">
            <v>0</v>
          </cell>
          <cell r="C240">
            <v>11104</v>
          </cell>
          <cell r="D240" t="str">
            <v>【期間限定】 緑の素材</v>
          </cell>
          <cell r="E240" t="str">
            <v>木曜クエスト</v>
          </cell>
          <cell r="F240">
            <v>3</v>
          </cell>
          <cell r="G240" t="str">
            <v>ja</v>
          </cell>
          <cell r="H240" t="str">
            <v>【上級】樹のイモムシ</v>
          </cell>
          <cell r="I240" t="str">
            <v>上級</v>
          </cell>
          <cell r="J240">
            <v>107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104</v>
          </cell>
          <cell r="AD240">
            <v>6</v>
          </cell>
          <cell r="AE240" t="str">
            <v>everyone</v>
          </cell>
        </row>
        <row r="241">
          <cell r="A241" t="str">
            <v>11104_4</v>
          </cell>
          <cell r="B241">
            <v>3</v>
          </cell>
          <cell r="C241">
            <v>11104</v>
          </cell>
          <cell r="D241" t="str">
            <v>【期間限定】 緑の素材</v>
          </cell>
          <cell r="E241" t="str">
            <v>木曜クエスト</v>
          </cell>
          <cell r="F241">
            <v>4</v>
          </cell>
          <cell r="G241" t="str">
            <v>ja</v>
          </cell>
          <cell r="H241" t="str">
            <v>【上級】樹のイモムシ</v>
          </cell>
          <cell r="I241" t="str">
            <v>上級</v>
          </cell>
          <cell r="J241">
            <v>107</v>
          </cell>
          <cell r="K241">
            <v>20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104</v>
          </cell>
          <cell r="AD241">
            <v>6</v>
          </cell>
          <cell r="AE241" t="str">
            <v>everyone</v>
          </cell>
        </row>
        <row r="242">
          <cell r="A242" t="str">
            <v>11104_10</v>
          </cell>
          <cell r="B242">
            <v>3</v>
          </cell>
          <cell r="C242">
            <v>11104</v>
          </cell>
          <cell r="D242" t="str">
            <v>【期間限定】 緑の素材</v>
          </cell>
          <cell r="E242" t="str">
            <v>木曜クエスト</v>
          </cell>
          <cell r="F242">
            <v>10</v>
          </cell>
          <cell r="G242" t="str">
            <v>ja</v>
          </cell>
          <cell r="H242" t="str">
            <v>【超絶級】千風のグリフォン</v>
          </cell>
          <cell r="I242" t="str">
            <v>超絶級（★6覚醒素材）</v>
          </cell>
          <cell r="J242">
            <v>357</v>
          </cell>
          <cell r="K242">
            <v>35</v>
          </cell>
          <cell r="L242">
            <v>2240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104</v>
          </cell>
          <cell r="AD242">
            <v>6</v>
          </cell>
          <cell r="AE242" t="str">
            <v>everyone</v>
          </cell>
        </row>
        <row r="243">
          <cell r="A243" t="str">
            <v>11105_1</v>
          </cell>
          <cell r="B243">
            <v>3</v>
          </cell>
          <cell r="C243">
            <v>11105</v>
          </cell>
          <cell r="D243" t="str">
            <v>【期間限定】 帽子屋を追え！</v>
          </cell>
          <cell r="E243" t="str">
            <v>金曜クエスト</v>
          </cell>
          <cell r="F243">
            <v>1</v>
          </cell>
          <cell r="G243" t="str">
            <v>ja</v>
          </cell>
          <cell r="H243" t="str">
            <v xml:space="preserve">【超級】火の帽子屋 </v>
          </cell>
          <cell r="I243" t="str">
            <v>赤R5</v>
          </cell>
          <cell r="J243">
            <v>104</v>
          </cell>
          <cell r="K243">
            <v>30</v>
          </cell>
          <cell r="L243">
            <v>1400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everyone</v>
          </cell>
        </row>
        <row r="244">
          <cell r="A244" t="str">
            <v>11105_2</v>
          </cell>
          <cell r="B244">
            <v>3</v>
          </cell>
          <cell r="C244">
            <v>11105</v>
          </cell>
          <cell r="D244" t="str">
            <v>【期間限定】 帽子屋を追え！</v>
          </cell>
          <cell r="E244" t="str">
            <v>金曜クエスト</v>
          </cell>
          <cell r="F244">
            <v>2</v>
          </cell>
          <cell r="G244" t="str">
            <v>ja</v>
          </cell>
          <cell r="H244" t="str">
            <v>【超級】樹の帽子屋</v>
          </cell>
          <cell r="I244" t="str">
            <v>緑R5</v>
          </cell>
          <cell r="J244">
            <v>108</v>
          </cell>
          <cell r="K244">
            <v>30</v>
          </cell>
          <cell r="L244">
            <v>1400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104</v>
          </cell>
          <cell r="AD244">
            <v>6</v>
          </cell>
          <cell r="AE244" t="str">
            <v>everyone</v>
          </cell>
        </row>
        <row r="245">
          <cell r="A245" t="str">
            <v>11105_3</v>
          </cell>
          <cell r="B245">
            <v>3</v>
          </cell>
          <cell r="C245">
            <v>11105</v>
          </cell>
          <cell r="D245" t="str">
            <v>【期間限定】 帽子屋を追え！</v>
          </cell>
          <cell r="E245" t="str">
            <v>金曜クエスト</v>
          </cell>
          <cell r="F245">
            <v>3</v>
          </cell>
          <cell r="G245" t="str">
            <v>ja</v>
          </cell>
          <cell r="H245" t="str">
            <v xml:space="preserve">【超級】水の帽子屋 </v>
          </cell>
          <cell r="I245" t="str">
            <v>青R5</v>
          </cell>
          <cell r="J245">
            <v>112</v>
          </cell>
          <cell r="K245">
            <v>30</v>
          </cell>
          <cell r="L245">
            <v>1400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103</v>
          </cell>
          <cell r="AD245">
            <v>6</v>
          </cell>
          <cell r="AE245" t="str">
            <v>everyone</v>
          </cell>
        </row>
        <row r="246">
          <cell r="A246" t="str">
            <v>11105_4</v>
          </cell>
          <cell r="B246">
            <v>3</v>
          </cell>
          <cell r="C246">
            <v>11105</v>
          </cell>
          <cell r="D246" t="str">
            <v>【期間限定】 帽子屋を追え！</v>
          </cell>
          <cell r="E246" t="str">
            <v>金曜クエスト</v>
          </cell>
          <cell r="F246">
            <v>4</v>
          </cell>
          <cell r="G246" t="str">
            <v>ja</v>
          </cell>
          <cell r="H246" t="str">
            <v xml:space="preserve">【超級】雷の帽子屋 </v>
          </cell>
          <cell r="I246" t="str">
            <v>黄R5</v>
          </cell>
          <cell r="J246">
            <v>116</v>
          </cell>
          <cell r="K246">
            <v>30</v>
          </cell>
          <cell r="L246">
            <v>1400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101</v>
          </cell>
          <cell r="AD246">
            <v>6</v>
          </cell>
          <cell r="AE246" t="str">
            <v>everyone</v>
          </cell>
        </row>
        <row r="247">
          <cell r="A247" t="str">
            <v>11106_1</v>
          </cell>
          <cell r="B247">
            <v>0</v>
          </cell>
          <cell r="C247">
            <v>11106</v>
          </cell>
          <cell r="D247" t="str">
            <v>【キャンペーン限定】 ゴールドカジノ</v>
          </cell>
          <cell r="E247" t="str">
            <v>土日クエスト1</v>
          </cell>
          <cell r="F247">
            <v>1</v>
          </cell>
          <cell r="G247" t="str">
            <v>ja</v>
          </cell>
          <cell r="H247" t="str">
            <v xml:space="preserve">【初級】ゴールドカジノ </v>
          </cell>
          <cell r="I247" t="str">
            <v>初級</v>
          </cell>
          <cell r="J247">
            <v>117</v>
          </cell>
          <cell r="K247">
            <v>8</v>
          </cell>
          <cell r="L247">
            <v>140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105</v>
          </cell>
          <cell r="AD247">
            <v>6</v>
          </cell>
          <cell r="AE247" t="str">
            <v>everyone</v>
          </cell>
        </row>
        <row r="248">
          <cell r="A248" t="str">
            <v>11106_2</v>
          </cell>
          <cell r="B248">
            <v>0</v>
          </cell>
          <cell r="C248">
            <v>11106</v>
          </cell>
          <cell r="D248" t="str">
            <v>【キャンペーン限定】 ゴールドカジノ</v>
          </cell>
          <cell r="E248" t="str">
            <v>土日クエスト1</v>
          </cell>
          <cell r="F248">
            <v>2</v>
          </cell>
          <cell r="G248" t="str">
            <v>ja</v>
          </cell>
          <cell r="H248" t="str">
            <v xml:space="preserve">【中級】ゴールドカジノ </v>
          </cell>
          <cell r="I248" t="str">
            <v>中級</v>
          </cell>
          <cell r="J248">
            <v>118</v>
          </cell>
          <cell r="K248">
            <v>15</v>
          </cell>
          <cell r="L248">
            <v>350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105</v>
          </cell>
          <cell r="AD248">
            <v>6</v>
          </cell>
          <cell r="AE248" t="str">
            <v>everyone</v>
          </cell>
        </row>
        <row r="249">
          <cell r="A249" t="str">
            <v>11106_3</v>
          </cell>
          <cell r="B249">
            <v>0</v>
          </cell>
          <cell r="C249">
            <v>11106</v>
          </cell>
          <cell r="D249" t="str">
            <v>【キャンペーン限定】 ゴールドカジノ</v>
          </cell>
          <cell r="E249" t="str">
            <v>土日クエスト1</v>
          </cell>
          <cell r="F249">
            <v>3</v>
          </cell>
          <cell r="G249" t="str">
            <v>ja</v>
          </cell>
          <cell r="H249" t="str">
            <v xml:space="preserve">【上級】ゴールドカジノ </v>
          </cell>
          <cell r="I249" t="str">
            <v>上級</v>
          </cell>
          <cell r="J249">
            <v>119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105</v>
          </cell>
          <cell r="AD249">
            <v>6</v>
          </cell>
          <cell r="AE249" t="str">
            <v>everyone</v>
          </cell>
        </row>
        <row r="250">
          <cell r="A250" t="str">
            <v>11206_1</v>
          </cell>
          <cell r="B250">
            <v>0</v>
          </cell>
          <cell r="C250">
            <v>11206</v>
          </cell>
          <cell r="D250" t="str">
            <v>【キャンペーン限定】 ゴールドカジノ</v>
          </cell>
          <cell r="E250" t="str">
            <v>土日クエスト2</v>
          </cell>
          <cell r="F250">
            <v>1</v>
          </cell>
          <cell r="G250" t="str">
            <v>ja</v>
          </cell>
          <cell r="H250" t="str">
            <v>【初級】ゴールドカジノ</v>
          </cell>
          <cell r="I250" t="str">
            <v>初級</v>
          </cell>
          <cell r="J250">
            <v>117</v>
          </cell>
          <cell r="K250">
            <v>8</v>
          </cell>
          <cell r="L250">
            <v>140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105</v>
          </cell>
          <cell r="AD250">
            <v>6</v>
          </cell>
          <cell r="AE250" t="str">
            <v>everyone</v>
          </cell>
        </row>
        <row r="251">
          <cell r="A251" t="str">
            <v>11206_2</v>
          </cell>
          <cell r="B251">
            <v>0</v>
          </cell>
          <cell r="C251">
            <v>11206</v>
          </cell>
          <cell r="D251" t="str">
            <v>【キャンペーン限定】 ゴールドカジノ</v>
          </cell>
          <cell r="E251" t="str">
            <v>土日クエスト2</v>
          </cell>
          <cell r="F251">
            <v>2</v>
          </cell>
          <cell r="G251" t="str">
            <v>ja</v>
          </cell>
          <cell r="H251" t="str">
            <v xml:space="preserve">【中級】ゴールドカジノ </v>
          </cell>
          <cell r="I251" t="str">
            <v>中級</v>
          </cell>
          <cell r="J251">
            <v>118</v>
          </cell>
          <cell r="K251">
            <v>15</v>
          </cell>
          <cell r="L251">
            <v>350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105</v>
          </cell>
          <cell r="AD251">
            <v>6</v>
          </cell>
          <cell r="AE251" t="str">
            <v>everyone</v>
          </cell>
        </row>
        <row r="252">
          <cell r="A252" t="str">
            <v>11206_3</v>
          </cell>
          <cell r="B252">
            <v>0</v>
          </cell>
          <cell r="C252">
            <v>11206</v>
          </cell>
          <cell r="D252" t="str">
            <v>【キャンペーン限定】 ゴールドカジノ</v>
          </cell>
          <cell r="E252" t="str">
            <v>土日クエスト2</v>
          </cell>
          <cell r="F252">
            <v>3</v>
          </cell>
          <cell r="G252" t="str">
            <v>ja</v>
          </cell>
          <cell r="H252" t="str">
            <v xml:space="preserve">【上級】ゴールドカジノ </v>
          </cell>
          <cell r="I252" t="str">
            <v>上級</v>
          </cell>
          <cell r="J252">
            <v>119</v>
          </cell>
          <cell r="K252">
            <v>20</v>
          </cell>
          <cell r="L252">
            <v>860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105</v>
          </cell>
          <cell r="AD252">
            <v>6</v>
          </cell>
          <cell r="AE252" t="str">
            <v>everyone</v>
          </cell>
        </row>
        <row r="253">
          <cell r="A253" t="str">
            <v>11016_1</v>
          </cell>
          <cell r="B253">
            <v>3</v>
          </cell>
          <cell r="C253">
            <v>11016</v>
          </cell>
          <cell r="D253" t="str">
            <v>【マルチ専用1/2】 ゴールドカジノ</v>
          </cell>
          <cell r="E253" t="str">
            <v>土日クエスト1</v>
          </cell>
          <cell r="F253">
            <v>1</v>
          </cell>
          <cell r="G253" t="str">
            <v>ja</v>
          </cell>
          <cell r="H253" t="str">
            <v xml:space="preserve">【上級】ゴールドカジノ </v>
          </cell>
          <cell r="I253" t="str">
            <v>上級</v>
          </cell>
          <cell r="J253">
            <v>119</v>
          </cell>
          <cell r="K253">
            <v>10</v>
          </cell>
          <cell r="L253">
            <v>860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0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multionly</v>
          </cell>
        </row>
        <row r="254">
          <cell r="A254" t="str">
            <v>11207_1</v>
          </cell>
          <cell r="B254">
            <v>3</v>
          </cell>
          <cell r="C254">
            <v>11207</v>
          </cell>
          <cell r="D254" t="str">
            <v>果実達の大宴会</v>
          </cell>
          <cell r="E254">
            <v>0</v>
          </cell>
          <cell r="F254">
            <v>1</v>
          </cell>
          <cell r="G254" t="str">
            <v>ja</v>
          </cell>
          <cell r="H254" t="str">
            <v>【上級】果実達の大宴会</v>
          </cell>
          <cell r="I254" t="str">
            <v>ボーナス</v>
          </cell>
          <cell r="J254" t="str">
            <v>NULL</v>
          </cell>
          <cell r="K254">
            <v>20</v>
          </cell>
          <cell r="L254">
            <v>525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0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21</v>
          </cell>
          <cell r="AD254">
            <v>6</v>
          </cell>
          <cell r="AE254" t="str">
            <v>singleonly</v>
          </cell>
        </row>
        <row r="255">
          <cell r="A255" t="str">
            <v>11207_2</v>
          </cell>
          <cell r="B255">
            <v>3</v>
          </cell>
          <cell r="C255">
            <v>11207</v>
          </cell>
          <cell r="D255" t="str">
            <v>果実達の大宴会</v>
          </cell>
          <cell r="E255">
            <v>0</v>
          </cell>
          <cell r="F255">
            <v>2</v>
          </cell>
          <cell r="G255" t="str">
            <v>ja</v>
          </cell>
          <cell r="H255" t="str">
            <v>【超級】果実達の大宴会</v>
          </cell>
          <cell r="I255" t="str">
            <v>ボーナス</v>
          </cell>
          <cell r="J255">
            <v>125</v>
          </cell>
          <cell r="K255">
            <v>40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0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21</v>
          </cell>
          <cell r="AD255">
            <v>6</v>
          </cell>
          <cell r="AE255" t="str">
            <v>singleonly</v>
          </cell>
        </row>
        <row r="256">
          <cell r="A256" t="str">
            <v>11208_1</v>
          </cell>
          <cell r="B256">
            <v>0</v>
          </cell>
          <cell r="C256">
            <v>11208</v>
          </cell>
          <cell r="D256" t="str">
            <v>果実達の大宴会</v>
          </cell>
          <cell r="E256">
            <v>0</v>
          </cell>
          <cell r="F256">
            <v>1</v>
          </cell>
          <cell r="G256" t="str">
            <v>ja</v>
          </cell>
          <cell r="H256" t="str">
            <v>【上級】果実達の大宴会</v>
          </cell>
          <cell r="I256" t="str">
            <v>ボーナス</v>
          </cell>
          <cell r="J256" t="str">
            <v>NULL</v>
          </cell>
          <cell r="K256">
            <v>20</v>
          </cell>
          <cell r="L256">
            <v>525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21</v>
          </cell>
          <cell r="AD256">
            <v>6</v>
          </cell>
          <cell r="AE256" t="str">
            <v>singleonly</v>
          </cell>
        </row>
        <row r="257">
          <cell r="A257" t="str">
            <v>11208_2</v>
          </cell>
          <cell r="B257">
            <v>0</v>
          </cell>
          <cell r="C257">
            <v>11208</v>
          </cell>
          <cell r="D257" t="str">
            <v>果実達の大宴会</v>
          </cell>
          <cell r="E257">
            <v>0</v>
          </cell>
          <cell r="F257">
            <v>2</v>
          </cell>
          <cell r="G257" t="str">
            <v>ja</v>
          </cell>
          <cell r="H257" t="str">
            <v>【超級】果実達の大宴会</v>
          </cell>
          <cell r="I257" t="str">
            <v>ボーナス</v>
          </cell>
          <cell r="J257">
            <v>125</v>
          </cell>
          <cell r="K257">
            <v>40</v>
          </cell>
          <cell r="L257">
            <v>860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21</v>
          </cell>
          <cell r="AD257">
            <v>6</v>
          </cell>
          <cell r="AE257" t="str">
            <v>singleonly</v>
          </cell>
        </row>
        <row r="258">
          <cell r="A258" t="str">
            <v>11209_1</v>
          </cell>
          <cell r="B258">
            <v>3</v>
          </cell>
          <cell r="C258">
            <v>11209</v>
          </cell>
          <cell r="D258" t="str">
            <v>スタートダッシュキャンペーンクエスト</v>
          </cell>
          <cell r="E258" t="str">
            <v>スタートダッシュキャンペーンクエスト</v>
          </cell>
          <cell r="F258">
            <v>1</v>
          </cell>
          <cell r="G258" t="str">
            <v>ja</v>
          </cell>
          <cell r="H258" t="str">
            <v>【初級】メタルダックを捕獲せよ！</v>
          </cell>
          <cell r="I258" t="str">
            <v>経験値ゲリラ</v>
          </cell>
          <cell r="J258">
            <v>334</v>
          </cell>
          <cell r="K258">
            <v>8</v>
          </cell>
          <cell r="L258">
            <v>140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0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201</v>
          </cell>
          <cell r="AD258">
            <v>6</v>
          </cell>
          <cell r="AE258" t="str">
            <v>everyone</v>
          </cell>
        </row>
        <row r="259">
          <cell r="A259" t="str">
            <v>11209_2</v>
          </cell>
          <cell r="B259">
            <v>3</v>
          </cell>
          <cell r="C259">
            <v>11209</v>
          </cell>
          <cell r="D259" t="str">
            <v>スタートダッシュキャンペーンクエスト</v>
          </cell>
          <cell r="E259" t="str">
            <v>スタートダッシュキャンペーンクエスト</v>
          </cell>
          <cell r="F259">
            <v>2</v>
          </cell>
          <cell r="G259" t="str">
            <v>ja</v>
          </cell>
          <cell r="H259" t="str">
            <v>【初級】ゴールドカジノ</v>
          </cell>
          <cell r="I259" t="str">
            <v>初級</v>
          </cell>
          <cell r="J259">
            <v>117</v>
          </cell>
          <cell r="K259">
            <v>8</v>
          </cell>
          <cell r="L259">
            <v>140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0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105</v>
          </cell>
          <cell r="AD259">
            <v>6</v>
          </cell>
          <cell r="AE259" t="str">
            <v>everyone</v>
          </cell>
        </row>
        <row r="260">
          <cell r="A260" t="str">
            <v>11212_1</v>
          </cell>
          <cell r="B260">
            <v>0</v>
          </cell>
          <cell r="C260">
            <v>11212</v>
          </cell>
          <cell r="D260" t="str">
            <v>100万DL記念★特別クエスト</v>
          </cell>
          <cell r="E260" t="str">
            <v>100万DL記念★特別クエスト</v>
          </cell>
          <cell r="F260">
            <v>1</v>
          </cell>
          <cell r="G260" t="str">
            <v>ja</v>
          </cell>
          <cell r="H260" t="str">
            <v>ミリオンダックより愛をこめて</v>
          </cell>
          <cell r="I260" t="str">
            <v>100万DL記念限定クエスト</v>
          </cell>
          <cell r="J260">
            <v>97</v>
          </cell>
          <cell r="K260">
            <v>1</v>
          </cell>
          <cell r="L260">
            <v>100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once</v>
          </cell>
          <cell r="AC260">
            <v>1</v>
          </cell>
          <cell r="AD260">
            <v>6</v>
          </cell>
          <cell r="AE260" t="str">
            <v>singleonly</v>
          </cell>
        </row>
        <row r="261">
          <cell r="A261" t="str">
            <v>11213_1</v>
          </cell>
          <cell r="B261">
            <v>0</v>
          </cell>
          <cell r="C261">
            <v>11213</v>
          </cell>
          <cell r="D261" t="str">
            <v>クエスト名</v>
          </cell>
          <cell r="E261" t="str">
            <v>【超級】カジノ</v>
          </cell>
          <cell r="F261">
            <v>1</v>
          </cell>
          <cell r="G261" t="str">
            <v>ja</v>
          </cell>
          <cell r="H261" t="str">
            <v xml:space="preserve">【超級】ゴールドカジノ </v>
          </cell>
          <cell r="I261" t="str">
            <v>超級カジノ</v>
          </cell>
          <cell r="J261">
            <v>119</v>
          </cell>
          <cell r="K261">
            <v>30</v>
          </cell>
          <cell r="L261">
            <v>777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11214_1</v>
          </cell>
          <cell r="B262">
            <v>0</v>
          </cell>
          <cell r="C262">
            <v>11214</v>
          </cell>
          <cell r="D262" t="str">
            <v>プロメテウスの恋</v>
          </cell>
          <cell r="E262" t="str">
            <v>2015年クリスマスクエスト</v>
          </cell>
          <cell r="F262">
            <v>1</v>
          </cell>
          <cell r="G262" t="str">
            <v>ja</v>
          </cell>
          <cell r="H262" t="str">
            <v>【ストーリー前編】勢いまかせ</v>
          </cell>
          <cell r="I262" t="str">
            <v>2015年クリスマスクエスト</v>
          </cell>
          <cell r="J262">
            <v>202</v>
          </cell>
          <cell r="K262">
            <v>1</v>
          </cell>
          <cell r="L262">
            <v>1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character</v>
          </cell>
          <cell r="T262" t="str">
            <v>520,521,522,523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</v>
          </cell>
          <cell r="AD262">
            <v>6</v>
          </cell>
          <cell r="AE262" t="str">
            <v>singleonly</v>
          </cell>
        </row>
        <row r="263">
          <cell r="A263" t="str">
            <v>11214_2</v>
          </cell>
          <cell r="B263">
            <v>0</v>
          </cell>
          <cell r="C263">
            <v>11214</v>
          </cell>
          <cell r="D263" t="str">
            <v>プロメテウスの恋</v>
          </cell>
          <cell r="E263" t="str">
            <v>2015年クリスマスクエスト</v>
          </cell>
          <cell r="F263">
            <v>2</v>
          </cell>
          <cell r="G263" t="str">
            <v>ja</v>
          </cell>
          <cell r="H263" t="str">
            <v>【ストーリー中編】恋の奥義</v>
          </cell>
          <cell r="I263" t="str">
            <v>2015年クリスマスクエスト</v>
          </cell>
          <cell r="J263">
            <v>202</v>
          </cell>
          <cell r="K263">
            <v>1</v>
          </cell>
          <cell r="L263">
            <v>1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>
            <v>11214</v>
          </cell>
          <cell r="V263">
            <v>1</v>
          </cell>
          <cell r="W263" t="str">
            <v>【ストーリー前編】勢いまかせ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singleonly</v>
          </cell>
        </row>
        <row r="264">
          <cell r="A264" t="str">
            <v>11214_3</v>
          </cell>
          <cell r="B264">
            <v>0</v>
          </cell>
          <cell r="C264">
            <v>11214</v>
          </cell>
          <cell r="D264" t="str">
            <v>プロメテウスの恋</v>
          </cell>
          <cell r="E264" t="str">
            <v>2015年クリスマスクエスト</v>
          </cell>
          <cell r="F264">
            <v>3</v>
          </cell>
          <cell r="G264" t="str">
            <v>ja</v>
          </cell>
          <cell r="H264" t="str">
            <v>【ストーリー後編】フィーバーの力</v>
          </cell>
          <cell r="I264" t="str">
            <v>2015年クリスマスクエスト</v>
          </cell>
          <cell r="J264">
            <v>202</v>
          </cell>
          <cell r="K264">
            <v>1</v>
          </cell>
          <cell r="L264">
            <v>2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character</v>
          </cell>
          <cell r="T264" t="str">
            <v>520,521,522,523</v>
          </cell>
          <cell r="U264">
            <v>11214</v>
          </cell>
          <cell r="V264">
            <v>1</v>
          </cell>
          <cell r="W264" t="str">
            <v>【ストーリー前編】勢いまかせ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singleonly</v>
          </cell>
        </row>
        <row r="265">
          <cell r="A265" t="str">
            <v>11215_1</v>
          </cell>
          <cell r="B265">
            <v>0</v>
          </cell>
          <cell r="C265">
            <v>11215</v>
          </cell>
          <cell r="D265" t="str">
            <v>【マルチ】サンタダックを捕獲せよ！</v>
          </cell>
          <cell r="E265" t="str">
            <v>2015年クリスマスゲリラクエスト</v>
          </cell>
          <cell r="F265">
            <v>1</v>
          </cell>
          <cell r="G265" t="str">
            <v>ja</v>
          </cell>
          <cell r="H265" t="str">
            <v>【上級】サンタダックを捕獲せよ！</v>
          </cell>
          <cell r="I265" t="str">
            <v>2015年クリスマスゲリラクエスト</v>
          </cell>
          <cell r="J265">
            <v>520</v>
          </cell>
          <cell r="K265">
            <v>10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multionly</v>
          </cell>
        </row>
        <row r="266">
          <cell r="A266" t="str">
            <v>11216_1</v>
          </cell>
          <cell r="B266">
            <v>0</v>
          </cell>
          <cell r="C266">
            <v>11216</v>
          </cell>
          <cell r="D266" t="str">
            <v>年越し★特別クエスト</v>
          </cell>
          <cell r="E266" t="str">
            <v>2015年年越しクエスト</v>
          </cell>
          <cell r="F266">
            <v>1</v>
          </cell>
          <cell r="G266" t="str">
            <v>ja</v>
          </cell>
          <cell r="H266" t="str">
            <v>【上級】年を越える宴（ハートなし）</v>
          </cell>
          <cell r="I266" t="str">
            <v>2015年年忘れクエスト</v>
          </cell>
          <cell r="J266">
            <v>377</v>
          </cell>
          <cell r="K266">
            <v>10</v>
          </cell>
          <cell r="L266">
            <v>350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0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901</v>
          </cell>
          <cell r="AD266">
            <v>6</v>
          </cell>
          <cell r="AE266" t="str">
            <v>multionly</v>
          </cell>
        </row>
        <row r="267">
          <cell r="A267" t="str">
            <v>11217_1</v>
          </cell>
          <cell r="B267">
            <v>0</v>
          </cell>
          <cell r="C267">
            <v>11217</v>
          </cell>
          <cell r="D267" t="str">
            <v>年明け★特別クエスト</v>
          </cell>
          <cell r="E267" t="str">
            <v>2016年あけおめクエスト</v>
          </cell>
          <cell r="F267">
            <v>1</v>
          </cell>
          <cell r="G267" t="str">
            <v>ja</v>
          </cell>
          <cell r="H267" t="str">
            <v>あけおめダックのお年玉</v>
          </cell>
          <cell r="I267" t="str">
            <v>2016年あけおめクエスト</v>
          </cell>
          <cell r="J267">
            <v>524</v>
          </cell>
          <cell r="K267">
            <v>1</v>
          </cell>
          <cell r="L267">
            <v>2016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polygon</v>
          </cell>
          <cell r="T267">
            <v>1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once</v>
          </cell>
          <cell r="AC267">
            <v>2</v>
          </cell>
          <cell r="AD267">
            <v>6</v>
          </cell>
          <cell r="AE267" t="str">
            <v>singleonly</v>
          </cell>
        </row>
        <row r="268">
          <cell r="A268" t="str">
            <v>11218_1</v>
          </cell>
          <cell r="B268">
            <v>3</v>
          </cell>
          <cell r="C268">
            <v>11218</v>
          </cell>
          <cell r="D268" t="str">
            <v>バレンタイン★特別クエスト</v>
          </cell>
          <cell r="E268" t="str">
            <v>2016年バレンタインクエスト</v>
          </cell>
          <cell r="F268">
            <v>1</v>
          </cell>
          <cell r="G268" t="str">
            <v>ja</v>
          </cell>
          <cell r="H268" t="str">
            <v>【ストーリー】バレンタイン狂想曲</v>
          </cell>
          <cell r="I268" t="str">
            <v>ストーリー</v>
          </cell>
          <cell r="J268">
            <v>572</v>
          </cell>
          <cell r="K268">
            <v>1</v>
          </cell>
          <cell r="L268">
            <v>214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polygon</v>
          </cell>
          <cell r="T268">
            <v>1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once</v>
          </cell>
          <cell r="AC268">
            <v>1</v>
          </cell>
          <cell r="AD268">
            <v>6</v>
          </cell>
          <cell r="AE268" t="str">
            <v>singleonly</v>
          </cell>
        </row>
        <row r="269">
          <cell r="A269" t="str">
            <v>11219_1</v>
          </cell>
          <cell r="B269">
            <v>3</v>
          </cell>
          <cell r="C269">
            <v>11219</v>
          </cell>
          <cell r="D269" t="str">
            <v>200万DL記念★特別クエスト</v>
          </cell>
          <cell r="E269" t="str">
            <v>200万DL記念★特別クエスト</v>
          </cell>
          <cell r="F269">
            <v>1</v>
          </cell>
          <cell r="G269" t="str">
            <v>ja</v>
          </cell>
          <cell r="H269" t="str">
            <v>ミリオンダックより愛を込めて 2</v>
          </cell>
          <cell r="I269" t="str">
            <v>200万DL記念限定クエスト</v>
          </cell>
          <cell r="J269">
            <v>97</v>
          </cell>
          <cell r="K269">
            <v>1</v>
          </cell>
          <cell r="L269">
            <v>200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polygon</v>
          </cell>
          <cell r="T269">
            <v>1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1</v>
          </cell>
          <cell r="AD269">
            <v>6</v>
          </cell>
          <cell r="AE269" t="str">
            <v>singleonly</v>
          </cell>
        </row>
        <row r="270">
          <cell r="A270" t="str">
            <v>11220_1</v>
          </cell>
          <cell r="B270">
            <v>3</v>
          </cell>
          <cell r="C270">
            <v>11220</v>
          </cell>
          <cell r="D270" t="str">
            <v>ホワイトデー★特別クエスト</v>
          </cell>
          <cell r="E270" t="str">
            <v>2016年ホワイトデークエスト</v>
          </cell>
          <cell r="F270">
            <v>1</v>
          </cell>
          <cell r="G270" t="str">
            <v>ja</v>
          </cell>
          <cell r="H270" t="str">
            <v>【ストーリー】ホワイトデー独騒曲</v>
          </cell>
          <cell r="I270" t="str">
            <v>2016年ホワイトデークエスト</v>
          </cell>
          <cell r="J270">
            <v>350</v>
          </cell>
          <cell r="K270">
            <v>1</v>
          </cell>
          <cell r="L270">
            <v>314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polygon</v>
          </cell>
          <cell r="T270">
            <v>1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once</v>
          </cell>
          <cell r="AC270">
            <v>1</v>
          </cell>
          <cell r="AD270">
            <v>6</v>
          </cell>
          <cell r="AE270" t="str">
            <v>singleonly</v>
          </cell>
        </row>
        <row r="271">
          <cell r="A271" t="str">
            <v>11221_1</v>
          </cell>
          <cell r="B271">
            <v>3</v>
          </cell>
          <cell r="C271">
            <v>11221</v>
          </cell>
          <cell r="D271" t="str">
            <v>新生活★応援クエスト</v>
          </cell>
          <cell r="E271" t="str">
            <v>2016年卒業クエスト</v>
          </cell>
          <cell r="F271">
            <v>1</v>
          </cell>
          <cell r="G271" t="str">
            <v>ja</v>
          </cell>
          <cell r="H271" t="str">
            <v>【ストーリー】桜舞い散る樹の下で</v>
          </cell>
          <cell r="I271" t="str">
            <v>2016年卒業クエスト</v>
          </cell>
          <cell r="J271">
            <v>794</v>
          </cell>
          <cell r="K271">
            <v>1</v>
          </cell>
          <cell r="L271">
            <v>331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polygon</v>
          </cell>
          <cell r="T271">
            <v>1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once</v>
          </cell>
          <cell r="AC271">
            <v>926</v>
          </cell>
          <cell r="AD271">
            <v>6</v>
          </cell>
          <cell r="AE271" t="str">
            <v>singleonly</v>
          </cell>
        </row>
        <row r="272">
          <cell r="A272" t="str">
            <v>11224_1</v>
          </cell>
          <cell r="B272">
            <v>3</v>
          </cell>
          <cell r="C272">
            <v>11224</v>
          </cell>
          <cell r="D272" t="str">
            <v>TVCM放送記念★特別クエスト</v>
          </cell>
          <cell r="E272" t="str">
            <v>TVCM放送記念★特別クエスト</v>
          </cell>
          <cell r="F272">
            <v>1</v>
          </cell>
          <cell r="G272" t="str">
            <v>ja</v>
          </cell>
          <cell r="H272" t="str">
            <v>【超ウザード級】ウザリーマン襲来！</v>
          </cell>
          <cell r="I272" t="str">
            <v>記念クエスト</v>
          </cell>
          <cell r="J272">
            <v>976</v>
          </cell>
          <cell r="K272">
            <v>1</v>
          </cell>
          <cell r="L272">
            <v>1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0</v>
          </cell>
          <cell r="R272">
            <v>3</v>
          </cell>
          <cell r="S272" t="str">
            <v>polygon</v>
          </cell>
          <cell r="T272">
            <v>10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907</v>
          </cell>
          <cell r="AD272">
            <v>6</v>
          </cell>
          <cell r="AE272" t="str">
            <v>singleonly</v>
          </cell>
        </row>
        <row r="273">
          <cell r="A273" t="str">
            <v>11225_1</v>
          </cell>
          <cell r="B273">
            <v>1</v>
          </cell>
          <cell r="C273">
            <v>11225</v>
          </cell>
          <cell r="D273" t="str">
            <v>400万DL記念★特別クエスト</v>
          </cell>
          <cell r="E273" t="str">
            <v>400万DL記念★特別クエスト</v>
          </cell>
          <cell r="F273">
            <v>1</v>
          </cell>
          <cell r="G273" t="str">
            <v>ja</v>
          </cell>
          <cell r="H273" t="str">
            <v>ミリオンダックより愛を込めて 4</v>
          </cell>
          <cell r="I273" t="str">
            <v>400万DL記念限定クエスト</v>
          </cell>
          <cell r="J273">
            <v>97</v>
          </cell>
          <cell r="K273">
            <v>1</v>
          </cell>
          <cell r="L273">
            <v>200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polygon</v>
          </cell>
          <cell r="T273">
            <v>1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once</v>
          </cell>
          <cell r="AC273">
            <v>1</v>
          </cell>
          <cell r="AD273">
            <v>6</v>
          </cell>
          <cell r="AE273" t="str">
            <v>singleonly</v>
          </cell>
        </row>
        <row r="274">
          <cell r="A274" t="str">
            <v>12001_1</v>
          </cell>
          <cell r="B274">
            <v>3</v>
          </cell>
          <cell r="C274">
            <v>12001</v>
          </cell>
          <cell r="D274" t="str">
            <v>【緊急！！】 アヒル捕獲作戦</v>
          </cell>
          <cell r="E274" t="str">
            <v>ゲリラクエスト</v>
          </cell>
          <cell r="F274">
            <v>1</v>
          </cell>
          <cell r="G274" t="str">
            <v>ja</v>
          </cell>
          <cell r="H274" t="str">
            <v xml:space="preserve">【初級】メタルダックを捕獲せよ！ </v>
          </cell>
          <cell r="I274" t="str">
            <v>経験値ゲリラ</v>
          </cell>
          <cell r="J274">
            <v>334</v>
          </cell>
          <cell r="K274">
            <v>8</v>
          </cell>
          <cell r="L274">
            <v>140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0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201</v>
          </cell>
          <cell r="AD274">
            <v>6</v>
          </cell>
          <cell r="AE274" t="str">
            <v>everyone</v>
          </cell>
        </row>
        <row r="275">
          <cell r="A275" t="str">
            <v>12001_2</v>
          </cell>
          <cell r="B275">
            <v>3</v>
          </cell>
          <cell r="C275">
            <v>12001</v>
          </cell>
          <cell r="D275" t="str">
            <v>【緊急！！】 アヒル捕獲作戦</v>
          </cell>
          <cell r="E275" t="str">
            <v>ゲリラクエスト</v>
          </cell>
          <cell r="F275">
            <v>2</v>
          </cell>
          <cell r="G275" t="str">
            <v>ja</v>
          </cell>
          <cell r="H275" t="str">
            <v xml:space="preserve">【上級】メタルダックを捕獲せよ！ </v>
          </cell>
          <cell r="I275" t="str">
            <v>経験値ゲリラ</v>
          </cell>
          <cell r="J275">
            <v>334</v>
          </cell>
          <cell r="K275">
            <v>20</v>
          </cell>
          <cell r="L275">
            <v>350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0</v>
          </cell>
          <cell r="R275">
            <v>3</v>
          </cell>
          <cell r="S275" t="str">
            <v>none</v>
          </cell>
          <cell r="T275">
            <v>0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201</v>
          </cell>
          <cell r="AD275">
            <v>6</v>
          </cell>
          <cell r="AE275" t="str">
            <v>everyone</v>
          </cell>
        </row>
        <row r="276">
          <cell r="A276" t="str">
            <v>12001_3</v>
          </cell>
          <cell r="B276">
            <v>3</v>
          </cell>
          <cell r="C276">
            <v>12001</v>
          </cell>
          <cell r="D276" t="str">
            <v>【緊急！！】 アヒル捕獲作戦</v>
          </cell>
          <cell r="E276" t="str">
            <v>ゲリラクエスト</v>
          </cell>
          <cell r="F276">
            <v>3</v>
          </cell>
          <cell r="G276" t="str">
            <v>ja</v>
          </cell>
          <cell r="H276" t="str">
            <v xml:space="preserve">【超級】メタルダックを捕獲せよ！ </v>
          </cell>
          <cell r="I276" t="str">
            <v>経験値ゲリラ</v>
          </cell>
          <cell r="J276">
            <v>334</v>
          </cell>
          <cell r="K276">
            <v>30</v>
          </cell>
          <cell r="L276">
            <v>444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0</v>
          </cell>
          <cell r="R276">
            <v>3</v>
          </cell>
          <cell r="S276" t="str">
            <v>none</v>
          </cell>
          <cell r="T276">
            <v>0</v>
          </cell>
          <cell r="U276" t="str">
            <v>NULL</v>
          </cell>
          <cell r="V276" t="str">
            <v>NULL</v>
          </cell>
          <cell r="W276" t="str">
            <v/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7</v>
          </cell>
          <cell r="AD276">
            <v>6</v>
          </cell>
          <cell r="AE276" t="str">
            <v>everyone</v>
          </cell>
        </row>
        <row r="277">
          <cell r="A277" t="str">
            <v>12002_1</v>
          </cell>
          <cell r="B277">
            <v>3</v>
          </cell>
          <cell r="C277">
            <v>12002</v>
          </cell>
          <cell r="D277" t="str">
            <v>【マルチ専用1/2】 アヒル捕獲作戦</v>
          </cell>
          <cell r="E277" t="str">
            <v>ゲリラクエスト</v>
          </cell>
          <cell r="F277">
            <v>1</v>
          </cell>
          <cell r="G277" t="str">
            <v>ja</v>
          </cell>
          <cell r="H277" t="str">
            <v>【上級】メタルダックを捕獲せよ！</v>
          </cell>
          <cell r="I277" t="str">
            <v>経験値ゲリラ</v>
          </cell>
          <cell r="J277">
            <v>334</v>
          </cell>
          <cell r="K277">
            <v>10</v>
          </cell>
          <cell r="L277">
            <v>350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0</v>
          </cell>
          <cell r="R277">
            <v>3</v>
          </cell>
          <cell r="S277" t="str">
            <v>none</v>
          </cell>
          <cell r="T277">
            <v>0</v>
          </cell>
          <cell r="U277" t="str">
            <v>NULL</v>
          </cell>
          <cell r="V277" t="str">
            <v>NULL</v>
          </cell>
          <cell r="W277" t="str">
            <v/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201</v>
          </cell>
          <cell r="AD277">
            <v>6</v>
          </cell>
          <cell r="AE277" t="str">
            <v>multionly</v>
          </cell>
        </row>
        <row r="278">
          <cell r="A278" t="str">
            <v>12002_2</v>
          </cell>
          <cell r="B278">
            <v>1</v>
          </cell>
          <cell r="C278">
            <v>12002</v>
          </cell>
          <cell r="D278" t="str">
            <v>【マルチ専用1/2】 アヒル捕獲作戦</v>
          </cell>
          <cell r="E278" t="str">
            <v>ゲリラクエスト</v>
          </cell>
          <cell r="F278">
            <v>2</v>
          </cell>
          <cell r="G278" t="str">
            <v>ja</v>
          </cell>
          <cell r="H278" t="str">
            <v xml:space="preserve">【超級】メタルダックを捕獲せよ！ </v>
          </cell>
          <cell r="I278" t="str">
            <v>経験値ゲリラ</v>
          </cell>
          <cell r="J278">
            <v>334</v>
          </cell>
          <cell r="K278">
            <v>15</v>
          </cell>
          <cell r="L278">
            <v>444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0</v>
          </cell>
          <cell r="R278">
            <v>3</v>
          </cell>
          <cell r="S278" t="str">
            <v>none</v>
          </cell>
          <cell r="T278">
            <v>0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7</v>
          </cell>
          <cell r="AD278">
            <v>6</v>
          </cell>
          <cell r="AE278" t="str">
            <v>multionly</v>
          </cell>
        </row>
        <row r="279">
          <cell r="A279" t="str">
            <v>12003_1</v>
          </cell>
          <cell r="B279">
            <v>3</v>
          </cell>
          <cell r="C279">
            <v>12003</v>
          </cell>
          <cell r="D279" t="str">
            <v>【超緊急！！】メタルジェントルを追え</v>
          </cell>
          <cell r="E279" t="str">
            <v>ゲリラ【超級】</v>
          </cell>
          <cell r="F279">
            <v>1</v>
          </cell>
          <cell r="G279" t="str">
            <v>ja</v>
          </cell>
          <cell r="H279" t="str">
            <v>【超級】雷のジェントルを追え！</v>
          </cell>
          <cell r="I279" t="str">
            <v>超級ゲリラ</v>
          </cell>
          <cell r="J279">
            <v>347</v>
          </cell>
          <cell r="K279">
            <v>40</v>
          </cell>
          <cell r="L279">
            <v>500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none</v>
          </cell>
          <cell r="T279">
            <v>0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12</v>
          </cell>
          <cell r="AD279">
            <v>6</v>
          </cell>
          <cell r="AE279" t="str">
            <v>singleonly</v>
          </cell>
        </row>
        <row r="280">
          <cell r="A280" t="str">
            <v>12003_2</v>
          </cell>
          <cell r="B280">
            <v>3</v>
          </cell>
          <cell r="C280">
            <v>12003</v>
          </cell>
          <cell r="D280" t="str">
            <v>【超緊急！！】メタルジェントルを追え</v>
          </cell>
          <cell r="E280" t="str">
            <v>ゲリラ【超級】</v>
          </cell>
          <cell r="F280">
            <v>2</v>
          </cell>
          <cell r="G280" t="str">
            <v>ja</v>
          </cell>
          <cell r="H280" t="str">
            <v>【超級】水のジェントルを追え！</v>
          </cell>
          <cell r="I280" t="str">
            <v>超級ゲリラ</v>
          </cell>
          <cell r="J280">
            <v>343</v>
          </cell>
          <cell r="K280">
            <v>40</v>
          </cell>
          <cell r="L280">
            <v>500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none</v>
          </cell>
          <cell r="T280">
            <v>0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5</v>
          </cell>
          <cell r="AD280">
            <v>6</v>
          </cell>
          <cell r="AE280" t="str">
            <v>singleonly</v>
          </cell>
        </row>
        <row r="281">
          <cell r="A281" t="str">
            <v>12003_3</v>
          </cell>
          <cell r="B281">
            <v>3</v>
          </cell>
          <cell r="C281">
            <v>12003</v>
          </cell>
          <cell r="D281" t="str">
            <v>【超緊急！！】メタルジェントルを追え</v>
          </cell>
          <cell r="E281" t="str">
            <v>ゲリラ【超級】</v>
          </cell>
          <cell r="F281">
            <v>3</v>
          </cell>
          <cell r="G281" t="str">
            <v>ja</v>
          </cell>
          <cell r="H281" t="str">
            <v>【超級】森のジェントルを追え！</v>
          </cell>
          <cell r="I281" t="str">
            <v>超級ゲリラ</v>
          </cell>
          <cell r="J281">
            <v>339</v>
          </cell>
          <cell r="K281">
            <v>40</v>
          </cell>
          <cell r="L281">
            <v>500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none</v>
          </cell>
          <cell r="T281">
            <v>0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7</v>
          </cell>
          <cell r="AD281">
            <v>6</v>
          </cell>
          <cell r="AE281" t="str">
            <v>singleonly</v>
          </cell>
        </row>
        <row r="282">
          <cell r="A282" t="str">
            <v>12003_4</v>
          </cell>
          <cell r="B282">
            <v>3</v>
          </cell>
          <cell r="C282">
            <v>12003</v>
          </cell>
          <cell r="D282" t="str">
            <v>【超緊急！！】メタルジェントルを追え</v>
          </cell>
          <cell r="E282" t="str">
            <v>ゲリラ【超級】</v>
          </cell>
          <cell r="F282">
            <v>4</v>
          </cell>
          <cell r="G282" t="str">
            <v>ja</v>
          </cell>
          <cell r="H282" t="str">
            <v>【超級】炎のジェントルを追え！</v>
          </cell>
          <cell r="I282" t="str">
            <v>超級ゲリラ</v>
          </cell>
          <cell r="J282">
            <v>335</v>
          </cell>
          <cell r="K282">
            <v>40</v>
          </cell>
          <cell r="L282">
            <v>500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none</v>
          </cell>
          <cell r="T282">
            <v>0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10</v>
          </cell>
          <cell r="AD282">
            <v>6</v>
          </cell>
          <cell r="AE282" t="str">
            <v>singleonly</v>
          </cell>
        </row>
        <row r="283">
          <cell r="A283" t="str">
            <v>12004_1</v>
          </cell>
          <cell r="B283">
            <v>3</v>
          </cell>
          <cell r="C283">
            <v>12004</v>
          </cell>
          <cell r="D283" t="str">
            <v>メタルフロッグをもとめて</v>
          </cell>
          <cell r="E283" t="str">
            <v>イベントクエスト</v>
          </cell>
          <cell r="F283">
            <v>1</v>
          </cell>
          <cell r="G283" t="str">
            <v>ja</v>
          </cell>
          <cell r="H283" t="str">
            <v>【上級】メタルフロッグをもとめて</v>
          </cell>
          <cell r="I283" t="str">
            <v>経験値イベント</v>
          </cell>
          <cell r="J283">
            <v>351</v>
          </cell>
          <cell r="K283">
            <v>20</v>
          </cell>
          <cell r="L283">
            <v>100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none</v>
          </cell>
          <cell r="T283">
            <v>0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23</v>
          </cell>
          <cell r="AD283">
            <v>6</v>
          </cell>
          <cell r="AE283" t="str">
            <v>everyone</v>
          </cell>
        </row>
        <row r="284">
          <cell r="A284" t="str">
            <v>13001_1</v>
          </cell>
          <cell r="B284">
            <v>3</v>
          </cell>
          <cell r="C284">
            <v>13001</v>
          </cell>
          <cell r="D284" t="str">
            <v>チャレンジタワー(ソロ専用)</v>
          </cell>
          <cell r="E284" t="str">
            <v>試練の塔</v>
          </cell>
          <cell r="F284">
            <v>1</v>
          </cell>
          <cell r="G284" t="str">
            <v>ja</v>
          </cell>
          <cell r="H284" t="str">
            <v>チャレンジタワー 1F</v>
          </cell>
          <cell r="I284" t="str">
            <v>試練の塔</v>
          </cell>
          <cell r="J284">
            <v>345</v>
          </cell>
          <cell r="K284">
            <v>3</v>
          </cell>
          <cell r="L284">
            <v>120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character</v>
          </cell>
          <cell r="T284" t="str">
            <v>345,345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26</v>
          </cell>
          <cell r="AD284">
            <v>6</v>
          </cell>
          <cell r="AE284" t="str">
            <v>singleonly</v>
          </cell>
        </row>
        <row r="285">
          <cell r="A285" t="str">
            <v>13001_2</v>
          </cell>
          <cell r="B285">
            <v>3</v>
          </cell>
          <cell r="C285">
            <v>13001</v>
          </cell>
          <cell r="D285" t="str">
            <v>チャレンジタワー(ソロ専用)</v>
          </cell>
          <cell r="E285" t="str">
            <v>試練の塔</v>
          </cell>
          <cell r="F285">
            <v>2</v>
          </cell>
          <cell r="G285" t="str">
            <v>ja</v>
          </cell>
          <cell r="H285" t="str">
            <v>チャレンジタワー 2F</v>
          </cell>
          <cell r="I285" t="str">
            <v>試練の塔</v>
          </cell>
          <cell r="J285">
            <v>333</v>
          </cell>
          <cell r="K285">
            <v>4</v>
          </cell>
          <cell r="L285">
            <v>176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333,333</v>
          </cell>
          <cell r="U285">
            <v>13001</v>
          </cell>
          <cell r="V285">
            <v>1</v>
          </cell>
          <cell r="W285" t="str">
            <v>チャレンジタワー 1F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26</v>
          </cell>
          <cell r="AD285">
            <v>6</v>
          </cell>
          <cell r="AE285" t="str">
            <v>singleonly</v>
          </cell>
        </row>
        <row r="286">
          <cell r="A286" t="str">
            <v>13001_3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試練の塔</v>
          </cell>
          <cell r="F286">
            <v>3</v>
          </cell>
          <cell r="G286" t="str">
            <v>ja</v>
          </cell>
          <cell r="H286" t="str">
            <v>チャレンジタワー 3F</v>
          </cell>
          <cell r="I286" t="str">
            <v>試練の塔</v>
          </cell>
          <cell r="J286">
            <v>337</v>
          </cell>
          <cell r="K286">
            <v>5</v>
          </cell>
          <cell r="L286">
            <v>242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337,337</v>
          </cell>
          <cell r="U286">
            <v>13001</v>
          </cell>
          <cell r="V286">
            <v>2</v>
          </cell>
          <cell r="W286" t="str">
            <v>チャレンジタワー 2F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13001_4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試練の塔</v>
          </cell>
          <cell r="F287">
            <v>4</v>
          </cell>
          <cell r="G287" t="str">
            <v>ja</v>
          </cell>
          <cell r="H287" t="str">
            <v>チャレンジタワー 4F</v>
          </cell>
          <cell r="I287" t="str">
            <v>試練の塔</v>
          </cell>
          <cell r="J287">
            <v>341</v>
          </cell>
          <cell r="K287">
            <v>7</v>
          </cell>
          <cell r="L287">
            <v>508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341,341</v>
          </cell>
          <cell r="U287">
            <v>13001</v>
          </cell>
          <cell r="V287">
            <v>3</v>
          </cell>
          <cell r="W287" t="str">
            <v>チャレンジタワー 3F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13001_5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試練の塔</v>
          </cell>
          <cell r="F288">
            <v>5</v>
          </cell>
          <cell r="G288" t="str">
            <v>ja</v>
          </cell>
          <cell r="H288" t="str">
            <v>チャレンジタワー 5F</v>
          </cell>
          <cell r="I288" t="str">
            <v>試練の塔</v>
          </cell>
          <cell r="J288">
            <v>333</v>
          </cell>
          <cell r="K288">
            <v>7</v>
          </cell>
          <cell r="L288">
            <v>280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333,337,341,345</v>
          </cell>
          <cell r="U288">
            <v>13001</v>
          </cell>
          <cell r="V288">
            <v>4</v>
          </cell>
          <cell r="W288" t="str">
            <v>チャレンジタワー 4F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13001_6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試練の塔</v>
          </cell>
          <cell r="F289">
            <v>6</v>
          </cell>
          <cell r="G289" t="str">
            <v>ja</v>
          </cell>
          <cell r="H289" t="str">
            <v>チャレンジタワー 6F</v>
          </cell>
          <cell r="I289" t="str">
            <v>試練の塔</v>
          </cell>
          <cell r="J289">
            <v>346</v>
          </cell>
          <cell r="K289">
            <v>8</v>
          </cell>
          <cell r="L289">
            <v>474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346,345</v>
          </cell>
          <cell r="U289">
            <v>13001</v>
          </cell>
          <cell r="V289">
            <v>5</v>
          </cell>
          <cell r="W289" t="str">
            <v>チャレンジタワー 5F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13001_7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試練の塔</v>
          </cell>
          <cell r="F290">
            <v>7</v>
          </cell>
          <cell r="G290" t="str">
            <v>ja</v>
          </cell>
          <cell r="H290" t="str">
            <v>チャレンジタワー 7F</v>
          </cell>
          <cell r="I290" t="str">
            <v>試練の塔</v>
          </cell>
          <cell r="J290">
            <v>342</v>
          </cell>
          <cell r="K290">
            <v>8</v>
          </cell>
          <cell r="L290">
            <v>486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342,341</v>
          </cell>
          <cell r="U290">
            <v>13001</v>
          </cell>
          <cell r="V290">
            <v>6</v>
          </cell>
          <cell r="W290" t="str">
            <v>チャレンジタワー 6F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13001_8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試練の塔</v>
          </cell>
          <cell r="F291">
            <v>8</v>
          </cell>
          <cell r="G291" t="str">
            <v>ja</v>
          </cell>
          <cell r="H291" t="str">
            <v>チャレンジタワー 8F</v>
          </cell>
          <cell r="I291" t="str">
            <v>試練の塔</v>
          </cell>
          <cell r="J291">
            <v>334</v>
          </cell>
          <cell r="K291">
            <v>10</v>
          </cell>
          <cell r="L291">
            <v>1006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334,333</v>
          </cell>
          <cell r="U291">
            <v>13001</v>
          </cell>
          <cell r="V291">
            <v>7</v>
          </cell>
          <cell r="W291" t="str">
            <v>チャレンジタワー 7F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13001_9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9</v>
          </cell>
          <cell r="G292" t="str">
            <v>ja</v>
          </cell>
          <cell r="H292" t="str">
            <v>チャレンジタワー 9F</v>
          </cell>
          <cell r="I292" t="str">
            <v>試練の塔</v>
          </cell>
          <cell r="J292">
            <v>338</v>
          </cell>
          <cell r="K292">
            <v>10</v>
          </cell>
          <cell r="L292">
            <v>702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337,337,338</v>
          </cell>
          <cell r="U292">
            <v>13001</v>
          </cell>
          <cell r="V292">
            <v>8</v>
          </cell>
          <cell r="W292" t="str">
            <v>チャレンジタワー 8F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13001_10</v>
          </cell>
          <cell r="B293">
            <v>3</v>
          </cell>
          <cell r="C293">
            <v>13001</v>
          </cell>
          <cell r="D293" t="str">
            <v>チャレンジタワー(ソロ専用)</v>
          </cell>
          <cell r="E293" t="str">
            <v>試練の塔</v>
          </cell>
          <cell r="F293">
            <v>10</v>
          </cell>
          <cell r="G293" t="str">
            <v>ja</v>
          </cell>
          <cell r="H293" t="str">
            <v>チャレンジタワー 10F</v>
          </cell>
          <cell r="I293" t="str">
            <v>試練の塔</v>
          </cell>
          <cell r="J293">
            <v>346</v>
          </cell>
          <cell r="K293">
            <v>11</v>
          </cell>
          <cell r="L293">
            <v>788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character</v>
          </cell>
          <cell r="T293" t="str">
            <v>346,333,337,341</v>
          </cell>
          <cell r="U293">
            <v>13001</v>
          </cell>
          <cell r="V293">
            <v>9</v>
          </cell>
          <cell r="W293" t="str">
            <v>チャレンジタワー 9F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26</v>
          </cell>
          <cell r="AD293">
            <v>6</v>
          </cell>
          <cell r="AE293" t="str">
            <v>singleonly</v>
          </cell>
        </row>
        <row r="294">
          <cell r="A294" t="str">
            <v>13001_11</v>
          </cell>
          <cell r="B294">
            <v>3</v>
          </cell>
          <cell r="C294">
            <v>13001</v>
          </cell>
          <cell r="D294" t="str">
            <v>チャレンジタワー(ソロ専用)</v>
          </cell>
          <cell r="E294" t="str">
            <v>試練の塔</v>
          </cell>
          <cell r="F294">
            <v>11</v>
          </cell>
          <cell r="G294" t="str">
            <v>ja</v>
          </cell>
          <cell r="H294" t="str">
            <v>チャレンジタワー 11F</v>
          </cell>
          <cell r="I294" t="str">
            <v>試練の塔</v>
          </cell>
          <cell r="J294">
            <v>346</v>
          </cell>
          <cell r="K294">
            <v>12</v>
          </cell>
          <cell r="L294">
            <v>936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character</v>
          </cell>
          <cell r="T294" t="str">
            <v>346,346</v>
          </cell>
          <cell r="U294">
            <v>13001</v>
          </cell>
          <cell r="V294">
            <v>10</v>
          </cell>
          <cell r="W294" t="str">
            <v>チャレンジタワー 10F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26</v>
          </cell>
          <cell r="AD294">
            <v>6</v>
          </cell>
          <cell r="AE294" t="str">
            <v>singleonly</v>
          </cell>
        </row>
        <row r="295">
          <cell r="A295" t="str">
            <v>13001_12</v>
          </cell>
          <cell r="B295">
            <v>3</v>
          </cell>
          <cell r="C295">
            <v>13001</v>
          </cell>
          <cell r="D295" t="str">
            <v>チャレンジタワー(ソロ専用)</v>
          </cell>
          <cell r="E295" t="str">
            <v>試練の塔</v>
          </cell>
          <cell r="F295">
            <v>12</v>
          </cell>
          <cell r="G295" t="str">
            <v>ja</v>
          </cell>
          <cell r="H295" t="str">
            <v>チャレンジタワー 12F</v>
          </cell>
          <cell r="I295" t="str">
            <v>試練の塔</v>
          </cell>
          <cell r="J295">
            <v>342</v>
          </cell>
          <cell r="K295">
            <v>13</v>
          </cell>
          <cell r="L295">
            <v>1601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character</v>
          </cell>
          <cell r="T295" t="str">
            <v>342,342</v>
          </cell>
          <cell r="U295">
            <v>13001</v>
          </cell>
          <cell r="V295">
            <v>11</v>
          </cell>
          <cell r="W295" t="str">
            <v>チャレンジタワー 11F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26</v>
          </cell>
          <cell r="AD295">
            <v>6</v>
          </cell>
          <cell r="AE295" t="str">
            <v>singleonly</v>
          </cell>
        </row>
        <row r="296">
          <cell r="A296" t="str">
            <v>13001_13</v>
          </cell>
          <cell r="B296">
            <v>3</v>
          </cell>
          <cell r="C296">
            <v>13001</v>
          </cell>
          <cell r="D296" t="str">
            <v>チャレンジタワー(ソロ専用)</v>
          </cell>
          <cell r="E296" t="str">
            <v>試練の塔</v>
          </cell>
          <cell r="F296">
            <v>13</v>
          </cell>
          <cell r="G296" t="str">
            <v>ja</v>
          </cell>
          <cell r="H296" t="str">
            <v>チャレンジタワー 13F</v>
          </cell>
          <cell r="I296" t="str">
            <v>試練の塔</v>
          </cell>
          <cell r="J296">
            <v>338</v>
          </cell>
          <cell r="K296">
            <v>14</v>
          </cell>
          <cell r="L296">
            <v>945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character</v>
          </cell>
          <cell r="T296" t="str">
            <v>338,338</v>
          </cell>
          <cell r="U296">
            <v>13001</v>
          </cell>
          <cell r="V296">
            <v>12</v>
          </cell>
          <cell r="W296" t="str">
            <v>チャレンジタワー 12F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26</v>
          </cell>
          <cell r="AD296">
            <v>6</v>
          </cell>
          <cell r="AE296" t="str">
            <v>singleonly</v>
          </cell>
        </row>
        <row r="297">
          <cell r="A297" t="str">
            <v>13001_14</v>
          </cell>
          <cell r="B297">
            <v>3</v>
          </cell>
          <cell r="C297">
            <v>13001</v>
          </cell>
          <cell r="D297" t="str">
            <v>チャレンジタワー(ソロ専用)</v>
          </cell>
          <cell r="E297" t="str">
            <v>試練の塔</v>
          </cell>
          <cell r="F297">
            <v>14</v>
          </cell>
          <cell r="G297" t="str">
            <v>ja</v>
          </cell>
          <cell r="H297" t="str">
            <v>チャレンジタワー 14F</v>
          </cell>
          <cell r="I297" t="str">
            <v>試練の塔</v>
          </cell>
          <cell r="J297">
            <v>334</v>
          </cell>
          <cell r="K297">
            <v>14</v>
          </cell>
          <cell r="L297">
            <v>1188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character</v>
          </cell>
          <cell r="T297" t="str">
            <v>334,334</v>
          </cell>
          <cell r="U297">
            <v>13001</v>
          </cell>
          <cell r="V297">
            <v>13</v>
          </cell>
          <cell r="W297" t="str">
            <v>チャレンジタワー 13F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26</v>
          </cell>
          <cell r="AD297">
            <v>6</v>
          </cell>
          <cell r="AE297" t="str">
            <v>singleonly</v>
          </cell>
        </row>
        <row r="298">
          <cell r="A298" t="str">
            <v>13001_15</v>
          </cell>
          <cell r="B298">
            <v>3</v>
          </cell>
          <cell r="C298">
            <v>13001</v>
          </cell>
          <cell r="D298" t="str">
            <v>チャレンジタワー(ソロ専用)</v>
          </cell>
          <cell r="E298" t="str">
            <v>試練の塔</v>
          </cell>
          <cell r="F298">
            <v>15</v>
          </cell>
          <cell r="G298" t="str">
            <v>ja</v>
          </cell>
          <cell r="H298" t="str">
            <v>チャレンジタワー 15F</v>
          </cell>
          <cell r="I298" t="str">
            <v>試練の塔</v>
          </cell>
          <cell r="J298">
            <v>316</v>
          </cell>
          <cell r="K298">
            <v>14</v>
          </cell>
          <cell r="L298">
            <v>1008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character</v>
          </cell>
          <cell r="T298" t="str">
            <v>316</v>
          </cell>
          <cell r="U298">
            <v>13001</v>
          </cell>
          <cell r="V298">
            <v>14</v>
          </cell>
          <cell r="W298" t="str">
            <v>チャレンジタワー 14F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26</v>
          </cell>
          <cell r="AD298">
            <v>6</v>
          </cell>
          <cell r="AE298" t="str">
            <v>singleonly</v>
          </cell>
        </row>
        <row r="299">
          <cell r="A299" t="str">
            <v>13001_16</v>
          </cell>
          <cell r="B299">
            <v>3</v>
          </cell>
          <cell r="C299">
            <v>13001</v>
          </cell>
          <cell r="D299" t="str">
            <v>チャレンジタワー(ソロ専用)</v>
          </cell>
          <cell r="E299" t="str">
            <v>試練の塔</v>
          </cell>
          <cell r="F299">
            <v>16</v>
          </cell>
          <cell r="G299" t="str">
            <v>ja</v>
          </cell>
          <cell r="H299" t="str">
            <v>チャレンジタワー 16F</v>
          </cell>
          <cell r="I299" t="str">
            <v>試練の塔</v>
          </cell>
          <cell r="J299">
            <v>338</v>
          </cell>
          <cell r="K299">
            <v>16</v>
          </cell>
          <cell r="L299">
            <v>2573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character</v>
          </cell>
          <cell r="T299" t="str">
            <v>338,338,337</v>
          </cell>
          <cell r="U299">
            <v>13001</v>
          </cell>
          <cell r="V299">
            <v>15</v>
          </cell>
          <cell r="W299" t="str">
            <v>チャレンジタワー 15F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26</v>
          </cell>
          <cell r="AD299">
            <v>6</v>
          </cell>
          <cell r="AE299" t="str">
            <v>singleonly</v>
          </cell>
        </row>
        <row r="300">
          <cell r="A300" t="str">
            <v>13001_17</v>
          </cell>
          <cell r="B300">
            <v>3</v>
          </cell>
          <cell r="C300">
            <v>13001</v>
          </cell>
          <cell r="D300" t="str">
            <v>チャレンジタワー(ソロ専用)</v>
          </cell>
          <cell r="E300" t="str">
            <v>試練の塔</v>
          </cell>
          <cell r="F300">
            <v>17</v>
          </cell>
          <cell r="G300" t="str">
            <v>ja</v>
          </cell>
          <cell r="H300" t="str">
            <v>チャレンジタワー 17F</v>
          </cell>
          <cell r="I300" t="str">
            <v>試練の塔</v>
          </cell>
          <cell r="J300">
            <v>346</v>
          </cell>
          <cell r="K300">
            <v>16</v>
          </cell>
          <cell r="L300">
            <v>1568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3</v>
          </cell>
          <cell r="S300" t="str">
            <v>character</v>
          </cell>
          <cell r="T300" t="str">
            <v>346,346,345</v>
          </cell>
          <cell r="U300">
            <v>13001</v>
          </cell>
          <cell r="V300">
            <v>16</v>
          </cell>
          <cell r="W300" t="str">
            <v>チャレンジタワー 16F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26</v>
          </cell>
          <cell r="AD300">
            <v>6</v>
          </cell>
          <cell r="AE300" t="str">
            <v>singleonly</v>
          </cell>
        </row>
        <row r="301">
          <cell r="A301" t="str">
            <v>13001_18</v>
          </cell>
          <cell r="B301">
            <v>3</v>
          </cell>
          <cell r="C301">
            <v>13001</v>
          </cell>
          <cell r="D301" t="str">
            <v>チャレンジタワー(ソロ専用)</v>
          </cell>
          <cell r="E301" t="str">
            <v>試練の塔</v>
          </cell>
          <cell r="F301">
            <v>18</v>
          </cell>
          <cell r="G301" t="str">
            <v>ja</v>
          </cell>
          <cell r="H301" t="str">
            <v>チャレンジタワー 18F</v>
          </cell>
          <cell r="I301" t="str">
            <v>試練の塔</v>
          </cell>
          <cell r="J301">
            <v>334</v>
          </cell>
          <cell r="K301">
            <v>17</v>
          </cell>
          <cell r="L301">
            <v>1821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character</v>
          </cell>
          <cell r="T301" t="str">
            <v>334,334,333</v>
          </cell>
          <cell r="U301">
            <v>13001</v>
          </cell>
          <cell r="V301">
            <v>17</v>
          </cell>
          <cell r="W301" t="str">
            <v>チャレンジタワー 17F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26</v>
          </cell>
          <cell r="AD301">
            <v>6</v>
          </cell>
          <cell r="AE301" t="str">
            <v>singleonly</v>
          </cell>
        </row>
        <row r="302">
          <cell r="A302" t="str">
            <v>13001_19</v>
          </cell>
          <cell r="B302">
            <v>3</v>
          </cell>
          <cell r="C302">
            <v>13001</v>
          </cell>
          <cell r="D302" t="str">
            <v>チャレンジタワー(ソロ専用)</v>
          </cell>
          <cell r="E302" t="str">
            <v>試練の塔</v>
          </cell>
          <cell r="F302">
            <v>19</v>
          </cell>
          <cell r="G302" t="str">
            <v>ja</v>
          </cell>
          <cell r="H302" t="str">
            <v>チャレンジタワー 19F</v>
          </cell>
          <cell r="I302" t="str">
            <v>試練の塔</v>
          </cell>
          <cell r="J302">
            <v>342</v>
          </cell>
          <cell r="K302">
            <v>18</v>
          </cell>
          <cell r="L302">
            <v>2108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1</v>
          </cell>
          <cell r="R302">
            <v>3</v>
          </cell>
          <cell r="S302" t="str">
            <v>character</v>
          </cell>
          <cell r="T302" t="str">
            <v>342,342,341</v>
          </cell>
          <cell r="U302">
            <v>13001</v>
          </cell>
          <cell r="V302">
            <v>18</v>
          </cell>
          <cell r="W302" t="str">
            <v>チャレンジタワー 18F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26</v>
          </cell>
          <cell r="AD302">
            <v>6</v>
          </cell>
          <cell r="AE302" t="str">
            <v>singleonly</v>
          </cell>
        </row>
        <row r="303">
          <cell r="A303" t="str">
            <v>13001_20</v>
          </cell>
          <cell r="B303">
            <v>3</v>
          </cell>
          <cell r="C303">
            <v>13001</v>
          </cell>
          <cell r="D303" t="str">
            <v>チャレンジタワー(ソロ専用)</v>
          </cell>
          <cell r="E303" t="str">
            <v>試練の塔</v>
          </cell>
          <cell r="F303">
            <v>20</v>
          </cell>
          <cell r="G303" t="str">
            <v>ja</v>
          </cell>
          <cell r="H303" t="str">
            <v>チャレンジタワー 20F</v>
          </cell>
          <cell r="I303" t="str">
            <v>試練の塔</v>
          </cell>
          <cell r="J303">
            <v>318</v>
          </cell>
          <cell r="K303">
            <v>18</v>
          </cell>
          <cell r="L303">
            <v>1620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1</v>
          </cell>
          <cell r="R303">
            <v>3</v>
          </cell>
          <cell r="S303" t="str">
            <v>character</v>
          </cell>
          <cell r="T303" t="str">
            <v>318</v>
          </cell>
          <cell r="U303">
            <v>13001</v>
          </cell>
          <cell r="V303">
            <v>19</v>
          </cell>
          <cell r="W303" t="str">
            <v>チャレンジタワー 19F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26</v>
          </cell>
          <cell r="AD303">
            <v>6</v>
          </cell>
          <cell r="AE303" t="str">
            <v>singleonly</v>
          </cell>
        </row>
        <row r="304">
          <cell r="A304" t="str">
            <v>13001_21</v>
          </cell>
          <cell r="B304">
            <v>3</v>
          </cell>
          <cell r="C304">
            <v>13001</v>
          </cell>
          <cell r="D304" t="str">
            <v>チャレンジタワー(ソロ専用)</v>
          </cell>
          <cell r="E304" t="str">
            <v>試練の塔</v>
          </cell>
          <cell r="F304">
            <v>21</v>
          </cell>
          <cell r="G304" t="str">
            <v>ja</v>
          </cell>
          <cell r="H304" t="str">
            <v>チャレンジタワー 21F</v>
          </cell>
          <cell r="I304" t="str">
            <v>試練の塔</v>
          </cell>
          <cell r="J304" t="str">
            <v>335</v>
          </cell>
          <cell r="K304">
            <v>18</v>
          </cell>
          <cell r="L304">
            <v>1620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character</v>
          </cell>
          <cell r="T304" t="str">
            <v>334,335,335</v>
          </cell>
          <cell r="U304">
            <v>13001</v>
          </cell>
          <cell r="V304">
            <v>20</v>
          </cell>
          <cell r="W304" t="str">
            <v>チャレンジタワー 20F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26</v>
          </cell>
          <cell r="AD304">
            <v>6</v>
          </cell>
          <cell r="AE304" t="str">
            <v>singleonly</v>
          </cell>
        </row>
        <row r="305">
          <cell r="A305" t="str">
            <v>13001_22</v>
          </cell>
          <cell r="B305">
            <v>3</v>
          </cell>
          <cell r="C305">
            <v>13001</v>
          </cell>
          <cell r="D305" t="str">
            <v>チャレンジタワー(ソロ専用)</v>
          </cell>
          <cell r="E305" t="str">
            <v>試練の塔</v>
          </cell>
          <cell r="F305">
            <v>22</v>
          </cell>
          <cell r="G305" t="str">
            <v>ja</v>
          </cell>
          <cell r="H305" t="str">
            <v>チャレンジタワー 22F</v>
          </cell>
          <cell r="I305" t="str">
            <v>試練の塔</v>
          </cell>
          <cell r="J305" t="str">
            <v>339</v>
          </cell>
          <cell r="K305">
            <v>18</v>
          </cell>
          <cell r="L305">
            <v>1620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character</v>
          </cell>
          <cell r="T305" t="str">
            <v>338,339,339</v>
          </cell>
          <cell r="U305">
            <v>13001</v>
          </cell>
          <cell r="V305">
            <v>21</v>
          </cell>
          <cell r="W305" t="str">
            <v>チャレンジタワー 21F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26</v>
          </cell>
          <cell r="AD305">
            <v>6</v>
          </cell>
          <cell r="AE305" t="str">
            <v>singleonly</v>
          </cell>
        </row>
        <row r="306">
          <cell r="A306" t="str">
            <v>13001_23</v>
          </cell>
          <cell r="B306">
            <v>3</v>
          </cell>
          <cell r="C306">
            <v>13001</v>
          </cell>
          <cell r="D306" t="str">
            <v>チャレンジタワー(ソロ専用)</v>
          </cell>
          <cell r="E306" t="str">
            <v>試練の塔</v>
          </cell>
          <cell r="F306">
            <v>23</v>
          </cell>
          <cell r="G306" t="str">
            <v>ja</v>
          </cell>
          <cell r="H306" t="str">
            <v>チャレンジタワー 23F</v>
          </cell>
          <cell r="I306" t="str">
            <v>試練の塔</v>
          </cell>
          <cell r="J306" t="str">
            <v>347</v>
          </cell>
          <cell r="K306">
            <v>20</v>
          </cell>
          <cell r="L306">
            <v>1821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character</v>
          </cell>
          <cell r="T306" t="str">
            <v>346,347,347</v>
          </cell>
          <cell r="U306">
            <v>13001</v>
          </cell>
          <cell r="V306">
            <v>22</v>
          </cell>
          <cell r="W306" t="str">
            <v>チャレンジタワー 22F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26</v>
          </cell>
          <cell r="AD306">
            <v>6</v>
          </cell>
          <cell r="AE306" t="str">
            <v>singleonly</v>
          </cell>
        </row>
        <row r="307">
          <cell r="A307" t="str">
            <v>13001_24</v>
          </cell>
          <cell r="B307">
            <v>3</v>
          </cell>
          <cell r="C307">
            <v>13001</v>
          </cell>
          <cell r="D307" t="str">
            <v>チャレンジタワー(ソロ専用)</v>
          </cell>
          <cell r="E307" t="str">
            <v>試練の塔</v>
          </cell>
          <cell r="F307">
            <v>24</v>
          </cell>
          <cell r="G307" t="str">
            <v>ja</v>
          </cell>
          <cell r="H307" t="str">
            <v>チャレンジタワー 24F</v>
          </cell>
          <cell r="I307" t="str">
            <v>試練の塔</v>
          </cell>
          <cell r="J307" t="str">
            <v>343</v>
          </cell>
          <cell r="K307">
            <v>20</v>
          </cell>
          <cell r="L307">
            <v>2871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character</v>
          </cell>
          <cell r="T307" t="str">
            <v>342,343,343</v>
          </cell>
          <cell r="U307">
            <v>13001</v>
          </cell>
          <cell r="V307">
            <v>23</v>
          </cell>
          <cell r="W307" t="str">
            <v>チャレンジタワー 23F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26</v>
          </cell>
          <cell r="AD307">
            <v>6</v>
          </cell>
          <cell r="AE307" t="str">
            <v>singleonly</v>
          </cell>
        </row>
        <row r="308">
          <cell r="A308" t="str">
            <v>13001_25</v>
          </cell>
          <cell r="B308">
            <v>3</v>
          </cell>
          <cell r="C308">
            <v>13001</v>
          </cell>
          <cell r="D308" t="str">
            <v>チャレンジタワー(ソロ専用)</v>
          </cell>
          <cell r="E308" t="str">
            <v>試練の塔</v>
          </cell>
          <cell r="F308">
            <v>25</v>
          </cell>
          <cell r="G308" t="str">
            <v>ja</v>
          </cell>
          <cell r="H308" t="str">
            <v>チャレンジタワー 25F</v>
          </cell>
          <cell r="I308" t="str">
            <v>試練の塔</v>
          </cell>
          <cell r="J308" t="str">
            <v>368</v>
          </cell>
          <cell r="K308">
            <v>22</v>
          </cell>
          <cell r="L308">
            <v>3740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character</v>
          </cell>
          <cell r="T308" t="str">
            <v>368</v>
          </cell>
          <cell r="U308">
            <v>13001</v>
          </cell>
          <cell r="V308">
            <v>24</v>
          </cell>
          <cell r="W308" t="str">
            <v>チャレンジタワー 24F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26</v>
          </cell>
          <cell r="AD308">
            <v>6</v>
          </cell>
          <cell r="AE308" t="str">
            <v>singleonly</v>
          </cell>
        </row>
        <row r="309">
          <cell r="A309" t="str">
            <v>14001_1</v>
          </cell>
          <cell r="B309">
            <v>3</v>
          </cell>
          <cell r="C309">
            <v>14001</v>
          </cell>
          <cell r="D309" t="str">
            <v>【ロック】経験値/ソロ</v>
          </cell>
          <cell r="E309" t="str">
            <v>【ロック】経験値/ソロ</v>
          </cell>
          <cell r="F309">
            <v>1</v>
          </cell>
          <cell r="G309" t="str">
            <v>ja</v>
          </cell>
          <cell r="H309" t="str">
            <v>【超級】雷ファミリー（ハートなし）</v>
          </cell>
          <cell r="I309" t="str">
            <v>【ロッククエスト】経験値</v>
          </cell>
          <cell r="J309">
            <v>347</v>
          </cell>
          <cell r="K309">
            <v>1</v>
          </cell>
          <cell r="L309">
            <v>500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0</v>
          </cell>
          <cell r="R309">
            <v>3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12</v>
          </cell>
          <cell r="AD309">
            <v>6</v>
          </cell>
          <cell r="AE309" t="str">
            <v>singleonly</v>
          </cell>
        </row>
        <row r="310">
          <cell r="A310" t="str">
            <v>14001_2</v>
          </cell>
          <cell r="B310">
            <v>3</v>
          </cell>
          <cell r="C310">
            <v>14001</v>
          </cell>
          <cell r="D310" t="str">
            <v>【ロック】経験値/ソロ</v>
          </cell>
          <cell r="E310" t="str">
            <v>【ロック】経験値/ソロ</v>
          </cell>
          <cell r="F310">
            <v>2</v>
          </cell>
          <cell r="G310" t="str">
            <v>ja</v>
          </cell>
          <cell r="H310" t="str">
            <v>【超級】水ファミリー（ハートなし）</v>
          </cell>
          <cell r="I310" t="str">
            <v>【ロッククエスト】経験値</v>
          </cell>
          <cell r="J310">
            <v>343</v>
          </cell>
          <cell r="K310">
            <v>1</v>
          </cell>
          <cell r="L310">
            <v>500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0</v>
          </cell>
          <cell r="R310">
            <v>3</v>
          </cell>
          <cell r="S310" t="str">
            <v>none</v>
          </cell>
          <cell r="T310">
            <v>0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5</v>
          </cell>
          <cell r="AD310">
            <v>6</v>
          </cell>
          <cell r="AE310" t="str">
            <v>singleonly</v>
          </cell>
        </row>
        <row r="311">
          <cell r="A311" t="str">
            <v>14001_3</v>
          </cell>
          <cell r="B311">
            <v>3</v>
          </cell>
          <cell r="C311">
            <v>14001</v>
          </cell>
          <cell r="D311" t="str">
            <v>【ロック】経験値/ソロ</v>
          </cell>
          <cell r="E311" t="str">
            <v>【ロック】経験値/ソロ</v>
          </cell>
          <cell r="F311">
            <v>3</v>
          </cell>
          <cell r="G311" t="str">
            <v>ja</v>
          </cell>
          <cell r="H311" t="str">
            <v>【超級】森ファミリー（ハートなし）</v>
          </cell>
          <cell r="I311" t="str">
            <v>【ロッククエスト】経験値</v>
          </cell>
          <cell r="J311">
            <v>339</v>
          </cell>
          <cell r="K311">
            <v>1</v>
          </cell>
          <cell r="L311">
            <v>500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0</v>
          </cell>
          <cell r="R311">
            <v>3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7</v>
          </cell>
          <cell r="AD311">
            <v>6</v>
          </cell>
          <cell r="AE311" t="str">
            <v>singleonly</v>
          </cell>
        </row>
        <row r="312">
          <cell r="A312" t="str">
            <v>14001_4</v>
          </cell>
          <cell r="B312">
            <v>3</v>
          </cell>
          <cell r="C312">
            <v>14001</v>
          </cell>
          <cell r="D312" t="str">
            <v>【ロック】経験値/ソロ</v>
          </cell>
          <cell r="E312" t="str">
            <v>【ロック】経験値/ソロ</v>
          </cell>
          <cell r="F312">
            <v>4</v>
          </cell>
          <cell r="G312" t="str">
            <v>ja</v>
          </cell>
          <cell r="H312" t="str">
            <v>【超級】炎ファミリー（ハートなし）</v>
          </cell>
          <cell r="I312" t="str">
            <v>【ロッククエスト】経験値</v>
          </cell>
          <cell r="J312">
            <v>335</v>
          </cell>
          <cell r="K312">
            <v>1</v>
          </cell>
          <cell r="L312">
            <v>500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0</v>
          </cell>
          <cell r="R312">
            <v>3</v>
          </cell>
          <cell r="S312" t="str">
            <v>none</v>
          </cell>
          <cell r="T312">
            <v>0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10</v>
          </cell>
          <cell r="AD312">
            <v>6</v>
          </cell>
          <cell r="AE312" t="str">
            <v>singleonly</v>
          </cell>
        </row>
        <row r="313">
          <cell r="A313" t="str">
            <v>14001_5</v>
          </cell>
          <cell r="B313">
            <v>0</v>
          </cell>
          <cell r="C313">
            <v>14001</v>
          </cell>
          <cell r="D313" t="str">
            <v>【ロック】経験値/ソロ</v>
          </cell>
          <cell r="E313" t="str">
            <v>【ロック】経験値/ソロ</v>
          </cell>
          <cell r="F313">
            <v>5</v>
          </cell>
          <cell r="G313" t="str">
            <v>ja</v>
          </cell>
          <cell r="H313" t="str">
            <v>【超絶級】雷のサミット（ハートなし）</v>
          </cell>
          <cell r="I313" t="str">
            <v>【ロッククエスト】経験値</v>
          </cell>
          <cell r="J313">
            <v>334</v>
          </cell>
          <cell r="K313">
            <v>1</v>
          </cell>
          <cell r="L313">
            <v>350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0</v>
          </cell>
          <cell r="R313">
            <v>3</v>
          </cell>
          <cell r="S313" t="str">
            <v>none</v>
          </cell>
          <cell r="T313">
            <v>0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201</v>
          </cell>
          <cell r="AD313">
            <v>6</v>
          </cell>
          <cell r="AE313" t="str">
            <v>singleonly</v>
          </cell>
        </row>
        <row r="314">
          <cell r="A314" t="str">
            <v>14001_6</v>
          </cell>
          <cell r="B314">
            <v>0</v>
          </cell>
          <cell r="C314">
            <v>14001</v>
          </cell>
          <cell r="D314" t="str">
            <v>【ロック】経験値/ソロ</v>
          </cell>
          <cell r="E314" t="str">
            <v>【ロック】経験値/ソロ</v>
          </cell>
          <cell r="F314">
            <v>6</v>
          </cell>
          <cell r="G314" t="str">
            <v>ja</v>
          </cell>
          <cell r="H314" t="str">
            <v>【超絶級】水のサミット（ハートなし）</v>
          </cell>
          <cell r="I314" t="str">
            <v>【ロッククエスト】経験値</v>
          </cell>
          <cell r="J314">
            <v>334</v>
          </cell>
          <cell r="K314">
            <v>1</v>
          </cell>
          <cell r="L314">
            <v>350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0</v>
          </cell>
          <cell r="R314">
            <v>3</v>
          </cell>
          <cell r="S314" t="str">
            <v>none</v>
          </cell>
          <cell r="T314">
            <v>0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201</v>
          </cell>
          <cell r="AD314">
            <v>6</v>
          </cell>
          <cell r="AE314" t="str">
            <v>singleonly</v>
          </cell>
        </row>
        <row r="315">
          <cell r="A315" t="str">
            <v>14001_7</v>
          </cell>
          <cell r="B315">
            <v>0</v>
          </cell>
          <cell r="C315">
            <v>14001</v>
          </cell>
          <cell r="D315" t="str">
            <v>【ロック】経験値/ソロ</v>
          </cell>
          <cell r="E315" t="str">
            <v>【ロック】経験値/ソロ</v>
          </cell>
          <cell r="F315">
            <v>7</v>
          </cell>
          <cell r="G315" t="str">
            <v>ja</v>
          </cell>
          <cell r="H315" t="str">
            <v>【超絶級】森のサミット（ハートなし）</v>
          </cell>
          <cell r="I315" t="str">
            <v>【ロッククエスト】経験値</v>
          </cell>
          <cell r="J315">
            <v>334</v>
          </cell>
          <cell r="K315">
            <v>1</v>
          </cell>
          <cell r="L315">
            <v>350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0</v>
          </cell>
          <cell r="R315">
            <v>3</v>
          </cell>
          <cell r="S315" t="str">
            <v>none</v>
          </cell>
          <cell r="T315">
            <v>0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201</v>
          </cell>
          <cell r="AD315">
            <v>6</v>
          </cell>
          <cell r="AE315" t="str">
            <v>singleonly</v>
          </cell>
        </row>
        <row r="316">
          <cell r="A316" t="str">
            <v>14001_8</v>
          </cell>
          <cell r="B316">
            <v>0</v>
          </cell>
          <cell r="C316">
            <v>14001</v>
          </cell>
          <cell r="D316" t="str">
            <v>【ロック】経験値/ソロ</v>
          </cell>
          <cell r="E316" t="str">
            <v>【ロック】経験値/ソロ</v>
          </cell>
          <cell r="F316">
            <v>8</v>
          </cell>
          <cell r="G316" t="str">
            <v>ja</v>
          </cell>
          <cell r="H316" t="str">
            <v>【超絶級】炎のサミット（ハートなし）</v>
          </cell>
          <cell r="I316" t="str">
            <v>【ロッククエスト】経験値</v>
          </cell>
          <cell r="J316">
            <v>334</v>
          </cell>
          <cell r="K316">
            <v>1</v>
          </cell>
          <cell r="L316">
            <v>350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0</v>
          </cell>
          <cell r="R316">
            <v>3</v>
          </cell>
          <cell r="S316" t="str">
            <v>none</v>
          </cell>
          <cell r="T316">
            <v>0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201</v>
          </cell>
          <cell r="AD316">
            <v>6</v>
          </cell>
          <cell r="AE316" t="str">
            <v>singleonly</v>
          </cell>
        </row>
        <row r="317">
          <cell r="A317" t="str">
            <v>14002_1</v>
          </cell>
          <cell r="B317">
            <v>3</v>
          </cell>
          <cell r="C317">
            <v>14002</v>
          </cell>
          <cell r="D317" t="str">
            <v>【ロック】ビット/ソロ</v>
          </cell>
          <cell r="E317" t="str">
            <v>【ロック】ビット/ソロ</v>
          </cell>
          <cell r="F317">
            <v>1</v>
          </cell>
          <cell r="G317" t="str">
            <v>ja</v>
          </cell>
          <cell r="H317" t="str">
            <v>【超級】ハイローラー（ハートなし）</v>
          </cell>
          <cell r="I317" t="str">
            <v>【ロッククエスト】ビット</v>
          </cell>
          <cell r="J317">
            <v>119</v>
          </cell>
          <cell r="K317">
            <v>1</v>
          </cell>
          <cell r="L317">
            <v>777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0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105</v>
          </cell>
          <cell r="AD317">
            <v>6</v>
          </cell>
          <cell r="AE317" t="str">
            <v>singleonly</v>
          </cell>
        </row>
        <row r="318">
          <cell r="A318" t="str">
            <v>14002_2</v>
          </cell>
          <cell r="B318">
            <v>0</v>
          </cell>
          <cell r="C318">
            <v>14002</v>
          </cell>
          <cell r="D318" t="str">
            <v>【ロック】ビット/ソロ</v>
          </cell>
          <cell r="E318" t="str">
            <v>【ロック】ビット/ソロ</v>
          </cell>
          <cell r="F318">
            <v>2</v>
          </cell>
          <cell r="G318" t="str">
            <v>ja</v>
          </cell>
          <cell r="H318" t="str">
            <v>【上級】ゴールドカジノ （ハートなし）</v>
          </cell>
          <cell r="I318" t="str">
            <v>【ロッククエスト】ビット</v>
          </cell>
          <cell r="J318">
            <v>119</v>
          </cell>
          <cell r="K318">
            <v>1</v>
          </cell>
          <cell r="L318">
            <v>350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0</v>
          </cell>
          <cell r="R318">
            <v>3</v>
          </cell>
          <cell r="S318" t="str">
            <v>none</v>
          </cell>
          <cell r="T318">
            <v>0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105</v>
          </cell>
          <cell r="AD318">
            <v>6</v>
          </cell>
          <cell r="AE318" t="str">
            <v>singleonly</v>
          </cell>
        </row>
        <row r="319">
          <cell r="A319" t="str">
            <v>14003_1</v>
          </cell>
          <cell r="B319">
            <v>3</v>
          </cell>
          <cell r="C319">
            <v>14003</v>
          </cell>
          <cell r="D319" t="str">
            <v>【ロック】限界突破/ソロ</v>
          </cell>
          <cell r="E319" t="str">
            <v>【ロック】限界突破/ソロ</v>
          </cell>
          <cell r="F319">
            <v>1</v>
          </cell>
          <cell r="G319" t="str">
            <v>ja</v>
          </cell>
          <cell r="H319" t="str">
            <v>【超級】果実の楽園（ハートなし）</v>
          </cell>
          <cell r="I319" t="str">
            <v>【ロッククエスト】限界突破</v>
          </cell>
          <cell r="J319">
            <v>125</v>
          </cell>
          <cell r="K319">
            <v>1</v>
          </cell>
          <cell r="L319">
            <v>860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0</v>
          </cell>
          <cell r="R319">
            <v>3</v>
          </cell>
          <cell r="S319" t="str">
            <v>none</v>
          </cell>
          <cell r="T319">
            <v>0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7</v>
          </cell>
          <cell r="AD319">
            <v>6</v>
          </cell>
          <cell r="AE319" t="str">
            <v>singleonly</v>
          </cell>
        </row>
        <row r="320">
          <cell r="A320" t="str">
            <v>14003_2</v>
          </cell>
          <cell r="B320">
            <v>1</v>
          </cell>
          <cell r="C320">
            <v>14003</v>
          </cell>
          <cell r="D320" t="str">
            <v>【ロック】限界突破/ソロ</v>
          </cell>
          <cell r="E320" t="str">
            <v>【ロック】限界突破/ソロ</v>
          </cell>
          <cell r="F320">
            <v>2</v>
          </cell>
          <cell r="G320" t="str">
            <v>ja</v>
          </cell>
          <cell r="H320" t="str">
            <v>【超絶級】攻めの極意（ハートなし）</v>
          </cell>
          <cell r="I320" t="str">
            <v>【ロッククエスト】限界突破</v>
          </cell>
          <cell r="J320">
            <v>611</v>
          </cell>
          <cell r="K320">
            <v>1</v>
          </cell>
          <cell r="L320">
            <v>999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0</v>
          </cell>
          <cell r="R320">
            <v>3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10</v>
          </cell>
          <cell r="AD320">
            <v>6</v>
          </cell>
          <cell r="AE320" t="str">
            <v>singleonly</v>
          </cell>
        </row>
        <row r="321">
          <cell r="A321" t="str">
            <v>14003_3</v>
          </cell>
          <cell r="B321">
            <v>1</v>
          </cell>
          <cell r="C321">
            <v>14003</v>
          </cell>
          <cell r="D321" t="str">
            <v>【ロック】限界突破/ソロ</v>
          </cell>
          <cell r="E321" t="str">
            <v>【ロック】限界突破/ソロ</v>
          </cell>
          <cell r="F321">
            <v>3</v>
          </cell>
          <cell r="G321" t="str">
            <v>ja</v>
          </cell>
          <cell r="H321" t="str">
            <v>【超絶級】癒しの極意（ハートなし）</v>
          </cell>
          <cell r="I321" t="str">
            <v>【ロッククエスト】限界突破</v>
          </cell>
          <cell r="J321">
            <v>613</v>
          </cell>
          <cell r="K321">
            <v>1</v>
          </cell>
          <cell r="L321">
            <v>999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0</v>
          </cell>
          <cell r="R321">
            <v>3</v>
          </cell>
          <cell r="S321" t="str">
            <v>none</v>
          </cell>
          <cell r="T321">
            <v>0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5</v>
          </cell>
          <cell r="AD321">
            <v>6</v>
          </cell>
          <cell r="AE321" t="str">
            <v>singleonly</v>
          </cell>
        </row>
        <row r="322">
          <cell r="A322" t="str">
            <v>14003_4</v>
          </cell>
          <cell r="B322">
            <v>1</v>
          </cell>
          <cell r="C322">
            <v>14003</v>
          </cell>
          <cell r="D322" t="str">
            <v>【ロック】限界突破/ソロ</v>
          </cell>
          <cell r="E322" t="str">
            <v>【ロック】限界突破/ソロ</v>
          </cell>
          <cell r="F322">
            <v>4</v>
          </cell>
          <cell r="G322" t="str">
            <v>ja</v>
          </cell>
          <cell r="H322" t="str">
            <v>【超絶級】体力の極意（ハートなし）</v>
          </cell>
          <cell r="I322" t="str">
            <v>【ロッククエスト】限界突破</v>
          </cell>
          <cell r="J322">
            <v>612</v>
          </cell>
          <cell r="K322">
            <v>1</v>
          </cell>
          <cell r="L322">
            <v>999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0</v>
          </cell>
          <cell r="R322">
            <v>3</v>
          </cell>
          <cell r="S322" t="str">
            <v>none</v>
          </cell>
          <cell r="T322">
            <v>0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7</v>
          </cell>
          <cell r="AD322">
            <v>6</v>
          </cell>
          <cell r="AE322" t="str">
            <v>singleonly</v>
          </cell>
        </row>
        <row r="323">
          <cell r="A323" t="str">
            <v>14004_1</v>
          </cell>
          <cell r="B323">
            <v>1</v>
          </cell>
          <cell r="C323">
            <v>14004</v>
          </cell>
          <cell r="D323" t="str">
            <v>【ロック】経験値/LINEマルチ</v>
          </cell>
          <cell r="E323" t="str">
            <v>【ロック】経験値/LINEマルチ</v>
          </cell>
          <cell r="F323">
            <v>1</v>
          </cell>
          <cell r="G323" t="str">
            <v>ja</v>
          </cell>
          <cell r="H323" t="str">
            <v>【超級】雷ファミリー（ハートなし）</v>
          </cell>
          <cell r="I323" t="str">
            <v>【ロッククエスト】経験値</v>
          </cell>
          <cell r="J323">
            <v>347</v>
          </cell>
          <cell r="K323">
            <v>1</v>
          </cell>
          <cell r="L323">
            <v>500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0</v>
          </cell>
          <cell r="R323">
            <v>3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12</v>
          </cell>
          <cell r="AD323">
            <v>6</v>
          </cell>
          <cell r="AE323" t="str">
            <v>lineonly</v>
          </cell>
        </row>
        <row r="324">
          <cell r="A324" t="str">
            <v>14004_2</v>
          </cell>
          <cell r="B324">
            <v>1</v>
          </cell>
          <cell r="C324">
            <v>14004</v>
          </cell>
          <cell r="D324" t="str">
            <v>【ロック】経験値/LINEマルチ</v>
          </cell>
          <cell r="E324" t="str">
            <v>【ロック】経験値/LINEマルチ</v>
          </cell>
          <cell r="F324">
            <v>2</v>
          </cell>
          <cell r="G324" t="str">
            <v>ja</v>
          </cell>
          <cell r="H324" t="str">
            <v>【超級】水ファミリー（ハートなし）</v>
          </cell>
          <cell r="I324" t="str">
            <v>【ロッククエスト】経験値</v>
          </cell>
          <cell r="J324">
            <v>343</v>
          </cell>
          <cell r="K324">
            <v>1</v>
          </cell>
          <cell r="L324">
            <v>500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0</v>
          </cell>
          <cell r="R324">
            <v>3</v>
          </cell>
          <cell r="S324" t="str">
            <v>none</v>
          </cell>
          <cell r="T324">
            <v>0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5</v>
          </cell>
          <cell r="AD324">
            <v>6</v>
          </cell>
          <cell r="AE324" t="str">
            <v>lineonly</v>
          </cell>
        </row>
        <row r="325">
          <cell r="A325" t="str">
            <v>14004_3</v>
          </cell>
          <cell r="B325">
            <v>1</v>
          </cell>
          <cell r="C325">
            <v>14004</v>
          </cell>
          <cell r="D325" t="str">
            <v>【ロック】経験値/LINEマルチ</v>
          </cell>
          <cell r="E325" t="str">
            <v>【ロック】経験値/LINEマルチ</v>
          </cell>
          <cell r="F325">
            <v>3</v>
          </cell>
          <cell r="G325" t="str">
            <v>ja</v>
          </cell>
          <cell r="H325" t="str">
            <v>【超級】森ファミリー（ハートなし）</v>
          </cell>
          <cell r="I325" t="str">
            <v>【ロッククエスト】経験値</v>
          </cell>
          <cell r="J325">
            <v>339</v>
          </cell>
          <cell r="K325">
            <v>1</v>
          </cell>
          <cell r="L325">
            <v>500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0</v>
          </cell>
          <cell r="R325">
            <v>3</v>
          </cell>
          <cell r="S325" t="str">
            <v>none</v>
          </cell>
          <cell r="T325">
            <v>0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7</v>
          </cell>
          <cell r="AD325">
            <v>6</v>
          </cell>
          <cell r="AE325" t="str">
            <v>lineonly</v>
          </cell>
        </row>
        <row r="326">
          <cell r="A326" t="str">
            <v>14004_4</v>
          </cell>
          <cell r="B326">
            <v>1</v>
          </cell>
          <cell r="C326">
            <v>14004</v>
          </cell>
          <cell r="D326" t="str">
            <v>【ロック】経験値/LINEマルチ</v>
          </cell>
          <cell r="E326" t="str">
            <v>【ロック】経験値/LINEマルチ</v>
          </cell>
          <cell r="F326">
            <v>4</v>
          </cell>
          <cell r="G326" t="str">
            <v>ja</v>
          </cell>
          <cell r="H326" t="str">
            <v>【超級】炎ファミリー（ハートなし）</v>
          </cell>
          <cell r="I326" t="str">
            <v>【ロッククエスト】経験値</v>
          </cell>
          <cell r="J326">
            <v>335</v>
          </cell>
          <cell r="K326">
            <v>1</v>
          </cell>
          <cell r="L326">
            <v>500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0</v>
          </cell>
          <cell r="R326">
            <v>3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10</v>
          </cell>
          <cell r="AD326">
            <v>6</v>
          </cell>
          <cell r="AE326" t="str">
            <v>lineonly</v>
          </cell>
        </row>
        <row r="327">
          <cell r="A327" t="str">
            <v>14005_1</v>
          </cell>
          <cell r="B327">
            <v>1</v>
          </cell>
          <cell r="C327">
            <v>14005</v>
          </cell>
          <cell r="D327" t="str">
            <v>【ロック】ビット/LINEマルチ</v>
          </cell>
          <cell r="E327" t="str">
            <v>【ロック】ビット/LINEマルチ</v>
          </cell>
          <cell r="F327">
            <v>1</v>
          </cell>
          <cell r="G327" t="str">
            <v>ja</v>
          </cell>
          <cell r="H327" t="str">
            <v>【超級】ハイローラー（ハートなし）</v>
          </cell>
          <cell r="I327" t="str">
            <v>【ロッククエスト】ビット</v>
          </cell>
          <cell r="J327">
            <v>119</v>
          </cell>
          <cell r="K327">
            <v>1</v>
          </cell>
          <cell r="L327">
            <v>777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0</v>
          </cell>
          <cell r="R327">
            <v>3</v>
          </cell>
          <cell r="S327" t="str">
            <v>none</v>
          </cell>
          <cell r="T327">
            <v>0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105</v>
          </cell>
          <cell r="AD327">
            <v>6</v>
          </cell>
          <cell r="AE327" t="str">
            <v>lineonly</v>
          </cell>
        </row>
        <row r="328">
          <cell r="A328" t="str">
            <v>14006_1</v>
          </cell>
          <cell r="B328">
            <v>1</v>
          </cell>
          <cell r="C328">
            <v>14006</v>
          </cell>
          <cell r="D328" t="str">
            <v>【ロック】限界突破/LINEマルチ</v>
          </cell>
          <cell r="E328" t="str">
            <v>【ロック】限界突破/LINEマルチ</v>
          </cell>
          <cell r="F328">
            <v>1</v>
          </cell>
          <cell r="G328" t="str">
            <v>ja</v>
          </cell>
          <cell r="H328" t="str">
            <v>【超級】果実の楽園（ハートなし）</v>
          </cell>
          <cell r="I328" t="str">
            <v>【ロッククエスト】限界突破</v>
          </cell>
          <cell r="J328">
            <v>125</v>
          </cell>
          <cell r="K328">
            <v>1</v>
          </cell>
          <cell r="L328">
            <v>860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0</v>
          </cell>
          <cell r="R328">
            <v>3</v>
          </cell>
          <cell r="S328" t="str">
            <v>none</v>
          </cell>
          <cell r="T328">
            <v>0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7</v>
          </cell>
          <cell r="AD328">
            <v>6</v>
          </cell>
          <cell r="AE328" t="str">
            <v>lineonly</v>
          </cell>
        </row>
        <row r="329">
          <cell r="A329" t="str">
            <v>15027_1</v>
          </cell>
          <cell r="B329">
            <v>3</v>
          </cell>
          <cell r="C329">
            <v>15027</v>
          </cell>
          <cell r="D329" t="str">
            <v>27. 雷雨の登山道</v>
          </cell>
          <cell r="E329" t="str">
            <v>黄青DL6</v>
          </cell>
          <cell r="F329">
            <v>1</v>
          </cell>
          <cell r="G329" t="str">
            <v>ja</v>
          </cell>
          <cell r="H329" t="str">
            <v>27-1. 登山道入口</v>
          </cell>
          <cell r="J329" t="str">
            <v>NULL</v>
          </cell>
          <cell r="K329">
            <v>18</v>
          </cell>
          <cell r="L329">
            <v>2080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none</v>
          </cell>
          <cell r="T329">
            <v>0</v>
          </cell>
          <cell r="U329">
            <v>26</v>
          </cell>
          <cell r="V329">
            <v>6</v>
          </cell>
          <cell r="W329" t="str">
            <v>26-6．【1回のみ】ボーナスステージ</v>
          </cell>
          <cell r="X329">
            <v>0</v>
          </cell>
          <cell r="Y329">
            <v>1</v>
          </cell>
          <cell r="Z329">
            <v>0</v>
          </cell>
          <cell r="AA329">
            <v>1</v>
          </cell>
          <cell r="AB329" t="str">
            <v>anytime</v>
          </cell>
          <cell r="AC329">
            <v>27</v>
          </cell>
          <cell r="AD329">
            <v>6</v>
          </cell>
          <cell r="AE329" t="str">
            <v>everyone</v>
          </cell>
        </row>
        <row r="330">
          <cell r="A330" t="str">
            <v>15027_2</v>
          </cell>
          <cell r="B330">
            <v>3</v>
          </cell>
          <cell r="C330">
            <v>15027</v>
          </cell>
          <cell r="D330" t="str">
            <v>27. 雷雨の登山道</v>
          </cell>
          <cell r="E330" t="str">
            <v>黄青DL6</v>
          </cell>
          <cell r="F330">
            <v>2</v>
          </cell>
          <cell r="G330" t="str">
            <v>ja</v>
          </cell>
          <cell r="H330" t="str">
            <v>27-2. 霊峰の守護者</v>
          </cell>
          <cell r="J330" t="str">
            <v>NULL</v>
          </cell>
          <cell r="K330">
            <v>19</v>
          </cell>
          <cell r="L330">
            <v>2300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none</v>
          </cell>
          <cell r="T330">
            <v>0</v>
          </cell>
          <cell r="U330">
            <v>15027</v>
          </cell>
          <cell r="V330">
            <v>1</v>
          </cell>
          <cell r="W330" t="str">
            <v>27-1. 登山道入口</v>
          </cell>
          <cell r="X330">
            <v>0</v>
          </cell>
          <cell r="Y330">
            <v>1</v>
          </cell>
          <cell r="Z330">
            <v>0</v>
          </cell>
          <cell r="AA330">
            <v>1</v>
          </cell>
          <cell r="AB330" t="str">
            <v>anytime</v>
          </cell>
          <cell r="AC330">
            <v>27</v>
          </cell>
          <cell r="AD330">
            <v>6</v>
          </cell>
          <cell r="AE330" t="str">
            <v>everyone</v>
          </cell>
        </row>
        <row r="331">
          <cell r="A331" t="str">
            <v>15027_3</v>
          </cell>
          <cell r="B331">
            <v>3</v>
          </cell>
          <cell r="C331">
            <v>15027</v>
          </cell>
          <cell r="D331" t="str">
            <v>27. 雷雨の登山道</v>
          </cell>
          <cell r="E331" t="str">
            <v>黄青DL6</v>
          </cell>
          <cell r="F331">
            <v>3</v>
          </cell>
          <cell r="G331" t="str">
            <v>ja</v>
          </cell>
          <cell r="H331" t="str">
            <v>27-3. 山岳の王者</v>
          </cell>
          <cell r="J331" t="str">
            <v>NULL</v>
          </cell>
          <cell r="K331">
            <v>22</v>
          </cell>
          <cell r="L331">
            <v>2920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none</v>
          </cell>
          <cell r="T331">
            <v>0</v>
          </cell>
          <cell r="U331">
            <v>15027</v>
          </cell>
          <cell r="V331">
            <v>2</v>
          </cell>
          <cell r="W331" t="str">
            <v>27-2. 霊峰の守護者</v>
          </cell>
          <cell r="X331">
            <v>0</v>
          </cell>
          <cell r="Y331">
            <v>1</v>
          </cell>
          <cell r="Z331">
            <v>0</v>
          </cell>
          <cell r="AA331">
            <v>1</v>
          </cell>
          <cell r="AB331" t="str">
            <v>anytime</v>
          </cell>
          <cell r="AC331">
            <v>27</v>
          </cell>
          <cell r="AD331">
            <v>6</v>
          </cell>
          <cell r="AE331" t="str">
            <v>everyone</v>
          </cell>
        </row>
        <row r="332">
          <cell r="A332" t="str">
            <v>15027_4</v>
          </cell>
          <cell r="B332">
            <v>3</v>
          </cell>
          <cell r="C332">
            <v>15027</v>
          </cell>
          <cell r="D332" t="str">
            <v>27. 雷雨の登山道</v>
          </cell>
          <cell r="E332" t="str">
            <v>黄青DL6</v>
          </cell>
          <cell r="F332">
            <v>4</v>
          </cell>
          <cell r="G332" t="str">
            <v>ja</v>
          </cell>
          <cell r="H332" t="str">
            <v>27-4. 【1回のみ】ボーナスステージ</v>
          </cell>
          <cell r="I332" t="str">
            <v>ボーナス</v>
          </cell>
          <cell r="J332">
            <v>343</v>
          </cell>
          <cell r="K332">
            <v>1</v>
          </cell>
          <cell r="L332">
            <v>1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>
            <v>15027</v>
          </cell>
          <cell r="V332">
            <v>3</v>
          </cell>
          <cell r="W332" t="str">
            <v>27-3. 山岳の王者</v>
          </cell>
          <cell r="X332">
            <v>0</v>
          </cell>
          <cell r="Y332">
            <v>1</v>
          </cell>
          <cell r="Z332">
            <v>0</v>
          </cell>
          <cell r="AA332">
            <v>1</v>
          </cell>
          <cell r="AB332" t="str">
            <v>once</v>
          </cell>
          <cell r="AC332">
            <v>27</v>
          </cell>
          <cell r="AD332">
            <v>6</v>
          </cell>
          <cell r="AE332" t="str">
            <v>singleonly</v>
          </cell>
        </row>
        <row r="333">
          <cell r="A333" t="str">
            <v>15028_1</v>
          </cell>
          <cell r="B333">
            <v>3</v>
          </cell>
          <cell r="C333">
            <v>15028</v>
          </cell>
          <cell r="D333" t="str">
            <v>28. 暴風と灼熱の罪浄</v>
          </cell>
          <cell r="E333" t="str">
            <v>赤緑DL6</v>
          </cell>
          <cell r="F333">
            <v>1</v>
          </cell>
          <cell r="G333" t="str">
            <v>ja</v>
          </cell>
          <cell r="H333" t="str">
            <v>28-1. 轟翼のかまど</v>
          </cell>
          <cell r="J333" t="str">
            <v>NULL</v>
          </cell>
          <cell r="K333">
            <v>18</v>
          </cell>
          <cell r="L333">
            <v>2150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none</v>
          </cell>
          <cell r="T333">
            <v>0</v>
          </cell>
          <cell r="U333">
            <v>15027</v>
          </cell>
          <cell r="V333">
            <v>4</v>
          </cell>
          <cell r="W333" t="str">
            <v>27-4. 【1回のみ】ボーナスステージ</v>
          </cell>
          <cell r="X333">
            <v>1</v>
          </cell>
          <cell r="Y333">
            <v>0</v>
          </cell>
          <cell r="Z333">
            <v>1</v>
          </cell>
          <cell r="AA333">
            <v>0</v>
          </cell>
          <cell r="AB333" t="str">
            <v>anytime</v>
          </cell>
          <cell r="AC333">
            <v>28</v>
          </cell>
          <cell r="AD333">
            <v>6</v>
          </cell>
          <cell r="AE333" t="str">
            <v>everyone</v>
          </cell>
        </row>
        <row r="334">
          <cell r="A334" t="str">
            <v>15028_2</v>
          </cell>
          <cell r="B334">
            <v>3</v>
          </cell>
          <cell r="C334">
            <v>15028</v>
          </cell>
          <cell r="D334" t="str">
            <v>28. 暴風と灼熱の罪浄</v>
          </cell>
          <cell r="E334" t="str">
            <v>赤緑DL6</v>
          </cell>
          <cell r="F334">
            <v>2</v>
          </cell>
          <cell r="G334" t="str">
            <v>ja</v>
          </cell>
          <cell r="H334" t="str">
            <v>28-2. 空の寝殿</v>
          </cell>
          <cell r="J334" t="str">
            <v>NULL</v>
          </cell>
          <cell r="K334">
            <v>19</v>
          </cell>
          <cell r="L334">
            <v>2500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none</v>
          </cell>
          <cell r="T334">
            <v>0</v>
          </cell>
          <cell r="U334">
            <v>15028</v>
          </cell>
          <cell r="V334">
            <v>1</v>
          </cell>
          <cell r="W334" t="str">
            <v>28-1. 轟翼のかまど</v>
          </cell>
          <cell r="X334">
            <v>1</v>
          </cell>
          <cell r="Y334">
            <v>0</v>
          </cell>
          <cell r="Z334">
            <v>1</v>
          </cell>
          <cell r="AA334">
            <v>0</v>
          </cell>
          <cell r="AB334" t="str">
            <v>anytime</v>
          </cell>
          <cell r="AC334">
            <v>28</v>
          </cell>
          <cell r="AD334">
            <v>6</v>
          </cell>
          <cell r="AE334" t="str">
            <v>everyone</v>
          </cell>
        </row>
        <row r="335">
          <cell r="A335" t="str">
            <v>15028_3</v>
          </cell>
          <cell r="B335">
            <v>3</v>
          </cell>
          <cell r="C335">
            <v>15028</v>
          </cell>
          <cell r="D335" t="str">
            <v>28. 暴風と灼熱の罪浄</v>
          </cell>
          <cell r="E335" t="str">
            <v>赤緑DL6</v>
          </cell>
          <cell r="F335">
            <v>3</v>
          </cell>
          <cell r="G335" t="str">
            <v>ja</v>
          </cell>
          <cell r="H335" t="str">
            <v>28-3. 縛風の洞窟</v>
          </cell>
          <cell r="J335" t="str">
            <v>NULL</v>
          </cell>
          <cell r="K335">
            <v>22</v>
          </cell>
          <cell r="L335">
            <v>3100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none</v>
          </cell>
          <cell r="T335">
            <v>0</v>
          </cell>
          <cell r="U335">
            <v>15028</v>
          </cell>
          <cell r="V335">
            <v>2</v>
          </cell>
          <cell r="W335" t="str">
            <v>28-2. 空の寝殿</v>
          </cell>
          <cell r="X335">
            <v>1</v>
          </cell>
          <cell r="Y335">
            <v>0</v>
          </cell>
          <cell r="Z335">
            <v>1</v>
          </cell>
          <cell r="AA335">
            <v>0</v>
          </cell>
          <cell r="AB335" t="str">
            <v>anytime</v>
          </cell>
          <cell r="AC335">
            <v>28</v>
          </cell>
          <cell r="AD335">
            <v>6</v>
          </cell>
          <cell r="AE335" t="str">
            <v>everyone</v>
          </cell>
        </row>
        <row r="336">
          <cell r="A336" t="str">
            <v>15028_4</v>
          </cell>
          <cell r="B336">
            <v>3</v>
          </cell>
          <cell r="C336">
            <v>15028</v>
          </cell>
          <cell r="D336" t="str">
            <v>28. 暴風と灼熱の罪浄</v>
          </cell>
          <cell r="E336" t="str">
            <v>赤緑DL6</v>
          </cell>
          <cell r="F336">
            <v>4</v>
          </cell>
          <cell r="G336" t="str">
            <v>ja</v>
          </cell>
          <cell r="H336" t="str">
            <v>28-4. 【1回のみ】ボーナスステージ</v>
          </cell>
          <cell r="I336" t="str">
            <v>ボーナス</v>
          </cell>
          <cell r="J336">
            <v>339</v>
          </cell>
          <cell r="K336">
            <v>1</v>
          </cell>
          <cell r="L336">
            <v>1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none</v>
          </cell>
          <cell r="T336">
            <v>0</v>
          </cell>
          <cell r="U336">
            <v>15028</v>
          </cell>
          <cell r="V336">
            <v>3</v>
          </cell>
          <cell r="W336" t="str">
            <v>28-3. 縛風の洞窟</v>
          </cell>
          <cell r="X336">
            <v>1</v>
          </cell>
          <cell r="Y336">
            <v>0</v>
          </cell>
          <cell r="Z336">
            <v>1</v>
          </cell>
          <cell r="AA336">
            <v>0</v>
          </cell>
          <cell r="AB336" t="str">
            <v>once</v>
          </cell>
          <cell r="AC336">
            <v>28</v>
          </cell>
          <cell r="AD336">
            <v>6</v>
          </cell>
          <cell r="AE336" t="str">
            <v>singleonly</v>
          </cell>
        </row>
        <row r="337">
          <cell r="A337" t="str">
            <v>15029_1</v>
          </cell>
          <cell r="B337">
            <v>3</v>
          </cell>
          <cell r="C337">
            <v>15029</v>
          </cell>
          <cell r="D337" t="str">
            <v>29. 雪の望郷</v>
          </cell>
          <cell r="E337" t="str">
            <v>緑黄DL6</v>
          </cell>
          <cell r="F337">
            <v>1</v>
          </cell>
          <cell r="G337" t="str">
            <v>ja</v>
          </cell>
          <cell r="H337" t="str">
            <v>29-1. 雪の中のケモノたち</v>
          </cell>
          <cell r="J337" t="str">
            <v>NULL</v>
          </cell>
          <cell r="K337">
            <v>18</v>
          </cell>
          <cell r="L337">
            <v>2340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none</v>
          </cell>
          <cell r="T337">
            <v>0</v>
          </cell>
          <cell r="U337">
            <v>15028</v>
          </cell>
          <cell r="V337">
            <v>4</v>
          </cell>
          <cell r="W337" t="str">
            <v>28-4. 【1回のみ】ボーナスステージ</v>
          </cell>
          <cell r="X337">
            <v>0</v>
          </cell>
          <cell r="Y337">
            <v>0</v>
          </cell>
          <cell r="Z337">
            <v>1</v>
          </cell>
          <cell r="AA337">
            <v>1</v>
          </cell>
          <cell r="AB337" t="str">
            <v>anytime</v>
          </cell>
          <cell r="AC337">
            <v>29</v>
          </cell>
          <cell r="AD337">
            <v>6</v>
          </cell>
          <cell r="AE337" t="str">
            <v>everyone</v>
          </cell>
        </row>
        <row r="338">
          <cell r="A338" t="str">
            <v>15029_2</v>
          </cell>
          <cell r="B338">
            <v>3</v>
          </cell>
          <cell r="C338">
            <v>15029</v>
          </cell>
          <cell r="D338" t="str">
            <v>29. 雪の望郷</v>
          </cell>
          <cell r="E338" t="str">
            <v>緑黄DL6</v>
          </cell>
          <cell r="F338">
            <v>2</v>
          </cell>
          <cell r="G338" t="str">
            <v>ja</v>
          </cell>
          <cell r="H338" t="str">
            <v>29-2. ねこみみマフラー</v>
          </cell>
          <cell r="J338" t="str">
            <v>NULL</v>
          </cell>
          <cell r="K338">
            <v>19</v>
          </cell>
          <cell r="L338">
            <v>2670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>
            <v>15029</v>
          </cell>
          <cell r="V338">
            <v>1</v>
          </cell>
          <cell r="W338" t="str">
            <v>29-1. 雪の中のケモノたち</v>
          </cell>
          <cell r="X338">
            <v>0</v>
          </cell>
          <cell r="Y338">
            <v>0</v>
          </cell>
          <cell r="Z338">
            <v>1</v>
          </cell>
          <cell r="AA338">
            <v>1</v>
          </cell>
          <cell r="AB338" t="str">
            <v>anytime</v>
          </cell>
          <cell r="AC338">
            <v>29</v>
          </cell>
          <cell r="AD338">
            <v>6</v>
          </cell>
          <cell r="AE338" t="str">
            <v>everyone</v>
          </cell>
        </row>
        <row r="339">
          <cell r="A339" t="str">
            <v>15029_3</v>
          </cell>
          <cell r="B339">
            <v>3</v>
          </cell>
          <cell r="C339">
            <v>15029</v>
          </cell>
          <cell r="D339" t="str">
            <v>29. 雪の望郷</v>
          </cell>
          <cell r="E339" t="str">
            <v>緑黄DL6</v>
          </cell>
          <cell r="F339">
            <v>3</v>
          </cell>
          <cell r="G339" t="str">
            <v>ja</v>
          </cell>
          <cell r="H339" t="str">
            <v>29-3. 仕立屋と兄妹</v>
          </cell>
          <cell r="J339" t="str">
            <v>NULL</v>
          </cell>
          <cell r="K339">
            <v>22</v>
          </cell>
          <cell r="L339">
            <v>3320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none</v>
          </cell>
          <cell r="T339">
            <v>0</v>
          </cell>
          <cell r="U339">
            <v>15029</v>
          </cell>
          <cell r="V339">
            <v>2</v>
          </cell>
          <cell r="W339" t="str">
            <v>29-2. ねこみみマフラー</v>
          </cell>
          <cell r="X339">
            <v>0</v>
          </cell>
          <cell r="Y339">
            <v>0</v>
          </cell>
          <cell r="Z339">
            <v>1</v>
          </cell>
          <cell r="AA339">
            <v>1</v>
          </cell>
          <cell r="AB339" t="str">
            <v>anytime</v>
          </cell>
          <cell r="AC339">
            <v>29</v>
          </cell>
          <cell r="AD339">
            <v>6</v>
          </cell>
          <cell r="AE339" t="str">
            <v>everyone</v>
          </cell>
        </row>
        <row r="340">
          <cell r="A340" t="str">
            <v>15029_4</v>
          </cell>
          <cell r="B340">
            <v>3</v>
          </cell>
          <cell r="C340">
            <v>15029</v>
          </cell>
          <cell r="D340" t="str">
            <v>29. 雪の望郷</v>
          </cell>
          <cell r="E340" t="str">
            <v>緑黄DL6</v>
          </cell>
          <cell r="F340">
            <v>4</v>
          </cell>
          <cell r="G340" t="str">
            <v>ja</v>
          </cell>
          <cell r="H340" t="str">
            <v>29-4. 【1回のみ】ボーナスステージ</v>
          </cell>
          <cell r="I340" t="str">
            <v>ボーナス</v>
          </cell>
          <cell r="J340">
            <v>347</v>
          </cell>
          <cell r="K340">
            <v>1</v>
          </cell>
          <cell r="L340">
            <v>1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none</v>
          </cell>
          <cell r="T340">
            <v>0</v>
          </cell>
          <cell r="U340">
            <v>15029</v>
          </cell>
          <cell r="V340">
            <v>3</v>
          </cell>
          <cell r="W340" t="str">
            <v>29-3. 仕立屋と兄妹</v>
          </cell>
          <cell r="X340">
            <v>0</v>
          </cell>
          <cell r="Y340">
            <v>0</v>
          </cell>
          <cell r="Z340">
            <v>1</v>
          </cell>
          <cell r="AA340">
            <v>1</v>
          </cell>
          <cell r="AB340" t="str">
            <v>once</v>
          </cell>
          <cell r="AC340">
            <v>29</v>
          </cell>
          <cell r="AD340">
            <v>6</v>
          </cell>
          <cell r="AE340" t="str">
            <v>singleonly</v>
          </cell>
        </row>
        <row r="341">
          <cell r="A341" t="str">
            <v>15030_1</v>
          </cell>
          <cell r="B341">
            <v>3</v>
          </cell>
          <cell r="C341">
            <v>15030</v>
          </cell>
          <cell r="D341" t="str">
            <v>30. 月夜のオールドシティ</v>
          </cell>
          <cell r="E341" t="str">
            <v>赤青DL6</v>
          </cell>
          <cell r="F341">
            <v>1</v>
          </cell>
          <cell r="G341" t="str">
            <v>ja</v>
          </cell>
          <cell r="H341" t="str">
            <v>30-1. 月夜に煌めく刃</v>
          </cell>
          <cell r="J341" t="str">
            <v>NULL</v>
          </cell>
          <cell r="K341">
            <v>18</v>
          </cell>
          <cell r="L341">
            <v>2480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none</v>
          </cell>
          <cell r="T341">
            <v>0</v>
          </cell>
          <cell r="U341">
            <v>15029</v>
          </cell>
          <cell r="V341">
            <v>4</v>
          </cell>
          <cell r="W341" t="str">
            <v>29-4. 【1回のみ】ボーナスステージ</v>
          </cell>
          <cell r="X341">
            <v>1</v>
          </cell>
          <cell r="Y341">
            <v>1</v>
          </cell>
          <cell r="Z341">
            <v>0</v>
          </cell>
          <cell r="AA341">
            <v>0</v>
          </cell>
          <cell r="AB341" t="str">
            <v>anytime</v>
          </cell>
          <cell r="AC341">
            <v>30</v>
          </cell>
          <cell r="AD341">
            <v>6</v>
          </cell>
          <cell r="AE341" t="str">
            <v>everyone</v>
          </cell>
        </row>
        <row r="342">
          <cell r="A342" t="str">
            <v>15030_2</v>
          </cell>
          <cell r="B342">
            <v>3</v>
          </cell>
          <cell r="C342">
            <v>15030</v>
          </cell>
          <cell r="D342" t="str">
            <v>30. 月夜のオールドシティ</v>
          </cell>
          <cell r="E342" t="str">
            <v>赤青DL6</v>
          </cell>
          <cell r="F342">
            <v>2</v>
          </cell>
          <cell r="G342" t="str">
            <v>ja</v>
          </cell>
          <cell r="H342" t="str">
            <v>30-2. 深夜のお茶会</v>
          </cell>
          <cell r="J342" t="str">
            <v>NULL</v>
          </cell>
          <cell r="K342">
            <v>19</v>
          </cell>
          <cell r="L342">
            <v>2800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none</v>
          </cell>
          <cell r="T342">
            <v>0</v>
          </cell>
          <cell r="U342">
            <v>15030</v>
          </cell>
          <cell r="V342">
            <v>1</v>
          </cell>
          <cell r="W342" t="str">
            <v>30-1. 月夜に煌めく刃</v>
          </cell>
          <cell r="X342">
            <v>1</v>
          </cell>
          <cell r="Y342">
            <v>1</v>
          </cell>
          <cell r="Z342">
            <v>0</v>
          </cell>
          <cell r="AA342">
            <v>0</v>
          </cell>
          <cell r="AB342" t="str">
            <v>anytime</v>
          </cell>
          <cell r="AC342">
            <v>30</v>
          </cell>
          <cell r="AD342">
            <v>6</v>
          </cell>
          <cell r="AE342" t="str">
            <v>everyone</v>
          </cell>
        </row>
        <row r="343">
          <cell r="A343" t="str">
            <v>15030_3</v>
          </cell>
          <cell r="B343">
            <v>3</v>
          </cell>
          <cell r="C343">
            <v>15030</v>
          </cell>
          <cell r="D343" t="str">
            <v>30. 月夜のオールドシティ</v>
          </cell>
          <cell r="E343" t="str">
            <v>赤青DL6</v>
          </cell>
          <cell r="F343">
            <v>3</v>
          </cell>
          <cell r="G343" t="str">
            <v>ja</v>
          </cell>
          <cell r="H343" t="str">
            <v>30-3. 月影の襲撃者</v>
          </cell>
          <cell r="J343" t="str">
            <v>NULL</v>
          </cell>
          <cell r="K343">
            <v>22</v>
          </cell>
          <cell r="L343">
            <v>3540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none</v>
          </cell>
          <cell r="T343">
            <v>0</v>
          </cell>
          <cell r="U343">
            <v>15030</v>
          </cell>
          <cell r="V343">
            <v>2</v>
          </cell>
          <cell r="W343" t="str">
            <v>30-2. 深夜のお茶会</v>
          </cell>
          <cell r="X343">
            <v>1</v>
          </cell>
          <cell r="Y343">
            <v>1</v>
          </cell>
          <cell r="Z343">
            <v>0</v>
          </cell>
          <cell r="AA343">
            <v>0</v>
          </cell>
          <cell r="AB343" t="str">
            <v>anytime</v>
          </cell>
          <cell r="AC343">
            <v>30</v>
          </cell>
          <cell r="AD343">
            <v>6</v>
          </cell>
          <cell r="AE343" t="str">
            <v>everyone</v>
          </cell>
        </row>
        <row r="344">
          <cell r="A344" t="str">
            <v>15030_4</v>
          </cell>
          <cell r="B344">
            <v>3</v>
          </cell>
          <cell r="C344">
            <v>15030</v>
          </cell>
          <cell r="D344" t="str">
            <v>30. 月夜のオールドシティ</v>
          </cell>
          <cell r="E344" t="str">
            <v>赤青DL6</v>
          </cell>
          <cell r="F344">
            <v>4</v>
          </cell>
          <cell r="G344" t="str">
            <v>ja</v>
          </cell>
          <cell r="H344" t="str">
            <v>30-4. 【1回のみ】ボーナスステージ</v>
          </cell>
          <cell r="I344" t="str">
            <v>ボーナス</v>
          </cell>
          <cell r="J344">
            <v>335</v>
          </cell>
          <cell r="K344">
            <v>1</v>
          </cell>
          <cell r="L344">
            <v>1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none</v>
          </cell>
          <cell r="T344">
            <v>0</v>
          </cell>
          <cell r="U344">
            <v>15030</v>
          </cell>
          <cell r="V344">
            <v>3</v>
          </cell>
          <cell r="W344" t="str">
            <v>30-3. 月影の襲撃者</v>
          </cell>
          <cell r="X344">
            <v>1</v>
          </cell>
          <cell r="Y344">
            <v>1</v>
          </cell>
          <cell r="Z344">
            <v>0</v>
          </cell>
          <cell r="AA344">
            <v>0</v>
          </cell>
          <cell r="AB344" t="str">
            <v>once</v>
          </cell>
          <cell r="AC344">
            <v>30</v>
          </cell>
          <cell r="AD344">
            <v>6</v>
          </cell>
          <cell r="AE344" t="str">
            <v>singleonly</v>
          </cell>
        </row>
        <row r="345">
          <cell r="A345" t="str">
            <v>15031_1</v>
          </cell>
          <cell r="B345">
            <v>3</v>
          </cell>
          <cell r="C345">
            <v>15031</v>
          </cell>
          <cell r="D345" t="str">
            <v>31. 桜花乱城</v>
          </cell>
          <cell r="E345" t="str">
            <v>混色DL6</v>
          </cell>
          <cell r="F345">
            <v>1</v>
          </cell>
          <cell r="G345" t="str">
            <v>ja</v>
          </cell>
          <cell r="H345" t="str">
            <v>31-1. 忍び寄る影</v>
          </cell>
          <cell r="J345" t="str">
            <v>NULL</v>
          </cell>
          <cell r="K345">
            <v>19</v>
          </cell>
          <cell r="L345">
            <v>2800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none</v>
          </cell>
          <cell r="T345">
            <v>0</v>
          </cell>
          <cell r="U345">
            <v>15030</v>
          </cell>
          <cell r="V345">
            <v>4</v>
          </cell>
          <cell r="W345" t="str">
            <v>30-4. 【1回のみ】ボーナスステージ</v>
          </cell>
          <cell r="X345">
            <v>1</v>
          </cell>
          <cell r="Y345">
            <v>1</v>
          </cell>
          <cell r="Z345">
            <v>1</v>
          </cell>
          <cell r="AA345">
            <v>1</v>
          </cell>
          <cell r="AB345" t="str">
            <v>anytime</v>
          </cell>
          <cell r="AC345">
            <v>31</v>
          </cell>
          <cell r="AD345">
            <v>6</v>
          </cell>
          <cell r="AE345" t="str">
            <v>everyone</v>
          </cell>
        </row>
        <row r="346">
          <cell r="A346" t="str">
            <v>15031_2</v>
          </cell>
          <cell r="B346">
            <v>3</v>
          </cell>
          <cell r="C346">
            <v>15031</v>
          </cell>
          <cell r="D346" t="str">
            <v>31. 桜花乱城</v>
          </cell>
          <cell r="E346" t="str">
            <v>混色DL6</v>
          </cell>
          <cell r="F346">
            <v>2</v>
          </cell>
          <cell r="G346" t="str">
            <v>ja</v>
          </cell>
          <cell r="H346" t="str">
            <v>31-2. 赤鉄の将</v>
          </cell>
          <cell r="J346" t="str">
            <v>NULL</v>
          </cell>
          <cell r="K346">
            <v>21</v>
          </cell>
          <cell r="L346">
            <v>3200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none</v>
          </cell>
          <cell r="T346">
            <v>0</v>
          </cell>
          <cell r="U346">
            <v>15031</v>
          </cell>
          <cell r="V346">
            <v>1</v>
          </cell>
          <cell r="W346" t="str">
            <v>31-1. 忍び寄る影</v>
          </cell>
          <cell r="X346">
            <v>1</v>
          </cell>
          <cell r="Y346">
            <v>1</v>
          </cell>
          <cell r="Z346">
            <v>1</v>
          </cell>
          <cell r="AA346">
            <v>1</v>
          </cell>
          <cell r="AB346" t="str">
            <v>anytime</v>
          </cell>
          <cell r="AC346">
            <v>31</v>
          </cell>
          <cell r="AD346">
            <v>6</v>
          </cell>
          <cell r="AE346" t="str">
            <v>everyone</v>
          </cell>
        </row>
        <row r="347">
          <cell r="A347" t="str">
            <v>15031_3</v>
          </cell>
          <cell r="B347">
            <v>3</v>
          </cell>
          <cell r="C347">
            <v>15031</v>
          </cell>
          <cell r="D347" t="str">
            <v>31. 桜花乱城</v>
          </cell>
          <cell r="E347" t="str">
            <v>混色DL6</v>
          </cell>
          <cell r="F347">
            <v>3</v>
          </cell>
          <cell r="G347" t="str">
            <v>ja</v>
          </cell>
          <cell r="H347" t="str">
            <v>31-3. 神域の試練</v>
          </cell>
          <cell r="J347" t="str">
            <v>NULL</v>
          </cell>
          <cell r="K347">
            <v>24</v>
          </cell>
          <cell r="L347">
            <v>4680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none</v>
          </cell>
          <cell r="T347">
            <v>0</v>
          </cell>
          <cell r="U347">
            <v>15031</v>
          </cell>
          <cell r="V347">
            <v>2</v>
          </cell>
          <cell r="W347" t="str">
            <v>31-2. 赤鉄の将</v>
          </cell>
          <cell r="X347">
            <v>1</v>
          </cell>
          <cell r="Y347">
            <v>1</v>
          </cell>
          <cell r="Z347">
            <v>1</v>
          </cell>
          <cell r="AA347">
            <v>1</v>
          </cell>
          <cell r="AB347" t="str">
            <v>anytime</v>
          </cell>
          <cell r="AC347">
            <v>31</v>
          </cell>
          <cell r="AD347">
            <v>6</v>
          </cell>
          <cell r="AE347" t="str">
            <v>everyone</v>
          </cell>
        </row>
        <row r="348">
          <cell r="A348" t="str">
            <v>15031_4</v>
          </cell>
          <cell r="B348">
            <v>3</v>
          </cell>
          <cell r="C348">
            <v>15031</v>
          </cell>
          <cell r="D348" t="str">
            <v>31. 桜花乱城</v>
          </cell>
          <cell r="E348" t="str">
            <v>混色DL6</v>
          </cell>
          <cell r="F348">
            <v>4</v>
          </cell>
          <cell r="G348" t="str">
            <v>ja</v>
          </cell>
          <cell r="H348" t="str">
            <v>31-4. 【1回のみ】ボーナスステージ</v>
          </cell>
          <cell r="I348" t="str">
            <v>ボーナス</v>
          </cell>
          <cell r="J348">
            <v>610</v>
          </cell>
          <cell r="K348">
            <v>1</v>
          </cell>
          <cell r="L348">
            <v>1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none</v>
          </cell>
          <cell r="T348">
            <v>0</v>
          </cell>
          <cell r="U348">
            <v>15031</v>
          </cell>
          <cell r="V348">
            <v>3</v>
          </cell>
          <cell r="W348" t="str">
            <v>31-3. 神域の試練</v>
          </cell>
          <cell r="X348">
            <v>1</v>
          </cell>
          <cell r="Y348">
            <v>1</v>
          </cell>
          <cell r="Z348">
            <v>1</v>
          </cell>
          <cell r="AA348">
            <v>1</v>
          </cell>
          <cell r="AB348" t="str">
            <v>once</v>
          </cell>
          <cell r="AC348">
            <v>31</v>
          </cell>
          <cell r="AD348">
            <v>6</v>
          </cell>
          <cell r="AE348" t="str">
            <v>singleonly</v>
          </cell>
        </row>
        <row r="349">
          <cell r="A349" t="str">
            <v>20001_1</v>
          </cell>
          <cell r="B349">
            <v>3</v>
          </cell>
          <cell r="C349">
            <v>20001</v>
          </cell>
          <cell r="D349" t="str">
            <v>紅き執行者</v>
          </cell>
          <cell r="E349" t="str">
            <v>ドロップイベント1-1</v>
          </cell>
          <cell r="F349">
            <v>1</v>
          </cell>
          <cell r="G349" t="str">
            <v>ja</v>
          </cell>
          <cell r="H349" t="str">
            <v xml:space="preserve">【初級】紅き執行者 </v>
          </cell>
          <cell r="I349" t="str">
            <v>初級</v>
          </cell>
          <cell r="J349">
            <v>262</v>
          </cell>
          <cell r="K349">
            <v>8</v>
          </cell>
          <cell r="L349">
            <v>384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none</v>
          </cell>
          <cell r="T349">
            <v>0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14</v>
          </cell>
          <cell r="AD349">
            <v>6</v>
          </cell>
          <cell r="AE349" t="str">
            <v>everyone</v>
          </cell>
        </row>
        <row r="350">
          <cell r="A350" t="str">
            <v>20001_2</v>
          </cell>
          <cell r="B350">
            <v>3</v>
          </cell>
          <cell r="C350">
            <v>20001</v>
          </cell>
          <cell r="D350" t="str">
            <v>紅き執行者</v>
          </cell>
          <cell r="E350" t="str">
            <v>ドロップイベント1-1</v>
          </cell>
          <cell r="F350">
            <v>2</v>
          </cell>
          <cell r="G350" t="str">
            <v>ja</v>
          </cell>
          <cell r="H350" t="str">
            <v>【中級】紅き執行者</v>
          </cell>
          <cell r="I350" t="str">
            <v>中級</v>
          </cell>
          <cell r="J350">
            <v>262</v>
          </cell>
          <cell r="K350">
            <v>15</v>
          </cell>
          <cell r="L350">
            <v>1200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none</v>
          </cell>
          <cell r="T350">
            <v>0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14</v>
          </cell>
          <cell r="AD350">
            <v>6</v>
          </cell>
          <cell r="AE350" t="str">
            <v>everyone</v>
          </cell>
        </row>
        <row r="351">
          <cell r="A351" t="str">
            <v>20001_3</v>
          </cell>
          <cell r="B351">
            <v>3</v>
          </cell>
          <cell r="C351">
            <v>20001</v>
          </cell>
          <cell r="D351" t="str">
            <v>紅き執行者</v>
          </cell>
          <cell r="E351" t="str">
            <v>ドロップイベント1-1</v>
          </cell>
          <cell r="F351">
            <v>3</v>
          </cell>
          <cell r="G351" t="str">
            <v>ja</v>
          </cell>
          <cell r="H351" t="str">
            <v xml:space="preserve">【上級】紅き執行者 </v>
          </cell>
          <cell r="I351" t="str">
            <v>上級</v>
          </cell>
          <cell r="J351">
            <v>263</v>
          </cell>
          <cell r="K351">
            <v>20</v>
          </cell>
          <cell r="L351">
            <v>2000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polygon</v>
          </cell>
          <cell r="T351">
            <v>1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14</v>
          </cell>
          <cell r="AD351">
            <v>6</v>
          </cell>
          <cell r="AE351" t="str">
            <v>everyone</v>
          </cell>
        </row>
        <row r="352">
          <cell r="A352" t="str">
            <v>20002_1</v>
          </cell>
          <cell r="B352">
            <v>3</v>
          </cell>
          <cell r="C352">
            <v>20002</v>
          </cell>
          <cell r="D352" t="str">
            <v>孤高の一角獣</v>
          </cell>
          <cell r="E352" t="str">
            <v>ドロップイベント1-2</v>
          </cell>
          <cell r="F352">
            <v>1</v>
          </cell>
          <cell r="G352" t="str">
            <v>ja</v>
          </cell>
          <cell r="H352" t="str">
            <v>【初級】孤高の一角獣</v>
          </cell>
          <cell r="I352" t="str">
            <v>初級</v>
          </cell>
          <cell r="J352">
            <v>264</v>
          </cell>
          <cell r="K352">
            <v>8</v>
          </cell>
          <cell r="L352">
            <v>384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0</v>
          </cell>
          <cell r="R352">
            <v>3</v>
          </cell>
          <cell r="S352" t="str">
            <v>none</v>
          </cell>
          <cell r="T352">
            <v>0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19</v>
          </cell>
          <cell r="AD352">
            <v>6</v>
          </cell>
          <cell r="AE352" t="str">
            <v>everyone</v>
          </cell>
        </row>
        <row r="353">
          <cell r="A353" t="str">
            <v>20002_2</v>
          </cell>
          <cell r="B353">
            <v>3</v>
          </cell>
          <cell r="C353">
            <v>20002</v>
          </cell>
          <cell r="D353" t="str">
            <v>孤高の一角獣</v>
          </cell>
          <cell r="E353" t="str">
            <v>ドロップイベント1-2</v>
          </cell>
          <cell r="F353">
            <v>2</v>
          </cell>
          <cell r="G353" t="str">
            <v>ja</v>
          </cell>
          <cell r="H353" t="str">
            <v>【中級】孤高の一角獣</v>
          </cell>
          <cell r="I353" t="str">
            <v>中級</v>
          </cell>
          <cell r="J353">
            <v>264</v>
          </cell>
          <cell r="K353">
            <v>15</v>
          </cell>
          <cell r="L353">
            <v>1200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0</v>
          </cell>
          <cell r="R353">
            <v>3</v>
          </cell>
          <cell r="S353" t="str">
            <v>none</v>
          </cell>
          <cell r="T353">
            <v>0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19</v>
          </cell>
          <cell r="AD353">
            <v>6</v>
          </cell>
          <cell r="AE353" t="str">
            <v>everyone</v>
          </cell>
        </row>
        <row r="354">
          <cell r="A354" t="str">
            <v>20002_3</v>
          </cell>
          <cell r="B354">
            <v>3</v>
          </cell>
          <cell r="C354">
            <v>20002</v>
          </cell>
          <cell r="D354" t="str">
            <v>孤高の一角獣</v>
          </cell>
          <cell r="E354" t="str">
            <v>ドロップイベント1-2</v>
          </cell>
          <cell r="F354">
            <v>3</v>
          </cell>
          <cell r="G354" t="str">
            <v>ja</v>
          </cell>
          <cell r="H354" t="str">
            <v>【上級】孤高の一角獣</v>
          </cell>
          <cell r="I354" t="str">
            <v>上級</v>
          </cell>
          <cell r="J354">
            <v>265</v>
          </cell>
          <cell r="K354">
            <v>20</v>
          </cell>
          <cell r="L354">
            <v>2000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0</v>
          </cell>
          <cell r="R354">
            <v>3</v>
          </cell>
          <cell r="S354" t="str">
            <v>polygon</v>
          </cell>
          <cell r="T354">
            <v>1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19</v>
          </cell>
          <cell r="AD354">
            <v>6</v>
          </cell>
          <cell r="AE354" t="str">
            <v>everyone</v>
          </cell>
        </row>
        <row r="355">
          <cell r="A355" t="str">
            <v>20003_1</v>
          </cell>
          <cell r="B355">
            <v>3</v>
          </cell>
          <cell r="C355">
            <v>20003</v>
          </cell>
          <cell r="D355" t="str">
            <v>忍び寄る短剣</v>
          </cell>
          <cell r="E355" t="str">
            <v>ドロップイベント1-3</v>
          </cell>
          <cell r="F355">
            <v>1</v>
          </cell>
          <cell r="G355" t="str">
            <v>ja</v>
          </cell>
          <cell r="H355" t="str">
            <v xml:space="preserve">【初級】忍び寄る短剣 </v>
          </cell>
          <cell r="I355" t="str">
            <v>初級</v>
          </cell>
          <cell r="J355">
            <v>266</v>
          </cell>
          <cell r="K355">
            <v>8</v>
          </cell>
          <cell r="L355">
            <v>384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none</v>
          </cell>
          <cell r="T355">
            <v>0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11</v>
          </cell>
          <cell r="AD355">
            <v>6</v>
          </cell>
          <cell r="AE355" t="str">
            <v>everyone</v>
          </cell>
        </row>
        <row r="356">
          <cell r="A356" t="str">
            <v>20003_2</v>
          </cell>
          <cell r="B356">
            <v>3</v>
          </cell>
          <cell r="C356">
            <v>20003</v>
          </cell>
          <cell r="D356" t="str">
            <v>忍び寄る短剣</v>
          </cell>
          <cell r="E356" t="str">
            <v>ドロップイベント1-3</v>
          </cell>
          <cell r="F356">
            <v>2</v>
          </cell>
          <cell r="G356" t="str">
            <v>ja</v>
          </cell>
          <cell r="H356" t="str">
            <v xml:space="preserve">【中級】忍び寄る短剣 </v>
          </cell>
          <cell r="I356" t="str">
            <v>中級</v>
          </cell>
          <cell r="J356">
            <v>266</v>
          </cell>
          <cell r="K356">
            <v>15</v>
          </cell>
          <cell r="L356">
            <v>1200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11</v>
          </cell>
          <cell r="AD356">
            <v>6</v>
          </cell>
          <cell r="AE356" t="str">
            <v>everyone</v>
          </cell>
        </row>
        <row r="357">
          <cell r="A357" t="str">
            <v>20003_3</v>
          </cell>
          <cell r="B357">
            <v>3</v>
          </cell>
          <cell r="C357">
            <v>20003</v>
          </cell>
          <cell r="D357" t="str">
            <v>忍び寄る短剣</v>
          </cell>
          <cell r="E357" t="str">
            <v>ドロップイベント1-3</v>
          </cell>
          <cell r="F357">
            <v>3</v>
          </cell>
          <cell r="G357" t="str">
            <v>ja</v>
          </cell>
          <cell r="H357" t="str">
            <v xml:space="preserve">【上級】忍び寄る短剣 </v>
          </cell>
          <cell r="I357" t="str">
            <v>上級</v>
          </cell>
          <cell r="J357">
            <v>267</v>
          </cell>
          <cell r="K357">
            <v>20</v>
          </cell>
          <cell r="L357">
            <v>2000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polygon</v>
          </cell>
          <cell r="T357">
            <v>1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11</v>
          </cell>
          <cell r="AD357">
            <v>6</v>
          </cell>
          <cell r="AE357" t="str">
            <v>everyone</v>
          </cell>
        </row>
        <row r="358">
          <cell r="A358" t="str">
            <v>20004_1</v>
          </cell>
          <cell r="B358">
            <v>3</v>
          </cell>
          <cell r="C358">
            <v>20004</v>
          </cell>
          <cell r="D358" t="str">
            <v>雷雲からの刺客</v>
          </cell>
          <cell r="E358" t="str">
            <v>ドロップイベント1-4</v>
          </cell>
          <cell r="F358">
            <v>1</v>
          </cell>
          <cell r="G358" t="str">
            <v>ja</v>
          </cell>
          <cell r="H358" t="str">
            <v>【初級】雷雲からの刺客</v>
          </cell>
          <cell r="I358" t="str">
            <v>初級</v>
          </cell>
          <cell r="J358">
            <v>268</v>
          </cell>
          <cell r="K358">
            <v>8</v>
          </cell>
          <cell r="L358">
            <v>384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0</v>
          </cell>
          <cell r="R358">
            <v>3</v>
          </cell>
          <cell r="S358" t="str">
            <v>none</v>
          </cell>
          <cell r="T358">
            <v>0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4</v>
          </cell>
          <cell r="AD358">
            <v>6</v>
          </cell>
          <cell r="AE358" t="str">
            <v>everyone</v>
          </cell>
        </row>
        <row r="359">
          <cell r="A359" t="str">
            <v>20004_2</v>
          </cell>
          <cell r="B359">
            <v>3</v>
          </cell>
          <cell r="C359">
            <v>20004</v>
          </cell>
          <cell r="D359" t="str">
            <v>雷雲からの刺客</v>
          </cell>
          <cell r="E359" t="str">
            <v>ドロップイベント1-4</v>
          </cell>
          <cell r="F359">
            <v>2</v>
          </cell>
          <cell r="G359" t="str">
            <v>ja</v>
          </cell>
          <cell r="H359" t="str">
            <v>【中級】雷雲からの刺客</v>
          </cell>
          <cell r="I359" t="str">
            <v>中級</v>
          </cell>
          <cell r="J359">
            <v>268</v>
          </cell>
          <cell r="K359">
            <v>15</v>
          </cell>
          <cell r="L359">
            <v>1200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0</v>
          </cell>
          <cell r="R359">
            <v>3</v>
          </cell>
          <cell r="S359" t="str">
            <v>none</v>
          </cell>
          <cell r="T359">
            <v>0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4</v>
          </cell>
          <cell r="AD359">
            <v>6</v>
          </cell>
          <cell r="AE359" t="str">
            <v>everyone</v>
          </cell>
        </row>
        <row r="360">
          <cell r="A360" t="str">
            <v>20004_3</v>
          </cell>
          <cell r="B360">
            <v>3</v>
          </cell>
          <cell r="C360">
            <v>20004</v>
          </cell>
          <cell r="D360" t="str">
            <v>雷雲からの刺客</v>
          </cell>
          <cell r="E360" t="str">
            <v>ドロップイベント1-4</v>
          </cell>
          <cell r="F360">
            <v>3</v>
          </cell>
          <cell r="G360" t="str">
            <v>ja</v>
          </cell>
          <cell r="H360" t="str">
            <v>【上級】雷雲からの刺客</v>
          </cell>
          <cell r="I360" t="str">
            <v>上級</v>
          </cell>
          <cell r="J360">
            <v>269</v>
          </cell>
          <cell r="K360">
            <v>20</v>
          </cell>
          <cell r="L360">
            <v>2000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0</v>
          </cell>
          <cell r="R360">
            <v>3</v>
          </cell>
          <cell r="S360" t="str">
            <v>polygon</v>
          </cell>
          <cell r="T360">
            <v>1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4</v>
          </cell>
          <cell r="AD360">
            <v>6</v>
          </cell>
          <cell r="AE360" t="str">
            <v>everyone</v>
          </cell>
        </row>
        <row r="361">
          <cell r="A361" t="str">
            <v>20005_1</v>
          </cell>
          <cell r="B361">
            <v>3</v>
          </cell>
          <cell r="C361">
            <v>20005</v>
          </cell>
          <cell r="D361" t="str">
            <v>ザ・キャノン</v>
          </cell>
          <cell r="E361" t="str">
            <v>ドロップイベント2-2</v>
          </cell>
          <cell r="F361">
            <v>1</v>
          </cell>
          <cell r="G361" t="str">
            <v>ja</v>
          </cell>
          <cell r="H361" t="str">
            <v>【初級】ザ・キャノン(4タップ）</v>
          </cell>
          <cell r="I361" t="str">
            <v>初級</v>
          </cell>
          <cell r="J361">
            <v>286</v>
          </cell>
          <cell r="K361">
            <v>8</v>
          </cell>
          <cell r="L361">
            <v>384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4</v>
          </cell>
          <cell r="S361" t="str">
            <v>none</v>
          </cell>
          <cell r="T361">
            <v>0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14</v>
          </cell>
          <cell r="AD361">
            <v>6</v>
          </cell>
          <cell r="AE361" t="str">
            <v>everyone</v>
          </cell>
        </row>
        <row r="362">
          <cell r="A362" t="str">
            <v>20005_2</v>
          </cell>
          <cell r="B362">
            <v>3</v>
          </cell>
          <cell r="C362">
            <v>20005</v>
          </cell>
          <cell r="D362" t="str">
            <v>ザ・キャノン</v>
          </cell>
          <cell r="E362" t="str">
            <v>ドロップイベント2-2</v>
          </cell>
          <cell r="F362">
            <v>2</v>
          </cell>
          <cell r="G362" t="str">
            <v>ja</v>
          </cell>
          <cell r="H362" t="str">
            <v>【中級】ザ・キャノン(4タップ)</v>
          </cell>
          <cell r="I362" t="str">
            <v>中級</v>
          </cell>
          <cell r="J362">
            <v>286</v>
          </cell>
          <cell r="K362">
            <v>15</v>
          </cell>
          <cell r="L362">
            <v>1200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4</v>
          </cell>
          <cell r="S362" t="str">
            <v>none</v>
          </cell>
          <cell r="T362">
            <v>0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14</v>
          </cell>
          <cell r="AD362">
            <v>6</v>
          </cell>
          <cell r="AE362" t="str">
            <v>everyone</v>
          </cell>
        </row>
        <row r="363">
          <cell r="A363" t="str">
            <v>20005_3</v>
          </cell>
          <cell r="B363">
            <v>3</v>
          </cell>
          <cell r="C363">
            <v>20005</v>
          </cell>
          <cell r="D363" t="str">
            <v>ザ・キャノン</v>
          </cell>
          <cell r="E363" t="str">
            <v>ドロップイベント2-2</v>
          </cell>
          <cell r="F363">
            <v>3</v>
          </cell>
          <cell r="G363" t="str">
            <v>ja</v>
          </cell>
          <cell r="H363" t="str">
            <v>【上級】ザ・キャノン(4タップ)</v>
          </cell>
          <cell r="I363" t="str">
            <v>上級</v>
          </cell>
          <cell r="J363">
            <v>287</v>
          </cell>
          <cell r="K363">
            <v>20</v>
          </cell>
          <cell r="L363">
            <v>2000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4</v>
          </cell>
          <cell r="S363" t="str">
            <v>polygon</v>
          </cell>
          <cell r="T363">
            <v>1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14</v>
          </cell>
          <cell r="AD363">
            <v>6</v>
          </cell>
          <cell r="AE363" t="str">
            <v>everyone</v>
          </cell>
        </row>
        <row r="364">
          <cell r="A364" t="str">
            <v>20006_1</v>
          </cell>
          <cell r="B364">
            <v>3</v>
          </cell>
          <cell r="C364">
            <v>20006</v>
          </cell>
          <cell r="D364" t="str">
            <v>スチール・プレデター</v>
          </cell>
          <cell r="E364" t="str">
            <v>ドロップイベント2-3</v>
          </cell>
          <cell r="F364">
            <v>1</v>
          </cell>
          <cell r="G364" t="str">
            <v>ja</v>
          </cell>
          <cell r="H364" t="str">
            <v>【初級】スチール・プレデター</v>
          </cell>
          <cell r="I364" t="str">
            <v>初級</v>
          </cell>
          <cell r="J364">
            <v>280</v>
          </cell>
          <cell r="K364">
            <v>8</v>
          </cell>
          <cell r="L364">
            <v>384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2</v>
          </cell>
          <cell r="S364" t="str">
            <v>none</v>
          </cell>
          <cell r="T364">
            <v>0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19</v>
          </cell>
          <cell r="AD364">
            <v>6</v>
          </cell>
          <cell r="AE364" t="str">
            <v>everyone</v>
          </cell>
        </row>
        <row r="365">
          <cell r="A365" t="str">
            <v>20006_2</v>
          </cell>
          <cell r="B365">
            <v>3</v>
          </cell>
          <cell r="C365">
            <v>20006</v>
          </cell>
          <cell r="D365" t="str">
            <v>スチール・プレデター</v>
          </cell>
          <cell r="E365" t="str">
            <v>ドロップイベント2-3</v>
          </cell>
          <cell r="F365">
            <v>2</v>
          </cell>
          <cell r="G365" t="str">
            <v>ja</v>
          </cell>
          <cell r="H365" t="str">
            <v>【中級】スチール・プレデター</v>
          </cell>
          <cell r="I365" t="str">
            <v>中級</v>
          </cell>
          <cell r="J365">
            <v>280</v>
          </cell>
          <cell r="K365">
            <v>15</v>
          </cell>
          <cell r="L365">
            <v>1200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2</v>
          </cell>
          <cell r="S365" t="str">
            <v>none</v>
          </cell>
          <cell r="T365">
            <v>0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19</v>
          </cell>
          <cell r="AD365">
            <v>6</v>
          </cell>
          <cell r="AE365" t="str">
            <v>everyone</v>
          </cell>
        </row>
        <row r="366">
          <cell r="A366" t="str">
            <v>20006_3</v>
          </cell>
          <cell r="B366">
            <v>3</v>
          </cell>
          <cell r="C366">
            <v>20006</v>
          </cell>
          <cell r="D366" t="str">
            <v>スチール・プレデター</v>
          </cell>
          <cell r="E366" t="str">
            <v>ドロップイベント2-3</v>
          </cell>
          <cell r="F366">
            <v>3</v>
          </cell>
          <cell r="G366" t="str">
            <v>ja</v>
          </cell>
          <cell r="H366" t="str">
            <v>【上級】スチール・プレデター</v>
          </cell>
          <cell r="I366" t="str">
            <v>上級</v>
          </cell>
          <cell r="J366">
            <v>281</v>
          </cell>
          <cell r="K366">
            <v>20</v>
          </cell>
          <cell r="L366">
            <v>2000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2</v>
          </cell>
          <cell r="S366" t="str">
            <v>polygon</v>
          </cell>
          <cell r="T366">
            <v>1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19</v>
          </cell>
          <cell r="AD366">
            <v>6</v>
          </cell>
          <cell r="AE366" t="str">
            <v>everyone</v>
          </cell>
        </row>
        <row r="367">
          <cell r="A367" t="str">
            <v>20007_1</v>
          </cell>
          <cell r="B367">
            <v>3</v>
          </cell>
          <cell r="C367">
            <v>20007</v>
          </cell>
          <cell r="D367" t="str">
            <v>女王陛下の処刑龍</v>
          </cell>
          <cell r="E367" t="str">
            <v>ドロップイベント2-1</v>
          </cell>
          <cell r="F367">
            <v>1</v>
          </cell>
          <cell r="G367" t="str">
            <v>ja</v>
          </cell>
          <cell r="H367" t="str">
            <v>【初級】女王陛下の処刑龍</v>
          </cell>
          <cell r="I367" t="str">
            <v>初級</v>
          </cell>
          <cell r="J367">
            <v>282</v>
          </cell>
          <cell r="K367">
            <v>8</v>
          </cell>
          <cell r="L367">
            <v>384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4</v>
          </cell>
          <cell r="S367" t="str">
            <v>none</v>
          </cell>
          <cell r="T367">
            <v>0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17</v>
          </cell>
          <cell r="AD367">
            <v>6</v>
          </cell>
          <cell r="AE367" t="str">
            <v>everyone</v>
          </cell>
        </row>
        <row r="368">
          <cell r="A368" t="str">
            <v>20007_2</v>
          </cell>
          <cell r="B368">
            <v>3</v>
          </cell>
          <cell r="C368">
            <v>20007</v>
          </cell>
          <cell r="D368" t="str">
            <v>女王陛下の処刑龍</v>
          </cell>
          <cell r="E368" t="str">
            <v>ドロップイベント2-1</v>
          </cell>
          <cell r="F368">
            <v>2</v>
          </cell>
          <cell r="G368" t="str">
            <v>ja</v>
          </cell>
          <cell r="H368" t="str">
            <v>【中級】女王陛下の処刑龍</v>
          </cell>
          <cell r="I368" t="str">
            <v>中級</v>
          </cell>
          <cell r="J368">
            <v>282</v>
          </cell>
          <cell r="K368">
            <v>15</v>
          </cell>
          <cell r="L368">
            <v>1200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4</v>
          </cell>
          <cell r="S368" t="str">
            <v>none</v>
          </cell>
          <cell r="T368">
            <v>0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17</v>
          </cell>
          <cell r="AD368">
            <v>6</v>
          </cell>
          <cell r="AE368" t="str">
            <v>everyone</v>
          </cell>
        </row>
        <row r="369">
          <cell r="A369" t="str">
            <v>20007_3</v>
          </cell>
          <cell r="B369">
            <v>3</v>
          </cell>
          <cell r="C369">
            <v>20007</v>
          </cell>
          <cell r="D369" t="str">
            <v>女王陛下の処刑龍</v>
          </cell>
          <cell r="E369" t="str">
            <v>ドロップイベント2-1</v>
          </cell>
          <cell r="F369">
            <v>3</v>
          </cell>
          <cell r="G369" t="str">
            <v>ja</v>
          </cell>
          <cell r="H369" t="str">
            <v>【上級】女王陛下の処刑龍</v>
          </cell>
          <cell r="I369" t="str">
            <v>上級</v>
          </cell>
          <cell r="J369">
            <v>283</v>
          </cell>
          <cell r="K369">
            <v>20</v>
          </cell>
          <cell r="L369">
            <v>2000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4</v>
          </cell>
          <cell r="S369" t="str">
            <v>polygon</v>
          </cell>
          <cell r="T369">
            <v>1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17</v>
          </cell>
          <cell r="AD369">
            <v>6</v>
          </cell>
          <cell r="AE369" t="str">
            <v>everyone</v>
          </cell>
        </row>
        <row r="370">
          <cell r="A370" t="str">
            <v>20008_1</v>
          </cell>
          <cell r="B370">
            <v>3</v>
          </cell>
          <cell r="C370">
            <v>20008</v>
          </cell>
          <cell r="D370" t="str">
            <v>天翔ける金轟機龍</v>
          </cell>
          <cell r="E370" t="str">
            <v>ドロップイベント2-4</v>
          </cell>
          <cell r="F370">
            <v>1</v>
          </cell>
          <cell r="G370" t="str">
            <v>ja</v>
          </cell>
          <cell r="H370" t="str">
            <v>【初級】天翔ける金轟機龍</v>
          </cell>
          <cell r="I370" t="str">
            <v>初級</v>
          </cell>
          <cell r="J370">
            <v>284</v>
          </cell>
          <cell r="K370">
            <v>8</v>
          </cell>
          <cell r="L370">
            <v>384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none</v>
          </cell>
          <cell r="T370">
            <v>0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8</v>
          </cell>
          <cell r="AD370">
            <v>6</v>
          </cell>
          <cell r="AE370" t="str">
            <v>everyone</v>
          </cell>
        </row>
        <row r="371">
          <cell r="A371" t="str">
            <v>20008_2</v>
          </cell>
          <cell r="B371">
            <v>3</v>
          </cell>
          <cell r="C371">
            <v>20008</v>
          </cell>
          <cell r="D371" t="str">
            <v>天翔ける金轟機龍</v>
          </cell>
          <cell r="E371" t="str">
            <v>ドロップイベント2-4</v>
          </cell>
          <cell r="F371">
            <v>2</v>
          </cell>
          <cell r="G371" t="str">
            <v>ja</v>
          </cell>
          <cell r="H371" t="str">
            <v>【中級】天翔ける金轟機龍</v>
          </cell>
          <cell r="I371" t="str">
            <v>中級</v>
          </cell>
          <cell r="J371">
            <v>284</v>
          </cell>
          <cell r="K371">
            <v>15</v>
          </cell>
          <cell r="L371">
            <v>1200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8</v>
          </cell>
          <cell r="AD371">
            <v>6</v>
          </cell>
          <cell r="AE371" t="str">
            <v>everyone</v>
          </cell>
        </row>
        <row r="372">
          <cell r="A372" t="str">
            <v>20008_3</v>
          </cell>
          <cell r="B372">
            <v>3</v>
          </cell>
          <cell r="C372">
            <v>20008</v>
          </cell>
          <cell r="D372" t="str">
            <v>天翔ける金轟機龍</v>
          </cell>
          <cell r="E372" t="str">
            <v>ドロップイベント2-4</v>
          </cell>
          <cell r="F372">
            <v>3</v>
          </cell>
          <cell r="G372" t="str">
            <v>ja</v>
          </cell>
          <cell r="H372" t="str">
            <v>【上級】天翔ける金轟機龍</v>
          </cell>
          <cell r="I372" t="str">
            <v>上級</v>
          </cell>
          <cell r="J372">
            <v>285</v>
          </cell>
          <cell r="K372">
            <v>20</v>
          </cell>
          <cell r="L372">
            <v>2000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polygon</v>
          </cell>
          <cell r="T372">
            <v>1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8</v>
          </cell>
          <cell r="AD372">
            <v>6</v>
          </cell>
          <cell r="AE372" t="str">
            <v>everyone</v>
          </cell>
        </row>
        <row r="373">
          <cell r="A373" t="str">
            <v>20009_1</v>
          </cell>
          <cell r="B373">
            <v>0</v>
          </cell>
          <cell r="C373">
            <v>20009</v>
          </cell>
          <cell r="D373" t="str">
            <v>迫り来る窒息</v>
          </cell>
          <cell r="E373" t="str">
            <v>ドロップイベント3</v>
          </cell>
          <cell r="F373">
            <v>1</v>
          </cell>
          <cell r="G373" t="str">
            <v>ja</v>
          </cell>
          <cell r="H373" t="str">
            <v>【初級】迫り来る窒息</v>
          </cell>
          <cell r="I373" t="str">
            <v>初級</v>
          </cell>
          <cell r="J373" t="str">
            <v>NULL</v>
          </cell>
          <cell r="K373">
            <v>8</v>
          </cell>
          <cell r="L373">
            <v>384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none</v>
          </cell>
          <cell r="T373">
            <v>0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25</v>
          </cell>
          <cell r="AD373">
            <v>5</v>
          </cell>
          <cell r="AE373" t="str">
            <v>everyone</v>
          </cell>
        </row>
        <row r="374">
          <cell r="A374" t="str">
            <v>20009_2</v>
          </cell>
          <cell r="B374">
            <v>3</v>
          </cell>
          <cell r="C374">
            <v>20009</v>
          </cell>
          <cell r="D374" t="str">
            <v>迫り来る窒息</v>
          </cell>
          <cell r="E374" t="str">
            <v>ドロップイベント3</v>
          </cell>
          <cell r="F374">
            <v>2</v>
          </cell>
          <cell r="G374" t="str">
            <v>ja</v>
          </cell>
          <cell r="H374" t="str">
            <v>【中級】迫り来る窒息</v>
          </cell>
          <cell r="I374" t="str">
            <v>中級</v>
          </cell>
          <cell r="J374">
            <v>302</v>
          </cell>
          <cell r="K374">
            <v>15</v>
          </cell>
          <cell r="L374">
            <v>1200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none</v>
          </cell>
          <cell r="T374">
            <v>0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25</v>
          </cell>
          <cell r="AD374">
            <v>5</v>
          </cell>
          <cell r="AE374" t="str">
            <v>everyone</v>
          </cell>
        </row>
        <row r="375">
          <cell r="A375" t="str">
            <v>20009_3</v>
          </cell>
          <cell r="B375">
            <v>3</v>
          </cell>
          <cell r="C375">
            <v>20009</v>
          </cell>
          <cell r="D375" t="str">
            <v>迫り来る窒息</v>
          </cell>
          <cell r="E375" t="str">
            <v>ドロップイベント3</v>
          </cell>
          <cell r="F375">
            <v>3</v>
          </cell>
          <cell r="G375" t="str">
            <v>ja</v>
          </cell>
          <cell r="H375" t="str">
            <v>【上級】迫り来る窒息</v>
          </cell>
          <cell r="I375" t="str">
            <v>上級</v>
          </cell>
          <cell r="J375">
            <v>303</v>
          </cell>
          <cell r="K375">
            <v>20</v>
          </cell>
          <cell r="L375">
            <v>2000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polygon</v>
          </cell>
          <cell r="T375">
            <v>1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25</v>
          </cell>
          <cell r="AD375">
            <v>5</v>
          </cell>
          <cell r="AE375" t="str">
            <v>everyone</v>
          </cell>
        </row>
        <row r="376">
          <cell r="A376" t="str">
            <v>20010_1</v>
          </cell>
          <cell r="B376">
            <v>3</v>
          </cell>
          <cell r="C376">
            <v>20010</v>
          </cell>
          <cell r="D376" t="str">
            <v>悪夢の一目惚れ</v>
          </cell>
          <cell r="E376" t="str">
            <v>ドロップイベント3</v>
          </cell>
          <cell r="F376">
            <v>1</v>
          </cell>
          <cell r="G376" t="str">
            <v>ja</v>
          </cell>
          <cell r="H376" t="str">
            <v>【初級】悪夢の一目惚れ</v>
          </cell>
          <cell r="I376" t="str">
            <v>初級</v>
          </cell>
          <cell r="J376">
            <v>304</v>
          </cell>
          <cell r="K376">
            <v>8</v>
          </cell>
          <cell r="L376">
            <v>384</v>
          </cell>
          <cell r="M376">
            <v>1</v>
          </cell>
          <cell r="N376">
            <v>1</v>
          </cell>
          <cell r="O376">
            <v>0</v>
          </cell>
          <cell r="P376">
            <v>1</v>
          </cell>
          <cell r="Q376">
            <v>1</v>
          </cell>
          <cell r="R376">
            <v>3</v>
          </cell>
          <cell r="S376" t="str">
            <v>none</v>
          </cell>
          <cell r="T376">
            <v>0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2601</v>
          </cell>
          <cell r="AD376">
            <v>6</v>
          </cell>
          <cell r="AE376" t="str">
            <v>everyone</v>
          </cell>
        </row>
        <row r="377">
          <cell r="A377" t="str">
            <v>20010_2</v>
          </cell>
          <cell r="B377">
            <v>3</v>
          </cell>
          <cell r="C377">
            <v>20010</v>
          </cell>
          <cell r="D377" t="str">
            <v>悪夢の一目惚れ</v>
          </cell>
          <cell r="E377" t="str">
            <v>ドロップイベント3</v>
          </cell>
          <cell r="F377">
            <v>2</v>
          </cell>
          <cell r="G377" t="str">
            <v>ja</v>
          </cell>
          <cell r="H377" t="str">
            <v>【中級】悪夢の一目惚れ</v>
          </cell>
          <cell r="I377" t="str">
            <v>中級</v>
          </cell>
          <cell r="J377">
            <v>304</v>
          </cell>
          <cell r="K377">
            <v>15</v>
          </cell>
          <cell r="L377">
            <v>1200</v>
          </cell>
          <cell r="M377">
            <v>1</v>
          </cell>
          <cell r="N377">
            <v>1</v>
          </cell>
          <cell r="O377">
            <v>0</v>
          </cell>
          <cell r="P377">
            <v>1</v>
          </cell>
          <cell r="Q377">
            <v>1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2601</v>
          </cell>
          <cell r="AD377">
            <v>6</v>
          </cell>
          <cell r="AE377" t="str">
            <v>everyone</v>
          </cell>
        </row>
        <row r="378">
          <cell r="A378" t="str">
            <v>20010_3</v>
          </cell>
          <cell r="B378">
            <v>3</v>
          </cell>
          <cell r="C378">
            <v>20010</v>
          </cell>
          <cell r="D378" t="str">
            <v>悪夢の一目惚れ</v>
          </cell>
          <cell r="E378" t="str">
            <v>ドロップイベント3</v>
          </cell>
          <cell r="F378">
            <v>3</v>
          </cell>
          <cell r="G378" t="str">
            <v>ja</v>
          </cell>
          <cell r="H378" t="str">
            <v>【上級】悪夢の一目惚れ</v>
          </cell>
          <cell r="I378" t="str">
            <v>上級</v>
          </cell>
          <cell r="J378">
            <v>305</v>
          </cell>
          <cell r="K378">
            <v>20</v>
          </cell>
          <cell r="L378">
            <v>2000</v>
          </cell>
          <cell r="M378">
            <v>1</v>
          </cell>
          <cell r="N378">
            <v>1</v>
          </cell>
          <cell r="O378">
            <v>0</v>
          </cell>
          <cell r="P378">
            <v>1</v>
          </cell>
          <cell r="Q378">
            <v>1</v>
          </cell>
          <cell r="R378">
            <v>3</v>
          </cell>
          <cell r="S378" t="str">
            <v>polygon</v>
          </cell>
          <cell r="T378">
            <v>1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2601</v>
          </cell>
          <cell r="AD378">
            <v>6</v>
          </cell>
          <cell r="AE378" t="str">
            <v>everyone</v>
          </cell>
        </row>
        <row r="379">
          <cell r="A379" t="str">
            <v>20011_1</v>
          </cell>
          <cell r="B379">
            <v>3</v>
          </cell>
          <cell r="C379">
            <v>20011</v>
          </cell>
          <cell r="D379" t="str">
            <v>すべてが灰になる</v>
          </cell>
          <cell r="E379" t="str">
            <v>ドロップイベント3</v>
          </cell>
          <cell r="F379">
            <v>1</v>
          </cell>
          <cell r="G379" t="str">
            <v>ja</v>
          </cell>
          <cell r="H379" t="str">
            <v>【初級】すべてが灰になる</v>
          </cell>
          <cell r="I379" t="str">
            <v>初級</v>
          </cell>
          <cell r="J379">
            <v>298</v>
          </cell>
          <cell r="K379">
            <v>8</v>
          </cell>
          <cell r="L379">
            <v>384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none</v>
          </cell>
          <cell r="T379">
            <v>0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10</v>
          </cell>
          <cell r="AD379">
            <v>5</v>
          </cell>
          <cell r="AE379" t="str">
            <v>everyone</v>
          </cell>
        </row>
        <row r="380">
          <cell r="A380" t="str">
            <v>20011_2</v>
          </cell>
          <cell r="B380">
            <v>3</v>
          </cell>
          <cell r="C380">
            <v>20011</v>
          </cell>
          <cell r="D380" t="str">
            <v>すべてが灰になる</v>
          </cell>
          <cell r="E380" t="str">
            <v>ドロップイベント3</v>
          </cell>
          <cell r="F380">
            <v>2</v>
          </cell>
          <cell r="G380" t="str">
            <v>ja</v>
          </cell>
          <cell r="H380" t="str">
            <v>【中級】すべてが灰になる</v>
          </cell>
          <cell r="I380" t="str">
            <v>中級</v>
          </cell>
          <cell r="J380">
            <v>298</v>
          </cell>
          <cell r="K380">
            <v>15</v>
          </cell>
          <cell r="L380">
            <v>1200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none</v>
          </cell>
          <cell r="T380">
            <v>0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10</v>
          </cell>
          <cell r="AD380">
            <v>5</v>
          </cell>
          <cell r="AE380" t="str">
            <v>everyone</v>
          </cell>
        </row>
        <row r="381">
          <cell r="A381" t="str">
            <v>20011_3</v>
          </cell>
          <cell r="B381">
            <v>3</v>
          </cell>
          <cell r="C381">
            <v>20011</v>
          </cell>
          <cell r="D381" t="str">
            <v>すべてが灰になる</v>
          </cell>
          <cell r="E381" t="str">
            <v>ドロップイベント3</v>
          </cell>
          <cell r="F381">
            <v>3</v>
          </cell>
          <cell r="G381" t="str">
            <v>ja</v>
          </cell>
          <cell r="H381" t="str">
            <v>【上級】すべてが灰になる</v>
          </cell>
          <cell r="I381" t="str">
            <v>上級</v>
          </cell>
          <cell r="J381">
            <v>299</v>
          </cell>
          <cell r="K381">
            <v>20</v>
          </cell>
          <cell r="L381">
            <v>2000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polygon</v>
          </cell>
          <cell r="T381">
            <v>1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10</v>
          </cell>
          <cell r="AD381">
            <v>5</v>
          </cell>
          <cell r="AE381" t="str">
            <v>everyone</v>
          </cell>
        </row>
        <row r="382">
          <cell r="A382" t="str">
            <v>20012_1</v>
          </cell>
          <cell r="B382">
            <v>3</v>
          </cell>
          <cell r="C382">
            <v>20012</v>
          </cell>
          <cell r="D382" t="str">
            <v>罪と劇薬</v>
          </cell>
          <cell r="E382" t="str">
            <v>ドロップイベント3</v>
          </cell>
          <cell r="F382">
            <v>1</v>
          </cell>
          <cell r="G382" t="str">
            <v>ja</v>
          </cell>
          <cell r="H382" t="str">
            <v>【初級】罪と劇薬</v>
          </cell>
          <cell r="I382" t="str">
            <v>初級</v>
          </cell>
          <cell r="J382">
            <v>300</v>
          </cell>
          <cell r="K382">
            <v>8</v>
          </cell>
          <cell r="L382">
            <v>384</v>
          </cell>
          <cell r="M382">
            <v>0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none</v>
          </cell>
          <cell r="T382">
            <v>0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19</v>
          </cell>
          <cell r="AD382">
            <v>6</v>
          </cell>
          <cell r="AE382" t="str">
            <v>everyone</v>
          </cell>
        </row>
        <row r="383">
          <cell r="A383" t="str">
            <v>20012_2</v>
          </cell>
          <cell r="B383">
            <v>3</v>
          </cell>
          <cell r="C383">
            <v>20012</v>
          </cell>
          <cell r="D383" t="str">
            <v>罪と劇薬</v>
          </cell>
          <cell r="E383" t="str">
            <v>ドロップイベント3</v>
          </cell>
          <cell r="F383">
            <v>2</v>
          </cell>
          <cell r="G383" t="str">
            <v>ja</v>
          </cell>
          <cell r="H383" t="str">
            <v>【中級】罪と劇薬</v>
          </cell>
          <cell r="I383" t="str">
            <v>中級</v>
          </cell>
          <cell r="J383">
            <v>300</v>
          </cell>
          <cell r="K383">
            <v>15</v>
          </cell>
          <cell r="L383">
            <v>1200</v>
          </cell>
          <cell r="M383">
            <v>0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none</v>
          </cell>
          <cell r="T383">
            <v>0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19</v>
          </cell>
          <cell r="AD383">
            <v>6</v>
          </cell>
          <cell r="AE383" t="str">
            <v>everyone</v>
          </cell>
        </row>
        <row r="384">
          <cell r="A384" t="str">
            <v>20012_3</v>
          </cell>
          <cell r="B384">
            <v>3</v>
          </cell>
          <cell r="C384">
            <v>20012</v>
          </cell>
          <cell r="D384" t="str">
            <v>罪と劇薬</v>
          </cell>
          <cell r="E384" t="str">
            <v>ドロップイベント3</v>
          </cell>
          <cell r="F384">
            <v>3</v>
          </cell>
          <cell r="G384" t="str">
            <v>ja</v>
          </cell>
          <cell r="H384" t="str">
            <v>【上級】罪と劇薬</v>
          </cell>
          <cell r="I384" t="str">
            <v>上級</v>
          </cell>
          <cell r="J384">
            <v>301</v>
          </cell>
          <cell r="K384">
            <v>20</v>
          </cell>
          <cell r="L384">
            <v>2000</v>
          </cell>
          <cell r="M384">
            <v>0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polygon</v>
          </cell>
          <cell r="T384">
            <v>1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19</v>
          </cell>
          <cell r="AD384">
            <v>6</v>
          </cell>
          <cell r="AE384" t="str">
            <v>everyone</v>
          </cell>
        </row>
        <row r="385">
          <cell r="A385" t="str">
            <v>20013_1</v>
          </cell>
          <cell r="B385">
            <v>3</v>
          </cell>
          <cell r="C385">
            <v>20013</v>
          </cell>
          <cell r="D385" t="str">
            <v>天の時、地の利、人の和</v>
          </cell>
          <cell r="E385" t="str">
            <v>ドロップイベント4</v>
          </cell>
          <cell r="F385">
            <v>1</v>
          </cell>
          <cell r="G385" t="str">
            <v>ja</v>
          </cell>
          <cell r="H385" t="str">
            <v>【初級】天の時、地の利、人の和</v>
          </cell>
          <cell r="I385" t="str">
            <v>初級</v>
          </cell>
          <cell r="J385">
            <v>720</v>
          </cell>
          <cell r="K385">
            <v>8</v>
          </cell>
          <cell r="L385">
            <v>384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none</v>
          </cell>
          <cell r="T385">
            <v>0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10</v>
          </cell>
          <cell r="AD385">
            <v>6</v>
          </cell>
          <cell r="AE385" t="str">
            <v>everyone</v>
          </cell>
        </row>
        <row r="386">
          <cell r="A386" t="str">
            <v>20013_2</v>
          </cell>
          <cell r="B386">
            <v>3</v>
          </cell>
          <cell r="C386">
            <v>20013</v>
          </cell>
          <cell r="D386" t="str">
            <v>天の時、地の利、人の和</v>
          </cell>
          <cell r="E386" t="str">
            <v>ドロップイベント4</v>
          </cell>
          <cell r="F386">
            <v>2</v>
          </cell>
          <cell r="G386" t="str">
            <v>ja</v>
          </cell>
          <cell r="H386" t="str">
            <v>【中級】天の時、地の利、人の和</v>
          </cell>
          <cell r="I386" t="str">
            <v>中級</v>
          </cell>
          <cell r="J386">
            <v>720</v>
          </cell>
          <cell r="K386">
            <v>15</v>
          </cell>
          <cell r="L386">
            <v>1200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none</v>
          </cell>
          <cell r="T386">
            <v>0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10</v>
          </cell>
          <cell r="AD386">
            <v>6</v>
          </cell>
          <cell r="AE386" t="str">
            <v>everyone</v>
          </cell>
        </row>
        <row r="387">
          <cell r="A387" t="str">
            <v>20013_3</v>
          </cell>
          <cell r="B387">
            <v>3</v>
          </cell>
          <cell r="C387">
            <v>20013</v>
          </cell>
          <cell r="D387" t="str">
            <v>天の時、地の利、人の和</v>
          </cell>
          <cell r="E387" t="str">
            <v>ドロップイベント4</v>
          </cell>
          <cell r="F387">
            <v>3</v>
          </cell>
          <cell r="G387" t="str">
            <v>ja</v>
          </cell>
          <cell r="H387" t="str">
            <v>【上級】天の時、地の利、人の和</v>
          </cell>
          <cell r="I387" t="str">
            <v>上級</v>
          </cell>
          <cell r="J387">
            <v>721</v>
          </cell>
          <cell r="K387">
            <v>20</v>
          </cell>
          <cell r="L387">
            <v>2000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polygon</v>
          </cell>
          <cell r="T387">
            <v>1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10</v>
          </cell>
          <cell r="AD387">
            <v>6</v>
          </cell>
          <cell r="AE387" t="str">
            <v>everyone</v>
          </cell>
        </row>
        <row r="388">
          <cell r="A388" t="str">
            <v>20014_1</v>
          </cell>
          <cell r="B388">
            <v>3</v>
          </cell>
          <cell r="C388">
            <v>20014</v>
          </cell>
          <cell r="D388" t="str">
            <v>魅了する歌声</v>
          </cell>
          <cell r="E388" t="str">
            <v>天使と悪魔編1</v>
          </cell>
          <cell r="F388">
            <v>1</v>
          </cell>
          <cell r="G388" t="str">
            <v>ja</v>
          </cell>
          <cell r="H388" t="str">
            <v>【初級】魅了する歌声</v>
          </cell>
          <cell r="I388" t="str">
            <v>初級</v>
          </cell>
          <cell r="J388">
            <v>842</v>
          </cell>
          <cell r="K388">
            <v>8</v>
          </cell>
          <cell r="L388">
            <v>384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none</v>
          </cell>
          <cell r="T388">
            <v>0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17</v>
          </cell>
          <cell r="AD388">
            <v>4</v>
          </cell>
          <cell r="AE388" t="str">
            <v>everyone</v>
          </cell>
        </row>
        <row r="389">
          <cell r="A389" t="str">
            <v>20014_2</v>
          </cell>
          <cell r="B389">
            <v>3</v>
          </cell>
          <cell r="C389">
            <v>20014</v>
          </cell>
          <cell r="D389" t="str">
            <v>魅了する歌声</v>
          </cell>
          <cell r="E389" t="str">
            <v>天使と悪魔編1</v>
          </cell>
          <cell r="F389">
            <v>2</v>
          </cell>
          <cell r="G389" t="str">
            <v>ja</v>
          </cell>
          <cell r="H389" t="str">
            <v>【中級】魅了する歌声</v>
          </cell>
          <cell r="I389" t="str">
            <v>中級</v>
          </cell>
          <cell r="J389">
            <v>842</v>
          </cell>
          <cell r="K389">
            <v>15</v>
          </cell>
          <cell r="L389">
            <v>1200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none</v>
          </cell>
          <cell r="T389">
            <v>0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17</v>
          </cell>
          <cell r="AD389">
            <v>4</v>
          </cell>
          <cell r="AE389" t="str">
            <v>everyone</v>
          </cell>
        </row>
        <row r="390">
          <cell r="A390" t="str">
            <v>20014_3</v>
          </cell>
          <cell r="B390">
            <v>3</v>
          </cell>
          <cell r="C390">
            <v>20014</v>
          </cell>
          <cell r="D390" t="str">
            <v>魅了する歌声</v>
          </cell>
          <cell r="E390" t="str">
            <v>天使と悪魔編1</v>
          </cell>
          <cell r="F390">
            <v>3</v>
          </cell>
          <cell r="G390" t="str">
            <v>ja</v>
          </cell>
          <cell r="H390" t="str">
            <v>【上級】魅了する歌声</v>
          </cell>
          <cell r="I390" t="str">
            <v>上級</v>
          </cell>
          <cell r="J390">
            <v>842</v>
          </cell>
          <cell r="K390">
            <v>20</v>
          </cell>
          <cell r="L390">
            <v>2000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polygon</v>
          </cell>
          <cell r="T390">
            <v>1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17</v>
          </cell>
          <cell r="AD390">
            <v>4</v>
          </cell>
          <cell r="AE390" t="str">
            <v>everyone</v>
          </cell>
        </row>
        <row r="391">
          <cell r="A391" t="str">
            <v>20015_1</v>
          </cell>
          <cell r="B391">
            <v>3</v>
          </cell>
          <cell r="C391">
            <v>20015</v>
          </cell>
          <cell r="D391" t="str">
            <v>妄執とり憑く美貌の妃</v>
          </cell>
          <cell r="E391" t="str">
            <v>おとぎ話シリーズ3</v>
          </cell>
          <cell r="F391">
            <v>1</v>
          </cell>
          <cell r="G391" t="str">
            <v>ja</v>
          </cell>
          <cell r="H391" t="str">
            <v>【初級】妄執とり憑く美貌の妃</v>
          </cell>
          <cell r="I391" t="str">
            <v>初級</v>
          </cell>
          <cell r="J391">
            <v>856</v>
          </cell>
          <cell r="K391">
            <v>8</v>
          </cell>
          <cell r="L391">
            <v>384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none</v>
          </cell>
          <cell r="T391">
            <v>0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6</v>
          </cell>
          <cell r="AD391">
            <v>6</v>
          </cell>
          <cell r="AE391" t="str">
            <v>everyone</v>
          </cell>
        </row>
        <row r="392">
          <cell r="A392" t="str">
            <v>20015_2</v>
          </cell>
          <cell r="B392">
            <v>3</v>
          </cell>
          <cell r="C392">
            <v>20015</v>
          </cell>
          <cell r="D392" t="str">
            <v>妄執とり憑く美貌の妃</v>
          </cell>
          <cell r="E392" t="str">
            <v>おとぎ話シリーズ3</v>
          </cell>
          <cell r="F392">
            <v>2</v>
          </cell>
          <cell r="G392" t="str">
            <v>ja</v>
          </cell>
          <cell r="H392" t="str">
            <v>【中級】妄執とり憑く美貌の妃</v>
          </cell>
          <cell r="I392" t="str">
            <v>中級</v>
          </cell>
          <cell r="J392">
            <v>856</v>
          </cell>
          <cell r="K392">
            <v>15</v>
          </cell>
          <cell r="L392">
            <v>1200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none</v>
          </cell>
          <cell r="T392">
            <v>0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6</v>
          </cell>
          <cell r="AD392">
            <v>6</v>
          </cell>
          <cell r="AE392" t="str">
            <v>everyone</v>
          </cell>
        </row>
        <row r="393">
          <cell r="A393" t="str">
            <v>20015_3</v>
          </cell>
          <cell r="B393">
            <v>3</v>
          </cell>
          <cell r="C393">
            <v>20015</v>
          </cell>
          <cell r="D393" t="str">
            <v>妄執とり憑く美貌の妃</v>
          </cell>
          <cell r="E393" t="str">
            <v>おとぎ話シリーズ3</v>
          </cell>
          <cell r="F393">
            <v>3</v>
          </cell>
          <cell r="G393" t="str">
            <v>ja</v>
          </cell>
          <cell r="H393" t="str">
            <v>【上級】妄執とり憑く美貌の妃</v>
          </cell>
          <cell r="I393" t="str">
            <v>上級</v>
          </cell>
          <cell r="J393">
            <v>857</v>
          </cell>
          <cell r="K393">
            <v>20</v>
          </cell>
          <cell r="L393">
            <v>2000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polygon</v>
          </cell>
          <cell r="T393">
            <v>1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6</v>
          </cell>
          <cell r="AD393">
            <v>6</v>
          </cell>
          <cell r="AE393" t="str">
            <v>everyone</v>
          </cell>
        </row>
        <row r="394">
          <cell r="A394" t="str">
            <v>20016_1</v>
          </cell>
          <cell r="B394">
            <v>1</v>
          </cell>
          <cell r="C394">
            <v>20016</v>
          </cell>
          <cell r="D394" t="str">
            <v>寡黙な翼竜の侵攻</v>
          </cell>
          <cell r="E394" t="str">
            <v>ギリシャ神話01</v>
          </cell>
          <cell r="F394">
            <v>1</v>
          </cell>
          <cell r="G394" t="str">
            <v>ja</v>
          </cell>
          <cell r="H394" t="str">
            <v>【初級】ラドン</v>
          </cell>
          <cell r="I394" t="str">
            <v>初級</v>
          </cell>
          <cell r="J394">
            <v>738</v>
          </cell>
          <cell r="K394">
            <v>8</v>
          </cell>
          <cell r="L394">
            <v>384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none</v>
          </cell>
          <cell r="T394">
            <v>0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25</v>
          </cell>
          <cell r="AD394">
            <v>6</v>
          </cell>
          <cell r="AE394" t="str">
            <v>everyone</v>
          </cell>
        </row>
        <row r="395">
          <cell r="A395" t="str">
            <v>20016_2</v>
          </cell>
          <cell r="B395">
            <v>1</v>
          </cell>
          <cell r="C395">
            <v>20016</v>
          </cell>
          <cell r="D395" t="str">
            <v>寡黙な翼竜の侵攻</v>
          </cell>
          <cell r="E395" t="str">
            <v>ギリシャ神話01</v>
          </cell>
          <cell r="F395">
            <v>2</v>
          </cell>
          <cell r="G395" t="str">
            <v>ja</v>
          </cell>
          <cell r="H395" t="str">
            <v>【中級】ラドン</v>
          </cell>
          <cell r="I395" t="str">
            <v>中級</v>
          </cell>
          <cell r="J395">
            <v>738</v>
          </cell>
          <cell r="K395">
            <v>15</v>
          </cell>
          <cell r="L395">
            <v>1200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none</v>
          </cell>
          <cell r="T395">
            <v>0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25</v>
          </cell>
          <cell r="AD395">
            <v>6</v>
          </cell>
          <cell r="AE395" t="str">
            <v>everyone</v>
          </cell>
        </row>
        <row r="396">
          <cell r="A396" t="str">
            <v>20016_3</v>
          </cell>
          <cell r="B396">
            <v>1</v>
          </cell>
          <cell r="C396">
            <v>20016</v>
          </cell>
          <cell r="D396" t="str">
            <v>寡黙な翼竜の侵攻</v>
          </cell>
          <cell r="E396" t="str">
            <v>ギリシャ神話01</v>
          </cell>
          <cell r="F396">
            <v>3</v>
          </cell>
          <cell r="G396" t="str">
            <v>ja</v>
          </cell>
          <cell r="H396" t="str">
            <v>【上級】ラドン</v>
          </cell>
          <cell r="I396" t="str">
            <v>上級</v>
          </cell>
          <cell r="J396">
            <v>739</v>
          </cell>
          <cell r="K396">
            <v>20</v>
          </cell>
          <cell r="L396">
            <v>2000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polygon</v>
          </cell>
          <cell r="T396">
            <v>1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25</v>
          </cell>
          <cell r="AD396">
            <v>6</v>
          </cell>
          <cell r="AE396" t="str">
            <v>everyone</v>
          </cell>
        </row>
        <row r="397">
          <cell r="A397" t="str">
            <v>30001_1</v>
          </cell>
          <cell r="B397">
            <v>3</v>
          </cell>
          <cell r="C397">
            <v>30001</v>
          </cell>
          <cell r="D397" t="str">
            <v>ハンター・オブ・ハンター</v>
          </cell>
          <cell r="E397" t="str">
            <v>ドロップイベント1-1（マルチ専用）</v>
          </cell>
          <cell r="F397">
            <v>1</v>
          </cell>
          <cell r="G397" t="str">
            <v>ja</v>
          </cell>
          <cell r="H397" t="str">
            <v xml:space="preserve">【中級】ハンター・オブ・ハンター </v>
          </cell>
          <cell r="I397" t="str">
            <v>中級</v>
          </cell>
          <cell r="J397">
            <v>270</v>
          </cell>
          <cell r="K397">
            <v>15</v>
          </cell>
          <cell r="L397">
            <v>1200</v>
          </cell>
          <cell r="M397">
            <v>1</v>
          </cell>
          <cell r="N397">
            <v>1</v>
          </cell>
          <cell r="O397">
            <v>1</v>
          </cell>
          <cell r="P397">
            <v>1</v>
          </cell>
          <cell r="Q397">
            <v>1</v>
          </cell>
          <cell r="R397">
            <v>3</v>
          </cell>
          <cell r="S397" t="str">
            <v>none</v>
          </cell>
          <cell r="T397">
            <v>0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7</v>
          </cell>
          <cell r="AD397">
            <v>6</v>
          </cell>
          <cell r="AE397" t="str">
            <v>everyone</v>
          </cell>
        </row>
        <row r="398">
          <cell r="A398" t="str">
            <v>30001_2</v>
          </cell>
          <cell r="B398">
            <v>3</v>
          </cell>
          <cell r="C398">
            <v>30001</v>
          </cell>
          <cell r="D398" t="str">
            <v>ハンター・オブ・ハンター</v>
          </cell>
          <cell r="E398" t="str">
            <v>ドロップイベント1-1（マルチ専用）</v>
          </cell>
          <cell r="F398">
            <v>2</v>
          </cell>
          <cell r="G398" t="str">
            <v>ja</v>
          </cell>
          <cell r="H398" t="str">
            <v xml:space="preserve">【上級】ハンター・オブ・ハンター </v>
          </cell>
          <cell r="I398" t="str">
            <v>上級</v>
          </cell>
          <cell r="J398">
            <v>270</v>
          </cell>
          <cell r="K398">
            <v>20</v>
          </cell>
          <cell r="L398">
            <v>2000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none</v>
          </cell>
          <cell r="T398">
            <v>0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7</v>
          </cell>
          <cell r="AD398">
            <v>6</v>
          </cell>
          <cell r="AE398" t="str">
            <v>everyone</v>
          </cell>
        </row>
        <row r="399">
          <cell r="A399" t="str">
            <v>30001_3</v>
          </cell>
          <cell r="B399">
            <v>3</v>
          </cell>
          <cell r="C399">
            <v>30001</v>
          </cell>
          <cell r="D399" t="str">
            <v>ハンター・オブ・ハンター</v>
          </cell>
          <cell r="E399" t="str">
            <v>ドロップイベント1-1（マルチ専用）</v>
          </cell>
          <cell r="F399">
            <v>3</v>
          </cell>
          <cell r="G399" t="str">
            <v>ja</v>
          </cell>
          <cell r="H399" t="str">
            <v xml:space="preserve">【超級】ハンター・オブ・ハンター </v>
          </cell>
          <cell r="I399" t="str">
            <v>超級</v>
          </cell>
          <cell r="J399">
            <v>271</v>
          </cell>
          <cell r="K399">
            <v>30</v>
          </cell>
          <cell r="L399">
            <v>3300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polygon</v>
          </cell>
          <cell r="T399">
            <v>1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7</v>
          </cell>
          <cell r="AD399">
            <v>6</v>
          </cell>
          <cell r="AE399" t="str">
            <v>everyone</v>
          </cell>
        </row>
        <row r="400">
          <cell r="A400" t="str">
            <v>30002_1</v>
          </cell>
          <cell r="B400">
            <v>3</v>
          </cell>
          <cell r="C400">
            <v>30002</v>
          </cell>
          <cell r="D400" t="str">
            <v>トリックスター</v>
          </cell>
          <cell r="E400" t="str">
            <v>ドロップイベント1-2（マルチ専用）</v>
          </cell>
          <cell r="F400">
            <v>1</v>
          </cell>
          <cell r="G400" t="str">
            <v>ja</v>
          </cell>
          <cell r="H400" t="str">
            <v xml:space="preserve">【中級】トリックスター </v>
          </cell>
          <cell r="I400" t="str">
            <v>中級</v>
          </cell>
          <cell r="J400">
            <v>272</v>
          </cell>
          <cell r="K400">
            <v>15</v>
          </cell>
          <cell r="L400">
            <v>1200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none</v>
          </cell>
          <cell r="T400">
            <v>0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17</v>
          </cell>
          <cell r="AD400">
            <v>6</v>
          </cell>
          <cell r="AE400" t="str">
            <v>everyone</v>
          </cell>
        </row>
        <row r="401">
          <cell r="A401" t="str">
            <v>30002_2</v>
          </cell>
          <cell r="B401">
            <v>3</v>
          </cell>
          <cell r="C401">
            <v>30002</v>
          </cell>
          <cell r="D401" t="str">
            <v>トリックスター</v>
          </cell>
          <cell r="E401" t="str">
            <v>ドロップイベント1-2（マルチ専用）</v>
          </cell>
          <cell r="F401">
            <v>2</v>
          </cell>
          <cell r="G401" t="str">
            <v>ja</v>
          </cell>
          <cell r="H401" t="str">
            <v xml:space="preserve">【上級】トリックスター </v>
          </cell>
          <cell r="I401" t="str">
            <v>上級</v>
          </cell>
          <cell r="J401">
            <v>272</v>
          </cell>
          <cell r="K401">
            <v>20</v>
          </cell>
          <cell r="L401">
            <v>2000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none</v>
          </cell>
          <cell r="T401">
            <v>0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17</v>
          </cell>
          <cell r="AD401">
            <v>6</v>
          </cell>
          <cell r="AE401" t="str">
            <v>everyone</v>
          </cell>
        </row>
        <row r="402">
          <cell r="A402" t="str">
            <v>30002_3</v>
          </cell>
          <cell r="B402">
            <v>3</v>
          </cell>
          <cell r="C402">
            <v>30002</v>
          </cell>
          <cell r="D402" t="str">
            <v>トリックスター</v>
          </cell>
          <cell r="E402" t="str">
            <v>ドロップイベント1-2（マルチ専用）</v>
          </cell>
          <cell r="F402">
            <v>3</v>
          </cell>
          <cell r="G402" t="str">
            <v>ja</v>
          </cell>
          <cell r="H402" t="str">
            <v xml:space="preserve">【超級】トリックスター </v>
          </cell>
          <cell r="I402" t="str">
            <v>超級</v>
          </cell>
          <cell r="J402">
            <v>273</v>
          </cell>
          <cell r="K402">
            <v>30</v>
          </cell>
          <cell r="L402">
            <v>3300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polygon</v>
          </cell>
          <cell r="T402">
            <v>1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17</v>
          </cell>
          <cell r="AD402">
            <v>6</v>
          </cell>
          <cell r="AE402" t="str">
            <v>everyone</v>
          </cell>
        </row>
        <row r="403">
          <cell r="A403" t="str">
            <v>30003_1</v>
          </cell>
          <cell r="B403">
            <v>3</v>
          </cell>
          <cell r="C403">
            <v>30003</v>
          </cell>
          <cell r="D403" t="str">
            <v>打ち下ろされる砕棒</v>
          </cell>
          <cell r="E403" t="str">
            <v>ドロップイベント1-3（マルチ専用）</v>
          </cell>
          <cell r="F403">
            <v>1</v>
          </cell>
          <cell r="G403" t="str">
            <v>ja</v>
          </cell>
          <cell r="H403" t="str">
            <v xml:space="preserve">【中級】打ち下ろされる砕棒 </v>
          </cell>
          <cell r="I403" t="str">
            <v>中級</v>
          </cell>
          <cell r="J403">
            <v>274</v>
          </cell>
          <cell r="K403">
            <v>15</v>
          </cell>
          <cell r="L403">
            <v>1200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none</v>
          </cell>
          <cell r="T403">
            <v>0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20</v>
          </cell>
          <cell r="AD403">
            <v>6</v>
          </cell>
          <cell r="AE403" t="str">
            <v>everyone</v>
          </cell>
        </row>
        <row r="404">
          <cell r="A404" t="str">
            <v>30003_2</v>
          </cell>
          <cell r="B404">
            <v>3</v>
          </cell>
          <cell r="C404">
            <v>30003</v>
          </cell>
          <cell r="D404" t="str">
            <v>打ち下ろされる砕棒</v>
          </cell>
          <cell r="E404" t="str">
            <v>ドロップイベント1-3（マルチ専用）</v>
          </cell>
          <cell r="F404">
            <v>2</v>
          </cell>
          <cell r="G404" t="str">
            <v>ja</v>
          </cell>
          <cell r="H404" t="str">
            <v>【上級】打ち下ろされる砕棒</v>
          </cell>
          <cell r="I404" t="str">
            <v>上級</v>
          </cell>
          <cell r="J404">
            <v>274</v>
          </cell>
          <cell r="K404">
            <v>20</v>
          </cell>
          <cell r="L404">
            <v>2000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none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20</v>
          </cell>
          <cell r="AD404">
            <v>6</v>
          </cell>
          <cell r="AE404" t="str">
            <v>everyone</v>
          </cell>
        </row>
        <row r="405">
          <cell r="A405" t="str">
            <v>30003_3</v>
          </cell>
          <cell r="B405">
            <v>3</v>
          </cell>
          <cell r="C405">
            <v>30003</v>
          </cell>
          <cell r="D405" t="str">
            <v>打ち下ろされる砕棒</v>
          </cell>
          <cell r="E405" t="str">
            <v>ドロップイベント1-3（マルチ専用）</v>
          </cell>
          <cell r="F405">
            <v>3</v>
          </cell>
          <cell r="G405" t="str">
            <v>ja</v>
          </cell>
          <cell r="H405" t="str">
            <v xml:space="preserve">【超級】打ち下ろされる砕棒 </v>
          </cell>
          <cell r="I405" t="str">
            <v>超級</v>
          </cell>
          <cell r="J405">
            <v>275</v>
          </cell>
          <cell r="K405">
            <v>30</v>
          </cell>
          <cell r="L405">
            <v>3300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polygon</v>
          </cell>
          <cell r="T405">
            <v>1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20</v>
          </cell>
          <cell r="AD405">
            <v>6</v>
          </cell>
          <cell r="AE405" t="str">
            <v>everyone</v>
          </cell>
        </row>
        <row r="406">
          <cell r="A406" t="str">
            <v>30004_1</v>
          </cell>
          <cell r="B406">
            <v>3</v>
          </cell>
          <cell r="C406">
            <v>30004</v>
          </cell>
          <cell r="D406" t="str">
            <v>危険な仲裁者</v>
          </cell>
          <cell r="E406" t="str">
            <v>ドロップイベント1-4（マルチ専用）</v>
          </cell>
          <cell r="F406">
            <v>1</v>
          </cell>
          <cell r="G406" t="str">
            <v>ja</v>
          </cell>
          <cell r="H406" t="str">
            <v xml:space="preserve">【中級】危険な仲裁者 </v>
          </cell>
          <cell r="I406" t="str">
            <v>中級</v>
          </cell>
          <cell r="J406">
            <v>276</v>
          </cell>
          <cell r="K406">
            <v>15</v>
          </cell>
          <cell r="L406">
            <v>1200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none</v>
          </cell>
          <cell r="T406">
            <v>0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14</v>
          </cell>
          <cell r="AD406">
            <v>6</v>
          </cell>
          <cell r="AE406" t="str">
            <v>everyone</v>
          </cell>
        </row>
        <row r="407">
          <cell r="A407" t="str">
            <v>30004_2</v>
          </cell>
          <cell r="B407">
            <v>3</v>
          </cell>
          <cell r="C407">
            <v>30004</v>
          </cell>
          <cell r="D407" t="str">
            <v>危険な仲裁者</v>
          </cell>
          <cell r="E407" t="str">
            <v>ドロップイベント1-4（マルチ専用）</v>
          </cell>
          <cell r="F407">
            <v>2</v>
          </cell>
          <cell r="G407" t="str">
            <v>ja</v>
          </cell>
          <cell r="H407" t="str">
            <v xml:space="preserve">【上級】危険な仲裁者 </v>
          </cell>
          <cell r="I407" t="str">
            <v>上級</v>
          </cell>
          <cell r="J407">
            <v>276</v>
          </cell>
          <cell r="K407">
            <v>20</v>
          </cell>
          <cell r="L407">
            <v>2000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none</v>
          </cell>
          <cell r="T407">
            <v>0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14</v>
          </cell>
          <cell r="AD407">
            <v>6</v>
          </cell>
          <cell r="AE407" t="str">
            <v>everyone</v>
          </cell>
        </row>
        <row r="408">
          <cell r="A408" t="str">
            <v>30004_3</v>
          </cell>
          <cell r="B408">
            <v>3</v>
          </cell>
          <cell r="C408">
            <v>30004</v>
          </cell>
          <cell r="D408" t="str">
            <v>危険な仲裁者</v>
          </cell>
          <cell r="E408" t="str">
            <v>ドロップイベント1-4（マルチ専用）</v>
          </cell>
          <cell r="F408">
            <v>3</v>
          </cell>
          <cell r="G408" t="str">
            <v>ja</v>
          </cell>
          <cell r="H408" t="str">
            <v xml:space="preserve">【超級】危険な仲裁者 </v>
          </cell>
          <cell r="I408" t="str">
            <v>超級</v>
          </cell>
          <cell r="J408">
            <v>277</v>
          </cell>
          <cell r="K408">
            <v>30</v>
          </cell>
          <cell r="L408">
            <v>3300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polygon</v>
          </cell>
          <cell r="T408">
            <v>1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14</v>
          </cell>
          <cell r="AD408">
            <v>6</v>
          </cell>
          <cell r="AE408" t="str">
            <v>everyone</v>
          </cell>
        </row>
        <row r="409">
          <cell r="A409" t="str">
            <v>30005_1</v>
          </cell>
          <cell r="B409">
            <v>3</v>
          </cell>
          <cell r="C409">
            <v>30005</v>
          </cell>
          <cell r="D409" t="str">
            <v>ニンゲンにしてあげる☆</v>
          </cell>
          <cell r="E409" t="str">
            <v>ドロップイベント2-1（マルチ専用）</v>
          </cell>
          <cell r="F409">
            <v>1</v>
          </cell>
          <cell r="G409" t="str">
            <v>ja</v>
          </cell>
          <cell r="H409" t="str">
            <v xml:space="preserve">【中級】ニンゲンにしてあげる </v>
          </cell>
          <cell r="I409" t="str">
            <v>中級</v>
          </cell>
          <cell r="J409">
            <v>290</v>
          </cell>
          <cell r="K409">
            <v>15</v>
          </cell>
          <cell r="L409">
            <v>1200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none</v>
          </cell>
          <cell r="T409">
            <v>0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11</v>
          </cell>
          <cell r="AD409">
            <v>6</v>
          </cell>
          <cell r="AE409" t="str">
            <v>everyone</v>
          </cell>
        </row>
        <row r="410">
          <cell r="A410" t="str">
            <v>30005_2</v>
          </cell>
          <cell r="B410">
            <v>3</v>
          </cell>
          <cell r="C410">
            <v>30005</v>
          </cell>
          <cell r="D410" t="str">
            <v>ニンゲンにしてあげる☆</v>
          </cell>
          <cell r="E410" t="str">
            <v>ドロップイベント2-1（マルチ専用）</v>
          </cell>
          <cell r="F410">
            <v>2</v>
          </cell>
          <cell r="G410" t="str">
            <v>ja</v>
          </cell>
          <cell r="H410" t="str">
            <v xml:space="preserve">【上級】ニンゲンにしてあげる </v>
          </cell>
          <cell r="I410" t="str">
            <v>上級</v>
          </cell>
          <cell r="J410">
            <v>290</v>
          </cell>
          <cell r="K410">
            <v>20</v>
          </cell>
          <cell r="L410">
            <v>2000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none</v>
          </cell>
          <cell r="T410">
            <v>0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11</v>
          </cell>
          <cell r="AD410">
            <v>6</v>
          </cell>
          <cell r="AE410" t="str">
            <v>everyone</v>
          </cell>
        </row>
        <row r="411">
          <cell r="A411" t="str">
            <v>30005_3</v>
          </cell>
          <cell r="B411">
            <v>3</v>
          </cell>
          <cell r="C411">
            <v>30005</v>
          </cell>
          <cell r="D411" t="str">
            <v>ニンゲンにしてあげる☆</v>
          </cell>
          <cell r="E411" t="str">
            <v>ドロップイベント2-1（マルチ専用）</v>
          </cell>
          <cell r="F411">
            <v>3</v>
          </cell>
          <cell r="G411" t="str">
            <v>ja</v>
          </cell>
          <cell r="H411" t="str">
            <v>【超級】ニンゲンにしてあげる</v>
          </cell>
          <cell r="I411" t="str">
            <v>超級</v>
          </cell>
          <cell r="J411">
            <v>291</v>
          </cell>
          <cell r="K411">
            <v>30</v>
          </cell>
          <cell r="L411">
            <v>3300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polygon</v>
          </cell>
          <cell r="T411">
            <v>1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11</v>
          </cell>
          <cell r="AD411">
            <v>6</v>
          </cell>
          <cell r="AE411" t="str">
            <v>everyone</v>
          </cell>
        </row>
        <row r="412">
          <cell r="A412" t="str">
            <v>30006_1</v>
          </cell>
          <cell r="B412">
            <v>3</v>
          </cell>
          <cell r="C412">
            <v>30006</v>
          </cell>
          <cell r="D412" t="str">
            <v>それはお前を食べるためさ</v>
          </cell>
          <cell r="E412" t="str">
            <v>ドロップイベント2-3（マルチ専用）</v>
          </cell>
          <cell r="F412">
            <v>1</v>
          </cell>
          <cell r="G412" t="str">
            <v>ja</v>
          </cell>
          <cell r="H412" t="str">
            <v>【中級】それはお前を食べるためさ</v>
          </cell>
          <cell r="I412" t="str">
            <v>中級</v>
          </cell>
          <cell r="J412">
            <v>294</v>
          </cell>
          <cell r="K412">
            <v>15</v>
          </cell>
          <cell r="L412">
            <v>1200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none</v>
          </cell>
          <cell r="T412">
            <v>0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7</v>
          </cell>
          <cell r="AD412">
            <v>6</v>
          </cell>
          <cell r="AE412" t="str">
            <v>everyone</v>
          </cell>
        </row>
        <row r="413">
          <cell r="A413" t="str">
            <v>30006_2</v>
          </cell>
          <cell r="B413">
            <v>3</v>
          </cell>
          <cell r="C413">
            <v>30006</v>
          </cell>
          <cell r="D413" t="str">
            <v>それはお前を食べるためさ</v>
          </cell>
          <cell r="E413" t="str">
            <v>ドロップイベント2-3（マルチ専用）</v>
          </cell>
          <cell r="F413">
            <v>2</v>
          </cell>
          <cell r="G413" t="str">
            <v>ja</v>
          </cell>
          <cell r="H413" t="str">
            <v>【上級】それはお前を食べるためさ</v>
          </cell>
          <cell r="I413" t="str">
            <v>上級</v>
          </cell>
          <cell r="J413">
            <v>294</v>
          </cell>
          <cell r="K413">
            <v>20</v>
          </cell>
          <cell r="L413">
            <v>2000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none</v>
          </cell>
          <cell r="T413">
            <v>0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7</v>
          </cell>
          <cell r="AD413">
            <v>6</v>
          </cell>
          <cell r="AE413" t="str">
            <v>everyone</v>
          </cell>
        </row>
        <row r="414">
          <cell r="A414" t="str">
            <v>30006_3</v>
          </cell>
          <cell r="B414">
            <v>3</v>
          </cell>
          <cell r="C414">
            <v>30006</v>
          </cell>
          <cell r="D414" t="str">
            <v>それはお前を食べるためさ</v>
          </cell>
          <cell r="E414" t="str">
            <v>ドロップイベント2-3（マルチ専用）</v>
          </cell>
          <cell r="F414">
            <v>3</v>
          </cell>
          <cell r="G414" t="str">
            <v>ja</v>
          </cell>
          <cell r="H414" t="str">
            <v>【超級】それはお前を食べるためさ</v>
          </cell>
          <cell r="I414" t="str">
            <v>超級</v>
          </cell>
          <cell r="J414">
            <v>295</v>
          </cell>
          <cell r="K414">
            <v>30</v>
          </cell>
          <cell r="L414">
            <v>3300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polygon</v>
          </cell>
          <cell r="T414">
            <v>1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7</v>
          </cell>
          <cell r="AD414">
            <v>6</v>
          </cell>
          <cell r="AE414" t="str">
            <v>everyone</v>
          </cell>
        </row>
        <row r="415">
          <cell r="A415" t="str">
            <v>30007_1</v>
          </cell>
          <cell r="B415">
            <v>3</v>
          </cell>
          <cell r="C415">
            <v>30007</v>
          </cell>
          <cell r="D415" t="str">
            <v>ガラスの靴は私のもの</v>
          </cell>
          <cell r="E415" t="str">
            <v>ドロップイベント2-2（マルチ専用）</v>
          </cell>
          <cell r="F415">
            <v>1</v>
          </cell>
          <cell r="G415" t="str">
            <v>ja</v>
          </cell>
          <cell r="H415" t="str">
            <v xml:space="preserve">【中級】ガラスの靴は私のもの </v>
          </cell>
          <cell r="I415" t="str">
            <v>中級</v>
          </cell>
          <cell r="J415">
            <v>292</v>
          </cell>
          <cell r="K415">
            <v>15</v>
          </cell>
          <cell r="L415">
            <v>1200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none</v>
          </cell>
          <cell r="T415">
            <v>0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9</v>
          </cell>
          <cell r="AD415">
            <v>6</v>
          </cell>
          <cell r="AE415" t="str">
            <v>everyone</v>
          </cell>
        </row>
        <row r="416">
          <cell r="A416" t="str">
            <v>30007_2</v>
          </cell>
          <cell r="B416">
            <v>3</v>
          </cell>
          <cell r="C416">
            <v>30007</v>
          </cell>
          <cell r="D416" t="str">
            <v>ガラスの靴は私のもの</v>
          </cell>
          <cell r="E416" t="str">
            <v>ドロップイベント2-2（マルチ専用）</v>
          </cell>
          <cell r="F416">
            <v>2</v>
          </cell>
          <cell r="G416" t="str">
            <v>ja</v>
          </cell>
          <cell r="H416" t="str">
            <v>【上級】ガラスの靴は私のもの</v>
          </cell>
          <cell r="I416" t="str">
            <v>上級</v>
          </cell>
          <cell r="J416">
            <v>292</v>
          </cell>
          <cell r="K416">
            <v>20</v>
          </cell>
          <cell r="L416">
            <v>2000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none</v>
          </cell>
          <cell r="T416">
            <v>0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9</v>
          </cell>
          <cell r="AD416">
            <v>6</v>
          </cell>
          <cell r="AE416" t="str">
            <v>everyone</v>
          </cell>
        </row>
        <row r="417">
          <cell r="A417" t="str">
            <v>30007_3</v>
          </cell>
          <cell r="B417">
            <v>3</v>
          </cell>
          <cell r="C417">
            <v>30007</v>
          </cell>
          <cell r="D417" t="str">
            <v>ガラスの靴は私のもの</v>
          </cell>
          <cell r="E417" t="str">
            <v>ドロップイベント2-2（マルチ専用）</v>
          </cell>
          <cell r="F417">
            <v>3</v>
          </cell>
          <cell r="G417" t="str">
            <v>ja</v>
          </cell>
          <cell r="H417" t="str">
            <v xml:space="preserve">【超級】ガラスの靴は私のもの </v>
          </cell>
          <cell r="I417" t="str">
            <v>超級</v>
          </cell>
          <cell r="J417">
            <v>293</v>
          </cell>
          <cell r="K417">
            <v>30</v>
          </cell>
          <cell r="L417">
            <v>3300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polygon</v>
          </cell>
          <cell r="T417">
            <v>1</v>
          </cell>
          <cell r="U417" t="str">
            <v>NULL</v>
          </cell>
          <cell r="V417" t="str">
            <v>NULL</v>
          </cell>
          <cell r="W417" t="str">
            <v/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9</v>
          </cell>
          <cell r="AD417">
            <v>6</v>
          </cell>
          <cell r="AE417" t="str">
            <v>everyone</v>
          </cell>
        </row>
        <row r="418">
          <cell r="A418" t="str">
            <v>30008_1</v>
          </cell>
          <cell r="B418">
            <v>3</v>
          </cell>
          <cell r="C418">
            <v>30008</v>
          </cell>
          <cell r="D418" t="str">
            <v>わたしの嫁を返してもらおう</v>
          </cell>
          <cell r="E418" t="str">
            <v>ドロップイベント2-4（マルチ専用）</v>
          </cell>
          <cell r="F418">
            <v>1</v>
          </cell>
          <cell r="G418" t="str">
            <v>ja</v>
          </cell>
          <cell r="H418" t="str">
            <v>【中級】わたしの嫁を返してもらおう</v>
          </cell>
          <cell r="I418" t="str">
            <v>中級</v>
          </cell>
          <cell r="J418">
            <v>288</v>
          </cell>
          <cell r="K418">
            <v>15</v>
          </cell>
          <cell r="L418">
            <v>1200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none</v>
          </cell>
          <cell r="T418">
            <v>0</v>
          </cell>
          <cell r="U418" t="str">
            <v>NULL</v>
          </cell>
          <cell r="V418" t="str">
            <v>NULL</v>
          </cell>
          <cell r="W418" t="str">
            <v/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22</v>
          </cell>
          <cell r="AD418">
            <v>6</v>
          </cell>
          <cell r="AE418" t="str">
            <v>everyone</v>
          </cell>
        </row>
        <row r="419">
          <cell r="A419" t="str">
            <v>30008_2</v>
          </cell>
          <cell r="B419">
            <v>3</v>
          </cell>
          <cell r="C419">
            <v>30008</v>
          </cell>
          <cell r="D419" t="str">
            <v>わたしの嫁を返してもらおう</v>
          </cell>
          <cell r="E419" t="str">
            <v>ドロップイベント2-4（マルチ専用）</v>
          </cell>
          <cell r="F419">
            <v>2</v>
          </cell>
          <cell r="G419" t="str">
            <v>ja</v>
          </cell>
          <cell r="H419" t="str">
            <v>【上級】わたしの嫁を返してもらおう</v>
          </cell>
          <cell r="I419" t="str">
            <v>上級</v>
          </cell>
          <cell r="J419">
            <v>288</v>
          </cell>
          <cell r="K419">
            <v>20</v>
          </cell>
          <cell r="L419">
            <v>2000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22</v>
          </cell>
          <cell r="AD419">
            <v>6</v>
          </cell>
          <cell r="AE419" t="str">
            <v>everyone</v>
          </cell>
        </row>
        <row r="420">
          <cell r="A420" t="str">
            <v>30008_3</v>
          </cell>
          <cell r="B420">
            <v>3</v>
          </cell>
          <cell r="C420">
            <v>30008</v>
          </cell>
          <cell r="D420" t="str">
            <v>わたしの嫁を返してもらおう</v>
          </cell>
          <cell r="E420" t="str">
            <v>ドロップイベント2-4（マルチ専用）</v>
          </cell>
          <cell r="F420">
            <v>3</v>
          </cell>
          <cell r="G420" t="str">
            <v>ja</v>
          </cell>
          <cell r="H420" t="str">
            <v>【超級】わたしの嫁を返してもらおう</v>
          </cell>
          <cell r="I420" t="str">
            <v>超級</v>
          </cell>
          <cell r="J420">
            <v>289</v>
          </cell>
          <cell r="K420">
            <v>30</v>
          </cell>
          <cell r="L420">
            <v>3300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</v>
          </cell>
          <cell r="R420">
            <v>3</v>
          </cell>
          <cell r="S420" t="str">
            <v>polygon</v>
          </cell>
          <cell r="T420">
            <v>1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22</v>
          </cell>
          <cell r="AD420">
            <v>6</v>
          </cell>
          <cell r="AE420" t="str">
            <v>everyone</v>
          </cell>
        </row>
        <row r="421">
          <cell r="A421" t="str">
            <v>30009_3</v>
          </cell>
          <cell r="B421">
            <v>0</v>
          </cell>
          <cell r="C421">
            <v>30009</v>
          </cell>
          <cell r="D421" t="str">
            <v>復活の捕食者</v>
          </cell>
          <cell r="E421" t="str">
            <v>ドロップイベント3（マルチ専用）</v>
          </cell>
          <cell r="F421">
            <v>3</v>
          </cell>
          <cell r="G421" t="str">
            <v>ja</v>
          </cell>
          <cell r="H421" t="str">
            <v>【上級】復活の捕食者</v>
          </cell>
          <cell r="I421" t="str">
            <v>上級</v>
          </cell>
          <cell r="J421">
            <v>312</v>
          </cell>
          <cell r="K421">
            <v>20</v>
          </cell>
          <cell r="L421">
            <v>2000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1</v>
          </cell>
          <cell r="R421">
            <v>2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8</v>
          </cell>
          <cell r="AD421">
            <v>6</v>
          </cell>
          <cell r="AE421" t="str">
            <v>everyone</v>
          </cell>
        </row>
        <row r="422">
          <cell r="A422" t="str">
            <v>30009_1</v>
          </cell>
          <cell r="B422">
            <v>3</v>
          </cell>
          <cell r="C422">
            <v>30009</v>
          </cell>
          <cell r="D422" t="str">
            <v>復活の捕食者</v>
          </cell>
          <cell r="E422" t="str">
            <v>ドロップイベント3（マルチ専用）</v>
          </cell>
          <cell r="F422">
            <v>1</v>
          </cell>
          <cell r="G422" t="str">
            <v>ja</v>
          </cell>
          <cell r="H422" t="str">
            <v>【超級】復活の捕食者</v>
          </cell>
          <cell r="I422" t="str">
            <v>超級</v>
          </cell>
          <cell r="J422">
            <v>312</v>
          </cell>
          <cell r="K422">
            <v>30</v>
          </cell>
          <cell r="L422">
            <v>3300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1</v>
          </cell>
          <cell r="R422">
            <v>2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8</v>
          </cell>
          <cell r="AD422">
            <v>6</v>
          </cell>
          <cell r="AE422" t="str">
            <v>everyone</v>
          </cell>
        </row>
        <row r="423">
          <cell r="A423" t="str">
            <v>30009_2</v>
          </cell>
          <cell r="B423">
            <v>3</v>
          </cell>
          <cell r="C423">
            <v>30009</v>
          </cell>
          <cell r="D423" t="str">
            <v>復活の捕食者</v>
          </cell>
          <cell r="E423" t="str">
            <v>ドロップイベント3（マルチ専用）</v>
          </cell>
          <cell r="F423">
            <v>2</v>
          </cell>
          <cell r="G423" t="str">
            <v>ja</v>
          </cell>
          <cell r="H423" t="str">
            <v>【超絶級】復活の捕食者</v>
          </cell>
          <cell r="I423" t="str">
            <v>超絶級</v>
          </cell>
          <cell r="J423">
            <v>312</v>
          </cell>
          <cell r="K423">
            <v>35</v>
          </cell>
          <cell r="L423">
            <v>4200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1</v>
          </cell>
          <cell r="R423">
            <v>2</v>
          </cell>
          <cell r="S423" t="str">
            <v>polygon</v>
          </cell>
          <cell r="T423">
            <v>1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8</v>
          </cell>
          <cell r="AD423">
            <v>6</v>
          </cell>
          <cell r="AE423" t="str">
            <v>everyone</v>
          </cell>
        </row>
        <row r="424">
          <cell r="A424" t="str">
            <v>30010_1</v>
          </cell>
          <cell r="B424">
            <v>3</v>
          </cell>
          <cell r="C424">
            <v>30010</v>
          </cell>
          <cell r="D424" t="str">
            <v>最大最凶</v>
          </cell>
          <cell r="E424" t="str">
            <v>ドロップイベント3（マルチ専用）</v>
          </cell>
          <cell r="F424">
            <v>1</v>
          </cell>
          <cell r="G424" t="str">
            <v>ja</v>
          </cell>
          <cell r="H424" t="str">
            <v>【上級】最大最凶</v>
          </cell>
          <cell r="I424" t="str">
            <v>上級</v>
          </cell>
          <cell r="J424">
            <v>306</v>
          </cell>
          <cell r="K424">
            <v>20</v>
          </cell>
          <cell r="L424">
            <v>2000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1</v>
          </cell>
          <cell r="R424">
            <v>3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2</v>
          </cell>
          <cell r="AD424">
            <v>7</v>
          </cell>
          <cell r="AE424" t="str">
            <v>everyone</v>
          </cell>
        </row>
        <row r="425">
          <cell r="A425" t="str">
            <v>30010_2</v>
          </cell>
          <cell r="B425">
            <v>3</v>
          </cell>
          <cell r="C425">
            <v>30010</v>
          </cell>
          <cell r="D425" t="str">
            <v>最大最凶</v>
          </cell>
          <cell r="E425" t="str">
            <v>ドロップイベント3（マルチ専用）</v>
          </cell>
          <cell r="F425">
            <v>2</v>
          </cell>
          <cell r="G425" t="str">
            <v>ja</v>
          </cell>
          <cell r="H425" t="str">
            <v>【超級】最大最凶</v>
          </cell>
          <cell r="I425" t="str">
            <v>超級</v>
          </cell>
          <cell r="J425">
            <v>306</v>
          </cell>
          <cell r="K425">
            <v>30</v>
          </cell>
          <cell r="L425">
            <v>3300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1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2</v>
          </cell>
          <cell r="AD425">
            <v>7</v>
          </cell>
          <cell r="AE425" t="str">
            <v>everyone</v>
          </cell>
        </row>
        <row r="426">
          <cell r="A426" t="str">
            <v>30010_3</v>
          </cell>
          <cell r="B426">
            <v>3</v>
          </cell>
          <cell r="C426">
            <v>30010</v>
          </cell>
          <cell r="D426" t="str">
            <v>最大最凶</v>
          </cell>
          <cell r="E426" t="str">
            <v>ドロップイベント3（マルチ専用）</v>
          </cell>
          <cell r="F426">
            <v>3</v>
          </cell>
          <cell r="G426" t="str">
            <v>ja</v>
          </cell>
          <cell r="H426" t="str">
            <v>【超絶級】最大最凶</v>
          </cell>
          <cell r="I426" t="str">
            <v>超絶級</v>
          </cell>
          <cell r="J426">
            <v>306</v>
          </cell>
          <cell r="K426">
            <v>35</v>
          </cell>
          <cell r="L426">
            <v>4200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1</v>
          </cell>
          <cell r="R426">
            <v>3</v>
          </cell>
          <cell r="S426" t="str">
            <v>polygon</v>
          </cell>
          <cell r="T426">
            <v>1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2</v>
          </cell>
          <cell r="AD426">
            <v>7</v>
          </cell>
          <cell r="AE426" t="str">
            <v>everyone</v>
          </cell>
        </row>
        <row r="427">
          <cell r="A427" t="str">
            <v>30011_1</v>
          </cell>
          <cell r="B427">
            <v>3</v>
          </cell>
          <cell r="C427">
            <v>30011</v>
          </cell>
          <cell r="D427" t="str">
            <v>気怠い巨読者</v>
          </cell>
          <cell r="E427" t="str">
            <v>ドロップイベント3（マルチ専用）</v>
          </cell>
          <cell r="F427">
            <v>1</v>
          </cell>
          <cell r="G427" t="str">
            <v>ja</v>
          </cell>
          <cell r="H427" t="str">
            <v>【上級】気怠い巨読者</v>
          </cell>
          <cell r="I427" t="str">
            <v>上級</v>
          </cell>
          <cell r="J427">
            <v>308</v>
          </cell>
          <cell r="K427">
            <v>20</v>
          </cell>
          <cell r="L427">
            <v>2000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1</v>
          </cell>
          <cell r="R427">
            <v>2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19</v>
          </cell>
          <cell r="AD427">
            <v>6</v>
          </cell>
          <cell r="AE427" t="str">
            <v>everyone</v>
          </cell>
        </row>
        <row r="428">
          <cell r="A428" t="str">
            <v>30011_2</v>
          </cell>
          <cell r="B428">
            <v>3</v>
          </cell>
          <cell r="C428">
            <v>30011</v>
          </cell>
          <cell r="D428" t="str">
            <v>気怠い巨読者</v>
          </cell>
          <cell r="E428" t="str">
            <v>ドロップイベント3（マルチ専用）</v>
          </cell>
          <cell r="F428">
            <v>2</v>
          </cell>
          <cell r="G428" t="str">
            <v>ja</v>
          </cell>
          <cell r="H428" t="str">
            <v>【超級】気怠い巨読者</v>
          </cell>
          <cell r="I428" t="str">
            <v>超級</v>
          </cell>
          <cell r="J428">
            <v>308</v>
          </cell>
          <cell r="K428">
            <v>30</v>
          </cell>
          <cell r="L428">
            <v>3300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1</v>
          </cell>
          <cell r="R428">
            <v>2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19</v>
          </cell>
          <cell r="AD428">
            <v>6</v>
          </cell>
          <cell r="AE428" t="str">
            <v>everyone</v>
          </cell>
        </row>
        <row r="429">
          <cell r="A429" t="str">
            <v>30011_3</v>
          </cell>
          <cell r="B429">
            <v>3</v>
          </cell>
          <cell r="C429">
            <v>30011</v>
          </cell>
          <cell r="D429" t="str">
            <v>気怠い巨読者</v>
          </cell>
          <cell r="E429" t="str">
            <v>ドロップイベント3（マルチ専用）</v>
          </cell>
          <cell r="F429">
            <v>3</v>
          </cell>
          <cell r="G429" t="str">
            <v>ja</v>
          </cell>
          <cell r="H429" t="str">
            <v>【超絶級】気怠い巨読者</v>
          </cell>
          <cell r="I429" t="str">
            <v>超絶級</v>
          </cell>
          <cell r="J429">
            <v>309</v>
          </cell>
          <cell r="K429">
            <v>35</v>
          </cell>
          <cell r="L429">
            <v>4200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1</v>
          </cell>
          <cell r="R429">
            <v>2</v>
          </cell>
          <cell r="S429" t="str">
            <v>polygon</v>
          </cell>
          <cell r="T429">
            <v>1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19</v>
          </cell>
          <cell r="AD429">
            <v>6</v>
          </cell>
          <cell r="AE429" t="str">
            <v>everyone</v>
          </cell>
        </row>
        <row r="430">
          <cell r="A430" t="str">
            <v>30012_1</v>
          </cell>
          <cell r="B430">
            <v>3</v>
          </cell>
          <cell r="C430">
            <v>30012</v>
          </cell>
          <cell r="D430" t="str">
            <v>底なしの胃袋</v>
          </cell>
          <cell r="E430" t="str">
            <v>ドロップイベント3（マルチ専用）</v>
          </cell>
          <cell r="F430">
            <v>1</v>
          </cell>
          <cell r="G430" t="str">
            <v>ja</v>
          </cell>
          <cell r="H430" t="str">
            <v>【上級】底なしの胃袋</v>
          </cell>
          <cell r="I430" t="str">
            <v>上級</v>
          </cell>
          <cell r="J430">
            <v>310</v>
          </cell>
          <cell r="K430">
            <v>20</v>
          </cell>
          <cell r="L430">
            <v>2000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0</v>
          </cell>
          <cell r="R430">
            <v>3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5</v>
          </cell>
          <cell r="AD430">
            <v>6</v>
          </cell>
          <cell r="AE430" t="str">
            <v>everyone</v>
          </cell>
        </row>
        <row r="431">
          <cell r="A431" t="str">
            <v>30012_2</v>
          </cell>
          <cell r="B431">
            <v>3</v>
          </cell>
          <cell r="C431">
            <v>30012</v>
          </cell>
          <cell r="D431" t="str">
            <v>底なしの胃袋</v>
          </cell>
          <cell r="E431" t="str">
            <v>ドロップイベント3（マルチ専用）</v>
          </cell>
          <cell r="F431">
            <v>2</v>
          </cell>
          <cell r="G431" t="str">
            <v>ja</v>
          </cell>
          <cell r="H431" t="str">
            <v>【超級】底なしの胃袋</v>
          </cell>
          <cell r="I431" t="str">
            <v>超級</v>
          </cell>
          <cell r="J431">
            <v>310</v>
          </cell>
          <cell r="K431">
            <v>30</v>
          </cell>
          <cell r="L431">
            <v>3300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0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5</v>
          </cell>
          <cell r="AD431">
            <v>6</v>
          </cell>
          <cell r="AE431" t="str">
            <v>everyone</v>
          </cell>
        </row>
        <row r="432">
          <cell r="A432" t="str">
            <v>30012_3</v>
          </cell>
          <cell r="B432">
            <v>3</v>
          </cell>
          <cell r="C432">
            <v>30012</v>
          </cell>
          <cell r="D432" t="str">
            <v>底なしの胃袋</v>
          </cell>
          <cell r="E432" t="str">
            <v>ドロップイベント3（マルチ専用）</v>
          </cell>
          <cell r="F432">
            <v>3</v>
          </cell>
          <cell r="G432" t="str">
            <v>ja</v>
          </cell>
          <cell r="H432" t="str">
            <v>【超絶級】底なしの胃袋</v>
          </cell>
          <cell r="I432" t="str">
            <v>超絶級</v>
          </cell>
          <cell r="J432">
            <v>310</v>
          </cell>
          <cell r="K432">
            <v>35</v>
          </cell>
          <cell r="L432">
            <v>4200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0</v>
          </cell>
          <cell r="R432">
            <v>3</v>
          </cell>
          <cell r="S432" t="str">
            <v>polygon</v>
          </cell>
          <cell r="T432">
            <v>1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5</v>
          </cell>
          <cell r="AD432">
            <v>6</v>
          </cell>
          <cell r="AE432" t="str">
            <v>everyone</v>
          </cell>
        </row>
        <row r="433">
          <cell r="A433" t="str">
            <v>30013_1</v>
          </cell>
          <cell r="B433">
            <v>3</v>
          </cell>
          <cell r="C433">
            <v>30013</v>
          </cell>
          <cell r="D433" t="str">
            <v>決戦・竜宮城</v>
          </cell>
          <cell r="E433" t="str">
            <v>ドロップイベント4（マルチ専用）</v>
          </cell>
          <cell r="F433">
            <v>1</v>
          </cell>
          <cell r="G433" t="str">
            <v>ja</v>
          </cell>
          <cell r="H433" t="str">
            <v>【超級】決戦・竜宮城</v>
          </cell>
          <cell r="I433" t="str">
            <v>超級</v>
          </cell>
          <cell r="J433">
            <v>418</v>
          </cell>
          <cell r="K433">
            <v>30</v>
          </cell>
          <cell r="L433">
            <v>3300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1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17</v>
          </cell>
          <cell r="AD433">
            <v>6</v>
          </cell>
          <cell r="AE433" t="str">
            <v>everyone</v>
          </cell>
        </row>
        <row r="434">
          <cell r="A434" t="str">
            <v>30013_2</v>
          </cell>
          <cell r="B434">
            <v>3</v>
          </cell>
          <cell r="C434">
            <v>30013</v>
          </cell>
          <cell r="D434" t="str">
            <v>決戦・竜宮城</v>
          </cell>
          <cell r="E434" t="str">
            <v>ドロップイベント4（マルチ専用）</v>
          </cell>
          <cell r="F434">
            <v>2</v>
          </cell>
          <cell r="G434" t="str">
            <v>ja</v>
          </cell>
          <cell r="H434" t="str">
            <v>【超絶級】決戦・竜宮城</v>
          </cell>
          <cell r="I434" t="str">
            <v>超絶級</v>
          </cell>
          <cell r="J434">
            <v>419</v>
          </cell>
          <cell r="K434">
            <v>35</v>
          </cell>
          <cell r="L434">
            <v>4200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1</v>
          </cell>
          <cell r="R434">
            <v>3</v>
          </cell>
          <cell r="S434" t="str">
            <v>polygon</v>
          </cell>
          <cell r="T434">
            <v>1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17</v>
          </cell>
          <cell r="AD434">
            <v>6</v>
          </cell>
          <cell r="AE434" t="str">
            <v>everyone</v>
          </cell>
        </row>
        <row r="435">
          <cell r="A435" t="str">
            <v>30014_1</v>
          </cell>
          <cell r="B435">
            <v>3</v>
          </cell>
          <cell r="C435">
            <v>30014</v>
          </cell>
          <cell r="D435" t="str">
            <v>親指を突き立てろ！</v>
          </cell>
          <cell r="E435" t="str">
            <v>ドロップイベント4（マルチ専用）</v>
          </cell>
          <cell r="F435">
            <v>1</v>
          </cell>
          <cell r="G435" t="str">
            <v>ja</v>
          </cell>
          <cell r="H435" t="str">
            <v>【超級】親指を突き立てろ！</v>
          </cell>
          <cell r="I435" t="str">
            <v>超級</v>
          </cell>
          <cell r="J435">
            <v>420</v>
          </cell>
          <cell r="K435">
            <v>30</v>
          </cell>
          <cell r="L435">
            <v>3300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1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23</v>
          </cell>
          <cell r="AD435">
            <v>5</v>
          </cell>
          <cell r="AE435" t="str">
            <v>everyone</v>
          </cell>
        </row>
        <row r="436">
          <cell r="A436" t="str">
            <v>30014_2</v>
          </cell>
          <cell r="B436">
            <v>3</v>
          </cell>
          <cell r="C436">
            <v>30014</v>
          </cell>
          <cell r="D436" t="str">
            <v>親指を突き立てろ！</v>
          </cell>
          <cell r="E436" t="str">
            <v>ドロップイベント4（マルチ専用）</v>
          </cell>
          <cell r="F436">
            <v>2</v>
          </cell>
          <cell r="G436" t="str">
            <v>ja</v>
          </cell>
          <cell r="H436" t="str">
            <v>【超絶級】親指を突き立てろ！</v>
          </cell>
          <cell r="I436" t="str">
            <v>超絶級</v>
          </cell>
          <cell r="J436">
            <v>421</v>
          </cell>
          <cell r="K436">
            <v>35</v>
          </cell>
          <cell r="L436">
            <v>4200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1</v>
          </cell>
          <cell r="R436">
            <v>3</v>
          </cell>
          <cell r="S436" t="str">
            <v>polygon</v>
          </cell>
          <cell r="T436">
            <v>1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23</v>
          </cell>
          <cell r="AD436">
            <v>5</v>
          </cell>
          <cell r="AE436" t="str">
            <v>everyone</v>
          </cell>
        </row>
        <row r="437">
          <cell r="A437" t="str">
            <v>30015_1</v>
          </cell>
          <cell r="B437">
            <v>3</v>
          </cell>
          <cell r="C437">
            <v>30015</v>
          </cell>
          <cell r="D437" t="str">
            <v>兄妹の大冒険</v>
          </cell>
          <cell r="E437" t="str">
            <v>ドロップイベント4（マルチ専用）</v>
          </cell>
          <cell r="F437">
            <v>1</v>
          </cell>
          <cell r="G437" t="str">
            <v>ja</v>
          </cell>
          <cell r="H437" t="str">
            <v>【超級】兄妹の大冒険</v>
          </cell>
          <cell r="I437" t="str">
            <v>超級</v>
          </cell>
          <cell r="J437">
            <v>422</v>
          </cell>
          <cell r="K437">
            <v>30</v>
          </cell>
          <cell r="L437">
            <v>3300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1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16</v>
          </cell>
          <cell r="AD437">
            <v>6</v>
          </cell>
          <cell r="AE437" t="str">
            <v>everyone</v>
          </cell>
        </row>
        <row r="438">
          <cell r="A438" t="str">
            <v>30015_2</v>
          </cell>
          <cell r="B438">
            <v>3</v>
          </cell>
          <cell r="C438">
            <v>30015</v>
          </cell>
          <cell r="D438" t="str">
            <v>兄妹の大冒険</v>
          </cell>
          <cell r="E438" t="str">
            <v>ドロップイベント4（マルチ専用）</v>
          </cell>
          <cell r="F438">
            <v>2</v>
          </cell>
          <cell r="G438" t="str">
            <v>ja</v>
          </cell>
          <cell r="H438" t="str">
            <v>【超絶級】兄妹の大冒険</v>
          </cell>
          <cell r="I438" t="str">
            <v>超絶級</v>
          </cell>
          <cell r="J438">
            <v>423</v>
          </cell>
          <cell r="K438">
            <v>35</v>
          </cell>
          <cell r="L438">
            <v>4200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1</v>
          </cell>
          <cell r="R438">
            <v>3</v>
          </cell>
          <cell r="S438" t="str">
            <v>polygon</v>
          </cell>
          <cell r="T438">
            <v>1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16</v>
          </cell>
          <cell r="AD438">
            <v>6</v>
          </cell>
          <cell r="AE438" t="str">
            <v>everyone</v>
          </cell>
        </row>
        <row r="439">
          <cell r="A439" t="str">
            <v>30016_1</v>
          </cell>
          <cell r="B439">
            <v>3</v>
          </cell>
          <cell r="C439">
            <v>30016</v>
          </cell>
          <cell r="D439" t="str">
            <v>私がワニの天敵よ？</v>
          </cell>
          <cell r="E439" t="str">
            <v>ドロップイベント4（マルチ専用）</v>
          </cell>
          <cell r="F439">
            <v>1</v>
          </cell>
          <cell r="G439" t="str">
            <v>ja</v>
          </cell>
          <cell r="H439" t="str">
            <v>【超級】私がワニの天敵よ？</v>
          </cell>
          <cell r="I439" t="str">
            <v>超級</v>
          </cell>
          <cell r="J439">
            <v>424</v>
          </cell>
          <cell r="K439">
            <v>30</v>
          </cell>
          <cell r="L439">
            <v>3300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none</v>
          </cell>
          <cell r="T439">
            <v>0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4</v>
          </cell>
          <cell r="AD439">
            <v>6</v>
          </cell>
          <cell r="AE439" t="str">
            <v>everyone</v>
          </cell>
        </row>
        <row r="440">
          <cell r="A440" t="str">
            <v>30016_2</v>
          </cell>
          <cell r="B440">
            <v>3</v>
          </cell>
          <cell r="C440">
            <v>30016</v>
          </cell>
          <cell r="D440" t="str">
            <v>私がワニの天敵よ？</v>
          </cell>
          <cell r="E440" t="str">
            <v>ドロップイベント4（マルチ専用）</v>
          </cell>
          <cell r="F440">
            <v>2</v>
          </cell>
          <cell r="G440" t="str">
            <v>ja</v>
          </cell>
          <cell r="H440" t="str">
            <v>【超絶級】私がワニの天敵よ？</v>
          </cell>
          <cell r="I440" t="str">
            <v>超絶級</v>
          </cell>
          <cell r="J440">
            <v>425</v>
          </cell>
          <cell r="K440">
            <v>35</v>
          </cell>
          <cell r="L440">
            <v>4200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polygon</v>
          </cell>
          <cell r="T440">
            <v>1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4</v>
          </cell>
          <cell r="AD440">
            <v>6</v>
          </cell>
          <cell r="AE440" t="str">
            <v>everyone</v>
          </cell>
        </row>
        <row r="441">
          <cell r="A441" t="str">
            <v>30017_1</v>
          </cell>
          <cell r="B441">
            <v>3</v>
          </cell>
          <cell r="C441">
            <v>30017</v>
          </cell>
          <cell r="D441" t="str">
            <v>狩人の挽歌</v>
          </cell>
          <cell r="E441" t="str">
            <v>ドロップイベント5（マルチ専用）</v>
          </cell>
          <cell r="F441">
            <v>1</v>
          </cell>
          <cell r="G441" t="str">
            <v>ja</v>
          </cell>
          <cell r="H441" t="str">
            <v>【超級】狩人の挽歌</v>
          </cell>
          <cell r="I441" t="str">
            <v>超級</v>
          </cell>
          <cell r="J441">
            <v>452</v>
          </cell>
          <cell r="K441">
            <v>30</v>
          </cell>
          <cell r="L441">
            <v>3300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 t="str">
            <v>NULL</v>
          </cell>
          <cell r="V441" t="str">
            <v>NULL</v>
          </cell>
          <cell r="W441" t="str">
            <v/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 t="str">
            <v>anytime</v>
          </cell>
          <cell r="AC441">
            <v>20</v>
          </cell>
          <cell r="AD441">
            <v>6</v>
          </cell>
          <cell r="AE441" t="str">
            <v>multionly</v>
          </cell>
        </row>
        <row r="442">
          <cell r="A442" t="str">
            <v>30017_2</v>
          </cell>
          <cell r="B442">
            <v>3</v>
          </cell>
          <cell r="C442">
            <v>30017</v>
          </cell>
          <cell r="D442" t="str">
            <v>狩人の挽歌</v>
          </cell>
          <cell r="E442" t="str">
            <v>ドロップイベント5（マルチ専用）</v>
          </cell>
          <cell r="F442">
            <v>2</v>
          </cell>
          <cell r="G442" t="str">
            <v>ja</v>
          </cell>
          <cell r="H442" t="str">
            <v>【超絶級】狩人の挽歌</v>
          </cell>
          <cell r="I442" t="str">
            <v>超絶級</v>
          </cell>
          <cell r="J442">
            <v>453</v>
          </cell>
          <cell r="K442">
            <v>35</v>
          </cell>
          <cell r="L442">
            <v>4200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polygon</v>
          </cell>
          <cell r="T442">
            <v>1</v>
          </cell>
          <cell r="U442" t="str">
            <v>NULL</v>
          </cell>
          <cell r="V442" t="str">
            <v>NULL</v>
          </cell>
          <cell r="W442" t="str">
            <v/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 t="str">
            <v>anytime</v>
          </cell>
          <cell r="AC442">
            <v>20</v>
          </cell>
          <cell r="AD442">
            <v>6</v>
          </cell>
          <cell r="AE442" t="str">
            <v>multionly</v>
          </cell>
        </row>
        <row r="443">
          <cell r="A443" t="str">
            <v>30018_1</v>
          </cell>
          <cell r="B443">
            <v>3</v>
          </cell>
          <cell r="C443">
            <v>30018</v>
          </cell>
          <cell r="D443" t="str">
            <v>バックストリートファイト</v>
          </cell>
          <cell r="E443" t="str">
            <v>ドロップイベント5（マルチ専用）</v>
          </cell>
          <cell r="F443">
            <v>1</v>
          </cell>
          <cell r="G443" t="str">
            <v>ja</v>
          </cell>
          <cell r="H443" t="str">
            <v>【超級】バックストリートファイト</v>
          </cell>
          <cell r="I443" t="str">
            <v>超級</v>
          </cell>
          <cell r="J443">
            <v>454</v>
          </cell>
          <cell r="K443">
            <v>30</v>
          </cell>
          <cell r="L443">
            <v>3300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0</v>
          </cell>
          <cell r="R443">
            <v>3</v>
          </cell>
          <cell r="S443" t="str">
            <v>none</v>
          </cell>
          <cell r="T443">
            <v>0</v>
          </cell>
          <cell r="U443" t="str">
            <v>NULL</v>
          </cell>
          <cell r="V443" t="str">
            <v>NULL</v>
          </cell>
          <cell r="W443" t="str">
            <v/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 t="str">
            <v>anytime</v>
          </cell>
          <cell r="AC443">
            <v>14</v>
          </cell>
          <cell r="AD443">
            <v>6</v>
          </cell>
          <cell r="AE443" t="str">
            <v>everyone</v>
          </cell>
        </row>
        <row r="444">
          <cell r="A444" t="str">
            <v>30018_2</v>
          </cell>
          <cell r="B444">
            <v>3</v>
          </cell>
          <cell r="C444">
            <v>30018</v>
          </cell>
          <cell r="D444" t="str">
            <v>バックストリートファイト</v>
          </cell>
          <cell r="E444" t="str">
            <v>ドロップイベント5（マルチ専用）</v>
          </cell>
          <cell r="F444">
            <v>2</v>
          </cell>
          <cell r="G444" t="str">
            <v>ja</v>
          </cell>
          <cell r="H444" t="str">
            <v>【超絶級】バックストリートファイト</v>
          </cell>
          <cell r="I444" t="str">
            <v>超絶級</v>
          </cell>
          <cell r="J444">
            <v>455</v>
          </cell>
          <cell r="K444">
            <v>35</v>
          </cell>
          <cell r="L444">
            <v>4200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0</v>
          </cell>
          <cell r="R444">
            <v>3</v>
          </cell>
          <cell r="S444" t="str">
            <v>polygon</v>
          </cell>
          <cell r="T444">
            <v>1</v>
          </cell>
          <cell r="U444" t="str">
            <v>NULL</v>
          </cell>
          <cell r="V444" t="str">
            <v>NULL</v>
          </cell>
          <cell r="W444" t="str">
            <v/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 t="str">
            <v>anytime</v>
          </cell>
          <cell r="AC444">
            <v>14</v>
          </cell>
          <cell r="AD444">
            <v>6</v>
          </cell>
          <cell r="AE444" t="str">
            <v>everyone</v>
          </cell>
        </row>
        <row r="445">
          <cell r="A445" t="str">
            <v>30019_1</v>
          </cell>
          <cell r="B445">
            <v>3</v>
          </cell>
          <cell r="C445">
            <v>30019</v>
          </cell>
          <cell r="D445" t="str">
            <v>狙撃は終わらない</v>
          </cell>
          <cell r="E445" t="str">
            <v>ドロップイベント5（マルチ専用）</v>
          </cell>
          <cell r="F445">
            <v>1</v>
          </cell>
          <cell r="G445" t="str">
            <v>ja</v>
          </cell>
          <cell r="H445" t="str">
            <v>【超級】狙撃は終わらない</v>
          </cell>
          <cell r="I445" t="str">
            <v>超級</v>
          </cell>
          <cell r="J445">
            <v>456</v>
          </cell>
          <cell r="K445">
            <v>30</v>
          </cell>
          <cell r="L445">
            <v>3300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none</v>
          </cell>
          <cell r="T445">
            <v>0</v>
          </cell>
          <cell r="U445" t="str">
            <v>NULL</v>
          </cell>
          <cell r="V445" t="str">
            <v>NULL</v>
          </cell>
          <cell r="W445" t="str">
            <v/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 t="str">
            <v>anytime</v>
          </cell>
          <cell r="AC445">
            <v>24</v>
          </cell>
          <cell r="AD445">
            <v>6</v>
          </cell>
          <cell r="AE445" t="str">
            <v>multionly</v>
          </cell>
        </row>
        <row r="446">
          <cell r="A446" t="str">
            <v>30019_2</v>
          </cell>
          <cell r="B446">
            <v>3</v>
          </cell>
          <cell r="C446">
            <v>30019</v>
          </cell>
          <cell r="D446" t="str">
            <v>狙撃は終わらない</v>
          </cell>
          <cell r="E446" t="str">
            <v>ドロップイベント5（マルチ専用）</v>
          </cell>
          <cell r="F446">
            <v>2</v>
          </cell>
          <cell r="G446" t="str">
            <v>ja</v>
          </cell>
          <cell r="H446" t="str">
            <v>【超絶級】狙撃は終わらない</v>
          </cell>
          <cell r="I446" t="str">
            <v>超絶級</v>
          </cell>
          <cell r="J446">
            <v>457</v>
          </cell>
          <cell r="K446">
            <v>35</v>
          </cell>
          <cell r="L446">
            <v>4200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3</v>
          </cell>
          <cell r="S446" t="str">
            <v>polygon</v>
          </cell>
          <cell r="T446">
            <v>1</v>
          </cell>
          <cell r="U446" t="str">
            <v>NULL</v>
          </cell>
          <cell r="V446" t="str">
            <v>NULL</v>
          </cell>
          <cell r="W446" t="str">
            <v/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 t="str">
            <v>anytime</v>
          </cell>
          <cell r="AC446">
            <v>24</v>
          </cell>
          <cell r="AD446">
            <v>6</v>
          </cell>
          <cell r="AE446" t="str">
            <v>multionly</v>
          </cell>
        </row>
        <row r="447">
          <cell r="A447" t="str">
            <v>30020_1</v>
          </cell>
          <cell r="B447">
            <v>3</v>
          </cell>
          <cell r="C447">
            <v>30020</v>
          </cell>
          <cell r="D447" t="str">
            <v>若造よ、身の程を知れ</v>
          </cell>
          <cell r="E447" t="str">
            <v>ドロップイベント5（マルチ専用）</v>
          </cell>
          <cell r="F447">
            <v>1</v>
          </cell>
          <cell r="G447" t="str">
            <v>ja</v>
          </cell>
          <cell r="H447" t="str">
            <v>【超級】若造よ、身の程を知れ</v>
          </cell>
          <cell r="I447" t="str">
            <v>超級</v>
          </cell>
          <cell r="J447">
            <v>458</v>
          </cell>
          <cell r="K447">
            <v>30</v>
          </cell>
          <cell r="L447">
            <v>3300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3</v>
          </cell>
          <cell r="S447" t="str">
            <v>none</v>
          </cell>
          <cell r="T447">
            <v>0</v>
          </cell>
          <cell r="U447" t="str">
            <v>NULL</v>
          </cell>
          <cell r="V447" t="str">
            <v>NULL</v>
          </cell>
          <cell r="W447" t="str">
            <v/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 t="str">
            <v>anytime</v>
          </cell>
          <cell r="AC447">
            <v>13</v>
          </cell>
          <cell r="AD447">
            <v>6</v>
          </cell>
          <cell r="AE447" t="str">
            <v>everyone</v>
          </cell>
        </row>
        <row r="448">
          <cell r="A448" t="str">
            <v>30020_2</v>
          </cell>
          <cell r="B448">
            <v>3</v>
          </cell>
          <cell r="C448">
            <v>30020</v>
          </cell>
          <cell r="D448" t="str">
            <v>若造よ、身の程を知れ</v>
          </cell>
          <cell r="E448" t="str">
            <v>ドロップイベント5（マルチ専用）</v>
          </cell>
          <cell r="F448">
            <v>2</v>
          </cell>
          <cell r="G448" t="str">
            <v>ja</v>
          </cell>
          <cell r="H448" t="str">
            <v>【超絶級】若造よ、身の程を知れ</v>
          </cell>
          <cell r="I448" t="str">
            <v>超絶級</v>
          </cell>
          <cell r="J448">
            <v>459</v>
          </cell>
          <cell r="K448">
            <v>35</v>
          </cell>
          <cell r="L448">
            <v>4200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polygon</v>
          </cell>
          <cell r="T448">
            <v>1</v>
          </cell>
          <cell r="U448" t="str">
            <v>NULL</v>
          </cell>
          <cell r="V448" t="str">
            <v>NULL</v>
          </cell>
          <cell r="W448" t="str">
            <v/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 t="str">
            <v>anytime</v>
          </cell>
          <cell r="AC448">
            <v>13</v>
          </cell>
          <cell r="AD448">
            <v>6</v>
          </cell>
          <cell r="AE448" t="str">
            <v>everyone</v>
          </cell>
        </row>
        <row r="449">
          <cell r="A449" t="str">
            <v>30021_1</v>
          </cell>
          <cell r="B449">
            <v>3</v>
          </cell>
          <cell r="C449">
            <v>30021</v>
          </cell>
          <cell r="D449" t="str">
            <v>野獣死すべしっ！</v>
          </cell>
          <cell r="E449" t="str">
            <v>ドロップイベント6（マルチ専用）</v>
          </cell>
          <cell r="F449">
            <v>1</v>
          </cell>
          <cell r="G449" t="str">
            <v>ja</v>
          </cell>
          <cell r="H449" t="str">
            <v>【中級】野獣死すべしっ！</v>
          </cell>
          <cell r="I449" t="str">
            <v>中級</v>
          </cell>
          <cell r="J449">
            <v>502</v>
          </cell>
          <cell r="K449">
            <v>15</v>
          </cell>
          <cell r="L449">
            <v>1200</v>
          </cell>
          <cell r="M449">
            <v>1</v>
          </cell>
          <cell r="N449">
            <v>1</v>
          </cell>
          <cell r="O449">
            <v>0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 t="str">
            <v>NULL</v>
          </cell>
          <cell r="V449" t="str">
            <v>NULL</v>
          </cell>
          <cell r="W449" t="str">
            <v/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 t="str">
            <v>anytime</v>
          </cell>
          <cell r="AC449">
            <v>14</v>
          </cell>
          <cell r="AD449">
            <v>6</v>
          </cell>
          <cell r="AE449" t="str">
            <v>everyone</v>
          </cell>
        </row>
        <row r="450">
          <cell r="A450" t="str">
            <v>30021_2</v>
          </cell>
          <cell r="B450">
            <v>3</v>
          </cell>
          <cell r="C450">
            <v>30021</v>
          </cell>
          <cell r="D450" t="str">
            <v>野獣死すべしっ！</v>
          </cell>
          <cell r="E450" t="str">
            <v>ドロップイベント6（マルチ専用）</v>
          </cell>
          <cell r="F450">
            <v>2</v>
          </cell>
          <cell r="G450" t="str">
            <v>ja</v>
          </cell>
          <cell r="H450" t="str">
            <v>【上級】野獣死すべしっ！</v>
          </cell>
          <cell r="I450" t="str">
            <v>上級</v>
          </cell>
          <cell r="J450">
            <v>502</v>
          </cell>
          <cell r="K450">
            <v>20</v>
          </cell>
          <cell r="L450">
            <v>2000</v>
          </cell>
          <cell r="M450">
            <v>1</v>
          </cell>
          <cell r="N450">
            <v>1</v>
          </cell>
          <cell r="O450">
            <v>0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 t="str">
            <v>NULL</v>
          </cell>
          <cell r="V450" t="str">
            <v>NULL</v>
          </cell>
          <cell r="W450" t="str">
            <v/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 t="str">
            <v>anytime</v>
          </cell>
          <cell r="AC450">
            <v>14</v>
          </cell>
          <cell r="AD450">
            <v>6</v>
          </cell>
          <cell r="AE450" t="str">
            <v>everyone</v>
          </cell>
        </row>
        <row r="451">
          <cell r="A451" t="str">
            <v>30021_3</v>
          </cell>
          <cell r="B451">
            <v>3</v>
          </cell>
          <cell r="C451">
            <v>30021</v>
          </cell>
          <cell r="D451" t="str">
            <v>野獣死すべしっ！</v>
          </cell>
          <cell r="E451" t="str">
            <v>ドロップイベント6（マルチ専用）</v>
          </cell>
          <cell r="F451">
            <v>3</v>
          </cell>
          <cell r="G451" t="str">
            <v>ja</v>
          </cell>
          <cell r="H451" t="str">
            <v>【超級】野獣死すべしっ！</v>
          </cell>
          <cell r="I451" t="str">
            <v>超級</v>
          </cell>
          <cell r="J451">
            <v>503</v>
          </cell>
          <cell r="K451">
            <v>30</v>
          </cell>
          <cell r="L451">
            <v>3300</v>
          </cell>
          <cell r="M451">
            <v>1</v>
          </cell>
          <cell r="N451">
            <v>1</v>
          </cell>
          <cell r="O451">
            <v>0</v>
          </cell>
          <cell r="P451">
            <v>1</v>
          </cell>
          <cell r="Q451">
            <v>1</v>
          </cell>
          <cell r="R451">
            <v>3</v>
          </cell>
          <cell r="S451" t="str">
            <v>polygon</v>
          </cell>
          <cell r="T451">
            <v>1</v>
          </cell>
          <cell r="U451" t="str">
            <v>NULL</v>
          </cell>
          <cell r="V451" t="str">
            <v>NULL</v>
          </cell>
          <cell r="W451" t="str">
            <v/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 t="str">
            <v>anytime</v>
          </cell>
          <cell r="AC451">
            <v>14</v>
          </cell>
          <cell r="AD451">
            <v>6</v>
          </cell>
          <cell r="AE451" t="str">
            <v>everyone</v>
          </cell>
        </row>
        <row r="452">
          <cell r="A452" t="str">
            <v>30022_1</v>
          </cell>
          <cell r="B452">
            <v>3</v>
          </cell>
          <cell r="C452">
            <v>30022</v>
          </cell>
          <cell r="D452" t="str">
            <v>凶鼠ネコを咬む</v>
          </cell>
          <cell r="E452" t="str">
            <v>ドロップイベント6（マルチ専用）</v>
          </cell>
          <cell r="F452">
            <v>1</v>
          </cell>
          <cell r="G452" t="str">
            <v>ja</v>
          </cell>
          <cell r="H452" t="str">
            <v>【超級】凶鼠ネコを咬む</v>
          </cell>
          <cell r="I452" t="str">
            <v>超級</v>
          </cell>
          <cell r="J452">
            <v>504</v>
          </cell>
          <cell r="K452">
            <v>30</v>
          </cell>
          <cell r="L452">
            <v>3300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 t="str">
            <v>NULL</v>
          </cell>
          <cell r="V452" t="str">
            <v>NULL</v>
          </cell>
          <cell r="W452" t="str">
            <v/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 t="str">
            <v>anytime</v>
          </cell>
          <cell r="AC452">
            <v>6</v>
          </cell>
          <cell r="AD452">
            <v>6</v>
          </cell>
          <cell r="AE452" t="str">
            <v>everyone</v>
          </cell>
        </row>
        <row r="453">
          <cell r="A453" t="str">
            <v>30022_2</v>
          </cell>
          <cell r="B453">
            <v>3</v>
          </cell>
          <cell r="C453">
            <v>30022</v>
          </cell>
          <cell r="D453" t="str">
            <v>凶鼠ネコを咬む</v>
          </cell>
          <cell r="E453" t="str">
            <v>ドロップイベント6（マルチ専用）</v>
          </cell>
          <cell r="F453">
            <v>2</v>
          </cell>
          <cell r="G453" t="str">
            <v>ja</v>
          </cell>
          <cell r="H453" t="str">
            <v>【超絶級】凶鼠ネコを咬む</v>
          </cell>
          <cell r="I453" t="str">
            <v>超絶級</v>
          </cell>
          <cell r="J453">
            <v>505</v>
          </cell>
          <cell r="K453">
            <v>35</v>
          </cell>
          <cell r="L453">
            <v>4200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3</v>
          </cell>
          <cell r="S453" t="str">
            <v>polygon</v>
          </cell>
          <cell r="T453">
            <v>1</v>
          </cell>
          <cell r="U453" t="str">
            <v>NULL</v>
          </cell>
          <cell r="V453" t="str">
            <v>NULL</v>
          </cell>
          <cell r="W453" t="str">
            <v/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 t="str">
            <v>anytime</v>
          </cell>
          <cell r="AC453">
            <v>6</v>
          </cell>
          <cell r="AD453">
            <v>6</v>
          </cell>
          <cell r="AE453" t="str">
            <v>everyone</v>
          </cell>
        </row>
        <row r="454">
          <cell r="A454" t="str">
            <v>30023_1</v>
          </cell>
          <cell r="B454">
            <v>3</v>
          </cell>
          <cell r="C454">
            <v>30023</v>
          </cell>
          <cell r="D454" t="str">
            <v>隔離からのエスケイプ</v>
          </cell>
          <cell r="E454" t="str">
            <v>ドロップイベント6（マルチ専用）</v>
          </cell>
          <cell r="F454">
            <v>1</v>
          </cell>
          <cell r="G454" t="str">
            <v>ja</v>
          </cell>
          <cell r="H454" t="str">
            <v>【中級】隔離からのエスケイプ</v>
          </cell>
          <cell r="I454" t="str">
            <v>中級</v>
          </cell>
          <cell r="J454">
            <v>506</v>
          </cell>
          <cell r="K454">
            <v>15</v>
          </cell>
          <cell r="L454">
            <v>1200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3</v>
          </cell>
          <cell r="S454" t="str">
            <v>none</v>
          </cell>
          <cell r="T454">
            <v>0</v>
          </cell>
          <cell r="U454" t="str">
            <v>NULL</v>
          </cell>
          <cell r="V454" t="str">
            <v>NULL</v>
          </cell>
          <cell r="W454" t="str">
            <v/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 t="str">
            <v>anytime</v>
          </cell>
          <cell r="AC454">
            <v>25</v>
          </cell>
          <cell r="AD454">
            <v>6</v>
          </cell>
          <cell r="AE454" t="str">
            <v>everyone</v>
          </cell>
        </row>
        <row r="455">
          <cell r="A455" t="str">
            <v>30023_2</v>
          </cell>
          <cell r="B455">
            <v>3</v>
          </cell>
          <cell r="C455">
            <v>30023</v>
          </cell>
          <cell r="D455" t="str">
            <v>隔離からのエスケイプ</v>
          </cell>
          <cell r="E455" t="str">
            <v>ドロップイベント6（マルチ専用）</v>
          </cell>
          <cell r="F455">
            <v>2</v>
          </cell>
          <cell r="G455" t="str">
            <v>ja</v>
          </cell>
          <cell r="H455" t="str">
            <v>【上級】隔離からのエスケイプ</v>
          </cell>
          <cell r="I455" t="str">
            <v>上級</v>
          </cell>
          <cell r="J455">
            <v>506</v>
          </cell>
          <cell r="K455">
            <v>20</v>
          </cell>
          <cell r="L455">
            <v>2000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 t="str">
            <v>NULL</v>
          </cell>
          <cell r="V455" t="str">
            <v>NULL</v>
          </cell>
          <cell r="W455" t="str">
            <v/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 t="str">
            <v>anytime</v>
          </cell>
          <cell r="AC455">
            <v>25</v>
          </cell>
          <cell r="AD455">
            <v>6</v>
          </cell>
          <cell r="AE455" t="str">
            <v>everyone</v>
          </cell>
        </row>
        <row r="456">
          <cell r="A456" t="str">
            <v>30023_3</v>
          </cell>
          <cell r="B456">
            <v>3</v>
          </cell>
          <cell r="C456">
            <v>30023</v>
          </cell>
          <cell r="D456" t="str">
            <v>隔離からのエスケイプ</v>
          </cell>
          <cell r="E456" t="str">
            <v>ドロップイベント6（マルチ専用）</v>
          </cell>
          <cell r="F456">
            <v>3</v>
          </cell>
          <cell r="G456" t="str">
            <v>ja</v>
          </cell>
          <cell r="H456" t="str">
            <v>【超級】隔離からのエスケイプ</v>
          </cell>
          <cell r="I456" t="str">
            <v>超級</v>
          </cell>
          <cell r="J456">
            <v>507</v>
          </cell>
          <cell r="K456">
            <v>30</v>
          </cell>
          <cell r="L456">
            <v>3300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polygon</v>
          </cell>
          <cell r="T456">
            <v>1</v>
          </cell>
          <cell r="U456" t="str">
            <v>NULL</v>
          </cell>
          <cell r="V456" t="str">
            <v>NULL</v>
          </cell>
          <cell r="W456" t="str">
            <v/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 t="str">
            <v>anytime</v>
          </cell>
          <cell r="AC456">
            <v>25</v>
          </cell>
          <cell r="AD456">
            <v>6</v>
          </cell>
          <cell r="AE456" t="str">
            <v>everyone</v>
          </cell>
        </row>
        <row r="457">
          <cell r="A457" t="str">
            <v>30024_1</v>
          </cell>
          <cell r="B457">
            <v>3</v>
          </cell>
          <cell r="C457">
            <v>30024</v>
          </cell>
          <cell r="D457" t="str">
            <v>雷鎚の選定</v>
          </cell>
          <cell r="E457" t="str">
            <v>ドロップイベント7（マルチ専用）</v>
          </cell>
          <cell r="F457">
            <v>1</v>
          </cell>
          <cell r="G457" t="str">
            <v>ja</v>
          </cell>
          <cell r="H457" t="str">
            <v>【中級】雷鎚の選定</v>
          </cell>
          <cell r="I457" t="str">
            <v>中級</v>
          </cell>
          <cell r="J457">
            <v>583</v>
          </cell>
          <cell r="K457">
            <v>15</v>
          </cell>
          <cell r="L457">
            <v>1200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 t="str">
            <v>NULL</v>
          </cell>
          <cell r="V457" t="str">
            <v>NULL</v>
          </cell>
          <cell r="W457" t="str">
            <v/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 t="str">
            <v>anytime</v>
          </cell>
          <cell r="AC457">
            <v>20</v>
          </cell>
          <cell r="AD457">
            <v>6</v>
          </cell>
          <cell r="AE457" t="str">
            <v>multionly</v>
          </cell>
        </row>
        <row r="458">
          <cell r="A458" t="str">
            <v>30024_2</v>
          </cell>
          <cell r="B458">
            <v>3</v>
          </cell>
          <cell r="C458">
            <v>30024</v>
          </cell>
          <cell r="D458" t="str">
            <v>雷鎚の選定</v>
          </cell>
          <cell r="E458" t="str">
            <v>ドロップイベント7（マルチ専用）</v>
          </cell>
          <cell r="F458">
            <v>2</v>
          </cell>
          <cell r="G458" t="str">
            <v>ja</v>
          </cell>
          <cell r="H458" t="str">
            <v>【上級】雷鎚の選定</v>
          </cell>
          <cell r="I458" t="str">
            <v>上級</v>
          </cell>
          <cell r="J458">
            <v>583</v>
          </cell>
          <cell r="K458">
            <v>20</v>
          </cell>
          <cell r="L458">
            <v>2000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 t="str">
            <v>NULL</v>
          </cell>
          <cell r="V458" t="str">
            <v>NULL</v>
          </cell>
          <cell r="W458" t="str">
            <v/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 t="str">
            <v>anytime</v>
          </cell>
          <cell r="AC458">
            <v>20</v>
          </cell>
          <cell r="AD458">
            <v>6</v>
          </cell>
          <cell r="AE458" t="str">
            <v>multionly</v>
          </cell>
        </row>
        <row r="459">
          <cell r="A459" t="str">
            <v>30024_3</v>
          </cell>
          <cell r="B459">
            <v>3</v>
          </cell>
          <cell r="C459">
            <v>30024</v>
          </cell>
          <cell r="D459" t="str">
            <v>雷鎚の選定</v>
          </cell>
          <cell r="E459" t="str">
            <v>ドロップイベント7（マルチ専用）</v>
          </cell>
          <cell r="F459">
            <v>3</v>
          </cell>
          <cell r="G459" t="str">
            <v>ja</v>
          </cell>
          <cell r="H459" t="str">
            <v>【超級】雷鎚の選定</v>
          </cell>
          <cell r="I459" t="str">
            <v>超級</v>
          </cell>
          <cell r="J459">
            <v>584</v>
          </cell>
          <cell r="K459">
            <v>30</v>
          </cell>
          <cell r="L459">
            <v>3300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polygon</v>
          </cell>
          <cell r="T459">
            <v>1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20</v>
          </cell>
          <cell r="AD459">
            <v>6</v>
          </cell>
          <cell r="AE459" t="str">
            <v>multionly</v>
          </cell>
        </row>
        <row r="460">
          <cell r="A460" t="str">
            <v>30025_1</v>
          </cell>
          <cell r="B460">
            <v>3</v>
          </cell>
          <cell r="C460">
            <v>30025</v>
          </cell>
          <cell r="D460" t="str">
            <v>真実の探求者</v>
          </cell>
          <cell r="E460" t="str">
            <v>ドロップイベント7（マルチ専用）</v>
          </cell>
          <cell r="F460">
            <v>1</v>
          </cell>
          <cell r="G460" t="str">
            <v>ja</v>
          </cell>
          <cell r="H460" t="str">
            <v>【中級】真実の探求者</v>
          </cell>
          <cell r="I460" t="str">
            <v>中級</v>
          </cell>
          <cell r="J460">
            <v>579</v>
          </cell>
          <cell r="K460">
            <v>15</v>
          </cell>
          <cell r="L460">
            <v>1200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7</v>
          </cell>
          <cell r="AD460">
            <v>6</v>
          </cell>
          <cell r="AE460" t="str">
            <v>everyone</v>
          </cell>
        </row>
        <row r="461">
          <cell r="A461" t="str">
            <v>30025_2</v>
          </cell>
          <cell r="B461">
            <v>3</v>
          </cell>
          <cell r="C461">
            <v>30025</v>
          </cell>
          <cell r="D461" t="str">
            <v>真実の探求者</v>
          </cell>
          <cell r="E461" t="str">
            <v>ドロップイベント7（マルチ専用）</v>
          </cell>
          <cell r="F461">
            <v>2</v>
          </cell>
          <cell r="G461" t="str">
            <v>ja</v>
          </cell>
          <cell r="H461" t="str">
            <v>【上級】真実の探求者</v>
          </cell>
          <cell r="I461" t="str">
            <v>上級</v>
          </cell>
          <cell r="J461">
            <v>579</v>
          </cell>
          <cell r="K461">
            <v>20</v>
          </cell>
          <cell r="L461">
            <v>2000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none</v>
          </cell>
          <cell r="T461">
            <v>0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7</v>
          </cell>
          <cell r="AD461">
            <v>6</v>
          </cell>
          <cell r="AE461" t="str">
            <v>everyone</v>
          </cell>
        </row>
        <row r="462">
          <cell r="A462" t="str">
            <v>30025_3</v>
          </cell>
          <cell r="B462">
            <v>3</v>
          </cell>
          <cell r="C462">
            <v>30025</v>
          </cell>
          <cell r="D462" t="str">
            <v>真実の探求者</v>
          </cell>
          <cell r="E462" t="str">
            <v>ドロップイベント7（マルチ専用）</v>
          </cell>
          <cell r="F462">
            <v>3</v>
          </cell>
          <cell r="G462" t="str">
            <v>ja</v>
          </cell>
          <cell r="H462" t="str">
            <v>【超級】真実の探求者</v>
          </cell>
          <cell r="I462" t="str">
            <v>超級</v>
          </cell>
          <cell r="J462">
            <v>580</v>
          </cell>
          <cell r="K462">
            <v>30</v>
          </cell>
          <cell r="L462">
            <v>3300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polygon</v>
          </cell>
          <cell r="T462">
            <v>1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7</v>
          </cell>
          <cell r="AD462">
            <v>6</v>
          </cell>
          <cell r="AE462" t="str">
            <v>everyone</v>
          </cell>
        </row>
        <row r="463">
          <cell r="A463" t="str">
            <v>30026_1</v>
          </cell>
          <cell r="B463">
            <v>3</v>
          </cell>
          <cell r="C463">
            <v>30026</v>
          </cell>
          <cell r="D463" t="str">
            <v>道を阻む妖精夫婦</v>
          </cell>
          <cell r="E463" t="str">
            <v>ドロップイベント7（マルチ専用）</v>
          </cell>
          <cell r="F463">
            <v>1</v>
          </cell>
          <cell r="G463" t="str">
            <v>ja</v>
          </cell>
          <cell r="H463" t="str">
            <v>【中級】道を阻む妖精夫婦</v>
          </cell>
          <cell r="I463" t="str">
            <v>中級</v>
          </cell>
          <cell r="J463">
            <v>577</v>
          </cell>
          <cell r="K463">
            <v>15</v>
          </cell>
          <cell r="L463">
            <v>1200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21</v>
          </cell>
          <cell r="AD463">
            <v>6</v>
          </cell>
          <cell r="AE463" t="str">
            <v>everyone</v>
          </cell>
        </row>
        <row r="464">
          <cell r="A464" t="str">
            <v>30026_2</v>
          </cell>
          <cell r="B464">
            <v>3</v>
          </cell>
          <cell r="C464">
            <v>30026</v>
          </cell>
          <cell r="D464" t="str">
            <v>道を阻む妖精夫婦</v>
          </cell>
          <cell r="E464" t="str">
            <v>ドロップイベント7（マルチ専用）</v>
          </cell>
          <cell r="F464">
            <v>2</v>
          </cell>
          <cell r="G464" t="str">
            <v>ja</v>
          </cell>
          <cell r="H464" t="str">
            <v>【上級】道を阻む妖精夫婦</v>
          </cell>
          <cell r="I464" t="str">
            <v>上級</v>
          </cell>
          <cell r="J464">
            <v>577</v>
          </cell>
          <cell r="K464">
            <v>20</v>
          </cell>
          <cell r="L464">
            <v>2000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1</v>
          </cell>
          <cell r="R464">
            <v>3</v>
          </cell>
          <cell r="S464" t="str">
            <v>none</v>
          </cell>
          <cell r="T464">
            <v>0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21</v>
          </cell>
          <cell r="AD464">
            <v>6</v>
          </cell>
          <cell r="AE464" t="str">
            <v>everyone</v>
          </cell>
        </row>
        <row r="465">
          <cell r="A465" t="str">
            <v>30026_3</v>
          </cell>
          <cell r="B465">
            <v>3</v>
          </cell>
          <cell r="C465">
            <v>30026</v>
          </cell>
          <cell r="D465" t="str">
            <v>道を阻む妖精夫婦</v>
          </cell>
          <cell r="E465" t="str">
            <v>ドロップイベント7（マルチ専用）</v>
          </cell>
          <cell r="F465">
            <v>3</v>
          </cell>
          <cell r="G465" t="str">
            <v>ja</v>
          </cell>
          <cell r="H465" t="str">
            <v>【超級】道を阻む妖精夫婦</v>
          </cell>
          <cell r="I465" t="str">
            <v>超級</v>
          </cell>
          <cell r="J465">
            <v>578</v>
          </cell>
          <cell r="K465">
            <v>30</v>
          </cell>
          <cell r="L465">
            <v>3300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polygon</v>
          </cell>
          <cell r="T465">
            <v>1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21</v>
          </cell>
          <cell r="AD465">
            <v>6</v>
          </cell>
          <cell r="AE465" t="str">
            <v>everyone</v>
          </cell>
        </row>
        <row r="466">
          <cell r="A466" t="str">
            <v>30027_1</v>
          </cell>
          <cell r="B466">
            <v>3</v>
          </cell>
          <cell r="C466">
            <v>30027</v>
          </cell>
          <cell r="D466" t="str">
            <v>凍りつくまで愛してあげる</v>
          </cell>
          <cell r="E466" t="str">
            <v>ドロップイベント7（マルチ専用）</v>
          </cell>
          <cell r="F466">
            <v>1</v>
          </cell>
          <cell r="G466" t="str">
            <v>ja</v>
          </cell>
          <cell r="H466" t="str">
            <v>【中級】凍りつくまで愛してあげる</v>
          </cell>
          <cell r="I466" t="str">
            <v>中級</v>
          </cell>
          <cell r="J466">
            <v>646</v>
          </cell>
          <cell r="K466">
            <v>15</v>
          </cell>
          <cell r="L466">
            <v>1200</v>
          </cell>
          <cell r="M466">
            <v>0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9</v>
          </cell>
          <cell r="AD466">
            <v>6</v>
          </cell>
          <cell r="AE466" t="str">
            <v>everyone</v>
          </cell>
        </row>
        <row r="467">
          <cell r="A467" t="str">
            <v>30027_2</v>
          </cell>
          <cell r="B467">
            <v>3</v>
          </cell>
          <cell r="C467">
            <v>30027</v>
          </cell>
          <cell r="D467" t="str">
            <v>凍りつくまで愛してあげる</v>
          </cell>
          <cell r="E467" t="str">
            <v>ドロップイベント7（マルチ専用）</v>
          </cell>
          <cell r="F467">
            <v>2</v>
          </cell>
          <cell r="G467" t="str">
            <v>ja</v>
          </cell>
          <cell r="H467" t="str">
            <v>【上級】凍りつくまで愛してあげる</v>
          </cell>
          <cell r="I467" t="str">
            <v>上級</v>
          </cell>
          <cell r="J467">
            <v>646</v>
          </cell>
          <cell r="K467">
            <v>20</v>
          </cell>
          <cell r="L467">
            <v>2000</v>
          </cell>
          <cell r="M467">
            <v>0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none</v>
          </cell>
          <cell r="T467">
            <v>0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9</v>
          </cell>
          <cell r="AD467">
            <v>6</v>
          </cell>
          <cell r="AE467" t="str">
            <v>everyone</v>
          </cell>
        </row>
        <row r="468">
          <cell r="A468" t="str">
            <v>30027_3</v>
          </cell>
          <cell r="B468">
            <v>3</v>
          </cell>
          <cell r="C468">
            <v>30027</v>
          </cell>
          <cell r="D468" t="str">
            <v>凍りつくまで愛してあげる</v>
          </cell>
          <cell r="E468" t="str">
            <v>ドロップイベント7（マルチ専用）</v>
          </cell>
          <cell r="F468">
            <v>3</v>
          </cell>
          <cell r="G468" t="str">
            <v>ja</v>
          </cell>
          <cell r="H468" t="str">
            <v>【超級】凍りつくまで愛してあげる</v>
          </cell>
          <cell r="I468" t="str">
            <v>超級</v>
          </cell>
          <cell r="J468">
            <v>647</v>
          </cell>
          <cell r="K468">
            <v>30</v>
          </cell>
          <cell r="L468">
            <v>3300</v>
          </cell>
          <cell r="M468">
            <v>0</v>
          </cell>
          <cell r="N468">
            <v>1</v>
          </cell>
          <cell r="O468">
            <v>1</v>
          </cell>
          <cell r="P468">
            <v>1</v>
          </cell>
          <cell r="Q468">
            <v>1</v>
          </cell>
          <cell r="R468">
            <v>3</v>
          </cell>
          <cell r="S468" t="str">
            <v>polygon</v>
          </cell>
          <cell r="T468">
            <v>1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9</v>
          </cell>
          <cell r="AD468">
            <v>6</v>
          </cell>
          <cell r="AE468" t="str">
            <v>everyone</v>
          </cell>
        </row>
        <row r="469">
          <cell r="A469" t="str">
            <v>30028_1</v>
          </cell>
          <cell r="B469">
            <v>3</v>
          </cell>
          <cell r="C469">
            <v>30028</v>
          </cell>
          <cell r="D469" t="str">
            <v>最悪の刺客</v>
          </cell>
          <cell r="E469" t="str">
            <v>ドロップイベント8（マルチ専用）</v>
          </cell>
          <cell r="F469">
            <v>1</v>
          </cell>
          <cell r="G469" t="str">
            <v>ja</v>
          </cell>
          <cell r="H469" t="str">
            <v>【中級】最悪の刺客</v>
          </cell>
          <cell r="I469" t="str">
            <v>中級</v>
          </cell>
          <cell r="J469">
            <v>650</v>
          </cell>
          <cell r="K469">
            <v>15</v>
          </cell>
          <cell r="L469">
            <v>1200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1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2601</v>
          </cell>
          <cell r="AD469">
            <v>6</v>
          </cell>
          <cell r="AE469" t="str">
            <v>everyone</v>
          </cell>
        </row>
        <row r="470">
          <cell r="A470" t="str">
            <v>30028_2</v>
          </cell>
          <cell r="B470">
            <v>3</v>
          </cell>
          <cell r="C470">
            <v>30028</v>
          </cell>
          <cell r="D470" t="str">
            <v>最悪の刺客</v>
          </cell>
          <cell r="E470" t="str">
            <v>ドロップイベント8（マルチ専用）</v>
          </cell>
          <cell r="F470">
            <v>2</v>
          </cell>
          <cell r="G470" t="str">
            <v>ja</v>
          </cell>
          <cell r="H470" t="str">
            <v>【上級】最悪の刺客</v>
          </cell>
          <cell r="I470" t="str">
            <v>上級</v>
          </cell>
          <cell r="J470">
            <v>650</v>
          </cell>
          <cell r="K470">
            <v>20</v>
          </cell>
          <cell r="L470">
            <v>2000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1</v>
          </cell>
          <cell r="R470">
            <v>3</v>
          </cell>
          <cell r="S470" t="str">
            <v>none</v>
          </cell>
          <cell r="T470">
            <v>0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2601</v>
          </cell>
          <cell r="AD470">
            <v>6</v>
          </cell>
          <cell r="AE470" t="str">
            <v>everyone</v>
          </cell>
        </row>
        <row r="471">
          <cell r="A471" t="str">
            <v>30028_3</v>
          </cell>
          <cell r="B471">
            <v>3</v>
          </cell>
          <cell r="C471">
            <v>30028</v>
          </cell>
          <cell r="D471" t="str">
            <v>最悪の刺客</v>
          </cell>
          <cell r="E471" t="str">
            <v>ドロップイベント8（マルチ専用）</v>
          </cell>
          <cell r="F471">
            <v>3</v>
          </cell>
          <cell r="G471" t="str">
            <v>ja</v>
          </cell>
          <cell r="H471" t="str">
            <v>【超級】最悪の刺客</v>
          </cell>
          <cell r="I471" t="str">
            <v>超級</v>
          </cell>
          <cell r="J471">
            <v>651</v>
          </cell>
          <cell r="K471">
            <v>30</v>
          </cell>
          <cell r="L471">
            <v>3300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3</v>
          </cell>
          <cell r="S471" t="str">
            <v>polygon</v>
          </cell>
          <cell r="T471">
            <v>1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2601</v>
          </cell>
          <cell r="AD471">
            <v>6</v>
          </cell>
          <cell r="AE471" t="str">
            <v>everyone</v>
          </cell>
        </row>
        <row r="472">
          <cell r="A472" t="str">
            <v>30029_1</v>
          </cell>
          <cell r="B472">
            <v>3</v>
          </cell>
          <cell r="C472">
            <v>30029</v>
          </cell>
          <cell r="D472" t="str">
            <v>全ては主のために</v>
          </cell>
          <cell r="E472" t="str">
            <v>ドロップイベント8（マルチ専用）</v>
          </cell>
          <cell r="F472">
            <v>1</v>
          </cell>
          <cell r="G472" t="str">
            <v>ja</v>
          </cell>
          <cell r="H472" t="str">
            <v>【中級】全ては主のために</v>
          </cell>
          <cell r="I472" t="str">
            <v>中級</v>
          </cell>
          <cell r="J472">
            <v>648</v>
          </cell>
          <cell r="K472">
            <v>15</v>
          </cell>
          <cell r="L472">
            <v>1200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3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5</v>
          </cell>
          <cell r="AD472">
            <v>6</v>
          </cell>
          <cell r="AE472" t="str">
            <v>everyone</v>
          </cell>
        </row>
        <row r="473">
          <cell r="A473" t="str">
            <v>30029_2</v>
          </cell>
          <cell r="B473">
            <v>3</v>
          </cell>
          <cell r="C473">
            <v>30029</v>
          </cell>
          <cell r="D473" t="str">
            <v>全ては主のために</v>
          </cell>
          <cell r="E473" t="str">
            <v>ドロップイベント8（マルチ専用）</v>
          </cell>
          <cell r="F473">
            <v>2</v>
          </cell>
          <cell r="G473" t="str">
            <v>ja</v>
          </cell>
          <cell r="H473" t="str">
            <v>【上級】全ては主のために</v>
          </cell>
          <cell r="I473" t="str">
            <v>上級</v>
          </cell>
          <cell r="J473">
            <v>648</v>
          </cell>
          <cell r="K473">
            <v>20</v>
          </cell>
          <cell r="L473">
            <v>2000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3</v>
          </cell>
          <cell r="S473" t="str">
            <v>none</v>
          </cell>
          <cell r="T473">
            <v>0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5</v>
          </cell>
          <cell r="AD473">
            <v>6</v>
          </cell>
          <cell r="AE473" t="str">
            <v>everyone</v>
          </cell>
        </row>
        <row r="474">
          <cell r="A474" t="str">
            <v>30029_3</v>
          </cell>
          <cell r="B474">
            <v>3</v>
          </cell>
          <cell r="C474">
            <v>30029</v>
          </cell>
          <cell r="D474" t="str">
            <v>全ては主のために</v>
          </cell>
          <cell r="E474" t="str">
            <v>ドロップイベント8（マルチ専用）</v>
          </cell>
          <cell r="F474">
            <v>3</v>
          </cell>
          <cell r="G474" t="str">
            <v>ja</v>
          </cell>
          <cell r="H474" t="str">
            <v>【超級】全ては主のために</v>
          </cell>
          <cell r="I474" t="str">
            <v>超級</v>
          </cell>
          <cell r="J474">
            <v>648</v>
          </cell>
          <cell r="K474">
            <v>30</v>
          </cell>
          <cell r="L474">
            <v>3300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3</v>
          </cell>
          <cell r="S474" t="str">
            <v>polygon</v>
          </cell>
          <cell r="T474">
            <v>1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5</v>
          </cell>
          <cell r="AD474">
            <v>6</v>
          </cell>
          <cell r="AE474" t="str">
            <v>everyone</v>
          </cell>
        </row>
        <row r="475">
          <cell r="A475" t="str">
            <v>30030_1</v>
          </cell>
          <cell r="B475">
            <v>3</v>
          </cell>
          <cell r="C475">
            <v>30030</v>
          </cell>
          <cell r="D475" t="str">
            <v>ここは誰の箱庭じゃ？</v>
          </cell>
          <cell r="E475" t="str">
            <v>ドロップイベント9（マルチ専用）</v>
          </cell>
          <cell r="F475">
            <v>1</v>
          </cell>
          <cell r="G475" t="str">
            <v>ja</v>
          </cell>
          <cell r="H475" t="str">
            <v>【中級】ここは誰の箱庭じゃ？</v>
          </cell>
          <cell r="I475" t="str">
            <v>中級</v>
          </cell>
          <cell r="J475">
            <v>652</v>
          </cell>
          <cell r="K475">
            <v>15</v>
          </cell>
          <cell r="L475">
            <v>1200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3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8</v>
          </cell>
          <cell r="AD475">
            <v>6</v>
          </cell>
          <cell r="AE475" t="str">
            <v>everyone</v>
          </cell>
        </row>
        <row r="476">
          <cell r="A476" t="str">
            <v>30030_2</v>
          </cell>
          <cell r="B476">
            <v>3</v>
          </cell>
          <cell r="C476">
            <v>30030</v>
          </cell>
          <cell r="D476" t="str">
            <v>ここは誰の箱庭じゃ？</v>
          </cell>
          <cell r="E476" t="str">
            <v>ドロップイベント9（マルチ専用）</v>
          </cell>
          <cell r="F476">
            <v>2</v>
          </cell>
          <cell r="G476" t="str">
            <v>ja</v>
          </cell>
          <cell r="H476" t="str">
            <v>【上級】ここは誰の箱庭じゃ？</v>
          </cell>
          <cell r="I476" t="str">
            <v>上級</v>
          </cell>
          <cell r="J476">
            <v>653</v>
          </cell>
          <cell r="K476">
            <v>20</v>
          </cell>
          <cell r="L476">
            <v>2000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3</v>
          </cell>
          <cell r="S476" t="str">
            <v>none</v>
          </cell>
          <cell r="T476">
            <v>0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8</v>
          </cell>
          <cell r="AD476">
            <v>6</v>
          </cell>
          <cell r="AE476" t="str">
            <v>everyone</v>
          </cell>
        </row>
        <row r="477">
          <cell r="A477" t="str">
            <v>30030_3</v>
          </cell>
          <cell r="B477">
            <v>3</v>
          </cell>
          <cell r="C477">
            <v>30030</v>
          </cell>
          <cell r="D477" t="str">
            <v>ここは誰の箱庭じゃ？</v>
          </cell>
          <cell r="E477" t="str">
            <v>ドロップイベント9（マルチ専用）</v>
          </cell>
          <cell r="F477">
            <v>3</v>
          </cell>
          <cell r="G477" t="str">
            <v>ja</v>
          </cell>
          <cell r="H477" t="str">
            <v>【超級】ここは誰の箱庭じゃ？</v>
          </cell>
          <cell r="I477" t="str">
            <v>超級</v>
          </cell>
          <cell r="J477">
            <v>653</v>
          </cell>
          <cell r="K477">
            <v>30</v>
          </cell>
          <cell r="L477">
            <v>3300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3</v>
          </cell>
          <cell r="S477" t="str">
            <v>polygon</v>
          </cell>
          <cell r="T477">
            <v>1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8</v>
          </cell>
          <cell r="AD477">
            <v>6</v>
          </cell>
          <cell r="AE477" t="str">
            <v>everyone</v>
          </cell>
        </row>
        <row r="478">
          <cell r="A478" t="str">
            <v>30031_1</v>
          </cell>
          <cell r="B478">
            <v>3</v>
          </cell>
          <cell r="C478">
            <v>30031</v>
          </cell>
          <cell r="D478" t="str">
            <v>力への羨望</v>
          </cell>
          <cell r="E478" t="str">
            <v>ドロップイベント10（マルチ専用）</v>
          </cell>
          <cell r="F478">
            <v>1</v>
          </cell>
          <cell r="G478" t="str">
            <v>ja</v>
          </cell>
          <cell r="H478" t="str">
            <v>【中級】力への羨望</v>
          </cell>
          <cell r="I478" t="str">
            <v>中級</v>
          </cell>
          <cell r="J478">
            <v>764</v>
          </cell>
          <cell r="K478">
            <v>15</v>
          </cell>
          <cell r="L478">
            <v>1200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3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20</v>
          </cell>
          <cell r="AD478">
            <v>6</v>
          </cell>
          <cell r="AE478" t="str">
            <v>everyone</v>
          </cell>
        </row>
        <row r="479">
          <cell r="A479" t="str">
            <v>30031_2</v>
          </cell>
          <cell r="B479">
            <v>3</v>
          </cell>
          <cell r="C479">
            <v>30031</v>
          </cell>
          <cell r="D479" t="str">
            <v>力への羨望</v>
          </cell>
          <cell r="E479" t="str">
            <v>ドロップイベント10（マルチ専用）</v>
          </cell>
          <cell r="F479">
            <v>2</v>
          </cell>
          <cell r="G479" t="str">
            <v>ja</v>
          </cell>
          <cell r="H479" t="str">
            <v>【上級】力への羨望</v>
          </cell>
          <cell r="I479" t="str">
            <v>上級</v>
          </cell>
          <cell r="J479">
            <v>764</v>
          </cell>
          <cell r="K479">
            <v>20</v>
          </cell>
          <cell r="L479">
            <v>2000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3</v>
          </cell>
          <cell r="S479" t="str">
            <v>none</v>
          </cell>
          <cell r="T479">
            <v>0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20</v>
          </cell>
          <cell r="AD479">
            <v>6</v>
          </cell>
          <cell r="AE479" t="str">
            <v>everyone</v>
          </cell>
        </row>
        <row r="480">
          <cell r="A480" t="str">
            <v>30031_3</v>
          </cell>
          <cell r="B480">
            <v>3</v>
          </cell>
          <cell r="C480">
            <v>30031</v>
          </cell>
          <cell r="D480" t="str">
            <v>力への羨望</v>
          </cell>
          <cell r="E480" t="str">
            <v>ドロップイベント10（マルチ専用）</v>
          </cell>
          <cell r="F480">
            <v>3</v>
          </cell>
          <cell r="G480" t="str">
            <v>ja</v>
          </cell>
          <cell r="H480" t="str">
            <v>【超級】力への羨望</v>
          </cell>
          <cell r="I480" t="str">
            <v>超級</v>
          </cell>
          <cell r="J480">
            <v>765</v>
          </cell>
          <cell r="K480">
            <v>30</v>
          </cell>
          <cell r="L480">
            <v>3300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polygon</v>
          </cell>
          <cell r="T480">
            <v>1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20</v>
          </cell>
          <cell r="AD480">
            <v>6</v>
          </cell>
          <cell r="AE480" t="str">
            <v>everyone</v>
          </cell>
        </row>
        <row r="481">
          <cell r="A481" t="str">
            <v>30032_1</v>
          </cell>
          <cell r="B481">
            <v>3</v>
          </cell>
          <cell r="C481">
            <v>30032</v>
          </cell>
          <cell r="D481" t="str">
            <v>赤き竜の制裁</v>
          </cell>
          <cell r="E481" t="str">
            <v>円卓2（マルチ専用）</v>
          </cell>
          <cell r="F481">
            <v>1</v>
          </cell>
          <cell r="G481" t="str">
            <v>ja</v>
          </cell>
          <cell r="H481" t="str">
            <v>【中級】赤き竜の制裁</v>
          </cell>
          <cell r="I481" t="str">
            <v>中級</v>
          </cell>
          <cell r="J481">
            <v>767</v>
          </cell>
          <cell r="K481">
            <v>15</v>
          </cell>
          <cell r="L481">
            <v>1200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14</v>
          </cell>
          <cell r="AD481">
            <v>6</v>
          </cell>
          <cell r="AE481" t="str">
            <v>everyone</v>
          </cell>
        </row>
        <row r="482">
          <cell r="A482" t="str">
            <v>30032_2</v>
          </cell>
          <cell r="B482">
            <v>3</v>
          </cell>
          <cell r="C482">
            <v>30032</v>
          </cell>
          <cell r="D482" t="str">
            <v>赤き竜の制裁</v>
          </cell>
          <cell r="E482" t="str">
            <v>円卓2（マルチ専用）</v>
          </cell>
          <cell r="F482">
            <v>2</v>
          </cell>
          <cell r="G482" t="str">
            <v>ja</v>
          </cell>
          <cell r="H482" t="str">
            <v>【上級】赤き竜の制裁</v>
          </cell>
          <cell r="I482" t="str">
            <v>上級</v>
          </cell>
          <cell r="J482">
            <v>767</v>
          </cell>
          <cell r="K482">
            <v>20</v>
          </cell>
          <cell r="L482">
            <v>2000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none</v>
          </cell>
          <cell r="T482">
            <v>0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14</v>
          </cell>
          <cell r="AD482">
            <v>6</v>
          </cell>
          <cell r="AE482" t="str">
            <v>everyone</v>
          </cell>
        </row>
        <row r="483">
          <cell r="A483" t="str">
            <v>30032_3</v>
          </cell>
          <cell r="B483">
            <v>3</v>
          </cell>
          <cell r="C483">
            <v>30032</v>
          </cell>
          <cell r="D483" t="str">
            <v>赤き竜の制裁</v>
          </cell>
          <cell r="E483" t="str">
            <v>円卓2（マルチ専用）</v>
          </cell>
          <cell r="F483">
            <v>3</v>
          </cell>
          <cell r="G483" t="str">
            <v>ja</v>
          </cell>
          <cell r="H483" t="str">
            <v>【超級】赤き竜の制裁</v>
          </cell>
          <cell r="I483" t="str">
            <v>超級</v>
          </cell>
          <cell r="J483">
            <v>767</v>
          </cell>
          <cell r="K483">
            <v>30</v>
          </cell>
          <cell r="L483">
            <v>3300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polygon</v>
          </cell>
          <cell r="T483">
            <v>1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14</v>
          </cell>
          <cell r="AD483">
            <v>6</v>
          </cell>
          <cell r="AE483" t="str">
            <v>everyone</v>
          </cell>
        </row>
        <row r="484">
          <cell r="A484" t="str">
            <v>30033_1</v>
          </cell>
          <cell r="B484">
            <v>3</v>
          </cell>
          <cell r="C484">
            <v>30033</v>
          </cell>
          <cell r="D484" t="str">
            <v>御館様の懐刀</v>
          </cell>
          <cell r="E484" t="str">
            <v>戦国１</v>
          </cell>
          <cell r="F484">
            <v>1</v>
          </cell>
          <cell r="G484" t="str">
            <v>ja</v>
          </cell>
          <cell r="H484" t="str">
            <v>【中級】御館様の懐刀</v>
          </cell>
          <cell r="I484" t="str">
            <v>中級</v>
          </cell>
          <cell r="J484">
            <v>722</v>
          </cell>
          <cell r="K484">
            <v>15</v>
          </cell>
          <cell r="L484">
            <v>1200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2</v>
          </cell>
          <cell r="AD484">
            <v>6</v>
          </cell>
          <cell r="AE484" t="str">
            <v>everyone</v>
          </cell>
        </row>
        <row r="485">
          <cell r="A485" t="str">
            <v>30033_2</v>
          </cell>
          <cell r="B485">
            <v>3</v>
          </cell>
          <cell r="C485">
            <v>30033</v>
          </cell>
          <cell r="D485" t="str">
            <v>御館様の懐刀</v>
          </cell>
          <cell r="E485" t="str">
            <v>戦国１</v>
          </cell>
          <cell r="F485">
            <v>2</v>
          </cell>
          <cell r="G485" t="str">
            <v>ja</v>
          </cell>
          <cell r="H485" t="str">
            <v>【上級】御館様の懐刀</v>
          </cell>
          <cell r="I485" t="str">
            <v>上級</v>
          </cell>
          <cell r="J485">
            <v>722</v>
          </cell>
          <cell r="K485">
            <v>20</v>
          </cell>
          <cell r="L485">
            <v>2000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none</v>
          </cell>
          <cell r="T485">
            <v>0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2</v>
          </cell>
          <cell r="AD485">
            <v>6</v>
          </cell>
          <cell r="AE485" t="str">
            <v>everyone</v>
          </cell>
        </row>
        <row r="486">
          <cell r="A486" t="str">
            <v>30033_3</v>
          </cell>
          <cell r="B486">
            <v>3</v>
          </cell>
          <cell r="C486">
            <v>30033</v>
          </cell>
          <cell r="D486" t="str">
            <v>御館様の懐刀</v>
          </cell>
          <cell r="E486" t="str">
            <v>戦国１</v>
          </cell>
          <cell r="F486">
            <v>3</v>
          </cell>
          <cell r="G486" t="str">
            <v>ja</v>
          </cell>
          <cell r="H486" t="str">
            <v>【超級】御館様の懐刀</v>
          </cell>
          <cell r="I486" t="str">
            <v>超級</v>
          </cell>
          <cell r="J486">
            <v>723</v>
          </cell>
          <cell r="K486">
            <v>30</v>
          </cell>
          <cell r="L486">
            <v>3300</v>
          </cell>
          <cell r="M486">
            <v>1</v>
          </cell>
          <cell r="N486">
            <v>1</v>
          </cell>
          <cell r="O486">
            <v>1</v>
          </cell>
          <cell r="P486">
            <v>1</v>
          </cell>
          <cell r="Q486">
            <v>1</v>
          </cell>
          <cell r="R486">
            <v>3</v>
          </cell>
          <cell r="S486" t="str">
            <v>polygon</v>
          </cell>
          <cell r="T486">
            <v>1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2</v>
          </cell>
          <cell r="AD486">
            <v>6</v>
          </cell>
          <cell r="AE486" t="str">
            <v>everyone</v>
          </cell>
        </row>
        <row r="487">
          <cell r="A487" t="str">
            <v>30034_1</v>
          </cell>
          <cell r="B487">
            <v>3</v>
          </cell>
          <cell r="C487">
            <v>30034</v>
          </cell>
          <cell r="D487" t="str">
            <v>孤高の焔翼</v>
          </cell>
          <cell r="E487" t="str">
            <v>天使と悪魔</v>
          </cell>
          <cell r="F487">
            <v>1</v>
          </cell>
          <cell r="G487" t="str">
            <v>ja</v>
          </cell>
          <cell r="H487" t="str">
            <v>【中級】孤高の焔翼</v>
          </cell>
          <cell r="I487" t="str">
            <v>中級</v>
          </cell>
          <cell r="J487">
            <v>840</v>
          </cell>
          <cell r="K487">
            <v>15</v>
          </cell>
          <cell r="L487">
            <v>1200</v>
          </cell>
          <cell r="M487">
            <v>1</v>
          </cell>
          <cell r="N487">
            <v>1</v>
          </cell>
          <cell r="O487">
            <v>1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10</v>
          </cell>
          <cell r="AD487">
            <v>6</v>
          </cell>
          <cell r="AE487" t="str">
            <v>everyone</v>
          </cell>
        </row>
        <row r="488">
          <cell r="A488" t="str">
            <v>30034_2</v>
          </cell>
          <cell r="B488">
            <v>3</v>
          </cell>
          <cell r="C488">
            <v>30034</v>
          </cell>
          <cell r="D488" t="str">
            <v>孤高の焔翼</v>
          </cell>
          <cell r="E488" t="str">
            <v>天使と悪魔</v>
          </cell>
          <cell r="F488">
            <v>2</v>
          </cell>
          <cell r="G488" t="str">
            <v>ja</v>
          </cell>
          <cell r="H488" t="str">
            <v>【上級】孤高の焔翼</v>
          </cell>
          <cell r="I488" t="str">
            <v>上級</v>
          </cell>
          <cell r="J488">
            <v>840</v>
          </cell>
          <cell r="K488">
            <v>20</v>
          </cell>
          <cell r="L488">
            <v>2000</v>
          </cell>
          <cell r="M488">
            <v>1</v>
          </cell>
          <cell r="N488">
            <v>1</v>
          </cell>
          <cell r="O488">
            <v>1</v>
          </cell>
          <cell r="P488">
            <v>1</v>
          </cell>
          <cell r="Q488">
            <v>1</v>
          </cell>
          <cell r="R488">
            <v>3</v>
          </cell>
          <cell r="S488" t="str">
            <v>none</v>
          </cell>
          <cell r="T488">
            <v>0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10</v>
          </cell>
          <cell r="AD488">
            <v>6</v>
          </cell>
          <cell r="AE488" t="str">
            <v>everyone</v>
          </cell>
        </row>
        <row r="489">
          <cell r="A489" t="str">
            <v>30034_3</v>
          </cell>
          <cell r="B489">
            <v>3</v>
          </cell>
          <cell r="C489">
            <v>30034</v>
          </cell>
          <cell r="D489" t="str">
            <v>孤高の焔翼</v>
          </cell>
          <cell r="E489" t="str">
            <v>天使と悪魔</v>
          </cell>
          <cell r="F489">
            <v>3</v>
          </cell>
          <cell r="G489" t="str">
            <v>ja</v>
          </cell>
          <cell r="H489" t="str">
            <v>【超級】孤高の焔翼</v>
          </cell>
          <cell r="I489" t="str">
            <v>超級</v>
          </cell>
          <cell r="J489">
            <v>841</v>
          </cell>
          <cell r="K489">
            <v>30</v>
          </cell>
          <cell r="L489">
            <v>3300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polygon</v>
          </cell>
          <cell r="T489">
            <v>1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10</v>
          </cell>
          <cell r="AD489">
            <v>6</v>
          </cell>
          <cell r="AE489" t="str">
            <v>everyone</v>
          </cell>
        </row>
        <row r="490">
          <cell r="A490" t="str">
            <v>30035_1</v>
          </cell>
          <cell r="B490">
            <v>3</v>
          </cell>
          <cell r="C490">
            <v>30035</v>
          </cell>
          <cell r="D490" t="str">
            <v>大鯨の呼び声</v>
          </cell>
          <cell r="E490" t="str">
            <v>童話シリーズ3本目</v>
          </cell>
          <cell r="F490">
            <v>1</v>
          </cell>
          <cell r="G490" t="str">
            <v>ja</v>
          </cell>
          <cell r="H490" t="str">
            <v>【中級】大鯨の呼び声</v>
          </cell>
          <cell r="I490" t="str">
            <v>中級</v>
          </cell>
          <cell r="J490">
            <v>858</v>
          </cell>
          <cell r="K490">
            <v>15</v>
          </cell>
          <cell r="L490">
            <v>1200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5</v>
          </cell>
          <cell r="AD490">
            <v>6</v>
          </cell>
          <cell r="AE490" t="str">
            <v>everyone</v>
          </cell>
        </row>
        <row r="491">
          <cell r="A491" t="str">
            <v>30035_2</v>
          </cell>
          <cell r="B491">
            <v>3</v>
          </cell>
          <cell r="C491">
            <v>30035</v>
          </cell>
          <cell r="D491" t="str">
            <v>大鯨の呼び声</v>
          </cell>
          <cell r="E491" t="str">
            <v>童話シリーズ3本目</v>
          </cell>
          <cell r="F491">
            <v>2</v>
          </cell>
          <cell r="G491" t="str">
            <v>ja</v>
          </cell>
          <cell r="H491" t="str">
            <v>【上級】大鯨の呼び声</v>
          </cell>
          <cell r="I491" t="str">
            <v>上級</v>
          </cell>
          <cell r="J491">
            <v>858</v>
          </cell>
          <cell r="K491">
            <v>20</v>
          </cell>
          <cell r="L491">
            <v>2000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none</v>
          </cell>
          <cell r="T491">
            <v>0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5</v>
          </cell>
          <cell r="AD491">
            <v>6</v>
          </cell>
          <cell r="AE491" t="str">
            <v>everyone</v>
          </cell>
        </row>
        <row r="492">
          <cell r="A492" t="str">
            <v>30035_3</v>
          </cell>
          <cell r="B492">
            <v>3</v>
          </cell>
          <cell r="C492">
            <v>30035</v>
          </cell>
          <cell r="D492" t="str">
            <v>大鯨の呼び声</v>
          </cell>
          <cell r="E492" t="str">
            <v>童話シリーズ3本目</v>
          </cell>
          <cell r="F492">
            <v>3</v>
          </cell>
          <cell r="G492" t="str">
            <v>ja</v>
          </cell>
          <cell r="H492" t="str">
            <v>【超級】大鯨の呼び声</v>
          </cell>
          <cell r="I492" t="str">
            <v>超級</v>
          </cell>
          <cell r="J492">
            <v>859</v>
          </cell>
          <cell r="K492">
            <v>30</v>
          </cell>
          <cell r="L492">
            <v>3300</v>
          </cell>
          <cell r="M492">
            <v>1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polygon</v>
          </cell>
          <cell r="T492">
            <v>1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5</v>
          </cell>
          <cell r="AD492">
            <v>6</v>
          </cell>
          <cell r="AE492" t="str">
            <v>everyone</v>
          </cell>
        </row>
        <row r="493">
          <cell r="A493" t="str">
            <v>30036_1</v>
          </cell>
          <cell r="B493">
            <v>1</v>
          </cell>
          <cell r="C493">
            <v>30036</v>
          </cell>
          <cell r="D493" t="str">
            <v>猛然たる炎獣使い</v>
          </cell>
          <cell r="E493" t="str">
            <v>ギリシャ神話シリーズ超級</v>
          </cell>
          <cell r="F493">
            <v>1</v>
          </cell>
          <cell r="G493" t="str">
            <v>ja</v>
          </cell>
          <cell r="H493" t="str">
            <v>【中級】オルトロス</v>
          </cell>
          <cell r="I493" t="str">
            <v>中級</v>
          </cell>
          <cell r="J493">
            <v>858</v>
          </cell>
          <cell r="K493">
            <v>15</v>
          </cell>
          <cell r="L493">
            <v>1200</v>
          </cell>
          <cell r="M493">
            <v>1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13</v>
          </cell>
          <cell r="AD493">
            <v>6</v>
          </cell>
          <cell r="AE493" t="str">
            <v>everyone</v>
          </cell>
        </row>
        <row r="494">
          <cell r="A494" t="str">
            <v>30036_2</v>
          </cell>
          <cell r="B494">
            <v>1</v>
          </cell>
          <cell r="C494">
            <v>30036</v>
          </cell>
          <cell r="D494" t="str">
            <v>猛然たる炎獣使い</v>
          </cell>
          <cell r="E494" t="str">
            <v>ギリシャ神話シリーズ超級</v>
          </cell>
          <cell r="F494">
            <v>2</v>
          </cell>
          <cell r="G494" t="str">
            <v>ja</v>
          </cell>
          <cell r="H494" t="str">
            <v>【上級】オルトロス</v>
          </cell>
          <cell r="I494" t="str">
            <v>上級</v>
          </cell>
          <cell r="J494">
            <v>858</v>
          </cell>
          <cell r="K494">
            <v>20</v>
          </cell>
          <cell r="L494">
            <v>2000</v>
          </cell>
          <cell r="M494">
            <v>1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none</v>
          </cell>
          <cell r="T494">
            <v>0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13</v>
          </cell>
          <cell r="AD494">
            <v>6</v>
          </cell>
          <cell r="AE494" t="str">
            <v>everyone</v>
          </cell>
        </row>
        <row r="495">
          <cell r="A495" t="str">
            <v>30036_3</v>
          </cell>
          <cell r="B495">
            <v>1</v>
          </cell>
          <cell r="C495">
            <v>30036</v>
          </cell>
          <cell r="D495" t="str">
            <v>猛然たる炎獣使い</v>
          </cell>
          <cell r="E495" t="str">
            <v>ギリシャ神話シリーズ超級</v>
          </cell>
          <cell r="F495">
            <v>3</v>
          </cell>
          <cell r="G495" t="str">
            <v>ja</v>
          </cell>
          <cell r="H495" t="str">
            <v>【超級】オルトロス</v>
          </cell>
          <cell r="I495" t="str">
            <v>超級</v>
          </cell>
          <cell r="J495">
            <v>859</v>
          </cell>
          <cell r="K495">
            <v>30</v>
          </cell>
          <cell r="L495">
            <v>3300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polygon</v>
          </cell>
          <cell r="T495">
            <v>1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13</v>
          </cell>
          <cell r="AD495">
            <v>6</v>
          </cell>
          <cell r="AE495" t="str">
            <v>everyone</v>
          </cell>
        </row>
        <row r="496">
          <cell r="A496" t="str">
            <v>39001_1</v>
          </cell>
          <cell r="B496">
            <v>3</v>
          </cell>
          <cell r="C496">
            <v>39001</v>
          </cell>
          <cell r="D496" t="str">
            <v>雪の歌姫</v>
          </cell>
          <cell r="E496" t="str">
            <v>コラボクエスト</v>
          </cell>
          <cell r="F496">
            <v>1</v>
          </cell>
          <cell r="G496" t="str">
            <v>ja</v>
          </cell>
          <cell r="H496" t="str">
            <v>【初級】雪の歌姫</v>
          </cell>
          <cell r="I496" t="str">
            <v>初級</v>
          </cell>
          <cell r="J496">
            <v>525</v>
          </cell>
          <cell r="K496">
            <v>8</v>
          </cell>
          <cell r="L496">
            <v>384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909</v>
          </cell>
          <cell r="AD496">
            <v>6</v>
          </cell>
          <cell r="AE496" t="str">
            <v>everyone</v>
          </cell>
        </row>
        <row r="497">
          <cell r="A497" t="str">
            <v>39001_2</v>
          </cell>
          <cell r="B497">
            <v>3</v>
          </cell>
          <cell r="C497">
            <v>39001</v>
          </cell>
          <cell r="D497" t="str">
            <v>雪の歌姫</v>
          </cell>
          <cell r="E497" t="str">
            <v>コラボクエスト</v>
          </cell>
          <cell r="F497">
            <v>2</v>
          </cell>
          <cell r="G497" t="str">
            <v>ja</v>
          </cell>
          <cell r="H497" t="str">
            <v>【中級】雪の歌姫</v>
          </cell>
          <cell r="I497" t="str">
            <v>中級</v>
          </cell>
          <cell r="J497">
            <v>525</v>
          </cell>
          <cell r="K497">
            <v>15</v>
          </cell>
          <cell r="L497">
            <v>1200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none</v>
          </cell>
          <cell r="T497">
            <v>0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909</v>
          </cell>
          <cell r="AD497">
            <v>6</v>
          </cell>
          <cell r="AE497" t="str">
            <v>everyone</v>
          </cell>
        </row>
        <row r="498">
          <cell r="A498" t="str">
            <v>39001_3</v>
          </cell>
          <cell r="B498">
            <v>3</v>
          </cell>
          <cell r="C498">
            <v>39001</v>
          </cell>
          <cell r="D498" t="str">
            <v>雪の歌姫</v>
          </cell>
          <cell r="E498" t="str">
            <v>コラボクエスト</v>
          </cell>
          <cell r="F498">
            <v>3</v>
          </cell>
          <cell r="G498" t="str">
            <v>ja</v>
          </cell>
          <cell r="H498" t="str">
            <v>【上級】雪の歌姫</v>
          </cell>
          <cell r="I498" t="str">
            <v>上級</v>
          </cell>
          <cell r="J498">
            <v>525</v>
          </cell>
          <cell r="K498">
            <v>20</v>
          </cell>
          <cell r="L498">
            <v>2000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909</v>
          </cell>
          <cell r="AD498">
            <v>6</v>
          </cell>
          <cell r="AE498" t="str">
            <v>everyone</v>
          </cell>
        </row>
        <row r="499">
          <cell r="A499" t="str">
            <v>39001_4</v>
          </cell>
          <cell r="B499">
            <v>3</v>
          </cell>
          <cell r="C499">
            <v>39001</v>
          </cell>
          <cell r="D499" t="str">
            <v>雪の歌姫</v>
          </cell>
          <cell r="E499" t="str">
            <v>コラボクエスト</v>
          </cell>
          <cell r="F499">
            <v>4</v>
          </cell>
          <cell r="G499" t="str">
            <v>ja</v>
          </cell>
          <cell r="H499" t="str">
            <v>【超級】雪の歌姫</v>
          </cell>
          <cell r="I499" t="str">
            <v>超級</v>
          </cell>
          <cell r="J499">
            <v>526</v>
          </cell>
          <cell r="K499">
            <v>30</v>
          </cell>
          <cell r="L499">
            <v>3300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909</v>
          </cell>
          <cell r="AD499">
            <v>6</v>
          </cell>
          <cell r="AE499" t="str">
            <v>everyone</v>
          </cell>
        </row>
        <row r="500">
          <cell r="A500" t="str">
            <v>39001_5</v>
          </cell>
          <cell r="B500">
            <v>3</v>
          </cell>
          <cell r="C500">
            <v>39001</v>
          </cell>
          <cell r="D500" t="str">
            <v>雪の歌姫</v>
          </cell>
          <cell r="E500" t="str">
            <v>コラボクエスト</v>
          </cell>
          <cell r="F500">
            <v>5</v>
          </cell>
          <cell r="G500" t="str">
            <v>ja</v>
          </cell>
          <cell r="H500" t="str">
            <v>【超絶級】雪の歌姫</v>
          </cell>
          <cell r="I500" t="str">
            <v>超絶級</v>
          </cell>
          <cell r="J500">
            <v>526</v>
          </cell>
          <cell r="K500">
            <v>35</v>
          </cell>
          <cell r="L500">
            <v>4200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polygon</v>
          </cell>
          <cell r="T500">
            <v>1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909</v>
          </cell>
          <cell r="AD500">
            <v>6</v>
          </cell>
          <cell r="AE500" t="str">
            <v>everyone</v>
          </cell>
        </row>
        <row r="501">
          <cell r="A501" t="str">
            <v>39002_1</v>
          </cell>
          <cell r="B501">
            <v>3</v>
          </cell>
          <cell r="C501">
            <v>39002</v>
          </cell>
          <cell r="D501" t="str">
            <v>黄巾賊の暴走を止めろ！</v>
          </cell>
          <cell r="E501" t="str">
            <v>コラボクエスト</v>
          </cell>
          <cell r="F501">
            <v>1</v>
          </cell>
          <cell r="G501" t="str">
            <v>ja</v>
          </cell>
          <cell r="H501" t="str">
            <v>【初級】黄巾賊の暴走を止めろ</v>
          </cell>
          <cell r="I501" t="str">
            <v>初級</v>
          </cell>
          <cell r="J501">
            <v>694</v>
          </cell>
          <cell r="K501">
            <v>8</v>
          </cell>
          <cell r="L501">
            <v>384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12</v>
          </cell>
          <cell r="AD501">
            <v>6</v>
          </cell>
          <cell r="AE501" t="str">
            <v>everyone</v>
          </cell>
        </row>
        <row r="502">
          <cell r="A502" t="str">
            <v>39002_2</v>
          </cell>
          <cell r="B502">
            <v>3</v>
          </cell>
          <cell r="C502">
            <v>39002</v>
          </cell>
          <cell r="D502" t="str">
            <v>黄巾賊の暴走を止めろ！</v>
          </cell>
          <cell r="E502" t="str">
            <v>コラボクエスト</v>
          </cell>
          <cell r="F502">
            <v>2</v>
          </cell>
          <cell r="G502" t="str">
            <v>ja</v>
          </cell>
          <cell r="H502" t="str">
            <v>【中級】黄巾賊の暴走を止めろ</v>
          </cell>
          <cell r="I502" t="str">
            <v>中級</v>
          </cell>
          <cell r="J502">
            <v>694</v>
          </cell>
          <cell r="K502">
            <v>15</v>
          </cell>
          <cell r="L502">
            <v>1200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12</v>
          </cell>
          <cell r="AD502">
            <v>6</v>
          </cell>
          <cell r="AE502" t="str">
            <v>everyone</v>
          </cell>
        </row>
        <row r="503">
          <cell r="A503" t="str">
            <v>39002_3</v>
          </cell>
          <cell r="B503">
            <v>3</v>
          </cell>
          <cell r="C503">
            <v>39002</v>
          </cell>
          <cell r="D503" t="str">
            <v>黄巾賊の暴走を止めろ！</v>
          </cell>
          <cell r="E503" t="str">
            <v>コラボクエスト</v>
          </cell>
          <cell r="F503">
            <v>3</v>
          </cell>
          <cell r="G503" t="str">
            <v>ja</v>
          </cell>
          <cell r="H503" t="str">
            <v>【上級】黄巾賊の暴走を止めろ</v>
          </cell>
          <cell r="I503" t="str">
            <v>上級</v>
          </cell>
          <cell r="J503">
            <v>694</v>
          </cell>
          <cell r="K503">
            <v>20</v>
          </cell>
          <cell r="L503">
            <v>2000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none</v>
          </cell>
          <cell r="T503">
            <v>0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12</v>
          </cell>
          <cell r="AD503">
            <v>6</v>
          </cell>
          <cell r="AE503" t="str">
            <v>everyone</v>
          </cell>
        </row>
        <row r="504">
          <cell r="A504" t="str">
            <v>39002_4</v>
          </cell>
          <cell r="B504">
            <v>3</v>
          </cell>
          <cell r="C504">
            <v>39002</v>
          </cell>
          <cell r="D504" t="str">
            <v>黄巾賊の暴走を止めろ！</v>
          </cell>
          <cell r="E504" t="str">
            <v>コラボクエスト</v>
          </cell>
          <cell r="F504">
            <v>4</v>
          </cell>
          <cell r="G504" t="str">
            <v>ja</v>
          </cell>
          <cell r="H504" t="str">
            <v>【超級】黄巾賊の暴走を止めろ</v>
          </cell>
          <cell r="I504" t="str">
            <v>超級</v>
          </cell>
          <cell r="J504">
            <v>694</v>
          </cell>
          <cell r="K504">
            <v>30</v>
          </cell>
          <cell r="L504">
            <v>3300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polygon</v>
          </cell>
          <cell r="T504">
            <v>1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12</v>
          </cell>
          <cell r="AD504">
            <v>6</v>
          </cell>
          <cell r="AE504" t="str">
            <v>everyone</v>
          </cell>
        </row>
        <row r="505">
          <cell r="A505" t="str">
            <v>39003_1</v>
          </cell>
          <cell r="B505">
            <v>3</v>
          </cell>
          <cell r="C505">
            <v>39003</v>
          </cell>
          <cell r="D505" t="str">
            <v>ブルースクウェアを追え！</v>
          </cell>
          <cell r="E505" t="str">
            <v>コラボクエスト</v>
          </cell>
          <cell r="F505">
            <v>1</v>
          </cell>
          <cell r="G505" t="str">
            <v>ja</v>
          </cell>
          <cell r="H505" t="str">
            <v>【初級】ブルースクウェアを追え！</v>
          </cell>
          <cell r="I505" t="str">
            <v>初級</v>
          </cell>
          <cell r="J505">
            <v>691</v>
          </cell>
          <cell r="K505">
            <v>8</v>
          </cell>
          <cell r="L505">
            <v>384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none</v>
          </cell>
          <cell r="T505">
            <v>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14</v>
          </cell>
          <cell r="AD505">
            <v>6</v>
          </cell>
          <cell r="AE505" t="str">
            <v>everyone</v>
          </cell>
        </row>
        <row r="506">
          <cell r="A506" t="str">
            <v>39003_2</v>
          </cell>
          <cell r="B506">
            <v>3</v>
          </cell>
          <cell r="C506">
            <v>39003</v>
          </cell>
          <cell r="D506" t="str">
            <v>ブルースクウェアを追え！</v>
          </cell>
          <cell r="E506" t="str">
            <v>コラボクエスト</v>
          </cell>
          <cell r="F506">
            <v>2</v>
          </cell>
          <cell r="G506" t="str">
            <v>ja</v>
          </cell>
          <cell r="H506" t="str">
            <v>【中級】ブルースクウェアを追え！</v>
          </cell>
          <cell r="I506" t="str">
            <v>中級</v>
          </cell>
          <cell r="J506">
            <v>691</v>
          </cell>
          <cell r="K506">
            <v>15</v>
          </cell>
          <cell r="L506">
            <v>1200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none</v>
          </cell>
          <cell r="T506">
            <v>0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14</v>
          </cell>
          <cell r="AD506">
            <v>6</v>
          </cell>
          <cell r="AE506" t="str">
            <v>everyone</v>
          </cell>
        </row>
        <row r="507">
          <cell r="A507" t="str">
            <v>39003_3</v>
          </cell>
          <cell r="B507">
            <v>3</v>
          </cell>
          <cell r="C507">
            <v>39003</v>
          </cell>
          <cell r="D507" t="str">
            <v>ブルースクウェアを追え！</v>
          </cell>
          <cell r="E507" t="str">
            <v>コラボクエスト</v>
          </cell>
          <cell r="F507">
            <v>3</v>
          </cell>
          <cell r="G507" t="str">
            <v>ja</v>
          </cell>
          <cell r="H507" t="str">
            <v>【上級】ブルースクウェアを追え！</v>
          </cell>
          <cell r="I507" t="str">
            <v>上級</v>
          </cell>
          <cell r="J507">
            <v>691</v>
          </cell>
          <cell r="K507">
            <v>20</v>
          </cell>
          <cell r="L507">
            <v>2000</v>
          </cell>
          <cell r="M507">
            <v>1</v>
          </cell>
          <cell r="N507">
            <v>1</v>
          </cell>
          <cell r="O507">
            <v>1</v>
          </cell>
          <cell r="P507">
            <v>1</v>
          </cell>
          <cell r="Q507">
            <v>1</v>
          </cell>
          <cell r="R507">
            <v>3</v>
          </cell>
          <cell r="S507" t="str">
            <v>none</v>
          </cell>
          <cell r="T507">
            <v>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14</v>
          </cell>
          <cell r="AD507">
            <v>6</v>
          </cell>
          <cell r="AE507" t="str">
            <v>everyone</v>
          </cell>
        </row>
        <row r="508">
          <cell r="A508" t="str">
            <v>39003_4</v>
          </cell>
          <cell r="B508">
            <v>3</v>
          </cell>
          <cell r="C508">
            <v>39003</v>
          </cell>
          <cell r="D508" t="str">
            <v>ブルースクウェアを追え！</v>
          </cell>
          <cell r="E508" t="str">
            <v>コラボクエスト</v>
          </cell>
          <cell r="F508">
            <v>4</v>
          </cell>
          <cell r="G508" t="str">
            <v>ja</v>
          </cell>
          <cell r="H508" t="str">
            <v>【超級】ブルースクウェアを追え！</v>
          </cell>
          <cell r="I508" t="str">
            <v>超級</v>
          </cell>
          <cell r="J508">
            <v>691</v>
          </cell>
          <cell r="K508">
            <v>30</v>
          </cell>
          <cell r="L508">
            <v>3300</v>
          </cell>
          <cell r="M508">
            <v>1</v>
          </cell>
          <cell r="N508">
            <v>1</v>
          </cell>
          <cell r="O508">
            <v>1</v>
          </cell>
          <cell r="P508">
            <v>1</v>
          </cell>
          <cell r="Q508">
            <v>1</v>
          </cell>
          <cell r="R508">
            <v>3</v>
          </cell>
          <cell r="S508" t="str">
            <v>polygon</v>
          </cell>
          <cell r="T508">
            <v>1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14</v>
          </cell>
          <cell r="AD508">
            <v>6</v>
          </cell>
          <cell r="AE508" t="str">
            <v>everyone</v>
          </cell>
        </row>
        <row r="509">
          <cell r="A509" t="str">
            <v>39004_1</v>
          </cell>
          <cell r="B509">
            <v>3</v>
          </cell>
          <cell r="C509">
            <v>39004</v>
          </cell>
          <cell r="D509" t="str">
            <v xml:space="preserve">ニムダのおきにいり♪ </v>
          </cell>
          <cell r="E509" t="str">
            <v>コラボクエスト</v>
          </cell>
          <cell r="F509">
            <v>1</v>
          </cell>
          <cell r="G509" t="str">
            <v>ja</v>
          </cell>
          <cell r="H509" t="str">
            <v xml:space="preserve">【初級】ニムダのおきにいり♪ </v>
          </cell>
          <cell r="I509" t="str">
            <v>初級</v>
          </cell>
          <cell r="J509">
            <v>902</v>
          </cell>
          <cell r="K509">
            <v>8</v>
          </cell>
          <cell r="L509">
            <v>384</v>
          </cell>
          <cell r="M509">
            <v>1</v>
          </cell>
          <cell r="N509">
            <v>1</v>
          </cell>
          <cell r="O509">
            <v>1</v>
          </cell>
          <cell r="P509">
            <v>1</v>
          </cell>
          <cell r="Q509">
            <v>1</v>
          </cell>
          <cell r="R509">
            <v>3</v>
          </cell>
          <cell r="S509" t="str">
            <v>none</v>
          </cell>
          <cell r="T509">
            <v>0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933</v>
          </cell>
          <cell r="AD509">
            <v>6</v>
          </cell>
          <cell r="AE509" t="str">
            <v>everyone</v>
          </cell>
        </row>
        <row r="510">
          <cell r="A510" t="str">
            <v>39004_2</v>
          </cell>
          <cell r="B510">
            <v>3</v>
          </cell>
          <cell r="C510">
            <v>39004</v>
          </cell>
          <cell r="D510" t="str">
            <v xml:space="preserve">ニムダのおきにいり♪ </v>
          </cell>
          <cell r="E510" t="str">
            <v>コラボクエスト</v>
          </cell>
          <cell r="F510">
            <v>2</v>
          </cell>
          <cell r="G510" t="str">
            <v>ja</v>
          </cell>
          <cell r="H510" t="str">
            <v xml:space="preserve">【中級】ニムダのおきにいり♪ </v>
          </cell>
          <cell r="I510" t="str">
            <v>中級</v>
          </cell>
          <cell r="J510">
            <v>902</v>
          </cell>
          <cell r="K510">
            <v>15</v>
          </cell>
          <cell r="L510">
            <v>1200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933</v>
          </cell>
          <cell r="AD510">
            <v>6</v>
          </cell>
          <cell r="AE510" t="str">
            <v>everyone</v>
          </cell>
        </row>
        <row r="511">
          <cell r="A511" t="str">
            <v>39004_3</v>
          </cell>
          <cell r="B511">
            <v>3</v>
          </cell>
          <cell r="C511">
            <v>39004</v>
          </cell>
          <cell r="D511" t="str">
            <v xml:space="preserve">ニムダのおきにいり♪ </v>
          </cell>
          <cell r="E511" t="str">
            <v>コラボクエスト</v>
          </cell>
          <cell r="F511">
            <v>3</v>
          </cell>
          <cell r="G511" t="str">
            <v>ja</v>
          </cell>
          <cell r="H511" t="str">
            <v xml:space="preserve">【上級】ニムダのおきにいり♪ </v>
          </cell>
          <cell r="I511" t="str">
            <v>上級</v>
          </cell>
          <cell r="J511">
            <v>902</v>
          </cell>
          <cell r="K511">
            <v>20</v>
          </cell>
          <cell r="L511">
            <v>2000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none</v>
          </cell>
          <cell r="T511">
            <v>0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933</v>
          </cell>
          <cell r="AD511">
            <v>6</v>
          </cell>
          <cell r="AE511" t="str">
            <v>everyone</v>
          </cell>
        </row>
        <row r="512">
          <cell r="A512" t="str">
            <v>39004_4</v>
          </cell>
          <cell r="B512">
            <v>3</v>
          </cell>
          <cell r="C512">
            <v>39004</v>
          </cell>
          <cell r="D512" t="str">
            <v xml:space="preserve">ニムダのおきにいり♪ </v>
          </cell>
          <cell r="E512" t="str">
            <v>コラボクエスト</v>
          </cell>
          <cell r="F512">
            <v>4</v>
          </cell>
          <cell r="G512" t="str">
            <v>ja</v>
          </cell>
          <cell r="H512" t="str">
            <v xml:space="preserve">【超級】ニムダのおきにいり♪ </v>
          </cell>
          <cell r="I512" t="str">
            <v>超級</v>
          </cell>
          <cell r="J512">
            <v>902</v>
          </cell>
          <cell r="K512">
            <v>30</v>
          </cell>
          <cell r="L512">
            <v>3300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polygon</v>
          </cell>
          <cell r="T512">
            <v>1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933</v>
          </cell>
          <cell r="AD512">
            <v>6</v>
          </cell>
          <cell r="AE512" t="str">
            <v>everyone</v>
          </cell>
        </row>
        <row r="513">
          <cell r="A513" t="str">
            <v>39005_1</v>
          </cell>
          <cell r="B513">
            <v>1</v>
          </cell>
          <cell r="C513">
            <v>39005</v>
          </cell>
          <cell r="D513" t="str">
            <v xml:space="preserve">ポ </v>
          </cell>
          <cell r="E513" t="str">
            <v>コラボクエスト</v>
          </cell>
          <cell r="F513">
            <v>1</v>
          </cell>
          <cell r="G513" t="str">
            <v>ja</v>
          </cell>
          <cell r="H513" t="str">
            <v>【初級】ポ</v>
          </cell>
          <cell r="I513" t="str">
            <v>初級</v>
          </cell>
          <cell r="J513">
            <v>8029</v>
          </cell>
          <cell r="K513">
            <v>8</v>
          </cell>
          <cell r="L513">
            <v>384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909</v>
          </cell>
          <cell r="AD513">
            <v>6</v>
          </cell>
          <cell r="AE513" t="str">
            <v>everyone</v>
          </cell>
        </row>
        <row r="514">
          <cell r="A514" t="str">
            <v>39005_2</v>
          </cell>
          <cell r="B514">
            <v>1</v>
          </cell>
          <cell r="C514">
            <v>39005</v>
          </cell>
          <cell r="D514" t="str">
            <v xml:space="preserve">ポ </v>
          </cell>
          <cell r="E514" t="str">
            <v>コラボクエスト</v>
          </cell>
          <cell r="F514">
            <v>2</v>
          </cell>
          <cell r="G514" t="str">
            <v>ja</v>
          </cell>
          <cell r="H514" t="str">
            <v>【中級】ポ</v>
          </cell>
          <cell r="I514" t="str">
            <v>中級</v>
          </cell>
          <cell r="J514">
            <v>8029</v>
          </cell>
          <cell r="K514">
            <v>15</v>
          </cell>
          <cell r="L514">
            <v>1200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none</v>
          </cell>
          <cell r="T514">
            <v>0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909</v>
          </cell>
          <cell r="AD514">
            <v>6</v>
          </cell>
          <cell r="AE514" t="str">
            <v>everyone</v>
          </cell>
        </row>
        <row r="515">
          <cell r="A515" t="str">
            <v>39005_3</v>
          </cell>
          <cell r="B515">
            <v>1</v>
          </cell>
          <cell r="C515">
            <v>39005</v>
          </cell>
          <cell r="D515" t="str">
            <v xml:space="preserve">ポ </v>
          </cell>
          <cell r="E515" t="str">
            <v>コラボクエスト</v>
          </cell>
          <cell r="F515">
            <v>3</v>
          </cell>
          <cell r="G515" t="str">
            <v>ja</v>
          </cell>
          <cell r="H515" t="str">
            <v>【上級】ポ</v>
          </cell>
          <cell r="I515" t="str">
            <v>上級</v>
          </cell>
          <cell r="J515">
            <v>8029</v>
          </cell>
          <cell r="K515">
            <v>20</v>
          </cell>
          <cell r="L515">
            <v>2000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none</v>
          </cell>
          <cell r="T515">
            <v>0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909</v>
          </cell>
          <cell r="AD515">
            <v>6</v>
          </cell>
          <cell r="AE515" t="str">
            <v>everyone</v>
          </cell>
        </row>
        <row r="516">
          <cell r="A516" t="str">
            <v>39005_4</v>
          </cell>
          <cell r="B516">
            <v>1</v>
          </cell>
          <cell r="C516">
            <v>39005</v>
          </cell>
          <cell r="D516" t="str">
            <v xml:space="preserve">ポ </v>
          </cell>
          <cell r="E516" t="str">
            <v>コラボクエスト</v>
          </cell>
          <cell r="F516">
            <v>4</v>
          </cell>
          <cell r="G516" t="str">
            <v>ja</v>
          </cell>
          <cell r="H516" t="str">
            <v>【超級】ポ</v>
          </cell>
          <cell r="I516" t="str">
            <v>超級</v>
          </cell>
          <cell r="J516">
            <v>8029</v>
          </cell>
          <cell r="K516">
            <v>30</v>
          </cell>
          <cell r="L516">
            <v>3300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909</v>
          </cell>
          <cell r="AD516">
            <v>6</v>
          </cell>
          <cell r="AE516" t="str">
            <v>everyone</v>
          </cell>
        </row>
        <row r="517">
          <cell r="A517" t="str">
            <v>39005_5</v>
          </cell>
          <cell r="B517">
            <v>1</v>
          </cell>
          <cell r="C517">
            <v>39005</v>
          </cell>
          <cell r="D517" t="str">
            <v xml:space="preserve">ポ </v>
          </cell>
          <cell r="E517" t="str">
            <v>コラボクエスト</v>
          </cell>
          <cell r="F517">
            <v>5</v>
          </cell>
          <cell r="G517" t="str">
            <v>ja</v>
          </cell>
          <cell r="H517" t="str">
            <v>【超絶級】ポ</v>
          </cell>
          <cell r="I517" t="str">
            <v>超絶級</v>
          </cell>
          <cell r="J517">
            <v>8030</v>
          </cell>
          <cell r="K517">
            <v>35</v>
          </cell>
          <cell r="L517">
            <v>4200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polygon</v>
          </cell>
          <cell r="T517">
            <v>1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909</v>
          </cell>
          <cell r="AD517">
            <v>6</v>
          </cell>
          <cell r="AE517" t="str">
            <v>everyone</v>
          </cell>
        </row>
        <row r="518">
          <cell r="A518" t="str">
            <v>39006_1</v>
          </cell>
          <cell r="B518">
            <v>1</v>
          </cell>
          <cell r="C518">
            <v>39006</v>
          </cell>
          <cell r="D518" t="str">
            <v>TI</v>
          </cell>
          <cell r="E518" t="str">
            <v>コラボクエスト</v>
          </cell>
          <cell r="F518">
            <v>1</v>
          </cell>
          <cell r="G518" t="str">
            <v>ja</v>
          </cell>
          <cell r="H518" t="str">
            <v xml:space="preserve">【初級】Ti </v>
          </cell>
          <cell r="I518" t="str">
            <v>初級</v>
          </cell>
          <cell r="J518">
            <v>902</v>
          </cell>
          <cell r="K518">
            <v>8</v>
          </cell>
          <cell r="L518">
            <v>384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none</v>
          </cell>
          <cell r="T518">
            <v>0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933</v>
          </cell>
          <cell r="AD518">
            <v>6</v>
          </cell>
          <cell r="AE518" t="str">
            <v>everyone</v>
          </cell>
        </row>
        <row r="519">
          <cell r="A519" t="str">
            <v>39006_2</v>
          </cell>
          <cell r="B519">
            <v>1</v>
          </cell>
          <cell r="C519">
            <v>39006</v>
          </cell>
          <cell r="D519" t="str">
            <v>TI</v>
          </cell>
          <cell r="E519" t="str">
            <v>コラボクエスト</v>
          </cell>
          <cell r="F519">
            <v>2</v>
          </cell>
          <cell r="G519" t="str">
            <v>ja</v>
          </cell>
          <cell r="H519" t="str">
            <v>【中級】Ti</v>
          </cell>
          <cell r="I519" t="str">
            <v>中級</v>
          </cell>
          <cell r="J519">
            <v>902</v>
          </cell>
          <cell r="K519">
            <v>15</v>
          </cell>
          <cell r="L519">
            <v>1200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none</v>
          </cell>
          <cell r="T519">
            <v>0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933</v>
          </cell>
          <cell r="AD519">
            <v>6</v>
          </cell>
          <cell r="AE519" t="str">
            <v>everyone</v>
          </cell>
        </row>
        <row r="520">
          <cell r="A520" t="str">
            <v>39006_3</v>
          </cell>
          <cell r="B520">
            <v>1</v>
          </cell>
          <cell r="C520">
            <v>39006</v>
          </cell>
          <cell r="D520" t="str">
            <v>TI</v>
          </cell>
          <cell r="E520" t="str">
            <v>コラボクエスト</v>
          </cell>
          <cell r="F520">
            <v>3</v>
          </cell>
          <cell r="G520" t="str">
            <v>ja</v>
          </cell>
          <cell r="H520" t="str">
            <v>【上級】Ti</v>
          </cell>
          <cell r="I520" t="str">
            <v>上級</v>
          </cell>
          <cell r="J520">
            <v>902</v>
          </cell>
          <cell r="K520">
            <v>20</v>
          </cell>
          <cell r="L520">
            <v>2000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none</v>
          </cell>
          <cell r="T520">
            <v>0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933</v>
          </cell>
          <cell r="AD520">
            <v>6</v>
          </cell>
          <cell r="AE520" t="str">
            <v>everyone</v>
          </cell>
        </row>
        <row r="521">
          <cell r="A521" t="str">
            <v>39006_4</v>
          </cell>
          <cell r="B521">
            <v>1</v>
          </cell>
          <cell r="C521">
            <v>39006</v>
          </cell>
          <cell r="D521" t="str">
            <v>TI</v>
          </cell>
          <cell r="E521" t="str">
            <v>コラボクエスト</v>
          </cell>
          <cell r="F521">
            <v>4</v>
          </cell>
          <cell r="G521" t="str">
            <v>ja</v>
          </cell>
          <cell r="H521" t="str">
            <v>【超級】Ti</v>
          </cell>
          <cell r="I521" t="str">
            <v>超級</v>
          </cell>
          <cell r="J521">
            <v>902</v>
          </cell>
          <cell r="K521">
            <v>30</v>
          </cell>
          <cell r="L521">
            <v>3300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polygon</v>
          </cell>
          <cell r="T521">
            <v>1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933</v>
          </cell>
          <cell r="AD521">
            <v>6</v>
          </cell>
          <cell r="AE521" t="str">
            <v>everyone</v>
          </cell>
        </row>
        <row r="522">
          <cell r="A522" t="str">
            <v>40001_1</v>
          </cell>
          <cell r="B522">
            <v>1</v>
          </cell>
          <cell r="C522">
            <v>40001</v>
          </cell>
          <cell r="D522" t="str">
            <v>アマテラス襲来！</v>
          </cell>
          <cell r="E522" t="str">
            <v>降臨1</v>
          </cell>
          <cell r="F522">
            <v>1</v>
          </cell>
          <cell r="G522" t="str">
            <v>ja</v>
          </cell>
          <cell r="H522" t="str">
            <v xml:space="preserve">【ウィザード級】アマテラス襲来 </v>
          </cell>
          <cell r="I522" t="str">
            <v>地獄級</v>
          </cell>
          <cell r="J522">
            <v>278</v>
          </cell>
          <cell r="K522">
            <v>35</v>
          </cell>
          <cell r="L522">
            <v>4200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1</v>
          </cell>
          <cell r="R522">
            <v>3</v>
          </cell>
          <cell r="S522" t="str">
            <v>none</v>
          </cell>
          <cell r="T522">
            <v>0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901</v>
          </cell>
          <cell r="AD522">
            <v>6</v>
          </cell>
          <cell r="AE522" t="str">
            <v>everyone</v>
          </cell>
        </row>
        <row r="523">
          <cell r="A523" t="str">
            <v>40002_1</v>
          </cell>
          <cell r="B523">
            <v>1</v>
          </cell>
          <cell r="C523">
            <v>40002</v>
          </cell>
          <cell r="D523" t="str">
            <v>アザゼル襲来！</v>
          </cell>
          <cell r="E523" t="str">
            <v>降臨2</v>
          </cell>
          <cell r="F523">
            <v>1</v>
          </cell>
          <cell r="G523" t="str">
            <v>ja</v>
          </cell>
          <cell r="H523" t="str">
            <v xml:space="preserve">【超級】アザゼル襲来 </v>
          </cell>
          <cell r="I523" t="str">
            <v>超級</v>
          </cell>
          <cell r="J523">
            <v>296</v>
          </cell>
          <cell r="K523">
            <v>25</v>
          </cell>
          <cell r="L523">
            <v>2000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none</v>
          </cell>
          <cell r="T523">
            <v>0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902</v>
          </cell>
          <cell r="AD523">
            <v>6</v>
          </cell>
          <cell r="AE523" t="str">
            <v>everyone</v>
          </cell>
        </row>
        <row r="524">
          <cell r="A524" t="str">
            <v>40002_2</v>
          </cell>
          <cell r="B524">
            <v>1</v>
          </cell>
          <cell r="C524">
            <v>40002</v>
          </cell>
          <cell r="D524" t="str">
            <v>アザゼル襲来！</v>
          </cell>
          <cell r="E524" t="str">
            <v>降臨2</v>
          </cell>
          <cell r="F524">
            <v>2</v>
          </cell>
          <cell r="G524" t="str">
            <v>ja</v>
          </cell>
          <cell r="H524" t="str">
            <v>【超絶級】アザゼル襲来</v>
          </cell>
          <cell r="I524" t="str">
            <v>超絶級</v>
          </cell>
          <cell r="J524">
            <v>297</v>
          </cell>
          <cell r="K524">
            <v>30</v>
          </cell>
          <cell r="L524">
            <v>3300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none</v>
          </cell>
          <cell r="T524">
            <v>0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902</v>
          </cell>
          <cell r="AD524">
            <v>6</v>
          </cell>
          <cell r="AE524" t="str">
            <v>everyone</v>
          </cell>
        </row>
        <row r="525">
          <cell r="A525" t="str">
            <v>40002_3</v>
          </cell>
          <cell r="B525">
            <v>1</v>
          </cell>
          <cell r="C525">
            <v>40002</v>
          </cell>
          <cell r="D525" t="str">
            <v>アザゼル襲来！</v>
          </cell>
          <cell r="E525" t="str">
            <v>降臨2</v>
          </cell>
          <cell r="F525">
            <v>3</v>
          </cell>
          <cell r="G525" t="str">
            <v>ja</v>
          </cell>
          <cell r="H525" t="str">
            <v xml:space="preserve">【ウィザード級】アザゼル襲来 </v>
          </cell>
          <cell r="I525" t="str">
            <v>地獄級</v>
          </cell>
          <cell r="J525">
            <v>297</v>
          </cell>
          <cell r="K525">
            <v>35</v>
          </cell>
          <cell r="L525">
            <v>4200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character</v>
          </cell>
          <cell r="T525">
            <v>296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902</v>
          </cell>
          <cell r="AD525">
            <v>6</v>
          </cell>
          <cell r="AE525" t="str">
            <v>everyone</v>
          </cell>
        </row>
        <row r="526">
          <cell r="A526" t="str">
            <v>40003_1</v>
          </cell>
          <cell r="B526">
            <v>1</v>
          </cell>
          <cell r="C526">
            <v>40003</v>
          </cell>
          <cell r="D526" t="str">
            <v>ジャンヌ襲来！</v>
          </cell>
          <cell r="E526" t="str">
            <v>降臨3</v>
          </cell>
          <cell r="F526">
            <v>1</v>
          </cell>
          <cell r="G526" t="str">
            <v>ja</v>
          </cell>
          <cell r="H526" t="str">
            <v xml:space="preserve">【ウィザード級】ジャンヌ襲来 </v>
          </cell>
          <cell r="I526" t="str">
            <v>地獄級</v>
          </cell>
          <cell r="J526">
            <v>315</v>
          </cell>
          <cell r="K526">
            <v>35</v>
          </cell>
          <cell r="L526">
            <v>4200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character</v>
          </cell>
          <cell r="T526">
            <v>314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903</v>
          </cell>
          <cell r="AD526">
            <v>6</v>
          </cell>
          <cell r="AE526" t="str">
            <v>everyone</v>
          </cell>
        </row>
        <row r="527">
          <cell r="A527" t="str">
            <v>40004_1</v>
          </cell>
          <cell r="B527">
            <v>1</v>
          </cell>
          <cell r="C527">
            <v>40004</v>
          </cell>
          <cell r="D527" t="str">
            <v>宮本武蔵襲来！</v>
          </cell>
          <cell r="E527" t="str">
            <v>降臨4</v>
          </cell>
          <cell r="F527">
            <v>1</v>
          </cell>
          <cell r="G527" t="str">
            <v>ja</v>
          </cell>
          <cell r="H527" t="str">
            <v xml:space="preserve">【ウィザード級】宮本武蔵襲来 </v>
          </cell>
          <cell r="I527" t="str">
            <v>地獄級</v>
          </cell>
          <cell r="J527">
            <v>427</v>
          </cell>
          <cell r="K527">
            <v>35</v>
          </cell>
          <cell r="L527">
            <v>4200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character</v>
          </cell>
          <cell r="T527">
            <v>426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904</v>
          </cell>
          <cell r="AD527">
            <v>6</v>
          </cell>
          <cell r="AE527" t="str">
            <v>everyone</v>
          </cell>
        </row>
        <row r="528">
          <cell r="A528" t="str">
            <v>40005_1</v>
          </cell>
          <cell r="B528">
            <v>3</v>
          </cell>
          <cell r="C528">
            <v>40005</v>
          </cell>
          <cell r="D528" t="str">
            <v>オズ襲来！</v>
          </cell>
          <cell r="E528" t="str">
            <v>降臨5</v>
          </cell>
          <cell r="F528">
            <v>1</v>
          </cell>
          <cell r="G528" t="str">
            <v>ja</v>
          </cell>
          <cell r="H528" t="str">
            <v xml:space="preserve">【ウィザード級】オズ襲来 </v>
          </cell>
          <cell r="I528" t="str">
            <v>地獄級</v>
          </cell>
          <cell r="J528">
            <v>461</v>
          </cell>
          <cell r="K528">
            <v>35</v>
          </cell>
          <cell r="L528">
            <v>4200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character</v>
          </cell>
          <cell r="T528">
            <v>460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906</v>
          </cell>
          <cell r="AD528">
            <v>6</v>
          </cell>
          <cell r="AE528" t="str">
            <v>everyone</v>
          </cell>
        </row>
        <row r="529">
          <cell r="A529" t="str">
            <v>40006_1</v>
          </cell>
          <cell r="B529">
            <v>3</v>
          </cell>
          <cell r="C529">
            <v>40006</v>
          </cell>
          <cell r="D529" t="str">
            <v>アーサー襲来！</v>
          </cell>
          <cell r="E529" t="str">
            <v>降臨6</v>
          </cell>
          <cell r="F529">
            <v>1</v>
          </cell>
          <cell r="G529" t="str">
            <v>ja</v>
          </cell>
          <cell r="H529" t="str">
            <v xml:space="preserve">【ウィザード級】アーサー襲来 </v>
          </cell>
          <cell r="I529" t="str">
            <v>地獄級</v>
          </cell>
          <cell r="J529">
            <v>473</v>
          </cell>
          <cell r="K529">
            <v>35</v>
          </cell>
          <cell r="L529">
            <v>4200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character</v>
          </cell>
          <cell r="T529">
            <v>472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907</v>
          </cell>
          <cell r="AD529">
            <v>6</v>
          </cell>
          <cell r="AE529" t="str">
            <v>everyone</v>
          </cell>
        </row>
        <row r="530">
          <cell r="A530" t="str">
            <v>40007_1</v>
          </cell>
          <cell r="B530">
            <v>3</v>
          </cell>
          <cell r="C530">
            <v>40007</v>
          </cell>
          <cell r="D530" t="str">
            <v>グリム襲来！</v>
          </cell>
          <cell r="E530" t="str">
            <v>降臨7</v>
          </cell>
          <cell r="F530">
            <v>1</v>
          </cell>
          <cell r="G530" t="str">
            <v>ja</v>
          </cell>
          <cell r="H530" t="str">
            <v xml:space="preserve">【ウィザード級】グリム襲来 </v>
          </cell>
          <cell r="I530" t="str">
            <v>地獄級</v>
          </cell>
          <cell r="J530">
            <v>491</v>
          </cell>
          <cell r="K530">
            <v>35</v>
          </cell>
          <cell r="L530">
            <v>4200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character</v>
          </cell>
          <cell r="T530">
            <v>490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908</v>
          </cell>
          <cell r="AD530">
            <v>6</v>
          </cell>
          <cell r="AE530" t="str">
            <v>everyone</v>
          </cell>
        </row>
        <row r="531">
          <cell r="A531" t="str">
            <v>40008_1</v>
          </cell>
          <cell r="B531">
            <v>3</v>
          </cell>
          <cell r="C531">
            <v>40008</v>
          </cell>
          <cell r="D531" t="str">
            <v>Gスター襲来！</v>
          </cell>
          <cell r="E531" t="str">
            <v>降臨8</v>
          </cell>
          <cell r="F531">
            <v>1</v>
          </cell>
          <cell r="G531" t="str">
            <v>ja</v>
          </cell>
          <cell r="H531" t="str">
            <v xml:space="preserve">【ウィザード級】Gスター襲来 </v>
          </cell>
          <cell r="I531" t="str">
            <v>地獄級</v>
          </cell>
          <cell r="J531">
            <v>509</v>
          </cell>
          <cell r="K531">
            <v>35</v>
          </cell>
          <cell r="L531">
            <v>4200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character</v>
          </cell>
          <cell r="T531">
            <v>508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2601</v>
          </cell>
          <cell r="AD531">
            <v>6</v>
          </cell>
          <cell r="AE531" t="str">
            <v>everyone</v>
          </cell>
        </row>
        <row r="532">
          <cell r="A532" t="str">
            <v>40009_1</v>
          </cell>
          <cell r="B532">
            <v>3</v>
          </cell>
          <cell r="C532">
            <v>40009</v>
          </cell>
          <cell r="D532" t="str">
            <v>フギンとムニン襲来！</v>
          </cell>
          <cell r="E532" t="str">
            <v>降臨9</v>
          </cell>
          <cell r="F532">
            <v>1</v>
          </cell>
          <cell r="G532" t="str">
            <v>ja</v>
          </cell>
          <cell r="H532" t="str">
            <v xml:space="preserve">【ウィザード級】フギンとムニン襲来 </v>
          </cell>
          <cell r="I532" t="str">
            <v>地獄級</v>
          </cell>
          <cell r="J532">
            <v>582</v>
          </cell>
          <cell r="K532">
            <v>35</v>
          </cell>
          <cell r="L532">
            <v>4200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character</v>
          </cell>
          <cell r="T532">
            <v>581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25</v>
          </cell>
          <cell r="AD532">
            <v>6</v>
          </cell>
          <cell r="AE532" t="str">
            <v>everyone</v>
          </cell>
        </row>
        <row r="533">
          <cell r="A533" t="str">
            <v>40010_1</v>
          </cell>
          <cell r="B533">
            <v>3</v>
          </cell>
          <cell r="C533">
            <v>40010</v>
          </cell>
          <cell r="D533" t="str">
            <v>フレイ襲来！</v>
          </cell>
          <cell r="E533" t="str">
            <v>降臨10</v>
          </cell>
          <cell r="F533">
            <v>1</v>
          </cell>
          <cell r="G533" t="str">
            <v>ja</v>
          </cell>
          <cell r="H533" t="str">
            <v xml:space="preserve">【ウィザード級】フレイ襲来 </v>
          </cell>
          <cell r="I533" t="str">
            <v>地獄級</v>
          </cell>
          <cell r="J533">
            <v>575</v>
          </cell>
          <cell r="K533">
            <v>35</v>
          </cell>
          <cell r="L533">
            <v>4200</v>
          </cell>
          <cell r="M533">
            <v>1</v>
          </cell>
          <cell r="N533">
            <v>1</v>
          </cell>
          <cell r="O533">
            <v>1</v>
          </cell>
          <cell r="P533">
            <v>0</v>
          </cell>
          <cell r="Q533">
            <v>1</v>
          </cell>
          <cell r="R533">
            <v>3</v>
          </cell>
          <cell r="S533" t="str">
            <v>character</v>
          </cell>
          <cell r="T533">
            <v>575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912</v>
          </cell>
          <cell r="AD533">
            <v>6</v>
          </cell>
          <cell r="AE533" t="str">
            <v>everyone</v>
          </cell>
        </row>
        <row r="534">
          <cell r="A534" t="str">
            <v>40011_1</v>
          </cell>
          <cell r="B534">
            <v>3</v>
          </cell>
          <cell r="C534">
            <v>40011</v>
          </cell>
          <cell r="D534" t="str">
            <v>ヨミ襲来！</v>
          </cell>
          <cell r="E534" t="str">
            <v>降臨11</v>
          </cell>
          <cell r="F534">
            <v>1</v>
          </cell>
          <cell r="G534" t="str">
            <v>ja</v>
          </cell>
          <cell r="H534" t="str">
            <v xml:space="preserve">【ウィザード級】ヨミ襲来 </v>
          </cell>
          <cell r="I534" t="str">
            <v>地獄級</v>
          </cell>
          <cell r="J534">
            <v>655</v>
          </cell>
          <cell r="K534">
            <v>35</v>
          </cell>
          <cell r="L534">
            <v>4200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character</v>
          </cell>
          <cell r="T534">
            <v>654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913</v>
          </cell>
          <cell r="AD534">
            <v>6</v>
          </cell>
          <cell r="AE534" t="str">
            <v>everyone</v>
          </cell>
        </row>
        <row r="535">
          <cell r="A535" t="str">
            <v>40012_1</v>
          </cell>
          <cell r="B535">
            <v>3</v>
          </cell>
          <cell r="C535">
            <v>40012</v>
          </cell>
          <cell r="D535" t="str">
            <v>ショウキ襲来！</v>
          </cell>
          <cell r="E535" t="str">
            <v>降臨12</v>
          </cell>
          <cell r="F535">
            <v>1</v>
          </cell>
          <cell r="G535" t="str">
            <v>ja</v>
          </cell>
          <cell r="H535" t="str">
            <v xml:space="preserve">【ウィザード級】ショウキ襲来 </v>
          </cell>
          <cell r="I535" t="str">
            <v>地獄級</v>
          </cell>
          <cell r="J535">
            <v>645</v>
          </cell>
          <cell r="K535">
            <v>35</v>
          </cell>
          <cell r="L535">
            <v>4200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character</v>
          </cell>
          <cell r="T535">
            <v>644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915</v>
          </cell>
          <cell r="AD535">
            <v>6</v>
          </cell>
          <cell r="AE535" t="str">
            <v>everyone</v>
          </cell>
        </row>
        <row r="536">
          <cell r="A536" t="str">
            <v>40013_1</v>
          </cell>
          <cell r="B536">
            <v>3</v>
          </cell>
          <cell r="C536">
            <v>40013</v>
          </cell>
          <cell r="D536" t="str">
            <v>カーマ襲来！</v>
          </cell>
          <cell r="E536" t="str">
            <v>降臨13</v>
          </cell>
          <cell r="F536">
            <v>1</v>
          </cell>
          <cell r="G536" t="str">
            <v>ja</v>
          </cell>
          <cell r="H536" t="str">
            <v xml:space="preserve">【ウィザード級】カーマ襲来 </v>
          </cell>
          <cell r="I536" t="str">
            <v>地獄級</v>
          </cell>
          <cell r="J536">
            <v>643</v>
          </cell>
          <cell r="K536">
            <v>35</v>
          </cell>
          <cell r="L536">
            <v>4200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0</v>
          </cell>
          <cell r="R536">
            <v>3</v>
          </cell>
          <cell r="S536" t="str">
            <v>character</v>
          </cell>
          <cell r="T536">
            <v>642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916</v>
          </cell>
          <cell r="AD536">
            <v>6</v>
          </cell>
          <cell r="AE536" t="str">
            <v>everyone</v>
          </cell>
        </row>
        <row r="537">
          <cell r="A537" t="str">
            <v>40014_1</v>
          </cell>
          <cell r="B537">
            <v>3</v>
          </cell>
          <cell r="C537">
            <v>40014</v>
          </cell>
          <cell r="D537" t="str">
            <v>シヴァ襲来！</v>
          </cell>
          <cell r="E537" t="str">
            <v>降臨14</v>
          </cell>
          <cell r="F537">
            <v>1</v>
          </cell>
          <cell r="G537" t="str">
            <v>ja</v>
          </cell>
          <cell r="H537" t="str">
            <v xml:space="preserve">【ウィザード級】シヴァ襲来 </v>
          </cell>
          <cell r="I537" t="str">
            <v>地獄級</v>
          </cell>
          <cell r="J537">
            <v>657</v>
          </cell>
          <cell r="K537">
            <v>35</v>
          </cell>
          <cell r="L537">
            <v>4200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character</v>
          </cell>
          <cell r="T537">
            <v>656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916</v>
          </cell>
          <cell r="AD537">
            <v>6</v>
          </cell>
          <cell r="AE537" t="str">
            <v>everyone</v>
          </cell>
        </row>
        <row r="538">
          <cell r="A538" t="str">
            <v>40015_1</v>
          </cell>
          <cell r="B538">
            <v>3</v>
          </cell>
          <cell r="C538">
            <v>40015</v>
          </cell>
          <cell r="D538" t="str">
            <v>ガレス襲来！</v>
          </cell>
          <cell r="E538" t="str">
            <v>降臨15</v>
          </cell>
          <cell r="F538">
            <v>1</v>
          </cell>
          <cell r="G538" t="str">
            <v>ja</v>
          </cell>
          <cell r="H538" t="str">
            <v xml:space="preserve">【ウィザード級】ガレス襲来 </v>
          </cell>
          <cell r="I538" t="str">
            <v>地獄級</v>
          </cell>
          <cell r="J538">
            <v>769</v>
          </cell>
          <cell r="K538">
            <v>35</v>
          </cell>
          <cell r="L538">
            <v>4200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character</v>
          </cell>
          <cell r="T538">
            <v>768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907</v>
          </cell>
          <cell r="AD538">
            <v>6</v>
          </cell>
          <cell r="AE538" t="str">
            <v>everyone</v>
          </cell>
        </row>
        <row r="539">
          <cell r="A539" t="str">
            <v>40016_1</v>
          </cell>
          <cell r="B539">
            <v>3</v>
          </cell>
          <cell r="C539">
            <v>40016</v>
          </cell>
          <cell r="D539" t="str">
            <v>武田信玄襲来！</v>
          </cell>
          <cell r="E539" t="str">
            <v>降臨16</v>
          </cell>
          <cell r="F539">
            <v>1</v>
          </cell>
          <cell r="G539" t="str">
            <v>ja</v>
          </cell>
          <cell r="H539" t="str">
            <v xml:space="preserve">【ウィザード級】武田信玄襲来 </v>
          </cell>
          <cell r="I539" t="str">
            <v>地獄級</v>
          </cell>
          <cell r="J539">
            <v>725</v>
          </cell>
          <cell r="K539">
            <v>40</v>
          </cell>
          <cell r="L539">
            <v>4500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polygon</v>
          </cell>
          <cell r="T539">
            <v>1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919</v>
          </cell>
          <cell r="AD539">
            <v>6</v>
          </cell>
          <cell r="AE539" t="str">
            <v>everyone</v>
          </cell>
        </row>
        <row r="540">
          <cell r="A540" t="str">
            <v>40016_2</v>
          </cell>
          <cell r="B540">
            <v>3</v>
          </cell>
          <cell r="C540">
            <v>40016</v>
          </cell>
          <cell r="D540" t="str">
            <v>武田信玄襲来！</v>
          </cell>
          <cell r="E540" t="str">
            <v>降臨16</v>
          </cell>
          <cell r="F540">
            <v>2</v>
          </cell>
          <cell r="G540" t="str">
            <v>ja</v>
          </cell>
          <cell r="H540" t="str">
            <v xml:space="preserve">【ノーコンテニュー】武田信玄襲来 </v>
          </cell>
          <cell r="I540" t="str">
            <v>地獄級</v>
          </cell>
          <cell r="J540">
            <v>725</v>
          </cell>
          <cell r="K540">
            <v>40</v>
          </cell>
          <cell r="L540">
            <v>4500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polygon</v>
          </cell>
          <cell r="T540">
            <v>1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919</v>
          </cell>
          <cell r="AD540">
            <v>6</v>
          </cell>
          <cell r="AE540" t="str">
            <v>everyone</v>
          </cell>
        </row>
        <row r="541">
          <cell r="A541" t="str">
            <v>40017_1</v>
          </cell>
          <cell r="B541">
            <v>3</v>
          </cell>
          <cell r="C541">
            <v>40017</v>
          </cell>
          <cell r="D541" t="str">
            <v>ベルゼブブ襲来！</v>
          </cell>
          <cell r="E541" t="str">
            <v>降臨17</v>
          </cell>
          <cell r="F541">
            <v>1</v>
          </cell>
          <cell r="G541" t="str">
            <v>ja</v>
          </cell>
          <cell r="H541" t="str">
            <v xml:space="preserve">【超絶級】ベルゼブブ襲来 </v>
          </cell>
          <cell r="I541" t="str">
            <v>地獄級</v>
          </cell>
          <cell r="J541">
            <v>845</v>
          </cell>
          <cell r="K541">
            <v>35</v>
          </cell>
          <cell r="L541">
            <v>4200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polygon</v>
          </cell>
          <cell r="T541">
            <v>1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927</v>
          </cell>
          <cell r="AD541">
            <v>6</v>
          </cell>
          <cell r="AE541" t="str">
            <v>everyone</v>
          </cell>
        </row>
        <row r="542">
          <cell r="A542" t="str">
            <v>40017_2</v>
          </cell>
          <cell r="B542">
            <v>3</v>
          </cell>
          <cell r="C542">
            <v>40017</v>
          </cell>
          <cell r="D542" t="str">
            <v>ベルゼブブ襲来！</v>
          </cell>
          <cell r="E542" t="str">
            <v>降臨17</v>
          </cell>
          <cell r="F542">
            <v>2</v>
          </cell>
          <cell r="G542" t="str">
            <v>ja</v>
          </cell>
          <cell r="H542" t="str">
            <v>【ウィザード級】ベルゼブブ襲来</v>
          </cell>
          <cell r="I542" t="str">
            <v>地獄級</v>
          </cell>
          <cell r="J542">
            <v>845</v>
          </cell>
          <cell r="K542">
            <v>40</v>
          </cell>
          <cell r="L542">
            <v>4500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polygon</v>
          </cell>
          <cell r="T542">
            <v>1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927</v>
          </cell>
          <cell r="AD542">
            <v>6</v>
          </cell>
          <cell r="AE542" t="str">
            <v>everyone</v>
          </cell>
        </row>
        <row r="543">
          <cell r="A543" t="str">
            <v>40017_3</v>
          </cell>
          <cell r="B543">
            <v>3</v>
          </cell>
          <cell r="C543">
            <v>40017</v>
          </cell>
          <cell r="D543" t="str">
            <v>ベルゼブブ襲来！</v>
          </cell>
          <cell r="E543" t="str">
            <v>降臨17</v>
          </cell>
          <cell r="F543">
            <v>3</v>
          </cell>
          <cell r="G543" t="str">
            <v>ja</v>
          </cell>
          <cell r="H543" t="str">
            <v>【ノーコンテニュー】ベルゼブブ襲来</v>
          </cell>
          <cell r="I543" t="str">
            <v>地獄級</v>
          </cell>
          <cell r="J543">
            <v>845</v>
          </cell>
          <cell r="K543">
            <v>40</v>
          </cell>
          <cell r="L543">
            <v>4500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polygon</v>
          </cell>
          <cell r="T543">
            <v>1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927</v>
          </cell>
          <cell r="AD543">
            <v>6</v>
          </cell>
          <cell r="AE543" t="str">
            <v>everyone</v>
          </cell>
        </row>
        <row r="544">
          <cell r="A544" t="str">
            <v>40018_1</v>
          </cell>
          <cell r="B544">
            <v>3</v>
          </cell>
          <cell r="C544">
            <v>40018</v>
          </cell>
          <cell r="D544" t="str">
            <v>ジーナ襲来！</v>
          </cell>
          <cell r="E544" t="str">
            <v>降臨18</v>
          </cell>
          <cell r="F544">
            <v>1</v>
          </cell>
          <cell r="G544" t="str">
            <v>ja</v>
          </cell>
          <cell r="H544" t="str">
            <v xml:space="preserve">【超絶級】ジーナ襲来 </v>
          </cell>
          <cell r="I544" t="str">
            <v>地獄級</v>
          </cell>
          <cell r="J544">
            <v>861</v>
          </cell>
          <cell r="K544">
            <v>35</v>
          </cell>
          <cell r="L544">
            <v>4200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polygon</v>
          </cell>
          <cell r="T544">
            <v>1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929</v>
          </cell>
          <cell r="AD544">
            <v>6</v>
          </cell>
          <cell r="AE544" t="str">
            <v>everyone</v>
          </cell>
        </row>
        <row r="545">
          <cell r="A545" t="str">
            <v>40018_2</v>
          </cell>
          <cell r="B545">
            <v>3</v>
          </cell>
          <cell r="C545">
            <v>40018</v>
          </cell>
          <cell r="D545" t="str">
            <v>ジーナ襲来！</v>
          </cell>
          <cell r="E545" t="str">
            <v>降臨18</v>
          </cell>
          <cell r="F545">
            <v>2</v>
          </cell>
          <cell r="G545" t="str">
            <v>ja</v>
          </cell>
          <cell r="H545" t="str">
            <v>【ウィザード級】ジーナ襲来</v>
          </cell>
          <cell r="I545" t="str">
            <v>地獄級</v>
          </cell>
          <cell r="J545">
            <v>861</v>
          </cell>
          <cell r="K545">
            <v>40</v>
          </cell>
          <cell r="L545">
            <v>4500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polygon</v>
          </cell>
          <cell r="T545">
            <v>1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929</v>
          </cell>
          <cell r="AD545">
            <v>6</v>
          </cell>
          <cell r="AE545" t="str">
            <v>everyone</v>
          </cell>
        </row>
        <row r="546">
          <cell r="A546" t="str">
            <v>40018_3</v>
          </cell>
          <cell r="B546">
            <v>3</v>
          </cell>
          <cell r="C546">
            <v>40018</v>
          </cell>
          <cell r="D546" t="str">
            <v>ジーナ襲来！</v>
          </cell>
          <cell r="E546" t="str">
            <v>降臨18</v>
          </cell>
          <cell r="F546">
            <v>3</v>
          </cell>
          <cell r="G546" t="str">
            <v>ja</v>
          </cell>
          <cell r="H546" t="str">
            <v>【ノーコンテニュー】ジーナ襲来</v>
          </cell>
          <cell r="I546" t="str">
            <v>地獄級</v>
          </cell>
          <cell r="J546">
            <v>861</v>
          </cell>
          <cell r="K546">
            <v>40</v>
          </cell>
          <cell r="L546">
            <v>4500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polygon</v>
          </cell>
          <cell r="T546">
            <v>1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929</v>
          </cell>
          <cell r="AD546">
            <v>6</v>
          </cell>
          <cell r="AE546" t="str">
            <v>everyone</v>
          </cell>
        </row>
        <row r="547">
          <cell r="A547" t="str">
            <v>40019_1</v>
          </cell>
          <cell r="B547">
            <v>1</v>
          </cell>
          <cell r="C547">
            <v>40019</v>
          </cell>
          <cell r="D547" t="str">
            <v>テュポーン襲来！</v>
          </cell>
          <cell r="E547" t="str">
            <v>降臨19</v>
          </cell>
          <cell r="F547">
            <v>1</v>
          </cell>
          <cell r="G547" t="str">
            <v>ja</v>
          </cell>
          <cell r="H547" t="str">
            <v xml:space="preserve">【超絶級】テュポーン襲来 </v>
          </cell>
          <cell r="I547" t="str">
            <v>超絶級</v>
          </cell>
          <cell r="J547">
            <v>740</v>
          </cell>
          <cell r="K547">
            <v>35</v>
          </cell>
          <cell r="L547">
            <v>4200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3</v>
          </cell>
          <cell r="S547" t="str">
            <v>polygon</v>
          </cell>
          <cell r="T547">
            <v>1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24</v>
          </cell>
          <cell r="AD547">
            <v>6</v>
          </cell>
          <cell r="AE547" t="str">
            <v>everyone</v>
          </cell>
        </row>
        <row r="548">
          <cell r="A548" t="str">
            <v>40019_2</v>
          </cell>
          <cell r="B548">
            <v>1</v>
          </cell>
          <cell r="C548">
            <v>40019</v>
          </cell>
          <cell r="D548" t="str">
            <v>テュポーン襲来！</v>
          </cell>
          <cell r="E548" t="str">
            <v>降臨19</v>
          </cell>
          <cell r="F548">
            <v>2</v>
          </cell>
          <cell r="G548" t="str">
            <v>ja</v>
          </cell>
          <cell r="H548" t="str">
            <v>【ウィザード級】テュポーン襲来</v>
          </cell>
          <cell r="I548" t="str">
            <v>地獄級</v>
          </cell>
          <cell r="J548">
            <v>741</v>
          </cell>
          <cell r="K548">
            <v>40</v>
          </cell>
          <cell r="L548">
            <v>4500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3</v>
          </cell>
          <cell r="S548" t="str">
            <v>polygon</v>
          </cell>
          <cell r="T548">
            <v>1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24</v>
          </cell>
          <cell r="AD548">
            <v>6</v>
          </cell>
          <cell r="AE548" t="str">
            <v>everyone</v>
          </cell>
        </row>
        <row r="549">
          <cell r="A549" t="str">
            <v>40019_3</v>
          </cell>
          <cell r="B549">
            <v>1</v>
          </cell>
          <cell r="C549">
            <v>40019</v>
          </cell>
          <cell r="D549" t="str">
            <v>テュポーン襲来！</v>
          </cell>
          <cell r="E549" t="str">
            <v>降臨19</v>
          </cell>
          <cell r="F549">
            <v>3</v>
          </cell>
          <cell r="G549" t="str">
            <v>ja</v>
          </cell>
          <cell r="H549" t="str">
            <v>【ノーコンテニュー】テュポーン襲来</v>
          </cell>
          <cell r="I549" t="str">
            <v>地獄級</v>
          </cell>
          <cell r="J549">
            <v>741</v>
          </cell>
          <cell r="K549">
            <v>40</v>
          </cell>
          <cell r="L549">
            <v>4500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3</v>
          </cell>
          <cell r="S549" t="str">
            <v>polygon</v>
          </cell>
          <cell r="T549">
            <v>1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24</v>
          </cell>
          <cell r="AD549">
            <v>6</v>
          </cell>
          <cell r="AE549" t="str">
            <v>everyone</v>
          </cell>
        </row>
        <row r="550">
          <cell r="A550" t="str">
            <v>48001_1</v>
          </cell>
          <cell r="B550">
            <v>1</v>
          </cell>
          <cell r="C550">
            <v>48001</v>
          </cell>
          <cell r="D550" t="str">
            <v>蛟龍襲来！</v>
          </cell>
          <cell r="E550" t="str">
            <v>台湾版降臨1</v>
          </cell>
          <cell r="F550">
            <v>1</v>
          </cell>
          <cell r="G550" t="str">
            <v>ja</v>
          </cell>
          <cell r="H550" t="str">
            <v>【ウィザード級】蛟龍襲来</v>
          </cell>
          <cell r="I550" t="str">
            <v>地獄級</v>
          </cell>
          <cell r="J550">
            <v>8004</v>
          </cell>
          <cell r="K550">
            <v>35</v>
          </cell>
          <cell r="L550">
            <v>4200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3</v>
          </cell>
          <cell r="S550" t="str">
            <v>character</v>
          </cell>
          <cell r="T550">
            <v>8003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927</v>
          </cell>
          <cell r="AD550">
            <v>6</v>
          </cell>
          <cell r="AE550" t="str">
            <v>everyone</v>
          </cell>
        </row>
        <row r="551">
          <cell r="A551" t="str">
            <v>41001_1</v>
          </cell>
          <cell r="B551">
            <v>3</v>
          </cell>
          <cell r="C551">
            <v>41001</v>
          </cell>
          <cell r="D551" t="str">
            <v>アマテラス襲来！</v>
          </cell>
          <cell r="E551" t="str">
            <v>降臨1</v>
          </cell>
          <cell r="F551">
            <v>1</v>
          </cell>
          <cell r="G551" t="str">
            <v>ja</v>
          </cell>
          <cell r="H551" t="str">
            <v>【超絶級】アマテラス襲来</v>
          </cell>
          <cell r="I551" t="str">
            <v>超絶級</v>
          </cell>
          <cell r="J551">
            <v>279</v>
          </cell>
          <cell r="K551">
            <v>35</v>
          </cell>
          <cell r="L551">
            <v>4200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3</v>
          </cell>
          <cell r="S551" t="str">
            <v>polygon</v>
          </cell>
          <cell r="T551">
            <v>1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901</v>
          </cell>
          <cell r="AD551">
            <v>6</v>
          </cell>
          <cell r="AE551" t="str">
            <v>everyone</v>
          </cell>
        </row>
        <row r="552">
          <cell r="A552" t="str">
            <v>41001_2</v>
          </cell>
          <cell r="B552">
            <v>3</v>
          </cell>
          <cell r="C552">
            <v>41001</v>
          </cell>
          <cell r="D552" t="str">
            <v>アマテラス襲来！</v>
          </cell>
          <cell r="E552" t="str">
            <v>降臨1</v>
          </cell>
          <cell r="F552">
            <v>2</v>
          </cell>
          <cell r="G552" t="str">
            <v>ja</v>
          </cell>
          <cell r="H552" t="str">
            <v>【ウィザード級】アマテラス襲来</v>
          </cell>
          <cell r="I552" t="str">
            <v>地獄級</v>
          </cell>
          <cell r="J552">
            <v>810</v>
          </cell>
          <cell r="K552">
            <v>40</v>
          </cell>
          <cell r="L552">
            <v>4500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polygon</v>
          </cell>
          <cell r="T552">
            <v>1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901</v>
          </cell>
          <cell r="AD552">
            <v>6</v>
          </cell>
          <cell r="AE552" t="str">
            <v>everyone</v>
          </cell>
        </row>
        <row r="553">
          <cell r="A553" t="str">
            <v>41001_3</v>
          </cell>
          <cell r="B553">
            <v>3</v>
          </cell>
          <cell r="C553">
            <v>41001</v>
          </cell>
          <cell r="D553" t="str">
            <v>アマテラス襲来！</v>
          </cell>
          <cell r="E553" t="str">
            <v>降臨1</v>
          </cell>
          <cell r="F553">
            <v>3</v>
          </cell>
          <cell r="G553" t="str">
            <v>ja</v>
          </cell>
          <cell r="H553" t="str">
            <v>【ノーコンテニュー】アマテラス襲来</v>
          </cell>
          <cell r="I553" t="str">
            <v>地獄級</v>
          </cell>
          <cell r="J553">
            <v>810</v>
          </cell>
          <cell r="K553">
            <v>40</v>
          </cell>
          <cell r="L553">
            <v>4500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3</v>
          </cell>
          <cell r="S553" t="str">
            <v>polygon</v>
          </cell>
          <cell r="T553">
            <v>1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901</v>
          </cell>
          <cell r="AD553">
            <v>6</v>
          </cell>
          <cell r="AE553" t="str">
            <v>everyone</v>
          </cell>
        </row>
        <row r="554">
          <cell r="A554" t="str">
            <v>41002_1</v>
          </cell>
          <cell r="B554">
            <v>3</v>
          </cell>
          <cell r="C554">
            <v>41002</v>
          </cell>
          <cell r="D554" t="str">
            <v>アザゼル襲来！</v>
          </cell>
          <cell r="E554" t="str">
            <v>降臨1</v>
          </cell>
          <cell r="F554">
            <v>1</v>
          </cell>
          <cell r="G554" t="str">
            <v>ja</v>
          </cell>
          <cell r="H554" t="str">
            <v>【超絶級】アザゼル襲来</v>
          </cell>
          <cell r="I554" t="str">
            <v>超絶級</v>
          </cell>
          <cell r="J554">
            <v>297</v>
          </cell>
          <cell r="K554">
            <v>35</v>
          </cell>
          <cell r="L554">
            <v>4200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3</v>
          </cell>
          <cell r="S554" t="str">
            <v>polygon</v>
          </cell>
          <cell r="T554">
            <v>1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902</v>
          </cell>
          <cell r="AD554">
            <v>6</v>
          </cell>
          <cell r="AE554" t="str">
            <v>everyone</v>
          </cell>
        </row>
        <row r="555">
          <cell r="A555" t="str">
            <v>41002_2</v>
          </cell>
          <cell r="B555">
            <v>3</v>
          </cell>
          <cell r="C555">
            <v>41002</v>
          </cell>
          <cell r="D555" t="str">
            <v>アザゼル襲来！</v>
          </cell>
          <cell r="E555" t="str">
            <v>降臨1</v>
          </cell>
          <cell r="F555">
            <v>2</v>
          </cell>
          <cell r="G555" t="str">
            <v>ja</v>
          </cell>
          <cell r="H555" t="str">
            <v>【ウィザード級】アザゼル襲来</v>
          </cell>
          <cell r="I555" t="str">
            <v>地獄級</v>
          </cell>
          <cell r="J555">
            <v>812</v>
          </cell>
          <cell r="K555">
            <v>40</v>
          </cell>
          <cell r="L555">
            <v>4500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3</v>
          </cell>
          <cell r="S555" t="str">
            <v>polygon</v>
          </cell>
          <cell r="T555">
            <v>1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902</v>
          </cell>
          <cell r="AD555">
            <v>6</v>
          </cell>
          <cell r="AE555" t="str">
            <v>everyone</v>
          </cell>
        </row>
        <row r="556">
          <cell r="A556" t="str">
            <v>41002_3</v>
          </cell>
          <cell r="B556">
            <v>3</v>
          </cell>
          <cell r="C556">
            <v>41002</v>
          </cell>
          <cell r="D556" t="str">
            <v>アザゼル襲来！</v>
          </cell>
          <cell r="E556" t="str">
            <v>降臨1</v>
          </cell>
          <cell r="F556">
            <v>3</v>
          </cell>
          <cell r="G556" t="str">
            <v>ja</v>
          </cell>
          <cell r="H556" t="str">
            <v>【ノーコンテニュー】アザゼル襲来</v>
          </cell>
          <cell r="I556" t="str">
            <v>地獄級</v>
          </cell>
          <cell r="J556">
            <v>812</v>
          </cell>
          <cell r="K556">
            <v>40</v>
          </cell>
          <cell r="L556">
            <v>4500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1</v>
          </cell>
          <cell r="R556">
            <v>3</v>
          </cell>
          <cell r="S556" t="str">
            <v>polygon</v>
          </cell>
          <cell r="T556">
            <v>1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902</v>
          </cell>
          <cell r="AD556">
            <v>6</v>
          </cell>
          <cell r="AE556" t="str">
            <v>everyone</v>
          </cell>
        </row>
        <row r="557">
          <cell r="A557" t="str">
            <v>41003_1</v>
          </cell>
          <cell r="B557">
            <v>3</v>
          </cell>
          <cell r="C557">
            <v>41003</v>
          </cell>
          <cell r="D557" t="str">
            <v>ジャンヌ襲来！</v>
          </cell>
          <cell r="E557" t="str">
            <v>降臨1</v>
          </cell>
          <cell r="F557">
            <v>1</v>
          </cell>
          <cell r="G557" t="str">
            <v>ja</v>
          </cell>
          <cell r="H557" t="str">
            <v>【超絶級】ジャンヌ襲来</v>
          </cell>
          <cell r="I557" t="str">
            <v>超絶級</v>
          </cell>
          <cell r="J557">
            <v>315</v>
          </cell>
          <cell r="K557">
            <v>35</v>
          </cell>
          <cell r="L557">
            <v>4200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1</v>
          </cell>
          <cell r="R557">
            <v>3</v>
          </cell>
          <cell r="S557" t="str">
            <v>polygon</v>
          </cell>
          <cell r="T557">
            <v>1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903</v>
          </cell>
          <cell r="AD557">
            <v>6</v>
          </cell>
          <cell r="AE557" t="str">
            <v>everyone</v>
          </cell>
        </row>
        <row r="558">
          <cell r="A558" t="str">
            <v>41003_2</v>
          </cell>
          <cell r="B558">
            <v>3</v>
          </cell>
          <cell r="C558">
            <v>41003</v>
          </cell>
          <cell r="D558" t="str">
            <v>ジャンヌ襲来！</v>
          </cell>
          <cell r="E558" t="str">
            <v>降臨1</v>
          </cell>
          <cell r="F558">
            <v>2</v>
          </cell>
          <cell r="G558" t="str">
            <v>ja</v>
          </cell>
          <cell r="H558" t="str">
            <v>【ウィザード級】ジャンヌ襲来</v>
          </cell>
          <cell r="I558" t="str">
            <v>地獄級</v>
          </cell>
          <cell r="J558">
            <v>814</v>
          </cell>
          <cell r="K558">
            <v>40</v>
          </cell>
          <cell r="L558">
            <v>4500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1</v>
          </cell>
          <cell r="R558">
            <v>3</v>
          </cell>
          <cell r="S558" t="str">
            <v>polygon</v>
          </cell>
          <cell r="T558">
            <v>1</v>
          </cell>
          <cell r="U558" t="str">
            <v>NULL</v>
          </cell>
          <cell r="V558" t="str">
            <v>NULL</v>
          </cell>
          <cell r="W558" t="str">
            <v/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903</v>
          </cell>
          <cell r="AD558">
            <v>6</v>
          </cell>
          <cell r="AE558" t="str">
            <v>everyone</v>
          </cell>
        </row>
        <row r="559">
          <cell r="A559" t="str">
            <v>41003_3</v>
          </cell>
          <cell r="B559">
            <v>3</v>
          </cell>
          <cell r="C559">
            <v>41003</v>
          </cell>
          <cell r="D559" t="str">
            <v>ジャンヌ襲来！</v>
          </cell>
          <cell r="E559" t="str">
            <v>降臨1</v>
          </cell>
          <cell r="F559">
            <v>3</v>
          </cell>
          <cell r="G559" t="str">
            <v>ja</v>
          </cell>
          <cell r="H559" t="str">
            <v>【ノーコンテニュー】ジャンヌ襲来</v>
          </cell>
          <cell r="I559" t="str">
            <v>地獄級</v>
          </cell>
          <cell r="J559">
            <v>814</v>
          </cell>
          <cell r="K559">
            <v>40</v>
          </cell>
          <cell r="L559">
            <v>4500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1</v>
          </cell>
          <cell r="R559">
            <v>3</v>
          </cell>
          <cell r="S559" t="str">
            <v>polygon</v>
          </cell>
          <cell r="T559">
            <v>1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903</v>
          </cell>
          <cell r="AD559">
            <v>6</v>
          </cell>
          <cell r="AE559" t="str">
            <v>everyone</v>
          </cell>
        </row>
        <row r="560">
          <cell r="A560" t="str">
            <v>41004_1</v>
          </cell>
          <cell r="B560">
            <v>3</v>
          </cell>
          <cell r="C560">
            <v>41004</v>
          </cell>
          <cell r="D560" t="str">
            <v>宮本武蔵襲来！</v>
          </cell>
          <cell r="E560" t="str">
            <v>降臨1</v>
          </cell>
          <cell r="F560">
            <v>1</v>
          </cell>
          <cell r="G560" t="str">
            <v>ja</v>
          </cell>
          <cell r="H560" t="str">
            <v>【超絶級】宮本武蔵襲来</v>
          </cell>
          <cell r="I560" t="str">
            <v>超絶級</v>
          </cell>
          <cell r="J560">
            <v>427</v>
          </cell>
          <cell r="K560">
            <v>35</v>
          </cell>
          <cell r="L560">
            <v>4200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1</v>
          </cell>
          <cell r="R560">
            <v>3</v>
          </cell>
          <cell r="S560" t="str">
            <v>polygon</v>
          </cell>
          <cell r="T560">
            <v>1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904</v>
          </cell>
          <cell r="AD560">
            <v>6</v>
          </cell>
          <cell r="AE560" t="str">
            <v>everyone</v>
          </cell>
        </row>
        <row r="561">
          <cell r="A561" t="str">
            <v>41004_2</v>
          </cell>
          <cell r="B561">
            <v>3</v>
          </cell>
          <cell r="C561">
            <v>41004</v>
          </cell>
          <cell r="D561" t="str">
            <v>宮本武蔵襲来！</v>
          </cell>
          <cell r="E561" t="str">
            <v>降臨1</v>
          </cell>
          <cell r="F561">
            <v>2</v>
          </cell>
          <cell r="G561" t="str">
            <v>ja</v>
          </cell>
          <cell r="H561" t="str">
            <v>【ウィザード級】宮本武蔵襲来</v>
          </cell>
          <cell r="I561" t="str">
            <v>地獄級</v>
          </cell>
          <cell r="J561">
            <v>816</v>
          </cell>
          <cell r="K561">
            <v>40</v>
          </cell>
          <cell r="L561">
            <v>4500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polygon</v>
          </cell>
          <cell r="T561">
            <v>1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904</v>
          </cell>
          <cell r="AD561">
            <v>6</v>
          </cell>
          <cell r="AE561" t="str">
            <v>everyone</v>
          </cell>
        </row>
        <row r="562">
          <cell r="A562" t="str">
            <v>41004_3</v>
          </cell>
          <cell r="B562">
            <v>3</v>
          </cell>
          <cell r="C562">
            <v>41004</v>
          </cell>
          <cell r="D562" t="str">
            <v>宮本武蔵襲来！</v>
          </cell>
          <cell r="E562" t="str">
            <v>降臨1</v>
          </cell>
          <cell r="F562">
            <v>3</v>
          </cell>
          <cell r="G562" t="str">
            <v>ja</v>
          </cell>
          <cell r="H562" t="str">
            <v>【ノーコンテニュー】宮本武蔵襲来</v>
          </cell>
          <cell r="I562" t="str">
            <v>地獄級</v>
          </cell>
          <cell r="J562">
            <v>816</v>
          </cell>
          <cell r="K562">
            <v>40</v>
          </cell>
          <cell r="L562">
            <v>4500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polygon</v>
          </cell>
          <cell r="T562">
            <v>1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904</v>
          </cell>
          <cell r="AD562">
            <v>6</v>
          </cell>
          <cell r="AE562" t="str">
            <v>everyone</v>
          </cell>
        </row>
        <row r="563">
          <cell r="A563" t="str">
            <v>41005_1</v>
          </cell>
          <cell r="B563">
            <v>3</v>
          </cell>
          <cell r="C563">
            <v>41005</v>
          </cell>
          <cell r="D563" t="str">
            <v>オズ襲来！</v>
          </cell>
          <cell r="E563" t="str">
            <v>降臨1</v>
          </cell>
          <cell r="F563">
            <v>1</v>
          </cell>
          <cell r="G563" t="str">
            <v>ja</v>
          </cell>
          <cell r="H563" t="str">
            <v>【超絶級】オズ襲来</v>
          </cell>
          <cell r="I563" t="str">
            <v>超絶級</v>
          </cell>
          <cell r="J563">
            <v>461</v>
          </cell>
          <cell r="K563">
            <v>35</v>
          </cell>
          <cell r="L563">
            <v>4200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polygon</v>
          </cell>
          <cell r="T563">
            <v>1</v>
          </cell>
          <cell r="U563" t="str">
            <v>NULL</v>
          </cell>
          <cell r="V563" t="str">
            <v>NULL</v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906</v>
          </cell>
          <cell r="AD563">
            <v>6</v>
          </cell>
          <cell r="AE563" t="str">
            <v>everyone</v>
          </cell>
        </row>
        <row r="564">
          <cell r="A564" t="str">
            <v>41005_2</v>
          </cell>
          <cell r="B564">
            <v>3</v>
          </cell>
          <cell r="C564">
            <v>41005</v>
          </cell>
          <cell r="D564" t="str">
            <v>オズ襲来！</v>
          </cell>
          <cell r="E564" t="str">
            <v>降臨1</v>
          </cell>
          <cell r="F564">
            <v>2</v>
          </cell>
          <cell r="G564" t="str">
            <v>ja</v>
          </cell>
          <cell r="H564" t="str">
            <v>【ウィザード級】オズ襲来</v>
          </cell>
          <cell r="I564" t="str">
            <v>地獄級</v>
          </cell>
          <cell r="J564">
            <v>818</v>
          </cell>
          <cell r="K564">
            <v>40</v>
          </cell>
          <cell r="L564">
            <v>4500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polygon</v>
          </cell>
          <cell r="T564">
            <v>1</v>
          </cell>
          <cell r="U564" t="str">
            <v>NULL</v>
          </cell>
          <cell r="V564" t="str">
            <v>NULL</v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906</v>
          </cell>
          <cell r="AD564">
            <v>6</v>
          </cell>
          <cell r="AE564" t="str">
            <v>everyone</v>
          </cell>
        </row>
        <row r="565">
          <cell r="A565" t="str">
            <v>41005_3</v>
          </cell>
          <cell r="B565">
            <v>3</v>
          </cell>
          <cell r="C565">
            <v>41005</v>
          </cell>
          <cell r="D565" t="str">
            <v>オズ襲来！</v>
          </cell>
          <cell r="E565" t="str">
            <v>降臨1</v>
          </cell>
          <cell r="F565">
            <v>3</v>
          </cell>
          <cell r="G565" t="str">
            <v>ja</v>
          </cell>
          <cell r="H565" t="str">
            <v>【ノーコンテニュー】オズ襲来</v>
          </cell>
          <cell r="I565" t="str">
            <v>地獄級</v>
          </cell>
          <cell r="J565">
            <v>818</v>
          </cell>
          <cell r="K565">
            <v>40</v>
          </cell>
          <cell r="L565">
            <v>4500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polygon</v>
          </cell>
          <cell r="T565">
            <v>1</v>
          </cell>
          <cell r="U565" t="str">
            <v>NULL</v>
          </cell>
          <cell r="V565" t="str">
            <v>NULL</v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906</v>
          </cell>
          <cell r="AD565">
            <v>6</v>
          </cell>
          <cell r="AE565" t="str">
            <v>everyone</v>
          </cell>
        </row>
        <row r="566">
          <cell r="A566" t="str">
            <v>41006_1</v>
          </cell>
          <cell r="B566">
            <v>3</v>
          </cell>
          <cell r="C566">
            <v>41006</v>
          </cell>
          <cell r="D566" t="str">
            <v>アーサー襲来！</v>
          </cell>
          <cell r="E566" t="str">
            <v>降臨1</v>
          </cell>
          <cell r="F566">
            <v>1</v>
          </cell>
          <cell r="G566" t="str">
            <v>ja</v>
          </cell>
          <cell r="H566" t="str">
            <v>【超絶級】アーサー襲来</v>
          </cell>
          <cell r="I566" t="str">
            <v>超絶級</v>
          </cell>
          <cell r="J566">
            <v>473</v>
          </cell>
          <cell r="K566">
            <v>35</v>
          </cell>
          <cell r="L566">
            <v>4200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polygon</v>
          </cell>
          <cell r="T566">
            <v>1</v>
          </cell>
          <cell r="U566" t="str">
            <v>NULL</v>
          </cell>
          <cell r="V566" t="str">
            <v>NULL</v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907</v>
          </cell>
          <cell r="AD566">
            <v>6</v>
          </cell>
          <cell r="AE566" t="str">
            <v>everyone</v>
          </cell>
        </row>
        <row r="567">
          <cell r="A567" t="str">
            <v>41006_2</v>
          </cell>
          <cell r="B567">
            <v>3</v>
          </cell>
          <cell r="C567">
            <v>41006</v>
          </cell>
          <cell r="D567" t="str">
            <v>アーサー襲来！</v>
          </cell>
          <cell r="E567" t="str">
            <v>降臨1</v>
          </cell>
          <cell r="F567">
            <v>2</v>
          </cell>
          <cell r="G567" t="str">
            <v>ja</v>
          </cell>
          <cell r="H567" t="str">
            <v>【ウィザード級】アーサー襲来</v>
          </cell>
          <cell r="I567" t="str">
            <v>地獄級</v>
          </cell>
          <cell r="J567">
            <v>820</v>
          </cell>
          <cell r="K567">
            <v>40</v>
          </cell>
          <cell r="L567">
            <v>4500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polygon</v>
          </cell>
          <cell r="T567">
            <v>1</v>
          </cell>
          <cell r="U567" t="str">
            <v>NULL</v>
          </cell>
          <cell r="V567" t="str">
            <v>NULL</v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907</v>
          </cell>
          <cell r="AD567">
            <v>6</v>
          </cell>
          <cell r="AE567" t="str">
            <v>everyone</v>
          </cell>
        </row>
        <row r="568">
          <cell r="A568" t="str">
            <v>41006_3</v>
          </cell>
          <cell r="B568">
            <v>3</v>
          </cell>
          <cell r="C568">
            <v>41006</v>
          </cell>
          <cell r="D568" t="str">
            <v>アーサー襲来！</v>
          </cell>
          <cell r="E568" t="str">
            <v>降臨1</v>
          </cell>
          <cell r="F568">
            <v>3</v>
          </cell>
          <cell r="G568" t="str">
            <v>ja</v>
          </cell>
          <cell r="H568" t="str">
            <v>【ノーコンテニュー】アーサー襲来</v>
          </cell>
          <cell r="I568" t="str">
            <v>地獄級</v>
          </cell>
          <cell r="J568">
            <v>820</v>
          </cell>
          <cell r="K568">
            <v>40</v>
          </cell>
          <cell r="L568">
            <v>4500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polygon</v>
          </cell>
          <cell r="T568">
            <v>1</v>
          </cell>
          <cell r="U568" t="str">
            <v>NULL</v>
          </cell>
          <cell r="V568" t="str">
            <v>NULL</v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907</v>
          </cell>
          <cell r="AD568">
            <v>6</v>
          </cell>
          <cell r="AE568" t="str">
            <v>everyone</v>
          </cell>
        </row>
        <row r="569">
          <cell r="A569" t="str">
            <v>41007_1</v>
          </cell>
          <cell r="B569">
            <v>3</v>
          </cell>
          <cell r="C569">
            <v>41007</v>
          </cell>
          <cell r="D569" t="str">
            <v>グリム襲来！</v>
          </cell>
          <cell r="E569" t="str">
            <v>降臨1</v>
          </cell>
          <cell r="F569">
            <v>1</v>
          </cell>
          <cell r="G569" t="str">
            <v>ja</v>
          </cell>
          <cell r="H569" t="str">
            <v>【超絶級】グリム襲来</v>
          </cell>
          <cell r="I569" t="str">
            <v>超絶級</v>
          </cell>
          <cell r="J569">
            <v>491</v>
          </cell>
          <cell r="K569">
            <v>35</v>
          </cell>
          <cell r="L569">
            <v>4200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1</v>
          </cell>
          <cell r="R569">
            <v>3</v>
          </cell>
          <cell r="S569" t="str">
            <v>polygon</v>
          </cell>
          <cell r="T569">
            <v>1</v>
          </cell>
          <cell r="U569" t="str">
            <v>NULL</v>
          </cell>
          <cell r="V569" t="str">
            <v>NULL</v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908</v>
          </cell>
          <cell r="AD569">
            <v>6</v>
          </cell>
          <cell r="AE569" t="str">
            <v>everyone</v>
          </cell>
        </row>
        <row r="570">
          <cell r="A570" t="str">
            <v>41007_2</v>
          </cell>
          <cell r="B570">
            <v>3</v>
          </cell>
          <cell r="C570">
            <v>41007</v>
          </cell>
          <cell r="D570" t="str">
            <v>グリム襲来！</v>
          </cell>
          <cell r="E570" t="str">
            <v>降臨1</v>
          </cell>
          <cell r="F570">
            <v>2</v>
          </cell>
          <cell r="G570" t="str">
            <v>ja</v>
          </cell>
          <cell r="H570" t="str">
            <v>【ウィザード級】グリム襲来</v>
          </cell>
          <cell r="I570" t="str">
            <v>地獄級</v>
          </cell>
          <cell r="J570">
            <v>822</v>
          </cell>
          <cell r="K570">
            <v>40</v>
          </cell>
          <cell r="L570">
            <v>4500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1</v>
          </cell>
          <cell r="R570">
            <v>3</v>
          </cell>
          <cell r="S570" t="str">
            <v>polygon</v>
          </cell>
          <cell r="T570">
            <v>1</v>
          </cell>
          <cell r="U570" t="str">
            <v>NULL</v>
          </cell>
          <cell r="V570" t="str">
            <v>NULL</v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908</v>
          </cell>
          <cell r="AD570">
            <v>6</v>
          </cell>
          <cell r="AE570" t="str">
            <v>everyone</v>
          </cell>
        </row>
        <row r="571">
          <cell r="A571" t="str">
            <v>41007_3</v>
          </cell>
          <cell r="B571">
            <v>3</v>
          </cell>
          <cell r="C571">
            <v>41007</v>
          </cell>
          <cell r="D571" t="str">
            <v>グリム襲来！</v>
          </cell>
          <cell r="E571" t="str">
            <v>降臨1</v>
          </cell>
          <cell r="F571">
            <v>3</v>
          </cell>
          <cell r="G571" t="str">
            <v>ja</v>
          </cell>
          <cell r="H571" t="str">
            <v>【ノーコンテニュー】グリム襲来</v>
          </cell>
          <cell r="I571" t="str">
            <v>地獄級</v>
          </cell>
          <cell r="J571">
            <v>822</v>
          </cell>
          <cell r="K571">
            <v>40</v>
          </cell>
          <cell r="L571">
            <v>4500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1</v>
          </cell>
          <cell r="R571">
            <v>3</v>
          </cell>
          <cell r="S571" t="str">
            <v>polygon</v>
          </cell>
          <cell r="T571">
            <v>1</v>
          </cell>
          <cell r="U571" t="str">
            <v>NULL</v>
          </cell>
          <cell r="V571" t="str">
            <v>NULL</v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908</v>
          </cell>
          <cell r="AD571">
            <v>6</v>
          </cell>
          <cell r="AE571" t="str">
            <v>everyone</v>
          </cell>
        </row>
        <row r="572">
          <cell r="A572" t="str">
            <v>41008_1</v>
          </cell>
          <cell r="B572">
            <v>3</v>
          </cell>
          <cell r="C572">
            <v>41008</v>
          </cell>
          <cell r="D572" t="str">
            <v>Gスター襲来！</v>
          </cell>
          <cell r="E572" t="str">
            <v>降臨1</v>
          </cell>
          <cell r="F572">
            <v>1</v>
          </cell>
          <cell r="G572" t="str">
            <v>ja</v>
          </cell>
          <cell r="H572" t="str">
            <v>【超絶級】Gスター襲来</v>
          </cell>
          <cell r="I572" t="str">
            <v>超絶級</v>
          </cell>
          <cell r="J572">
            <v>509</v>
          </cell>
          <cell r="K572">
            <v>35</v>
          </cell>
          <cell r="L572">
            <v>4200</v>
          </cell>
          <cell r="M572">
            <v>1</v>
          </cell>
          <cell r="N572">
            <v>1</v>
          </cell>
          <cell r="O572">
            <v>1</v>
          </cell>
          <cell r="P572">
            <v>1</v>
          </cell>
          <cell r="Q572">
            <v>1</v>
          </cell>
          <cell r="R572">
            <v>3</v>
          </cell>
          <cell r="S572" t="str">
            <v>polygon</v>
          </cell>
          <cell r="T572">
            <v>1</v>
          </cell>
          <cell r="U572" t="str">
            <v>NULL</v>
          </cell>
          <cell r="V572" t="str">
            <v>NULL</v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2601</v>
          </cell>
          <cell r="AD572">
            <v>6</v>
          </cell>
          <cell r="AE572" t="str">
            <v>everyone</v>
          </cell>
        </row>
        <row r="573">
          <cell r="A573" t="str">
            <v>41008_2</v>
          </cell>
          <cell r="B573">
            <v>3</v>
          </cell>
          <cell r="C573">
            <v>41008</v>
          </cell>
          <cell r="D573" t="str">
            <v>Gスター襲来！</v>
          </cell>
          <cell r="E573" t="str">
            <v>降臨1</v>
          </cell>
          <cell r="F573">
            <v>2</v>
          </cell>
          <cell r="G573" t="str">
            <v>ja</v>
          </cell>
          <cell r="H573" t="str">
            <v>【ウィザード級】Gスター襲来</v>
          </cell>
          <cell r="I573" t="str">
            <v>地獄級</v>
          </cell>
          <cell r="J573">
            <v>824</v>
          </cell>
          <cell r="K573">
            <v>40</v>
          </cell>
          <cell r="L573">
            <v>4500</v>
          </cell>
          <cell r="M573">
            <v>1</v>
          </cell>
          <cell r="N573">
            <v>1</v>
          </cell>
          <cell r="O573">
            <v>1</v>
          </cell>
          <cell r="P573">
            <v>1</v>
          </cell>
          <cell r="Q573">
            <v>1</v>
          </cell>
          <cell r="R573">
            <v>3</v>
          </cell>
          <cell r="S573" t="str">
            <v>polygon</v>
          </cell>
          <cell r="T573">
            <v>1</v>
          </cell>
          <cell r="U573" t="str">
            <v>NULL</v>
          </cell>
          <cell r="V573" t="str">
            <v>NULL</v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2601</v>
          </cell>
          <cell r="AD573">
            <v>6</v>
          </cell>
          <cell r="AE573" t="str">
            <v>everyone</v>
          </cell>
        </row>
        <row r="574">
          <cell r="A574" t="str">
            <v>41008_3</v>
          </cell>
          <cell r="B574">
            <v>3</v>
          </cell>
          <cell r="C574">
            <v>41008</v>
          </cell>
          <cell r="D574" t="str">
            <v>Gスター襲来！</v>
          </cell>
          <cell r="E574" t="str">
            <v>降臨1</v>
          </cell>
          <cell r="F574">
            <v>3</v>
          </cell>
          <cell r="G574" t="str">
            <v>ja</v>
          </cell>
          <cell r="H574" t="str">
            <v>【ノーコンテニュー】Gスター襲来</v>
          </cell>
          <cell r="I574" t="str">
            <v>地獄級</v>
          </cell>
          <cell r="J574">
            <v>824</v>
          </cell>
          <cell r="K574">
            <v>40</v>
          </cell>
          <cell r="L574">
            <v>4500</v>
          </cell>
          <cell r="M574">
            <v>1</v>
          </cell>
          <cell r="N574">
            <v>1</v>
          </cell>
          <cell r="O574">
            <v>1</v>
          </cell>
          <cell r="P574">
            <v>1</v>
          </cell>
          <cell r="Q574">
            <v>1</v>
          </cell>
          <cell r="R574">
            <v>3</v>
          </cell>
          <cell r="S574" t="str">
            <v>polygon</v>
          </cell>
          <cell r="T574">
            <v>1</v>
          </cell>
          <cell r="U574" t="str">
            <v>NULL</v>
          </cell>
          <cell r="V574" t="str">
            <v>NULL</v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2601</v>
          </cell>
          <cell r="AD574">
            <v>6</v>
          </cell>
          <cell r="AE574" t="str">
            <v>everyone</v>
          </cell>
        </row>
        <row r="575">
          <cell r="A575" t="str">
            <v>41009_1</v>
          </cell>
          <cell r="B575">
            <v>1</v>
          </cell>
          <cell r="C575">
            <v>41009</v>
          </cell>
          <cell r="D575" t="str">
            <v>フギンとムニン襲来！</v>
          </cell>
          <cell r="E575" t="str">
            <v>降臨1</v>
          </cell>
          <cell r="F575">
            <v>1</v>
          </cell>
          <cell r="G575" t="str">
            <v>ja</v>
          </cell>
          <cell r="H575" t="str">
            <v>【超絶級】フギンとムニン襲来</v>
          </cell>
          <cell r="I575" t="str">
            <v>超絶級</v>
          </cell>
          <cell r="J575">
            <v>1</v>
          </cell>
          <cell r="K575">
            <v>35</v>
          </cell>
          <cell r="L575">
            <v>4200</v>
          </cell>
          <cell r="M575">
            <v>1</v>
          </cell>
          <cell r="N575">
            <v>1</v>
          </cell>
          <cell r="O575">
            <v>1</v>
          </cell>
          <cell r="P575">
            <v>1</v>
          </cell>
          <cell r="Q575">
            <v>1</v>
          </cell>
          <cell r="R575">
            <v>3</v>
          </cell>
          <cell r="S575" t="str">
            <v>polygon</v>
          </cell>
          <cell r="T575">
            <v>1</v>
          </cell>
          <cell r="U575" t="str">
            <v>NULL</v>
          </cell>
          <cell r="V575" t="str">
            <v>NULL</v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2601</v>
          </cell>
          <cell r="AD575">
            <v>6</v>
          </cell>
          <cell r="AE575" t="str">
            <v>everyone</v>
          </cell>
        </row>
        <row r="576">
          <cell r="A576" t="str">
            <v>41009_2</v>
          </cell>
          <cell r="B576">
            <v>1</v>
          </cell>
          <cell r="C576">
            <v>41009</v>
          </cell>
          <cell r="D576" t="str">
            <v>フギンとムニン襲来！</v>
          </cell>
          <cell r="E576" t="str">
            <v>降臨1</v>
          </cell>
          <cell r="F576">
            <v>2</v>
          </cell>
          <cell r="G576" t="str">
            <v>ja</v>
          </cell>
          <cell r="H576" t="str">
            <v>【ウィザード級】フギンとムニン襲来</v>
          </cell>
          <cell r="I576" t="str">
            <v>地獄級</v>
          </cell>
          <cell r="J576">
            <v>1</v>
          </cell>
          <cell r="K576">
            <v>40</v>
          </cell>
          <cell r="L576">
            <v>4500</v>
          </cell>
          <cell r="M576">
            <v>1</v>
          </cell>
          <cell r="N576">
            <v>1</v>
          </cell>
          <cell r="O576">
            <v>1</v>
          </cell>
          <cell r="P576">
            <v>1</v>
          </cell>
          <cell r="Q576">
            <v>1</v>
          </cell>
          <cell r="R576">
            <v>3</v>
          </cell>
          <cell r="S576" t="str">
            <v>polygon</v>
          </cell>
          <cell r="T576">
            <v>1</v>
          </cell>
          <cell r="U576" t="str">
            <v>NULL</v>
          </cell>
          <cell r="V576" t="str">
            <v>NULL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2601</v>
          </cell>
          <cell r="AD576">
            <v>6</v>
          </cell>
          <cell r="AE576" t="str">
            <v>everyone</v>
          </cell>
        </row>
        <row r="577">
          <cell r="A577" t="str">
            <v>41009_3</v>
          </cell>
          <cell r="B577">
            <v>1</v>
          </cell>
          <cell r="C577">
            <v>41009</v>
          </cell>
          <cell r="D577" t="str">
            <v>フギンとムニン襲来！</v>
          </cell>
          <cell r="E577" t="str">
            <v>降臨1</v>
          </cell>
          <cell r="F577">
            <v>3</v>
          </cell>
          <cell r="G577" t="str">
            <v>ja</v>
          </cell>
          <cell r="H577" t="str">
            <v>【ノーコンテニュー】フギンとムニン襲来</v>
          </cell>
          <cell r="I577" t="str">
            <v>地獄級</v>
          </cell>
          <cell r="J577">
            <v>1</v>
          </cell>
          <cell r="K577">
            <v>40</v>
          </cell>
          <cell r="L577">
            <v>4500</v>
          </cell>
          <cell r="M577">
            <v>1</v>
          </cell>
          <cell r="N577">
            <v>1</v>
          </cell>
          <cell r="O577">
            <v>1</v>
          </cell>
          <cell r="P577">
            <v>1</v>
          </cell>
          <cell r="Q577">
            <v>1</v>
          </cell>
          <cell r="R577">
            <v>3</v>
          </cell>
          <cell r="S577" t="str">
            <v>polygon</v>
          </cell>
          <cell r="T577">
            <v>1</v>
          </cell>
          <cell r="U577" t="str">
            <v>NULL</v>
          </cell>
          <cell r="V577" t="str">
            <v>NULL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2601</v>
          </cell>
          <cell r="AD577">
            <v>6</v>
          </cell>
          <cell r="AE577" t="str">
            <v>everyone</v>
          </cell>
        </row>
        <row r="578">
          <cell r="A578" t="str">
            <v>49001_1</v>
          </cell>
          <cell r="B578">
            <v>3</v>
          </cell>
          <cell r="C578">
            <v>49001</v>
          </cell>
          <cell r="D578" t="str">
            <v>熱唱！初音ミクV3</v>
          </cell>
          <cell r="E578" t="str">
            <v>コラボ降臨1</v>
          </cell>
          <cell r="F578">
            <v>1</v>
          </cell>
          <cell r="G578" t="str">
            <v>ja</v>
          </cell>
          <cell r="H578" t="str">
            <v>【ウィザード級】熱唱！初音ミクV3</v>
          </cell>
          <cell r="I578" t="str">
            <v>地獄級</v>
          </cell>
          <cell r="J578">
            <v>528</v>
          </cell>
          <cell r="K578">
            <v>40</v>
          </cell>
          <cell r="L578">
            <v>4200</v>
          </cell>
          <cell r="M578">
            <v>1</v>
          </cell>
          <cell r="N578">
            <v>1</v>
          </cell>
          <cell r="O578">
            <v>1</v>
          </cell>
          <cell r="P578">
            <v>1</v>
          </cell>
          <cell r="Q578">
            <v>1</v>
          </cell>
          <cell r="R578">
            <v>3</v>
          </cell>
          <cell r="S578" t="str">
            <v>polygon</v>
          </cell>
          <cell r="T578">
            <v>1</v>
          </cell>
          <cell r="U578" t="str">
            <v>NULL</v>
          </cell>
          <cell r="V578" t="str">
            <v>NULL</v>
          </cell>
          <cell r="W578" t="str">
            <v/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910</v>
          </cell>
          <cell r="AD578">
            <v>6</v>
          </cell>
          <cell r="AE578" t="str">
            <v>everyone</v>
          </cell>
        </row>
        <row r="579">
          <cell r="A579" t="str">
            <v>49002_1</v>
          </cell>
          <cell r="B579">
            <v>3</v>
          </cell>
          <cell r="C579">
            <v>49002</v>
          </cell>
          <cell r="D579" t="str">
            <v>園原杏里襲来！</v>
          </cell>
          <cell r="E579" t="str">
            <v>コラボ降臨2</v>
          </cell>
          <cell r="F579">
            <v>1</v>
          </cell>
          <cell r="G579" t="str">
            <v>ja</v>
          </cell>
          <cell r="H579" t="str">
            <v>【ウィザード級】園原杏里襲来</v>
          </cell>
          <cell r="I579" t="str">
            <v>地獄級</v>
          </cell>
          <cell r="J579">
            <v>699</v>
          </cell>
          <cell r="K579">
            <v>40</v>
          </cell>
          <cell r="L579">
            <v>4500</v>
          </cell>
          <cell r="M579">
            <v>1</v>
          </cell>
          <cell r="N579">
            <v>1</v>
          </cell>
          <cell r="O579">
            <v>1</v>
          </cell>
          <cell r="P579">
            <v>1</v>
          </cell>
          <cell r="Q579">
            <v>1</v>
          </cell>
          <cell r="R579">
            <v>3</v>
          </cell>
          <cell r="S579" t="str">
            <v>polygon</v>
          </cell>
          <cell r="T579">
            <v>1</v>
          </cell>
          <cell r="U579" t="str">
            <v>NULL</v>
          </cell>
          <cell r="V579" t="str">
            <v>NULL</v>
          </cell>
          <cell r="W579" t="str">
            <v/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917</v>
          </cell>
          <cell r="AD579">
            <v>6</v>
          </cell>
          <cell r="AE579" t="str">
            <v>everyone</v>
          </cell>
        </row>
        <row r="580">
          <cell r="A580" t="str">
            <v>49002_2</v>
          </cell>
          <cell r="B580">
            <v>3</v>
          </cell>
          <cell r="C580">
            <v>49002</v>
          </cell>
          <cell r="D580" t="str">
            <v>園原杏里襲来！</v>
          </cell>
          <cell r="E580" t="str">
            <v>コラボ降臨2</v>
          </cell>
          <cell r="F580">
            <v>2</v>
          </cell>
          <cell r="G580" t="str">
            <v>ja</v>
          </cell>
          <cell r="H580" t="str">
            <v>【ノーコンテニュー】園原杏里襲来</v>
          </cell>
          <cell r="I580" t="str">
            <v>地獄級</v>
          </cell>
          <cell r="J580">
            <v>699</v>
          </cell>
          <cell r="K580">
            <v>40</v>
          </cell>
          <cell r="L580">
            <v>4500</v>
          </cell>
          <cell r="M580">
            <v>1</v>
          </cell>
          <cell r="N580">
            <v>1</v>
          </cell>
          <cell r="O580">
            <v>1</v>
          </cell>
          <cell r="P580">
            <v>1</v>
          </cell>
          <cell r="Q580">
            <v>1</v>
          </cell>
          <cell r="R580">
            <v>3</v>
          </cell>
          <cell r="S580" t="str">
            <v>polygon</v>
          </cell>
          <cell r="T580">
            <v>1</v>
          </cell>
          <cell r="U580" t="str">
            <v>NULL</v>
          </cell>
          <cell r="V580" t="str">
            <v>NULL</v>
          </cell>
          <cell r="W580" t="str">
            <v/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917</v>
          </cell>
          <cell r="AD580">
            <v>6</v>
          </cell>
          <cell r="AE580" t="str">
            <v>everyone</v>
          </cell>
        </row>
        <row r="581">
          <cell r="A581" t="str">
            <v>49003_1</v>
          </cell>
          <cell r="B581">
            <v>3</v>
          </cell>
          <cell r="C581">
            <v>49003</v>
          </cell>
          <cell r="D581" t="str">
            <v>折原臨也襲来！</v>
          </cell>
          <cell r="E581" t="str">
            <v>コラボ降臨3</v>
          </cell>
          <cell r="F581">
            <v>1</v>
          </cell>
          <cell r="G581" t="str">
            <v>ja</v>
          </cell>
          <cell r="H581" t="str">
            <v>【ウィザード級】折原臨也襲来</v>
          </cell>
          <cell r="I581" t="str">
            <v>地獄級</v>
          </cell>
          <cell r="J581">
            <v>701</v>
          </cell>
          <cell r="K581">
            <v>40</v>
          </cell>
          <cell r="L581">
            <v>4500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polygon</v>
          </cell>
          <cell r="T581">
            <v>1</v>
          </cell>
          <cell r="U581" t="str">
            <v>NULL</v>
          </cell>
          <cell r="V581" t="str">
            <v>NULL</v>
          </cell>
          <cell r="W581" t="str">
            <v/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918</v>
          </cell>
          <cell r="AD581">
            <v>6</v>
          </cell>
          <cell r="AE581" t="str">
            <v>everyone</v>
          </cell>
        </row>
        <row r="582">
          <cell r="A582" t="str">
            <v>49003_2</v>
          </cell>
          <cell r="B582">
            <v>3</v>
          </cell>
          <cell r="C582">
            <v>49003</v>
          </cell>
          <cell r="D582" t="str">
            <v>折原臨也襲来！</v>
          </cell>
          <cell r="E582" t="str">
            <v>コラボ降臨3</v>
          </cell>
          <cell r="F582">
            <v>2</v>
          </cell>
          <cell r="G582" t="str">
            <v>ja</v>
          </cell>
          <cell r="H582" t="str">
            <v>【ノーコンテニュー】折原臨也襲来</v>
          </cell>
          <cell r="I582" t="str">
            <v>地獄級</v>
          </cell>
          <cell r="J582">
            <v>701</v>
          </cell>
          <cell r="K582">
            <v>40</v>
          </cell>
          <cell r="L582">
            <v>4500</v>
          </cell>
          <cell r="M582">
            <v>1</v>
          </cell>
          <cell r="N582">
            <v>1</v>
          </cell>
          <cell r="O582">
            <v>1</v>
          </cell>
          <cell r="P582">
            <v>1</v>
          </cell>
          <cell r="Q582">
            <v>1</v>
          </cell>
          <cell r="R582">
            <v>3</v>
          </cell>
          <cell r="S582" t="str">
            <v>polygon</v>
          </cell>
          <cell r="T582">
            <v>1</v>
          </cell>
          <cell r="U582" t="str">
            <v>NULL</v>
          </cell>
          <cell r="V582" t="str">
            <v>NULL</v>
          </cell>
          <cell r="W582" t="str">
            <v/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918</v>
          </cell>
          <cell r="AD582">
            <v>6</v>
          </cell>
          <cell r="AE582" t="str">
            <v>everyone</v>
          </cell>
        </row>
        <row r="583">
          <cell r="A583" t="str">
            <v>49004_1</v>
          </cell>
          <cell r="B583">
            <v>3</v>
          </cell>
          <cell r="C583">
            <v>49004</v>
          </cell>
          <cell r="D583" t="str">
            <v>サンリオ好きなのだーれだ♪</v>
          </cell>
          <cell r="E583" t="str">
            <v>コラボ降臨4</v>
          </cell>
          <cell r="F583">
            <v>1</v>
          </cell>
          <cell r="G583" t="str">
            <v>ja</v>
          </cell>
          <cell r="H583" t="str">
            <v>【超絶】サンリオ好きなのだーれだ♪</v>
          </cell>
          <cell r="I583" t="str">
            <v>地獄級</v>
          </cell>
          <cell r="J583">
            <v>0</v>
          </cell>
          <cell r="K583">
            <v>35</v>
          </cell>
          <cell r="L583">
            <v>4200</v>
          </cell>
          <cell r="M583">
            <v>1</v>
          </cell>
          <cell r="N583">
            <v>1</v>
          </cell>
          <cell r="O583">
            <v>1</v>
          </cell>
          <cell r="P583">
            <v>1</v>
          </cell>
          <cell r="Q583">
            <v>1</v>
          </cell>
          <cell r="R583">
            <v>3</v>
          </cell>
          <cell r="S583" t="str">
            <v>polygon</v>
          </cell>
          <cell r="T583">
            <v>1</v>
          </cell>
          <cell r="U583" t="str">
            <v>NULL</v>
          </cell>
          <cell r="V583" t="str">
            <v>NULL</v>
          </cell>
          <cell r="W583" t="str">
            <v/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934</v>
          </cell>
          <cell r="AD583">
            <v>6</v>
          </cell>
          <cell r="AE583" t="str">
            <v>everyone</v>
          </cell>
        </row>
        <row r="584">
          <cell r="A584" t="str">
            <v>49004_2</v>
          </cell>
          <cell r="B584">
            <v>3</v>
          </cell>
          <cell r="C584">
            <v>49004</v>
          </cell>
          <cell r="D584" t="str">
            <v>サンリオ好きなのだーれだ♪</v>
          </cell>
          <cell r="E584" t="str">
            <v>コラボ降臨4</v>
          </cell>
          <cell r="F584">
            <v>2</v>
          </cell>
          <cell r="G584" t="str">
            <v>ja</v>
          </cell>
          <cell r="H584" t="str">
            <v>【ｳｨｻﾞ】サンリオ好きなのだーれだ♪</v>
          </cell>
          <cell r="I584" t="str">
            <v>地獄級</v>
          </cell>
          <cell r="J584">
            <v>0</v>
          </cell>
          <cell r="K584">
            <v>40</v>
          </cell>
          <cell r="L584">
            <v>4500</v>
          </cell>
          <cell r="M584">
            <v>1</v>
          </cell>
          <cell r="N584">
            <v>1</v>
          </cell>
          <cell r="O584">
            <v>1</v>
          </cell>
          <cell r="P584">
            <v>1</v>
          </cell>
          <cell r="Q584">
            <v>1</v>
          </cell>
          <cell r="R584">
            <v>3</v>
          </cell>
          <cell r="S584" t="str">
            <v>polygon</v>
          </cell>
          <cell r="T584">
            <v>1</v>
          </cell>
          <cell r="U584" t="str">
            <v>NULL</v>
          </cell>
          <cell r="V584" t="str">
            <v>NULL</v>
          </cell>
          <cell r="W584" t="str">
            <v/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934</v>
          </cell>
          <cell r="AD584">
            <v>6</v>
          </cell>
          <cell r="AE584" t="str">
            <v>everyone</v>
          </cell>
        </row>
        <row r="585">
          <cell r="A585" t="str">
            <v>49004_3</v>
          </cell>
          <cell r="B585">
            <v>3</v>
          </cell>
          <cell r="C585">
            <v>49004</v>
          </cell>
          <cell r="D585" t="str">
            <v>サンリオ好きなのだーれだ♪</v>
          </cell>
          <cell r="E585" t="str">
            <v>コラボ降臨4</v>
          </cell>
          <cell r="F585">
            <v>3</v>
          </cell>
          <cell r="G585" t="str">
            <v>ja</v>
          </cell>
          <cell r="H585" t="str">
            <v>【ﾉｰｺﾝ】サンリオ好きなのだーれだ♪</v>
          </cell>
          <cell r="I585" t="str">
            <v>地獄級</v>
          </cell>
          <cell r="J585">
            <v>0</v>
          </cell>
          <cell r="K585">
            <v>40</v>
          </cell>
          <cell r="L585">
            <v>4500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polygon</v>
          </cell>
          <cell r="T585">
            <v>1</v>
          </cell>
          <cell r="U585" t="str">
            <v>NULL</v>
          </cell>
          <cell r="V585" t="str">
            <v>NULL</v>
          </cell>
          <cell r="W585" t="str">
            <v/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934</v>
          </cell>
          <cell r="AD585">
            <v>6</v>
          </cell>
          <cell r="AE585" t="str">
            <v>everyone</v>
          </cell>
        </row>
        <row r="586">
          <cell r="A586" t="str">
            <v>49005_1</v>
          </cell>
          <cell r="B586">
            <v>1</v>
          </cell>
          <cell r="C586">
            <v>49005</v>
          </cell>
          <cell r="D586" t="str">
            <v>襲来クエスト</v>
          </cell>
          <cell r="E586" t="str">
            <v>コラボ降臨5</v>
          </cell>
          <cell r="F586">
            <v>1</v>
          </cell>
          <cell r="G586" t="str">
            <v>ja</v>
          </cell>
          <cell r="H586" t="str">
            <v>【ウィザード級】襲来クエスト</v>
          </cell>
          <cell r="I586" t="str">
            <v>地獄級</v>
          </cell>
          <cell r="J586">
            <v>8013</v>
          </cell>
          <cell r="K586">
            <v>40</v>
          </cell>
          <cell r="L586">
            <v>4200</v>
          </cell>
          <cell r="M586">
            <v>1</v>
          </cell>
          <cell r="N586">
            <v>1</v>
          </cell>
          <cell r="O586">
            <v>1</v>
          </cell>
          <cell r="P586">
            <v>1</v>
          </cell>
          <cell r="Q586">
            <v>1</v>
          </cell>
          <cell r="R586">
            <v>3</v>
          </cell>
          <cell r="S586" t="str">
            <v>polygon</v>
          </cell>
          <cell r="T586">
            <v>1</v>
          </cell>
          <cell r="U586" t="str">
            <v>NULL</v>
          </cell>
          <cell r="V586" t="str">
            <v>NULL</v>
          </cell>
          <cell r="W586" t="str">
            <v/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910</v>
          </cell>
          <cell r="AD586">
            <v>6</v>
          </cell>
          <cell r="AE586" t="str">
            <v>everyone</v>
          </cell>
        </row>
        <row r="587">
          <cell r="A587" t="str">
            <v>49006_1</v>
          </cell>
          <cell r="B587">
            <v>1</v>
          </cell>
          <cell r="C587">
            <v>49006</v>
          </cell>
          <cell r="D587" t="str">
            <v>Cho襲来クエスト</v>
          </cell>
          <cell r="E587" t="str">
            <v>コラボ降臨6</v>
          </cell>
          <cell r="F587">
            <v>1</v>
          </cell>
          <cell r="G587" t="str">
            <v>ja</v>
          </cell>
          <cell r="H587" t="str">
            <v>【ウィザード級】Cho襲来クエスト</v>
          </cell>
          <cell r="I587" t="str">
            <v>地獄級</v>
          </cell>
          <cell r="J587">
            <v>1</v>
          </cell>
          <cell r="K587">
            <v>40</v>
          </cell>
          <cell r="L587">
            <v>4200</v>
          </cell>
          <cell r="M587">
            <v>1</v>
          </cell>
          <cell r="N587">
            <v>1</v>
          </cell>
          <cell r="O587">
            <v>1</v>
          </cell>
          <cell r="P587">
            <v>1</v>
          </cell>
          <cell r="Q587">
            <v>1</v>
          </cell>
          <cell r="R587">
            <v>3</v>
          </cell>
          <cell r="S587" t="str">
            <v>polygon</v>
          </cell>
          <cell r="T587">
            <v>1</v>
          </cell>
          <cell r="U587" t="str">
            <v>NULL</v>
          </cell>
          <cell r="V587" t="str">
            <v>NULL</v>
          </cell>
          <cell r="W587" t="str">
            <v/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910</v>
          </cell>
          <cell r="AD587">
            <v>6</v>
          </cell>
          <cell r="AE587" t="str">
            <v>everyone</v>
          </cell>
        </row>
        <row r="588">
          <cell r="A588" t="str">
            <v>50001_1</v>
          </cell>
          <cell r="B588">
            <v>3</v>
          </cell>
          <cell r="C588">
            <v>50001</v>
          </cell>
          <cell r="D588" t="str">
            <v>麒麟襲来！</v>
          </cell>
          <cell r="E588" t="str">
            <v>超降臨1</v>
          </cell>
          <cell r="F588">
            <v>1</v>
          </cell>
          <cell r="G588" t="str">
            <v>ja</v>
          </cell>
          <cell r="H588" t="str">
            <v xml:space="preserve">【超ウィザード級】麒麟襲来 </v>
          </cell>
          <cell r="I588" t="str">
            <v>超地獄級</v>
          </cell>
          <cell r="J588">
            <v>329</v>
          </cell>
          <cell r="K588">
            <v>40</v>
          </cell>
          <cell r="L588">
            <v>5200</v>
          </cell>
          <cell r="M588">
            <v>1</v>
          </cell>
          <cell r="N588">
            <v>1</v>
          </cell>
          <cell r="O588">
            <v>1</v>
          </cell>
          <cell r="P588">
            <v>1</v>
          </cell>
          <cell r="Q588">
            <v>1</v>
          </cell>
          <cell r="R588">
            <v>3</v>
          </cell>
          <cell r="S588" t="str">
            <v>character</v>
          </cell>
          <cell r="T588">
            <v>432</v>
          </cell>
          <cell r="U588" t="str">
            <v>NULL</v>
          </cell>
          <cell r="V588" t="str">
            <v>NULL</v>
          </cell>
          <cell r="W588" t="str">
            <v/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905</v>
          </cell>
          <cell r="AD588">
            <v>6</v>
          </cell>
          <cell r="AE588" t="str">
            <v>everyone</v>
          </cell>
        </row>
        <row r="589">
          <cell r="A589" t="str">
            <v>50002_1</v>
          </cell>
          <cell r="B589">
            <v>3</v>
          </cell>
          <cell r="C589">
            <v>50002</v>
          </cell>
          <cell r="D589" t="str">
            <v>オーディン襲来！</v>
          </cell>
          <cell r="E589" t="str">
            <v>超降臨2</v>
          </cell>
          <cell r="F589">
            <v>1</v>
          </cell>
          <cell r="G589" t="str">
            <v>ja</v>
          </cell>
          <cell r="H589" t="str">
            <v xml:space="preserve">【超ウィザード級】オーディン襲来 </v>
          </cell>
          <cell r="I589" t="str">
            <v>超地獄級</v>
          </cell>
          <cell r="J589">
            <v>331</v>
          </cell>
          <cell r="K589">
            <v>40</v>
          </cell>
          <cell r="L589">
            <v>5200</v>
          </cell>
          <cell r="M589">
            <v>1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character</v>
          </cell>
          <cell r="T589">
            <v>573</v>
          </cell>
          <cell r="U589" t="str">
            <v>NULL</v>
          </cell>
          <cell r="V589" t="str">
            <v>NULL</v>
          </cell>
          <cell r="W589" t="str">
            <v/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911</v>
          </cell>
          <cell r="AD589">
            <v>6</v>
          </cell>
          <cell r="AE589" t="str">
            <v>everyone</v>
          </cell>
        </row>
        <row r="590">
          <cell r="A590" t="str">
            <v>50003_1</v>
          </cell>
          <cell r="B590">
            <v>3</v>
          </cell>
          <cell r="C590">
            <v>50003</v>
          </cell>
          <cell r="D590" t="str">
            <v>織田信長襲来！</v>
          </cell>
          <cell r="E590" t="str">
            <v>超降臨3</v>
          </cell>
          <cell r="F590">
            <v>1</v>
          </cell>
          <cell r="G590" t="str">
            <v>ja</v>
          </cell>
          <cell r="H590" t="str">
            <v xml:space="preserve">【超ウィザード級】織田信長襲来 </v>
          </cell>
          <cell r="I590" t="str">
            <v>超地獄級</v>
          </cell>
          <cell r="J590">
            <v>567</v>
          </cell>
          <cell r="K590">
            <v>40</v>
          </cell>
          <cell r="L590">
            <v>5200</v>
          </cell>
          <cell r="M590">
            <v>1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character</v>
          </cell>
          <cell r="T590">
            <v>726</v>
          </cell>
          <cell r="U590" t="str">
            <v>NULL</v>
          </cell>
          <cell r="V590" t="str">
            <v>NULL</v>
          </cell>
          <cell r="W590" t="str">
            <v/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920</v>
          </cell>
          <cell r="AD590">
            <v>6</v>
          </cell>
          <cell r="AE590" t="str">
            <v>everyone</v>
          </cell>
        </row>
        <row r="591">
          <cell r="A591" t="str">
            <v>50004_1</v>
          </cell>
          <cell r="B591">
            <v>3</v>
          </cell>
          <cell r="C591">
            <v>50004</v>
          </cell>
          <cell r="D591" t="str">
            <v>ルシファー襲来！</v>
          </cell>
          <cell r="E591" t="str">
            <v>超降臨4</v>
          </cell>
          <cell r="F591">
            <v>1</v>
          </cell>
          <cell r="G591" t="str">
            <v>ja</v>
          </cell>
          <cell r="H591" t="str">
            <v xml:space="preserve">【超ウィザード級】ルシファー襲来 </v>
          </cell>
          <cell r="I591" t="str">
            <v>超地獄級</v>
          </cell>
          <cell r="J591">
            <v>0</v>
          </cell>
          <cell r="K591">
            <v>40</v>
          </cell>
          <cell r="L591">
            <v>5200</v>
          </cell>
          <cell r="M591">
            <v>1</v>
          </cell>
          <cell r="N591">
            <v>1</v>
          </cell>
          <cell r="O591">
            <v>1</v>
          </cell>
          <cell r="P591">
            <v>1</v>
          </cell>
          <cell r="Q591">
            <v>1</v>
          </cell>
          <cell r="R591">
            <v>3</v>
          </cell>
          <cell r="S591" t="str">
            <v>character</v>
          </cell>
          <cell r="T591">
            <v>846</v>
          </cell>
          <cell r="U591" t="str">
            <v>NULL</v>
          </cell>
          <cell r="V591" t="str">
            <v>NULL</v>
          </cell>
          <cell r="W591" t="str">
            <v/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928</v>
          </cell>
          <cell r="AD591">
            <v>6</v>
          </cell>
          <cell r="AE591" t="str">
            <v>everyone</v>
          </cell>
        </row>
        <row r="592">
          <cell r="A592" t="str">
            <v>51001_1</v>
          </cell>
          <cell r="B592">
            <v>3</v>
          </cell>
          <cell r="C592">
            <v>51001</v>
          </cell>
          <cell r="D592" t="str">
            <v>麒麟襲来！</v>
          </cell>
          <cell r="E592" t="str">
            <v>超降臨1</v>
          </cell>
          <cell r="F592">
            <v>1</v>
          </cell>
          <cell r="G592" t="str">
            <v>ja</v>
          </cell>
          <cell r="H592" t="str">
            <v xml:space="preserve">【超ウィザード級】麒麟襲来 </v>
          </cell>
          <cell r="I592" t="str">
            <v>超地獄級</v>
          </cell>
          <cell r="J592">
            <v>0</v>
          </cell>
          <cell r="K592">
            <v>40</v>
          </cell>
          <cell r="L592">
            <v>5200</v>
          </cell>
          <cell r="M592">
            <v>1</v>
          </cell>
          <cell r="N592">
            <v>1</v>
          </cell>
          <cell r="O592">
            <v>1</v>
          </cell>
          <cell r="P592">
            <v>1</v>
          </cell>
          <cell r="Q592">
            <v>1</v>
          </cell>
          <cell r="R592">
            <v>3</v>
          </cell>
          <cell r="S592" t="str">
            <v>character</v>
          </cell>
          <cell r="T592">
            <v>432</v>
          </cell>
          <cell r="U592" t="str">
            <v>NULL</v>
          </cell>
          <cell r="V592" t="str">
            <v>NULL</v>
          </cell>
          <cell r="W592" t="str">
            <v/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905</v>
          </cell>
          <cell r="AD592">
            <v>6</v>
          </cell>
          <cell r="AE592" t="str">
            <v>everyone</v>
          </cell>
        </row>
        <row r="593">
          <cell r="A593" t="str">
            <v>51002_1</v>
          </cell>
          <cell r="B593">
            <v>3</v>
          </cell>
          <cell r="C593">
            <v>51002</v>
          </cell>
          <cell r="D593" t="str">
            <v>オーディン襲来！</v>
          </cell>
          <cell r="E593" t="str">
            <v>超降臨2</v>
          </cell>
          <cell r="F593">
            <v>1</v>
          </cell>
          <cell r="G593" t="str">
            <v>ja</v>
          </cell>
          <cell r="H593" t="str">
            <v>【超ウィザード級】オーディン襲来</v>
          </cell>
          <cell r="I593" t="str">
            <v>超地獄級</v>
          </cell>
          <cell r="J593">
            <v>0</v>
          </cell>
          <cell r="K593">
            <v>40</v>
          </cell>
          <cell r="L593">
            <v>5200</v>
          </cell>
          <cell r="M593">
            <v>1</v>
          </cell>
          <cell r="N593">
            <v>1</v>
          </cell>
          <cell r="O593">
            <v>1</v>
          </cell>
          <cell r="P593">
            <v>1</v>
          </cell>
          <cell r="Q593">
            <v>1</v>
          </cell>
          <cell r="R593">
            <v>3</v>
          </cell>
          <cell r="S593" t="str">
            <v>character</v>
          </cell>
          <cell r="T593">
            <v>573</v>
          </cell>
          <cell r="U593" t="str">
            <v>NULL</v>
          </cell>
          <cell r="V593" t="str">
            <v>NULL</v>
          </cell>
          <cell r="W593" t="str">
            <v/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911</v>
          </cell>
          <cell r="AD593">
            <v>6</v>
          </cell>
          <cell r="AE593" t="str">
            <v>everyone</v>
          </cell>
        </row>
        <row r="594">
          <cell r="A594" t="str">
            <v>60001_1</v>
          </cell>
          <cell r="B594">
            <v>1</v>
          </cell>
          <cell r="C594">
            <v>60001</v>
          </cell>
          <cell r="D594" t="str">
            <v>ヘンペルチャレンジ</v>
          </cell>
          <cell r="E594" t="str">
            <v>ランキング1</v>
          </cell>
          <cell r="F594">
            <v>1</v>
          </cell>
          <cell r="G594" t="str">
            <v>ja</v>
          </cell>
          <cell r="H594" t="str">
            <v>[ウィザード] 第一回</v>
          </cell>
          <cell r="I594" t="str">
            <v>ランキング</v>
          </cell>
          <cell r="J594">
            <v>488</v>
          </cell>
          <cell r="K594">
            <v>5</v>
          </cell>
          <cell r="L594">
            <v>0</v>
          </cell>
          <cell r="M594">
            <v>1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none</v>
          </cell>
          <cell r="T594">
            <v>0</v>
          </cell>
          <cell r="U594" t="str">
            <v>NULL</v>
          </cell>
          <cell r="V594" t="str">
            <v>NULL</v>
          </cell>
          <cell r="W594" t="str">
            <v/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911</v>
          </cell>
          <cell r="AD594">
            <v>6</v>
          </cell>
          <cell r="AE594" t="str">
            <v>singleonly</v>
          </cell>
        </row>
        <row r="595">
          <cell r="A595" t="str">
            <v>60002_1</v>
          </cell>
          <cell r="B595">
            <v>1</v>
          </cell>
          <cell r="C595">
            <v>60002</v>
          </cell>
          <cell r="D595" t="str">
            <v>ヘンペルチャレンジ</v>
          </cell>
          <cell r="E595" t="str">
            <v>ランキング1</v>
          </cell>
          <cell r="F595">
            <v>1</v>
          </cell>
          <cell r="G595" t="str">
            <v>ja</v>
          </cell>
          <cell r="H595" t="str">
            <v>[超級] 第2回　※Wizと難易度は同じ</v>
          </cell>
          <cell r="I595" t="str">
            <v>ランキング</v>
          </cell>
          <cell r="J595">
            <v>488</v>
          </cell>
          <cell r="K595">
            <v>5</v>
          </cell>
          <cell r="L595">
            <v>0</v>
          </cell>
          <cell r="M595">
            <v>1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none</v>
          </cell>
          <cell r="T595">
            <v>0</v>
          </cell>
          <cell r="U595" t="str">
            <v>NULL</v>
          </cell>
          <cell r="V595" t="str">
            <v>NULL</v>
          </cell>
          <cell r="W595" t="str">
            <v/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911</v>
          </cell>
          <cell r="AD595">
            <v>6</v>
          </cell>
          <cell r="AE595" t="str">
            <v>singleonly</v>
          </cell>
        </row>
        <row r="596">
          <cell r="A596" t="str">
            <v>60002_2</v>
          </cell>
          <cell r="B596">
            <v>1</v>
          </cell>
          <cell r="C596">
            <v>60002</v>
          </cell>
          <cell r="D596" t="str">
            <v>ヘンペルチャレンジ</v>
          </cell>
          <cell r="E596" t="str">
            <v>ランキング1</v>
          </cell>
          <cell r="F596">
            <v>2</v>
          </cell>
          <cell r="G596" t="str">
            <v>ja</v>
          </cell>
          <cell r="H596" t="str">
            <v>[ウィザード] 第2回　※Wizと難易度は同じ</v>
          </cell>
          <cell r="I596" t="str">
            <v>ランキング</v>
          </cell>
          <cell r="J596">
            <v>488</v>
          </cell>
          <cell r="K596">
            <v>5</v>
          </cell>
          <cell r="L596">
            <v>0</v>
          </cell>
          <cell r="M596">
            <v>1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none</v>
          </cell>
          <cell r="T596">
            <v>0</v>
          </cell>
          <cell r="U596" t="str">
            <v>NULL</v>
          </cell>
          <cell r="V596" t="str">
            <v>NULL</v>
          </cell>
          <cell r="W596" t="str">
            <v/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911</v>
          </cell>
          <cell r="AD596">
            <v>6</v>
          </cell>
          <cell r="AE596" t="str">
            <v>singleonly</v>
          </cell>
        </row>
        <row r="597">
          <cell r="A597" t="str">
            <v>60003_1</v>
          </cell>
          <cell r="B597">
            <v>1</v>
          </cell>
          <cell r="C597">
            <v>60003</v>
          </cell>
          <cell r="D597" t="str">
            <v>ヘンペルチャレンジ</v>
          </cell>
          <cell r="E597" t="str">
            <v>ランキング1</v>
          </cell>
          <cell r="F597">
            <v>1</v>
          </cell>
          <cell r="G597" t="str">
            <v>ja</v>
          </cell>
          <cell r="H597" t="str">
            <v>[中級] 第3回　</v>
          </cell>
          <cell r="I597" t="str">
            <v>ランキング</v>
          </cell>
          <cell r="J597">
            <v>488</v>
          </cell>
          <cell r="K597">
            <v>5</v>
          </cell>
          <cell r="L597">
            <v>0</v>
          </cell>
          <cell r="M597">
            <v>1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none</v>
          </cell>
          <cell r="T597">
            <v>0</v>
          </cell>
          <cell r="U597" t="str">
            <v>NULL</v>
          </cell>
          <cell r="V597" t="str">
            <v>NULL</v>
          </cell>
          <cell r="W597" t="str">
            <v/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911</v>
          </cell>
          <cell r="AD597">
            <v>6</v>
          </cell>
          <cell r="AE597" t="str">
            <v>singleonly</v>
          </cell>
        </row>
        <row r="598">
          <cell r="A598" t="str">
            <v>60003_2</v>
          </cell>
          <cell r="B598">
            <v>1</v>
          </cell>
          <cell r="C598">
            <v>60003</v>
          </cell>
          <cell r="D598" t="str">
            <v>ヘンペルチャレンジ</v>
          </cell>
          <cell r="E598" t="str">
            <v>ランキング1</v>
          </cell>
          <cell r="F598">
            <v>2</v>
          </cell>
          <cell r="G598" t="str">
            <v>ja</v>
          </cell>
          <cell r="H598" t="str">
            <v>[超級] 第3回　</v>
          </cell>
          <cell r="I598" t="str">
            <v>ランキング</v>
          </cell>
          <cell r="J598">
            <v>488</v>
          </cell>
          <cell r="K598">
            <v>5</v>
          </cell>
          <cell r="L598">
            <v>0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none</v>
          </cell>
          <cell r="T598">
            <v>0</v>
          </cell>
          <cell r="U598">
            <v>60003</v>
          </cell>
          <cell r="V598">
            <v>1</v>
          </cell>
          <cell r="W598" t="str">
            <v>[中級] 第3回　</v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911</v>
          </cell>
          <cell r="AD598">
            <v>6</v>
          </cell>
          <cell r="AE598" t="str">
            <v>singleonly</v>
          </cell>
        </row>
        <row r="599">
          <cell r="A599" t="str">
            <v>60003_3</v>
          </cell>
          <cell r="B599">
            <v>1</v>
          </cell>
          <cell r="C599">
            <v>60003</v>
          </cell>
          <cell r="D599" t="str">
            <v>ヘンペルチャレンジ</v>
          </cell>
          <cell r="E599" t="str">
            <v>ランキング1</v>
          </cell>
          <cell r="F599">
            <v>3</v>
          </cell>
          <cell r="G599" t="str">
            <v>ja</v>
          </cell>
          <cell r="H599" t="str">
            <v>[ウィザード] 第3回　</v>
          </cell>
          <cell r="I599" t="str">
            <v>ランキング</v>
          </cell>
          <cell r="J599">
            <v>488</v>
          </cell>
          <cell r="K599">
            <v>5</v>
          </cell>
          <cell r="L599">
            <v>0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none</v>
          </cell>
          <cell r="T599">
            <v>0</v>
          </cell>
          <cell r="U599">
            <v>60003</v>
          </cell>
          <cell r="V599">
            <v>2</v>
          </cell>
          <cell r="W599" t="str">
            <v>[超級] 第3回　</v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911</v>
          </cell>
          <cell r="AD599">
            <v>6</v>
          </cell>
          <cell r="AE599" t="str">
            <v>singleonly</v>
          </cell>
        </row>
        <row r="600">
          <cell r="A600" t="str">
            <v>60004_1</v>
          </cell>
          <cell r="B600">
            <v>1</v>
          </cell>
          <cell r="C600">
            <v>60004</v>
          </cell>
          <cell r="D600" t="str">
            <v>ヘンペルチャレンジ</v>
          </cell>
          <cell r="E600" t="str">
            <v>ランキング1</v>
          </cell>
          <cell r="F600">
            <v>1</v>
          </cell>
          <cell r="G600" t="str">
            <v>ja</v>
          </cell>
          <cell r="H600" t="str">
            <v>[ウィザード] 第4回　</v>
          </cell>
          <cell r="I600" t="str">
            <v>ランキング</v>
          </cell>
          <cell r="J600">
            <v>488</v>
          </cell>
          <cell r="K600">
            <v>5</v>
          </cell>
          <cell r="L600">
            <v>0</v>
          </cell>
          <cell r="M600">
            <v>1</v>
          </cell>
          <cell r="N600">
            <v>1</v>
          </cell>
          <cell r="O600">
            <v>1</v>
          </cell>
          <cell r="P600">
            <v>1</v>
          </cell>
          <cell r="Q600">
            <v>1</v>
          </cell>
          <cell r="R600">
            <v>3</v>
          </cell>
          <cell r="S600" t="str">
            <v>none</v>
          </cell>
          <cell r="T600">
            <v>0</v>
          </cell>
          <cell r="U600" t="str">
            <v>NULL</v>
          </cell>
          <cell r="V600" t="str">
            <v>NULL</v>
          </cell>
          <cell r="W600" t="str">
            <v/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911</v>
          </cell>
          <cell r="AD600">
            <v>6</v>
          </cell>
          <cell r="AE600" t="str">
            <v>singleonly</v>
          </cell>
        </row>
        <row r="601">
          <cell r="A601" t="str">
            <v>60005_1</v>
          </cell>
          <cell r="B601">
            <v>1</v>
          </cell>
          <cell r="C601">
            <v>60005</v>
          </cell>
          <cell r="D601" t="str">
            <v>オイラーチャレンジ</v>
          </cell>
          <cell r="E601" t="str">
            <v>ランキング1</v>
          </cell>
          <cell r="F601">
            <v>1</v>
          </cell>
          <cell r="G601" t="str">
            <v>ja</v>
          </cell>
          <cell r="H601" t="str">
            <v>[ウィザード] 第5回　</v>
          </cell>
          <cell r="I601" t="str">
            <v>ランキング</v>
          </cell>
          <cell r="J601">
            <v>379</v>
          </cell>
          <cell r="K601">
            <v>5</v>
          </cell>
          <cell r="L601">
            <v>0</v>
          </cell>
          <cell r="M601">
            <v>1</v>
          </cell>
          <cell r="N601">
            <v>1</v>
          </cell>
          <cell r="O601">
            <v>1</v>
          </cell>
          <cell r="P601">
            <v>1</v>
          </cell>
          <cell r="Q601">
            <v>1</v>
          </cell>
          <cell r="R601">
            <v>3</v>
          </cell>
          <cell r="S601" t="str">
            <v>none</v>
          </cell>
          <cell r="T601">
            <v>0</v>
          </cell>
          <cell r="U601" t="str">
            <v>NULL</v>
          </cell>
          <cell r="V601" t="str">
            <v>NULL</v>
          </cell>
          <cell r="W601" t="str">
            <v/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923</v>
          </cell>
          <cell r="AD601">
            <v>6</v>
          </cell>
          <cell r="AE601" t="str">
            <v>singleonly</v>
          </cell>
        </row>
        <row r="602">
          <cell r="A602" t="str">
            <v>60006_1</v>
          </cell>
          <cell r="B602">
            <v>0</v>
          </cell>
          <cell r="C602">
            <v>60006</v>
          </cell>
          <cell r="D602" t="str">
            <v>オイラーチャレンジ</v>
          </cell>
          <cell r="E602" t="str">
            <v>ランキング1（本番実装用）</v>
          </cell>
          <cell r="F602">
            <v>1</v>
          </cell>
          <cell r="G602" t="str">
            <v>ja</v>
          </cell>
          <cell r="H602" t="str">
            <v>【中級】オイラーチャレンジ</v>
          </cell>
          <cell r="I602" t="str">
            <v>中級</v>
          </cell>
          <cell r="J602">
            <v>378</v>
          </cell>
          <cell r="K602">
            <v>15</v>
          </cell>
          <cell r="L602">
            <v>1200</v>
          </cell>
          <cell r="M602">
            <v>1</v>
          </cell>
          <cell r="N602">
            <v>1</v>
          </cell>
          <cell r="O602">
            <v>1</v>
          </cell>
          <cell r="P602">
            <v>1</v>
          </cell>
          <cell r="Q602">
            <v>1</v>
          </cell>
          <cell r="R602">
            <v>3</v>
          </cell>
          <cell r="S602" t="str">
            <v>none</v>
          </cell>
          <cell r="T602">
            <v>0</v>
          </cell>
          <cell r="U602">
            <v>60006</v>
          </cell>
          <cell r="V602">
            <v>1</v>
          </cell>
          <cell r="W602" t="str">
            <v>【中級】オイラーチャレンジ</v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923</v>
          </cell>
          <cell r="AD602">
            <v>6</v>
          </cell>
          <cell r="AE602" t="str">
            <v>singleonly</v>
          </cell>
        </row>
        <row r="603">
          <cell r="A603" t="str">
            <v>60006_2</v>
          </cell>
          <cell r="B603">
            <v>0</v>
          </cell>
          <cell r="C603">
            <v>60006</v>
          </cell>
          <cell r="D603" t="str">
            <v>オイラーチャレンジ</v>
          </cell>
          <cell r="E603" t="str">
            <v>ランキング1（本番実装用）</v>
          </cell>
          <cell r="F603">
            <v>2</v>
          </cell>
          <cell r="G603" t="str">
            <v>ja</v>
          </cell>
          <cell r="H603" t="str">
            <v>【超級】オイラーチャレンジ</v>
          </cell>
          <cell r="I603" t="str">
            <v>超級</v>
          </cell>
          <cell r="J603">
            <v>378</v>
          </cell>
          <cell r="K603">
            <v>30</v>
          </cell>
          <cell r="L603">
            <v>3300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none</v>
          </cell>
          <cell r="T603">
            <v>0</v>
          </cell>
          <cell r="U603">
            <v>60006</v>
          </cell>
          <cell r="V603">
            <v>2</v>
          </cell>
          <cell r="W603" t="str">
            <v>【超級】オイラーチャレンジ</v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923</v>
          </cell>
          <cell r="AD603">
            <v>6</v>
          </cell>
          <cell r="AE603" t="str">
            <v>singleonly</v>
          </cell>
        </row>
        <row r="604">
          <cell r="A604" t="str">
            <v>60006_3</v>
          </cell>
          <cell r="B604">
            <v>3</v>
          </cell>
          <cell r="C604">
            <v>60006</v>
          </cell>
          <cell r="D604" t="str">
            <v>オイラーチャレンジ</v>
          </cell>
          <cell r="E604" t="str">
            <v>ランキング1（本番実装用）</v>
          </cell>
          <cell r="F604">
            <v>3</v>
          </cell>
          <cell r="G604" t="str">
            <v>ja</v>
          </cell>
          <cell r="H604" t="str">
            <v>【ウィザード級】オイラーチャレンジ</v>
          </cell>
          <cell r="I604" t="str">
            <v>ウィザード級</v>
          </cell>
          <cell r="J604">
            <v>379</v>
          </cell>
          <cell r="K604">
            <v>35</v>
          </cell>
          <cell r="L604">
            <v>4200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none</v>
          </cell>
          <cell r="T604">
            <v>0</v>
          </cell>
          <cell r="U604">
            <v>60006</v>
          </cell>
          <cell r="V604">
            <v>3</v>
          </cell>
          <cell r="W604" t="str">
            <v>【ウィザード級】オイラーチャレンジ</v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923</v>
          </cell>
          <cell r="AD604">
            <v>6</v>
          </cell>
          <cell r="AE604" t="str">
            <v>singleonly</v>
          </cell>
        </row>
        <row r="605">
          <cell r="A605" t="str">
            <v>60007_1</v>
          </cell>
          <cell r="B605">
            <v>0</v>
          </cell>
          <cell r="C605">
            <v>60007</v>
          </cell>
          <cell r="D605" t="str">
            <v>オイラーチャレンジ</v>
          </cell>
          <cell r="E605" t="str">
            <v>ランキング1（改修版）</v>
          </cell>
          <cell r="F605">
            <v>1</v>
          </cell>
          <cell r="G605" t="str">
            <v>ja</v>
          </cell>
          <cell r="H605" t="str">
            <v>【中級】オイラーチャレンジ</v>
          </cell>
          <cell r="I605" t="str">
            <v>中級</v>
          </cell>
          <cell r="J605">
            <v>378</v>
          </cell>
          <cell r="K605">
            <v>15</v>
          </cell>
          <cell r="L605">
            <v>1200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none</v>
          </cell>
          <cell r="T605">
            <v>0</v>
          </cell>
          <cell r="U605" t="str">
            <v>NULL</v>
          </cell>
          <cell r="V605" t="str">
            <v>NULL</v>
          </cell>
          <cell r="W605" t="str">
            <v/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923</v>
          </cell>
          <cell r="AD605">
            <v>6</v>
          </cell>
          <cell r="AE605" t="str">
            <v>singleonly</v>
          </cell>
        </row>
        <row r="606">
          <cell r="A606" t="str">
            <v>60007_2</v>
          </cell>
          <cell r="B606">
            <v>0</v>
          </cell>
          <cell r="C606">
            <v>60007</v>
          </cell>
          <cell r="D606" t="str">
            <v>オイラーチャレンジ</v>
          </cell>
          <cell r="E606" t="str">
            <v>ランキング1（改修版）</v>
          </cell>
          <cell r="F606">
            <v>2</v>
          </cell>
          <cell r="G606" t="str">
            <v>ja</v>
          </cell>
          <cell r="H606" t="str">
            <v>【超級】オイラーチャレンジ</v>
          </cell>
          <cell r="I606" t="str">
            <v>超級</v>
          </cell>
          <cell r="J606">
            <v>378</v>
          </cell>
          <cell r="K606">
            <v>30</v>
          </cell>
          <cell r="L606">
            <v>3300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none</v>
          </cell>
          <cell r="T606">
            <v>0</v>
          </cell>
          <cell r="U606" t="str">
            <v>NULL</v>
          </cell>
          <cell r="V606" t="str">
            <v>NULL</v>
          </cell>
          <cell r="W606" t="str">
            <v/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923</v>
          </cell>
          <cell r="AD606">
            <v>6</v>
          </cell>
          <cell r="AE606" t="str">
            <v>singleonly</v>
          </cell>
        </row>
        <row r="607">
          <cell r="A607" t="str">
            <v>60007_3</v>
          </cell>
          <cell r="B607">
            <v>3</v>
          </cell>
          <cell r="C607">
            <v>60007</v>
          </cell>
          <cell r="D607" t="str">
            <v>オイラーチャレンジ</v>
          </cell>
          <cell r="E607" t="str">
            <v>ランキング1（改修版）</v>
          </cell>
          <cell r="F607">
            <v>3</v>
          </cell>
          <cell r="G607" t="str">
            <v>ja</v>
          </cell>
          <cell r="H607" t="str">
            <v>【ウィザード級】オイラーチャレンジ</v>
          </cell>
          <cell r="I607" t="str">
            <v>ウィザード級</v>
          </cell>
          <cell r="J607">
            <v>379</v>
          </cell>
          <cell r="K607">
            <v>35</v>
          </cell>
          <cell r="L607">
            <v>4200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none</v>
          </cell>
          <cell r="T607">
            <v>0</v>
          </cell>
          <cell r="U607" t="str">
            <v>NULL</v>
          </cell>
          <cell r="V607" t="str">
            <v>NULL</v>
          </cell>
          <cell r="W607" t="str">
            <v/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923</v>
          </cell>
          <cell r="AD607">
            <v>6</v>
          </cell>
          <cell r="AE607" t="str">
            <v>singleonly</v>
          </cell>
        </row>
        <row r="608">
          <cell r="A608" t="str">
            <v>60010_1</v>
          </cell>
          <cell r="B608">
            <v>3</v>
          </cell>
          <cell r="C608">
            <v>60010</v>
          </cell>
          <cell r="D608" t="str">
            <v>ラグランジュチャレンジ</v>
          </cell>
          <cell r="E608" t="str">
            <v>ランキング2（ラグランジュ）</v>
          </cell>
          <cell r="F608">
            <v>1</v>
          </cell>
          <cell r="G608" t="str">
            <v>ja</v>
          </cell>
          <cell r="H608" t="str">
            <v>ラグランジュチャレンジ</v>
          </cell>
          <cell r="I608" t="str">
            <v>ウィザード級</v>
          </cell>
          <cell r="J608">
            <v>796</v>
          </cell>
          <cell r="K608">
            <v>35</v>
          </cell>
          <cell r="L608">
            <v>4200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none</v>
          </cell>
          <cell r="T608">
            <v>0</v>
          </cell>
          <cell r="U608" t="str">
            <v>NULL</v>
          </cell>
          <cell r="V608" t="str">
            <v>NULL</v>
          </cell>
          <cell r="W608" t="str">
            <v/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922</v>
          </cell>
          <cell r="AD608">
            <v>6</v>
          </cell>
          <cell r="AE608" t="str">
            <v>singleonly</v>
          </cell>
        </row>
        <row r="609">
          <cell r="A609" t="str">
            <v>60011_1</v>
          </cell>
          <cell r="B609">
            <v>1</v>
          </cell>
          <cell r="C609">
            <v>60011</v>
          </cell>
          <cell r="D609" t="str">
            <v>ユークリッドチャレンジ</v>
          </cell>
          <cell r="E609" t="str">
            <v>ランキング3（ユークリッド）</v>
          </cell>
          <cell r="F609">
            <v>1</v>
          </cell>
          <cell r="G609" t="str">
            <v>ja</v>
          </cell>
          <cell r="H609" t="str">
            <v>ユークリッドチャレンジ</v>
          </cell>
          <cell r="I609" t="str">
            <v>ウィザード級</v>
          </cell>
          <cell r="J609">
            <v>1</v>
          </cell>
          <cell r="K609">
            <v>35</v>
          </cell>
          <cell r="L609">
            <v>4200</v>
          </cell>
          <cell r="M609">
            <v>1</v>
          </cell>
          <cell r="N609">
            <v>1</v>
          </cell>
          <cell r="O609">
            <v>1</v>
          </cell>
          <cell r="P609">
            <v>1</v>
          </cell>
          <cell r="Q609">
            <v>1</v>
          </cell>
          <cell r="R609">
            <v>3</v>
          </cell>
          <cell r="S609" t="str">
            <v>none</v>
          </cell>
          <cell r="T609">
            <v>0</v>
          </cell>
          <cell r="U609" t="str">
            <v>NULL</v>
          </cell>
          <cell r="V609" t="str">
            <v>NULL</v>
          </cell>
          <cell r="W609" t="str">
            <v/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anytime</v>
          </cell>
          <cell r="AC609">
            <v>922</v>
          </cell>
          <cell r="AD609">
            <v>6</v>
          </cell>
          <cell r="AE609" t="str">
            <v>singleonly</v>
          </cell>
        </row>
        <row r="610">
          <cell r="A610" t="str">
            <v>65535_1</v>
          </cell>
          <cell r="B610">
            <v>1</v>
          </cell>
          <cell r="C610">
            <v>65535</v>
          </cell>
          <cell r="D610" t="str">
            <v>検証クエスト</v>
          </cell>
          <cell r="E610" t="str">
            <v>検証</v>
          </cell>
          <cell r="F610">
            <v>1</v>
          </cell>
          <cell r="G610" t="str">
            <v>ja</v>
          </cell>
          <cell r="H610" t="str">
            <v>テンプレート</v>
          </cell>
          <cell r="I610" t="str">
            <v>検証</v>
          </cell>
          <cell r="J610" t="str">
            <v>NULL</v>
          </cell>
          <cell r="K610">
            <v>1</v>
          </cell>
          <cell r="L610">
            <v>1</v>
          </cell>
          <cell r="M610">
            <v>1</v>
          </cell>
          <cell r="N610">
            <v>1</v>
          </cell>
          <cell r="O610">
            <v>1</v>
          </cell>
          <cell r="P610">
            <v>1</v>
          </cell>
          <cell r="Q610">
            <v>1</v>
          </cell>
          <cell r="R610">
            <v>3</v>
          </cell>
          <cell r="S610" t="str">
            <v>none</v>
          </cell>
          <cell r="T610">
            <v>0</v>
          </cell>
          <cell r="U610" t="str">
            <v>NULL</v>
          </cell>
          <cell r="V610" t="str">
            <v>NULL</v>
          </cell>
          <cell r="W610" t="str">
            <v/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 t="str">
            <v>anytime</v>
          </cell>
          <cell r="AC610">
            <v>903</v>
          </cell>
          <cell r="AD610">
            <v>6</v>
          </cell>
          <cell r="AE610" t="str">
            <v>everyone</v>
          </cell>
        </row>
        <row r="611">
          <cell r="A611" t="str">
            <v>65535_2</v>
          </cell>
          <cell r="B611">
            <v>1</v>
          </cell>
          <cell r="C611">
            <v>65535</v>
          </cell>
          <cell r="D611" t="str">
            <v>検証クエスト</v>
          </cell>
          <cell r="E611" t="str">
            <v>検証</v>
          </cell>
          <cell r="F611">
            <v>2</v>
          </cell>
          <cell r="G611" t="str">
            <v>ja</v>
          </cell>
          <cell r="H611" t="str">
            <v>ランクアップクエスト</v>
          </cell>
          <cell r="I611" t="str">
            <v>検証</v>
          </cell>
          <cell r="J611" t="str">
            <v>NULL</v>
          </cell>
          <cell r="K611">
            <v>1</v>
          </cell>
          <cell r="L611">
            <v>65535</v>
          </cell>
          <cell r="M611">
            <v>1</v>
          </cell>
          <cell r="N611">
            <v>1</v>
          </cell>
          <cell r="O611">
            <v>1</v>
          </cell>
          <cell r="P611">
            <v>1</v>
          </cell>
          <cell r="Q611">
            <v>1</v>
          </cell>
          <cell r="R611">
            <v>3</v>
          </cell>
          <cell r="S611" t="str">
            <v>none</v>
          </cell>
          <cell r="T611">
            <v>0</v>
          </cell>
          <cell r="U611" t="str">
            <v>NULL</v>
          </cell>
          <cell r="V611" t="str">
            <v>NULL</v>
          </cell>
          <cell r="W611" t="str">
            <v/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anytime</v>
          </cell>
          <cell r="AC611">
            <v>903</v>
          </cell>
          <cell r="AD611">
            <v>6</v>
          </cell>
          <cell r="AE611" t="str">
            <v>everyone</v>
          </cell>
        </row>
        <row r="612">
          <cell r="A612" t="str">
            <v>65535_3</v>
          </cell>
          <cell r="B612">
            <v>1</v>
          </cell>
          <cell r="C612">
            <v>65535</v>
          </cell>
          <cell r="D612" t="str">
            <v>検証クエスト</v>
          </cell>
          <cell r="E612" t="str">
            <v>検証</v>
          </cell>
          <cell r="F612">
            <v>3</v>
          </cell>
          <cell r="G612" t="str">
            <v>ja</v>
          </cell>
          <cell r="H612" t="str">
            <v>サンドボックス</v>
          </cell>
          <cell r="I612" t="str">
            <v>検証</v>
          </cell>
          <cell r="J612" t="str">
            <v>NULL</v>
          </cell>
          <cell r="K612">
            <v>1</v>
          </cell>
          <cell r="L612">
            <v>1</v>
          </cell>
          <cell r="M612">
            <v>1</v>
          </cell>
          <cell r="N612">
            <v>1</v>
          </cell>
          <cell r="O612">
            <v>1</v>
          </cell>
          <cell r="P612">
            <v>1</v>
          </cell>
          <cell r="Q612">
            <v>1</v>
          </cell>
          <cell r="R612">
            <v>3</v>
          </cell>
          <cell r="S612" t="str">
            <v>none</v>
          </cell>
          <cell r="T612">
            <v>0</v>
          </cell>
          <cell r="U612" t="str">
            <v>NULL</v>
          </cell>
          <cell r="V612" t="str">
            <v>NULL</v>
          </cell>
          <cell r="W612" t="str">
            <v/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 t="str">
            <v>anytime</v>
          </cell>
          <cell r="AC612">
            <v>105</v>
          </cell>
          <cell r="AD612">
            <v>6</v>
          </cell>
          <cell r="AE612" t="str">
            <v>everyone</v>
          </cell>
        </row>
        <row r="613">
          <cell r="A613" t="str">
            <v>65535_4</v>
          </cell>
          <cell r="B613">
            <v>1</v>
          </cell>
          <cell r="C613">
            <v>65535</v>
          </cell>
          <cell r="D613" t="str">
            <v>検証クエスト</v>
          </cell>
          <cell r="E613" t="str">
            <v>検証</v>
          </cell>
          <cell r="F613">
            <v>4</v>
          </cell>
          <cell r="G613" t="str">
            <v>ja</v>
          </cell>
          <cell r="H613" t="str">
            <v>フリーズジャンヌ</v>
          </cell>
          <cell r="I613" t="str">
            <v>検証</v>
          </cell>
          <cell r="J613" t="str">
            <v>NULL</v>
          </cell>
          <cell r="K613">
            <v>1</v>
          </cell>
          <cell r="L613">
            <v>1</v>
          </cell>
          <cell r="M613">
            <v>1</v>
          </cell>
          <cell r="N613">
            <v>1</v>
          </cell>
          <cell r="O613">
            <v>1</v>
          </cell>
          <cell r="P613">
            <v>1</v>
          </cell>
          <cell r="Q613">
            <v>1</v>
          </cell>
          <cell r="R613">
            <v>3</v>
          </cell>
          <cell r="S613" t="str">
            <v>none</v>
          </cell>
          <cell r="T613">
            <v>0</v>
          </cell>
          <cell r="U613" t="str">
            <v>NULL</v>
          </cell>
          <cell r="V613" t="str">
            <v>NULL</v>
          </cell>
          <cell r="W613" t="str">
            <v/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anytime</v>
          </cell>
          <cell r="AC613">
            <v>105</v>
          </cell>
          <cell r="AD613">
            <v>6</v>
          </cell>
          <cell r="AE613" t="str">
            <v>everyone</v>
          </cell>
        </row>
        <row r="614">
          <cell r="A614" t="str">
            <v>65535_5</v>
          </cell>
          <cell r="B614">
            <v>1</v>
          </cell>
          <cell r="C614">
            <v>65535</v>
          </cell>
          <cell r="D614" t="str">
            <v>検証クエスト</v>
          </cell>
          <cell r="E614" t="str">
            <v>検証</v>
          </cell>
          <cell r="F614">
            <v>5</v>
          </cell>
          <cell r="G614" t="str">
            <v>ja</v>
          </cell>
          <cell r="H614" t="str">
            <v>ウィルスジャンヌ</v>
          </cell>
          <cell r="I614" t="str">
            <v>検証</v>
          </cell>
          <cell r="J614" t="str">
            <v>NULL</v>
          </cell>
          <cell r="K614">
            <v>1</v>
          </cell>
          <cell r="L614">
            <v>1</v>
          </cell>
          <cell r="M614">
            <v>1</v>
          </cell>
          <cell r="N614">
            <v>1</v>
          </cell>
          <cell r="O614">
            <v>1</v>
          </cell>
          <cell r="P614">
            <v>1</v>
          </cell>
          <cell r="Q614">
            <v>1</v>
          </cell>
          <cell r="R614">
            <v>3</v>
          </cell>
          <cell r="S614" t="str">
            <v>none</v>
          </cell>
          <cell r="T614">
            <v>0</v>
          </cell>
          <cell r="U614" t="str">
            <v>NULL</v>
          </cell>
          <cell r="V614" t="str">
            <v>NULL</v>
          </cell>
          <cell r="W614" t="str">
            <v/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 t="str">
            <v>anytime</v>
          </cell>
          <cell r="AC614">
            <v>105</v>
          </cell>
          <cell r="AD614">
            <v>6</v>
          </cell>
          <cell r="AE614" t="str">
            <v>everyone</v>
          </cell>
        </row>
        <row r="615">
          <cell r="A615" t="str">
            <v>65535_6</v>
          </cell>
          <cell r="B615">
            <v>1</v>
          </cell>
          <cell r="C615">
            <v>65535</v>
          </cell>
          <cell r="D615" t="str">
            <v>検証クエスト</v>
          </cell>
          <cell r="E615" t="str">
            <v>検証</v>
          </cell>
          <cell r="F615">
            <v>6</v>
          </cell>
          <cell r="G615" t="str">
            <v>ja</v>
          </cell>
          <cell r="H615" t="str">
            <v>お邪魔ジャンヌ</v>
          </cell>
          <cell r="I615" t="str">
            <v>検証</v>
          </cell>
          <cell r="J615" t="str">
            <v>NULL</v>
          </cell>
          <cell r="K615">
            <v>1</v>
          </cell>
          <cell r="L615">
            <v>1</v>
          </cell>
          <cell r="M615">
            <v>1</v>
          </cell>
          <cell r="N615">
            <v>1</v>
          </cell>
          <cell r="O615">
            <v>1</v>
          </cell>
          <cell r="P615">
            <v>1</v>
          </cell>
          <cell r="Q615">
            <v>1</v>
          </cell>
          <cell r="R615">
            <v>3</v>
          </cell>
          <cell r="S615" t="str">
            <v>none</v>
          </cell>
          <cell r="T615">
            <v>0</v>
          </cell>
          <cell r="U615" t="str">
            <v>NULL</v>
          </cell>
          <cell r="V615" t="str">
            <v>NULL</v>
          </cell>
          <cell r="W615" t="str">
            <v/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 t="str">
            <v>anytime</v>
          </cell>
          <cell r="AC615">
            <v>105</v>
          </cell>
          <cell r="AD615">
            <v>6</v>
          </cell>
          <cell r="AE615" t="str">
            <v>everyone</v>
          </cell>
        </row>
        <row r="616">
          <cell r="A616" t="str">
            <v>65535_7</v>
          </cell>
          <cell r="B616">
            <v>1</v>
          </cell>
          <cell r="C616">
            <v>65535</v>
          </cell>
          <cell r="D616" t="str">
            <v>検証クエスト</v>
          </cell>
          <cell r="E616" t="str">
            <v>検証</v>
          </cell>
          <cell r="F616">
            <v>7</v>
          </cell>
          <cell r="G616" t="str">
            <v>ja</v>
          </cell>
          <cell r="H616" t="str">
            <v>爆風ジャンヌ</v>
          </cell>
          <cell r="I616" t="str">
            <v>検証</v>
          </cell>
          <cell r="J616" t="str">
            <v>NULL</v>
          </cell>
          <cell r="K616">
            <v>1</v>
          </cell>
          <cell r="L616">
            <v>1</v>
          </cell>
          <cell r="M616">
            <v>1</v>
          </cell>
          <cell r="N616">
            <v>1</v>
          </cell>
          <cell r="O616">
            <v>1</v>
          </cell>
          <cell r="P616">
            <v>1</v>
          </cell>
          <cell r="Q616">
            <v>1</v>
          </cell>
          <cell r="R616">
            <v>3</v>
          </cell>
          <cell r="S616" t="str">
            <v>none</v>
          </cell>
          <cell r="T616">
            <v>0</v>
          </cell>
          <cell r="U616" t="str">
            <v>NULL</v>
          </cell>
          <cell r="V616" t="str">
            <v>NULL</v>
          </cell>
          <cell r="W616" t="str">
            <v/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 t="str">
            <v>anytime</v>
          </cell>
          <cell r="AC616">
            <v>105</v>
          </cell>
          <cell r="AD616">
            <v>6</v>
          </cell>
          <cell r="AE616" t="str">
            <v>everyone</v>
          </cell>
        </row>
        <row r="617">
          <cell r="A617" t="str">
            <v>65535_8</v>
          </cell>
          <cell r="B617">
            <v>1</v>
          </cell>
          <cell r="C617">
            <v>65535</v>
          </cell>
          <cell r="D617" t="str">
            <v>検証クエスト</v>
          </cell>
          <cell r="E617" t="str">
            <v>検証</v>
          </cell>
          <cell r="F617">
            <v>8</v>
          </cell>
          <cell r="G617" t="str">
            <v>ja</v>
          </cell>
          <cell r="H617" t="str">
            <v>テスト</v>
          </cell>
          <cell r="I617" t="str">
            <v>検証</v>
          </cell>
          <cell r="J617" t="str">
            <v>NULL</v>
          </cell>
          <cell r="K617">
            <v>1</v>
          </cell>
          <cell r="L617">
            <v>1</v>
          </cell>
          <cell r="M617">
            <v>1</v>
          </cell>
          <cell r="N617">
            <v>1</v>
          </cell>
          <cell r="O617">
            <v>1</v>
          </cell>
          <cell r="P617">
            <v>1</v>
          </cell>
          <cell r="Q617">
            <v>1</v>
          </cell>
          <cell r="R617">
            <v>3</v>
          </cell>
          <cell r="S617" t="str">
            <v>none</v>
          </cell>
          <cell r="T617">
            <v>0</v>
          </cell>
          <cell r="U617" t="str">
            <v>NULL</v>
          </cell>
          <cell r="V617" t="str">
            <v>NULL</v>
          </cell>
          <cell r="W617" t="str">
            <v/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 t="str">
            <v>anytime</v>
          </cell>
          <cell r="AC617">
            <v>105</v>
          </cell>
          <cell r="AD617">
            <v>6</v>
          </cell>
          <cell r="AE617" t="str">
            <v>everyone</v>
          </cell>
        </row>
        <row r="618">
          <cell r="A618" t="str">
            <v>60021_3</v>
          </cell>
          <cell r="B618">
            <v>1</v>
          </cell>
          <cell r="C618">
            <v>60021</v>
          </cell>
          <cell r="D618" t="str">
            <v>【月曜限定】 黄の素材verハンプ検証</v>
          </cell>
          <cell r="E618" t="str">
            <v>検証</v>
          </cell>
          <cell r="F618">
            <v>3</v>
          </cell>
          <cell r="G618" t="str">
            <v>ja</v>
          </cell>
          <cell r="H618" t="str">
            <v>【上級】ハンプティ検証</v>
          </cell>
          <cell r="I618" t="str">
            <v>上級</v>
          </cell>
          <cell r="J618">
            <v>84</v>
          </cell>
          <cell r="K618">
            <v>20</v>
          </cell>
          <cell r="L618">
            <v>860</v>
          </cell>
          <cell r="M618">
            <v>1</v>
          </cell>
          <cell r="N618">
            <v>1</v>
          </cell>
          <cell r="O618">
            <v>1</v>
          </cell>
          <cell r="P618">
            <v>1</v>
          </cell>
          <cell r="Q618">
            <v>1</v>
          </cell>
          <cell r="R618">
            <v>3</v>
          </cell>
          <cell r="S618" t="str">
            <v>none</v>
          </cell>
          <cell r="T618">
            <v>0</v>
          </cell>
          <cell r="U618" t="str">
            <v>NULL</v>
          </cell>
          <cell r="V618" t="str">
            <v>NULL</v>
          </cell>
          <cell r="W618" t="str">
            <v/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 t="str">
            <v>anytime</v>
          </cell>
          <cell r="AC618">
            <v>101</v>
          </cell>
          <cell r="AD618">
            <v>6</v>
          </cell>
          <cell r="AE618" t="str">
            <v>everyone</v>
          </cell>
        </row>
        <row r="619">
          <cell r="A619" t="str">
            <v>60022_3</v>
          </cell>
          <cell r="B619">
            <v>1</v>
          </cell>
          <cell r="C619">
            <v>60022</v>
          </cell>
          <cell r="D619" t="str">
            <v>【火曜限定】 赤の素材verハンプ検証</v>
          </cell>
          <cell r="E619" t="str">
            <v>検証</v>
          </cell>
          <cell r="F619">
            <v>3</v>
          </cell>
          <cell r="G619" t="str">
            <v>ja</v>
          </cell>
          <cell r="H619" t="str">
            <v>【上級】ハンプティ検証</v>
          </cell>
          <cell r="I619" t="str">
            <v>上級</v>
          </cell>
          <cell r="J619">
            <v>84</v>
          </cell>
          <cell r="K619">
            <v>20</v>
          </cell>
          <cell r="L619">
            <v>860</v>
          </cell>
          <cell r="M619">
            <v>1</v>
          </cell>
          <cell r="N619">
            <v>1</v>
          </cell>
          <cell r="O619">
            <v>1</v>
          </cell>
          <cell r="P619">
            <v>1</v>
          </cell>
          <cell r="Q619">
            <v>1</v>
          </cell>
          <cell r="R619">
            <v>3</v>
          </cell>
          <cell r="S619" t="str">
            <v>none</v>
          </cell>
          <cell r="T619">
            <v>0</v>
          </cell>
          <cell r="U619" t="str">
            <v>NULL</v>
          </cell>
          <cell r="V619" t="str">
            <v>NULL</v>
          </cell>
          <cell r="W619" t="str">
            <v/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 t="str">
            <v>anytime</v>
          </cell>
          <cell r="AC619">
            <v>101</v>
          </cell>
          <cell r="AD619">
            <v>6</v>
          </cell>
          <cell r="AE619" t="str">
            <v>everyone</v>
          </cell>
        </row>
        <row r="620">
          <cell r="A620" t="str">
            <v>60023_3</v>
          </cell>
          <cell r="B620">
            <v>1</v>
          </cell>
          <cell r="C620">
            <v>60023</v>
          </cell>
          <cell r="D620" t="str">
            <v>【水曜限定】 青の素材verハンプ検証</v>
          </cell>
          <cell r="E620" t="str">
            <v>検証</v>
          </cell>
          <cell r="F620">
            <v>3</v>
          </cell>
          <cell r="G620" t="str">
            <v>ja</v>
          </cell>
          <cell r="H620" t="str">
            <v>【上級】ハンプティ検証</v>
          </cell>
          <cell r="I620" t="str">
            <v>上級</v>
          </cell>
          <cell r="J620">
            <v>84</v>
          </cell>
          <cell r="K620">
            <v>20</v>
          </cell>
          <cell r="L620">
            <v>860</v>
          </cell>
          <cell r="M620">
            <v>1</v>
          </cell>
          <cell r="N620">
            <v>1</v>
          </cell>
          <cell r="O620">
            <v>1</v>
          </cell>
          <cell r="P620">
            <v>1</v>
          </cell>
          <cell r="Q620">
            <v>1</v>
          </cell>
          <cell r="R620">
            <v>3</v>
          </cell>
          <cell r="S620" t="str">
            <v>none</v>
          </cell>
          <cell r="T620">
            <v>0</v>
          </cell>
          <cell r="U620" t="str">
            <v>NULL</v>
          </cell>
          <cell r="V620" t="str">
            <v>NULL</v>
          </cell>
          <cell r="W620" t="str">
            <v/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 t="str">
            <v>anytime</v>
          </cell>
          <cell r="AC620">
            <v>101</v>
          </cell>
          <cell r="AD620">
            <v>6</v>
          </cell>
          <cell r="AE620" t="str">
            <v>everyone</v>
          </cell>
        </row>
        <row r="621">
          <cell r="A621" t="str">
            <v>60024_3</v>
          </cell>
          <cell r="B621">
            <v>1</v>
          </cell>
          <cell r="C621">
            <v>60024</v>
          </cell>
          <cell r="D621" t="str">
            <v>【木曜限定】 緑の素材verハンプ検証</v>
          </cell>
          <cell r="E621" t="str">
            <v>検証</v>
          </cell>
          <cell r="F621">
            <v>3</v>
          </cell>
          <cell r="G621" t="str">
            <v>ja</v>
          </cell>
          <cell r="H621" t="str">
            <v>【上級】ハンプティ検証</v>
          </cell>
          <cell r="I621" t="str">
            <v>上級</v>
          </cell>
          <cell r="J621">
            <v>84</v>
          </cell>
          <cell r="K621">
            <v>20</v>
          </cell>
          <cell r="L621">
            <v>860</v>
          </cell>
          <cell r="M621">
            <v>1</v>
          </cell>
          <cell r="N621">
            <v>1</v>
          </cell>
          <cell r="O621">
            <v>1</v>
          </cell>
          <cell r="P621">
            <v>1</v>
          </cell>
          <cell r="Q621">
            <v>1</v>
          </cell>
          <cell r="R621">
            <v>3</v>
          </cell>
          <cell r="S621" t="str">
            <v>none</v>
          </cell>
          <cell r="T621">
            <v>0</v>
          </cell>
          <cell r="U621" t="str">
            <v>NULL</v>
          </cell>
          <cell r="V621" t="str">
            <v>NULL</v>
          </cell>
          <cell r="W621" t="str">
            <v/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 t="str">
            <v>anytime</v>
          </cell>
          <cell r="AC621">
            <v>101</v>
          </cell>
          <cell r="AD621">
            <v>6</v>
          </cell>
          <cell r="AE621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6011</v>
          </cell>
        </row>
        <row r="1071">
          <cell r="A1071">
            <v>6012</v>
          </cell>
        </row>
        <row r="1072">
          <cell r="A1072">
            <v>6013</v>
          </cell>
        </row>
        <row r="1073">
          <cell r="A1073">
            <v>6014</v>
          </cell>
        </row>
        <row r="1074">
          <cell r="A1074">
            <v>6015</v>
          </cell>
        </row>
        <row r="1075">
          <cell r="A1075">
            <v>6016</v>
          </cell>
        </row>
        <row r="1076">
          <cell r="A1076">
            <v>6017</v>
          </cell>
        </row>
        <row r="1077">
          <cell r="A1077">
            <v>6018</v>
          </cell>
        </row>
        <row r="1078">
          <cell r="A1078">
            <v>6019</v>
          </cell>
        </row>
        <row r="1079">
          <cell r="A1079">
            <v>6020</v>
          </cell>
        </row>
        <row r="1080">
          <cell r="A1080">
            <v>8001</v>
          </cell>
        </row>
        <row r="1081">
          <cell r="A1081">
            <v>8002</v>
          </cell>
        </row>
        <row r="1082">
          <cell r="A1082">
            <v>8003</v>
          </cell>
        </row>
        <row r="1083">
          <cell r="A1083">
            <v>8004</v>
          </cell>
        </row>
        <row r="1084">
          <cell r="A1084">
            <v>8005</v>
          </cell>
        </row>
        <row r="1085">
          <cell r="A1085">
            <v>8006</v>
          </cell>
        </row>
        <row r="1086">
          <cell r="A1086">
            <v>8007</v>
          </cell>
        </row>
        <row r="1087">
          <cell r="A1087">
            <v>8008</v>
          </cell>
        </row>
        <row r="1088">
          <cell r="A1088">
            <v>8009</v>
          </cell>
        </row>
        <row r="1089">
          <cell r="A1089">
            <v>8010</v>
          </cell>
        </row>
        <row r="1090">
          <cell r="A1090">
            <v>8011</v>
          </cell>
        </row>
        <row r="1091">
          <cell r="A1091">
            <v>8012</v>
          </cell>
        </row>
        <row r="1092">
          <cell r="A1092">
            <v>8013</v>
          </cell>
        </row>
        <row r="1093">
          <cell r="A1093">
            <v>8014</v>
          </cell>
        </row>
        <row r="1094">
          <cell r="A1094">
            <v>8015</v>
          </cell>
        </row>
        <row r="1095">
          <cell r="A1095">
            <v>8016</v>
          </cell>
        </row>
        <row r="1096">
          <cell r="A1096">
            <v>8017</v>
          </cell>
        </row>
        <row r="1097">
          <cell r="A1097">
            <v>8018</v>
          </cell>
        </row>
        <row r="1098">
          <cell r="A1098">
            <v>8019</v>
          </cell>
        </row>
        <row r="1099">
          <cell r="A1099">
            <v>8020</v>
          </cell>
        </row>
        <row r="1100">
          <cell r="A1100">
            <v>8021</v>
          </cell>
        </row>
        <row r="1101">
          <cell r="A1101">
            <v>8022</v>
          </cell>
        </row>
        <row r="1102">
          <cell r="A1102">
            <v>8023</v>
          </cell>
        </row>
        <row r="1103">
          <cell r="A1103">
            <v>8024</v>
          </cell>
        </row>
        <row r="1104">
          <cell r="A1104">
            <v>8025</v>
          </cell>
        </row>
        <row r="1105">
          <cell r="A1105">
            <v>8026</v>
          </cell>
        </row>
        <row r="1106">
          <cell r="A1106">
            <v>8027</v>
          </cell>
        </row>
        <row r="1107">
          <cell r="A1107">
            <v>8028</v>
          </cell>
        </row>
        <row r="1108">
          <cell r="A1108">
            <v>8029</v>
          </cell>
        </row>
        <row r="1109">
          <cell r="A1109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6001</v>
          </cell>
        </row>
        <row r="1061">
          <cell r="A1061">
            <v>6002</v>
          </cell>
        </row>
        <row r="1062">
          <cell r="A1062">
            <v>6003</v>
          </cell>
        </row>
        <row r="1063">
          <cell r="A1063">
            <v>6004</v>
          </cell>
        </row>
        <row r="1064">
          <cell r="A1064">
            <v>6005</v>
          </cell>
        </row>
        <row r="1065">
          <cell r="A1065">
            <v>6006</v>
          </cell>
        </row>
        <row r="1066">
          <cell r="A1066">
            <v>6007</v>
          </cell>
        </row>
        <row r="1067">
          <cell r="A1067">
            <v>6008</v>
          </cell>
        </row>
        <row r="1068">
          <cell r="A1068">
            <v>6009</v>
          </cell>
        </row>
        <row r="1069">
          <cell r="A1069">
            <v>6010</v>
          </cell>
        </row>
        <row r="1070">
          <cell r="A1070">
            <v>6011</v>
          </cell>
        </row>
        <row r="1071">
          <cell r="A1071">
            <v>6012</v>
          </cell>
        </row>
        <row r="1072">
          <cell r="A1072">
            <v>6013</v>
          </cell>
        </row>
        <row r="1073">
          <cell r="A1073">
            <v>6014</v>
          </cell>
        </row>
        <row r="1074">
          <cell r="A1074">
            <v>6015</v>
          </cell>
        </row>
        <row r="1075">
          <cell r="A1075">
            <v>6016</v>
          </cell>
        </row>
        <row r="1076">
          <cell r="A1076">
            <v>6017</v>
          </cell>
        </row>
        <row r="1077">
          <cell r="A1077">
            <v>6018</v>
          </cell>
        </row>
        <row r="1078">
          <cell r="A1078">
            <v>6019</v>
          </cell>
        </row>
        <row r="1079">
          <cell r="A1079">
            <v>6020</v>
          </cell>
        </row>
        <row r="1080">
          <cell r="A1080">
            <v>8001</v>
          </cell>
        </row>
        <row r="1081">
          <cell r="A1081">
            <v>8002</v>
          </cell>
        </row>
        <row r="1082">
          <cell r="A1082">
            <v>8003</v>
          </cell>
        </row>
        <row r="1083">
          <cell r="A1083">
            <v>8004</v>
          </cell>
        </row>
        <row r="1084">
          <cell r="A1084">
            <v>8005</v>
          </cell>
        </row>
        <row r="1085">
          <cell r="A1085">
            <v>8006</v>
          </cell>
        </row>
        <row r="1086">
          <cell r="A1086">
            <v>8007</v>
          </cell>
        </row>
        <row r="1087">
          <cell r="A1087">
            <v>8008</v>
          </cell>
        </row>
        <row r="1088">
          <cell r="A1088">
            <v>8009</v>
          </cell>
        </row>
        <row r="1089">
          <cell r="A1089">
            <v>8010</v>
          </cell>
        </row>
        <row r="1090">
          <cell r="A1090">
            <v>8011</v>
          </cell>
        </row>
        <row r="1091">
          <cell r="A1091">
            <v>8012</v>
          </cell>
        </row>
        <row r="1092">
          <cell r="A1092">
            <v>8013</v>
          </cell>
        </row>
        <row r="1093">
          <cell r="A1093">
            <v>8014</v>
          </cell>
        </row>
        <row r="1094">
          <cell r="A1094">
            <v>8015</v>
          </cell>
        </row>
        <row r="1095">
          <cell r="A1095">
            <v>8016</v>
          </cell>
        </row>
        <row r="1096">
          <cell r="A1096">
            <v>8017</v>
          </cell>
        </row>
        <row r="1097">
          <cell r="A1097">
            <v>8018</v>
          </cell>
        </row>
        <row r="1098">
          <cell r="A1098">
            <v>8019</v>
          </cell>
        </row>
        <row r="1099">
          <cell r="A1099">
            <v>8020</v>
          </cell>
        </row>
        <row r="1100">
          <cell r="A1100">
            <v>8021</v>
          </cell>
        </row>
        <row r="1101">
          <cell r="A1101">
            <v>8022</v>
          </cell>
        </row>
        <row r="1102">
          <cell r="A1102">
            <v>8023</v>
          </cell>
        </row>
        <row r="1103">
          <cell r="A1103">
            <v>8024</v>
          </cell>
        </row>
        <row r="1104">
          <cell r="A1104">
            <v>8025</v>
          </cell>
        </row>
        <row r="1105">
          <cell r="A1105">
            <v>8026</v>
          </cell>
        </row>
        <row r="1106">
          <cell r="A1106">
            <v>8027</v>
          </cell>
        </row>
        <row r="1107">
          <cell r="A1107">
            <v>8028</v>
          </cell>
        </row>
        <row r="1108">
          <cell r="A1108">
            <v>8029</v>
          </cell>
        </row>
        <row r="1109">
          <cell r="A110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E23" sqref="E2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129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 x14ac:dyDescent="0.15">
      <c r="A2" s="61" t="s">
        <v>212</v>
      </c>
      <c r="B2" s="57" t="s">
        <v>105</v>
      </c>
      <c r="C2" s="62">
        <v>48001</v>
      </c>
      <c r="D2" s="57" t="s">
        <v>106</v>
      </c>
      <c r="E2" s="56" t="str">
        <f>B2&amp;C2&amp;D2</f>
        <v>floors_48001.tmp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 x14ac:dyDescent="0.15">
      <c r="A3" s="61" t="s">
        <v>212</v>
      </c>
      <c r="B3" s="57" t="s">
        <v>108</v>
      </c>
      <c r="C3" s="62">
        <f>C$2</f>
        <v>48001</v>
      </c>
      <c r="D3" s="57" t="s">
        <v>106</v>
      </c>
      <c r="E3" s="56" t="str">
        <f>B3&amp;C3&amp;D3</f>
        <v>enemy_habitats_48001.tmp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177</v>
      </c>
    </row>
    <row r="4" spans="1:30" x14ac:dyDescent="0.15">
      <c r="A4" s="61" t="s">
        <v>212</v>
      </c>
      <c r="B4" s="57" t="s">
        <v>110</v>
      </c>
      <c r="C4" s="62">
        <f t="shared" ref="C4:C12" si="0">C$2</f>
        <v>48001</v>
      </c>
      <c r="D4" s="57" t="s">
        <v>106</v>
      </c>
      <c r="E4" s="56" t="str">
        <f>B4&amp;C4&amp;D4</f>
        <v>enemy_habitat_S_48001.tmp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 x14ac:dyDescent="0.15">
      <c r="A5" s="61" t="s">
        <v>212</v>
      </c>
      <c r="B5" s="57" t="s">
        <v>112</v>
      </c>
      <c r="C5" s="62">
        <f t="shared" si="0"/>
        <v>48001</v>
      </c>
      <c r="D5" s="57" t="s">
        <v>106</v>
      </c>
      <c r="E5" s="56" t="str">
        <f>B5&amp;C5&amp;D5</f>
        <v>enemy_skill_sets_48001.tmp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 x14ac:dyDescent="0.15">
      <c r="A6" s="61" t="s">
        <v>212</v>
      </c>
      <c r="B6" s="57" t="s">
        <v>114</v>
      </c>
      <c r="C6" s="62">
        <f t="shared" si="0"/>
        <v>48001</v>
      </c>
      <c r="D6" s="57" t="s">
        <v>115</v>
      </c>
      <c r="E6" s="56" t="str">
        <f t="shared" ref="E6:E10" si="1">B6&amp;C6&amp;D6</f>
        <v>enemy_skills_tmp_48001.tmp</v>
      </c>
      <c r="F6" s="57" t="s">
        <v>89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 x14ac:dyDescent="0.15">
      <c r="A7" s="61" t="s">
        <v>212</v>
      </c>
      <c r="B7" s="57" t="s">
        <v>116</v>
      </c>
      <c r="C7" s="62">
        <f t="shared" si="0"/>
        <v>48001</v>
      </c>
      <c r="D7" s="57" t="s">
        <v>106</v>
      </c>
      <c r="E7" s="56" t="str">
        <f>B7&amp;C7&amp;D7</f>
        <v>enemy_skills_i18n_48001.tmp</v>
      </c>
      <c r="F7" s="57" t="s">
        <v>117</v>
      </c>
      <c r="G7" s="58" t="s">
        <v>79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 x14ac:dyDescent="0.15">
      <c r="A8" s="61" t="s">
        <v>212</v>
      </c>
      <c r="B8" s="57" t="s">
        <v>118</v>
      </c>
      <c r="C8" s="62">
        <f t="shared" si="0"/>
        <v>48001</v>
      </c>
      <c r="D8" s="57" t="s">
        <v>119</v>
      </c>
      <c r="E8" s="56" t="str">
        <f t="shared" si="1"/>
        <v>enemy_skill_triggers_48001.tmp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 x14ac:dyDescent="0.15">
      <c r="A9" s="61" t="s">
        <v>212</v>
      </c>
      <c r="B9" s="67" t="s">
        <v>176</v>
      </c>
      <c r="C9" s="62">
        <f t="shared" si="0"/>
        <v>48001</v>
      </c>
      <c r="D9" s="67" t="s">
        <v>170</v>
      </c>
      <c r="E9" s="68" t="str">
        <f t="shared" si="1"/>
        <v>stage_bug_bonuses_48001.tmp</v>
      </c>
      <c r="F9" s="67" t="s">
        <v>171</v>
      </c>
      <c r="G9" s="64" t="s">
        <v>149</v>
      </c>
      <c r="H9" s="64" t="s">
        <v>172</v>
      </c>
      <c r="I9" s="64" t="s">
        <v>173</v>
      </c>
      <c r="J9" s="66" t="s">
        <v>174</v>
      </c>
      <c r="K9" s="64" t="s">
        <v>175</v>
      </c>
      <c r="L9" s="64" t="s">
        <v>155</v>
      </c>
      <c r="M9" s="64" t="s">
        <v>156</v>
      </c>
      <c r="N9" s="64" t="s">
        <v>157</v>
      </c>
      <c r="O9" s="64" t="s">
        <v>158</v>
      </c>
      <c r="P9" s="64" t="s">
        <v>159</v>
      </c>
      <c r="Q9" s="64" t="s">
        <v>160</v>
      </c>
      <c r="R9" s="64" t="s">
        <v>161</v>
      </c>
      <c r="S9" s="64" t="s">
        <v>162</v>
      </c>
      <c r="T9" s="64" t="s">
        <v>163</v>
      </c>
      <c r="U9" s="64" t="s">
        <v>164</v>
      </c>
      <c r="V9" s="64" t="s">
        <v>165</v>
      </c>
      <c r="W9" s="64" t="s">
        <v>166</v>
      </c>
    </row>
    <row r="10" spans="1:30" s="75" customFormat="1" x14ac:dyDescent="0.15">
      <c r="A10" s="61" t="s">
        <v>212</v>
      </c>
      <c r="B10" s="67" t="s">
        <v>200</v>
      </c>
      <c r="C10" s="62">
        <f>C$2</f>
        <v>48001</v>
      </c>
      <c r="D10" s="67" t="s">
        <v>179</v>
      </c>
      <c r="E10" s="68" t="str">
        <f t="shared" si="1"/>
        <v>stage_hints_data_c_48001.tmp</v>
      </c>
      <c r="F10" s="67" t="s">
        <v>208</v>
      </c>
      <c r="G10" s="72" t="s">
        <v>180</v>
      </c>
      <c r="H10" s="72" t="s">
        <v>172</v>
      </c>
      <c r="I10" s="73" t="s">
        <v>181</v>
      </c>
      <c r="J10" s="66" t="s">
        <v>182</v>
      </c>
      <c r="K10" s="74" t="s">
        <v>183</v>
      </c>
    </row>
    <row r="11" spans="1:30" s="75" customFormat="1" x14ac:dyDescent="0.15">
      <c r="A11" s="61" t="s">
        <v>212</v>
      </c>
      <c r="B11" s="67" t="s">
        <v>201</v>
      </c>
      <c r="C11" s="62">
        <f t="shared" si="0"/>
        <v>48001</v>
      </c>
      <c r="D11" s="67" t="s">
        <v>170</v>
      </c>
      <c r="E11" s="68" t="str">
        <f t="shared" ref="E11:E12" si="2">B11&amp;C11&amp;D11</f>
        <v>stage_hints_data_f_48001.tmp</v>
      </c>
      <c r="F11" s="67" t="s">
        <v>210</v>
      </c>
      <c r="G11" s="72" t="s">
        <v>180</v>
      </c>
      <c r="H11" s="72" t="s">
        <v>172</v>
      </c>
      <c r="I11" s="73" t="s">
        <v>181</v>
      </c>
      <c r="J11" s="66" t="s">
        <v>182</v>
      </c>
      <c r="K11" s="74" t="s">
        <v>183</v>
      </c>
    </row>
    <row r="12" spans="1:30" s="75" customFormat="1" x14ac:dyDescent="0.15">
      <c r="A12" s="61" t="s">
        <v>212</v>
      </c>
      <c r="B12" s="67" t="s">
        <v>202</v>
      </c>
      <c r="C12" s="62">
        <f t="shared" si="0"/>
        <v>48001</v>
      </c>
      <c r="D12" s="67" t="s">
        <v>170</v>
      </c>
      <c r="E12" s="68" t="str">
        <f t="shared" si="2"/>
        <v>stage_hints_i18n_48001.tmp</v>
      </c>
      <c r="F12" s="67" t="s">
        <v>211</v>
      </c>
      <c r="G12" s="73" t="s">
        <v>203</v>
      </c>
      <c r="H12" s="95" t="s">
        <v>204</v>
      </c>
      <c r="I12" s="72" t="s">
        <v>205</v>
      </c>
      <c r="J12" s="96" t="s">
        <v>206</v>
      </c>
      <c r="K12" s="74" t="s">
        <v>207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K13" sqref="K13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48001_1-1</v>
      </c>
      <c r="B2" s="16" t="str">
        <f>IF(COUNTIF(enemy_habitats!$H:$H,A2),"OK","NG")</f>
        <v>OK</v>
      </c>
      <c r="C2" s="7">
        <v>48001</v>
      </c>
      <c r="D2" s="11" t="str">
        <f ca="1">VLOOKUP($C2,OFFSET([2]quests!$A$1,0,0,COUNTA([2]quests!$A:$A),MATCH(D$1,[2]quests!$1:$1,0)-MATCH($C$1,[2]quests!$1:$1,0)+1),MATCH(D$1,[2]quests!$1:$1,0)-MATCH($C$1,[2]quests!$1:$1,0)+1,FALSE)</f>
        <v>蛟龍襲来！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台湾版降臨1</v>
      </c>
      <c r="F2" s="21">
        <v>1</v>
      </c>
      <c r="G2" s="23" t="str">
        <f>C2&amp;"_"&amp;F2</f>
        <v>48001_1</v>
      </c>
      <c r="H2" s="15" t="str">
        <f ca="1">VLOOKUP($G2,OFFSET([2]stages!$A$1,0,0,COUNTA([2]stages!$A:$A),MATCH(H$1,[2]stages!$2:$2,0)-MATCH($G$1,[2]stages!$2:$2,0)+1),MATCH(H$1,[2]stages!$2:$2,0)-MATCH($G$1,[2]stages!$2:$2,0)+1,FALSE)</f>
        <v>【ウィザード級】蛟龍襲来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5" si="0">G3&amp;"-"&amp;I3</f>
        <v>48001_1-2</v>
      </c>
      <c r="B3" s="16" t="str">
        <f>IF(COUNTIF(enemy_habitats!$H:$H,A3),"OK","NG")</f>
        <v>OK</v>
      </c>
      <c r="C3" s="7">
        <v>48001</v>
      </c>
      <c r="D3" s="11" t="str">
        <f ca="1">VLOOKUP($C3,OFFSET([2]quests!$A$1,0,0,COUNTA([2]quests!$A:$A),MATCH(D$1,[2]quests!$1:$1,0)-MATCH($C$1,[2]quests!$1:$1,0)+1),MATCH(D$1,[2]quests!$1:$1,0)-MATCH($C$1,[2]quests!$1:$1,0)+1,FALSE)</f>
        <v>蛟龍襲来！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台湾版降臨1</v>
      </c>
      <c r="F3" s="21">
        <v>1</v>
      </c>
      <c r="G3" s="23" t="str">
        <f t="shared" ref="G3:G5" si="1">C3&amp;"_"&amp;F3</f>
        <v>48001_1</v>
      </c>
      <c r="H3" s="15" t="str">
        <f ca="1">VLOOKUP($G3,OFFSET([2]stages!$A$1,0,0,COUNTA([2]stages!$A:$A),MATCH(H$1,[2]stages!$2:$2,0)-MATCH($G$1,[2]stages!$2:$2,0)+1),MATCH(H$1,[2]stages!$2:$2,0)-MATCH($G$1,[2]stages!$2:$2,0)+1,FALSE)</f>
        <v>【ウィザード級】蛟龍襲来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48001_1-3</v>
      </c>
      <c r="B4" s="16" t="str">
        <f>IF(COUNTIF(enemy_habitats!$H:$H,A4),"OK","NG")</f>
        <v>OK</v>
      </c>
      <c r="C4" s="7">
        <v>48001</v>
      </c>
      <c r="D4" s="11" t="str">
        <f ca="1">VLOOKUP($C4,OFFSET([2]quests!$A$1,0,0,COUNTA([2]quests!$A:$A),MATCH(D$1,[2]quests!$1:$1,0)-MATCH($C$1,[2]quests!$1:$1,0)+1),MATCH(D$1,[2]quests!$1:$1,0)-MATCH($C$1,[2]quests!$1:$1,0)+1,FALSE)</f>
        <v>蛟龍襲来！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台湾版降臨1</v>
      </c>
      <c r="F4" s="21">
        <v>1</v>
      </c>
      <c r="G4" s="23" t="str">
        <f t="shared" si="1"/>
        <v>48001_1</v>
      </c>
      <c r="H4" s="15" t="str">
        <f ca="1">VLOOKUP($G4,OFFSET([2]stages!$A$1,0,0,COUNTA([2]stages!$A:$A),MATCH(H$1,[2]stages!$2:$2,0)-MATCH($G$1,[2]stages!$2:$2,0)+1),MATCH(H$1,[2]stages!$2:$2,0)-MATCH($G$1,[2]stages!$2:$2,0)+1,FALSE)</f>
        <v>【ウィザード級】蛟龍襲来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48001_1-4</v>
      </c>
      <c r="B5" s="16" t="str">
        <f>IF(COUNTIF(enemy_habitats!$H:$H,A5),"OK","NG")</f>
        <v>OK</v>
      </c>
      <c r="C5" s="7">
        <v>48001</v>
      </c>
      <c r="D5" s="11" t="str">
        <f ca="1">VLOOKUP($C5,OFFSET([2]quests!$A$1,0,0,COUNTA([2]quests!$A:$A),MATCH(D$1,[2]quests!$1:$1,0)-MATCH($C$1,[2]quests!$1:$1,0)+1),MATCH(D$1,[2]quests!$1:$1,0)-MATCH($C$1,[2]quests!$1:$1,0)+1,FALSE)</f>
        <v>蛟龍襲来！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台湾版降臨1</v>
      </c>
      <c r="F5" s="21">
        <v>1</v>
      </c>
      <c r="G5" s="23" t="str">
        <f t="shared" si="1"/>
        <v>48001_1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【ウィザード級】蛟龍襲来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0"/>
  <sheetViews>
    <sheetView showGridLines="0" zoomScale="75" zoomScaleNormal="75" zoomScalePageLayoutView="75" workbookViewId="0">
      <pane xSplit="17" ySplit="1" topLeftCell="T2" activePane="bottomRight" state="frozen"/>
      <selection pane="topRight" activeCell="N1" sqref="N1"/>
      <selection pane="bottomLeft" activeCell="A2" sqref="A2"/>
      <selection pane="bottomRight" activeCell="T15" sqref="T15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16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6.33203125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178</v>
      </c>
    </row>
    <row r="2" spans="1:40" ht="21" customHeight="1" x14ac:dyDescent="0.15">
      <c r="A2" s="16" t="str">
        <f>B2&amp;"_"&amp;C2&amp;"-"&amp;G2&amp;"/"&amp;L2&amp;"&lt;lv"&amp;R2&amp;"&gt;s"&amp;AA2</f>
        <v>48001_1-1/146&lt;lv70&gt;s2</v>
      </c>
      <c r="B2" s="22">
        <v>48001</v>
      </c>
      <c r="C2" s="21">
        <v>1</v>
      </c>
      <c r="D2" s="2" t="str">
        <f>B2&amp;"_"&amp;C2</f>
        <v>48001_1</v>
      </c>
      <c r="E2" s="4" t="str">
        <f ca="1">VLOOKUP($B2,OFFSET([2]quests!$A$1,0,0,COUNTA([2]quests!$A:$A),MATCH(E$1,[2]quests!$1:$1,0)-MATCH($B$1,[2]quests!$1:$1,0)+1),MATCH(E$1,[2]quests!$1:$1,0)-MATCH($B$1,[2]quests!$1:$1,0)+1,FALSE)</f>
        <v>蛟龍襲来！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【ウィザード級】蛟龍襲来</v>
      </c>
      <c r="G2" s="21">
        <v>1</v>
      </c>
      <c r="H2" s="15" t="str">
        <f>B2&amp;"_"&amp;C2&amp;"-"&amp;G2</f>
        <v>48001_1-1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146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マーメイド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70</v>
      </c>
      <c r="S2" s="25">
        <v>2</v>
      </c>
      <c r="T2" s="25">
        <v>1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全体攻撃</v>
      </c>
      <c r="W2" s="47">
        <v>48001101</v>
      </c>
      <c r="X2" s="6">
        <v>1</v>
      </c>
      <c r="Y2" s="6">
        <v>100</v>
      </c>
      <c r="Z2" s="6">
        <v>1</v>
      </c>
      <c r="AA2" s="17">
        <v>2</v>
      </c>
      <c r="AB2" s="24">
        <f>L2</f>
        <v>146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マーメイド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2" s="7">
        <v>1</v>
      </c>
      <c r="AG2" s="24">
        <f ca="1">AD2</f>
        <v>3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 x14ac:dyDescent="0.15">
      <c r="A3" s="16" t="str">
        <f>B3&amp;"_"&amp;C3&amp;"-"&amp;G3&amp;"/"&amp;L3&amp;"&lt;lv"&amp;R3&amp;"&gt;s"&amp;AA3</f>
        <v>48001_1-1/30&lt;lv70&gt;s1</v>
      </c>
      <c r="B3" s="22">
        <v>48001</v>
      </c>
      <c r="C3" s="21">
        <v>1</v>
      </c>
      <c r="D3" s="2" t="str">
        <f>B3&amp;"_"&amp;C3</f>
        <v>48001_1</v>
      </c>
      <c r="E3" s="4" t="str">
        <f ca="1">VLOOKUP($B3,OFFSET([2]quests!$A$1,0,0,COUNTA([2]quests!$A:$A),MATCH(E$1,[2]quests!$1:$1,0)-MATCH($B$1,[2]quests!$1:$1,0)+1),MATCH(E$1,[2]quests!$1:$1,0)-MATCH($B$1,[2]quests!$1:$1,0)+1,FALSE)</f>
        <v>蛟龍襲来！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【ウィザード級】蛟龍襲来</v>
      </c>
      <c r="G3" s="21">
        <v>1</v>
      </c>
      <c r="H3" s="15" t="str">
        <f>B3&amp;"_"&amp;C3&amp;"-"&amp;G3</f>
        <v>48001_1-1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30</v>
      </c>
      <c r="M3" s="17" t="str">
        <f ca="1">VLOOKUP($L3,OFFSET([3]enemies!$A$1,0,0,COUNTA([3]enemies!$A:$A),MATCH(M$1,[3]enemies!$1:$1,0)-MATCH($L$1,[3]enemies!$1:$1,0)+1),MATCH(M$1,[3]enemies!$1:$1,0)-MATCH($L$1,[3]enemies!$1:$1,0)+1,FALSE)</f>
        <v>護衛機人 スケアクロウ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70</v>
      </c>
      <c r="S3" s="25">
        <v>2</v>
      </c>
      <c r="T3" s="25">
        <v>1.1000000000000001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マーメイドの攻撃力UP</v>
      </c>
      <c r="W3" s="47">
        <v>48001102</v>
      </c>
      <c r="X3" s="6">
        <v>1</v>
      </c>
      <c r="Y3" s="6">
        <v>100</v>
      </c>
      <c r="Z3" s="6">
        <v>2</v>
      </c>
      <c r="AA3" s="17">
        <v>1</v>
      </c>
      <c r="AB3" s="24">
        <f>L3</f>
        <v>30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護衛機人 スケアクロウ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4">
        <f ca="1">AD3</f>
        <v>2</v>
      </c>
      <c r="AH3" s="8">
        <v>20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 x14ac:dyDescent="0.15">
      <c r="A4" s="16" t="str">
        <f t="shared" ref="A4:A8" si="0">B4&amp;"_"&amp;C4&amp;"-"&amp;G4&amp;"/"&amp;L4&amp;"&lt;lv"&amp;R4&amp;"&gt;s"&amp;AA4</f>
        <v>48001_1-1/6&lt;lv70&gt;s1</v>
      </c>
      <c r="B4" s="22">
        <v>48001</v>
      </c>
      <c r="C4" s="21">
        <v>1</v>
      </c>
      <c r="D4" s="2" t="str">
        <f t="shared" ref="D4:D8" si="1">B4&amp;"_"&amp;C4</f>
        <v>48001_1</v>
      </c>
      <c r="E4" s="4" t="str">
        <f ca="1">VLOOKUP($B4,OFFSET([2]quests!$A$1,0,0,COUNTA([2]quests!$A:$A),MATCH(E$1,[2]quests!$1:$1,0)-MATCH($B$1,[2]quests!$1:$1,0)+1),MATCH(E$1,[2]quests!$1:$1,0)-MATCH($B$1,[2]quests!$1:$1,0)+1,FALSE)</f>
        <v>蛟龍襲来！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【ウィザード級】蛟龍襲来</v>
      </c>
      <c r="G4" s="21">
        <v>1</v>
      </c>
      <c r="H4" s="15" t="str">
        <f t="shared" ref="H4:H8" si="2">B4&amp;"_"&amp;C4&amp;"-"&amp;G4</f>
        <v>48001_1-1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6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パトドッグリーダー ポチ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Drop1T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70</v>
      </c>
      <c r="S4" s="25">
        <v>2</v>
      </c>
      <c r="T4" s="25">
        <v>1.1000000000000001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マーメイドの防御力UP</v>
      </c>
      <c r="W4" s="47">
        <v>48001103</v>
      </c>
      <c r="X4" s="6">
        <v>1</v>
      </c>
      <c r="Y4" s="6">
        <v>100</v>
      </c>
      <c r="Z4" s="6">
        <v>2</v>
      </c>
      <c r="AA4" s="17">
        <v>1</v>
      </c>
      <c r="AB4" s="24">
        <f t="shared" ref="AB4:AB8" si="3">L4</f>
        <v>6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パトドッグリーダー ポチ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2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Drop1T</v>
      </c>
      <c r="AF4" s="7">
        <v>1</v>
      </c>
      <c r="AG4" s="24">
        <f t="shared" ref="AG4:AG8" ca="1" si="4">AD4</f>
        <v>2</v>
      </c>
      <c r="AH4" s="8">
        <v>20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 x14ac:dyDescent="0.15">
      <c r="A5" s="16" t="str">
        <f t="shared" si="0"/>
        <v>48001_1-2/26&lt;lv70&gt;s1</v>
      </c>
      <c r="B5" s="22">
        <v>48001</v>
      </c>
      <c r="C5" s="21">
        <v>1</v>
      </c>
      <c r="D5" s="2" t="str">
        <f t="shared" si="1"/>
        <v>48001_1</v>
      </c>
      <c r="E5" s="4" t="str">
        <f ca="1">VLOOKUP($B5,OFFSET([2]quests!$A$1,0,0,COUNTA([2]quests!$A:$A),MATCH(E$1,[2]quests!$1:$1,0)-MATCH($B$1,[2]quests!$1:$1,0)+1),MATCH(E$1,[2]quests!$1:$1,0)-MATCH($B$1,[2]quests!$1:$1,0)+1,FALSE)</f>
        <v>蛟龍襲来！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【ウィザード級】蛟龍襲来</v>
      </c>
      <c r="G5" s="21">
        <v>2</v>
      </c>
      <c r="H5" s="15" t="str">
        <f t="shared" si="2"/>
        <v>48001_1-2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26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勇犬 ハチ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70</v>
      </c>
      <c r="S5" s="25">
        <v>2</v>
      </c>
      <c r="T5" s="25">
        <v>1.4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連続攻撃</v>
      </c>
      <c r="W5" s="47">
        <v>48001104</v>
      </c>
      <c r="X5" s="6">
        <v>1</v>
      </c>
      <c r="Y5" s="6">
        <v>100</v>
      </c>
      <c r="Z5" s="6">
        <v>1</v>
      </c>
      <c r="AA5" s="17">
        <v>1</v>
      </c>
      <c r="AB5" s="24">
        <f t="shared" si="3"/>
        <v>26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勇犬 ハチ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7">
        <v>1</v>
      </c>
      <c r="AG5" s="24">
        <f t="shared" ca="1" si="4"/>
        <v>2</v>
      </c>
      <c r="AH5" s="8">
        <v>20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 x14ac:dyDescent="0.15">
      <c r="A6" s="16" t="str">
        <f t="shared" si="0"/>
        <v>48001_1-2/61&lt;lv70&gt;s1</v>
      </c>
      <c r="B6" s="22">
        <v>48001</v>
      </c>
      <c r="C6" s="21">
        <v>1</v>
      </c>
      <c r="D6" s="2" t="str">
        <f t="shared" si="1"/>
        <v>48001_1</v>
      </c>
      <c r="E6" s="4" t="str">
        <f ca="1">VLOOKUP($B6,OFFSET([2]quests!$A$1,0,0,COUNTA([2]quests!$A:$A),MATCH(E$1,[2]quests!$1:$1,0)-MATCH($B$1,[2]quests!$1:$1,0)+1),MATCH(E$1,[2]quests!$1:$1,0)-MATCH($B$1,[2]quests!$1:$1,0)+1,FALSE)</f>
        <v>蛟龍襲来！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【ウィザード級】蛟龍襲来</v>
      </c>
      <c r="G6" s="21">
        <v>2</v>
      </c>
      <c r="H6" s="15" t="str">
        <f t="shared" si="2"/>
        <v>48001_1-2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61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クロウ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70</v>
      </c>
      <c r="S6" s="25">
        <v>2</v>
      </c>
      <c r="T6" s="25">
        <v>1.2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1ターンスキルバインド</v>
      </c>
      <c r="W6" s="47">
        <v>48001105</v>
      </c>
      <c r="X6" s="6">
        <v>1</v>
      </c>
      <c r="Y6" s="6">
        <v>100</v>
      </c>
      <c r="Z6" s="6">
        <v>2</v>
      </c>
      <c r="AA6" s="17">
        <v>1</v>
      </c>
      <c r="AB6" s="24">
        <f t="shared" si="3"/>
        <v>61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クロウ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Drop1N</v>
      </c>
      <c r="AF6" s="7">
        <v>1</v>
      </c>
      <c r="AG6" s="24">
        <f t="shared" ca="1" si="4"/>
        <v>2</v>
      </c>
      <c r="AH6" s="8">
        <v>20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 x14ac:dyDescent="0.15">
      <c r="A7" s="16" t="str">
        <f t="shared" si="0"/>
        <v>48001_1-2/45&lt;lv70&gt;s1</v>
      </c>
      <c r="B7" s="22">
        <v>48001</v>
      </c>
      <c r="C7" s="21">
        <v>1</v>
      </c>
      <c r="D7" s="2" t="str">
        <f t="shared" si="1"/>
        <v>48001_1</v>
      </c>
      <c r="E7" s="4" t="str">
        <f ca="1">VLOOKUP($B7,OFFSET([2]quests!$A$1,0,0,COUNTA([2]quests!$A:$A),MATCH(E$1,[2]quests!$1:$1,0)-MATCH($B$1,[2]quests!$1:$1,0)+1),MATCH(E$1,[2]quests!$1:$1,0)-MATCH($B$1,[2]quests!$1:$1,0)+1,FALSE)</f>
        <v>蛟龍襲来！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【ウィザード級】蛟龍襲来</v>
      </c>
      <c r="G7" s="21">
        <v>2</v>
      </c>
      <c r="H7" s="15" t="str">
        <f t="shared" si="2"/>
        <v>48001_1-2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45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ショウイン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70</v>
      </c>
      <c r="S7" s="25">
        <v>2</v>
      </c>
      <c r="T7" s="25">
        <v>1.2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全体回復</v>
      </c>
      <c r="W7" s="47">
        <v>48001106</v>
      </c>
      <c r="X7" s="6">
        <v>1</v>
      </c>
      <c r="Y7" s="6">
        <v>100</v>
      </c>
      <c r="Z7" s="6">
        <v>2</v>
      </c>
      <c r="AA7" s="17">
        <v>1</v>
      </c>
      <c r="AB7" s="24">
        <f t="shared" si="3"/>
        <v>45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ショウイン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Drop1N</v>
      </c>
      <c r="AF7" s="7">
        <v>1</v>
      </c>
      <c r="AG7" s="24">
        <f t="shared" ca="1" si="4"/>
        <v>2</v>
      </c>
      <c r="AH7" s="8">
        <v>20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 x14ac:dyDescent="0.15">
      <c r="A8" s="16" t="str">
        <f t="shared" si="0"/>
        <v>48001_1-3/209&lt;lv70&gt;s2</v>
      </c>
      <c r="B8" s="22">
        <v>48001</v>
      </c>
      <c r="C8" s="21">
        <v>1</v>
      </c>
      <c r="D8" s="2" t="str">
        <f t="shared" si="1"/>
        <v>48001_1</v>
      </c>
      <c r="E8" s="4" t="str">
        <f ca="1">VLOOKUP($B8,OFFSET([2]quests!$A$1,0,0,COUNTA([2]quests!$A:$A),MATCH(E$1,[2]quests!$1:$1,0)-MATCH($B$1,[2]quests!$1:$1,0)+1),MATCH(E$1,[2]quests!$1:$1,0)-MATCH($B$1,[2]quests!$1:$1,0)+1,FALSE)</f>
        <v>蛟龍襲来！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【ウィザード級】蛟龍襲来</v>
      </c>
      <c r="G8" s="21">
        <v>3</v>
      </c>
      <c r="H8" s="15" t="str">
        <f t="shared" si="2"/>
        <v>48001_1-3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 t="s">
        <v>53</v>
      </c>
      <c r="L8" s="20">
        <v>209</v>
      </c>
      <c r="M8" s="17" t="str">
        <f ca="1">VLOOKUP($L8,OFFSET([3]enemies!$A$1,0,0,COUNTA([3]enemies!$A:$A),MATCH(M$1,[3]enemies!$1:$1,0)-MATCH($L$1,[3]enemies!$1:$1,0)+1),MATCH(M$1,[3]enemies!$1:$1,0)-MATCH($L$1,[3]enemies!$1:$1,0)+1,FALSE)</f>
        <v>孤神 テティス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70</v>
      </c>
      <c r="S8" s="25">
        <v>2.1</v>
      </c>
      <c r="T8" s="25">
        <v>1.2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全体攻撃</v>
      </c>
      <c r="W8" s="47">
        <v>48001107</v>
      </c>
      <c r="X8" s="6">
        <v>1</v>
      </c>
      <c r="Y8" s="6">
        <v>100</v>
      </c>
      <c r="Z8" s="6">
        <v>1</v>
      </c>
      <c r="AA8" s="17">
        <v>2</v>
      </c>
      <c r="AB8" s="24">
        <f t="shared" si="3"/>
        <v>209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孤神 テティス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8" s="7">
        <v>1</v>
      </c>
      <c r="AG8" s="24">
        <f t="shared" ca="1" si="4"/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 x14ac:dyDescent="0.15">
      <c r="A9" s="16" t="str">
        <f t="shared" ref="A9:A10" si="5">B9&amp;"_"&amp;C9&amp;"-"&amp;G9&amp;"/"&amp;L9&amp;"&lt;lv"&amp;R9&amp;"&gt;s"&amp;AA9</f>
        <v>48001_1-3/173&lt;lv70&gt;s3</v>
      </c>
      <c r="B9" s="22">
        <v>48001</v>
      </c>
      <c r="C9" s="21">
        <v>1</v>
      </c>
      <c r="D9" s="2" t="str">
        <f t="shared" ref="D9:D10" si="6">B9&amp;"_"&amp;C9</f>
        <v>48001_1</v>
      </c>
      <c r="E9" s="4" t="str">
        <f ca="1">VLOOKUP($B9,OFFSET([2]quests!$A$1,0,0,COUNTA([2]quests!$A:$A),MATCH(E$1,[2]quests!$1:$1,0)-MATCH($B$1,[2]quests!$1:$1,0)+1),MATCH(E$1,[2]quests!$1:$1,0)-MATCH($B$1,[2]quests!$1:$1,0)+1,FALSE)</f>
        <v>蛟龍襲来！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【ウィザード級】蛟龍襲来</v>
      </c>
      <c r="G9" s="21">
        <v>3</v>
      </c>
      <c r="H9" s="15" t="str">
        <f t="shared" ref="H9:H10" si="7">B9&amp;"_"&amp;C9&amp;"-"&amp;G9</f>
        <v>48001_1-3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173</v>
      </c>
      <c r="M9" s="17" t="str">
        <f ca="1">VLOOKUP($L9,OFFSET([3]enemies!$A$1,0,0,COUNTA([3]enemies!$A:$A),MATCH(M$1,[3]enemies!$1:$1,0)-MATCH($L$1,[3]enemies!$1:$1,0)+1),MATCH(M$1,[3]enemies!$1:$1,0)-MATCH($L$1,[3]enemies!$1:$1,0)+1,FALSE)</f>
        <v>公爵 フォルネウス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70</v>
      </c>
      <c r="S9" s="25">
        <v>1.8</v>
      </c>
      <c r="T9" s="25">
        <v>1.1000000000000001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次のターンに大ダメージ＋スピードアップ</v>
      </c>
      <c r="W9" s="47">
        <v>48001108</v>
      </c>
      <c r="X9" s="6">
        <v>1</v>
      </c>
      <c r="Y9" s="6">
        <v>100</v>
      </c>
      <c r="Z9" s="6">
        <v>2</v>
      </c>
      <c r="AA9" s="17">
        <v>3</v>
      </c>
      <c r="AB9" s="24">
        <f t="shared" ref="AB9:AB10" si="8">L9</f>
        <v>173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公爵 フォルネウス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9" s="7">
        <v>1</v>
      </c>
      <c r="AG9" s="24">
        <f t="shared" ref="AG9:AG10" ca="1" si="9">AD9</f>
        <v>4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 x14ac:dyDescent="0.15">
      <c r="A10" s="16" t="str">
        <f t="shared" si="5"/>
        <v>48001_1-4/8003&lt;lv70&gt;s2</v>
      </c>
      <c r="B10" s="22">
        <v>48001</v>
      </c>
      <c r="C10" s="21">
        <v>1</v>
      </c>
      <c r="D10" s="2" t="str">
        <f t="shared" si="6"/>
        <v>48001_1</v>
      </c>
      <c r="E10" s="4" t="str">
        <f ca="1">VLOOKUP($B10,OFFSET([2]quests!$A$1,0,0,COUNTA([2]quests!$A:$A),MATCH(E$1,[2]quests!$1:$1,0)-MATCH($B$1,[2]quests!$1:$1,0)+1),MATCH(E$1,[2]quests!$1:$1,0)-MATCH($B$1,[2]quests!$1:$1,0)+1,FALSE)</f>
        <v>蛟龍襲来！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【ウィザード級】蛟龍襲来</v>
      </c>
      <c r="G10" s="21">
        <v>4</v>
      </c>
      <c r="H10" s="15" t="str">
        <f t="shared" si="7"/>
        <v>48001_1-4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1</v>
      </c>
      <c r="L10" s="20">
        <v>8003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蛟龍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dragon</v>
      </c>
      <c r="Q10" s="17">
        <f ca="1">VLOOKUP($L10,OFFSET([3]enemies!$A$1,0,0,COUNTA([3]enemies!$A:$A),MATCH(Q$1,[3]enemies!$1:$1,0)-MATCH($L$1,[3]enemies!$1:$1,0)+1),MATCH(Q$1,[3]enemies!$1:$1,0)-MATCH($L$1,[3]enemies!$1:$1,0)+1,FALSE)</f>
        <v>20</v>
      </c>
      <c r="R10" s="5">
        <v>70</v>
      </c>
      <c r="S10" s="25">
        <v>2.8</v>
      </c>
      <c r="T10" s="25">
        <v>1.2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 xml:space="preserve">3ターン防御力UP＋状態異常無効 </v>
      </c>
      <c r="W10" s="47">
        <v>48001109</v>
      </c>
      <c r="X10" s="6">
        <v>1</v>
      </c>
      <c r="Y10" s="6">
        <v>100</v>
      </c>
      <c r="Z10" s="6">
        <v>1</v>
      </c>
      <c r="AA10" s="17">
        <v>2</v>
      </c>
      <c r="AB10" s="24">
        <f t="shared" si="8"/>
        <v>8003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蛟龍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5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10" s="7">
        <v>1</v>
      </c>
      <c r="AG10" s="24">
        <f t="shared" ca="1" si="9"/>
        <v>5</v>
      </c>
      <c r="AH10" s="8">
        <v>30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2"/>
  <sheetViews>
    <sheetView showGridLines="0" tabSelected="1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G8" sqref="G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128</v>
      </c>
      <c r="X1" s="29" t="s">
        <v>127</v>
      </c>
      <c r="Y1" s="28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48001_1-4/8003&lt;lv70&gt;sq1st2</v>
      </c>
      <c r="B2" s="22">
        <v>48001</v>
      </c>
      <c r="C2" s="21">
        <v>1</v>
      </c>
      <c r="D2" s="2" t="str">
        <f>B2&amp;"_"&amp;C2</f>
        <v>48001_1</v>
      </c>
      <c r="E2" s="4" t="str">
        <f ca="1">VLOOKUP($B2,OFFSET([2]quests!$A$1,0,0,COUNTA([2]quests!$A:$A),MATCH(E$1,[2]quests!$1:$1,0)-MATCH($B$1,[2]quests!$1:$1,0)+1),MATCH(E$1,[2]quests!$1:$1,0)-MATCH($B$1,[2]quests!$1:$1,0)+1,FALSE)</f>
        <v>蛟龍襲来！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【ウィザード級】蛟龍襲来</v>
      </c>
      <c r="G2" s="21">
        <v>4</v>
      </c>
      <c r="H2" s="15" t="str">
        <f>B2&amp;"_"&amp;C2&amp;"-"&amp;G2</f>
        <v>48001_1-4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8003</v>
      </c>
      <c r="N2" s="17" t="str">
        <f ca="1">VLOOKUP($M2,OFFSET([3]enemies!$A$1,0,0,COUNTA([3]enemies!$A:$A),MATCH(N$1,[3]enemies!$1:$1,0)-MATCH($M$1,[3]enemies!$1:$1,0)+1),MATCH(N$1,[3]enemies!$1:$1,0)-MATCH($M$1,[3]enemies!$1:$1,0)+1,FALSE)</f>
        <v>蛟龍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7">
        <f ca="1">VLOOKUP($M2,OFFSET([3]enemies!$A$1,0,0,COUNTA([3]enemies!$A:$A),MATCH(R$1,[3]enemies!$1:$1,0)-MATCH($M$1,[3]enemies!$1:$1,0)+1),MATCH(R$1,[3]enemies!$1:$1,0)-MATCH($M$1,[3]enemies!$1:$1,0)+1,FALSE)</f>
        <v>20</v>
      </c>
      <c r="S2" s="5">
        <v>70</v>
      </c>
      <c r="T2" s="25">
        <v>2.8</v>
      </c>
      <c r="U2" s="25">
        <v>1.1000000000000001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#VALUE!</v>
      </c>
      <c r="X2" s="47">
        <v>48001110</v>
      </c>
      <c r="Y2" s="70">
        <v>1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2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N28" sqref="N28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48001101_48001100</v>
      </c>
      <c r="B2" s="47">
        <v>48001101</v>
      </c>
      <c r="C2" s="47">
        <v>48001100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スプラッシュバブル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" s="47">
        <v>48001100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2" s="114" t="s">
        <v>228</v>
      </c>
      <c r="Q2" s="115">
        <v>42516</v>
      </c>
      <c r="R2" s="47" t="s">
        <v>229</v>
      </c>
    </row>
    <row r="3" spans="1:18" ht="21" customHeight="1" x14ac:dyDescent="0.15">
      <c r="A3" s="39" t="str">
        <f t="shared" ref="A3:A22" si="1">B3&amp;"_"&amp;C3</f>
        <v>48001101_48001101</v>
      </c>
      <c r="B3" s="47">
        <v>48001101</v>
      </c>
      <c r="C3" s="47">
        <v>48001101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満潮ね…チャンスだわ！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スピードアップ</v>
      </c>
      <c r="F3" s="47">
        <v>48001101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114" t="s">
        <v>228</v>
      </c>
      <c r="Q3" s="115">
        <v>42516</v>
      </c>
      <c r="R3" s="47" t="s">
        <v>229</v>
      </c>
    </row>
    <row r="4" spans="1:18" ht="21" customHeight="1" x14ac:dyDescent="0.15">
      <c r="A4" s="39" t="str">
        <f t="shared" si="1"/>
        <v>48001102_48001102</v>
      </c>
      <c r="B4" s="47">
        <v>48001102</v>
      </c>
      <c r="C4" s="47">
        <v>48001102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サポートモード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マーメイドの攻撃力UP</v>
      </c>
      <c r="F4" s="47">
        <v>48001102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114" t="s">
        <v>228</v>
      </c>
      <c r="Q4" s="115">
        <v>42516</v>
      </c>
      <c r="R4" s="47" t="s">
        <v>230</v>
      </c>
    </row>
    <row r="5" spans="1:18" ht="21" customHeight="1" x14ac:dyDescent="0.15">
      <c r="A5" s="39" t="str">
        <f t="shared" si="1"/>
        <v>48001103_48001103</v>
      </c>
      <c r="B5" s="47">
        <v>48001103</v>
      </c>
      <c r="C5" s="47">
        <v>48001103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セキュリティモード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マーメイドの防御力UP</v>
      </c>
      <c r="F5" s="47">
        <v>48001103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114" t="s">
        <v>228</v>
      </c>
      <c r="Q5" s="115">
        <v>42516</v>
      </c>
      <c r="R5" s="47" t="s">
        <v>231</v>
      </c>
    </row>
    <row r="6" spans="1:18" ht="21" customHeight="1" x14ac:dyDescent="0.15">
      <c r="A6" s="39" t="str">
        <f t="shared" si="1"/>
        <v>48001104_48001104</v>
      </c>
      <c r="B6" s="47">
        <v>48001104</v>
      </c>
      <c r="C6" s="47">
        <v>48001104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ダブルタスク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連続攻撃</v>
      </c>
      <c r="F6" s="47">
        <v>48001104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6" s="114" t="s">
        <v>228</v>
      </c>
      <c r="Q6" s="115">
        <v>42516</v>
      </c>
      <c r="R6" s="47" t="s">
        <v>232</v>
      </c>
    </row>
    <row r="7" spans="1:18" ht="21" customHeight="1" x14ac:dyDescent="0.15">
      <c r="A7" s="39" t="str">
        <f t="shared" si="1"/>
        <v>48001105_48001105</v>
      </c>
      <c r="B7" s="47">
        <v>48001105</v>
      </c>
      <c r="C7" s="47">
        <v>48001105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バインドメロディ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1ターンスキルバインド</v>
      </c>
      <c r="F7" s="47">
        <v>48001105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7" s="114" t="s">
        <v>228</v>
      </c>
      <c r="Q7" s="115">
        <v>42516</v>
      </c>
      <c r="R7" s="47" t="s">
        <v>233</v>
      </c>
    </row>
    <row r="8" spans="1:18" ht="21" customHeight="1" x14ac:dyDescent="0.15">
      <c r="A8" s="39" t="str">
        <f t="shared" si="1"/>
        <v>48001106_48001106</v>
      </c>
      <c r="B8" s="47">
        <v>48001106</v>
      </c>
      <c r="C8" s="47">
        <v>48001106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ヒーリングスペル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全体回復</v>
      </c>
      <c r="F8" s="47">
        <v>48001106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8" s="114" t="s">
        <v>228</v>
      </c>
      <c r="Q8" s="115">
        <v>42516</v>
      </c>
      <c r="R8" s="47" t="s">
        <v>234</v>
      </c>
    </row>
    <row r="9" spans="1:18" ht="21" customHeight="1" x14ac:dyDescent="0.15">
      <c r="A9" s="39" t="str">
        <f t="shared" si="1"/>
        <v>48001107_48001107</v>
      </c>
      <c r="B9" s="47">
        <v>48001107</v>
      </c>
      <c r="C9" s="47">
        <v>48001107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ディープオーシャン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9" s="47">
        <v>48001107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9" s="114" t="s">
        <v>228</v>
      </c>
      <c r="Q9" s="115">
        <v>42516</v>
      </c>
      <c r="R9" s="47" t="s">
        <v>235</v>
      </c>
    </row>
    <row r="10" spans="1:18" ht="21" customHeight="1" x14ac:dyDescent="0.15">
      <c r="A10" s="39" t="str">
        <f t="shared" si="1"/>
        <v>48001107_48001108</v>
      </c>
      <c r="B10" s="47">
        <v>48001107</v>
      </c>
      <c r="C10" s="47">
        <v>48001108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パールドロップ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回復</v>
      </c>
      <c r="F10" s="47">
        <v>48001108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0" s="114" t="s">
        <v>228</v>
      </c>
      <c r="Q10" s="115">
        <v>42516</v>
      </c>
      <c r="R10" s="47" t="s">
        <v>235</v>
      </c>
    </row>
    <row r="11" spans="1:18" ht="21" customHeight="1" x14ac:dyDescent="0.15">
      <c r="A11" s="39" t="str">
        <f t="shared" si="1"/>
        <v>48001108_48001120</v>
      </c>
      <c r="B11" s="47">
        <v>48001108</v>
      </c>
      <c r="C11" s="113">
        <v>48001120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準備完了！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次のターンに大ダメージ＋スピードアップ</v>
      </c>
      <c r="F11" s="113">
        <v>48001120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114" t="s">
        <v>228</v>
      </c>
      <c r="Q11" s="115">
        <v>42516</v>
      </c>
      <c r="R11" s="47" t="s">
        <v>236</v>
      </c>
    </row>
    <row r="12" spans="1:18" ht="21" customHeight="1" x14ac:dyDescent="0.15">
      <c r="A12" s="39" t="str">
        <f t="shared" si="1"/>
        <v>48001108_48001109</v>
      </c>
      <c r="B12" s="47">
        <v>48001108</v>
      </c>
      <c r="C12" s="47">
        <v>48001109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大波襲来！いっけー！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強力な全体攻撃！</v>
      </c>
      <c r="F12" s="47">
        <v>48001109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114" t="s">
        <v>228</v>
      </c>
      <c r="Q12" s="115">
        <v>42516</v>
      </c>
      <c r="R12" s="47" t="s">
        <v>236</v>
      </c>
    </row>
    <row r="13" spans="1:18" ht="21" customHeight="1" x14ac:dyDescent="0.15">
      <c r="A13" s="39" t="str">
        <f t="shared" si="1"/>
        <v>48001109_48001110</v>
      </c>
      <c r="B13" s="47">
        <v>48001109</v>
      </c>
      <c r="C13" s="47">
        <v>48001110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ふふ…命知らずが来たわね…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 xml:space="preserve">3ターン防御力UP＋状態異常無効 </v>
      </c>
      <c r="F13" s="47">
        <v>48001110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114" t="s">
        <v>228</v>
      </c>
      <c r="Q13" s="115">
        <v>42516</v>
      </c>
      <c r="R13" s="47" t="s">
        <v>237</v>
      </c>
    </row>
    <row r="14" spans="1:18" ht="21" customHeight="1" thickBot="1" x14ac:dyDescent="0.2">
      <c r="A14" s="39" t="str">
        <f t="shared" si="1"/>
        <v>48001109_48001111</v>
      </c>
      <c r="B14" s="47">
        <v>48001109</v>
      </c>
      <c r="C14" s="47">
        <v>48001111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ここはワタクシの海域よ！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 xml:space="preserve">3ターン防御力激烈UP＋攻撃 </v>
      </c>
      <c r="F14" s="100">
        <v>48001111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114" t="s">
        <v>228</v>
      </c>
      <c r="Q14" s="115">
        <v>42516</v>
      </c>
      <c r="R14" s="47" t="s">
        <v>237</v>
      </c>
    </row>
    <row r="15" spans="1:18" ht="21" customHeight="1" x14ac:dyDescent="0.15">
      <c r="A15" s="39" t="str">
        <f t="shared" si="1"/>
        <v>48001109_48001112</v>
      </c>
      <c r="B15" s="47">
        <v>48001109</v>
      </c>
      <c r="C15" s="47">
        <v>48001112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ランダムな回数の連続攻撃</v>
      </c>
      <c r="F15" s="102">
        <v>48001112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5" s="114" t="s">
        <v>228</v>
      </c>
      <c r="Q15" s="115">
        <v>42516</v>
      </c>
      <c r="R15" s="47" t="s">
        <v>238</v>
      </c>
    </row>
    <row r="16" spans="1:18" ht="21" customHeight="1" x14ac:dyDescent="0.15">
      <c r="A16" s="39" t="str">
        <f t="shared" si="1"/>
        <v>48001109_48001113</v>
      </c>
      <c r="B16" s="47">
        <v>48001109</v>
      </c>
      <c r="C16" s="47">
        <v>48001113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ランダムな回数の連続攻撃</v>
      </c>
      <c r="F16" s="106">
        <v>48001113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6" s="114" t="s">
        <v>228</v>
      </c>
      <c r="Q16" s="115">
        <v>42516</v>
      </c>
      <c r="R16" s="47" t="s">
        <v>238</v>
      </c>
    </row>
    <row r="17" spans="1:18" ht="21" customHeight="1" x14ac:dyDescent="0.15">
      <c r="A17" s="39" t="str">
        <f t="shared" si="1"/>
        <v>48001109_48001114</v>
      </c>
      <c r="B17" s="47">
        <v>48001109</v>
      </c>
      <c r="C17" s="47">
        <v>48001114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ランダムな回数の連続攻撃</v>
      </c>
      <c r="F17" s="106">
        <v>48001114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7" s="114" t="s">
        <v>228</v>
      </c>
      <c r="Q17" s="115">
        <v>42516</v>
      </c>
      <c r="R17" s="47" t="s">
        <v>238</v>
      </c>
    </row>
    <row r="18" spans="1:18" ht="21" customHeight="1" thickBot="1" x14ac:dyDescent="0.2">
      <c r="A18" s="39" t="str">
        <f t="shared" si="1"/>
        <v>48001109_48001115</v>
      </c>
      <c r="B18" s="47">
        <v>48001109</v>
      </c>
      <c r="C18" s="47">
        <v>48001115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ランダムな回数の連続攻撃</v>
      </c>
      <c r="F18" s="108">
        <v>48001115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8" s="114" t="s">
        <v>228</v>
      </c>
      <c r="Q18" s="115">
        <v>42516</v>
      </c>
      <c r="R18" s="47" t="s">
        <v>238</v>
      </c>
    </row>
    <row r="19" spans="1:18" ht="21" customHeight="1" x14ac:dyDescent="0.15">
      <c r="A19" s="39" t="str">
        <f t="shared" si="1"/>
        <v>48001110_48001116</v>
      </c>
      <c r="B19" s="47">
        <v>48001110</v>
      </c>
      <c r="C19" s="47">
        <v>48001116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ここで神様になりたいの！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 xml:space="preserve">3ターン防御力UP＆状態異常無効 </v>
      </c>
      <c r="F19" s="111">
        <v>48001116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114" t="s">
        <v>228</v>
      </c>
      <c r="Q19" s="115">
        <v>42516</v>
      </c>
      <c r="R19" s="47" t="s">
        <v>239</v>
      </c>
    </row>
    <row r="20" spans="1:18" ht="21" customHeight="1" x14ac:dyDescent="0.15">
      <c r="A20" s="39" t="str">
        <f t="shared" si="1"/>
        <v>48001110_48001117</v>
      </c>
      <c r="B20" s="47">
        <v>48001110</v>
      </c>
      <c r="C20" s="47">
        <v>48001117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アズールウェーブ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連続攻撃</v>
      </c>
      <c r="F20" s="47">
        <v>48001117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20" s="114" t="s">
        <v>228</v>
      </c>
      <c r="Q20" s="115">
        <v>42516</v>
      </c>
      <c r="R20" s="47" t="s">
        <v>239</v>
      </c>
    </row>
    <row r="21" spans="1:18" ht="21" customHeight="1" x14ac:dyDescent="0.15">
      <c r="A21" s="39" t="str">
        <f t="shared" si="1"/>
        <v>48001110_48001118</v>
      </c>
      <c r="B21" s="47">
        <v>48001110</v>
      </c>
      <c r="C21" s="47">
        <v>48001118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ワタクシは誰にも従わないの！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3ターン味方ユニットの攻撃力激烈DOWN</v>
      </c>
      <c r="F21" s="47">
        <v>48001118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114" t="s">
        <v>228</v>
      </c>
      <c r="Q21" s="115">
        <v>42516</v>
      </c>
      <c r="R21" s="47" t="s">
        <v>239</v>
      </c>
    </row>
    <row r="22" spans="1:18" ht="21" customHeight="1" x14ac:dyDescent="0.15">
      <c r="A22" s="39" t="str">
        <f t="shared" si="1"/>
        <v>48001110_48001119</v>
      </c>
      <c r="B22" s="47">
        <v>48001110</v>
      </c>
      <c r="C22" s="47">
        <v>48001119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ダークカレント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2" s="47">
        <v>48001119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90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90</v>
      </c>
      <c r="P22" s="114" t="s">
        <v>228</v>
      </c>
      <c r="Q22" s="115">
        <v>42516</v>
      </c>
      <c r="R22" s="47" t="s">
        <v>239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2"/>
  <sheetViews>
    <sheetView showGridLines="0" zoomScale="132" zoomScaleNormal="132" zoomScalePageLayoutView="132" workbookViewId="0">
      <pane ySplit="1" topLeftCell="A2" activePane="bottomLeft" state="frozenSplit"/>
      <selection pane="bottomLeft" activeCell="B5" sqref="B5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125</v>
      </c>
      <c r="E1" s="40" t="s">
        <v>82</v>
      </c>
      <c r="F1" s="40" t="s">
        <v>83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48001100</v>
      </c>
      <c r="B2" s="47" t="s">
        <v>213</v>
      </c>
      <c r="C2" s="50">
        <v>1</v>
      </c>
      <c r="D2" s="50" t="s">
        <v>214</v>
      </c>
      <c r="E2" s="51" t="s">
        <v>259</v>
      </c>
      <c r="F2" s="51" t="s">
        <v>242</v>
      </c>
      <c r="G2" s="63" t="str">
        <f>IFERROR(LEFT(B2,FIND("],",B2)),B2)</f>
        <v>[effect:spread, val:0.26]</v>
      </c>
      <c r="H2" s="63">
        <f>FIND("effect:",G2)+7</f>
        <v>9</v>
      </c>
      <c r="I2" s="63">
        <f>IFERROR(FIND(",",G2),LEN(G2))</f>
        <v>15</v>
      </c>
      <c r="J2" s="63" t="e">
        <f>FIND("target:",G2)+7</f>
        <v>#VALUE!</v>
      </c>
      <c r="K2" s="63" t="e">
        <f>FIND(",",G2,I2+1)</f>
        <v>#VALUE!</v>
      </c>
      <c r="L2" s="63" t="str">
        <f>IFERROR(VLOOKUP(MID(G2,J2,K2-J2),[6]skilldef!$C:$D,2,FALSE),"-") &amp; " / " &amp; IFERROR(VLOOKUP(MID(G2,H2,I2-H2),[6]skilldef!$A:$B,2,FALSE),"-")</f>
        <v>- / 全体攻撃</v>
      </c>
      <c r="M2" s="63" t="str">
        <f>IFERROR(RIGHT(B2,LEN(B2)-FIND("],",B2)-1),"none")</f>
        <v>none</v>
      </c>
      <c r="N2" s="48" t="str">
        <f>IFERROR(LEFT(M2,FIND("],",M2)+S12),M2)</f>
        <v>none</v>
      </c>
      <c r="O2" s="63" t="e">
        <f>FIND("effect:",N2)+7</f>
        <v>#VALUE!</v>
      </c>
      <c r="P2" s="63">
        <f>IFERROR(FIND(",",N2),LEN(N2))</f>
        <v>4</v>
      </c>
      <c r="Q2" s="63" t="e">
        <f>FIND("target:",N2)+7</f>
        <v>#VALUE!</v>
      </c>
      <c r="R2" s="63" t="e">
        <f>FIND(",",N2,P2+1)</f>
        <v>#VALUE!</v>
      </c>
      <c r="S2" s="63" t="str">
        <f>IFERROR(VLOOKUP(MID(N2,Q2,R2-Q2),[6]skilldef!$C:$D,2,FALSE),"-") &amp; " / " &amp; IFERROR(VLOOKUP(MID(N2,O2,P2-O2),[6]skilldef!$A:$B,2,FALSE),"-")</f>
        <v>- / -</v>
      </c>
      <c r="T2" s="48" t="str">
        <f>IFERROR(RIGHT(M2,LEN(M2)-FIND("],",M2)-1),"none")</f>
        <v>none</v>
      </c>
      <c r="U2" s="63" t="e">
        <f>FIND("effect:",T2)+7</f>
        <v>#VALUE!</v>
      </c>
      <c r="V2" s="63">
        <f>IFERROR(FIND(",",T2),LEN(T2))</f>
        <v>4</v>
      </c>
      <c r="W2" s="63" t="e">
        <f>FIND("target:",T2)+7</f>
        <v>#VALUE!</v>
      </c>
      <c r="X2" s="63" t="e">
        <f>FIND(",",T2,V2+1)</f>
        <v>#VALUE!</v>
      </c>
      <c r="Y2" s="63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ht="21" customHeight="1" x14ac:dyDescent="0.15">
      <c r="A3" s="47">
        <v>48001101</v>
      </c>
      <c r="B3" s="47" t="s">
        <v>215</v>
      </c>
      <c r="C3" s="50">
        <v>1</v>
      </c>
      <c r="D3" s="50" t="s">
        <v>214</v>
      </c>
      <c r="E3" s="51" t="s">
        <v>282</v>
      </c>
      <c r="F3" s="51" t="s">
        <v>243</v>
      </c>
      <c r="G3" s="63" t="str">
        <f t="shared" ref="G3:G22" si="0">IFERROR(LEFT(B3,FIND("],",B3)),B3)</f>
        <v xml:space="preserve">[effect:freq_turn, target:myself, turn:-1, val:1, animation:enemy_freq_turn]    </v>
      </c>
      <c r="H3" s="63">
        <f t="shared" ref="H3:H22" si="1">FIND("effect:",G3)+7</f>
        <v>9</v>
      </c>
      <c r="I3" s="63">
        <f t="shared" ref="I3:I22" si="2">IFERROR(FIND(",",G3),LEN(G3))</f>
        <v>18</v>
      </c>
      <c r="J3" s="63">
        <f t="shared" ref="J3:J22" si="3">FIND("target:",G3)+7</f>
        <v>27</v>
      </c>
      <c r="K3" s="63">
        <f t="shared" ref="K3:K22" si="4">FIND(",",G3,I3+1)</f>
        <v>33</v>
      </c>
      <c r="L3" s="63" t="str">
        <f>IFERROR(VLOOKUP(MID(G3,J3,K3-J3),[6]skilldef!$C:$D,2,FALSE),"-") &amp; " / " &amp; IFERROR(VLOOKUP(MID(G3,H3,I3-H3),[6]skilldef!$A:$B,2,FALSE),"-")</f>
        <v>自分自身に / 攻撃頻度がUP</v>
      </c>
      <c r="M3" s="63" t="str">
        <f t="shared" ref="M3:M22" si="5">IFERROR(RIGHT(B3,LEN(B3)-FIND("],",B3)-1),"none")</f>
        <v>none</v>
      </c>
      <c r="N3" s="48" t="str">
        <f t="shared" ref="N3:N22" si="6">IFERROR(LEFT(M3,FIND("],",M3)+S13),M3)</f>
        <v>none</v>
      </c>
      <c r="O3" s="63" t="e">
        <f t="shared" ref="O3:O22" si="7">FIND("effect:",N3)+7</f>
        <v>#VALUE!</v>
      </c>
      <c r="P3" s="63">
        <f t="shared" ref="P3:P22" si="8">IFERROR(FIND(",",N3),LEN(N3))</f>
        <v>4</v>
      </c>
      <c r="Q3" s="63" t="e">
        <f t="shared" ref="Q3:Q22" si="9">FIND("target:",N3)+7</f>
        <v>#VALUE!</v>
      </c>
      <c r="R3" s="63" t="e">
        <f t="shared" ref="R3:R22" si="10">FIND(",",N3,P3+1)</f>
        <v>#VALUE!</v>
      </c>
      <c r="S3" s="63" t="str">
        <f>IFERROR(VLOOKUP(MID(N3,Q3,R3-Q3),[6]skilldef!$C:$D,2,FALSE),"-") &amp; " / " &amp; IFERROR(VLOOKUP(MID(N3,O3,P3-O3),[6]skilldef!$A:$B,2,FALSE),"-")</f>
        <v>- / -</v>
      </c>
      <c r="T3" s="48" t="str">
        <f t="shared" ref="T3:T22" si="11">IFERROR(RIGHT(M3,LEN(M3)-FIND("],",M3)-1),"none")</f>
        <v>none</v>
      </c>
      <c r="U3" s="63" t="e">
        <f t="shared" ref="U3:U22" si="12">FIND("effect:",T3)+7</f>
        <v>#VALUE!</v>
      </c>
      <c r="V3" s="63">
        <f t="shared" ref="V3:V22" si="13">IFERROR(FIND(",",T3),LEN(T3))</f>
        <v>4</v>
      </c>
      <c r="W3" s="63" t="e">
        <f t="shared" ref="W3:W22" si="14">FIND("target:",T3)+7</f>
        <v>#VALUE!</v>
      </c>
      <c r="X3" s="63" t="e">
        <f t="shared" ref="X3:X22" si="15"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50"/>
      <c r="AA3" s="52"/>
      <c r="AB3" s="50"/>
    </row>
    <row r="4" spans="1:28" ht="21" customHeight="1" x14ac:dyDescent="0.15">
      <c r="A4" s="47">
        <v>48001102</v>
      </c>
      <c r="B4" s="47" t="s">
        <v>284</v>
      </c>
      <c r="C4" s="50">
        <v>1</v>
      </c>
      <c r="D4" s="50" t="s">
        <v>216</v>
      </c>
      <c r="E4" s="97" t="s">
        <v>260</v>
      </c>
      <c r="F4" s="97" t="s">
        <v>244</v>
      </c>
      <c r="G4" s="63" t="str">
        <f t="shared" si="0"/>
        <v xml:space="preserve">[effect:enhance_enemy, target:enemy_human, turn:-1, status:attack, val:0.4, calc:mul, animation:enemy_enhance_attack]    </v>
      </c>
      <c r="H4" s="63">
        <f t="shared" si="1"/>
        <v>9</v>
      </c>
      <c r="I4" s="63">
        <f t="shared" si="2"/>
        <v>22</v>
      </c>
      <c r="J4" s="63">
        <f t="shared" si="3"/>
        <v>31</v>
      </c>
      <c r="K4" s="63">
        <f t="shared" si="4"/>
        <v>42</v>
      </c>
      <c r="L4" s="63" t="str">
        <f>IFERROR(VLOOKUP(MID(G4,J4,K4-J4),[6]skilldef!$C:$D,2,FALSE),"-") &amp; " / " &amp; IFERROR(VLOOKUP(MID(G4,H4,I4-H4),[6]skilldef!$A:$B,2,FALSE),"-")</f>
        <v>- / ステータス強化</v>
      </c>
      <c r="M4" s="63" t="str">
        <f t="shared" si="5"/>
        <v>none</v>
      </c>
      <c r="N4" s="48" t="str">
        <f t="shared" si="6"/>
        <v>none</v>
      </c>
      <c r="O4" s="63" t="e">
        <f t="shared" si="7"/>
        <v>#VALUE!</v>
      </c>
      <c r="P4" s="63">
        <f t="shared" si="8"/>
        <v>4</v>
      </c>
      <c r="Q4" s="63" t="e">
        <f t="shared" si="9"/>
        <v>#VALUE!</v>
      </c>
      <c r="R4" s="63" t="e">
        <f t="shared" si="10"/>
        <v>#VALUE!</v>
      </c>
      <c r="S4" s="63" t="str">
        <f>IFERROR(VLOOKUP(MID(N4,Q4,R4-Q4),[6]skilldef!$C:$D,2,FALSE),"-") &amp; " / " &amp; IFERROR(VLOOKUP(MID(N4,O4,P4-O4),[6]skilldef!$A:$B,2,FALSE),"-")</f>
        <v>- / -</v>
      </c>
      <c r="T4" s="48" t="str">
        <f t="shared" si="11"/>
        <v>none</v>
      </c>
      <c r="U4" s="63" t="e">
        <f t="shared" si="12"/>
        <v>#VALUE!</v>
      </c>
      <c r="V4" s="63">
        <f t="shared" si="13"/>
        <v>4</v>
      </c>
      <c r="W4" s="63" t="e">
        <f t="shared" si="14"/>
        <v>#VALUE!</v>
      </c>
      <c r="X4" s="63" t="e">
        <f t="shared" si="15"/>
        <v>#VALUE!</v>
      </c>
      <c r="Y4" s="63" t="str">
        <f>IFERROR(VLOOKUP(MID(T4,W4,X4-W4),[6]skilldef!$C:$D,2,FALSE),"-") &amp; " / " &amp; IFERROR(VLOOKUP(MID(T4,U4,V4-U4),[6]skilldef!$A:$B,2,FALSE),"-")</f>
        <v>- / -</v>
      </c>
      <c r="Z4" s="50"/>
      <c r="AA4" s="52"/>
      <c r="AB4" s="50"/>
    </row>
    <row r="5" spans="1:28" ht="21" customHeight="1" x14ac:dyDescent="0.15">
      <c r="A5" s="47">
        <v>48001103</v>
      </c>
      <c r="B5" s="47" t="s">
        <v>241</v>
      </c>
      <c r="C5" s="50">
        <v>1</v>
      </c>
      <c r="D5" s="50" t="s">
        <v>214</v>
      </c>
      <c r="E5" s="97" t="s">
        <v>261</v>
      </c>
      <c r="F5" s="97" t="s">
        <v>245</v>
      </c>
      <c r="G5" s="63" t="str">
        <f t="shared" si="0"/>
        <v xml:space="preserve">[effect:enhance_enemy, target:enemy_human, turn:-1, status:defense, val:2000, calc:add, animation:enemy_enhance_defense]    </v>
      </c>
      <c r="H5" s="63">
        <f t="shared" si="1"/>
        <v>9</v>
      </c>
      <c r="I5" s="63">
        <f t="shared" si="2"/>
        <v>22</v>
      </c>
      <c r="J5" s="63">
        <f t="shared" si="3"/>
        <v>31</v>
      </c>
      <c r="K5" s="63">
        <f t="shared" si="4"/>
        <v>42</v>
      </c>
      <c r="L5" s="63" t="str">
        <f>IFERROR(VLOOKUP(MID(G5,J5,K5-J5),[6]skilldef!$C:$D,2,FALSE),"-") &amp; " / " &amp; IFERROR(VLOOKUP(MID(G5,H5,I5-H5),[6]skilldef!$A:$B,2,FALSE),"-")</f>
        <v>- / ステータス強化</v>
      </c>
      <c r="M5" s="63" t="str">
        <f t="shared" si="5"/>
        <v>none</v>
      </c>
      <c r="N5" s="48" t="str">
        <f t="shared" si="6"/>
        <v>none</v>
      </c>
      <c r="O5" s="63" t="e">
        <f t="shared" si="7"/>
        <v>#VALUE!</v>
      </c>
      <c r="P5" s="63">
        <f t="shared" si="8"/>
        <v>4</v>
      </c>
      <c r="Q5" s="63" t="e">
        <f t="shared" si="9"/>
        <v>#VALUE!</v>
      </c>
      <c r="R5" s="63" t="e">
        <f t="shared" si="10"/>
        <v>#VALUE!</v>
      </c>
      <c r="S5" s="63" t="str">
        <f>IFERROR(VLOOKUP(MID(N5,Q5,R5-Q5),[6]skilldef!$C:$D,2,FALSE),"-") &amp; " / " &amp; IFERROR(VLOOKUP(MID(N5,O5,P5-O5),[6]skilldef!$A:$B,2,FALSE),"-")</f>
        <v>- / -</v>
      </c>
      <c r="T5" s="48" t="str">
        <f t="shared" si="11"/>
        <v>none</v>
      </c>
      <c r="U5" s="63" t="e">
        <f t="shared" si="12"/>
        <v>#VALUE!</v>
      </c>
      <c r="V5" s="63">
        <f t="shared" si="13"/>
        <v>4</v>
      </c>
      <c r="W5" s="63" t="e">
        <f t="shared" si="14"/>
        <v>#VALUE!</v>
      </c>
      <c r="X5" s="63" t="e">
        <f t="shared" si="15"/>
        <v>#VALUE!</v>
      </c>
      <c r="Y5" s="63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47">
        <v>48001104</v>
      </c>
      <c r="B6" s="47" t="s">
        <v>217</v>
      </c>
      <c r="C6" s="50">
        <v>1</v>
      </c>
      <c r="D6" s="50" t="s">
        <v>214</v>
      </c>
      <c r="E6" s="98" t="s">
        <v>265</v>
      </c>
      <c r="F6" s="99" t="s">
        <v>255</v>
      </c>
      <c r="G6" s="63" t="str">
        <f t="shared" si="0"/>
        <v>[effect:rush, count:2, val:0.6]</v>
      </c>
      <c r="H6" s="63">
        <f t="shared" si="1"/>
        <v>9</v>
      </c>
      <c r="I6" s="63">
        <f t="shared" si="2"/>
        <v>13</v>
      </c>
      <c r="J6" s="63" t="e">
        <f t="shared" si="3"/>
        <v>#VALUE!</v>
      </c>
      <c r="K6" s="63">
        <f t="shared" si="4"/>
        <v>22</v>
      </c>
      <c r="L6" s="63" t="str">
        <f>IFERROR(VLOOKUP(MID(G6,J6,K6-J6),[6]skilldef!$C:$D,2,FALSE),"-") &amp; " / " &amp; IFERROR(VLOOKUP(MID(G6,H6,I6-H6),[6]skilldef!$A:$B,2,FALSE),"-")</f>
        <v>- / 連続攻撃</v>
      </c>
      <c r="M6" s="63" t="str">
        <f t="shared" si="5"/>
        <v>none</v>
      </c>
      <c r="N6" s="48" t="str">
        <f t="shared" si="6"/>
        <v>none</v>
      </c>
      <c r="O6" s="63" t="e">
        <f t="shared" si="7"/>
        <v>#VALUE!</v>
      </c>
      <c r="P6" s="63">
        <f t="shared" si="8"/>
        <v>4</v>
      </c>
      <c r="Q6" s="63" t="e">
        <f t="shared" si="9"/>
        <v>#VALUE!</v>
      </c>
      <c r="R6" s="63" t="e">
        <f t="shared" si="10"/>
        <v>#VALUE!</v>
      </c>
      <c r="S6" s="63" t="str">
        <f>IFERROR(VLOOKUP(MID(N6,Q6,R6-Q6),[6]skilldef!$C:$D,2,FALSE),"-") &amp; " / " &amp; IFERROR(VLOOKUP(MID(N6,O6,P6-O6),[6]skilldef!$A:$B,2,FALSE),"-")</f>
        <v>- / -</v>
      </c>
      <c r="T6" s="48" t="str">
        <f t="shared" si="11"/>
        <v>none</v>
      </c>
      <c r="U6" s="63" t="e">
        <f t="shared" si="12"/>
        <v>#VALUE!</v>
      </c>
      <c r="V6" s="63">
        <f t="shared" si="13"/>
        <v>4</v>
      </c>
      <c r="W6" s="63" t="e">
        <f t="shared" si="14"/>
        <v>#VALUE!</v>
      </c>
      <c r="X6" s="63" t="e">
        <f t="shared" si="15"/>
        <v>#VALUE!</v>
      </c>
      <c r="Y6" s="63" t="str">
        <f>IFERROR(VLOOKUP(MID(T6,W6,X6-W6),[6]skilldef!$C:$D,2,FALSE),"-") &amp; " / " &amp; IFERROR(VLOOKUP(MID(T6,U6,V6-U6),[6]skilldef!$A:$B,2,FALSE),"-")</f>
        <v>- / -</v>
      </c>
      <c r="Z6" s="50"/>
      <c r="AA6" s="52"/>
      <c r="AB6" s="50"/>
    </row>
    <row r="7" spans="1:28" ht="21" customHeight="1" x14ac:dyDescent="0.15">
      <c r="A7" s="47">
        <v>48001105</v>
      </c>
      <c r="B7" s="47" t="s">
        <v>247</v>
      </c>
      <c r="C7" s="50">
        <v>1</v>
      </c>
      <c r="D7" s="50" t="s">
        <v>214</v>
      </c>
      <c r="E7" s="98" t="s">
        <v>263</v>
      </c>
      <c r="F7" s="99" t="s">
        <v>246</v>
      </c>
      <c r="G7" s="63" t="str">
        <f t="shared" si="0"/>
        <v>[effect:hungup, target:unit_one, turn:1, rate:1, animation:hungup01]</v>
      </c>
      <c r="H7" s="63">
        <f t="shared" si="1"/>
        <v>9</v>
      </c>
      <c r="I7" s="63">
        <f t="shared" si="2"/>
        <v>15</v>
      </c>
      <c r="J7" s="63">
        <f t="shared" si="3"/>
        <v>24</v>
      </c>
      <c r="K7" s="63">
        <f t="shared" si="4"/>
        <v>32</v>
      </c>
      <c r="L7" s="63" t="str">
        <f>IFERROR(VLOOKUP(MID(G7,J7,K7-J7),[6]skilldef!$C:$D,2,FALSE),"-") &amp; " / " &amp; IFERROR(VLOOKUP(MID(G7,H7,I7-H7),[6]skilldef!$A:$B,2,FALSE),"-")</f>
        <v>味方単体に / ハングアップ</v>
      </c>
      <c r="M7" s="63" t="str">
        <f t="shared" si="5"/>
        <v>none</v>
      </c>
      <c r="N7" s="48" t="str">
        <f t="shared" si="6"/>
        <v>none</v>
      </c>
      <c r="O7" s="63" t="e">
        <f t="shared" si="7"/>
        <v>#VALUE!</v>
      </c>
      <c r="P7" s="63">
        <f t="shared" si="8"/>
        <v>4</v>
      </c>
      <c r="Q7" s="63" t="e">
        <f t="shared" si="9"/>
        <v>#VALUE!</v>
      </c>
      <c r="R7" s="63" t="e">
        <f t="shared" si="10"/>
        <v>#VALUE!</v>
      </c>
      <c r="S7" s="63" t="str">
        <f>IFERROR(VLOOKUP(MID(N7,Q7,R7-Q7),[6]skilldef!$C:$D,2,FALSE),"-") &amp; " / " &amp; IFERROR(VLOOKUP(MID(N7,O7,P7-O7),[6]skilldef!$A:$B,2,FALSE),"-")</f>
        <v>- / -</v>
      </c>
      <c r="T7" s="48" t="str">
        <f t="shared" si="11"/>
        <v>none</v>
      </c>
      <c r="U7" s="63" t="e">
        <f t="shared" si="12"/>
        <v>#VALUE!</v>
      </c>
      <c r="V7" s="63">
        <f t="shared" si="13"/>
        <v>4</v>
      </c>
      <c r="W7" s="63" t="e">
        <f t="shared" si="14"/>
        <v>#VALUE!</v>
      </c>
      <c r="X7" s="63" t="e">
        <f t="shared" si="15"/>
        <v>#VALUE!</v>
      </c>
      <c r="Y7" s="63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47">
        <v>48001106</v>
      </c>
      <c r="B8" s="47" t="s">
        <v>218</v>
      </c>
      <c r="C8" s="50">
        <v>1</v>
      </c>
      <c r="D8" s="50" t="s">
        <v>214</v>
      </c>
      <c r="E8" s="98" t="s">
        <v>262</v>
      </c>
      <c r="F8" s="99" t="s">
        <v>248</v>
      </c>
      <c r="G8" s="63" t="str">
        <f t="shared" si="0"/>
        <v>[effect:heal, target:enemy_all, val:0.05, animation:enemy_heal]</v>
      </c>
      <c r="H8" s="63">
        <f t="shared" si="1"/>
        <v>9</v>
      </c>
      <c r="I8" s="63">
        <f t="shared" si="2"/>
        <v>13</v>
      </c>
      <c r="J8" s="63">
        <f t="shared" si="3"/>
        <v>22</v>
      </c>
      <c r="K8" s="63">
        <f t="shared" si="4"/>
        <v>31</v>
      </c>
      <c r="L8" s="63" t="str">
        <f>IFERROR(VLOOKUP(MID(G8,J8,K8-J8),[6]skilldef!$C:$D,2,FALSE),"-") &amp; " / " &amp; IFERROR(VLOOKUP(MID(G8,H8,I8-H8),[6]skilldef!$A:$B,2,FALSE),"-")</f>
        <v>敵全体に / 回復</v>
      </c>
      <c r="M8" s="63" t="str">
        <f t="shared" si="5"/>
        <v>none</v>
      </c>
      <c r="N8" s="48" t="str">
        <f t="shared" si="6"/>
        <v>none</v>
      </c>
      <c r="O8" s="63" t="e">
        <f t="shared" si="7"/>
        <v>#VALUE!</v>
      </c>
      <c r="P8" s="63">
        <f t="shared" si="8"/>
        <v>4</v>
      </c>
      <c r="Q8" s="63" t="e">
        <f t="shared" si="9"/>
        <v>#VALUE!</v>
      </c>
      <c r="R8" s="63" t="e">
        <f t="shared" si="10"/>
        <v>#VALUE!</v>
      </c>
      <c r="S8" s="63" t="str">
        <f>IFERROR(VLOOKUP(MID(N8,Q8,R8-Q8),[6]skilldef!$C:$D,2,FALSE),"-") &amp; " / " &amp; IFERROR(VLOOKUP(MID(N8,O8,P8-O8),[6]skilldef!$A:$B,2,FALSE),"-")</f>
        <v>- / -</v>
      </c>
      <c r="T8" s="48" t="str">
        <f t="shared" si="11"/>
        <v>none</v>
      </c>
      <c r="U8" s="63" t="e">
        <f t="shared" si="12"/>
        <v>#VALUE!</v>
      </c>
      <c r="V8" s="63">
        <f t="shared" si="13"/>
        <v>4</v>
      </c>
      <c r="W8" s="63" t="e">
        <f t="shared" si="14"/>
        <v>#VALUE!</v>
      </c>
      <c r="X8" s="63" t="e">
        <f t="shared" si="15"/>
        <v>#VALUE!</v>
      </c>
      <c r="Y8" s="63" t="str">
        <f>IFERROR(VLOOKUP(MID(T8,W8,X8-W8),[6]skilldef!$C:$D,2,FALSE),"-") &amp; " / " &amp; IFERROR(VLOOKUP(MID(T8,U8,V8-U8),[6]skilldef!$A:$B,2,FALSE),"-")</f>
        <v>- / -</v>
      </c>
      <c r="Z8" s="50"/>
      <c r="AA8" s="52"/>
      <c r="AB8" s="50"/>
    </row>
    <row r="9" spans="1:28" ht="21" customHeight="1" x14ac:dyDescent="0.15">
      <c r="A9" s="47">
        <v>48001107</v>
      </c>
      <c r="B9" s="47" t="s">
        <v>213</v>
      </c>
      <c r="C9" s="50">
        <v>1</v>
      </c>
      <c r="D9" s="50" t="s">
        <v>214</v>
      </c>
      <c r="E9" s="51" t="s">
        <v>264</v>
      </c>
      <c r="F9" s="51" t="s">
        <v>249</v>
      </c>
      <c r="G9" s="63" t="str">
        <f t="shared" si="0"/>
        <v>[effect:spread, val:0.26]</v>
      </c>
      <c r="H9" s="63">
        <f t="shared" si="1"/>
        <v>9</v>
      </c>
      <c r="I9" s="63">
        <f t="shared" si="2"/>
        <v>15</v>
      </c>
      <c r="J9" s="63" t="e">
        <f t="shared" si="3"/>
        <v>#VALUE!</v>
      </c>
      <c r="K9" s="63" t="e">
        <f t="shared" si="4"/>
        <v>#VALUE!</v>
      </c>
      <c r="L9" s="63" t="str">
        <f>IFERROR(VLOOKUP(MID(G9,J9,K9-J9),[6]skilldef!$C:$D,2,FALSE),"-") &amp; " / " &amp; IFERROR(VLOOKUP(MID(G9,H9,I9-H9),[6]skilldef!$A:$B,2,FALSE),"-")</f>
        <v>- / 全体攻撃</v>
      </c>
      <c r="M9" s="63" t="str">
        <f t="shared" si="5"/>
        <v>none</v>
      </c>
      <c r="N9" s="48" t="str">
        <f t="shared" si="6"/>
        <v>none</v>
      </c>
      <c r="O9" s="63" t="e">
        <f t="shared" si="7"/>
        <v>#VALUE!</v>
      </c>
      <c r="P9" s="63">
        <f t="shared" si="8"/>
        <v>4</v>
      </c>
      <c r="Q9" s="63" t="e">
        <f t="shared" si="9"/>
        <v>#VALUE!</v>
      </c>
      <c r="R9" s="63" t="e">
        <f t="shared" si="10"/>
        <v>#VALUE!</v>
      </c>
      <c r="S9" s="63" t="str">
        <f>IFERROR(VLOOKUP(MID(N9,Q9,R9-Q9),[6]skilldef!$C:$D,2,FALSE),"-") &amp; " / " &amp; IFERROR(VLOOKUP(MID(N9,O9,P9-O9),[6]skilldef!$A:$B,2,FALSE),"-")</f>
        <v>- / -</v>
      </c>
      <c r="T9" s="48" t="str">
        <f t="shared" si="11"/>
        <v>none</v>
      </c>
      <c r="U9" s="63" t="e">
        <f t="shared" si="12"/>
        <v>#VALUE!</v>
      </c>
      <c r="V9" s="63">
        <f t="shared" si="13"/>
        <v>4</v>
      </c>
      <c r="W9" s="63" t="e">
        <f t="shared" si="14"/>
        <v>#VALUE!</v>
      </c>
      <c r="X9" s="63" t="e">
        <f t="shared" si="15"/>
        <v>#VALUE!</v>
      </c>
      <c r="Y9" s="63" t="str">
        <f>IFERROR(VLOOKUP(MID(T9,W9,X9-W9),[6]skilldef!$C:$D,2,FALSE),"-") &amp; " / " &amp; IFERROR(VLOOKUP(MID(T9,U9,V9-U9),[6]skilldef!$A:$B,2,FALSE),"-")</f>
        <v>- / -</v>
      </c>
      <c r="Z9" s="50"/>
      <c r="AA9" s="52"/>
      <c r="AB9" s="50"/>
    </row>
    <row r="10" spans="1:28" ht="21" customHeight="1" x14ac:dyDescent="0.15">
      <c r="A10" s="47">
        <v>48001108</v>
      </c>
      <c r="B10" s="47" t="s">
        <v>219</v>
      </c>
      <c r="C10" s="50">
        <v>1</v>
      </c>
      <c r="D10" s="50" t="s">
        <v>214</v>
      </c>
      <c r="E10" s="51" t="s">
        <v>266</v>
      </c>
      <c r="F10" s="51" t="s">
        <v>250</v>
      </c>
      <c r="G10" s="63" t="str">
        <f t="shared" si="0"/>
        <v>[effect:heal, target:enemy_one, val:0.1, animation:enemy_heal]</v>
      </c>
      <c r="H10" s="63">
        <f t="shared" si="1"/>
        <v>9</v>
      </c>
      <c r="I10" s="63">
        <f t="shared" si="2"/>
        <v>13</v>
      </c>
      <c r="J10" s="63">
        <f t="shared" si="3"/>
        <v>22</v>
      </c>
      <c r="K10" s="63">
        <f t="shared" si="4"/>
        <v>31</v>
      </c>
      <c r="L10" s="63" t="str">
        <f>IFERROR(VLOOKUP(MID(G10,J10,K10-J10),[6]skilldef!$C:$D,2,FALSE),"-") &amp; " / " &amp; IFERROR(VLOOKUP(MID(G10,H10,I10-H10),[6]skilldef!$A:$B,2,FALSE),"-")</f>
        <v>敵単体に / 回復</v>
      </c>
      <c r="M10" s="63" t="str">
        <f t="shared" si="5"/>
        <v>none</v>
      </c>
      <c r="N10" s="48" t="str">
        <f t="shared" si="6"/>
        <v>none</v>
      </c>
      <c r="O10" s="63" t="e">
        <f t="shared" si="7"/>
        <v>#VALUE!</v>
      </c>
      <c r="P10" s="63">
        <f t="shared" si="8"/>
        <v>4</v>
      </c>
      <c r="Q10" s="63" t="e">
        <f t="shared" si="9"/>
        <v>#VALUE!</v>
      </c>
      <c r="R10" s="63" t="e">
        <f t="shared" si="10"/>
        <v>#VALUE!</v>
      </c>
      <c r="S10" s="63" t="str">
        <f>IFERROR(VLOOKUP(MID(N10,Q10,R10-Q10),[6]skilldef!$C:$D,2,FALSE),"-") &amp; " / " &amp; IFERROR(VLOOKUP(MID(N10,O10,P10-O10),[6]skilldef!$A:$B,2,FALSE),"-")</f>
        <v>- / -</v>
      </c>
      <c r="T10" s="48" t="str">
        <f t="shared" si="11"/>
        <v>none</v>
      </c>
      <c r="U10" s="63" t="e">
        <f t="shared" si="12"/>
        <v>#VALUE!</v>
      </c>
      <c r="V10" s="63">
        <f t="shared" si="13"/>
        <v>4</v>
      </c>
      <c r="W10" s="63" t="e">
        <f t="shared" si="14"/>
        <v>#VALUE!</v>
      </c>
      <c r="X10" s="63" t="e">
        <f t="shared" si="15"/>
        <v>#VALUE!</v>
      </c>
      <c r="Y10" s="63" t="str">
        <f>IFERROR(VLOOKUP(MID(T10,W10,X10-W10),[6]skilldef!$C:$D,2,FALSE),"-") &amp; " / " &amp; IFERROR(VLOOKUP(MID(T10,U10,V10-U10),[6]skilldef!$A:$B,2,FALSE),"-")</f>
        <v>- / -</v>
      </c>
      <c r="Z10" s="50"/>
      <c r="AA10" s="52"/>
      <c r="AB10" s="50"/>
    </row>
    <row r="11" spans="1:28" ht="21" customHeight="1" x14ac:dyDescent="0.15">
      <c r="A11" s="47">
        <v>48001109</v>
      </c>
      <c r="B11" s="47" t="s">
        <v>268</v>
      </c>
      <c r="C11" s="50">
        <v>1</v>
      </c>
      <c r="D11" s="50" t="s">
        <v>214</v>
      </c>
      <c r="E11" s="98" t="s">
        <v>267</v>
      </c>
      <c r="F11" s="97" t="s">
        <v>270</v>
      </c>
      <c r="G11" s="63" t="str">
        <f t="shared" si="0"/>
        <v>[effect:spread, val:0.51]</v>
      </c>
      <c r="H11" s="63">
        <f t="shared" si="1"/>
        <v>9</v>
      </c>
      <c r="I11" s="63">
        <f t="shared" si="2"/>
        <v>15</v>
      </c>
      <c r="J11" s="63" t="e">
        <f t="shared" si="3"/>
        <v>#VALUE!</v>
      </c>
      <c r="K11" s="63" t="e">
        <f t="shared" si="4"/>
        <v>#VALUE!</v>
      </c>
      <c r="L11" s="63" t="str">
        <f>IFERROR(VLOOKUP(MID(G11,J11,K11-J11),[6]skilldef!$C:$D,2,FALSE),"-") &amp; " / " &amp; IFERROR(VLOOKUP(MID(G11,H11,I11-H11),[6]skilldef!$A:$B,2,FALSE),"-")</f>
        <v>- / 全体攻撃</v>
      </c>
      <c r="M11" s="63" t="str">
        <f t="shared" si="5"/>
        <v>none</v>
      </c>
      <c r="N11" s="48" t="str">
        <f t="shared" si="6"/>
        <v>none</v>
      </c>
      <c r="O11" s="63" t="e">
        <f t="shared" si="7"/>
        <v>#VALUE!</v>
      </c>
      <c r="P11" s="63">
        <f t="shared" si="8"/>
        <v>4</v>
      </c>
      <c r="Q11" s="63" t="e">
        <f t="shared" si="9"/>
        <v>#VALUE!</v>
      </c>
      <c r="R11" s="63" t="e">
        <f t="shared" si="10"/>
        <v>#VALUE!</v>
      </c>
      <c r="S11" s="63" t="str">
        <f>IFERROR(VLOOKUP(MID(N11,Q11,R11-Q11),[6]skilldef!$C:$D,2,FALSE),"-") &amp; " / " &amp; IFERROR(VLOOKUP(MID(N11,O11,P11-O11),[6]skilldef!$A:$B,2,FALSE),"-")</f>
        <v>- / -</v>
      </c>
      <c r="T11" s="48" t="str">
        <f t="shared" si="11"/>
        <v>none</v>
      </c>
      <c r="U11" s="63" t="e">
        <f t="shared" si="12"/>
        <v>#VALUE!</v>
      </c>
      <c r="V11" s="63">
        <f t="shared" si="13"/>
        <v>4</v>
      </c>
      <c r="W11" s="63" t="e">
        <f t="shared" si="14"/>
        <v>#VALUE!</v>
      </c>
      <c r="X11" s="63" t="e">
        <f t="shared" si="15"/>
        <v>#VALUE!</v>
      </c>
      <c r="Y11" s="63" t="str">
        <f>IFERROR(VLOOKUP(MID(T11,W11,X11-W11),[6]skilldef!$C:$D,2,FALSE),"-") &amp; " / " &amp; IFERROR(VLOOKUP(MID(T11,U11,V11-U11),[6]skilldef!$A:$B,2,FALSE),"-")</f>
        <v>- / -</v>
      </c>
      <c r="Z11" s="50"/>
      <c r="AA11" s="52"/>
      <c r="AB11" s="50"/>
    </row>
    <row r="12" spans="1:28" ht="21" customHeight="1" x14ac:dyDescent="0.15">
      <c r="A12" s="47">
        <v>48001110</v>
      </c>
      <c r="B12" s="47" t="s">
        <v>220</v>
      </c>
      <c r="C12" s="50">
        <v>1</v>
      </c>
      <c r="D12" s="50" t="s">
        <v>214</v>
      </c>
      <c r="E12" s="51" t="s">
        <v>277</v>
      </c>
      <c r="F12" s="51" t="s">
        <v>269</v>
      </c>
      <c r="G12" s="63" t="str">
        <f t="shared" si="0"/>
        <v>[effect:enhance_enemy, target:myself, turn:3, status:defense, val:2000, calc:add, animation:enemy_enhance_defense]</v>
      </c>
      <c r="H12" s="63">
        <f t="shared" si="1"/>
        <v>9</v>
      </c>
      <c r="I12" s="63">
        <f t="shared" si="2"/>
        <v>22</v>
      </c>
      <c r="J12" s="63">
        <f t="shared" si="3"/>
        <v>31</v>
      </c>
      <c r="K12" s="63">
        <f t="shared" si="4"/>
        <v>37</v>
      </c>
      <c r="L12" s="63" t="str">
        <f>IFERROR(VLOOKUP(MID(G12,J12,K12-J12),[6]skilldef!$C:$D,2,FALSE),"-") &amp; " / " &amp; IFERROR(VLOOKUP(MID(G12,H12,I12-H12),[6]skilldef!$A:$B,2,FALSE),"-")</f>
        <v>自分自身に / ステータス強化</v>
      </c>
      <c r="M12" s="63" t="str">
        <f t="shared" si="5"/>
        <v>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N12" s="48" t="str">
        <f t="shared" si="6"/>
        <v>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O12" s="63">
        <f t="shared" si="7"/>
        <v>9</v>
      </c>
      <c r="P12" s="63">
        <f t="shared" si="8"/>
        <v>18</v>
      </c>
      <c r="Q12" s="63">
        <f t="shared" si="9"/>
        <v>27</v>
      </c>
      <c r="R12" s="63">
        <f t="shared" si="10"/>
        <v>33</v>
      </c>
      <c r="S12" s="63" t="str">
        <f>IFERROR(VLOOKUP(MID(N12,Q12,R12-Q12),[6]skilldef!$C:$D,2,FALSE),"-") &amp; " / " &amp; IFERROR(VLOOKUP(MID(N12,O12,P12-O12),[6]skilldef!$A:$B,2,FALSE),"-")</f>
        <v>自分自身に / 状態異常耐性</v>
      </c>
      <c r="T12" s="48" t="str">
        <f t="shared" si="11"/>
        <v>[effect:tolerance, target:myself, turn:-1, tolerance_effect:virus, count:-1],[effect:tolerance, target:myself, turn:-1, tolerance_effect:sleep, count:-1, animation:enemy_tolerance]</v>
      </c>
      <c r="U12" s="63">
        <f t="shared" si="12"/>
        <v>9</v>
      </c>
      <c r="V12" s="63">
        <f t="shared" si="13"/>
        <v>18</v>
      </c>
      <c r="W12" s="63">
        <f t="shared" si="14"/>
        <v>27</v>
      </c>
      <c r="X12" s="63">
        <f t="shared" si="15"/>
        <v>33</v>
      </c>
      <c r="Y12" s="63" t="str">
        <f>IFERROR(VLOOKUP(MID(T12,W12,X12-W12),[6]skilldef!$C:$D,2,FALSE),"-") &amp; " / " &amp; IFERROR(VLOOKUP(MID(T12,U12,V12-U12),[6]skilldef!$A:$B,2,FALSE),"-")</f>
        <v>自分自身に / 状態異常耐性</v>
      </c>
      <c r="Z12" s="50"/>
      <c r="AA12" s="52"/>
      <c r="AB12" s="50"/>
    </row>
    <row r="13" spans="1:28" ht="21" customHeight="1" x14ac:dyDescent="0.15">
      <c r="A13" s="47">
        <v>48001111</v>
      </c>
      <c r="B13" s="47" t="s">
        <v>221</v>
      </c>
      <c r="C13" s="50">
        <v>1</v>
      </c>
      <c r="D13" s="50" t="s">
        <v>214</v>
      </c>
      <c r="E13" s="51" t="s">
        <v>278</v>
      </c>
      <c r="F13" s="51" t="s">
        <v>251</v>
      </c>
      <c r="G13" s="63" t="str">
        <f t="shared" si="0"/>
        <v>[effect:enhance_enemy, target:myself, turn:3, status:defense, val:8000, calc:add, animation:enemy_enhance_defense]</v>
      </c>
      <c r="H13" s="63">
        <f t="shared" si="1"/>
        <v>9</v>
      </c>
      <c r="I13" s="63">
        <f t="shared" si="2"/>
        <v>22</v>
      </c>
      <c r="J13" s="63">
        <f t="shared" si="3"/>
        <v>31</v>
      </c>
      <c r="K13" s="63">
        <f t="shared" si="4"/>
        <v>37</v>
      </c>
      <c r="L13" s="63" t="str">
        <f>IFERROR(VLOOKUP(MID(G13,J13,K13-J13),[6]skilldef!$C:$D,2,FALSE),"-") &amp; " / " &amp; IFERROR(VLOOKUP(MID(G13,H13,I13-H13),[6]skilldef!$A:$B,2,FALSE),"-")</f>
        <v>自分自身に / ステータス強化</v>
      </c>
      <c r="M13" s="63" t="str">
        <f t="shared" si="5"/>
        <v>[effect:spread, val:0.25]</v>
      </c>
      <c r="N13" s="48" t="str">
        <f t="shared" si="6"/>
        <v>[effect:spread, val:0.25]</v>
      </c>
      <c r="O13" s="63">
        <f t="shared" si="7"/>
        <v>9</v>
      </c>
      <c r="P13" s="63">
        <f t="shared" si="8"/>
        <v>15</v>
      </c>
      <c r="Q13" s="63" t="e">
        <f t="shared" si="9"/>
        <v>#VALUE!</v>
      </c>
      <c r="R13" s="63" t="e">
        <f t="shared" si="10"/>
        <v>#VALUE!</v>
      </c>
      <c r="S13" s="63" t="str">
        <f>IFERROR(VLOOKUP(MID(N13,Q13,R13-Q13),[6]skilldef!$C:$D,2,FALSE),"-") &amp; " / " &amp; IFERROR(VLOOKUP(MID(N13,O13,P13-O13),[6]skilldef!$A:$B,2,FALSE),"-")</f>
        <v>- / 全体攻撃</v>
      </c>
      <c r="T13" s="48" t="str">
        <f t="shared" si="11"/>
        <v>none</v>
      </c>
      <c r="U13" s="63" t="e">
        <f t="shared" si="12"/>
        <v>#VALUE!</v>
      </c>
      <c r="V13" s="63">
        <f t="shared" si="13"/>
        <v>4</v>
      </c>
      <c r="W13" s="63" t="e">
        <f t="shared" si="14"/>
        <v>#VALUE!</v>
      </c>
      <c r="X13" s="63" t="e">
        <f t="shared" si="15"/>
        <v>#VALUE!</v>
      </c>
      <c r="Y13" s="63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47">
        <v>48001112</v>
      </c>
      <c r="B14" s="47" t="s">
        <v>222</v>
      </c>
      <c r="C14" s="50">
        <v>1</v>
      </c>
      <c r="D14" s="50" t="s">
        <v>214</v>
      </c>
      <c r="E14" s="51" t="s">
        <v>275</v>
      </c>
      <c r="F14" s="51" t="s">
        <v>252</v>
      </c>
      <c r="G14" s="63" t="str">
        <f t="shared" si="0"/>
        <v>[effect:rush, count:2, val:0.65]</v>
      </c>
      <c r="H14" s="63">
        <f t="shared" si="1"/>
        <v>9</v>
      </c>
      <c r="I14" s="63">
        <f t="shared" si="2"/>
        <v>13</v>
      </c>
      <c r="J14" s="63" t="e">
        <f t="shared" si="3"/>
        <v>#VALUE!</v>
      </c>
      <c r="K14" s="63">
        <f t="shared" si="4"/>
        <v>22</v>
      </c>
      <c r="L14" s="63" t="str">
        <f>IFERROR(VLOOKUP(MID(G14,J14,K14-J14),[6]skilldef!$C:$D,2,FALSE),"-") &amp; " / " &amp; IFERROR(VLOOKUP(MID(G14,H14,I14-H14),[6]skilldef!$A:$B,2,FALSE),"-")</f>
        <v>- / 連続攻撃</v>
      </c>
      <c r="M14" s="63" t="str">
        <f t="shared" si="5"/>
        <v>none</v>
      </c>
      <c r="N14" s="48" t="str">
        <f t="shared" si="6"/>
        <v>none</v>
      </c>
      <c r="O14" s="63" t="e">
        <f t="shared" si="7"/>
        <v>#VALUE!</v>
      </c>
      <c r="P14" s="63">
        <f t="shared" si="8"/>
        <v>4</v>
      </c>
      <c r="Q14" s="63" t="e">
        <f t="shared" si="9"/>
        <v>#VALUE!</v>
      </c>
      <c r="R14" s="63" t="e">
        <f t="shared" si="10"/>
        <v>#VALUE!</v>
      </c>
      <c r="S14" s="63" t="str">
        <f>IFERROR(VLOOKUP(MID(N14,Q14,R14-Q14),[6]skilldef!$C:$D,2,FALSE),"-") &amp; " / " &amp; IFERROR(VLOOKUP(MID(N14,O14,P14-O14),[6]skilldef!$A:$B,2,FALSE),"-")</f>
        <v>- / -</v>
      </c>
      <c r="T14" s="48" t="str">
        <f t="shared" si="11"/>
        <v>none</v>
      </c>
      <c r="U14" s="63" t="e">
        <f t="shared" si="12"/>
        <v>#VALUE!</v>
      </c>
      <c r="V14" s="63">
        <f t="shared" si="13"/>
        <v>4</v>
      </c>
      <c r="W14" s="63" t="e">
        <f t="shared" si="14"/>
        <v>#VALUE!</v>
      </c>
      <c r="X14" s="63" t="e">
        <f t="shared" si="15"/>
        <v>#VALUE!</v>
      </c>
      <c r="Y14" s="63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ht="21" customHeight="1" x14ac:dyDescent="0.15">
      <c r="A15" s="47">
        <v>48001113</v>
      </c>
      <c r="B15" s="47" t="s">
        <v>223</v>
      </c>
      <c r="C15" s="50">
        <v>1</v>
      </c>
      <c r="D15" s="50" t="s">
        <v>214</v>
      </c>
      <c r="E15" s="51" t="s">
        <v>271</v>
      </c>
      <c r="F15" s="51" t="s">
        <v>252</v>
      </c>
      <c r="G15" s="63" t="str">
        <f t="shared" si="0"/>
        <v>[effect:rush, count:3, val:0.45]</v>
      </c>
      <c r="H15" s="63">
        <f t="shared" si="1"/>
        <v>9</v>
      </c>
      <c r="I15" s="63">
        <f t="shared" si="2"/>
        <v>13</v>
      </c>
      <c r="J15" s="63" t="e">
        <f t="shared" si="3"/>
        <v>#VALUE!</v>
      </c>
      <c r="K15" s="63">
        <f t="shared" si="4"/>
        <v>22</v>
      </c>
      <c r="L15" s="63" t="str">
        <f>IFERROR(VLOOKUP(MID(G15,J15,K15-J15),[6]skilldef!$C:$D,2,FALSE),"-") &amp; " / " &amp; IFERROR(VLOOKUP(MID(G15,H15,I15-H15),[6]skilldef!$A:$B,2,FALSE),"-")</f>
        <v>- / 連続攻撃</v>
      </c>
      <c r="M15" s="63" t="str">
        <f t="shared" si="5"/>
        <v>none</v>
      </c>
      <c r="N15" s="48" t="str">
        <f t="shared" si="6"/>
        <v>none</v>
      </c>
      <c r="O15" s="63" t="e">
        <f t="shared" si="7"/>
        <v>#VALUE!</v>
      </c>
      <c r="P15" s="63">
        <f t="shared" si="8"/>
        <v>4</v>
      </c>
      <c r="Q15" s="63" t="e">
        <f t="shared" si="9"/>
        <v>#VALUE!</v>
      </c>
      <c r="R15" s="63" t="e">
        <f t="shared" si="10"/>
        <v>#VALUE!</v>
      </c>
      <c r="S15" s="63" t="str">
        <f>IFERROR(VLOOKUP(MID(N15,Q15,R15-Q15),[6]skilldef!$C:$D,2,FALSE),"-") &amp; " / " &amp; IFERROR(VLOOKUP(MID(N15,O15,P15-O15),[6]skilldef!$A:$B,2,FALSE),"-")</f>
        <v>- / -</v>
      </c>
      <c r="T15" s="48" t="str">
        <f t="shared" si="11"/>
        <v>none</v>
      </c>
      <c r="U15" s="63" t="e">
        <f t="shared" si="12"/>
        <v>#VALUE!</v>
      </c>
      <c r="V15" s="63">
        <f t="shared" si="13"/>
        <v>4</v>
      </c>
      <c r="W15" s="63" t="e">
        <f t="shared" si="14"/>
        <v>#VALUE!</v>
      </c>
      <c r="X15" s="63" t="e">
        <f t="shared" si="15"/>
        <v>#VALUE!</v>
      </c>
      <c r="Y15" s="63" t="str">
        <f>IFERROR(VLOOKUP(MID(T15,W15,X15-W15),[6]skilldef!$C:$D,2,FALSE),"-") &amp; " / " &amp; IFERROR(VLOOKUP(MID(T15,U15,V15-U15),[6]skilldef!$A:$B,2,FALSE),"-")</f>
        <v>- / -</v>
      </c>
      <c r="Z15" s="50"/>
      <c r="AA15" s="52"/>
      <c r="AB15" s="50"/>
    </row>
    <row r="16" spans="1:28" ht="21" customHeight="1" x14ac:dyDescent="0.15">
      <c r="A16" s="47">
        <v>48001114</v>
      </c>
      <c r="B16" s="47" t="s">
        <v>224</v>
      </c>
      <c r="C16" s="50">
        <v>1</v>
      </c>
      <c r="D16" s="50" t="s">
        <v>214</v>
      </c>
      <c r="E16" s="51" t="s">
        <v>283</v>
      </c>
      <c r="F16" s="51" t="s">
        <v>252</v>
      </c>
      <c r="G16" s="63" t="str">
        <f t="shared" si="0"/>
        <v>[effect:rush, count:4, val:0.35]</v>
      </c>
      <c r="H16" s="63">
        <f t="shared" si="1"/>
        <v>9</v>
      </c>
      <c r="I16" s="63">
        <f t="shared" si="2"/>
        <v>13</v>
      </c>
      <c r="J16" s="63" t="e">
        <f t="shared" si="3"/>
        <v>#VALUE!</v>
      </c>
      <c r="K16" s="63">
        <f t="shared" si="4"/>
        <v>22</v>
      </c>
      <c r="L16" s="63" t="str">
        <f>IFERROR(VLOOKUP(MID(G16,J16,K16-J16),[6]skilldef!$C:$D,2,FALSE),"-") &amp; " / " &amp; IFERROR(VLOOKUP(MID(G16,H16,I16-H16),[6]skilldef!$A:$B,2,FALSE),"-")</f>
        <v>- / 連続攻撃</v>
      </c>
      <c r="M16" s="63" t="str">
        <f t="shared" si="5"/>
        <v>none</v>
      </c>
      <c r="N16" s="48" t="str">
        <f t="shared" si="6"/>
        <v>none</v>
      </c>
      <c r="O16" s="63" t="e">
        <f t="shared" si="7"/>
        <v>#VALUE!</v>
      </c>
      <c r="P16" s="63">
        <f t="shared" si="8"/>
        <v>4</v>
      </c>
      <c r="Q16" s="63" t="e">
        <f t="shared" si="9"/>
        <v>#VALUE!</v>
      </c>
      <c r="R16" s="63" t="e">
        <f t="shared" si="10"/>
        <v>#VALUE!</v>
      </c>
      <c r="S16" s="63" t="str">
        <f>IFERROR(VLOOKUP(MID(N16,Q16,R16-Q16),[6]skilldef!$C:$D,2,FALSE),"-") &amp; " / " &amp; IFERROR(VLOOKUP(MID(N16,O16,P16-O16),[6]skilldef!$A:$B,2,FALSE),"-")</f>
        <v>- / -</v>
      </c>
      <c r="T16" s="48" t="str">
        <f t="shared" si="11"/>
        <v>none</v>
      </c>
      <c r="U16" s="63" t="e">
        <f t="shared" si="12"/>
        <v>#VALUE!</v>
      </c>
      <c r="V16" s="63">
        <f t="shared" si="13"/>
        <v>4</v>
      </c>
      <c r="W16" s="63" t="e">
        <f t="shared" si="14"/>
        <v>#VALUE!</v>
      </c>
      <c r="X16" s="63" t="e">
        <f t="shared" si="15"/>
        <v>#VALUE!</v>
      </c>
      <c r="Y16" s="63" t="str">
        <f>IFERROR(VLOOKUP(MID(T16,W16,X16-W16),[6]skilldef!$C:$D,2,FALSE),"-") &amp; " / " &amp; IFERROR(VLOOKUP(MID(T16,U16,V16-U16),[6]skilldef!$A:$B,2,FALSE),"-")</f>
        <v>- / -</v>
      </c>
      <c r="Z16" s="50"/>
      <c r="AA16" s="52"/>
      <c r="AB16" s="50"/>
    </row>
    <row r="17" spans="1:28" ht="21" customHeight="1" x14ac:dyDescent="0.15">
      <c r="A17" s="47">
        <v>48001115</v>
      </c>
      <c r="B17" s="47" t="s">
        <v>225</v>
      </c>
      <c r="C17" s="50">
        <v>1</v>
      </c>
      <c r="D17" s="50" t="s">
        <v>214</v>
      </c>
      <c r="E17" s="51" t="s">
        <v>283</v>
      </c>
      <c r="F17" s="51" t="s">
        <v>252</v>
      </c>
      <c r="G17" s="63" t="str">
        <f t="shared" si="0"/>
        <v>[effect:rush, count:5, val:0.29]</v>
      </c>
      <c r="H17" s="63">
        <f t="shared" si="1"/>
        <v>9</v>
      </c>
      <c r="I17" s="63">
        <f t="shared" si="2"/>
        <v>13</v>
      </c>
      <c r="J17" s="63" t="e">
        <f t="shared" si="3"/>
        <v>#VALUE!</v>
      </c>
      <c r="K17" s="63">
        <f t="shared" si="4"/>
        <v>22</v>
      </c>
      <c r="L17" s="63" t="str">
        <f>IFERROR(VLOOKUP(MID(G17,J17,K17-J17),[6]skilldef!$C:$D,2,FALSE),"-") &amp; " / " &amp; IFERROR(VLOOKUP(MID(G17,H17,I17-H17),[6]skilldef!$A:$B,2,FALSE),"-")</f>
        <v>- / 連続攻撃</v>
      </c>
      <c r="M17" s="63" t="str">
        <f t="shared" si="5"/>
        <v>none</v>
      </c>
      <c r="N17" s="48" t="str">
        <f t="shared" si="6"/>
        <v>none</v>
      </c>
      <c r="O17" s="63" t="e">
        <f t="shared" si="7"/>
        <v>#VALUE!</v>
      </c>
      <c r="P17" s="63">
        <f t="shared" si="8"/>
        <v>4</v>
      </c>
      <c r="Q17" s="63" t="e">
        <f t="shared" si="9"/>
        <v>#VALUE!</v>
      </c>
      <c r="R17" s="63" t="e">
        <f t="shared" si="10"/>
        <v>#VALUE!</v>
      </c>
      <c r="S17" s="63" t="str">
        <f>IFERROR(VLOOKUP(MID(N17,Q17,R17-Q17),[6]skilldef!$C:$D,2,FALSE),"-") &amp; " / " &amp; IFERROR(VLOOKUP(MID(N17,O17,P17-O17),[6]skilldef!$A:$B,2,FALSE),"-")</f>
        <v>- / -</v>
      </c>
      <c r="T17" s="48" t="str">
        <f t="shared" si="11"/>
        <v>none</v>
      </c>
      <c r="U17" s="63" t="e">
        <f t="shared" si="12"/>
        <v>#VALUE!</v>
      </c>
      <c r="V17" s="63">
        <f t="shared" si="13"/>
        <v>4</v>
      </c>
      <c r="W17" s="63" t="e">
        <f t="shared" si="14"/>
        <v>#VALUE!</v>
      </c>
      <c r="X17" s="63" t="e">
        <f t="shared" si="15"/>
        <v>#VALUE!</v>
      </c>
      <c r="Y17" s="63" t="str">
        <f>IFERROR(VLOOKUP(MID(T17,W17,X17-W17),[6]skilldef!$C:$D,2,FALSE),"-") &amp; " / " &amp; IFERROR(VLOOKUP(MID(T17,U17,V17-U17),[6]skilldef!$A:$B,2,FALSE),"-")</f>
        <v>- / -</v>
      </c>
      <c r="Z17" s="50"/>
      <c r="AA17" s="52"/>
      <c r="AB17" s="50"/>
    </row>
    <row r="18" spans="1:28" ht="21" customHeight="1" x14ac:dyDescent="0.15">
      <c r="A18" s="47">
        <v>48001116</v>
      </c>
      <c r="B18" s="47" t="s">
        <v>281</v>
      </c>
      <c r="C18" s="50">
        <v>1</v>
      </c>
      <c r="D18" s="50" t="s">
        <v>214</v>
      </c>
      <c r="E18" s="51" t="s">
        <v>279</v>
      </c>
      <c r="F18" s="51" t="s">
        <v>253</v>
      </c>
      <c r="G18" s="63" t="str">
        <f t="shared" si="0"/>
        <v>[effect:enhance_enemy, target:myself, turn:3, status:defense, val:2000, calc:add, animation:enemy_enhance_defense]</v>
      </c>
      <c r="H18" s="63">
        <f t="shared" si="1"/>
        <v>9</v>
      </c>
      <c r="I18" s="63">
        <f t="shared" si="2"/>
        <v>22</v>
      </c>
      <c r="J18" s="63">
        <f t="shared" si="3"/>
        <v>31</v>
      </c>
      <c r="K18" s="63">
        <f t="shared" si="4"/>
        <v>37</v>
      </c>
      <c r="L18" s="63" t="str">
        <f>IFERROR(VLOOKUP(MID(G18,J18,K18-J18),[6]skilldef!$C:$D,2,FALSE),"-") &amp; " / " &amp; IFERROR(VLOOKUP(MID(G18,H18,I18-H18),[6]skilldef!$A:$B,2,FALSE),"-")</f>
        <v>自分自身に / ステータス強化</v>
      </c>
      <c r="M18" s="63" t="str">
        <f t="shared" si="5"/>
        <v>[effect:tolerance, target:myself, turn:-1, tolerance_effect:hungup, count:-1],[effect:tolerance, target:myself, turn:-1, tolerance_effect:virus, count:-1],[effect:tolerance, target:myself, turn:-1, tolerance_effect:sleep, count:-1, animation:enemy_tolerance]</v>
      </c>
      <c r="N18" s="48" t="str">
        <f t="shared" si="6"/>
        <v>[effect:tolerance, target:myself, turn:-1, tolerance_effect:hungup, count:-1]</v>
      </c>
      <c r="O18" s="63">
        <f t="shared" si="7"/>
        <v>9</v>
      </c>
      <c r="P18" s="63">
        <f t="shared" si="8"/>
        <v>18</v>
      </c>
      <c r="Q18" s="63">
        <f t="shared" si="9"/>
        <v>27</v>
      </c>
      <c r="R18" s="63">
        <f t="shared" si="10"/>
        <v>33</v>
      </c>
      <c r="S18" s="63" t="str">
        <f>IFERROR(VLOOKUP(MID(N18,Q18,R18-Q18),[6]skilldef!$C:$D,2,FALSE),"-") &amp; " / " &amp; IFERROR(VLOOKUP(MID(N18,O18,P18-O18),[6]skilldef!$A:$B,2,FALSE),"-")</f>
        <v>自分自身に / 状態異常耐性</v>
      </c>
      <c r="T18" s="48" t="str">
        <f t="shared" si="11"/>
        <v>[effect:tolerance, target:myself, turn:-1, tolerance_effect:virus, count:-1],[effect:tolerance, target:myself, turn:-1, tolerance_effect:sleep, count:-1, animation:enemy_tolerance]</v>
      </c>
      <c r="U18" s="63">
        <f t="shared" si="12"/>
        <v>9</v>
      </c>
      <c r="V18" s="63">
        <f t="shared" si="13"/>
        <v>18</v>
      </c>
      <c r="W18" s="63">
        <f t="shared" si="14"/>
        <v>27</v>
      </c>
      <c r="X18" s="63">
        <f t="shared" si="15"/>
        <v>33</v>
      </c>
      <c r="Y18" s="63" t="str">
        <f>IFERROR(VLOOKUP(MID(T18,W18,X18-W18),[6]skilldef!$C:$D,2,FALSE),"-") &amp; " / " &amp; IFERROR(VLOOKUP(MID(T18,U18,V18-U18),[6]skilldef!$A:$B,2,FALSE),"-")</f>
        <v>自分自身に / 状態異常耐性</v>
      </c>
      <c r="Z18" s="50"/>
      <c r="AA18" s="52"/>
      <c r="AB18" s="50"/>
    </row>
    <row r="19" spans="1:28" ht="21" customHeight="1" x14ac:dyDescent="0.15">
      <c r="A19" s="47">
        <v>48001117</v>
      </c>
      <c r="B19" s="47" t="s">
        <v>226</v>
      </c>
      <c r="C19" s="50">
        <v>1</v>
      </c>
      <c r="D19" s="50" t="s">
        <v>214</v>
      </c>
      <c r="E19" s="51" t="s">
        <v>273</v>
      </c>
      <c r="F19" s="51" t="s">
        <v>254</v>
      </c>
      <c r="G19" s="63" t="str">
        <f t="shared" si="0"/>
        <v>[effect:rush, count:3, val:0.5]</v>
      </c>
      <c r="H19" s="63">
        <f t="shared" si="1"/>
        <v>9</v>
      </c>
      <c r="I19" s="63">
        <f t="shared" si="2"/>
        <v>13</v>
      </c>
      <c r="J19" s="63" t="e">
        <f t="shared" si="3"/>
        <v>#VALUE!</v>
      </c>
      <c r="K19" s="63">
        <f t="shared" si="4"/>
        <v>22</v>
      </c>
      <c r="L19" s="63" t="str">
        <f>IFERROR(VLOOKUP(MID(G19,J19,K19-J19),[6]skilldef!$C:$D,2,FALSE),"-") &amp; " / " &amp; IFERROR(VLOOKUP(MID(G19,H19,I19-H19),[6]skilldef!$A:$B,2,FALSE),"-")</f>
        <v>- / 連続攻撃</v>
      </c>
      <c r="M19" s="63" t="str">
        <f t="shared" si="5"/>
        <v>none</v>
      </c>
      <c r="N19" s="48" t="str">
        <f t="shared" si="6"/>
        <v>none</v>
      </c>
      <c r="O19" s="63" t="e">
        <f t="shared" si="7"/>
        <v>#VALUE!</v>
      </c>
      <c r="P19" s="63">
        <f t="shared" si="8"/>
        <v>4</v>
      </c>
      <c r="Q19" s="63" t="e">
        <f t="shared" si="9"/>
        <v>#VALUE!</v>
      </c>
      <c r="R19" s="63" t="e">
        <f t="shared" si="10"/>
        <v>#VALUE!</v>
      </c>
      <c r="S19" s="63" t="str">
        <f>IFERROR(VLOOKUP(MID(N19,Q19,R19-Q19),[6]skilldef!$C:$D,2,FALSE),"-") &amp; " / " &amp; IFERROR(VLOOKUP(MID(N19,O19,P19-O19),[6]skilldef!$A:$B,2,FALSE),"-")</f>
        <v>- / -</v>
      </c>
      <c r="T19" s="48" t="str">
        <f t="shared" si="11"/>
        <v>none</v>
      </c>
      <c r="U19" s="63" t="e">
        <f t="shared" si="12"/>
        <v>#VALUE!</v>
      </c>
      <c r="V19" s="63">
        <f t="shared" si="13"/>
        <v>4</v>
      </c>
      <c r="W19" s="63" t="e">
        <f t="shared" si="14"/>
        <v>#VALUE!</v>
      </c>
      <c r="X19" s="63" t="e">
        <f t="shared" si="15"/>
        <v>#VALUE!</v>
      </c>
      <c r="Y19" s="63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47">
        <v>48001118</v>
      </c>
      <c r="B20" s="47" t="s">
        <v>280</v>
      </c>
      <c r="C20" s="50">
        <v>1</v>
      </c>
      <c r="D20" s="50" t="s">
        <v>214</v>
      </c>
      <c r="E20" s="51" t="s">
        <v>272</v>
      </c>
      <c r="F20" s="51" t="s">
        <v>256</v>
      </c>
      <c r="G20" s="63" t="str">
        <f t="shared" si="0"/>
        <v>[effect:degrade_unit, target:unit_all, turn:3, status:attack, val:0.8, calc:mul]</v>
      </c>
      <c r="H20" s="63">
        <f t="shared" si="1"/>
        <v>9</v>
      </c>
      <c r="I20" s="63">
        <f t="shared" si="2"/>
        <v>21</v>
      </c>
      <c r="J20" s="63">
        <f t="shared" si="3"/>
        <v>30</v>
      </c>
      <c r="K20" s="63">
        <f t="shared" si="4"/>
        <v>38</v>
      </c>
      <c r="L20" s="63" t="str">
        <f>IFERROR(VLOOKUP(MID(G20,J20,K20-J20),[6]skilldef!$C:$D,2,FALSE),"-") &amp; " / " &amp; IFERROR(VLOOKUP(MID(G20,H20,I20-H20),[6]skilldef!$A:$B,2,FALSE),"-")</f>
        <v>味方全体に / ステータスDOWN</v>
      </c>
      <c r="M20" s="63" t="str">
        <f t="shared" si="5"/>
        <v>[effect:spread, val:0.25]</v>
      </c>
      <c r="N20" s="48" t="str">
        <f t="shared" si="6"/>
        <v>[effect:spread, val:0.25]</v>
      </c>
      <c r="O20" s="63">
        <f t="shared" si="7"/>
        <v>9</v>
      </c>
      <c r="P20" s="63">
        <f t="shared" si="8"/>
        <v>15</v>
      </c>
      <c r="Q20" s="63" t="e">
        <f t="shared" si="9"/>
        <v>#VALUE!</v>
      </c>
      <c r="R20" s="63" t="e">
        <f t="shared" si="10"/>
        <v>#VALUE!</v>
      </c>
      <c r="S20" s="63" t="str">
        <f>IFERROR(VLOOKUP(MID(N20,Q20,R20-Q20),[6]skilldef!$C:$D,2,FALSE),"-") &amp; " / " &amp; IFERROR(VLOOKUP(MID(N20,O20,P20-O20),[6]skilldef!$A:$B,2,FALSE),"-")</f>
        <v>- / 全体攻撃</v>
      </c>
      <c r="T20" s="48" t="str">
        <f t="shared" si="11"/>
        <v>none</v>
      </c>
      <c r="U20" s="63" t="e">
        <f t="shared" si="12"/>
        <v>#VALUE!</v>
      </c>
      <c r="V20" s="63">
        <f t="shared" si="13"/>
        <v>4</v>
      </c>
      <c r="W20" s="63" t="e">
        <f t="shared" si="14"/>
        <v>#VALUE!</v>
      </c>
      <c r="X20" s="63" t="e">
        <f t="shared" si="15"/>
        <v>#VALUE!</v>
      </c>
      <c r="Y20" s="63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47">
        <v>48001119</v>
      </c>
      <c r="B21" s="47" t="s">
        <v>227</v>
      </c>
      <c r="C21" s="50">
        <v>1</v>
      </c>
      <c r="D21" s="50" t="s">
        <v>214</v>
      </c>
      <c r="E21" s="51" t="s">
        <v>276</v>
      </c>
      <c r="F21" s="51" t="s">
        <v>274</v>
      </c>
      <c r="G21" s="63" t="str">
        <f t="shared" si="0"/>
        <v>[effect:critical, val:1.7]</v>
      </c>
      <c r="H21" s="63">
        <f t="shared" si="1"/>
        <v>9</v>
      </c>
      <c r="I21" s="63">
        <f t="shared" si="2"/>
        <v>17</v>
      </c>
      <c r="J21" s="63" t="e">
        <f t="shared" si="3"/>
        <v>#VALUE!</v>
      </c>
      <c r="K21" s="63" t="e">
        <f t="shared" si="4"/>
        <v>#VALUE!</v>
      </c>
      <c r="L21" s="63" t="str">
        <f>IFERROR(VLOOKUP(MID(G21,J21,K21-J21),[6]skilldef!$C:$D,2,FALSE),"-") &amp; " / " &amp; IFERROR(VLOOKUP(MID(G21,H21,I21-H21),[6]skilldef!$A:$B,2,FALSE),"-")</f>
        <v>- / 大攻撃</v>
      </c>
      <c r="M21" s="63" t="str">
        <f t="shared" si="5"/>
        <v>none</v>
      </c>
      <c r="N21" s="48" t="str">
        <f t="shared" si="6"/>
        <v>none</v>
      </c>
      <c r="O21" s="63" t="e">
        <f t="shared" si="7"/>
        <v>#VALUE!</v>
      </c>
      <c r="P21" s="63">
        <f t="shared" si="8"/>
        <v>4</v>
      </c>
      <c r="Q21" s="63" t="e">
        <f t="shared" si="9"/>
        <v>#VALUE!</v>
      </c>
      <c r="R21" s="63" t="e">
        <f t="shared" si="10"/>
        <v>#VALUE!</v>
      </c>
      <c r="S21" s="63" t="str">
        <f>IFERROR(VLOOKUP(MID(N21,Q21,R21-Q21),[6]skilldef!$C:$D,2,FALSE),"-") &amp; " / " &amp; IFERROR(VLOOKUP(MID(N21,O21,P21-O21),[6]skilldef!$A:$B,2,FALSE),"-")</f>
        <v>- / -</v>
      </c>
      <c r="T21" s="48" t="str">
        <f t="shared" si="11"/>
        <v>none</v>
      </c>
      <c r="U21" s="63" t="e">
        <f t="shared" si="12"/>
        <v>#VALUE!</v>
      </c>
      <c r="V21" s="63">
        <f t="shared" si="13"/>
        <v>4</v>
      </c>
      <c r="W21" s="63" t="e">
        <f t="shared" si="14"/>
        <v>#VALUE!</v>
      </c>
      <c r="X21" s="63" t="e">
        <f t="shared" si="15"/>
        <v>#VALUE!</v>
      </c>
      <c r="Y21" s="63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21" customHeight="1" x14ac:dyDescent="0.15">
      <c r="A22" s="47">
        <v>48001120</v>
      </c>
      <c r="B22" s="47" t="s">
        <v>240</v>
      </c>
      <c r="C22" s="50">
        <v>1</v>
      </c>
      <c r="D22" s="50" t="s">
        <v>214</v>
      </c>
      <c r="E22" s="98" t="s">
        <v>258</v>
      </c>
      <c r="F22" s="97" t="s">
        <v>257</v>
      </c>
      <c r="G22" s="63" t="str">
        <f t="shared" si="0"/>
        <v>[effect:freq_turn, target:myself, turn:-1, val:1, animation:enemy_freq_turn]</v>
      </c>
      <c r="H22" s="63">
        <f t="shared" si="1"/>
        <v>9</v>
      </c>
      <c r="I22" s="63">
        <f t="shared" si="2"/>
        <v>18</v>
      </c>
      <c r="J22" s="63">
        <f t="shared" si="3"/>
        <v>27</v>
      </c>
      <c r="K22" s="63">
        <f t="shared" si="4"/>
        <v>33</v>
      </c>
      <c r="L22" s="63" t="str">
        <f>IFERROR(VLOOKUP(MID(G22,J22,K22-J22),[6]skilldef!$C:$D,2,FALSE),"-") &amp; " / " &amp; IFERROR(VLOOKUP(MID(G22,H22,I22-H22),[6]skilldef!$A:$B,2,FALSE),"-")</f>
        <v>自分自身に / 攻撃頻度がUP</v>
      </c>
      <c r="M22" s="63" t="str">
        <f t="shared" si="5"/>
        <v>none</v>
      </c>
      <c r="N22" s="48" t="str">
        <f t="shared" si="6"/>
        <v>none</v>
      </c>
      <c r="O22" s="63" t="e">
        <f t="shared" si="7"/>
        <v>#VALUE!</v>
      </c>
      <c r="P22" s="63">
        <f t="shared" si="8"/>
        <v>4</v>
      </c>
      <c r="Q22" s="63" t="e">
        <f t="shared" si="9"/>
        <v>#VALUE!</v>
      </c>
      <c r="R22" s="63" t="e">
        <f t="shared" si="10"/>
        <v>#VALUE!</v>
      </c>
      <c r="S22" s="63" t="str">
        <f>IFERROR(VLOOKUP(MID(N22,Q22,R22-Q22),[6]skilldef!$C:$D,2,FALSE),"-") &amp; " / " &amp; IFERROR(VLOOKUP(MID(N22,O22,P22-O22),[6]skilldef!$A:$B,2,FALSE),"-")</f>
        <v>- / -</v>
      </c>
      <c r="T22" s="48" t="str">
        <f t="shared" si="11"/>
        <v>none</v>
      </c>
      <c r="U22" s="63" t="e">
        <f t="shared" si="12"/>
        <v>#VALUE!</v>
      </c>
      <c r="V22" s="63">
        <f t="shared" si="13"/>
        <v>4</v>
      </c>
      <c r="W22" s="63" t="e">
        <f t="shared" si="14"/>
        <v>#VALUE!</v>
      </c>
      <c r="X22" s="63" t="e">
        <f t="shared" si="15"/>
        <v>#VALUE!</v>
      </c>
      <c r="Y22" s="63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2"/>
  <sheetViews>
    <sheetView showGridLines="0" zoomScale="75" zoomScaleNormal="75" zoomScalePageLayoutView="75" workbookViewId="0">
      <pane ySplit="1" topLeftCell="A2" activePane="bottomLeft" state="frozenSplit"/>
      <selection pane="bottomLeft" activeCell="M17" sqref="M17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48001100</v>
      </c>
      <c r="B2" s="47">
        <v>0</v>
      </c>
      <c r="C2" s="47" t="s">
        <v>53</v>
      </c>
      <c r="D2" s="47">
        <v>75</v>
      </c>
      <c r="E2" s="47" t="s">
        <v>53</v>
      </c>
      <c r="F2" s="47" t="s">
        <v>53</v>
      </c>
      <c r="G2" s="47" t="s">
        <v>53</v>
      </c>
      <c r="H2" s="47" t="s">
        <v>53</v>
      </c>
      <c r="I2" s="47" t="s">
        <v>53</v>
      </c>
      <c r="J2" s="48">
        <f t="shared" ref="J2:J22" si="0">D2</f>
        <v>75</v>
      </c>
    </row>
    <row r="3" spans="1:11" ht="21" customHeight="1" x14ac:dyDescent="0.15">
      <c r="A3" s="47">
        <v>48001101</v>
      </c>
      <c r="B3" s="48">
        <v>0</v>
      </c>
      <c r="C3" s="48">
        <v>100</v>
      </c>
      <c r="D3" s="48">
        <v>100</v>
      </c>
      <c r="E3" s="48">
        <v>50</v>
      </c>
      <c r="F3" s="48" t="s">
        <v>53</v>
      </c>
      <c r="G3" s="48">
        <v>1</v>
      </c>
      <c r="H3" s="48" t="s">
        <v>53</v>
      </c>
      <c r="I3" s="48" t="s">
        <v>53</v>
      </c>
      <c r="J3" s="48">
        <f t="shared" si="0"/>
        <v>100</v>
      </c>
    </row>
    <row r="4" spans="1:11" ht="21" customHeight="1" x14ac:dyDescent="0.15">
      <c r="A4" s="47">
        <v>48001102</v>
      </c>
      <c r="B4" s="48">
        <v>0</v>
      </c>
      <c r="C4" s="48">
        <v>100</v>
      </c>
      <c r="D4" s="48">
        <v>100</v>
      </c>
      <c r="E4" s="48">
        <v>50</v>
      </c>
      <c r="F4" s="48" t="s">
        <v>53</v>
      </c>
      <c r="G4" s="48">
        <v>1</v>
      </c>
      <c r="H4" s="48" t="s">
        <v>53</v>
      </c>
      <c r="I4" s="48" t="s">
        <v>53</v>
      </c>
      <c r="J4" s="48">
        <f t="shared" si="0"/>
        <v>100</v>
      </c>
    </row>
    <row r="5" spans="1:11" ht="21" customHeight="1" x14ac:dyDescent="0.15">
      <c r="A5" s="47">
        <v>48001103</v>
      </c>
      <c r="B5" s="48">
        <v>0</v>
      </c>
      <c r="C5" s="48">
        <v>100</v>
      </c>
      <c r="D5" s="48">
        <v>100</v>
      </c>
      <c r="E5" s="48">
        <v>50</v>
      </c>
      <c r="F5" s="48" t="s">
        <v>53</v>
      </c>
      <c r="G5" s="48">
        <v>1</v>
      </c>
      <c r="H5" s="48" t="s">
        <v>53</v>
      </c>
      <c r="I5" s="48" t="s">
        <v>53</v>
      </c>
      <c r="J5" s="48">
        <f t="shared" si="0"/>
        <v>100</v>
      </c>
    </row>
    <row r="6" spans="1:11" ht="21" customHeight="1" x14ac:dyDescent="0.15">
      <c r="A6" s="47">
        <v>48001104</v>
      </c>
      <c r="B6" s="48">
        <v>0</v>
      </c>
      <c r="C6" s="48" t="s">
        <v>53</v>
      </c>
      <c r="D6" s="48">
        <v>75</v>
      </c>
      <c r="E6" s="48" t="s">
        <v>53</v>
      </c>
      <c r="F6" s="48" t="s">
        <v>53</v>
      </c>
      <c r="G6" s="48" t="s">
        <v>53</v>
      </c>
      <c r="H6" s="48" t="s">
        <v>53</v>
      </c>
      <c r="I6" s="48" t="s">
        <v>53</v>
      </c>
      <c r="J6" s="48">
        <f t="shared" si="0"/>
        <v>75</v>
      </c>
    </row>
    <row r="7" spans="1:11" ht="21" customHeight="1" x14ac:dyDescent="0.15">
      <c r="A7" s="47">
        <v>48001105</v>
      </c>
      <c r="B7" s="48">
        <v>0</v>
      </c>
      <c r="C7" s="48" t="s">
        <v>53</v>
      </c>
      <c r="D7" s="48">
        <v>75</v>
      </c>
      <c r="E7" s="48" t="s">
        <v>53</v>
      </c>
      <c r="F7" s="48" t="s">
        <v>53</v>
      </c>
      <c r="G7" s="48">
        <v>2</v>
      </c>
      <c r="H7" s="48" t="s">
        <v>53</v>
      </c>
      <c r="I7" s="48" t="s">
        <v>53</v>
      </c>
      <c r="J7" s="48">
        <f t="shared" si="0"/>
        <v>75</v>
      </c>
    </row>
    <row r="8" spans="1:11" ht="21" customHeight="1" x14ac:dyDescent="0.15">
      <c r="A8" s="47">
        <v>48001106</v>
      </c>
      <c r="B8" s="48">
        <v>0</v>
      </c>
      <c r="C8" s="48" t="s">
        <v>53</v>
      </c>
      <c r="D8" s="48">
        <v>75</v>
      </c>
      <c r="E8" s="48" t="s">
        <v>53</v>
      </c>
      <c r="F8" s="48" t="s">
        <v>53</v>
      </c>
      <c r="G8" s="48">
        <v>2</v>
      </c>
      <c r="H8" s="48" t="s">
        <v>53</v>
      </c>
      <c r="I8" s="48" t="s">
        <v>53</v>
      </c>
      <c r="J8" s="48">
        <f t="shared" si="0"/>
        <v>75</v>
      </c>
    </row>
    <row r="9" spans="1:11" ht="21" customHeight="1" x14ac:dyDescent="0.15">
      <c r="A9" s="47">
        <v>48001107</v>
      </c>
      <c r="B9" s="48">
        <v>0</v>
      </c>
      <c r="C9" s="48" t="s">
        <v>53</v>
      </c>
      <c r="D9" s="48">
        <v>60</v>
      </c>
      <c r="E9" s="48" t="s">
        <v>53</v>
      </c>
      <c r="F9" s="48" t="s">
        <v>53</v>
      </c>
      <c r="G9" s="48" t="s">
        <v>53</v>
      </c>
      <c r="H9" s="48" t="s">
        <v>53</v>
      </c>
      <c r="I9" s="48" t="s">
        <v>53</v>
      </c>
      <c r="J9" s="48">
        <f t="shared" si="0"/>
        <v>60</v>
      </c>
    </row>
    <row r="10" spans="1:11" ht="21" customHeight="1" x14ac:dyDescent="0.15">
      <c r="A10" s="47">
        <v>48001108</v>
      </c>
      <c r="B10" s="48">
        <v>0</v>
      </c>
      <c r="C10" s="48">
        <v>50</v>
      </c>
      <c r="D10" s="48">
        <v>35</v>
      </c>
      <c r="E10" s="48" t="s">
        <v>53</v>
      </c>
      <c r="F10" s="48" t="s">
        <v>53</v>
      </c>
      <c r="G10" s="48">
        <v>2</v>
      </c>
      <c r="H10" s="48" t="s">
        <v>53</v>
      </c>
      <c r="I10" s="48" t="s">
        <v>53</v>
      </c>
      <c r="J10" s="48">
        <f t="shared" si="0"/>
        <v>35</v>
      </c>
    </row>
    <row r="11" spans="1:11" ht="21" customHeight="1" x14ac:dyDescent="0.15">
      <c r="A11" s="47">
        <v>48001109</v>
      </c>
      <c r="B11" s="48">
        <v>0</v>
      </c>
      <c r="C11" s="48">
        <v>90</v>
      </c>
      <c r="D11" s="48">
        <v>100</v>
      </c>
      <c r="E11" s="48">
        <v>50</v>
      </c>
      <c r="F11" s="48" t="s">
        <v>53</v>
      </c>
      <c r="G11" s="48">
        <v>1</v>
      </c>
      <c r="H11" s="48" t="s">
        <v>53</v>
      </c>
      <c r="I11" s="48" t="s">
        <v>53</v>
      </c>
      <c r="J11" s="48">
        <f t="shared" si="0"/>
        <v>100</v>
      </c>
    </row>
    <row r="12" spans="1:11" ht="21" customHeight="1" x14ac:dyDescent="0.15">
      <c r="A12" s="47">
        <v>48001110</v>
      </c>
      <c r="B12" s="48">
        <v>1</v>
      </c>
      <c r="C12" s="48">
        <v>100</v>
      </c>
      <c r="D12" s="48">
        <v>100</v>
      </c>
      <c r="E12" s="48" t="s">
        <v>53</v>
      </c>
      <c r="F12" s="48" t="s">
        <v>53</v>
      </c>
      <c r="G12" s="48">
        <v>1</v>
      </c>
      <c r="H12" s="48" t="s">
        <v>53</v>
      </c>
      <c r="I12" s="48" t="s">
        <v>53</v>
      </c>
      <c r="J12" s="48">
        <f t="shared" si="0"/>
        <v>100</v>
      </c>
    </row>
    <row r="13" spans="1:11" ht="21" customHeight="1" thickBot="1" x14ac:dyDescent="0.2">
      <c r="A13" s="100">
        <v>48001111</v>
      </c>
      <c r="B13" s="101">
        <v>0</v>
      </c>
      <c r="C13" s="101">
        <v>90</v>
      </c>
      <c r="D13" s="101">
        <v>100</v>
      </c>
      <c r="E13" s="48">
        <v>50</v>
      </c>
      <c r="F13" s="48" t="s">
        <v>53</v>
      </c>
      <c r="G13" s="48">
        <v>1</v>
      </c>
      <c r="H13" s="48" t="s">
        <v>53</v>
      </c>
      <c r="I13" s="48" t="s">
        <v>53</v>
      </c>
      <c r="J13" s="48">
        <f t="shared" si="0"/>
        <v>100</v>
      </c>
    </row>
    <row r="14" spans="1:11" ht="21" customHeight="1" x14ac:dyDescent="0.15">
      <c r="A14" s="102">
        <v>48001112</v>
      </c>
      <c r="B14" s="103">
        <v>0</v>
      </c>
      <c r="C14" s="103">
        <v>80</v>
      </c>
      <c r="D14" s="104">
        <v>25</v>
      </c>
      <c r="E14" s="105" t="s">
        <v>53</v>
      </c>
      <c r="F14" s="48" t="s">
        <v>53</v>
      </c>
      <c r="G14" s="48" t="s">
        <v>53</v>
      </c>
      <c r="H14" s="48" t="s">
        <v>53</v>
      </c>
      <c r="I14" s="48" t="s">
        <v>53</v>
      </c>
      <c r="J14" s="48">
        <f t="shared" si="0"/>
        <v>25</v>
      </c>
    </row>
    <row r="15" spans="1:11" ht="21" customHeight="1" x14ac:dyDescent="0.15">
      <c r="A15" s="106">
        <v>48001113</v>
      </c>
      <c r="B15" s="48">
        <v>0</v>
      </c>
      <c r="C15" s="48">
        <v>70</v>
      </c>
      <c r="D15" s="107">
        <v>33</v>
      </c>
      <c r="E15" s="105" t="s">
        <v>53</v>
      </c>
      <c r="F15" s="48" t="s">
        <v>53</v>
      </c>
      <c r="G15" s="48" t="s">
        <v>53</v>
      </c>
      <c r="H15" s="48" t="s">
        <v>53</v>
      </c>
      <c r="I15" s="48" t="s">
        <v>53</v>
      </c>
      <c r="J15" s="48">
        <f t="shared" si="0"/>
        <v>33</v>
      </c>
    </row>
    <row r="16" spans="1:11" ht="21" customHeight="1" x14ac:dyDescent="0.15">
      <c r="A16" s="106">
        <v>48001114</v>
      </c>
      <c r="B16" s="48">
        <v>0</v>
      </c>
      <c r="C16" s="48">
        <v>60</v>
      </c>
      <c r="D16" s="107">
        <v>50</v>
      </c>
      <c r="E16" s="105" t="s">
        <v>53</v>
      </c>
      <c r="F16" s="48" t="s">
        <v>53</v>
      </c>
      <c r="G16" s="48" t="s">
        <v>53</v>
      </c>
      <c r="H16" s="48" t="s">
        <v>53</v>
      </c>
      <c r="I16" s="48" t="s">
        <v>53</v>
      </c>
      <c r="J16" s="48">
        <f t="shared" si="0"/>
        <v>50</v>
      </c>
    </row>
    <row r="17" spans="1:10" ht="21" customHeight="1" thickBot="1" x14ac:dyDescent="0.2">
      <c r="A17" s="108">
        <v>48001115</v>
      </c>
      <c r="B17" s="109">
        <v>0</v>
      </c>
      <c r="C17" s="109">
        <v>50</v>
      </c>
      <c r="D17" s="110">
        <v>80</v>
      </c>
      <c r="E17" s="105" t="s">
        <v>53</v>
      </c>
      <c r="F17" s="48" t="s">
        <v>53</v>
      </c>
      <c r="G17" s="48" t="s">
        <v>53</v>
      </c>
      <c r="H17" s="48" t="s">
        <v>53</v>
      </c>
      <c r="I17" s="48" t="s">
        <v>53</v>
      </c>
      <c r="J17" s="48">
        <f t="shared" si="0"/>
        <v>80</v>
      </c>
    </row>
    <row r="18" spans="1:10" ht="21" customHeight="1" x14ac:dyDescent="0.15">
      <c r="A18" s="111">
        <v>48001116</v>
      </c>
      <c r="B18" s="112">
        <v>1</v>
      </c>
      <c r="C18" s="112">
        <v>100</v>
      </c>
      <c r="D18" s="112">
        <v>100</v>
      </c>
      <c r="E18" s="48" t="s">
        <v>53</v>
      </c>
      <c r="F18" s="48" t="s">
        <v>53</v>
      </c>
      <c r="G18" s="48">
        <v>1</v>
      </c>
      <c r="H18" s="48" t="s">
        <v>53</v>
      </c>
      <c r="I18" s="48" t="s">
        <v>53</v>
      </c>
      <c r="J18" s="48">
        <f t="shared" si="0"/>
        <v>100</v>
      </c>
    </row>
    <row r="19" spans="1:10" ht="21" customHeight="1" x14ac:dyDescent="0.15">
      <c r="A19" s="47">
        <v>48001117</v>
      </c>
      <c r="B19" s="48">
        <v>0</v>
      </c>
      <c r="C19" s="48">
        <v>90</v>
      </c>
      <c r="D19" s="48">
        <v>65</v>
      </c>
      <c r="E19" s="48" t="s">
        <v>53</v>
      </c>
      <c r="F19" s="48">
        <v>50</v>
      </c>
      <c r="G19" s="48" t="s">
        <v>53</v>
      </c>
      <c r="H19" s="48" t="s">
        <v>53</v>
      </c>
      <c r="I19" s="48" t="s">
        <v>53</v>
      </c>
      <c r="J19" s="48">
        <f t="shared" si="0"/>
        <v>65</v>
      </c>
    </row>
    <row r="20" spans="1:10" ht="21" customHeight="1" x14ac:dyDescent="0.15">
      <c r="A20" s="47">
        <v>48001118</v>
      </c>
      <c r="B20" s="48">
        <v>0</v>
      </c>
      <c r="C20" s="48">
        <v>80</v>
      </c>
      <c r="D20" s="48">
        <v>100</v>
      </c>
      <c r="E20" s="48">
        <v>50</v>
      </c>
      <c r="F20" s="48" t="s">
        <v>53</v>
      </c>
      <c r="G20" s="48">
        <v>1</v>
      </c>
      <c r="H20" s="48" t="s">
        <v>53</v>
      </c>
      <c r="I20" s="48" t="s">
        <v>53</v>
      </c>
      <c r="J20" s="48">
        <f t="shared" si="0"/>
        <v>100</v>
      </c>
    </row>
    <row r="21" spans="1:10" ht="21" customHeight="1" x14ac:dyDescent="0.15">
      <c r="A21" s="47">
        <v>48001119</v>
      </c>
      <c r="B21" s="48">
        <v>0</v>
      </c>
      <c r="C21" s="48">
        <v>70</v>
      </c>
      <c r="D21" s="48">
        <v>90</v>
      </c>
      <c r="E21" s="48">
        <v>50</v>
      </c>
      <c r="F21" s="48" t="s">
        <v>53</v>
      </c>
      <c r="G21" s="48" t="s">
        <v>53</v>
      </c>
      <c r="H21" s="48" t="s">
        <v>53</v>
      </c>
      <c r="I21" s="48" t="s">
        <v>53</v>
      </c>
      <c r="J21" s="48">
        <f t="shared" si="0"/>
        <v>90</v>
      </c>
    </row>
    <row r="22" spans="1:10" ht="21" customHeight="1" x14ac:dyDescent="0.15">
      <c r="A22" s="47">
        <v>48001120</v>
      </c>
      <c r="B22" s="48">
        <v>0</v>
      </c>
      <c r="C22" s="48">
        <v>100</v>
      </c>
      <c r="D22" s="48">
        <v>100</v>
      </c>
      <c r="E22" s="48">
        <v>50</v>
      </c>
      <c r="F22" s="48" t="s">
        <v>53</v>
      </c>
      <c r="G22" s="48">
        <v>1</v>
      </c>
      <c r="H22" s="48" t="s">
        <v>53</v>
      </c>
      <c r="I22" s="48" t="s">
        <v>53</v>
      </c>
      <c r="J22" s="48">
        <f t="shared" si="0"/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workbookViewId="0">
      <selection activeCell="H19" sqref="H19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149</v>
      </c>
      <c r="B1" s="64" t="s">
        <v>150</v>
      </c>
      <c r="C1" s="65" t="s">
        <v>151</v>
      </c>
      <c r="D1" s="71" t="s">
        <v>152</v>
      </c>
      <c r="E1" s="66" t="s">
        <v>153</v>
      </c>
      <c r="F1" s="64" t="s">
        <v>154</v>
      </c>
      <c r="G1" s="64" t="s">
        <v>155</v>
      </c>
      <c r="H1" s="64" t="s">
        <v>156</v>
      </c>
      <c r="I1" s="64" t="s">
        <v>157</v>
      </c>
      <c r="J1" s="64" t="s">
        <v>158</v>
      </c>
      <c r="K1" s="64" t="s">
        <v>159</v>
      </c>
      <c r="L1" s="64" t="s">
        <v>160</v>
      </c>
      <c r="M1" s="64" t="s">
        <v>161</v>
      </c>
      <c r="N1" s="64" t="s">
        <v>162</v>
      </c>
      <c r="O1" s="64" t="s">
        <v>163</v>
      </c>
      <c r="P1" s="64" t="s">
        <v>164</v>
      </c>
      <c r="Q1" s="64" t="s">
        <v>165</v>
      </c>
      <c r="R1" s="64" t="s">
        <v>166</v>
      </c>
    </row>
    <row r="2" spans="1:18" x14ac:dyDescent="0.15">
      <c r="A2" s="57">
        <v>48001</v>
      </c>
      <c r="B2" s="116">
        <v>1</v>
      </c>
      <c r="C2" s="117" t="str">
        <f t="shared" ref="C2:C11" si="0">A2&amp; "_"&amp;B2</f>
        <v>48001_1</v>
      </c>
      <c r="D2" s="117" t="str">
        <f>VLOOKUP(C2,[2]stages!$A:$AE,31,FALSE)</f>
        <v>everyone</v>
      </c>
      <c r="E2" s="116">
        <v>1</v>
      </c>
      <c r="F2" s="116" t="s">
        <v>167</v>
      </c>
      <c r="G2" s="116">
        <v>40000</v>
      </c>
      <c r="H2" s="116" t="s">
        <v>53</v>
      </c>
      <c r="I2" s="116">
        <v>1</v>
      </c>
      <c r="J2" s="116">
        <v>1</v>
      </c>
      <c r="K2" s="116">
        <v>0</v>
      </c>
      <c r="L2" s="116">
        <v>0</v>
      </c>
      <c r="M2" s="116">
        <v>0</v>
      </c>
      <c r="N2" s="116">
        <v>0</v>
      </c>
      <c r="O2" s="116">
        <v>1</v>
      </c>
      <c r="P2" s="116">
        <v>150</v>
      </c>
      <c r="Q2" s="116" t="s">
        <v>168</v>
      </c>
      <c r="R2" s="116" t="s">
        <v>169</v>
      </c>
    </row>
    <row r="3" spans="1:18" x14ac:dyDescent="0.15">
      <c r="A3" s="57">
        <v>48001</v>
      </c>
      <c r="B3" s="116">
        <v>1</v>
      </c>
      <c r="C3" s="117" t="str">
        <f t="shared" si="0"/>
        <v>48001_1</v>
      </c>
      <c r="D3" s="117" t="str">
        <f>VLOOKUP(C3,[2]stages!$A:$AE,31,FALSE)</f>
        <v>everyone</v>
      </c>
      <c r="E3" s="116">
        <v>2</v>
      </c>
      <c r="F3" s="116" t="s">
        <v>285</v>
      </c>
      <c r="G3" s="116">
        <v>30</v>
      </c>
      <c r="H3" s="116" t="s">
        <v>286</v>
      </c>
      <c r="I3" s="116">
        <v>1</v>
      </c>
      <c r="J3" s="116">
        <v>1</v>
      </c>
      <c r="K3" s="116">
        <v>0</v>
      </c>
      <c r="L3" s="116">
        <v>0</v>
      </c>
      <c r="M3" s="116">
        <v>0</v>
      </c>
      <c r="N3" s="116">
        <v>0</v>
      </c>
      <c r="O3" s="116">
        <v>1</v>
      </c>
      <c r="P3" s="116">
        <v>150</v>
      </c>
      <c r="Q3" s="116" t="s">
        <v>168</v>
      </c>
      <c r="R3" s="116" t="s">
        <v>169</v>
      </c>
    </row>
    <row r="4" spans="1:18" x14ac:dyDescent="0.15">
      <c r="A4" s="57">
        <v>48001</v>
      </c>
      <c r="B4" s="116">
        <v>1</v>
      </c>
      <c r="C4" s="117" t="str">
        <f t="shared" si="0"/>
        <v>48001_1</v>
      </c>
      <c r="D4" s="117" t="str">
        <f>VLOOKUP(C4,[2]stages!$A:$AE,31,FALSE)</f>
        <v>everyone</v>
      </c>
      <c r="E4" s="116">
        <v>3</v>
      </c>
      <c r="F4" s="116" t="s">
        <v>287</v>
      </c>
      <c r="G4" s="116">
        <v>341</v>
      </c>
      <c r="H4" s="116">
        <v>1</v>
      </c>
      <c r="I4" s="116">
        <v>1</v>
      </c>
      <c r="J4" s="116">
        <v>1</v>
      </c>
      <c r="K4" s="116">
        <v>0</v>
      </c>
      <c r="L4" s="116">
        <v>0</v>
      </c>
      <c r="M4" s="116">
        <v>0</v>
      </c>
      <c r="N4" s="116">
        <v>0</v>
      </c>
      <c r="O4" s="116">
        <v>1</v>
      </c>
      <c r="P4" s="116">
        <v>28</v>
      </c>
      <c r="Q4" s="116" t="s">
        <v>168</v>
      </c>
      <c r="R4" s="116" t="s">
        <v>169</v>
      </c>
    </row>
    <row r="5" spans="1:18" x14ac:dyDescent="0.15">
      <c r="A5" s="57">
        <v>48001</v>
      </c>
      <c r="B5" s="116">
        <v>1</v>
      </c>
      <c r="C5" s="117" t="str">
        <f t="shared" si="0"/>
        <v>48001_1</v>
      </c>
      <c r="D5" s="117" t="str">
        <f>VLOOKUP(C5,[2]stages!$A:$AE,31,FALSE)</f>
        <v>everyone</v>
      </c>
      <c r="E5" s="116">
        <v>4</v>
      </c>
      <c r="F5" s="116" t="s">
        <v>288</v>
      </c>
      <c r="G5" s="116">
        <v>342</v>
      </c>
      <c r="H5" s="116">
        <v>1</v>
      </c>
      <c r="I5" s="116">
        <v>1</v>
      </c>
      <c r="J5" s="116">
        <v>1</v>
      </c>
      <c r="K5" s="116">
        <v>0</v>
      </c>
      <c r="L5" s="116">
        <v>0</v>
      </c>
      <c r="M5" s="116">
        <v>0</v>
      </c>
      <c r="N5" s="116">
        <v>0</v>
      </c>
      <c r="O5" s="116">
        <v>1</v>
      </c>
      <c r="P5" s="116">
        <v>112</v>
      </c>
      <c r="Q5" s="116" t="s">
        <v>168</v>
      </c>
      <c r="R5" s="116" t="s">
        <v>169</v>
      </c>
    </row>
    <row r="6" spans="1:18" x14ac:dyDescent="0.15">
      <c r="A6" s="57">
        <v>48001</v>
      </c>
      <c r="B6" s="116">
        <v>1</v>
      </c>
      <c r="C6" s="117" t="str">
        <f t="shared" si="0"/>
        <v>48001_1</v>
      </c>
      <c r="D6" s="117" t="str">
        <f>VLOOKUP(C6,[2]stages!$A:$AE,31,FALSE)</f>
        <v>everyone</v>
      </c>
      <c r="E6" s="116">
        <v>5</v>
      </c>
      <c r="F6" s="116" t="s">
        <v>289</v>
      </c>
      <c r="G6" s="116">
        <v>121</v>
      </c>
      <c r="H6" s="116">
        <v>1</v>
      </c>
      <c r="I6" s="116">
        <v>1</v>
      </c>
      <c r="J6" s="116">
        <v>1</v>
      </c>
      <c r="K6" s="116">
        <v>0</v>
      </c>
      <c r="L6" s="116">
        <v>0</v>
      </c>
      <c r="M6" s="116">
        <v>0</v>
      </c>
      <c r="N6" s="116">
        <v>0</v>
      </c>
      <c r="O6" s="116">
        <v>1</v>
      </c>
      <c r="P6" s="116">
        <v>50</v>
      </c>
      <c r="Q6" s="116" t="s">
        <v>168</v>
      </c>
      <c r="R6" s="116" t="s">
        <v>169</v>
      </c>
    </row>
    <row r="7" spans="1:18" x14ac:dyDescent="0.15">
      <c r="A7" s="57">
        <v>48001</v>
      </c>
      <c r="B7" s="116">
        <v>1</v>
      </c>
      <c r="C7" s="117" t="str">
        <f t="shared" si="0"/>
        <v>48001_1</v>
      </c>
      <c r="D7" s="117" t="str">
        <f>VLOOKUP(C7,[2]stages!$A:$AE,31,FALSE)</f>
        <v>everyone</v>
      </c>
      <c r="E7" s="116">
        <v>6</v>
      </c>
      <c r="F7" s="116" t="s">
        <v>289</v>
      </c>
      <c r="G7" s="116">
        <v>122</v>
      </c>
      <c r="H7" s="116">
        <v>1</v>
      </c>
      <c r="I7" s="116">
        <v>1</v>
      </c>
      <c r="J7" s="116">
        <v>1</v>
      </c>
      <c r="K7" s="116">
        <v>0</v>
      </c>
      <c r="L7" s="116">
        <v>0</v>
      </c>
      <c r="M7" s="116">
        <v>0</v>
      </c>
      <c r="N7" s="116">
        <v>0</v>
      </c>
      <c r="O7" s="116">
        <v>1</v>
      </c>
      <c r="P7" s="116">
        <v>50</v>
      </c>
      <c r="Q7" s="116" t="s">
        <v>168</v>
      </c>
      <c r="R7" s="116" t="s">
        <v>169</v>
      </c>
    </row>
    <row r="8" spans="1:18" x14ac:dyDescent="0.15">
      <c r="A8" s="57">
        <v>48001</v>
      </c>
      <c r="B8" s="116">
        <v>1</v>
      </c>
      <c r="C8" s="117" t="str">
        <f t="shared" si="0"/>
        <v>48001_1</v>
      </c>
      <c r="D8" s="117" t="str">
        <f>VLOOKUP(C8,[2]stages!$A:$AE,31,FALSE)</f>
        <v>everyone</v>
      </c>
      <c r="E8" s="116">
        <v>7</v>
      </c>
      <c r="F8" s="116" t="s">
        <v>289</v>
      </c>
      <c r="G8" s="116">
        <v>123</v>
      </c>
      <c r="H8" s="116">
        <v>1</v>
      </c>
      <c r="I8" s="116">
        <v>1</v>
      </c>
      <c r="J8" s="116">
        <v>1</v>
      </c>
      <c r="K8" s="116">
        <v>0</v>
      </c>
      <c r="L8" s="116">
        <v>0</v>
      </c>
      <c r="M8" s="116">
        <v>0</v>
      </c>
      <c r="N8" s="116">
        <v>0</v>
      </c>
      <c r="O8" s="116">
        <v>1</v>
      </c>
      <c r="P8" s="116">
        <v>50</v>
      </c>
      <c r="Q8" s="116" t="s">
        <v>168</v>
      </c>
      <c r="R8" s="116" t="s">
        <v>169</v>
      </c>
    </row>
    <row r="9" spans="1:18" x14ac:dyDescent="0.15">
      <c r="A9" s="57">
        <v>48001</v>
      </c>
      <c r="B9" s="116">
        <v>1</v>
      </c>
      <c r="C9" s="117" t="str">
        <f t="shared" si="0"/>
        <v>48001_1</v>
      </c>
      <c r="D9" s="117" t="str">
        <f>VLOOKUP(C9,[2]stages!$A:$AE,31,FALSE)</f>
        <v>everyone</v>
      </c>
      <c r="E9" s="116">
        <v>8</v>
      </c>
      <c r="F9" s="116" t="s">
        <v>289</v>
      </c>
      <c r="G9" s="116">
        <v>125</v>
      </c>
      <c r="H9" s="116">
        <v>1</v>
      </c>
      <c r="I9" s="116">
        <v>1</v>
      </c>
      <c r="J9" s="116">
        <v>1</v>
      </c>
      <c r="K9" s="116">
        <v>0</v>
      </c>
      <c r="L9" s="116">
        <v>0</v>
      </c>
      <c r="M9" s="116">
        <v>0</v>
      </c>
      <c r="N9" s="116">
        <v>0</v>
      </c>
      <c r="O9" s="116">
        <v>1</v>
      </c>
      <c r="P9" s="116">
        <v>10</v>
      </c>
      <c r="Q9" s="116" t="s">
        <v>168</v>
      </c>
      <c r="R9" s="116" t="s">
        <v>169</v>
      </c>
    </row>
    <row r="10" spans="1:18" x14ac:dyDescent="0.15">
      <c r="A10" s="57">
        <v>48001</v>
      </c>
      <c r="B10" s="116">
        <v>1</v>
      </c>
      <c r="C10" s="117" t="str">
        <f t="shared" si="0"/>
        <v>48001_1</v>
      </c>
      <c r="D10" s="117" t="str">
        <f>VLOOKUP(C10,[2]stages!$A:$AE,31,FALSE)</f>
        <v>everyone</v>
      </c>
      <c r="E10" s="116">
        <v>9</v>
      </c>
      <c r="F10" s="116" t="s">
        <v>289</v>
      </c>
      <c r="G10" s="116">
        <v>8003</v>
      </c>
      <c r="H10" s="116">
        <v>1</v>
      </c>
      <c r="I10" s="116">
        <v>1</v>
      </c>
      <c r="J10" s="116">
        <v>1</v>
      </c>
      <c r="K10" s="116">
        <v>0</v>
      </c>
      <c r="L10" s="116">
        <v>0</v>
      </c>
      <c r="M10" s="116">
        <v>0</v>
      </c>
      <c r="N10" s="116">
        <v>0</v>
      </c>
      <c r="O10" s="116">
        <v>1</v>
      </c>
      <c r="P10" s="116">
        <v>250</v>
      </c>
      <c r="Q10" s="116" t="s">
        <v>168</v>
      </c>
      <c r="R10" s="116" t="s">
        <v>169</v>
      </c>
    </row>
    <row r="11" spans="1:18" x14ac:dyDescent="0.15">
      <c r="A11" s="57">
        <v>48001</v>
      </c>
      <c r="B11" s="116">
        <v>1</v>
      </c>
      <c r="C11" s="117" t="str">
        <f t="shared" si="0"/>
        <v>48001_1</v>
      </c>
      <c r="D11" s="117" t="str">
        <f>VLOOKUP(C11,[2]stages!$A:$AE,31,FALSE)</f>
        <v>everyone</v>
      </c>
      <c r="E11" s="116">
        <v>10</v>
      </c>
      <c r="F11" s="116" t="s">
        <v>289</v>
      </c>
      <c r="G11" s="116">
        <v>352</v>
      </c>
      <c r="H11" s="116">
        <v>1</v>
      </c>
      <c r="I11" s="116">
        <v>1</v>
      </c>
      <c r="J11" s="116">
        <v>1</v>
      </c>
      <c r="K11" s="116">
        <v>0</v>
      </c>
      <c r="L11" s="116">
        <v>0</v>
      </c>
      <c r="M11" s="116">
        <v>0</v>
      </c>
      <c r="N11" s="116">
        <v>0</v>
      </c>
      <c r="O11" s="116">
        <v>1</v>
      </c>
      <c r="P11" s="116">
        <v>150</v>
      </c>
      <c r="Q11" s="116" t="s">
        <v>168</v>
      </c>
      <c r="R11" s="116" t="s">
        <v>169</v>
      </c>
    </row>
  </sheetData>
  <phoneticPr fontId="5"/>
  <dataValidations disablePrompts="1"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40"/>
  <sheetViews>
    <sheetView showGridLines="0" workbookViewId="0">
      <pane ySplit="1" topLeftCell="A2" activePane="bottomLeft" state="frozen"/>
      <selection pane="bottomLeft" activeCell="O39" sqref="O39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186</v>
      </c>
      <c r="B1" s="72" t="s">
        <v>187</v>
      </c>
      <c r="C1" s="77" t="s">
        <v>188</v>
      </c>
      <c r="D1" s="77" t="s">
        <v>33</v>
      </c>
      <c r="E1" s="72" t="s">
        <v>189</v>
      </c>
      <c r="F1" s="77" t="s">
        <v>190</v>
      </c>
      <c r="G1" s="77" t="s">
        <v>33</v>
      </c>
      <c r="H1" s="72" t="s">
        <v>191</v>
      </c>
      <c r="I1" s="91" t="s">
        <v>193</v>
      </c>
      <c r="J1" s="79" t="s">
        <v>125</v>
      </c>
      <c r="K1" s="78" t="s">
        <v>185</v>
      </c>
      <c r="L1" s="92" t="s">
        <v>184</v>
      </c>
      <c r="M1" s="80" t="s">
        <v>194</v>
      </c>
    </row>
    <row r="2" spans="1:13" x14ac:dyDescent="0.15">
      <c r="A2" s="81" t="s">
        <v>199</v>
      </c>
      <c r="B2" s="82">
        <f>floors!$C$2</f>
        <v>48001</v>
      </c>
      <c r="C2" s="83" t="str">
        <f ca="1">VLOOKUP($B2,OFFSET([2]quests!$A$1,0,0,COUNTA([2]quests!$A:$A),MATCH(C$1,[2]quests!$1:$1,0)-MATCH($B$1,[2]quests!$1:$1,0)+1),MATCH(C$1,[2]quests!$1:$1,0)-MATCH($B$1,[2]quests!$1:$1,0)+1,FALSE)</f>
        <v>蛟龍襲来！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台湾版降臨1</v>
      </c>
      <c r="E2" s="87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【ウィザード級】蛟龍襲来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台湾版降臨1</v>
      </c>
      <c r="H2" s="85">
        <v>0</v>
      </c>
      <c r="I2">
        <v>12</v>
      </c>
      <c r="J2" s="84" t="s">
        <v>196</v>
      </c>
      <c r="K2" s="93" t="str">
        <f>VLOOKUP(I2,[7]stage_hints!$A:$C,3,FALSE)</f>
        <v>ユニットのお気に入り登録</v>
      </c>
      <c r="L2" s="94" t="str">
        <f>VLOOKUP(I2,[7]stage_hints!$A:$D,4,FALSE)</f>
        <v>大事なユニットを誤って消さないように_x000D_フォルダから「お気に入り登録」しましょう</v>
      </c>
      <c r="M2" s="57" t="s">
        <v>209</v>
      </c>
    </row>
    <row r="3" spans="1:13" x14ac:dyDescent="0.15">
      <c r="A3" s="81" t="s">
        <v>199</v>
      </c>
      <c r="B3" s="82">
        <f>floors!$C$2</f>
        <v>48001</v>
      </c>
      <c r="C3" s="83" t="str">
        <f ca="1">VLOOKUP($B3,OFFSET([2]quests!$A$1,0,0,COUNTA([2]quests!$A:$A),MATCH(C$1,[2]quests!$1:$1,0)-MATCH($B$1,[2]quests!$1:$1,0)+1),MATCH(C$1,[2]quests!$1:$1,0)-MATCH($B$1,[2]quests!$1:$1,0)+1,FALSE)</f>
        <v>蛟龍襲来！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台湾版降臨1</v>
      </c>
      <c r="E3" s="87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【ウィザード級】蛟龍襲来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台湾版降臨1</v>
      </c>
      <c r="H3" s="85">
        <v>0</v>
      </c>
      <c r="I3">
        <v>17</v>
      </c>
      <c r="J3" s="84" t="s">
        <v>196</v>
      </c>
      <c r="K3" s="93" t="str">
        <f>VLOOKUP(I3,[7]stage_hints!$A:$C,3,FALSE)</f>
        <v>リンクガチャ</v>
      </c>
      <c r="L3" s="94" t="str">
        <f>VLOOKUP(I3,[7]stage_hints!$A:$D,4,FALSE)</f>
        <v>無料のリンクガチャを回して_x000D_経験値素材や売却素材を獲得しましょう</v>
      </c>
      <c r="M3" s="57" t="s">
        <v>209</v>
      </c>
    </row>
    <row r="4" spans="1:13" x14ac:dyDescent="0.15">
      <c r="A4" s="81" t="s">
        <v>199</v>
      </c>
      <c r="B4" s="82">
        <f>floors!$C$2</f>
        <v>48001</v>
      </c>
      <c r="C4" s="83" t="str">
        <f ca="1">VLOOKUP($B4,OFFSET([2]quests!$A$1,0,0,COUNTA([2]quests!$A:$A),MATCH(C$1,[2]quests!$1:$1,0)-MATCH($B$1,[2]quests!$1:$1,0)+1),MATCH(C$1,[2]quests!$1:$1,0)-MATCH($B$1,[2]quests!$1:$1,0)+1,FALSE)</f>
        <v>蛟龍襲来！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台湾版降臨1</v>
      </c>
      <c r="E4" s="87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【ウィザード級】蛟龍襲来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台湾版降臨1</v>
      </c>
      <c r="H4" s="85">
        <v>0</v>
      </c>
      <c r="I4">
        <v>19</v>
      </c>
      <c r="J4" s="84" t="s">
        <v>196</v>
      </c>
      <c r="K4" s="93" t="str">
        <f>VLOOKUP(I4,[7]stage_hints!$A:$C,3,FALSE)</f>
        <v>ソロ専用チャレンジタワー</v>
      </c>
      <c r="L4" s="94" t="str">
        <f>VLOOKUP(I4,[7]stage_hints!$A:$D,4,FALSE)</f>
        <v>ソロ専用の「チャレンジタワー」では_x000D_各フロアごとにクリア報酬がもらえます</v>
      </c>
      <c r="M4" s="57" t="s">
        <v>209</v>
      </c>
    </row>
    <row r="5" spans="1:13" x14ac:dyDescent="0.15">
      <c r="A5" s="81" t="s">
        <v>199</v>
      </c>
      <c r="B5" s="82">
        <f>floors!$C$2</f>
        <v>48001</v>
      </c>
      <c r="C5" s="83" t="str">
        <f ca="1">VLOOKUP($B5,OFFSET([2]quests!$A$1,0,0,COUNTA([2]quests!$A:$A),MATCH(C$1,[2]quests!$1:$1,0)-MATCH($B$1,[2]quests!$1:$1,0)+1),MATCH(C$1,[2]quests!$1:$1,0)-MATCH($B$1,[2]quests!$1:$1,0)+1,FALSE)</f>
        <v>蛟龍襲来！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台湾版降臨1</v>
      </c>
      <c r="E5" s="87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【ウィザード級】蛟龍襲来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台湾版降臨1</v>
      </c>
      <c r="H5" s="85">
        <v>0</v>
      </c>
      <c r="I5">
        <v>21</v>
      </c>
      <c r="J5" s="84" t="s">
        <v>196</v>
      </c>
      <c r="K5" s="93" t="str">
        <f>VLOOKUP(I5,[7]stage_hints!$A:$C,3,FALSE)</f>
        <v>スキルを有効に</v>
      </c>
      <c r="L5" s="94" t="str">
        <f>VLOOKUP(I5,[7]stage_hints!$A:$D,4,FALSE)</f>
        <v>ターン経過でユニットのスキルが使えます_x000D_強力スキルでバトルを有利に進めましょう</v>
      </c>
      <c r="M5" s="57" t="s">
        <v>209</v>
      </c>
    </row>
    <row r="6" spans="1:13" x14ac:dyDescent="0.15">
      <c r="A6" s="81" t="s">
        <v>199</v>
      </c>
      <c r="B6" s="82">
        <f>floors!$C$2</f>
        <v>48001</v>
      </c>
      <c r="C6" s="83" t="str">
        <f ca="1">VLOOKUP($B6,OFFSET([2]quests!$A$1,0,0,COUNTA([2]quests!$A:$A),MATCH(C$1,[2]quests!$1:$1,0)-MATCH($B$1,[2]quests!$1:$1,0)+1),MATCH(C$1,[2]quests!$1:$1,0)-MATCH($B$1,[2]quests!$1:$1,0)+1,FALSE)</f>
        <v>蛟龍襲来！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台湾版降臨1</v>
      </c>
      <c r="E6" s="87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【ウィザード級】蛟龍襲来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台湾版降臨1</v>
      </c>
      <c r="H6" s="85">
        <v>0</v>
      </c>
      <c r="I6">
        <v>29</v>
      </c>
      <c r="J6" s="84" t="s">
        <v>196</v>
      </c>
      <c r="K6" s="93" t="str">
        <f>VLOOKUP(I6,[7]stage_hints!$A:$C,3,FALSE)</f>
        <v>「バグ」のメリット</v>
      </c>
      <c r="L6" s="94" t="str">
        <f>VLOOKUP(I6,[7]stage_hints!$A:$D,4,FALSE)</f>
        <v>ユニットの「バグ」を増やすと_x000D_報酬をもらえる確率がアップします</v>
      </c>
      <c r="M6" s="57" t="s">
        <v>209</v>
      </c>
    </row>
    <row r="7" spans="1:13" x14ac:dyDescent="0.15">
      <c r="A7" s="81" t="s">
        <v>199</v>
      </c>
      <c r="B7" s="82">
        <f>floors!$C$2</f>
        <v>48001</v>
      </c>
      <c r="C7" s="83" t="str">
        <f ca="1">VLOOKUP($B7,OFFSET([2]quests!$A$1,0,0,COUNTA([2]quests!$A:$A),MATCH(C$1,[2]quests!$1:$1,0)-MATCH($B$1,[2]quests!$1:$1,0)+1),MATCH(C$1,[2]quests!$1:$1,0)-MATCH($B$1,[2]quests!$1:$1,0)+1,FALSE)</f>
        <v>蛟龍襲来！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台湾版降臨1</v>
      </c>
      <c r="E7" s="87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【ウィザード級】蛟龍襲来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台湾版降臨1</v>
      </c>
      <c r="H7" s="85">
        <v>0</v>
      </c>
      <c r="I7">
        <v>30</v>
      </c>
      <c r="J7" s="84" t="s">
        <v>196</v>
      </c>
      <c r="K7" s="93" t="str">
        <f>VLOOKUP(I7,[7]stage_hints!$A:$C,3,FALSE)</f>
        <v>「バグ」の増やし方</v>
      </c>
      <c r="L7" s="94" t="str">
        <f>VLOOKUP(I7,[7]stage_hints!$A:$D,4,FALSE)</f>
        <v>同じユニット同士を強化で合成すると_x000D_「バグ」を増やすことができます</v>
      </c>
      <c r="M7" s="57" t="s">
        <v>209</v>
      </c>
    </row>
    <row r="8" spans="1:13" x14ac:dyDescent="0.15">
      <c r="A8" s="81" t="s">
        <v>199</v>
      </c>
      <c r="B8" s="82">
        <f>floors!$C$2</f>
        <v>48001</v>
      </c>
      <c r="C8" s="83" t="str">
        <f ca="1">VLOOKUP($B8,OFFSET([2]quests!$A$1,0,0,COUNTA([2]quests!$A:$A),MATCH(C$1,[2]quests!$1:$1,0)-MATCH($B$1,[2]quests!$1:$1,0)+1),MATCH(C$1,[2]quests!$1:$1,0)-MATCH($B$1,[2]quests!$1:$1,0)+1,FALSE)</f>
        <v>蛟龍襲来！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台湾版降臨1</v>
      </c>
      <c r="E8" s="87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【ウィザード級】蛟龍襲来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台湾版降臨1</v>
      </c>
      <c r="H8" s="85">
        <v>0</v>
      </c>
      <c r="I8">
        <v>32</v>
      </c>
      <c r="J8" s="84" t="s">
        <v>196</v>
      </c>
      <c r="K8" s="93" t="str">
        <f>VLOOKUP(I8,[7]stage_hints!$A:$C,3,FALSE)</f>
        <v>敵の連続攻撃には</v>
      </c>
      <c r="L8" s="94" t="str">
        <f>VLOOKUP(I8,[7]stage_hints!$A:$D,4,FALSE)</f>
        <v>カウンタースキルを持つユニットがいれば_x000D_ダメージ回数分の反撃ができます</v>
      </c>
      <c r="M8" s="57" t="s">
        <v>209</v>
      </c>
    </row>
    <row r="9" spans="1:13" x14ac:dyDescent="0.15">
      <c r="A9" s="81" t="s">
        <v>199</v>
      </c>
      <c r="B9" s="82">
        <f>floors!$C$2</f>
        <v>48001</v>
      </c>
      <c r="C9" s="83" t="str">
        <f ca="1">VLOOKUP($B9,OFFSET([2]quests!$A$1,0,0,COUNTA([2]quests!$A:$A),MATCH(C$1,[2]quests!$1:$1,0)-MATCH($B$1,[2]quests!$1:$1,0)+1),MATCH(C$1,[2]quests!$1:$1,0)-MATCH($B$1,[2]quests!$1:$1,0)+1,FALSE)</f>
        <v>蛟龍襲来！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台湾版降臨1</v>
      </c>
      <c r="E9" s="87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【ウィザード級】蛟龍襲来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台湾版降臨1</v>
      </c>
      <c r="H9" s="85">
        <v>0</v>
      </c>
      <c r="I9">
        <v>33</v>
      </c>
      <c r="J9" s="84" t="s">
        <v>196</v>
      </c>
      <c r="K9" s="93" t="str">
        <f>VLOOKUP(I9,[7]stage_hints!$A:$C,3,FALSE)</f>
        <v>敵のカウンター攻撃には</v>
      </c>
      <c r="L9" s="94" t="str">
        <f>VLOOKUP(I9,[7]stage_hints!$A:$D,4,FALSE)</f>
        <v>カウンターブレイクスキルを持っていれば_x000D_敵のカウンターを解除して攻撃ができます</v>
      </c>
      <c r="M9" s="57" t="s">
        <v>209</v>
      </c>
    </row>
    <row r="10" spans="1:13" x14ac:dyDescent="0.15">
      <c r="A10" s="81" t="s">
        <v>199</v>
      </c>
      <c r="B10" s="82">
        <f>floors!$C$2</f>
        <v>48001</v>
      </c>
      <c r="C10" s="83" t="str">
        <f ca="1">VLOOKUP($B10,OFFSET([2]quests!$A$1,0,0,COUNTA([2]quests!$A:$A),MATCH(C$1,[2]quests!$1:$1,0)-MATCH($B$1,[2]quests!$1:$1,0)+1),MATCH(C$1,[2]quests!$1:$1,0)-MATCH($B$1,[2]quests!$1:$1,0)+1,FALSE)</f>
        <v>蛟龍襲来！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台湾版降臨1</v>
      </c>
      <c r="E10" s="87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【ウィザード級】蛟龍襲来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台湾版降臨1</v>
      </c>
      <c r="H10" s="85">
        <v>0</v>
      </c>
      <c r="I10">
        <v>34</v>
      </c>
      <c r="J10" s="84" t="s">
        <v>196</v>
      </c>
      <c r="K10" s="93" t="str">
        <f>VLOOKUP(I10,[7]stage_hints!$A:$C,3,FALSE)</f>
        <v>ステータスをスキルで下げられたら</v>
      </c>
      <c r="L10" s="94" t="str">
        <f>VLOOKUP(I10,[7]stage_hints!$A:$D,4,FALSE)</f>
        <v>ステータスダウンのスキルを受けたら_x000D_ステータスアップスキルで上書きしましょう</v>
      </c>
      <c r="M10" s="57" t="s">
        <v>209</v>
      </c>
    </row>
    <row r="11" spans="1:13" x14ac:dyDescent="0.15">
      <c r="A11" s="81" t="s">
        <v>199</v>
      </c>
      <c r="B11" s="82">
        <f>floors!$C$2</f>
        <v>48001</v>
      </c>
      <c r="C11" s="83" t="str">
        <f ca="1">VLOOKUP($B11,OFFSET([2]quests!$A$1,0,0,COUNTA([2]quests!$A:$A),MATCH(C$1,[2]quests!$1:$1,0)-MATCH($B$1,[2]quests!$1:$1,0)+1),MATCH(C$1,[2]quests!$1:$1,0)-MATCH($B$1,[2]quests!$1:$1,0)+1,FALSE)</f>
        <v>蛟龍襲来！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台湾版降臨1</v>
      </c>
      <c r="E11" s="87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【ウィザード級】蛟龍襲来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台湾版降臨1</v>
      </c>
      <c r="H11" s="85">
        <v>0</v>
      </c>
      <c r="I11">
        <v>35</v>
      </c>
      <c r="J11" s="84" t="s">
        <v>196</v>
      </c>
      <c r="K11" s="93" t="str">
        <f>VLOOKUP(I11,[7]stage_hints!$A:$C,3,FALSE)</f>
        <v>敵のステータスがスキルで上がったら</v>
      </c>
      <c r="L11" s="94" t="str">
        <f>VLOOKUP(I11,[7]stage_hints!$A:$D,4,FALSE)</f>
        <v>敵のステータスがスキルでアップしたときは_x000D_ステータスダウンスキルで上書きしましょう</v>
      </c>
      <c r="M11" s="57" t="s">
        <v>209</v>
      </c>
    </row>
    <row r="12" spans="1:13" x14ac:dyDescent="0.15">
      <c r="A12" s="81" t="s">
        <v>199</v>
      </c>
      <c r="B12" s="82">
        <f>floors!$C$2</f>
        <v>48001</v>
      </c>
      <c r="C12" s="83" t="str">
        <f ca="1">VLOOKUP($B12,OFFSET([2]quests!$A$1,0,0,COUNTA([2]quests!$A:$A),MATCH(C$1,[2]quests!$1:$1,0)-MATCH($B$1,[2]quests!$1:$1,0)+1),MATCH(C$1,[2]quests!$1:$1,0)-MATCH($B$1,[2]quests!$1:$1,0)+1,FALSE)</f>
        <v>蛟龍襲来！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台湾版降臨1</v>
      </c>
      <c r="E12" s="87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【ウィザード級】蛟龍襲来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台湾版降臨1</v>
      </c>
      <c r="H12" s="85">
        <v>0</v>
      </c>
      <c r="I12">
        <v>36</v>
      </c>
      <c r="J12" s="84" t="s">
        <v>196</v>
      </c>
      <c r="K12" s="93" t="str">
        <f>VLOOKUP(I12,[7]stage_hints!$A:$C,3,FALSE)</f>
        <v>チャレンジタワーのボス</v>
      </c>
      <c r="L12" s="94" t="str">
        <f>VLOOKUP(I12,[7]stage_hints!$A:$D,4,FALSE)</f>
        <v>チャレンジタワーでのみ登場するボスは_x000D_一定確率で獲得することができます</v>
      </c>
      <c r="M12" s="57" t="s">
        <v>209</v>
      </c>
    </row>
    <row r="13" spans="1:13" x14ac:dyDescent="0.15">
      <c r="A13" s="81" t="s">
        <v>199</v>
      </c>
      <c r="B13" s="82">
        <f>floors!$C$2</f>
        <v>48001</v>
      </c>
      <c r="C13" s="83" t="str">
        <f ca="1">VLOOKUP($B13,OFFSET([2]quests!$A$1,0,0,COUNTA([2]quests!$A:$A),MATCH(C$1,[2]quests!$1:$1,0)-MATCH($B$1,[2]quests!$1:$1,0)+1),MATCH(C$1,[2]quests!$1:$1,0)-MATCH($B$1,[2]quests!$1:$1,0)+1,FALSE)</f>
        <v>蛟龍襲来！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台湾版降臨1</v>
      </c>
      <c r="E13" s="87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【ウィザード級】蛟龍襲来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台湾版降臨1</v>
      </c>
      <c r="H13" s="85">
        <v>0</v>
      </c>
      <c r="I13">
        <v>37</v>
      </c>
      <c r="J13" s="84" t="s">
        <v>196</v>
      </c>
      <c r="K13" s="93" t="str">
        <f>VLOOKUP(I13,[7]stage_hints!$A:$C,3,FALSE)</f>
        <v>限界突破値の引き継ぎ</v>
      </c>
      <c r="L13" s="94" t="str">
        <f>VLOOKUP(I13,[7]stage_hints!$A:$D,4,FALSE)</f>
        <v>同じユニットを強化で合成すると_x000D_限界突破値を引き継げます（覚醒前後も可）</v>
      </c>
      <c r="M13" s="57" t="s">
        <v>209</v>
      </c>
    </row>
    <row r="14" spans="1:13" x14ac:dyDescent="0.15">
      <c r="A14" s="81" t="s">
        <v>199</v>
      </c>
      <c r="B14" s="82">
        <f>floors!$C$2</f>
        <v>48001</v>
      </c>
      <c r="C14" s="83" t="str">
        <f ca="1">VLOOKUP($B14,OFFSET([2]quests!$A$1,0,0,COUNTA([2]quests!$A:$A),MATCH(C$1,[2]quests!$1:$1,0)-MATCH($B$1,[2]quests!$1:$1,0)+1),MATCH(C$1,[2]quests!$1:$1,0)-MATCH($B$1,[2]quests!$1:$1,0)+1,FALSE)</f>
        <v>蛟龍襲来！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台湾版降臨1</v>
      </c>
      <c r="E14" s="87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【ウィザード級】蛟龍襲来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台湾版降臨1</v>
      </c>
      <c r="H14" s="85">
        <v>0</v>
      </c>
      <c r="I14">
        <v>39</v>
      </c>
      <c r="J14" s="84" t="s">
        <v>196</v>
      </c>
      <c r="K14" s="93" t="str">
        <f>VLOOKUP(I14,[7]stage_hints!$A:$C,3,FALSE)</f>
        <v>システム適合者を確認</v>
      </c>
      <c r="L14" s="94" t="str">
        <f>VLOOKUP(I14,[7]stage_hints!$A:$D,4,FALSE)</f>
        <v>ALICEが「アナタ」を呼んでいます</v>
      </c>
      <c r="M14" s="57" t="s">
        <v>209</v>
      </c>
    </row>
    <row r="15" spans="1:13" x14ac:dyDescent="0.15">
      <c r="A15" s="81" t="s">
        <v>199</v>
      </c>
      <c r="B15" s="82">
        <f>floors!$C$2</f>
        <v>48001</v>
      </c>
      <c r="C15" s="83" t="str">
        <f ca="1">VLOOKUP($B15,OFFSET([2]quests!$A$1,0,0,COUNTA([2]quests!$A:$A),MATCH(C$1,[2]quests!$1:$1,0)-MATCH($B$1,[2]quests!$1:$1,0)+1),MATCH(C$1,[2]quests!$1:$1,0)-MATCH($B$1,[2]quests!$1:$1,0)+1,FALSE)</f>
        <v>蛟龍襲来！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台湾版降臨1</v>
      </c>
      <c r="E15" s="87">
        <v>2</v>
      </c>
      <c r="F15" s="83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3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5">
        <v>0</v>
      </c>
      <c r="I15">
        <v>12</v>
      </c>
      <c r="J15" s="84" t="s">
        <v>196</v>
      </c>
      <c r="K15" s="93" t="str">
        <f>VLOOKUP(I15,[7]stage_hints!$A:$C,3,FALSE)</f>
        <v>ユニットのお気に入り登録</v>
      </c>
      <c r="L15" s="94" t="str">
        <f>VLOOKUP(I15,[7]stage_hints!$A:$D,4,FALSE)</f>
        <v>大事なユニットを誤って消さないように_x000D_フォルダから「お気に入り登録」しましょう</v>
      </c>
      <c r="M15" s="57" t="s">
        <v>209</v>
      </c>
    </row>
    <row r="16" spans="1:13" x14ac:dyDescent="0.15">
      <c r="A16" s="81" t="s">
        <v>199</v>
      </c>
      <c r="B16" s="82">
        <f>floors!$C$2</f>
        <v>48001</v>
      </c>
      <c r="C16" s="83" t="str">
        <f ca="1">VLOOKUP($B16,OFFSET([2]quests!$A$1,0,0,COUNTA([2]quests!$A:$A),MATCH(C$1,[2]quests!$1:$1,0)-MATCH($B$1,[2]quests!$1:$1,0)+1),MATCH(C$1,[2]quests!$1:$1,0)-MATCH($B$1,[2]quests!$1:$1,0)+1,FALSE)</f>
        <v>蛟龍襲来！</v>
      </c>
      <c r="D16" s="83" t="str">
        <f ca="1">VLOOKUP($B16,OFFSET([2]quests!$A$1,0,0,COUNTA([2]quests!$A:$A),MATCH(D$1,[2]quests!$1:$1,0)-MATCH($B$1,[2]quests!$1:$1,0)+1),MATCH(D$1,[2]quests!$1:$1,0)-MATCH($B$1,[2]quests!$1:$1,0)+1,FALSE)</f>
        <v>台湾版降臨1</v>
      </c>
      <c r="E16" s="87">
        <v>2</v>
      </c>
      <c r="F16" s="83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3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5">
        <v>0</v>
      </c>
      <c r="I16">
        <v>17</v>
      </c>
      <c r="J16" s="84" t="s">
        <v>196</v>
      </c>
      <c r="K16" s="93" t="str">
        <f>VLOOKUP(I16,[7]stage_hints!$A:$C,3,FALSE)</f>
        <v>リンクガチャ</v>
      </c>
      <c r="L16" s="94" t="str">
        <f>VLOOKUP(I16,[7]stage_hints!$A:$D,4,FALSE)</f>
        <v>無料のリンクガチャを回して_x000D_経験値素材や売却素材を獲得しましょう</v>
      </c>
      <c r="M16" s="57" t="s">
        <v>209</v>
      </c>
    </row>
    <row r="17" spans="1:13" x14ac:dyDescent="0.15">
      <c r="A17" s="81" t="s">
        <v>199</v>
      </c>
      <c r="B17" s="82">
        <f>floors!$C$2</f>
        <v>48001</v>
      </c>
      <c r="C17" s="83" t="str">
        <f ca="1">VLOOKUP($B17,OFFSET([2]quests!$A$1,0,0,COUNTA([2]quests!$A:$A),MATCH(C$1,[2]quests!$1:$1,0)-MATCH($B$1,[2]quests!$1:$1,0)+1),MATCH(C$1,[2]quests!$1:$1,0)-MATCH($B$1,[2]quests!$1:$1,0)+1,FALSE)</f>
        <v>蛟龍襲来！</v>
      </c>
      <c r="D17" s="83" t="str">
        <f ca="1">VLOOKUP($B17,OFFSET([2]quests!$A$1,0,0,COUNTA([2]quests!$A:$A),MATCH(D$1,[2]quests!$1:$1,0)-MATCH($B$1,[2]quests!$1:$1,0)+1),MATCH(D$1,[2]quests!$1:$1,0)-MATCH($B$1,[2]quests!$1:$1,0)+1,FALSE)</f>
        <v>台湾版降臨1</v>
      </c>
      <c r="E17" s="87">
        <v>2</v>
      </c>
      <c r="F17" s="83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3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5">
        <v>0</v>
      </c>
      <c r="I17">
        <v>19</v>
      </c>
      <c r="J17" s="84" t="s">
        <v>196</v>
      </c>
      <c r="K17" s="93" t="str">
        <f>VLOOKUP(I17,[7]stage_hints!$A:$C,3,FALSE)</f>
        <v>ソロ専用チャレンジタワー</v>
      </c>
      <c r="L17" s="94" t="str">
        <f>VLOOKUP(I17,[7]stage_hints!$A:$D,4,FALSE)</f>
        <v>ソロ専用の「チャレンジタワー」では_x000D_各フロアごとにクリア報酬がもらえます</v>
      </c>
      <c r="M17" s="57" t="s">
        <v>209</v>
      </c>
    </row>
    <row r="18" spans="1:13" x14ac:dyDescent="0.15">
      <c r="A18" s="81" t="s">
        <v>199</v>
      </c>
      <c r="B18" s="82">
        <f>floors!$C$2</f>
        <v>48001</v>
      </c>
      <c r="C18" s="83" t="str">
        <f ca="1">VLOOKUP($B18,OFFSET([2]quests!$A$1,0,0,COUNTA([2]quests!$A:$A),MATCH(C$1,[2]quests!$1:$1,0)-MATCH($B$1,[2]quests!$1:$1,0)+1),MATCH(C$1,[2]quests!$1:$1,0)-MATCH($B$1,[2]quests!$1:$1,0)+1,FALSE)</f>
        <v>蛟龍襲来！</v>
      </c>
      <c r="D18" s="83" t="str">
        <f ca="1">VLOOKUP($B18,OFFSET([2]quests!$A$1,0,0,COUNTA([2]quests!$A:$A),MATCH(D$1,[2]quests!$1:$1,0)-MATCH($B$1,[2]quests!$1:$1,0)+1),MATCH(D$1,[2]quests!$1:$1,0)-MATCH($B$1,[2]quests!$1:$1,0)+1,FALSE)</f>
        <v>台湾版降臨1</v>
      </c>
      <c r="E18" s="87">
        <v>2</v>
      </c>
      <c r="F18" s="83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3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5">
        <v>0</v>
      </c>
      <c r="I18">
        <v>21</v>
      </c>
      <c r="J18" s="84" t="s">
        <v>196</v>
      </c>
      <c r="K18" s="93" t="str">
        <f>VLOOKUP(I18,[7]stage_hints!$A:$C,3,FALSE)</f>
        <v>スキルを有効に</v>
      </c>
      <c r="L18" s="94" t="str">
        <f>VLOOKUP(I18,[7]stage_hints!$A:$D,4,FALSE)</f>
        <v>ターン経過でユニットのスキルが使えます_x000D_強力スキルでバトルを有利に進めましょう</v>
      </c>
      <c r="M18" s="57" t="s">
        <v>209</v>
      </c>
    </row>
    <row r="19" spans="1:13" x14ac:dyDescent="0.15">
      <c r="A19" s="81" t="s">
        <v>199</v>
      </c>
      <c r="B19" s="82">
        <f>floors!$C$2</f>
        <v>48001</v>
      </c>
      <c r="C19" s="83" t="str">
        <f ca="1">VLOOKUP($B19,OFFSET([2]quests!$A$1,0,0,COUNTA([2]quests!$A:$A),MATCH(C$1,[2]quests!$1:$1,0)-MATCH($B$1,[2]quests!$1:$1,0)+1),MATCH(C$1,[2]quests!$1:$1,0)-MATCH($B$1,[2]quests!$1:$1,0)+1,FALSE)</f>
        <v>蛟龍襲来！</v>
      </c>
      <c r="D19" s="83" t="str">
        <f ca="1">VLOOKUP($B19,OFFSET([2]quests!$A$1,0,0,COUNTA([2]quests!$A:$A),MATCH(D$1,[2]quests!$1:$1,0)-MATCH($B$1,[2]quests!$1:$1,0)+1),MATCH(D$1,[2]quests!$1:$1,0)-MATCH($B$1,[2]quests!$1:$1,0)+1,FALSE)</f>
        <v>台湾版降臨1</v>
      </c>
      <c r="E19" s="87">
        <v>2</v>
      </c>
      <c r="F19" s="83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3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5">
        <v>0</v>
      </c>
      <c r="I19">
        <v>29</v>
      </c>
      <c r="J19" s="84" t="s">
        <v>196</v>
      </c>
      <c r="K19" s="93" t="str">
        <f>VLOOKUP(I19,[7]stage_hints!$A:$C,3,FALSE)</f>
        <v>「バグ」のメリット</v>
      </c>
      <c r="L19" s="94" t="str">
        <f>VLOOKUP(I19,[7]stage_hints!$A:$D,4,FALSE)</f>
        <v>ユニットの「バグ」を増やすと_x000D_報酬をもらえる確率がアップします</v>
      </c>
      <c r="M19" s="57" t="s">
        <v>209</v>
      </c>
    </row>
    <row r="20" spans="1:13" x14ac:dyDescent="0.15">
      <c r="A20" s="81" t="s">
        <v>199</v>
      </c>
      <c r="B20" s="82">
        <f>floors!$C$2</f>
        <v>48001</v>
      </c>
      <c r="C20" s="83" t="str">
        <f ca="1">VLOOKUP($B20,OFFSET([2]quests!$A$1,0,0,COUNTA([2]quests!$A:$A),MATCH(C$1,[2]quests!$1:$1,0)-MATCH($B$1,[2]quests!$1:$1,0)+1),MATCH(C$1,[2]quests!$1:$1,0)-MATCH($B$1,[2]quests!$1:$1,0)+1,FALSE)</f>
        <v>蛟龍襲来！</v>
      </c>
      <c r="D20" s="83" t="str">
        <f ca="1">VLOOKUP($B20,OFFSET([2]quests!$A$1,0,0,COUNTA([2]quests!$A:$A),MATCH(D$1,[2]quests!$1:$1,0)-MATCH($B$1,[2]quests!$1:$1,0)+1),MATCH(D$1,[2]quests!$1:$1,0)-MATCH($B$1,[2]quests!$1:$1,0)+1,FALSE)</f>
        <v>台湾版降臨1</v>
      </c>
      <c r="E20" s="87">
        <v>2</v>
      </c>
      <c r="F20" s="83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3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5">
        <v>0</v>
      </c>
      <c r="I20">
        <v>30</v>
      </c>
      <c r="J20" s="84" t="s">
        <v>196</v>
      </c>
      <c r="K20" s="93" t="str">
        <f>VLOOKUP(I20,[7]stage_hints!$A:$C,3,FALSE)</f>
        <v>「バグ」の増やし方</v>
      </c>
      <c r="L20" s="94" t="str">
        <f>VLOOKUP(I20,[7]stage_hints!$A:$D,4,FALSE)</f>
        <v>同じユニット同士を強化で合成すると_x000D_「バグ」を増やすことができます</v>
      </c>
      <c r="M20" s="57" t="s">
        <v>209</v>
      </c>
    </row>
    <row r="21" spans="1:13" x14ac:dyDescent="0.15">
      <c r="A21" s="81" t="s">
        <v>199</v>
      </c>
      <c r="B21" s="82">
        <f>floors!$C$2</f>
        <v>48001</v>
      </c>
      <c r="C21" s="83" t="str">
        <f ca="1">VLOOKUP($B21,OFFSET([2]quests!$A$1,0,0,COUNTA([2]quests!$A:$A),MATCH(C$1,[2]quests!$1:$1,0)-MATCH($B$1,[2]quests!$1:$1,0)+1),MATCH(C$1,[2]quests!$1:$1,0)-MATCH($B$1,[2]quests!$1:$1,0)+1,FALSE)</f>
        <v>蛟龍襲来！</v>
      </c>
      <c r="D21" s="83" t="str">
        <f ca="1">VLOOKUP($B21,OFFSET([2]quests!$A$1,0,0,COUNTA([2]quests!$A:$A),MATCH(D$1,[2]quests!$1:$1,0)-MATCH($B$1,[2]quests!$1:$1,0)+1),MATCH(D$1,[2]quests!$1:$1,0)-MATCH($B$1,[2]quests!$1:$1,0)+1,FALSE)</f>
        <v>台湾版降臨1</v>
      </c>
      <c r="E21" s="87">
        <v>2</v>
      </c>
      <c r="F21" s="83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3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5">
        <v>0</v>
      </c>
      <c r="I21">
        <v>32</v>
      </c>
      <c r="J21" s="84" t="s">
        <v>196</v>
      </c>
      <c r="K21" s="93" t="str">
        <f>VLOOKUP(I21,[7]stage_hints!$A:$C,3,FALSE)</f>
        <v>敵の連続攻撃には</v>
      </c>
      <c r="L21" s="94" t="str">
        <f>VLOOKUP(I21,[7]stage_hints!$A:$D,4,FALSE)</f>
        <v>カウンタースキルを持つユニットがいれば_x000D_ダメージ回数分の反撃ができます</v>
      </c>
      <c r="M21" s="57" t="s">
        <v>209</v>
      </c>
    </row>
    <row r="22" spans="1:13" x14ac:dyDescent="0.15">
      <c r="A22" s="81" t="s">
        <v>199</v>
      </c>
      <c r="B22" s="82">
        <f>floors!$C$2</f>
        <v>48001</v>
      </c>
      <c r="C22" s="83" t="str">
        <f ca="1">VLOOKUP($B22,OFFSET([2]quests!$A$1,0,0,COUNTA([2]quests!$A:$A),MATCH(C$1,[2]quests!$1:$1,0)-MATCH($B$1,[2]quests!$1:$1,0)+1),MATCH(C$1,[2]quests!$1:$1,0)-MATCH($B$1,[2]quests!$1:$1,0)+1,FALSE)</f>
        <v>蛟龍襲来！</v>
      </c>
      <c r="D22" s="83" t="str">
        <f ca="1">VLOOKUP($B22,OFFSET([2]quests!$A$1,0,0,COUNTA([2]quests!$A:$A),MATCH(D$1,[2]quests!$1:$1,0)-MATCH($B$1,[2]quests!$1:$1,0)+1),MATCH(D$1,[2]quests!$1:$1,0)-MATCH($B$1,[2]quests!$1:$1,0)+1,FALSE)</f>
        <v>台湾版降臨1</v>
      </c>
      <c r="E22" s="87">
        <v>2</v>
      </c>
      <c r="F22" s="83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3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5">
        <v>0</v>
      </c>
      <c r="I22">
        <v>33</v>
      </c>
      <c r="J22" s="84" t="s">
        <v>196</v>
      </c>
      <c r="K22" s="93" t="str">
        <f>VLOOKUP(I22,[7]stage_hints!$A:$C,3,FALSE)</f>
        <v>敵のカウンター攻撃には</v>
      </c>
      <c r="L22" s="94" t="str">
        <f>VLOOKUP(I22,[7]stage_hints!$A:$D,4,FALSE)</f>
        <v>カウンターブレイクスキルを持っていれば_x000D_敵のカウンターを解除して攻撃ができます</v>
      </c>
      <c r="M22" s="57" t="s">
        <v>209</v>
      </c>
    </row>
    <row r="23" spans="1:13" x14ac:dyDescent="0.15">
      <c r="A23" s="81" t="s">
        <v>199</v>
      </c>
      <c r="B23" s="82">
        <f>floors!$C$2</f>
        <v>48001</v>
      </c>
      <c r="C23" s="83" t="str">
        <f ca="1">VLOOKUP($B23,OFFSET([2]quests!$A$1,0,0,COUNTA([2]quests!$A:$A),MATCH(C$1,[2]quests!$1:$1,0)-MATCH($B$1,[2]quests!$1:$1,0)+1),MATCH(C$1,[2]quests!$1:$1,0)-MATCH($B$1,[2]quests!$1:$1,0)+1,FALSE)</f>
        <v>蛟龍襲来！</v>
      </c>
      <c r="D23" s="83" t="str">
        <f ca="1">VLOOKUP($B23,OFFSET([2]quests!$A$1,0,0,COUNTA([2]quests!$A:$A),MATCH(D$1,[2]quests!$1:$1,0)-MATCH($B$1,[2]quests!$1:$1,0)+1),MATCH(D$1,[2]quests!$1:$1,0)-MATCH($B$1,[2]quests!$1:$1,0)+1,FALSE)</f>
        <v>台湾版降臨1</v>
      </c>
      <c r="E23" s="87">
        <v>2</v>
      </c>
      <c r="F23" s="83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3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5">
        <v>0</v>
      </c>
      <c r="I23">
        <v>34</v>
      </c>
      <c r="J23" s="84" t="s">
        <v>196</v>
      </c>
      <c r="K23" s="93" t="str">
        <f>VLOOKUP(I23,[7]stage_hints!$A:$C,3,FALSE)</f>
        <v>ステータスをスキルで下げられたら</v>
      </c>
      <c r="L23" s="94" t="str">
        <f>VLOOKUP(I23,[7]stage_hints!$A:$D,4,FALSE)</f>
        <v>ステータスダウンのスキルを受けたら_x000D_ステータスアップスキルで上書きしましょう</v>
      </c>
      <c r="M23" s="57" t="s">
        <v>209</v>
      </c>
    </row>
    <row r="24" spans="1:13" x14ac:dyDescent="0.15">
      <c r="A24" s="81" t="s">
        <v>199</v>
      </c>
      <c r="B24" s="82">
        <f>floors!$C$2</f>
        <v>48001</v>
      </c>
      <c r="C24" s="83" t="str">
        <f ca="1">VLOOKUP($B24,OFFSET([2]quests!$A$1,0,0,COUNTA([2]quests!$A:$A),MATCH(C$1,[2]quests!$1:$1,0)-MATCH($B$1,[2]quests!$1:$1,0)+1),MATCH(C$1,[2]quests!$1:$1,0)-MATCH($B$1,[2]quests!$1:$1,0)+1,FALSE)</f>
        <v>蛟龍襲来！</v>
      </c>
      <c r="D24" s="83" t="str">
        <f ca="1">VLOOKUP($B24,OFFSET([2]quests!$A$1,0,0,COUNTA([2]quests!$A:$A),MATCH(D$1,[2]quests!$1:$1,0)-MATCH($B$1,[2]quests!$1:$1,0)+1),MATCH(D$1,[2]quests!$1:$1,0)-MATCH($B$1,[2]quests!$1:$1,0)+1,FALSE)</f>
        <v>台湾版降臨1</v>
      </c>
      <c r="E24" s="87">
        <v>2</v>
      </c>
      <c r="F24" s="83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3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5">
        <v>0</v>
      </c>
      <c r="I24">
        <v>35</v>
      </c>
      <c r="J24" s="84" t="s">
        <v>196</v>
      </c>
      <c r="K24" s="93" t="str">
        <f>VLOOKUP(I24,[7]stage_hints!$A:$C,3,FALSE)</f>
        <v>敵のステータスがスキルで上がったら</v>
      </c>
      <c r="L24" s="94" t="str">
        <f>VLOOKUP(I24,[7]stage_hints!$A:$D,4,FALSE)</f>
        <v>敵のステータスがスキルでアップしたときは_x000D_ステータスダウンスキルで上書きしましょう</v>
      </c>
      <c r="M24" s="57" t="s">
        <v>209</v>
      </c>
    </row>
    <row r="25" spans="1:13" x14ac:dyDescent="0.15">
      <c r="A25" s="81" t="s">
        <v>199</v>
      </c>
      <c r="B25" s="82">
        <f>floors!$C$2</f>
        <v>48001</v>
      </c>
      <c r="C25" s="83" t="str">
        <f ca="1">VLOOKUP($B25,OFFSET([2]quests!$A$1,0,0,COUNTA([2]quests!$A:$A),MATCH(C$1,[2]quests!$1:$1,0)-MATCH($B$1,[2]quests!$1:$1,0)+1),MATCH(C$1,[2]quests!$1:$1,0)-MATCH($B$1,[2]quests!$1:$1,0)+1,FALSE)</f>
        <v>蛟龍襲来！</v>
      </c>
      <c r="D25" s="83" t="str">
        <f ca="1">VLOOKUP($B25,OFFSET([2]quests!$A$1,0,0,COUNTA([2]quests!$A:$A),MATCH(D$1,[2]quests!$1:$1,0)-MATCH($B$1,[2]quests!$1:$1,0)+1),MATCH(D$1,[2]quests!$1:$1,0)-MATCH($B$1,[2]quests!$1:$1,0)+1,FALSE)</f>
        <v>台湾版降臨1</v>
      </c>
      <c r="E25" s="87">
        <v>2</v>
      </c>
      <c r="F25" s="83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3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5">
        <v>0</v>
      </c>
      <c r="I25">
        <v>36</v>
      </c>
      <c r="J25" s="84" t="s">
        <v>196</v>
      </c>
      <c r="K25" s="93" t="str">
        <f>VLOOKUP(I25,[7]stage_hints!$A:$C,3,FALSE)</f>
        <v>チャレンジタワーのボス</v>
      </c>
      <c r="L25" s="94" t="str">
        <f>VLOOKUP(I25,[7]stage_hints!$A:$D,4,FALSE)</f>
        <v>チャレンジタワーでのみ登場するボスは_x000D_一定確率で獲得することができます</v>
      </c>
      <c r="M25" s="57" t="s">
        <v>209</v>
      </c>
    </row>
    <row r="26" spans="1:13" x14ac:dyDescent="0.15">
      <c r="A26" s="81" t="s">
        <v>199</v>
      </c>
      <c r="B26" s="82">
        <f>floors!$C$2</f>
        <v>48001</v>
      </c>
      <c r="C26" s="83" t="str">
        <f ca="1">VLOOKUP($B26,OFFSET([2]quests!$A$1,0,0,COUNTA([2]quests!$A:$A),MATCH(C$1,[2]quests!$1:$1,0)-MATCH($B$1,[2]quests!$1:$1,0)+1),MATCH(C$1,[2]quests!$1:$1,0)-MATCH($B$1,[2]quests!$1:$1,0)+1,FALSE)</f>
        <v>蛟龍襲来！</v>
      </c>
      <c r="D26" s="83" t="str">
        <f ca="1">VLOOKUP($B26,OFFSET([2]quests!$A$1,0,0,COUNTA([2]quests!$A:$A),MATCH(D$1,[2]quests!$1:$1,0)-MATCH($B$1,[2]quests!$1:$1,0)+1),MATCH(D$1,[2]quests!$1:$1,0)-MATCH($B$1,[2]quests!$1:$1,0)+1,FALSE)</f>
        <v>台湾版降臨1</v>
      </c>
      <c r="E26" s="87">
        <v>2</v>
      </c>
      <c r="F26" s="83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3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5">
        <v>0</v>
      </c>
      <c r="I26">
        <v>37</v>
      </c>
      <c r="J26" s="84" t="s">
        <v>196</v>
      </c>
      <c r="K26" s="93" t="str">
        <f>VLOOKUP(I26,[7]stage_hints!$A:$C,3,FALSE)</f>
        <v>限界突破値の引き継ぎ</v>
      </c>
      <c r="L26" s="94" t="str">
        <f>VLOOKUP(I26,[7]stage_hints!$A:$D,4,FALSE)</f>
        <v>同じユニットを強化で合成すると_x000D_限界突破値を引き継げます（覚醒前後も可）</v>
      </c>
      <c r="M26" s="57" t="s">
        <v>209</v>
      </c>
    </row>
    <row r="27" spans="1:13" x14ac:dyDescent="0.15">
      <c r="A27" s="81" t="s">
        <v>199</v>
      </c>
      <c r="B27" s="82">
        <f>floors!$C$2</f>
        <v>48001</v>
      </c>
      <c r="C27" s="83" t="str">
        <f ca="1">VLOOKUP($B27,OFFSET([2]quests!$A$1,0,0,COUNTA([2]quests!$A:$A),MATCH(C$1,[2]quests!$1:$1,0)-MATCH($B$1,[2]quests!$1:$1,0)+1),MATCH(C$1,[2]quests!$1:$1,0)-MATCH($B$1,[2]quests!$1:$1,0)+1,FALSE)</f>
        <v>蛟龍襲来！</v>
      </c>
      <c r="D27" s="83" t="str">
        <f ca="1">VLOOKUP($B27,OFFSET([2]quests!$A$1,0,0,COUNTA([2]quests!$A:$A),MATCH(D$1,[2]quests!$1:$1,0)-MATCH($B$1,[2]quests!$1:$1,0)+1),MATCH(D$1,[2]quests!$1:$1,0)-MATCH($B$1,[2]quests!$1:$1,0)+1,FALSE)</f>
        <v>台湾版降臨1</v>
      </c>
      <c r="E27" s="87">
        <v>2</v>
      </c>
      <c r="F27" s="83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3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5">
        <v>0</v>
      </c>
      <c r="I27">
        <v>39</v>
      </c>
      <c r="J27" s="84" t="s">
        <v>196</v>
      </c>
      <c r="K27" s="93" t="str">
        <f>VLOOKUP(I27,[7]stage_hints!$A:$C,3,FALSE)</f>
        <v>システム適合者を確認</v>
      </c>
      <c r="L27" s="94" t="str">
        <f>VLOOKUP(I27,[7]stage_hints!$A:$D,4,FALSE)</f>
        <v>ALICEが「アナタ」を呼んでいます</v>
      </c>
      <c r="M27" s="57" t="s">
        <v>209</v>
      </c>
    </row>
    <row r="28" spans="1:13" x14ac:dyDescent="0.15">
      <c r="A28" s="81" t="s">
        <v>199</v>
      </c>
      <c r="B28" s="82">
        <f>floors!$C$2</f>
        <v>48001</v>
      </c>
      <c r="C28" s="83" t="str">
        <f ca="1">VLOOKUP($B28,OFFSET([2]quests!$A$1,0,0,COUNTA([2]quests!$A:$A),MATCH(C$1,[2]quests!$1:$1,0)-MATCH($B$1,[2]quests!$1:$1,0)+1),MATCH(C$1,[2]quests!$1:$1,0)-MATCH($B$1,[2]quests!$1:$1,0)+1,FALSE)</f>
        <v>蛟龍襲来！</v>
      </c>
      <c r="D28" s="83" t="str">
        <f ca="1">VLOOKUP($B28,OFFSET([2]quests!$A$1,0,0,COUNTA([2]quests!$A:$A),MATCH(D$1,[2]quests!$1:$1,0)-MATCH($B$1,[2]quests!$1:$1,0)+1),MATCH(D$1,[2]quests!$1:$1,0)-MATCH($B$1,[2]quests!$1:$1,0)+1,FALSE)</f>
        <v>台湾版降臨1</v>
      </c>
      <c r="E28" s="87">
        <v>3</v>
      </c>
      <c r="F28" s="83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3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5">
        <v>0</v>
      </c>
      <c r="I28">
        <v>12</v>
      </c>
      <c r="J28" s="84" t="s">
        <v>126</v>
      </c>
      <c r="K28" s="93" t="str">
        <f>VLOOKUP(I28,[7]stage_hints!$A:$C,3,FALSE)</f>
        <v>ユニットのお気に入り登録</v>
      </c>
      <c r="L28" s="94" t="str">
        <f>VLOOKUP(I28,[7]stage_hints!$A:$D,4,FALSE)</f>
        <v>大事なユニットを誤って消さないように_x000D_フォルダから「お気に入り登録」しましょう</v>
      </c>
      <c r="M28" s="57" t="s">
        <v>198</v>
      </c>
    </row>
    <row r="29" spans="1:13" x14ac:dyDescent="0.15">
      <c r="A29" s="81" t="s">
        <v>199</v>
      </c>
      <c r="B29" s="82">
        <f>floors!$C$2</f>
        <v>48001</v>
      </c>
      <c r="C29" s="83" t="str">
        <f ca="1">VLOOKUP($B29,OFFSET([2]quests!$A$1,0,0,COUNTA([2]quests!$A:$A),MATCH(C$1,[2]quests!$1:$1,0)-MATCH($B$1,[2]quests!$1:$1,0)+1),MATCH(C$1,[2]quests!$1:$1,0)-MATCH($B$1,[2]quests!$1:$1,0)+1,FALSE)</f>
        <v>蛟龍襲来！</v>
      </c>
      <c r="D29" s="83" t="str">
        <f ca="1">VLOOKUP($B29,OFFSET([2]quests!$A$1,0,0,COUNTA([2]quests!$A:$A),MATCH(D$1,[2]quests!$1:$1,0)-MATCH($B$1,[2]quests!$1:$1,0)+1),MATCH(D$1,[2]quests!$1:$1,0)-MATCH($B$1,[2]quests!$1:$1,0)+1,FALSE)</f>
        <v>台湾版降臨1</v>
      </c>
      <c r="E29" s="87">
        <v>3</v>
      </c>
      <c r="F29" s="83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3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5">
        <v>0</v>
      </c>
      <c r="I29">
        <v>17</v>
      </c>
      <c r="J29" s="84" t="s">
        <v>126</v>
      </c>
      <c r="K29" s="93" t="str">
        <f>VLOOKUP(I29,[7]stage_hints!$A:$C,3,FALSE)</f>
        <v>リンクガチャ</v>
      </c>
      <c r="L29" s="94" t="str">
        <f>VLOOKUP(I29,[7]stage_hints!$A:$D,4,FALSE)</f>
        <v>無料のリンクガチャを回して_x000D_経験値素材や売却素材を獲得しましょう</v>
      </c>
      <c r="M29" s="57" t="s">
        <v>198</v>
      </c>
    </row>
    <row r="30" spans="1:13" x14ac:dyDescent="0.15">
      <c r="A30" s="81" t="s">
        <v>199</v>
      </c>
      <c r="B30" s="82">
        <f>floors!$C$2</f>
        <v>48001</v>
      </c>
      <c r="C30" s="83" t="str">
        <f ca="1">VLOOKUP($B30,OFFSET([2]quests!$A$1,0,0,COUNTA([2]quests!$A:$A),MATCH(C$1,[2]quests!$1:$1,0)-MATCH($B$1,[2]quests!$1:$1,0)+1),MATCH(C$1,[2]quests!$1:$1,0)-MATCH($B$1,[2]quests!$1:$1,0)+1,FALSE)</f>
        <v>蛟龍襲来！</v>
      </c>
      <c r="D30" s="83" t="str">
        <f ca="1">VLOOKUP($B30,OFFSET([2]quests!$A$1,0,0,COUNTA([2]quests!$A:$A),MATCH(D$1,[2]quests!$1:$1,0)-MATCH($B$1,[2]quests!$1:$1,0)+1),MATCH(D$1,[2]quests!$1:$1,0)-MATCH($B$1,[2]quests!$1:$1,0)+1,FALSE)</f>
        <v>台湾版降臨1</v>
      </c>
      <c r="E30" s="87">
        <v>3</v>
      </c>
      <c r="F30" s="83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3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5">
        <v>0</v>
      </c>
      <c r="I30">
        <v>19</v>
      </c>
      <c r="J30" s="84" t="s">
        <v>126</v>
      </c>
      <c r="K30" s="93" t="str">
        <f>VLOOKUP(I30,[7]stage_hints!$A:$C,3,FALSE)</f>
        <v>ソロ専用チャレンジタワー</v>
      </c>
      <c r="L30" s="94" t="str">
        <f>VLOOKUP(I30,[7]stage_hints!$A:$D,4,FALSE)</f>
        <v>ソロ専用の「チャレンジタワー」では_x000D_各フロアごとにクリア報酬がもらえます</v>
      </c>
      <c r="M30" s="57" t="s">
        <v>198</v>
      </c>
    </row>
    <row r="31" spans="1:13" x14ac:dyDescent="0.15">
      <c r="A31" s="81" t="s">
        <v>199</v>
      </c>
      <c r="B31" s="82">
        <f>floors!$C$2</f>
        <v>48001</v>
      </c>
      <c r="C31" s="83" t="str">
        <f ca="1">VLOOKUP($B31,OFFSET([2]quests!$A$1,0,0,COUNTA([2]quests!$A:$A),MATCH(C$1,[2]quests!$1:$1,0)-MATCH($B$1,[2]quests!$1:$1,0)+1),MATCH(C$1,[2]quests!$1:$1,0)-MATCH($B$1,[2]quests!$1:$1,0)+1,FALSE)</f>
        <v>蛟龍襲来！</v>
      </c>
      <c r="D31" s="83" t="str">
        <f ca="1">VLOOKUP($B31,OFFSET([2]quests!$A$1,0,0,COUNTA([2]quests!$A:$A),MATCH(D$1,[2]quests!$1:$1,0)-MATCH($B$1,[2]quests!$1:$1,0)+1),MATCH(D$1,[2]quests!$1:$1,0)-MATCH($B$1,[2]quests!$1:$1,0)+1,FALSE)</f>
        <v>台湾版降臨1</v>
      </c>
      <c r="E31" s="87">
        <v>3</v>
      </c>
      <c r="F31" s="83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3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5">
        <v>0</v>
      </c>
      <c r="I31">
        <v>21</v>
      </c>
      <c r="J31" s="84" t="s">
        <v>126</v>
      </c>
      <c r="K31" s="93" t="str">
        <f>VLOOKUP(I31,[7]stage_hints!$A:$C,3,FALSE)</f>
        <v>スキルを有効に</v>
      </c>
      <c r="L31" s="94" t="str">
        <f>VLOOKUP(I31,[7]stage_hints!$A:$D,4,FALSE)</f>
        <v>ターン経過でユニットのスキルが使えます_x000D_強力スキルでバトルを有利に進めましょう</v>
      </c>
      <c r="M31" s="57" t="s">
        <v>198</v>
      </c>
    </row>
    <row r="32" spans="1:13" x14ac:dyDescent="0.15">
      <c r="A32" s="81" t="s">
        <v>199</v>
      </c>
      <c r="B32" s="82">
        <f>floors!$C$2</f>
        <v>48001</v>
      </c>
      <c r="C32" s="83" t="str">
        <f ca="1">VLOOKUP($B32,OFFSET([2]quests!$A$1,0,0,COUNTA([2]quests!$A:$A),MATCH(C$1,[2]quests!$1:$1,0)-MATCH($B$1,[2]quests!$1:$1,0)+1),MATCH(C$1,[2]quests!$1:$1,0)-MATCH($B$1,[2]quests!$1:$1,0)+1,FALSE)</f>
        <v>蛟龍襲来！</v>
      </c>
      <c r="D32" s="83" t="str">
        <f ca="1">VLOOKUP($B32,OFFSET([2]quests!$A$1,0,0,COUNTA([2]quests!$A:$A),MATCH(D$1,[2]quests!$1:$1,0)-MATCH($B$1,[2]quests!$1:$1,0)+1),MATCH(D$1,[2]quests!$1:$1,0)-MATCH($B$1,[2]quests!$1:$1,0)+1,FALSE)</f>
        <v>台湾版降臨1</v>
      </c>
      <c r="E32" s="87">
        <v>3</v>
      </c>
      <c r="F32" s="83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3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5">
        <v>0</v>
      </c>
      <c r="I32">
        <v>29</v>
      </c>
      <c r="J32" s="84" t="s">
        <v>126</v>
      </c>
      <c r="K32" s="93" t="str">
        <f>VLOOKUP(I32,[7]stage_hints!$A:$C,3,FALSE)</f>
        <v>「バグ」のメリット</v>
      </c>
      <c r="L32" s="94" t="str">
        <f>VLOOKUP(I32,[7]stage_hints!$A:$D,4,FALSE)</f>
        <v>ユニットの「バグ」を増やすと_x000D_報酬をもらえる確率がアップします</v>
      </c>
      <c r="M32" s="57" t="s">
        <v>198</v>
      </c>
    </row>
    <row r="33" spans="1:13" x14ac:dyDescent="0.15">
      <c r="A33" s="81" t="s">
        <v>199</v>
      </c>
      <c r="B33" s="82">
        <f>floors!$C$2</f>
        <v>48001</v>
      </c>
      <c r="C33" s="83" t="str">
        <f ca="1">VLOOKUP($B33,OFFSET([2]quests!$A$1,0,0,COUNTA([2]quests!$A:$A),MATCH(C$1,[2]quests!$1:$1,0)-MATCH($B$1,[2]quests!$1:$1,0)+1),MATCH(C$1,[2]quests!$1:$1,0)-MATCH($B$1,[2]quests!$1:$1,0)+1,FALSE)</f>
        <v>蛟龍襲来！</v>
      </c>
      <c r="D33" s="83" t="str">
        <f ca="1">VLOOKUP($B33,OFFSET([2]quests!$A$1,0,0,COUNTA([2]quests!$A:$A),MATCH(D$1,[2]quests!$1:$1,0)-MATCH($B$1,[2]quests!$1:$1,0)+1),MATCH(D$1,[2]quests!$1:$1,0)-MATCH($B$1,[2]quests!$1:$1,0)+1,FALSE)</f>
        <v>台湾版降臨1</v>
      </c>
      <c r="E33" s="87">
        <v>3</v>
      </c>
      <c r="F33" s="83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3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5">
        <v>0</v>
      </c>
      <c r="I33">
        <v>30</v>
      </c>
      <c r="J33" s="84" t="s">
        <v>126</v>
      </c>
      <c r="K33" s="93" t="str">
        <f>VLOOKUP(I33,[7]stage_hints!$A:$C,3,FALSE)</f>
        <v>「バグ」の増やし方</v>
      </c>
      <c r="L33" s="94" t="str">
        <f>VLOOKUP(I33,[7]stage_hints!$A:$D,4,FALSE)</f>
        <v>同じユニット同士を強化で合成すると_x000D_「バグ」を増やすことができます</v>
      </c>
      <c r="M33" s="57" t="s">
        <v>198</v>
      </c>
    </row>
    <row r="34" spans="1:13" x14ac:dyDescent="0.15">
      <c r="A34" s="81" t="s">
        <v>199</v>
      </c>
      <c r="B34" s="82">
        <f>floors!$C$2</f>
        <v>48001</v>
      </c>
      <c r="C34" s="83" t="str">
        <f ca="1">VLOOKUP($B34,OFFSET([2]quests!$A$1,0,0,COUNTA([2]quests!$A:$A),MATCH(C$1,[2]quests!$1:$1,0)-MATCH($B$1,[2]quests!$1:$1,0)+1),MATCH(C$1,[2]quests!$1:$1,0)-MATCH($B$1,[2]quests!$1:$1,0)+1,FALSE)</f>
        <v>蛟龍襲来！</v>
      </c>
      <c r="D34" s="83" t="str">
        <f ca="1">VLOOKUP($B34,OFFSET([2]quests!$A$1,0,0,COUNTA([2]quests!$A:$A),MATCH(D$1,[2]quests!$1:$1,0)-MATCH($B$1,[2]quests!$1:$1,0)+1),MATCH(D$1,[2]quests!$1:$1,0)-MATCH($B$1,[2]quests!$1:$1,0)+1,FALSE)</f>
        <v>台湾版降臨1</v>
      </c>
      <c r="E34" s="87">
        <v>3</v>
      </c>
      <c r="F34" s="83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3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5">
        <v>0</v>
      </c>
      <c r="I34">
        <v>32</v>
      </c>
      <c r="J34" s="84" t="s">
        <v>126</v>
      </c>
      <c r="K34" s="93" t="str">
        <f>VLOOKUP(I34,[7]stage_hints!$A:$C,3,FALSE)</f>
        <v>敵の連続攻撃には</v>
      </c>
      <c r="L34" s="94" t="str">
        <f>VLOOKUP(I34,[7]stage_hints!$A:$D,4,FALSE)</f>
        <v>カウンタースキルを持つユニットがいれば_x000D_ダメージ回数分の反撃ができます</v>
      </c>
      <c r="M34" s="57" t="s">
        <v>198</v>
      </c>
    </row>
    <row r="35" spans="1:13" x14ac:dyDescent="0.15">
      <c r="A35" s="81" t="s">
        <v>199</v>
      </c>
      <c r="B35" s="82">
        <f>floors!$C$2</f>
        <v>48001</v>
      </c>
      <c r="C35" s="83" t="str">
        <f ca="1">VLOOKUP($B35,OFFSET([2]quests!$A$1,0,0,COUNTA([2]quests!$A:$A),MATCH(C$1,[2]quests!$1:$1,0)-MATCH($B$1,[2]quests!$1:$1,0)+1),MATCH(C$1,[2]quests!$1:$1,0)-MATCH($B$1,[2]quests!$1:$1,0)+1,FALSE)</f>
        <v>蛟龍襲来！</v>
      </c>
      <c r="D35" s="83" t="str">
        <f ca="1">VLOOKUP($B35,OFFSET([2]quests!$A$1,0,0,COUNTA([2]quests!$A:$A),MATCH(D$1,[2]quests!$1:$1,0)-MATCH($B$1,[2]quests!$1:$1,0)+1),MATCH(D$1,[2]quests!$1:$1,0)-MATCH($B$1,[2]quests!$1:$1,0)+1,FALSE)</f>
        <v>台湾版降臨1</v>
      </c>
      <c r="E35" s="87">
        <v>3</v>
      </c>
      <c r="F35" s="83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3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5">
        <v>0</v>
      </c>
      <c r="I35">
        <v>33</v>
      </c>
      <c r="J35" s="84" t="s">
        <v>126</v>
      </c>
      <c r="K35" s="93" t="str">
        <f>VLOOKUP(I35,[7]stage_hints!$A:$C,3,FALSE)</f>
        <v>敵のカウンター攻撃には</v>
      </c>
      <c r="L35" s="94" t="str">
        <f>VLOOKUP(I35,[7]stage_hints!$A:$D,4,FALSE)</f>
        <v>カウンターブレイクスキルを持っていれば_x000D_敵のカウンターを解除して攻撃ができます</v>
      </c>
      <c r="M35" s="57" t="s">
        <v>198</v>
      </c>
    </row>
    <row r="36" spans="1:13" x14ac:dyDescent="0.15">
      <c r="A36" s="81" t="s">
        <v>199</v>
      </c>
      <c r="B36" s="82">
        <f>floors!$C$2</f>
        <v>48001</v>
      </c>
      <c r="C36" s="83" t="str">
        <f ca="1">VLOOKUP($B36,OFFSET([2]quests!$A$1,0,0,COUNTA([2]quests!$A:$A),MATCH(C$1,[2]quests!$1:$1,0)-MATCH($B$1,[2]quests!$1:$1,0)+1),MATCH(C$1,[2]quests!$1:$1,0)-MATCH($B$1,[2]quests!$1:$1,0)+1,FALSE)</f>
        <v>蛟龍襲来！</v>
      </c>
      <c r="D36" s="83" t="str">
        <f ca="1">VLOOKUP($B36,OFFSET([2]quests!$A$1,0,0,COUNTA([2]quests!$A:$A),MATCH(D$1,[2]quests!$1:$1,0)-MATCH($B$1,[2]quests!$1:$1,0)+1),MATCH(D$1,[2]quests!$1:$1,0)-MATCH($B$1,[2]quests!$1:$1,0)+1,FALSE)</f>
        <v>台湾版降臨1</v>
      </c>
      <c r="E36" s="87">
        <v>3</v>
      </c>
      <c r="F36" s="83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3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5">
        <v>0</v>
      </c>
      <c r="I36">
        <v>34</v>
      </c>
      <c r="J36" s="84" t="s">
        <v>126</v>
      </c>
      <c r="K36" s="93" t="str">
        <f>VLOOKUP(I36,[7]stage_hints!$A:$C,3,FALSE)</f>
        <v>ステータスをスキルで下げられたら</v>
      </c>
      <c r="L36" s="94" t="str">
        <f>VLOOKUP(I36,[7]stage_hints!$A:$D,4,FALSE)</f>
        <v>ステータスダウンのスキルを受けたら_x000D_ステータスアップスキルで上書きしましょう</v>
      </c>
      <c r="M36" s="57" t="s">
        <v>198</v>
      </c>
    </row>
    <row r="37" spans="1:13" x14ac:dyDescent="0.15">
      <c r="A37" s="81" t="s">
        <v>199</v>
      </c>
      <c r="B37" s="82">
        <f>floors!$C$2</f>
        <v>48001</v>
      </c>
      <c r="C37" s="83" t="str">
        <f ca="1">VLOOKUP($B37,OFFSET([2]quests!$A$1,0,0,COUNTA([2]quests!$A:$A),MATCH(C$1,[2]quests!$1:$1,0)-MATCH($B$1,[2]quests!$1:$1,0)+1),MATCH(C$1,[2]quests!$1:$1,0)-MATCH($B$1,[2]quests!$1:$1,0)+1,FALSE)</f>
        <v>蛟龍襲来！</v>
      </c>
      <c r="D37" s="83" t="str">
        <f ca="1">VLOOKUP($B37,OFFSET([2]quests!$A$1,0,0,COUNTA([2]quests!$A:$A),MATCH(D$1,[2]quests!$1:$1,0)-MATCH($B$1,[2]quests!$1:$1,0)+1),MATCH(D$1,[2]quests!$1:$1,0)-MATCH($B$1,[2]quests!$1:$1,0)+1,FALSE)</f>
        <v>台湾版降臨1</v>
      </c>
      <c r="E37" s="87">
        <v>3</v>
      </c>
      <c r="F37" s="83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3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5">
        <v>0</v>
      </c>
      <c r="I37">
        <v>35</v>
      </c>
      <c r="J37" s="84" t="s">
        <v>126</v>
      </c>
      <c r="K37" s="93" t="str">
        <f>VLOOKUP(I37,[7]stage_hints!$A:$C,3,FALSE)</f>
        <v>敵のステータスがスキルで上がったら</v>
      </c>
      <c r="L37" s="94" t="str">
        <f>VLOOKUP(I37,[7]stage_hints!$A:$D,4,FALSE)</f>
        <v>敵のステータスがスキルでアップしたときは_x000D_ステータスダウンスキルで上書きしましょう</v>
      </c>
      <c r="M37" s="57" t="s">
        <v>198</v>
      </c>
    </row>
    <row r="38" spans="1:13" x14ac:dyDescent="0.15">
      <c r="A38" s="81" t="s">
        <v>199</v>
      </c>
      <c r="B38" s="82">
        <f>floors!$C$2</f>
        <v>48001</v>
      </c>
      <c r="C38" s="83" t="str">
        <f ca="1">VLOOKUP($B38,OFFSET([2]quests!$A$1,0,0,COUNTA([2]quests!$A:$A),MATCH(C$1,[2]quests!$1:$1,0)-MATCH($B$1,[2]quests!$1:$1,0)+1),MATCH(C$1,[2]quests!$1:$1,0)-MATCH($B$1,[2]quests!$1:$1,0)+1,FALSE)</f>
        <v>蛟龍襲来！</v>
      </c>
      <c r="D38" s="83" t="str">
        <f ca="1">VLOOKUP($B38,OFFSET([2]quests!$A$1,0,0,COUNTA([2]quests!$A:$A),MATCH(D$1,[2]quests!$1:$1,0)-MATCH($B$1,[2]quests!$1:$1,0)+1),MATCH(D$1,[2]quests!$1:$1,0)-MATCH($B$1,[2]quests!$1:$1,0)+1,FALSE)</f>
        <v>台湾版降臨1</v>
      </c>
      <c r="E38" s="87">
        <v>3</v>
      </c>
      <c r="F38" s="83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3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5">
        <v>0</v>
      </c>
      <c r="I38">
        <v>36</v>
      </c>
      <c r="J38" s="84" t="s">
        <v>126</v>
      </c>
      <c r="K38" s="93" t="str">
        <f>VLOOKUP(I38,[7]stage_hints!$A:$C,3,FALSE)</f>
        <v>チャレンジタワーのボス</v>
      </c>
      <c r="L38" s="94" t="str">
        <f>VLOOKUP(I38,[7]stage_hints!$A:$D,4,FALSE)</f>
        <v>チャレンジタワーでのみ登場するボスは_x000D_一定確率で獲得することができます</v>
      </c>
      <c r="M38" s="57" t="s">
        <v>198</v>
      </c>
    </row>
    <row r="39" spans="1:13" x14ac:dyDescent="0.15">
      <c r="A39" s="81" t="s">
        <v>199</v>
      </c>
      <c r="B39" s="82">
        <f>floors!$C$2</f>
        <v>48001</v>
      </c>
      <c r="C39" s="83" t="str">
        <f ca="1">VLOOKUP($B39,OFFSET([2]quests!$A$1,0,0,COUNTA([2]quests!$A:$A),MATCH(C$1,[2]quests!$1:$1,0)-MATCH($B$1,[2]quests!$1:$1,0)+1),MATCH(C$1,[2]quests!$1:$1,0)-MATCH($B$1,[2]quests!$1:$1,0)+1,FALSE)</f>
        <v>蛟龍襲来！</v>
      </c>
      <c r="D39" s="83" t="str">
        <f ca="1">VLOOKUP($B39,OFFSET([2]quests!$A$1,0,0,COUNTA([2]quests!$A:$A),MATCH(D$1,[2]quests!$1:$1,0)-MATCH($B$1,[2]quests!$1:$1,0)+1),MATCH(D$1,[2]quests!$1:$1,0)-MATCH($B$1,[2]quests!$1:$1,0)+1,FALSE)</f>
        <v>台湾版降臨1</v>
      </c>
      <c r="E39" s="87">
        <v>3</v>
      </c>
      <c r="F39" s="83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3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5">
        <v>0</v>
      </c>
      <c r="I39">
        <v>37</v>
      </c>
      <c r="J39" s="84" t="s">
        <v>126</v>
      </c>
      <c r="K39" s="93" t="str">
        <f>VLOOKUP(I39,[7]stage_hints!$A:$C,3,FALSE)</f>
        <v>限界突破値の引き継ぎ</v>
      </c>
      <c r="L39" s="94" t="str">
        <f>VLOOKUP(I39,[7]stage_hints!$A:$D,4,FALSE)</f>
        <v>同じユニットを強化で合成すると_x000D_限界突破値を引き継げます（覚醒前後も可）</v>
      </c>
      <c r="M39" s="57" t="s">
        <v>198</v>
      </c>
    </row>
    <row r="40" spans="1:13" x14ac:dyDescent="0.15">
      <c r="A40" s="81" t="s">
        <v>199</v>
      </c>
      <c r="B40" s="82">
        <f>floors!$C$2</f>
        <v>48001</v>
      </c>
      <c r="C40" s="83" t="str">
        <f ca="1">VLOOKUP($B40,OFFSET([2]quests!$A$1,0,0,COUNTA([2]quests!$A:$A),MATCH(C$1,[2]quests!$1:$1,0)-MATCH($B$1,[2]quests!$1:$1,0)+1),MATCH(C$1,[2]quests!$1:$1,0)-MATCH($B$1,[2]quests!$1:$1,0)+1,FALSE)</f>
        <v>蛟龍襲来！</v>
      </c>
      <c r="D40" s="83" t="str">
        <f ca="1">VLOOKUP($B40,OFFSET([2]quests!$A$1,0,0,COUNTA([2]quests!$A:$A),MATCH(D$1,[2]quests!$1:$1,0)-MATCH($B$1,[2]quests!$1:$1,0)+1),MATCH(D$1,[2]quests!$1:$1,0)-MATCH($B$1,[2]quests!$1:$1,0)+1,FALSE)</f>
        <v>台湾版降臨1</v>
      </c>
      <c r="E40" s="87">
        <v>3</v>
      </c>
      <c r="F40" s="83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3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5">
        <v>0</v>
      </c>
      <c r="I40">
        <v>39</v>
      </c>
      <c r="J40" s="84" t="s">
        <v>126</v>
      </c>
      <c r="K40" s="93" t="str">
        <f>VLOOKUP(I40,[7]stage_hints!$A:$C,3,FALSE)</f>
        <v>システム適合者を確認</v>
      </c>
      <c r="L40" s="94" t="str">
        <f>VLOOKUP(I40,[7]stage_hints!$A:$D,4,FALSE)</f>
        <v>ALICEが「アナタ」を呼んでいます</v>
      </c>
      <c r="M40" s="57" t="s">
        <v>198</v>
      </c>
    </row>
  </sheetData>
  <phoneticPr fontId="5"/>
  <dataValidations count="1">
    <dataValidation type="list" allowBlank="1" showInputMessage="1" showErrorMessage="1" sqref="A2:A27 A28:A4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7"/>
  <sheetViews>
    <sheetView showGridLines="0" workbookViewId="0">
      <pane ySplit="1" topLeftCell="A2" activePane="bottomLeft" state="frozen"/>
      <selection pane="bottomLeft" activeCell="J20" sqref="J20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186</v>
      </c>
      <c r="B1" s="72" t="s">
        <v>149</v>
      </c>
      <c r="C1" s="77" t="s">
        <v>188</v>
      </c>
      <c r="D1" s="77" t="s">
        <v>33</v>
      </c>
      <c r="E1" s="72" t="s">
        <v>189</v>
      </c>
      <c r="F1" s="77" t="s">
        <v>18</v>
      </c>
      <c r="G1" s="77" t="s">
        <v>33</v>
      </c>
      <c r="H1" s="72" t="s">
        <v>191</v>
      </c>
      <c r="I1" s="89" t="s">
        <v>192</v>
      </c>
      <c r="J1" s="91" t="s">
        <v>193</v>
      </c>
      <c r="K1" s="79" t="s">
        <v>125</v>
      </c>
      <c r="L1" s="78" t="s">
        <v>185</v>
      </c>
      <c r="M1" s="92" t="s">
        <v>184</v>
      </c>
      <c r="N1" s="80" t="s">
        <v>194</v>
      </c>
    </row>
    <row r="2" spans="1:14" ht="56" x14ac:dyDescent="0.15">
      <c r="A2" s="81" t="s">
        <v>195</v>
      </c>
      <c r="B2" s="82">
        <f>floors!$C$2</f>
        <v>48001</v>
      </c>
      <c r="C2" s="83" t="str">
        <f ca="1">VLOOKUP($B2,OFFSET([2]quests!$A$1,0,0,COUNTA([2]quests!$A:$A),MATCH(C$1,[2]quests!$1:$1,0)-MATCH($B$1,[2]quests!$1:$1,0)+1),MATCH(C$1,[2]quests!$1:$1,0)-MATCH($B$1,[2]quests!$1:$1,0)+1,FALSE)</f>
        <v>蛟龍襲来！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台湾版降臨1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【ウィザード級】蛟龍襲来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台湾版降臨1</v>
      </c>
      <c r="H2" s="85">
        <v>1</v>
      </c>
      <c r="I2" s="90">
        <f>ROW()-1</f>
        <v>1</v>
      </c>
      <c r="J2" s="86" t="str">
        <f>B2&amp;TEXT(I2,"00")</f>
        <v>4800101</v>
      </c>
      <c r="K2" s="84" t="s">
        <v>196</v>
      </c>
      <c r="L2" s="87" t="s">
        <v>197</v>
      </c>
      <c r="M2" s="118" t="s">
        <v>290</v>
      </c>
      <c r="N2" s="57" t="s">
        <v>198</v>
      </c>
    </row>
    <row r="3" spans="1:14" ht="56" x14ac:dyDescent="0.15">
      <c r="A3" s="81" t="s">
        <v>195</v>
      </c>
      <c r="B3" s="82">
        <f>floors!$C$2</f>
        <v>48001</v>
      </c>
      <c r="C3" s="83" t="str">
        <f ca="1">VLOOKUP($B3,OFFSET([2]quests!$A$1,0,0,COUNTA([2]quests!$A:$A),MATCH(C$1,[2]quests!$1:$1,0)-MATCH($B$1,[2]quests!$1:$1,0)+1),MATCH(C$1,[2]quests!$1:$1,0)-MATCH($B$1,[2]quests!$1:$1,0)+1,FALSE)</f>
        <v>蛟龍襲来！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台湾版降臨1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【ウィザード級】蛟龍襲来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台湾版降臨1</v>
      </c>
      <c r="H3" s="85">
        <v>2</v>
      </c>
      <c r="I3" s="90">
        <f t="shared" ref="I3:I7" si="0">ROW()-1</f>
        <v>2</v>
      </c>
      <c r="J3" s="86" t="str">
        <f t="shared" ref="J3:J6" si="1">B3&amp;TEXT(I3,"00")</f>
        <v>4800102</v>
      </c>
      <c r="K3" s="84" t="s">
        <v>196</v>
      </c>
      <c r="L3" s="87" t="s">
        <v>197</v>
      </c>
      <c r="M3" s="118" t="s">
        <v>291</v>
      </c>
      <c r="N3" s="57" t="s">
        <v>198</v>
      </c>
    </row>
    <row r="4" spans="1:14" ht="56" x14ac:dyDescent="0.15">
      <c r="A4" s="81" t="s">
        <v>195</v>
      </c>
      <c r="B4" s="82">
        <f>floors!$C$2</f>
        <v>48001</v>
      </c>
      <c r="C4" s="83" t="str">
        <f ca="1">VLOOKUP($B4,OFFSET([2]quests!$A$1,0,0,COUNTA([2]quests!$A:$A),MATCH(C$1,[2]quests!$1:$1,0)-MATCH($B$1,[2]quests!$1:$1,0)+1),MATCH(C$1,[2]quests!$1:$1,0)-MATCH($B$1,[2]quests!$1:$1,0)+1,FALSE)</f>
        <v>蛟龍襲来！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台湾版降臨1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【ウィザード級】蛟龍襲来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台湾版降臨1</v>
      </c>
      <c r="H4" s="85">
        <v>3</v>
      </c>
      <c r="I4" s="90">
        <f t="shared" si="0"/>
        <v>3</v>
      </c>
      <c r="J4" s="86" t="str">
        <f t="shared" si="1"/>
        <v>4800103</v>
      </c>
      <c r="K4" s="84" t="s">
        <v>196</v>
      </c>
      <c r="L4" s="87" t="s">
        <v>197</v>
      </c>
      <c r="M4" s="118" t="s">
        <v>292</v>
      </c>
      <c r="N4" s="57" t="s">
        <v>198</v>
      </c>
    </row>
    <row r="5" spans="1:14" ht="28" x14ac:dyDescent="0.15">
      <c r="A5" s="81" t="s">
        <v>195</v>
      </c>
      <c r="B5" s="82">
        <f>floors!$C$2</f>
        <v>48001</v>
      </c>
      <c r="C5" s="83" t="str">
        <f ca="1">VLOOKUP($B5,OFFSET([2]quests!$A$1,0,0,COUNTA([2]quests!$A:$A),MATCH(C$1,[2]quests!$1:$1,0)-MATCH($B$1,[2]quests!$1:$1,0)+1),MATCH(C$1,[2]quests!$1:$1,0)-MATCH($B$1,[2]quests!$1:$1,0)+1,FALSE)</f>
        <v>蛟龍襲来！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台湾版降臨1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【ウィザード級】蛟龍襲来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台湾版降臨1</v>
      </c>
      <c r="H5" s="85">
        <v>4</v>
      </c>
      <c r="I5" s="90">
        <f t="shared" si="0"/>
        <v>4</v>
      </c>
      <c r="J5" s="86" t="str">
        <f t="shared" si="1"/>
        <v>4800104</v>
      </c>
      <c r="K5" s="84" t="s">
        <v>196</v>
      </c>
      <c r="L5" s="87" t="s">
        <v>197</v>
      </c>
      <c r="M5" s="118" t="s">
        <v>295</v>
      </c>
      <c r="N5" s="57" t="s">
        <v>198</v>
      </c>
    </row>
    <row r="6" spans="1:14" ht="42" x14ac:dyDescent="0.15">
      <c r="A6" s="81" t="s">
        <v>195</v>
      </c>
      <c r="B6" s="82">
        <f>floors!$C$2</f>
        <v>48001</v>
      </c>
      <c r="C6" s="83" t="str">
        <f ca="1">VLOOKUP($B6,OFFSET([2]quests!$A$1,0,0,COUNTA([2]quests!$A:$A),MATCH(C$1,[2]quests!$1:$1,0)-MATCH($B$1,[2]quests!$1:$1,0)+1),MATCH(C$1,[2]quests!$1:$1,0)-MATCH($B$1,[2]quests!$1:$1,0)+1,FALSE)</f>
        <v>蛟龍襲来！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台湾版降臨1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【ウィザード級】蛟龍襲来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台湾版降臨1</v>
      </c>
      <c r="H6" s="85">
        <v>4</v>
      </c>
      <c r="I6" s="90">
        <f t="shared" si="0"/>
        <v>5</v>
      </c>
      <c r="J6" s="86" t="str">
        <f t="shared" si="1"/>
        <v>4800105</v>
      </c>
      <c r="K6" s="84" t="s">
        <v>196</v>
      </c>
      <c r="L6" s="87" t="s">
        <v>197</v>
      </c>
      <c r="M6" s="118" t="s">
        <v>294</v>
      </c>
      <c r="N6" s="57" t="s">
        <v>198</v>
      </c>
    </row>
    <row r="7" spans="1:14" ht="28" x14ac:dyDescent="0.15">
      <c r="A7" s="81" t="s">
        <v>195</v>
      </c>
      <c r="B7" s="82">
        <f>floors!$C$2</f>
        <v>48001</v>
      </c>
      <c r="C7" s="83" t="str">
        <f ca="1">VLOOKUP($B7,OFFSET([2]quests!$A$1,0,0,COUNTA([2]quests!$A:$A),MATCH(C$1,[2]quests!$1:$1,0)-MATCH($B$1,[2]quests!$1:$1,0)+1),MATCH(C$1,[2]quests!$1:$1,0)-MATCH($B$1,[2]quests!$1:$1,0)+1,FALSE)</f>
        <v>蛟龍襲来！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台湾版降臨1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【ウィザード級】蛟龍襲来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台湾版降臨1</v>
      </c>
      <c r="H7" s="85">
        <v>4</v>
      </c>
      <c r="I7" s="90">
        <f t="shared" si="0"/>
        <v>6</v>
      </c>
      <c r="J7" s="86" t="str">
        <f t="shared" ref="J7" si="2">B7&amp;TEXT(I7,"00")</f>
        <v>4800106</v>
      </c>
      <c r="K7" s="84" t="s">
        <v>196</v>
      </c>
      <c r="L7" s="87" t="s">
        <v>197</v>
      </c>
      <c r="M7" s="118" t="s">
        <v>293</v>
      </c>
      <c r="N7" s="57" t="s">
        <v>198</v>
      </c>
    </row>
  </sheetData>
  <phoneticPr fontId="5"/>
  <dataValidations count="1">
    <dataValidation type="list" allowBlank="1" showInputMessage="1" showErrorMessage="1" sqref="A2:A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2016-06-16T11:22:25Z</dcterms:modified>
</cp:coreProperties>
</file>