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0" yWindow="460" windowWidth="27320" windowHeight="140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2" l="1"/>
  <c r="N2" i="22"/>
  <c r="G2" i="22"/>
  <c r="F2" i="22"/>
  <c r="D2" i="22"/>
  <c r="C2" i="22"/>
  <c r="A2" i="22"/>
  <c r="C13" i="16"/>
  <c r="E13" i="16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16" i="21"/>
  <c r="I16" i="21"/>
  <c r="J16" i="21"/>
  <c r="G16" i="21"/>
  <c r="F16" i="21"/>
  <c r="D16" i="21"/>
  <c r="C16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8" i="9"/>
  <c r="N8" i="9"/>
  <c r="M8" i="9"/>
  <c r="L8" i="9"/>
  <c r="K8" i="9"/>
  <c r="J8" i="9"/>
  <c r="I8" i="9"/>
  <c r="H8" i="9"/>
  <c r="G8" i="9"/>
  <c r="E8" i="9"/>
  <c r="D8" i="9"/>
  <c r="A8" i="9"/>
  <c r="A44" i="9"/>
  <c r="D44" i="9"/>
  <c r="E44" i="9"/>
  <c r="G44" i="9"/>
  <c r="H44" i="9"/>
  <c r="I44" i="9"/>
  <c r="J44" i="9"/>
  <c r="K44" i="9"/>
  <c r="L44" i="9"/>
  <c r="M44" i="9"/>
  <c r="N44" i="9"/>
  <c r="O44" i="9"/>
  <c r="G48" i="9"/>
  <c r="H48" i="9"/>
  <c r="I48" i="9"/>
  <c r="J48" i="9"/>
  <c r="K48" i="9"/>
  <c r="L48" i="9"/>
  <c r="M48" i="9"/>
  <c r="N48" i="9"/>
  <c r="O48" i="9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W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J9" i="7"/>
  <c r="I9" i="7"/>
  <c r="D9" i="7"/>
  <c r="F9" i="7"/>
  <c r="E9" i="7"/>
  <c r="A9" i="7"/>
  <c r="W8" i="7"/>
  <c r="R8" i="7"/>
  <c r="Q8" i="7"/>
  <c r="P8" i="7"/>
  <c r="O8" i="7"/>
  <c r="N8" i="7"/>
  <c r="H8" i="7"/>
  <c r="J8" i="7"/>
  <c r="I8" i="7"/>
  <c r="D8" i="7"/>
  <c r="F8" i="7"/>
  <c r="E8" i="7"/>
  <c r="A8" i="7"/>
  <c r="W7" i="7"/>
  <c r="R7" i="7"/>
  <c r="Q7" i="7"/>
  <c r="P7" i="7"/>
  <c r="O7" i="7"/>
  <c r="N7" i="7"/>
  <c r="H7" i="7"/>
  <c r="J7" i="7"/>
  <c r="I7" i="7"/>
  <c r="D7" i="7"/>
  <c r="F7" i="7"/>
  <c r="E7" i="7"/>
  <c r="A7" i="7"/>
  <c r="W6" i="7"/>
  <c r="R6" i="7"/>
  <c r="Q6" i="7"/>
  <c r="P6" i="7"/>
  <c r="O6" i="7"/>
  <c r="N6" i="7"/>
  <c r="H6" i="7"/>
  <c r="J6" i="7"/>
  <c r="I6" i="7"/>
  <c r="D6" i="7"/>
  <c r="F6" i="7"/>
  <c r="E6" i="7"/>
  <c r="A6" i="7"/>
  <c r="A2" i="7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H7" i="2"/>
  <c r="E7" i="2"/>
  <c r="D7" i="2"/>
  <c r="H2" i="1"/>
  <c r="H3" i="1"/>
  <c r="H4" i="1"/>
  <c r="B7" i="2"/>
  <c r="H6" i="2"/>
  <c r="E6" i="2"/>
  <c r="D6" i="2"/>
  <c r="B6" i="2"/>
  <c r="H5" i="2"/>
  <c r="E5" i="2"/>
  <c r="D5" i="2"/>
  <c r="B5" i="2"/>
  <c r="O7" i="9"/>
  <c r="N7" i="9"/>
  <c r="M7" i="9"/>
  <c r="L7" i="9"/>
  <c r="K7" i="9"/>
  <c r="J7" i="9"/>
  <c r="I7" i="9"/>
  <c r="H7" i="9"/>
  <c r="G7" i="9"/>
  <c r="E7" i="9"/>
  <c r="D7" i="9"/>
  <c r="A7" i="9"/>
  <c r="A3" i="9"/>
  <c r="O3" i="9"/>
  <c r="N3" i="9"/>
  <c r="M3" i="9"/>
  <c r="L3" i="9"/>
  <c r="K3" i="9"/>
  <c r="J3" i="9"/>
  <c r="I3" i="9"/>
  <c r="H3" i="9"/>
  <c r="G3" i="9"/>
  <c r="E3" i="9"/>
  <c r="D3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J56" i="11"/>
  <c r="O41" i="9"/>
  <c r="N41" i="9"/>
  <c r="M41" i="9"/>
  <c r="L41" i="9"/>
  <c r="K41" i="9"/>
  <c r="J41" i="9"/>
  <c r="I41" i="9"/>
  <c r="H41" i="9"/>
  <c r="G41" i="9"/>
  <c r="E41" i="9"/>
  <c r="D41" i="9"/>
  <c r="A41" i="9"/>
  <c r="J55" i="11"/>
  <c r="O40" i="9"/>
  <c r="N40" i="9"/>
  <c r="M40" i="9"/>
  <c r="L40" i="9"/>
  <c r="K40" i="9"/>
  <c r="J40" i="9"/>
  <c r="I40" i="9"/>
  <c r="H40" i="9"/>
  <c r="G40" i="9"/>
  <c r="E40" i="9"/>
  <c r="D40" i="9"/>
  <c r="A40" i="9"/>
  <c r="J54" i="11"/>
  <c r="O39" i="9"/>
  <c r="N39" i="9"/>
  <c r="M39" i="9"/>
  <c r="L39" i="9"/>
  <c r="K39" i="9"/>
  <c r="J39" i="9"/>
  <c r="I39" i="9"/>
  <c r="H39" i="9"/>
  <c r="G39" i="9"/>
  <c r="E39" i="9"/>
  <c r="D39" i="9"/>
  <c r="A39" i="9"/>
  <c r="J53" i="11"/>
  <c r="O38" i="9"/>
  <c r="N38" i="9"/>
  <c r="M38" i="9"/>
  <c r="L38" i="9"/>
  <c r="K38" i="9"/>
  <c r="J38" i="9"/>
  <c r="I38" i="9"/>
  <c r="H38" i="9"/>
  <c r="G38" i="9"/>
  <c r="E38" i="9"/>
  <c r="D38" i="9"/>
  <c r="A38" i="9"/>
  <c r="J52" i="11"/>
  <c r="O37" i="9"/>
  <c r="N37" i="9"/>
  <c r="M37" i="9"/>
  <c r="L37" i="9"/>
  <c r="K37" i="9"/>
  <c r="J37" i="9"/>
  <c r="I37" i="9"/>
  <c r="H37" i="9"/>
  <c r="G37" i="9"/>
  <c r="E37" i="9"/>
  <c r="D37" i="9"/>
  <c r="A37" i="9"/>
  <c r="J51" i="11"/>
  <c r="O36" i="9"/>
  <c r="N36" i="9"/>
  <c r="M36" i="9"/>
  <c r="L36" i="9"/>
  <c r="K36" i="9"/>
  <c r="J36" i="9"/>
  <c r="I36" i="9"/>
  <c r="H36" i="9"/>
  <c r="G36" i="9"/>
  <c r="E36" i="9"/>
  <c r="D36" i="9"/>
  <c r="A36" i="9"/>
  <c r="J50" i="11"/>
  <c r="O35" i="9"/>
  <c r="N35" i="9"/>
  <c r="M35" i="9"/>
  <c r="L35" i="9"/>
  <c r="K35" i="9"/>
  <c r="J35" i="9"/>
  <c r="I35" i="9"/>
  <c r="H35" i="9"/>
  <c r="G35" i="9"/>
  <c r="E35" i="9"/>
  <c r="D35" i="9"/>
  <c r="A35" i="9"/>
  <c r="J49" i="11"/>
  <c r="O34" i="9"/>
  <c r="N34" i="9"/>
  <c r="M34" i="9"/>
  <c r="L34" i="9"/>
  <c r="K34" i="9"/>
  <c r="J34" i="9"/>
  <c r="I34" i="9"/>
  <c r="H34" i="9"/>
  <c r="G34" i="9"/>
  <c r="E34" i="9"/>
  <c r="D34" i="9"/>
  <c r="A34" i="9"/>
  <c r="J48" i="11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J42" i="11"/>
  <c r="O30" i="9"/>
  <c r="N30" i="9"/>
  <c r="M30" i="9"/>
  <c r="L30" i="9"/>
  <c r="K30" i="9"/>
  <c r="J30" i="9"/>
  <c r="I30" i="9"/>
  <c r="H30" i="9"/>
  <c r="G30" i="9"/>
  <c r="E30" i="9"/>
  <c r="D30" i="9"/>
  <c r="A30" i="9"/>
  <c r="J41" i="11"/>
  <c r="O29" i="9"/>
  <c r="N29" i="9"/>
  <c r="M29" i="9"/>
  <c r="L29" i="9"/>
  <c r="K29" i="9"/>
  <c r="J29" i="9"/>
  <c r="I29" i="9"/>
  <c r="H29" i="9"/>
  <c r="G29" i="9"/>
  <c r="E29" i="9"/>
  <c r="D29" i="9"/>
  <c r="A29" i="9"/>
  <c r="J40" i="11"/>
  <c r="O28" i="9"/>
  <c r="N28" i="9"/>
  <c r="M28" i="9"/>
  <c r="L28" i="9"/>
  <c r="K28" i="9"/>
  <c r="J28" i="9"/>
  <c r="I28" i="9"/>
  <c r="H28" i="9"/>
  <c r="G28" i="9"/>
  <c r="E28" i="9"/>
  <c r="D28" i="9"/>
  <c r="A28" i="9"/>
  <c r="J39" i="11"/>
  <c r="O27" i="9"/>
  <c r="N27" i="9"/>
  <c r="M27" i="9"/>
  <c r="L27" i="9"/>
  <c r="K27" i="9"/>
  <c r="J27" i="9"/>
  <c r="I27" i="9"/>
  <c r="H27" i="9"/>
  <c r="G27" i="9"/>
  <c r="E27" i="9"/>
  <c r="D27" i="9"/>
  <c r="A27" i="9"/>
  <c r="J38" i="11"/>
  <c r="O26" i="9"/>
  <c r="N26" i="9"/>
  <c r="M26" i="9"/>
  <c r="L26" i="9"/>
  <c r="K26" i="9"/>
  <c r="J26" i="9"/>
  <c r="I26" i="9"/>
  <c r="H26" i="9"/>
  <c r="G26" i="9"/>
  <c r="E26" i="9"/>
  <c r="D26" i="9"/>
  <c r="A26" i="9"/>
  <c r="J37" i="11"/>
  <c r="O25" i="9"/>
  <c r="N25" i="9"/>
  <c r="M25" i="9"/>
  <c r="L25" i="9"/>
  <c r="K25" i="9"/>
  <c r="J25" i="9"/>
  <c r="I25" i="9"/>
  <c r="H25" i="9"/>
  <c r="G25" i="9"/>
  <c r="E25" i="9"/>
  <c r="D25" i="9"/>
  <c r="A25" i="9"/>
  <c r="J36" i="11"/>
  <c r="O24" i="9"/>
  <c r="N24" i="9"/>
  <c r="M24" i="9"/>
  <c r="L24" i="9"/>
  <c r="K24" i="9"/>
  <c r="J24" i="9"/>
  <c r="I24" i="9"/>
  <c r="H24" i="9"/>
  <c r="G24" i="9"/>
  <c r="E24" i="9"/>
  <c r="D24" i="9"/>
  <c r="A24" i="9"/>
  <c r="J35" i="11"/>
  <c r="O23" i="9"/>
  <c r="N23" i="9"/>
  <c r="M23" i="9"/>
  <c r="L23" i="9"/>
  <c r="K23" i="9"/>
  <c r="J23" i="9"/>
  <c r="I23" i="9"/>
  <c r="H23" i="9"/>
  <c r="G23" i="9"/>
  <c r="E23" i="9"/>
  <c r="D23" i="9"/>
  <c r="A23" i="9"/>
  <c r="J34" i="11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30" i="11"/>
  <c r="O20" i="9"/>
  <c r="N20" i="9"/>
  <c r="M20" i="9"/>
  <c r="L20" i="9"/>
  <c r="K20" i="9"/>
  <c r="J20" i="9"/>
  <c r="I20" i="9"/>
  <c r="H20" i="9"/>
  <c r="G20" i="9"/>
  <c r="E20" i="9"/>
  <c r="D20" i="9"/>
  <c r="A20" i="9"/>
  <c r="J29" i="11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J23" i="11"/>
  <c r="J22" i="11"/>
  <c r="O16" i="9"/>
  <c r="N16" i="9"/>
  <c r="M16" i="9"/>
  <c r="L16" i="9"/>
  <c r="K16" i="9"/>
  <c r="J16" i="9"/>
  <c r="I16" i="9"/>
  <c r="H16" i="9"/>
  <c r="G16" i="9"/>
  <c r="E16" i="9"/>
  <c r="D16" i="9"/>
  <c r="A16" i="9"/>
  <c r="J21" i="11"/>
  <c r="J20" i="11"/>
  <c r="O15" i="9"/>
  <c r="N15" i="9"/>
  <c r="M15" i="9"/>
  <c r="L15" i="9"/>
  <c r="K15" i="9"/>
  <c r="J15" i="9"/>
  <c r="I15" i="9"/>
  <c r="H15" i="9"/>
  <c r="G15" i="9"/>
  <c r="E15" i="9"/>
  <c r="D15" i="9"/>
  <c r="A15" i="9"/>
  <c r="J19" i="11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J16" i="11"/>
  <c r="O12" i="9"/>
  <c r="N12" i="9"/>
  <c r="M12" i="9"/>
  <c r="L12" i="9"/>
  <c r="K12" i="9"/>
  <c r="J12" i="9"/>
  <c r="I12" i="9"/>
  <c r="H12" i="9"/>
  <c r="G12" i="9"/>
  <c r="E12" i="9"/>
  <c r="D12" i="9"/>
  <c r="A12" i="9"/>
  <c r="J15" i="11"/>
  <c r="J14" i="11"/>
  <c r="O11" i="9"/>
  <c r="N11" i="9"/>
  <c r="M11" i="9"/>
  <c r="L11" i="9"/>
  <c r="K11" i="9"/>
  <c r="J11" i="9"/>
  <c r="I11" i="9"/>
  <c r="H11" i="9"/>
  <c r="G11" i="9"/>
  <c r="E11" i="9"/>
  <c r="D11" i="9"/>
  <c r="A11" i="9"/>
  <c r="J13" i="11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J9" i="11"/>
  <c r="O6" i="9"/>
  <c r="N6" i="9"/>
  <c r="M6" i="9"/>
  <c r="L6" i="9"/>
  <c r="K6" i="9"/>
  <c r="J6" i="9"/>
  <c r="I6" i="9"/>
  <c r="H6" i="9"/>
  <c r="G6" i="9"/>
  <c r="E6" i="9"/>
  <c r="D6" i="9"/>
  <c r="A6" i="9"/>
  <c r="J8" i="11"/>
  <c r="O5" i="9"/>
  <c r="N5" i="9"/>
  <c r="M5" i="9"/>
  <c r="L5" i="9"/>
  <c r="K5" i="9"/>
  <c r="J5" i="9"/>
  <c r="I5" i="9"/>
  <c r="H5" i="9"/>
  <c r="G5" i="9"/>
  <c r="E5" i="9"/>
  <c r="D5" i="9"/>
  <c r="A5" i="9"/>
  <c r="J7" i="11"/>
  <c r="O4" i="9"/>
  <c r="N4" i="9"/>
  <c r="M4" i="9"/>
  <c r="L4" i="9"/>
  <c r="K4" i="9"/>
  <c r="J4" i="9"/>
  <c r="I4" i="9"/>
  <c r="H4" i="9"/>
  <c r="G4" i="9"/>
  <c r="E4" i="9"/>
  <c r="D4" i="9"/>
  <c r="A4" i="9"/>
  <c r="J61" i="11"/>
  <c r="J60" i="11"/>
  <c r="J59" i="11"/>
  <c r="J58" i="11"/>
  <c r="J57" i="11"/>
  <c r="J47" i="11"/>
  <c r="J46" i="11"/>
  <c r="J45" i="11"/>
  <c r="J44" i="11"/>
  <c r="J43" i="11"/>
  <c r="J33" i="11"/>
  <c r="J32" i="11"/>
  <c r="J31" i="11"/>
  <c r="J28" i="11"/>
  <c r="J27" i="11"/>
  <c r="J26" i="11"/>
  <c r="J25" i="11"/>
  <c r="J24" i="11"/>
  <c r="J18" i="11"/>
  <c r="J17" i="11"/>
  <c r="J12" i="11"/>
  <c r="J11" i="11"/>
  <c r="J10" i="11"/>
  <c r="J6" i="11"/>
  <c r="J5" i="11"/>
  <c r="J4" i="11"/>
  <c r="J3" i="11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5" i="7"/>
  <c r="R5" i="7"/>
  <c r="Q5" i="7"/>
  <c r="P5" i="7"/>
  <c r="O5" i="7"/>
  <c r="N5" i="7"/>
  <c r="H5" i="7"/>
  <c r="J5" i="7"/>
  <c r="I5" i="7"/>
  <c r="D5" i="7"/>
  <c r="F5" i="7"/>
  <c r="E5" i="7"/>
  <c r="A5" i="7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AA3" i="1"/>
  <c r="V3" i="1"/>
  <c r="Q3" i="1"/>
  <c r="P3" i="1"/>
  <c r="O3" i="1"/>
  <c r="N3" i="1"/>
  <c r="M3" i="1"/>
  <c r="J3" i="1"/>
  <c r="I3" i="1"/>
  <c r="D3" i="1"/>
  <c r="F3" i="1"/>
  <c r="E3" i="1"/>
  <c r="A3" i="1"/>
  <c r="H4" i="2"/>
  <c r="E4" i="2"/>
  <c r="D4" i="2"/>
  <c r="B4" i="2"/>
  <c r="H3" i="2"/>
  <c r="E3" i="2"/>
  <c r="D3" i="2"/>
  <c r="B3" i="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W2" i="7"/>
  <c r="V2" i="1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<sst xmlns="http://schemas.openxmlformats.org/spreadsheetml/2006/main" count="1089" uniqueCount="346">
  <si>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</si>
  <si>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</si>
  <si>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</si>
  <si>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</si>
  <si>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</si>
  <si>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</si>
  <si>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</si>
  <si>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</si>
  <si>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</si>
  <si>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</si>
  <si>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</si>
  <si>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</si>
  <si>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</si>
  <si>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</si>
  <si>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</si>
  <si>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</si>
  <si>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</si>
  <si>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</si>
  <si>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</si>
  <si>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</si>
  <si>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</si>
  <si>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</si>
  <si>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</si>
  <si>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</si>
  <si>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</si>
  <si>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</si>
  <si>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</si>
  <si>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</si>
  <si>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</si>
  <si>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</si>
  <si>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</si>
  <si>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</si>
  <si>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</si>
  <si>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</si>
  <si>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</si>
  <si>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</si>
  <si>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</si>
  <si>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</si>
  <si>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</si>
  <si>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</si>
  <si>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</si>
  <si>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</si>
  <si>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</si>
  <si>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</si>
  <si>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</si>
  <si>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</si>
  <si>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</si>
  <si>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</si>
  <si>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</si>
  <si>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</si>
  <si>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</si>
  <si>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</si>
  <si>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</si>
  <si>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</si>
  <si>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</si>
  <si>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</si>
  <si>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</si>
  <si>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</si>
  <si>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</si>
  <si>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</si>
  <si>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</si>
  <si>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</si>
  <si>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</si>
  <si>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</si>
  <si>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</si>
  <si>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</si>
  <si>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</si>
  <si>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</si>
  <si>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</si>
  <si>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</si>
  <si>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</si>
  <si>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</si>
  <si>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</si>
  <si>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</si>
  <si>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</si>
  <si>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</si>
  <si>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</si>
  <si>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</si>
  <si>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</si>
  <si>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</si>
  <si>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</si>
  <si>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</si>
  <si>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</si>
  <si>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</si>
  <si>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</si>
  <si>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</si>
  <si>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</si>
  <si>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</si>
  <si>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</si>
  <si>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</si>
  <si>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</si>
  <si>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</si>
  <si>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</si>
  <si>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</si>
  <si>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</si>
  <si>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</si>
  <si>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</si>
  <si>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</si>
  <si>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</si>
  <si>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</si>
  <si>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</si>
  <si>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</si>
  <si>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</si>
  <si>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</si>
  <si>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</si>
  <si>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</si>
  <si>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</si>
  <si>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</si>
  <si>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</si>
  <si>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</si>
  <si>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</si>
  <si>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</si>
  <si>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</si>
  <si>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</si>
  <si>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</si>
  <si>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</si>
  <si>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</si>
  <si>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</si>
  <si>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</si>
  <si>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</si>
  <si>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</si>
  <si>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</si>
  <si>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</si>
  <si>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</si>
  <si>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</si>
  <si>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</si>
  <si>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</si>
  <si>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</si>
  <si>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</si>
  <si>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</si>
  <si>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</si>
  <si>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</si>
  <si>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</si>
  <si>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</si>
  <si>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</si>
  <si>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</si>
  <si>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</si>
  <si>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</si>
  <si>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</si>
  <si>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</si>
  <si>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</si>
  <si>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</si>
  <si>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</si>
  <si>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</si>
  <si>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</si>
  <si>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</si>
  <si>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</si>
  <si>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</si>
  <si>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</si>
  <si>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</si>
  <si>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</si>
  <si>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</si>
  <si>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</si>
  <si>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</si>
  <si>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</si>
  <si>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</si>
  <si>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</si>
  <si>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</si>
  <si>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</si>
  <si>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</si>
  <si>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</si>
  <si>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</si>
  <si>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</si>
  <si>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</si>
  <si>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</si>
  <si>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</si>
  <si>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</si>
  <si>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</si>
  <si>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</si>
  <si>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</si>
  <si>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</si>
  <si>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</si>
  <si>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</si>
  <si>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</si>
  <si>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</si>
  <si>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</si>
  <si>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</si>
  <si>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</si>
  <si>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</si>
  <si>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</si>
  <si>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</si>
  <si>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</si>
  <si>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</si>
  <si>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</si>
  <si>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</si>
  <si>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</si>
  <si>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</si>
  <si>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</si>
  <si>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</si>
  <si>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</si>
  <si>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</si>
  <si>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</si>
  <si>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</si>
  <si>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</si>
  <si>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</si>
  <si>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</si>
  <si>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</si>
  <si>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</si>
  <si>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</si>
  <si>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</si>
  <si>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</si>
  <si>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</si>
  <si>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</si>
  <si>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</si>
  <si>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</si>
  <si>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</si>
  <si>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</si>
  <si>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</si>
  <si>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</si>
  <si>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</si>
  <si>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</si>
  <si>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</si>
  <si>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</si>
  <si>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old</t>
    <phoneticPr fontId="5"/>
  </si>
  <si>
    <t>全体攻撃</t>
    <rPh sb="0" eb="4">
      <t>ゼｎ</t>
    </rPh>
    <phoneticPr fontId="5"/>
  </si>
  <si>
    <t>強力な全体攻撃</t>
    <rPh sb="0" eb="2">
      <t>キョウリョｋ</t>
    </rPh>
    <rPh sb="3" eb="7">
      <t>ゼンタ</t>
    </rPh>
    <phoneticPr fontId="5"/>
  </si>
  <si>
    <t>一度だけHPを超回復</t>
    <rPh sb="0" eb="2">
      <t>1ｄ</t>
    </rPh>
    <rPh sb="7" eb="10">
      <t>チョ</t>
    </rPh>
    <phoneticPr fontId="5"/>
  </si>
  <si>
    <t>クリティカル攻撃</t>
    <rPh sb="6" eb="8">
      <t>コウゲｋ</t>
    </rPh>
    <phoneticPr fontId="5"/>
  </si>
  <si>
    <t>[effect:spread, val:0.3],[effect:fix_speed, target:enemy_all, turn:3]</t>
    <phoneticPr fontId="5"/>
  </si>
  <si>
    <t>[effect:critical, val:1.4]</t>
    <phoneticPr fontId="5"/>
  </si>
  <si>
    <t>[effect:tolerance, target:myself, turn:-1, tolerance_effect:all, count:-1, animation:enemy_tolerance]</t>
    <phoneticPr fontId="5"/>
  </si>
  <si>
    <t>[effect:fix_speed, target:enemy_all, turn:1]</t>
    <phoneticPr fontId="5"/>
  </si>
  <si>
    <t>戦闘用意！！</t>
    <rPh sb="0" eb="2">
      <t>セントウ</t>
    </rPh>
    <rPh sb="2" eb="4">
      <t>ヨウイ</t>
    </rPh>
    <phoneticPr fontId="5"/>
  </si>
  <si>
    <t>5年ぶりだな…</t>
    <rPh sb="1" eb="2">
      <t>ネｎ</t>
    </rPh>
    <phoneticPr fontId="5"/>
  </si>
  <si>
    <t>[effect:suicide, val:1, dead_type:escape, target:myself]</t>
    <phoneticPr fontId="5"/>
  </si>
  <si>
    <t>……よう</t>
    <phoneticPr fontId="5"/>
  </si>
  <si>
    <t>[effect:critical, val:1.4],[effect:fix_speed, target:enemy_all, turn:1]</t>
    <phoneticPr fontId="5"/>
  </si>
  <si>
    <t>なぎはらい</t>
    <phoneticPr fontId="5"/>
  </si>
  <si>
    <t>なぎはらい</t>
    <phoneticPr fontId="5"/>
  </si>
  <si>
    <t>連続投石</t>
    <rPh sb="0" eb="2">
      <t>レンゾｋ</t>
    </rPh>
    <rPh sb="2" eb="4">
      <t>トウセｋ</t>
    </rPh>
    <phoneticPr fontId="5"/>
  </si>
  <si>
    <t>超回復</t>
    <rPh sb="0" eb="3">
      <t>チョ</t>
    </rPh>
    <phoneticPr fontId="5"/>
  </si>
  <si>
    <t>絶望の拳</t>
    <rPh sb="0" eb="2">
      <t>ゼｔ</t>
    </rPh>
    <rPh sb="3" eb="4">
      <t>コブｓ</t>
    </rPh>
    <phoneticPr fontId="5"/>
  </si>
  <si>
    <t>[effect:fix_speed, target:myself, turn:2],[effect:enhance_enemy, target:myself, turn:-1, status:defense, val:3000, calc:add, animation:enemy_enhance_defense]</t>
    <phoneticPr fontId="5"/>
  </si>
  <si>
    <t>硬質化</t>
    <rPh sb="0" eb="3">
      <t>コウシツｋ</t>
    </rPh>
    <phoneticPr fontId="5"/>
  </si>
  <si>
    <t>瞬発機動</t>
    <rPh sb="0" eb="2">
      <t>シュンパｔ</t>
    </rPh>
    <rPh sb="2" eb="4">
      <t>キド</t>
    </rPh>
    <phoneticPr fontId="5"/>
  </si>
  <si>
    <t>行動頻度UP</t>
    <rPh sb="0" eb="4">
      <t>コウド</t>
    </rPh>
    <phoneticPr fontId="5"/>
  </si>
  <si>
    <t>破壊の双拳</t>
    <rPh sb="0" eb="2">
      <t>ハｋ</t>
    </rPh>
    <rPh sb="3" eb="4">
      <t>ソウケン</t>
    </rPh>
    <phoneticPr fontId="5"/>
  </si>
  <si>
    <t>2回連続攻撃</t>
    <rPh sb="1" eb="2">
      <t>カ</t>
    </rPh>
    <rPh sb="2" eb="6">
      <t>レンゾｋ</t>
    </rPh>
    <phoneticPr fontId="5"/>
  </si>
  <si>
    <t>爆風軽減＋状態異常無効</t>
    <rPh sb="0" eb="4">
      <t>バクｆ</t>
    </rPh>
    <rPh sb="5" eb="11">
      <t>ジョ</t>
    </rPh>
    <phoneticPr fontId="5"/>
  </si>
  <si>
    <t>[effect:change_bomb_range, turn:-1, target:unit_all, val:0.5, rate:1, animation:bomb_small],[effect:tolerance, target:myself, turn:-1, tolerance_effect:all, count:-1, animation:enemy_tolerance]</t>
    <phoneticPr fontId="5"/>
  </si>
  <si>
    <t>[effect:rush, count:4, val:0.3],[effect:fix_speed, target:enemy_all, turn:1]</t>
    <phoneticPr fontId="5"/>
  </si>
  <si>
    <t>なぎ倒し</t>
    <phoneticPr fontId="5"/>
  </si>
  <si>
    <t>状態異常無効</t>
    <rPh sb="0" eb="6">
      <t>ジョ</t>
    </rPh>
    <phoneticPr fontId="5"/>
  </si>
  <si>
    <t>圧倒的な巨体</t>
    <rPh sb="0" eb="3">
      <t>アット</t>
    </rPh>
    <rPh sb="4" eb="6">
      <t>キョタ</t>
    </rPh>
    <phoneticPr fontId="5"/>
  </si>
  <si>
    <t>叩き潰す</t>
    <rPh sb="0" eb="1">
      <t>タｔ</t>
    </rPh>
    <phoneticPr fontId="5"/>
  </si>
  <si>
    <t>超高熱</t>
    <rPh sb="0" eb="3">
      <t>チョウコウネｔ</t>
    </rPh>
    <phoneticPr fontId="5"/>
  </si>
  <si>
    <t>[effect:dark, target:unit_all, turn:1],[effect:suicide, val:1, dead_type:escape, target:myself, animation:enemy_escape]</t>
    <phoneticPr fontId="5"/>
  </si>
  <si>
    <t>[effect:spread, val:0.25],[effect:fix_speed, target:enemy_all, turn:1]</t>
    <phoneticPr fontId="5"/>
  </si>
  <si>
    <t>[effect:spread, val:0.28],[effect:fix_speed, target:enemy_all, turn:2]</t>
    <phoneticPr fontId="5"/>
  </si>
  <si>
    <t>[effect:critical, val:1.3],[effect:fix_speed, target:enemy_all, turn:2]</t>
    <phoneticPr fontId="5"/>
  </si>
  <si>
    <t>[effect:critical, val:1.2],[effect:fix_speed, target:enemy_all, turn:3]</t>
    <phoneticPr fontId="5"/>
  </si>
  <si>
    <t>[effect:rush, count:3, val:0.4],[effect:fix_speed, target:enemy_all, turn:2]</t>
    <phoneticPr fontId="5"/>
  </si>
  <si>
    <t>[effect:rush, count:5, val:0.2],[effect:fix_speed, target:enemy_all, turn:3]</t>
    <phoneticPr fontId="5"/>
  </si>
  <si>
    <t>[effect:critical, val:1.3]</t>
    <phoneticPr fontId="5"/>
  </si>
  <si>
    <t>[effect:spread, val:0.3]</t>
    <phoneticPr fontId="5"/>
  </si>
  <si>
    <t xml:space="preserve">[effect:rush, count:2, val:0.7]    </t>
    <phoneticPr fontId="5"/>
  </si>
  <si>
    <t>[effect:spread, val:0.3]</t>
    <phoneticPr fontId="5"/>
  </si>
  <si>
    <t>[effect:heal, target:myself, val:0.4, animation:enemy_heal]</t>
    <phoneticPr fontId="5"/>
  </si>
  <si>
    <t>[effect:critical, val:1.3]</t>
    <phoneticPr fontId="5"/>
  </si>
  <si>
    <t>[effect:virus, turn:-1, target:unit_all, rate:1, val:0.03, calc_type:target_all, animation:enemy_virus],[effect:tolerance, target:myself, turn:-1, tolerance_effect:all, count:-1, animation:enemy_tolerance]</t>
    <phoneticPr fontId="5"/>
  </si>
  <si>
    <t>焼け付く蒸気</t>
    <rPh sb="0" eb="1">
      <t>ヤケツｋ</t>
    </rPh>
    <rPh sb="4" eb="6">
      <t>ジョウｋ</t>
    </rPh>
    <phoneticPr fontId="5"/>
  </si>
  <si>
    <t>因縁の怨敵</t>
    <phoneticPr fontId="5"/>
  </si>
  <si>
    <t xml:space="preserve">[effect:break_attack_fix, val:120, lowest_val:1500, count:8, block:block_red, target:unit_all]    </t>
    <phoneticPr fontId="5"/>
  </si>
  <si>
    <t xml:space="preserve">[effect:break_attack_fix, val:120, lowest_val:1500, count:8, block:block_green, target:unit_all]    </t>
    <phoneticPr fontId="5"/>
  </si>
  <si>
    <t xml:space="preserve">[effect:break_attack_fix, val:120, lowest_val:1500, count:8, block:block_blue, target:unit_all]      </t>
    <phoneticPr fontId="5"/>
  </si>
  <si>
    <t xml:space="preserve">[effect:break_attack_fix, val:120, lowest_val:1500, count:8, block:block_yellow, target:unit_all]    </t>
    <phoneticPr fontId="5"/>
  </si>
  <si>
    <t xml:space="preserve">[effect:break_attack_fix, val:120, lowest_val:1500, count:8, block:block_heart, target:unit_all]    </t>
    <phoneticPr fontId="5"/>
  </si>
  <si>
    <t>[effect:fix_speed, target:myself, turn:2],[effect:enhance_enemy, target:myself, turn:-1, status:defense, val:2000, calc:add, animation:enemy_enhance_defense]</t>
    <phoneticPr fontId="5"/>
  </si>
  <si>
    <t xml:space="preserve">[effect:break_attack_fix, val:100, lowest_val:1200, count:7, block:block_red, target:unit_all]    </t>
    <phoneticPr fontId="5"/>
  </si>
  <si>
    <t xml:space="preserve">[effect:break_attack_fix, val:100, lowest_val:1200, count:7, block:block_green, target:unit_all]    </t>
    <phoneticPr fontId="5"/>
  </si>
  <si>
    <t xml:space="preserve">[effect:break_attack_fix, val:100, lowest_val:1200, count:7, block:block_yellow, target:unit_all]    </t>
    <phoneticPr fontId="5"/>
  </si>
  <si>
    <t>（超大型巨人が現れた！）</t>
    <rPh sb="1" eb="6">
      <t>チョ</t>
    </rPh>
    <rPh sb="7" eb="8">
      <t>アラワｒ</t>
    </rPh>
    <phoneticPr fontId="5"/>
  </si>
  <si>
    <t>（目の前を蒸気が覆い尽くす！）</t>
    <rPh sb="1" eb="2">
      <t>メ</t>
    </rPh>
    <rPh sb="5" eb="7">
      <t>ジョウキガ</t>
    </rPh>
    <rPh sb="8" eb="9">
      <t>オ</t>
    </rPh>
    <phoneticPr fontId="5"/>
  </si>
  <si>
    <t>（瓦礫の中を突っ込んでくる！）</t>
    <rPh sb="1" eb="3">
      <t>ガレｋ</t>
    </rPh>
    <rPh sb="4" eb="5">
      <t>ナｋ</t>
    </rPh>
    <rPh sb="6" eb="7">
      <t>ツッコｎ</t>
    </rPh>
    <phoneticPr fontId="5"/>
  </si>
  <si>
    <t>[effect:enemy_message, val1:0, val2:0, dead_type:escape]</t>
    <phoneticPr fontId="5"/>
  </si>
  <si>
    <t>[effect:sleep, target:unit_all, turn:1, rate:1, calc_type:target_one],[effect:fix_speed, target:enemy_all, turn:1]</t>
    <phoneticPr fontId="5"/>
  </si>
  <si>
    <t>[effect:change_bomb_range, turn:-1, target:unit_all, val:0.5, rate:1, animation:bomb_small],[effect:tolerance, target:myself, turn:-1, tolerance_effect:all, count:-1, animation:enemy_tolerance]</t>
    <phoneticPr fontId="5"/>
  </si>
  <si>
    <t>目標目の前！超大型巨人！</t>
    <rPh sb="0" eb="3">
      <t>モクヒョ</t>
    </rPh>
    <rPh sb="6" eb="11">
      <t>チョ</t>
    </rPh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</si>
  <si>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</si>
  <si>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</si>
  <si>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</si>
  <si>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</si>
  <si>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超大型巨人は一定のダメージを与えるか
一定のターンが経過すると一時撤退します</t>
    <phoneticPr fontId="5"/>
  </si>
  <si>
    <t>超大型巨人は撤退と同時に
1ターン暗闇状態にしてきます</t>
    <phoneticPr fontId="5"/>
  </si>
  <si>
    <t>鎧の巨人は赤・黄・緑のパネルを吸収して
強力な全体攻撃を行ってきます</t>
    <phoneticPr fontId="5"/>
  </si>
  <si>
    <t>2ゲージ目の鎧の巨人はHPが一定以下に
なると強力な連続攻撃を行ってきます</t>
    <phoneticPr fontId="5"/>
  </si>
  <si>
    <t xml:space="preserve">
超大型巨人は爆風軽減スキルを使います
ボムパネルを壊すときは爆風軽減無効の
アビリティを持つユニットを使いましょう</t>
    <phoneticPr fontId="5"/>
  </si>
  <si>
    <t>超大型巨人は行動頻度がランダム変化します
次の行動までに間があるときは
回復のチャンスです</t>
    <phoneticPr fontId="5"/>
  </si>
  <si>
    <t>3ゲージ目の超大型巨人は1度だけ回復します
その後は強力な攻撃が続くので
回復前のタイミングで総攻撃をしましょう</t>
    <phoneticPr fontId="5"/>
  </si>
  <si>
    <t>任務完了</t>
    <rPh sb="0" eb="4">
      <t>ニンムカンリョウ</t>
    </rPh>
    <phoneticPr fontId="5"/>
  </si>
  <si>
    <t>現在公開可能な情報 ー 超大型巨人</t>
    <rPh sb="0" eb="6">
      <t>ゲンザイコウカイカノウナジョウホウ</t>
    </rPh>
    <rPh sb="12" eb="17">
      <t>チョ</t>
    </rPh>
    <phoneticPr fontId="5"/>
  </si>
  <si>
    <t>一際巨大な体躯を持つ神出鬼没な謎の巨人
体からは絶えず高熱の蒸気が噴き出し
立体起動の戦闘でも討伐は困難です</t>
    <phoneticPr fontId="5"/>
  </si>
  <si>
    <t>現在公開可能な情報 ー エレン</t>
    <rPh sb="0" eb="6">
      <t>ゲンザイコウカイカノウナジョウホウ</t>
    </rPh>
    <phoneticPr fontId="5"/>
  </si>
  <si>
    <t>現在公開可能な情報 ー ミカサ</t>
    <rPh sb="0" eb="6">
      <t>ゲンザイコウカイカノウナジョウホウ</t>
    </rPh>
    <phoneticPr fontId="5"/>
  </si>
  <si>
    <t>期間限定ユニットのミカサは
パネル変換とユニット強化を同時に行える
強力なスキルを持っています</t>
    <phoneticPr fontId="5"/>
  </si>
  <si>
    <t>現在公開可能な情報 ー リヴァイ</t>
    <rPh sb="0" eb="6">
      <t>ゲンザイコウカイカノウナジョウホウ</t>
    </rPh>
    <phoneticPr fontId="5"/>
  </si>
  <si>
    <t>期間限定ユニットのリヴァイは
有利なパネルを一気にたくさん増やせる
頼もしいスキルを持っています</t>
    <phoneticPr fontId="5"/>
  </si>
  <si>
    <t>stage_bonuses_</t>
    <phoneticPr fontId="5"/>
  </si>
  <si>
    <t>stage_bonuses</t>
    <phoneticPr fontId="5"/>
  </si>
  <si>
    <t>bonus_category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</si>
  <si>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</si>
  <si>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</si>
  <si>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</si>
  <si>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</si>
  <si>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</si>
  <si>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</si>
  <si>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</si>
  <si>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</si>
  <si>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</si>
  <si>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</si>
  <si>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</si>
  <si>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</si>
  <si>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</si>
  <si>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</si>
  <si>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</si>
  <si>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</si>
  <si>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</si>
  <si>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</si>
  <si>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everyone</t>
    <phoneticPr fontId="5"/>
  </si>
  <si>
    <t>2016-5-27 0:00:00</t>
    <phoneticPr fontId="5"/>
  </si>
  <si>
    <t>2970-01-01 09:00:00</t>
    <phoneticPr fontId="5"/>
  </si>
  <si>
    <t>no_continue</t>
    <phoneticPr fontId="5"/>
  </si>
  <si>
    <t>超大型巨人に対抗すべく集結した調査兵団は
アナタと協力することによって
無事に任務を遂行することができました</t>
    <phoneticPr fontId="5"/>
  </si>
  <si>
    <t>期間限定ユニットのエレンは
二種類の覚醒先が存在し　それぞれ
バランスタイプと攻撃タイプになります</t>
    <phoneticPr fontId="5"/>
  </si>
  <si>
    <t>1ターン暗闇</t>
    <rPh sb="4" eb="6">
      <t>クラヤｍ</t>
    </rPh>
    <phoneticPr fontId="5"/>
  </si>
  <si>
    <t>逃走演出（表示しない）</t>
    <rPh sb="0" eb="2">
      <t>ト</t>
    </rPh>
    <rPh sb="2" eb="4">
      <t>ト</t>
    </rPh>
    <rPh sb="5" eb="7">
      <t>ヒョ</t>
    </rPh>
    <phoneticPr fontId="5"/>
  </si>
  <si>
    <t>超大型巨人（表示しない）</t>
    <rPh sb="0" eb="5">
      <t>チョ</t>
    </rPh>
    <rPh sb="6" eb="8">
      <t>ヒョ</t>
    </rPh>
    <phoneticPr fontId="5"/>
  </si>
  <si>
    <t>自身に防御力UP</t>
    <rPh sb="0" eb="2">
      <t>ジシｎ</t>
    </rPh>
    <rPh sb="3" eb="6">
      <t>ボ</t>
    </rPh>
    <phoneticPr fontId="5"/>
  </si>
  <si>
    <t>赤パネルを吸収して全体攻撃（最大8個）</t>
    <rPh sb="0" eb="1">
      <t>アｋ</t>
    </rPh>
    <rPh sb="9" eb="11">
      <t>ゼンタ</t>
    </rPh>
    <rPh sb="14" eb="16">
      <t>サ</t>
    </rPh>
    <rPh sb="17" eb="18">
      <t>コ</t>
    </rPh>
    <phoneticPr fontId="5"/>
  </si>
  <si>
    <t>緑パネルを吸収して全体攻撃（最大8個）</t>
    <rPh sb="0" eb="1">
      <t>ミドｒ</t>
    </rPh>
    <rPh sb="9" eb="11">
      <t>ゼンタ</t>
    </rPh>
    <phoneticPr fontId="5"/>
  </si>
  <si>
    <t>青パネルを吸収して全体攻撃（最大8個）</t>
    <rPh sb="0" eb="1">
      <t>ア</t>
    </rPh>
    <rPh sb="9" eb="11">
      <t>ゼンタ</t>
    </rPh>
    <phoneticPr fontId="5"/>
  </si>
  <si>
    <t>黄パネルを吸収して全体攻撃（最大8個）</t>
    <rPh sb="0" eb="1">
      <t>キ</t>
    </rPh>
    <rPh sb="9" eb="11">
      <t>ゼンタ</t>
    </rPh>
    <phoneticPr fontId="5"/>
  </si>
  <si>
    <t>ハートパネルを吸収して全体攻撃（最大8個）</t>
    <rPh sb="11" eb="13">
      <t>ゼンタ</t>
    </rPh>
    <phoneticPr fontId="5"/>
  </si>
  <si>
    <t>クリティカル！</t>
    <phoneticPr fontId="5"/>
  </si>
  <si>
    <t>全体攻撃</t>
    <rPh sb="0" eb="4">
      <t>ゼンタ</t>
    </rPh>
    <phoneticPr fontId="5"/>
  </si>
  <si>
    <t>クリティカル！</t>
    <phoneticPr fontId="5"/>
  </si>
  <si>
    <t>赤パネルを吸収して全体攻撃（最大7個）</t>
    <rPh sb="0" eb="1">
      <t>アｋ</t>
    </rPh>
    <rPh sb="9" eb="11">
      <t>ゼンタ</t>
    </rPh>
    <phoneticPr fontId="5"/>
  </si>
  <si>
    <t>緑パネルを吸収して全体攻撃（最大7個）</t>
    <rPh sb="0" eb="1">
      <t>ミドｒ</t>
    </rPh>
    <rPh sb="9" eb="11">
      <t>ゼンタ</t>
    </rPh>
    <phoneticPr fontId="5"/>
  </si>
  <si>
    <t>黄パネルを吸収して全体攻撃（最大7個）</t>
    <rPh sb="0" eb="1">
      <t>キ</t>
    </rPh>
    <rPh sb="9" eb="11">
      <t>ゼンタ</t>
    </rPh>
    <phoneticPr fontId="5"/>
  </si>
  <si>
    <t>解除されるまでウィルス＋状態異常無効</t>
    <phoneticPr fontId="5"/>
  </si>
  <si>
    <t>全体攻撃
＋攻撃頻度がランダムに変わる！</t>
    <rPh sb="0" eb="4">
      <t>ゼｎ</t>
    </rPh>
    <phoneticPr fontId="5"/>
  </si>
  <si>
    <t>クリティカル！
＋攻撃頻度がランダムに変わる！</t>
    <phoneticPr fontId="5"/>
  </si>
  <si>
    <t>クリティカル！
＋攻撃頻度がランダムに変わる！</t>
    <phoneticPr fontId="5"/>
  </si>
  <si>
    <t>4回連続攻撃
＋攻撃頻度がランダムに変わる！</t>
    <rPh sb="1" eb="2">
      <t>カ</t>
    </rPh>
    <rPh sb="2" eb="6">
      <t>レｎ</t>
    </rPh>
    <phoneticPr fontId="5"/>
  </si>
  <si>
    <t>3回連続攻撃
＋攻撃頻度がランダムに変わる！</t>
    <rPh sb="1" eb="2">
      <t>カ</t>
    </rPh>
    <rPh sb="2" eb="6">
      <t>レｎ</t>
    </rPh>
    <phoneticPr fontId="5"/>
  </si>
  <si>
    <t>5回連続攻撃
＋攻撃頻度がランダムに変わる！</t>
    <rPh sb="1" eb="2">
      <t>カ</t>
    </rPh>
    <rPh sb="2" eb="6">
      <t>レｎ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</si>
</sst>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sz val="9.6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0"/>
      <name val="ＭＳ 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50" fillId="0" borderId="7" xfId="0" applyFont="1" applyFill="1" applyBorder="1"/>
    <xf numFmtId="0" fontId="4" fillId="15" borderId="7" xfId="0" applyFont="1" applyFill="1" applyBorder="1" applyAlignment="1">
      <alignment horizontal="right" vertical="center"/>
    </xf>
    <xf numFmtId="0" fontId="27" fillId="15" borderId="7" xfId="0" applyFont="1" applyFill="1" applyBorder="1"/>
    <xf numFmtId="0" fontId="51" fillId="0" borderId="7" xfId="0" applyFont="1" applyFill="1" applyBorder="1" applyAlignment="1">
      <alignment vertical="center"/>
    </xf>
    <xf numFmtId="0" fontId="52" fillId="0" borderId="7" xfId="0" applyFont="1" applyBorder="1" applyAlignment="1">
      <alignment vertical="center" wrapText="1"/>
    </xf>
    <xf numFmtId="0" fontId="53" fillId="0" borderId="7" xfId="0" applyFont="1" applyFill="1" applyBorder="1" applyAlignment="1">
      <alignment vertical="center"/>
    </xf>
    <xf numFmtId="0" fontId="2" fillId="0" borderId="7" xfId="615" applyBorder="1"/>
    <xf numFmtId="0" fontId="13" fillId="7" borderId="0" xfId="0" applyFont="1" applyFill="1" applyAlignment="1">
      <alignment horizontal="center"/>
    </xf>
    <xf numFmtId="0" fontId="54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20019</v>
          </cell>
        </row>
        <row r="119">
          <cell r="A119">
            <v>30001</v>
          </cell>
        </row>
        <row r="120">
          <cell r="A120">
            <v>30002</v>
          </cell>
        </row>
        <row r="121">
          <cell r="A121">
            <v>30003</v>
          </cell>
        </row>
        <row r="122">
          <cell r="A122">
            <v>30004</v>
          </cell>
        </row>
        <row r="123">
          <cell r="A123">
            <v>30005</v>
          </cell>
        </row>
        <row r="124">
          <cell r="A124">
            <v>30006</v>
          </cell>
        </row>
        <row r="125">
          <cell r="A125">
            <v>30007</v>
          </cell>
        </row>
        <row r="126">
          <cell r="A126">
            <v>30008</v>
          </cell>
        </row>
        <row r="127">
          <cell r="A127">
            <v>30009</v>
          </cell>
        </row>
        <row r="128">
          <cell r="A128">
            <v>30010</v>
          </cell>
        </row>
        <row r="129">
          <cell r="A129">
            <v>30011</v>
          </cell>
        </row>
        <row r="130">
          <cell r="A130">
            <v>30012</v>
          </cell>
        </row>
        <row r="131">
          <cell r="A131">
            <v>30013</v>
          </cell>
        </row>
        <row r="132">
          <cell r="A132">
            <v>30014</v>
          </cell>
        </row>
        <row r="133">
          <cell r="A133">
            <v>30015</v>
          </cell>
        </row>
        <row r="134">
          <cell r="A134">
            <v>30016</v>
          </cell>
        </row>
        <row r="135">
          <cell r="A135">
            <v>30017</v>
          </cell>
        </row>
        <row r="136">
          <cell r="A136">
            <v>30018</v>
          </cell>
        </row>
        <row r="137">
          <cell r="A137">
            <v>30019</v>
          </cell>
        </row>
        <row r="138">
          <cell r="A138">
            <v>30020</v>
          </cell>
        </row>
        <row r="139">
          <cell r="A139">
            <v>30021</v>
          </cell>
        </row>
        <row r="140">
          <cell r="A140">
            <v>30022</v>
          </cell>
        </row>
        <row r="141">
          <cell r="A141">
            <v>30023</v>
          </cell>
        </row>
        <row r="142">
          <cell r="A142">
            <v>30024</v>
          </cell>
        </row>
        <row r="143">
          <cell r="A143">
            <v>30025</v>
          </cell>
        </row>
        <row r="144">
          <cell r="A144">
            <v>30026</v>
          </cell>
        </row>
        <row r="145">
          <cell r="A145">
            <v>30027</v>
          </cell>
        </row>
        <row r="146">
          <cell r="A146">
            <v>30028</v>
          </cell>
        </row>
        <row r="147">
          <cell r="A147">
            <v>30029</v>
          </cell>
        </row>
        <row r="148">
          <cell r="A148">
            <v>30030</v>
          </cell>
        </row>
        <row r="149">
          <cell r="A149">
            <v>30031</v>
          </cell>
        </row>
        <row r="150">
          <cell r="A150">
            <v>30032</v>
          </cell>
        </row>
        <row r="151">
          <cell r="A151">
            <v>30033</v>
          </cell>
        </row>
        <row r="152">
          <cell r="A152">
            <v>30034</v>
          </cell>
        </row>
        <row r="153">
          <cell r="A153">
            <v>30035</v>
          </cell>
        </row>
        <row r="154">
          <cell r="A154">
            <v>30036</v>
          </cell>
        </row>
        <row r="155">
          <cell r="A155">
            <v>30037</v>
          </cell>
        </row>
        <row r="156">
          <cell r="A156">
            <v>30038</v>
          </cell>
        </row>
        <row r="157">
          <cell r="A157">
            <v>30039</v>
          </cell>
        </row>
        <row r="158">
          <cell r="A158">
            <v>39001</v>
          </cell>
        </row>
        <row r="159">
          <cell r="A159">
            <v>39002</v>
          </cell>
        </row>
        <row r="160">
          <cell r="A160">
            <v>39003</v>
          </cell>
        </row>
        <row r="161">
          <cell r="A161">
            <v>39004</v>
          </cell>
        </row>
        <row r="162">
          <cell r="A162">
            <v>39005</v>
          </cell>
        </row>
        <row r="163">
          <cell r="A163">
            <v>39006</v>
          </cell>
        </row>
        <row r="164">
          <cell r="A164">
            <v>39007</v>
          </cell>
        </row>
        <row r="165">
          <cell r="A165">
            <v>40001</v>
          </cell>
        </row>
        <row r="166">
          <cell r="A166">
            <v>40002</v>
          </cell>
        </row>
        <row r="167">
          <cell r="A167">
            <v>40003</v>
          </cell>
        </row>
        <row r="168">
          <cell r="A168">
            <v>40004</v>
          </cell>
        </row>
        <row r="169">
          <cell r="A169">
            <v>40005</v>
          </cell>
        </row>
        <row r="170">
          <cell r="A170">
            <v>40006</v>
          </cell>
        </row>
        <row r="171">
          <cell r="A171">
            <v>40007</v>
          </cell>
        </row>
        <row r="172">
          <cell r="A172">
            <v>40008</v>
          </cell>
        </row>
        <row r="173">
          <cell r="A173">
            <v>40009</v>
          </cell>
        </row>
        <row r="174">
          <cell r="A174">
            <v>40010</v>
          </cell>
        </row>
        <row r="175">
          <cell r="A175">
            <v>40011</v>
          </cell>
        </row>
        <row r="176">
          <cell r="A176">
            <v>40012</v>
          </cell>
        </row>
        <row r="177">
          <cell r="A177">
            <v>40013</v>
          </cell>
        </row>
        <row r="178">
          <cell r="A178">
            <v>40014</v>
          </cell>
        </row>
        <row r="179">
          <cell r="A179">
            <v>40015</v>
          </cell>
        </row>
        <row r="180">
          <cell r="A180">
            <v>40016</v>
          </cell>
        </row>
        <row r="181">
          <cell r="A181">
            <v>40017</v>
          </cell>
        </row>
        <row r="182">
          <cell r="A182">
            <v>40018</v>
          </cell>
        </row>
        <row r="183">
          <cell r="A183">
            <v>40019</v>
          </cell>
        </row>
        <row r="184">
          <cell r="A184">
            <v>40021</v>
          </cell>
        </row>
        <row r="185">
          <cell r="A185">
            <v>40022</v>
          </cell>
        </row>
        <row r="186">
          <cell r="A186">
            <v>48001</v>
          </cell>
        </row>
        <row r="187">
          <cell r="A187">
            <v>48002</v>
          </cell>
        </row>
        <row r="188">
          <cell r="A188">
            <v>48003</v>
          </cell>
        </row>
        <row r="189">
          <cell r="A189">
            <v>48004</v>
          </cell>
        </row>
        <row r="190">
          <cell r="A190">
            <v>41001</v>
          </cell>
        </row>
        <row r="191">
          <cell r="A191">
            <v>41002</v>
          </cell>
        </row>
        <row r="192">
          <cell r="A192">
            <v>41003</v>
          </cell>
        </row>
        <row r="193">
          <cell r="A193">
            <v>41004</v>
          </cell>
        </row>
        <row r="194">
          <cell r="A194">
            <v>41005</v>
          </cell>
        </row>
        <row r="195">
          <cell r="A195">
            <v>41006</v>
          </cell>
        </row>
        <row r="196">
          <cell r="A196">
            <v>41007</v>
          </cell>
        </row>
        <row r="197">
          <cell r="A197">
            <v>41008</v>
          </cell>
        </row>
        <row r="198">
          <cell r="A198">
            <v>41009</v>
          </cell>
        </row>
        <row r="199">
          <cell r="A199">
            <v>41010</v>
          </cell>
        </row>
        <row r="200">
          <cell r="A200">
            <v>41011</v>
          </cell>
        </row>
        <row r="201">
          <cell r="A201">
            <v>41012</v>
          </cell>
        </row>
        <row r="202">
          <cell r="A202">
            <v>41013</v>
          </cell>
        </row>
        <row r="203">
          <cell r="A203">
            <v>41014</v>
          </cell>
        </row>
        <row r="204">
          <cell r="A204">
            <v>41015</v>
          </cell>
        </row>
        <row r="205">
          <cell r="A205">
            <v>47001</v>
          </cell>
        </row>
        <row r="206">
          <cell r="A206">
            <v>47002</v>
          </cell>
        </row>
        <row r="207">
          <cell r="A207">
            <v>49001</v>
          </cell>
        </row>
        <row r="208">
          <cell r="A208">
            <v>49002</v>
          </cell>
        </row>
        <row r="209">
          <cell r="A209">
            <v>49003</v>
          </cell>
        </row>
        <row r="210">
          <cell r="A210">
            <v>49004</v>
          </cell>
        </row>
        <row r="211">
          <cell r="A211">
            <v>49005</v>
          </cell>
        </row>
        <row r="212">
          <cell r="A212">
            <v>49006</v>
          </cell>
        </row>
        <row r="213">
          <cell r="A213">
            <v>49007</v>
          </cell>
        </row>
        <row r="214">
          <cell r="A214">
            <v>50001</v>
          </cell>
        </row>
        <row r="215">
          <cell r="A215">
            <v>50002</v>
          </cell>
        </row>
        <row r="216">
          <cell r="A216">
            <v>50003</v>
          </cell>
        </row>
        <row r="217">
          <cell r="A217">
            <v>50004</v>
          </cell>
        </row>
        <row r="218">
          <cell r="A218">
            <v>50005</v>
          </cell>
        </row>
        <row r="219">
          <cell r="A219">
            <v>50006</v>
          </cell>
        </row>
        <row r="220">
          <cell r="A220">
            <v>51001</v>
          </cell>
        </row>
        <row r="221">
          <cell r="A221">
            <v>51002</v>
          </cell>
        </row>
        <row r="222">
          <cell r="A222">
            <v>60001</v>
          </cell>
        </row>
        <row r="223">
          <cell r="A223">
            <v>60002</v>
          </cell>
        </row>
        <row r="224">
          <cell r="A224">
            <v>60003</v>
          </cell>
        </row>
        <row r="225">
          <cell r="A225">
            <v>60004</v>
          </cell>
        </row>
        <row r="226">
          <cell r="A226">
            <v>60005</v>
          </cell>
        </row>
        <row r="227">
          <cell r="A227">
            <v>60006</v>
          </cell>
        </row>
        <row r="228">
          <cell r="A228">
            <v>60007</v>
          </cell>
        </row>
        <row r="229">
          <cell r="A229">
            <v>60010</v>
          </cell>
        </row>
        <row r="230">
          <cell r="A230">
            <v>60011</v>
          </cell>
        </row>
        <row r="231">
          <cell r="A231">
            <v>61011</v>
          </cell>
        </row>
        <row r="232">
          <cell r="A232">
            <v>60012</v>
          </cell>
        </row>
        <row r="233">
          <cell r="A233">
            <v>60013</v>
          </cell>
        </row>
        <row r="234">
          <cell r="A234">
            <v>60014</v>
          </cell>
        </row>
        <row r="235">
          <cell r="A235">
            <v>65533</v>
          </cell>
        </row>
        <row r="236">
          <cell r="A236">
            <v>65534</v>
          </cell>
        </row>
        <row r="237">
          <cell r="A237">
            <v>65535</v>
          </cell>
        </row>
        <row r="238">
          <cell r="A238">
            <v>60021</v>
          </cell>
        </row>
        <row r="239">
          <cell r="A239">
            <v>60022</v>
          </cell>
        </row>
        <row r="240">
          <cell r="A240">
            <v>60023</v>
          </cell>
        </row>
        <row r="241">
          <cell r="A24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12001_1</v>
          </cell>
        </row>
        <row r="294">
          <cell r="A294" t="str">
            <v>12001_2</v>
          </cell>
        </row>
        <row r="295">
          <cell r="A295" t="str">
            <v>12001_3</v>
          </cell>
        </row>
        <row r="296">
          <cell r="A296" t="str">
            <v>12002_1</v>
          </cell>
        </row>
        <row r="297">
          <cell r="A297" t="str">
            <v>12002_2</v>
          </cell>
        </row>
        <row r="298">
          <cell r="A298" t="str">
            <v>12003_1</v>
          </cell>
        </row>
        <row r="299">
          <cell r="A299" t="str">
            <v>12003_2</v>
          </cell>
        </row>
        <row r="300">
          <cell r="A300" t="str">
            <v>12003_3</v>
          </cell>
        </row>
        <row r="301">
          <cell r="A301" t="str">
            <v>12003_4</v>
          </cell>
        </row>
        <row r="302">
          <cell r="A302" t="str">
            <v>12004_1</v>
          </cell>
        </row>
        <row r="303">
          <cell r="A303" t="str">
            <v>13001_1</v>
          </cell>
        </row>
        <row r="304">
          <cell r="A304" t="str">
            <v>13001_2</v>
          </cell>
        </row>
        <row r="305">
          <cell r="A305" t="str">
            <v>13001_3</v>
          </cell>
        </row>
        <row r="306">
          <cell r="A306" t="str">
            <v>13001_4</v>
          </cell>
        </row>
        <row r="307">
          <cell r="A307" t="str">
            <v>13001_5</v>
          </cell>
        </row>
        <row r="308">
          <cell r="A308" t="str">
            <v>13001_6</v>
          </cell>
        </row>
        <row r="309">
          <cell r="A309" t="str">
            <v>13001_7</v>
          </cell>
        </row>
        <row r="310">
          <cell r="A310" t="str">
            <v>13001_8</v>
          </cell>
        </row>
        <row r="311">
          <cell r="A311" t="str">
            <v>13001_9</v>
          </cell>
        </row>
        <row r="312">
          <cell r="A312" t="str">
            <v>13001_10</v>
          </cell>
        </row>
        <row r="313">
          <cell r="A313" t="str">
            <v>13001_11</v>
          </cell>
        </row>
        <row r="314">
          <cell r="A314" t="str">
            <v>13001_12</v>
          </cell>
        </row>
        <row r="315">
          <cell r="A315" t="str">
            <v>13001_13</v>
          </cell>
        </row>
        <row r="316">
          <cell r="A316" t="str">
            <v>13001_14</v>
          </cell>
        </row>
        <row r="317">
          <cell r="A317" t="str">
            <v>13001_15</v>
          </cell>
        </row>
        <row r="318">
          <cell r="A318" t="str">
            <v>13001_16</v>
          </cell>
        </row>
        <row r="319">
          <cell r="A319" t="str">
            <v>13001_17</v>
          </cell>
        </row>
        <row r="320">
          <cell r="A320" t="str">
            <v>13001_18</v>
          </cell>
        </row>
        <row r="321">
          <cell r="A321" t="str">
            <v>13001_19</v>
          </cell>
        </row>
        <row r="322">
          <cell r="A322" t="str">
            <v>13001_20</v>
          </cell>
        </row>
        <row r="323">
          <cell r="A323" t="str">
            <v>13001_21</v>
          </cell>
        </row>
        <row r="324">
          <cell r="A324" t="str">
            <v>13001_22</v>
          </cell>
        </row>
        <row r="325">
          <cell r="A325" t="str">
            <v>13001_23</v>
          </cell>
        </row>
        <row r="326">
          <cell r="A326" t="str">
            <v>13001_24</v>
          </cell>
        </row>
        <row r="327">
          <cell r="A327" t="str">
            <v>13001_25</v>
          </cell>
        </row>
        <row r="328">
          <cell r="A328" t="str">
            <v>14001_1</v>
          </cell>
        </row>
        <row r="329">
          <cell r="A329" t="str">
            <v>14001_2</v>
          </cell>
        </row>
        <row r="330">
          <cell r="A330" t="str">
            <v>14001_3</v>
          </cell>
        </row>
        <row r="331">
          <cell r="A331" t="str">
            <v>14001_4</v>
          </cell>
        </row>
        <row r="332">
          <cell r="A332" t="str">
            <v>14001_5</v>
          </cell>
        </row>
        <row r="333">
          <cell r="A333" t="str">
            <v>14001_6</v>
          </cell>
        </row>
        <row r="334">
          <cell r="A334" t="str">
            <v>14001_7</v>
          </cell>
        </row>
        <row r="335">
          <cell r="A335" t="str">
            <v>14001_8</v>
          </cell>
        </row>
        <row r="336">
          <cell r="A336" t="str">
            <v>14002_1</v>
          </cell>
        </row>
        <row r="337">
          <cell r="A337" t="str">
            <v>14002_2</v>
          </cell>
        </row>
        <row r="338">
          <cell r="A338" t="str">
            <v>14003_1</v>
          </cell>
        </row>
        <row r="339">
          <cell r="A339" t="str">
            <v>14003_2</v>
          </cell>
        </row>
        <row r="340">
          <cell r="A340" t="str">
            <v>14003_3</v>
          </cell>
        </row>
        <row r="341">
          <cell r="A341" t="str">
            <v>14003_4</v>
          </cell>
        </row>
        <row r="342">
          <cell r="A342" t="str">
            <v>14004_1</v>
          </cell>
        </row>
        <row r="343">
          <cell r="A343" t="str">
            <v>14004_2</v>
          </cell>
        </row>
        <row r="344">
          <cell r="A344" t="str">
            <v>14004_3</v>
          </cell>
        </row>
        <row r="345">
          <cell r="A345" t="str">
            <v>14004_4</v>
          </cell>
        </row>
        <row r="346">
          <cell r="A346" t="str">
            <v>14005_1</v>
          </cell>
        </row>
        <row r="347">
          <cell r="A347" t="str">
            <v>14006_1</v>
          </cell>
        </row>
        <row r="348">
          <cell r="A348" t="str">
            <v>15027_1</v>
          </cell>
        </row>
        <row r="349">
          <cell r="A349" t="str">
            <v>15027_2</v>
          </cell>
        </row>
        <row r="350">
          <cell r="A350" t="str">
            <v>15027_3</v>
          </cell>
        </row>
        <row r="351">
          <cell r="A351" t="str">
            <v>15027_4</v>
          </cell>
        </row>
        <row r="352">
          <cell r="A352" t="str">
            <v>15028_1</v>
          </cell>
        </row>
        <row r="353">
          <cell r="A353" t="str">
            <v>15028_2</v>
          </cell>
        </row>
        <row r="354">
          <cell r="A354" t="str">
            <v>15028_3</v>
          </cell>
        </row>
        <row r="355">
          <cell r="A355" t="str">
            <v>15028_4</v>
          </cell>
        </row>
        <row r="356">
          <cell r="A356" t="str">
            <v>15029_1</v>
          </cell>
        </row>
        <row r="357">
          <cell r="A357" t="str">
            <v>15029_2</v>
          </cell>
        </row>
        <row r="358">
          <cell r="A358" t="str">
            <v>15029_3</v>
          </cell>
        </row>
        <row r="359">
          <cell r="A359" t="str">
            <v>15029_4</v>
          </cell>
        </row>
        <row r="360">
          <cell r="A360" t="str">
            <v>15030_1</v>
          </cell>
        </row>
        <row r="361">
          <cell r="A361" t="str">
            <v>15030_2</v>
          </cell>
        </row>
        <row r="362">
          <cell r="A362" t="str">
            <v>15030_3</v>
          </cell>
        </row>
        <row r="363">
          <cell r="A363" t="str">
            <v>15030_4</v>
          </cell>
        </row>
        <row r="364">
          <cell r="A364" t="str">
            <v>15031_1</v>
          </cell>
        </row>
        <row r="365">
          <cell r="A365" t="str">
            <v>15031_2</v>
          </cell>
        </row>
        <row r="366">
          <cell r="A366" t="str">
            <v>15031_3</v>
          </cell>
        </row>
        <row r="367">
          <cell r="A367" t="str">
            <v>15031_4</v>
          </cell>
        </row>
        <row r="368">
          <cell r="A368" t="str">
            <v>20001_1</v>
          </cell>
        </row>
        <row r="369">
          <cell r="A369" t="str">
            <v>20001_2</v>
          </cell>
        </row>
        <row r="370">
          <cell r="A370" t="str">
            <v>20001_3</v>
          </cell>
        </row>
        <row r="371">
          <cell r="A371" t="str">
            <v>20002_1</v>
          </cell>
        </row>
        <row r="372">
          <cell r="A372" t="str">
            <v>20002_2</v>
          </cell>
        </row>
        <row r="373">
          <cell r="A373" t="str">
            <v>20002_3</v>
          </cell>
        </row>
        <row r="374">
          <cell r="A374" t="str">
            <v>20003_1</v>
          </cell>
        </row>
        <row r="375">
          <cell r="A375" t="str">
            <v>20003_2</v>
          </cell>
        </row>
        <row r="376">
          <cell r="A376" t="str">
            <v>20003_3</v>
          </cell>
        </row>
        <row r="377">
          <cell r="A377" t="str">
            <v>20004_1</v>
          </cell>
        </row>
        <row r="378">
          <cell r="A378" t="str">
            <v>20004_2</v>
          </cell>
        </row>
        <row r="379">
          <cell r="A379" t="str">
            <v>20004_3</v>
          </cell>
        </row>
        <row r="380">
          <cell r="A380" t="str">
            <v>20005_1</v>
          </cell>
        </row>
        <row r="381">
          <cell r="A381" t="str">
            <v>20005_2</v>
          </cell>
        </row>
        <row r="382">
          <cell r="A382" t="str">
            <v>20005_3</v>
          </cell>
        </row>
        <row r="383">
          <cell r="A383" t="str">
            <v>20006_1</v>
          </cell>
        </row>
        <row r="384">
          <cell r="A384" t="str">
            <v>20006_2</v>
          </cell>
        </row>
        <row r="385">
          <cell r="A385" t="str">
            <v>20006_3</v>
          </cell>
        </row>
        <row r="386">
          <cell r="A386" t="str">
            <v>20007_1</v>
          </cell>
        </row>
        <row r="387">
          <cell r="A387" t="str">
            <v>20007_2</v>
          </cell>
        </row>
        <row r="388">
          <cell r="A388" t="str">
            <v>20007_3</v>
          </cell>
        </row>
        <row r="389">
          <cell r="A389" t="str">
            <v>20008_1</v>
          </cell>
        </row>
        <row r="390">
          <cell r="A390" t="str">
            <v>20008_2</v>
          </cell>
        </row>
        <row r="391">
          <cell r="A391" t="str">
            <v>20008_3</v>
          </cell>
        </row>
        <row r="392">
          <cell r="A392" t="str">
            <v>20009_1</v>
          </cell>
        </row>
        <row r="393">
          <cell r="A393" t="str">
            <v>20009_2</v>
          </cell>
        </row>
        <row r="394">
          <cell r="A394" t="str">
            <v>20009_3</v>
          </cell>
        </row>
        <row r="395">
          <cell r="A395" t="str">
            <v>20010_1</v>
          </cell>
        </row>
        <row r="396">
          <cell r="A396" t="str">
            <v>20010_2</v>
          </cell>
        </row>
        <row r="397">
          <cell r="A397" t="str">
            <v>20010_3</v>
          </cell>
        </row>
        <row r="398">
          <cell r="A398" t="str">
            <v>20011_1</v>
          </cell>
        </row>
        <row r="399">
          <cell r="A399" t="str">
            <v>20011_2</v>
          </cell>
        </row>
        <row r="400">
          <cell r="A400" t="str">
            <v>20011_3</v>
          </cell>
        </row>
        <row r="401">
          <cell r="A401" t="str">
            <v>20012_1</v>
          </cell>
        </row>
        <row r="402">
          <cell r="A402" t="str">
            <v>20012_2</v>
          </cell>
        </row>
        <row r="403">
          <cell r="A403" t="str">
            <v>20012_3</v>
          </cell>
        </row>
        <row r="404">
          <cell r="A404" t="str">
            <v>20013_1</v>
          </cell>
        </row>
        <row r="405">
          <cell r="A405" t="str">
            <v>20013_2</v>
          </cell>
        </row>
        <row r="406">
          <cell r="A406" t="str">
            <v>20013_3</v>
          </cell>
        </row>
        <row r="407">
          <cell r="A407" t="str">
            <v>20014_1</v>
          </cell>
        </row>
        <row r="408">
          <cell r="A408" t="str">
            <v>20014_2</v>
          </cell>
        </row>
        <row r="409">
          <cell r="A409" t="str">
            <v>20014_3</v>
          </cell>
        </row>
        <row r="410">
          <cell r="A410" t="str">
            <v>20015_1</v>
          </cell>
        </row>
        <row r="411">
          <cell r="A411" t="str">
            <v>20015_2</v>
          </cell>
        </row>
        <row r="412">
          <cell r="A412" t="str">
            <v>20015_3</v>
          </cell>
        </row>
        <row r="413">
          <cell r="A413" t="str">
            <v>20016_1</v>
          </cell>
        </row>
        <row r="414">
          <cell r="A414" t="str">
            <v>20016_2</v>
          </cell>
        </row>
        <row r="415">
          <cell r="A415" t="str">
            <v>20016_3</v>
          </cell>
        </row>
        <row r="416">
          <cell r="A416" t="str">
            <v>20017_1</v>
          </cell>
        </row>
        <row r="417">
          <cell r="A417" t="str">
            <v>20017_2</v>
          </cell>
        </row>
        <row r="418">
          <cell r="A418" t="str">
            <v>20017_3</v>
          </cell>
        </row>
        <row r="419">
          <cell r="A419" t="str">
            <v>20018_1</v>
          </cell>
        </row>
        <row r="420">
          <cell r="A420" t="str">
            <v>20018_2</v>
          </cell>
        </row>
        <row r="421">
          <cell r="A421" t="str">
            <v>20018_3</v>
          </cell>
        </row>
        <row r="422">
          <cell r="A422" t="str">
            <v>20019_1</v>
          </cell>
        </row>
        <row r="423">
          <cell r="A423" t="str">
            <v>20019_2</v>
          </cell>
        </row>
        <row r="424">
          <cell r="A424" t="str">
            <v>20019_3</v>
          </cell>
        </row>
        <row r="425">
          <cell r="A425" t="str">
            <v>30001_1</v>
          </cell>
        </row>
        <row r="426">
          <cell r="A426" t="str">
            <v>30001_2</v>
          </cell>
        </row>
        <row r="427">
          <cell r="A427" t="str">
            <v>30001_3</v>
          </cell>
        </row>
        <row r="428">
          <cell r="A428" t="str">
            <v>30002_1</v>
          </cell>
        </row>
        <row r="429">
          <cell r="A429" t="str">
            <v>30002_2</v>
          </cell>
        </row>
        <row r="430">
          <cell r="A430" t="str">
            <v>30002_3</v>
          </cell>
        </row>
        <row r="431">
          <cell r="A431" t="str">
            <v>30003_1</v>
          </cell>
        </row>
        <row r="432">
          <cell r="A432" t="str">
            <v>30003_2</v>
          </cell>
        </row>
        <row r="433">
          <cell r="A433" t="str">
            <v>30003_3</v>
          </cell>
        </row>
        <row r="434">
          <cell r="A434" t="str">
            <v>30004_1</v>
          </cell>
        </row>
        <row r="435">
          <cell r="A435" t="str">
            <v>30004_2</v>
          </cell>
        </row>
        <row r="436">
          <cell r="A436" t="str">
            <v>30004_3</v>
          </cell>
        </row>
        <row r="437">
          <cell r="A437" t="str">
            <v>30005_1</v>
          </cell>
        </row>
        <row r="438">
          <cell r="A438" t="str">
            <v>30005_2</v>
          </cell>
        </row>
        <row r="439">
          <cell r="A439" t="str">
            <v>30005_3</v>
          </cell>
        </row>
        <row r="440">
          <cell r="A440" t="str">
            <v>30006_1</v>
          </cell>
        </row>
        <row r="441">
          <cell r="A441" t="str">
            <v>30006_2</v>
          </cell>
        </row>
        <row r="442">
          <cell r="A442" t="str">
            <v>30006_3</v>
          </cell>
        </row>
        <row r="443">
          <cell r="A443" t="str">
            <v>30007_1</v>
          </cell>
        </row>
        <row r="444">
          <cell r="A444" t="str">
            <v>30007_2</v>
          </cell>
        </row>
        <row r="445">
          <cell r="A445" t="str">
            <v>30007_3</v>
          </cell>
        </row>
        <row r="446">
          <cell r="A446" t="str">
            <v>30008_1</v>
          </cell>
        </row>
        <row r="447">
          <cell r="A447" t="str">
            <v>30008_2</v>
          </cell>
        </row>
        <row r="448">
          <cell r="A448" t="str">
            <v>30008_3</v>
          </cell>
        </row>
        <row r="449">
          <cell r="A449" t="str">
            <v>30009_3</v>
          </cell>
        </row>
        <row r="450">
          <cell r="A450" t="str">
            <v>30009_1</v>
          </cell>
        </row>
        <row r="451">
          <cell r="A451" t="str">
            <v>30009_2</v>
          </cell>
        </row>
        <row r="452">
          <cell r="A452" t="str">
            <v>30010_1</v>
          </cell>
        </row>
        <row r="453">
          <cell r="A453" t="str">
            <v>30010_2</v>
          </cell>
        </row>
        <row r="454">
          <cell r="A454" t="str">
            <v>30010_3</v>
          </cell>
        </row>
        <row r="455">
          <cell r="A455" t="str">
            <v>30011_1</v>
          </cell>
        </row>
        <row r="456">
          <cell r="A456" t="str">
            <v>30011_2</v>
          </cell>
        </row>
        <row r="457">
          <cell r="A457" t="str">
            <v>30011_3</v>
          </cell>
        </row>
        <row r="458">
          <cell r="A458" t="str">
            <v>30012_1</v>
          </cell>
        </row>
        <row r="459">
          <cell r="A459" t="str">
            <v>30012_2</v>
          </cell>
        </row>
        <row r="460">
          <cell r="A460" t="str">
            <v>30012_3</v>
          </cell>
        </row>
        <row r="461">
          <cell r="A461" t="str">
            <v>30013_1</v>
          </cell>
        </row>
        <row r="462">
          <cell r="A462" t="str">
            <v>30013_2</v>
          </cell>
        </row>
        <row r="463">
          <cell r="A463" t="str">
            <v>30014_1</v>
          </cell>
        </row>
        <row r="464">
          <cell r="A464" t="str">
            <v>30014_2</v>
          </cell>
        </row>
        <row r="465">
          <cell r="A465" t="str">
            <v>30015_1</v>
          </cell>
        </row>
        <row r="466">
          <cell r="A466" t="str">
            <v>30015_2</v>
          </cell>
        </row>
        <row r="467">
          <cell r="A467" t="str">
            <v>30016_1</v>
          </cell>
        </row>
        <row r="468">
          <cell r="A468" t="str">
            <v>30016_2</v>
          </cell>
        </row>
        <row r="469">
          <cell r="A469" t="str">
            <v>30017_1</v>
          </cell>
        </row>
        <row r="470">
          <cell r="A470" t="str">
            <v>30017_2</v>
          </cell>
        </row>
        <row r="471">
          <cell r="A471" t="str">
            <v>30018_1</v>
          </cell>
        </row>
        <row r="472">
          <cell r="A472" t="str">
            <v>30018_2</v>
          </cell>
        </row>
        <row r="473">
          <cell r="A473" t="str">
            <v>30019_1</v>
          </cell>
        </row>
        <row r="474">
          <cell r="A474" t="str">
            <v>30019_2</v>
          </cell>
        </row>
        <row r="475">
          <cell r="A475" t="str">
            <v>30020_1</v>
          </cell>
        </row>
        <row r="476">
          <cell r="A476" t="str">
            <v>30020_2</v>
          </cell>
        </row>
        <row r="477">
          <cell r="A477" t="str">
            <v>30021_1</v>
          </cell>
        </row>
        <row r="478">
          <cell r="A478" t="str">
            <v>30021_2</v>
          </cell>
        </row>
        <row r="479">
          <cell r="A479" t="str">
            <v>30021_3</v>
          </cell>
        </row>
        <row r="480">
          <cell r="A480" t="str">
            <v>30022_1</v>
          </cell>
        </row>
        <row r="481">
          <cell r="A481" t="str">
            <v>30022_2</v>
          </cell>
        </row>
        <row r="482">
          <cell r="A482" t="str">
            <v>30023_1</v>
          </cell>
        </row>
        <row r="483">
          <cell r="A483" t="str">
            <v>30023_2</v>
          </cell>
        </row>
        <row r="484">
          <cell r="A484" t="str">
            <v>30023_3</v>
          </cell>
        </row>
        <row r="485">
          <cell r="A485" t="str">
            <v>30024_1</v>
          </cell>
        </row>
        <row r="486">
          <cell r="A486" t="str">
            <v>30024_2</v>
          </cell>
        </row>
        <row r="487">
          <cell r="A487" t="str">
            <v>30024_3</v>
          </cell>
        </row>
        <row r="488">
          <cell r="A488" t="str">
            <v>30025_1</v>
          </cell>
        </row>
        <row r="489">
          <cell r="A489" t="str">
            <v>30025_2</v>
          </cell>
        </row>
        <row r="490">
          <cell r="A490" t="str">
            <v>30025_3</v>
          </cell>
        </row>
        <row r="491">
          <cell r="A491" t="str">
            <v>30026_1</v>
          </cell>
        </row>
        <row r="492">
          <cell r="A492" t="str">
            <v>30026_2</v>
          </cell>
        </row>
        <row r="493">
          <cell r="A493" t="str">
            <v>30026_3</v>
          </cell>
        </row>
        <row r="494">
          <cell r="A494" t="str">
            <v>30027_1</v>
          </cell>
        </row>
        <row r="495">
          <cell r="A495" t="str">
            <v>30027_2</v>
          </cell>
        </row>
        <row r="496">
          <cell r="A496" t="str">
            <v>30027_3</v>
          </cell>
        </row>
        <row r="497">
          <cell r="A497" t="str">
            <v>30028_1</v>
          </cell>
        </row>
        <row r="498">
          <cell r="A498" t="str">
            <v>30028_2</v>
          </cell>
        </row>
        <row r="499">
          <cell r="A499" t="str">
            <v>30028_3</v>
          </cell>
        </row>
        <row r="500">
          <cell r="A500" t="str">
            <v>30029_1</v>
          </cell>
        </row>
        <row r="501">
          <cell r="A501" t="str">
            <v>30029_2</v>
          </cell>
        </row>
        <row r="502">
          <cell r="A502" t="str">
            <v>30029_3</v>
          </cell>
        </row>
        <row r="503">
          <cell r="A503" t="str">
            <v>30030_1</v>
          </cell>
        </row>
        <row r="504">
          <cell r="A504" t="str">
            <v>30030_2</v>
          </cell>
        </row>
        <row r="505">
          <cell r="A505" t="str">
            <v>30030_3</v>
          </cell>
        </row>
        <row r="506">
          <cell r="A506" t="str">
            <v>30031_1</v>
          </cell>
        </row>
        <row r="507">
          <cell r="A507" t="str">
            <v>30031_2</v>
          </cell>
        </row>
        <row r="508">
          <cell r="A508" t="str">
            <v>30031_3</v>
          </cell>
        </row>
        <row r="509">
          <cell r="A509" t="str">
            <v>30032_1</v>
          </cell>
        </row>
        <row r="510">
          <cell r="A510" t="str">
            <v>30032_2</v>
          </cell>
        </row>
        <row r="511">
          <cell r="A511" t="str">
            <v>30032_3</v>
          </cell>
        </row>
        <row r="512">
          <cell r="A512" t="str">
            <v>30033_1</v>
          </cell>
        </row>
        <row r="513">
          <cell r="A513" t="str">
            <v>30033_2</v>
          </cell>
        </row>
        <row r="514">
          <cell r="A514" t="str">
            <v>30033_3</v>
          </cell>
        </row>
        <row r="515">
          <cell r="A515" t="str">
            <v>30034_1</v>
          </cell>
        </row>
        <row r="516">
          <cell r="A516" t="str">
            <v>30034_2</v>
          </cell>
        </row>
        <row r="517">
          <cell r="A517" t="str">
            <v>30034_3</v>
          </cell>
        </row>
        <row r="518">
          <cell r="A518" t="str">
            <v>30035_1</v>
          </cell>
        </row>
        <row r="519">
          <cell r="A519" t="str">
            <v>30035_2</v>
          </cell>
        </row>
        <row r="520">
          <cell r="A520" t="str">
            <v>30035_3</v>
          </cell>
        </row>
        <row r="521">
          <cell r="A521" t="str">
            <v>30036_1</v>
          </cell>
        </row>
        <row r="522">
          <cell r="A522" t="str">
            <v>30036_2</v>
          </cell>
        </row>
        <row r="523">
          <cell r="A523" t="str">
            <v>30036_3</v>
          </cell>
        </row>
        <row r="524">
          <cell r="A524" t="str">
            <v>30037_1</v>
          </cell>
        </row>
        <row r="525">
          <cell r="A525" t="str">
            <v>30037_2</v>
          </cell>
        </row>
        <row r="526">
          <cell r="A526" t="str">
            <v>30037_3</v>
          </cell>
        </row>
        <row r="527">
          <cell r="A527" t="str">
            <v>30038_1</v>
          </cell>
        </row>
        <row r="528">
          <cell r="A528" t="str">
            <v>30038_2</v>
          </cell>
        </row>
        <row r="529">
          <cell r="A529" t="str">
            <v>30038_3</v>
          </cell>
        </row>
        <row r="530">
          <cell r="A530" t="str">
            <v>30039_1</v>
          </cell>
        </row>
        <row r="531">
          <cell r="A531" t="str">
            <v>30039_2</v>
          </cell>
        </row>
        <row r="532">
          <cell r="A532" t="str">
            <v>30039_3</v>
          </cell>
        </row>
        <row r="533">
          <cell r="A533" t="str">
            <v>39001_1</v>
          </cell>
        </row>
        <row r="534">
          <cell r="A534" t="str">
            <v>39001_2</v>
          </cell>
        </row>
        <row r="535">
          <cell r="A535" t="str">
            <v>39001_3</v>
          </cell>
        </row>
        <row r="536">
          <cell r="A536" t="str">
            <v>39001_4</v>
          </cell>
        </row>
        <row r="537">
          <cell r="A537" t="str">
            <v>39001_5</v>
          </cell>
        </row>
        <row r="538">
          <cell r="A538" t="str">
            <v>39002_1</v>
          </cell>
        </row>
        <row r="539">
          <cell r="A539" t="str">
            <v>39002_2</v>
          </cell>
        </row>
        <row r="540">
          <cell r="A540" t="str">
            <v>39002_3</v>
          </cell>
        </row>
        <row r="541">
          <cell r="A541" t="str">
            <v>39002_4</v>
          </cell>
        </row>
        <row r="542">
          <cell r="A542" t="str">
            <v>39003_1</v>
          </cell>
        </row>
        <row r="543">
          <cell r="A543" t="str">
            <v>39003_2</v>
          </cell>
        </row>
        <row r="544">
          <cell r="A544" t="str">
            <v>39003_3</v>
          </cell>
        </row>
        <row r="545">
          <cell r="A545" t="str">
            <v>39003_4</v>
          </cell>
        </row>
        <row r="546">
          <cell r="A546" t="str">
            <v>39004_1</v>
          </cell>
        </row>
        <row r="547">
          <cell r="A547" t="str">
            <v>39004_2</v>
          </cell>
        </row>
        <row r="548">
          <cell r="A548" t="str">
            <v>39004_3</v>
          </cell>
        </row>
        <row r="549">
          <cell r="A549" t="str">
            <v>39004_4</v>
          </cell>
        </row>
        <row r="550">
          <cell r="A550" t="str">
            <v>39005_1</v>
          </cell>
        </row>
        <row r="551">
          <cell r="A551" t="str">
            <v>39005_2</v>
          </cell>
        </row>
        <row r="552">
          <cell r="A552" t="str">
            <v>39005_3</v>
          </cell>
        </row>
        <row r="553">
          <cell r="A553" t="str">
            <v>39005_4</v>
          </cell>
        </row>
        <row r="554">
          <cell r="A554" t="str">
            <v>39005_5</v>
          </cell>
        </row>
        <row r="555">
          <cell r="A555" t="str">
            <v>39006_1</v>
          </cell>
        </row>
        <row r="556">
          <cell r="A556" t="str">
            <v>39006_2</v>
          </cell>
        </row>
        <row r="557">
          <cell r="A557" t="str">
            <v>39006_3</v>
          </cell>
        </row>
        <row r="558">
          <cell r="A558" t="str">
            <v>39006_4</v>
          </cell>
        </row>
        <row r="559">
          <cell r="A559" t="str">
            <v>39007_1</v>
          </cell>
        </row>
        <row r="560">
          <cell r="A560" t="str">
            <v>39007_2</v>
          </cell>
        </row>
        <row r="561">
          <cell r="A561" t="str">
            <v>39007_3</v>
          </cell>
        </row>
        <row r="562">
          <cell r="A562" t="str">
            <v>39007_4</v>
          </cell>
        </row>
        <row r="563">
          <cell r="A563" t="str">
            <v>40001_1</v>
          </cell>
        </row>
        <row r="564">
          <cell r="A564" t="str">
            <v>40002_1</v>
          </cell>
        </row>
        <row r="565">
          <cell r="A565" t="str">
            <v>40002_2</v>
          </cell>
        </row>
        <row r="566">
          <cell r="A566" t="str">
            <v>40002_3</v>
          </cell>
        </row>
        <row r="567">
          <cell r="A567" t="str">
            <v>40003_1</v>
          </cell>
        </row>
        <row r="568">
          <cell r="A568" t="str">
            <v>40004_1</v>
          </cell>
        </row>
        <row r="569">
          <cell r="A569" t="str">
            <v>40005_1</v>
          </cell>
        </row>
        <row r="570">
          <cell r="A570" t="str">
            <v>40006_1</v>
          </cell>
        </row>
        <row r="571">
          <cell r="A571" t="str">
            <v>40007_1</v>
          </cell>
        </row>
        <row r="572">
          <cell r="A572" t="str">
            <v>40008_1</v>
          </cell>
        </row>
        <row r="573">
          <cell r="A573" t="str">
            <v>40009_1</v>
          </cell>
        </row>
        <row r="574">
          <cell r="A574" t="str">
            <v>40010_1</v>
          </cell>
        </row>
        <row r="575">
          <cell r="A575" t="str">
            <v>40011_1</v>
          </cell>
        </row>
        <row r="576">
          <cell r="A576" t="str">
            <v>40012_1</v>
          </cell>
        </row>
        <row r="577">
          <cell r="A577" t="str">
            <v>40013_1</v>
          </cell>
        </row>
        <row r="578">
          <cell r="A578" t="str">
            <v>40014_1</v>
          </cell>
        </row>
        <row r="579">
          <cell r="A579" t="str">
            <v>40015_1</v>
          </cell>
        </row>
        <row r="580">
          <cell r="A580" t="str">
            <v>40016_1</v>
          </cell>
        </row>
        <row r="581">
          <cell r="A581" t="str">
            <v>40016_2</v>
          </cell>
        </row>
        <row r="582">
          <cell r="A582" t="str">
            <v>40017_1</v>
          </cell>
        </row>
        <row r="583">
          <cell r="A583" t="str">
            <v>40017_2</v>
          </cell>
        </row>
        <row r="584">
          <cell r="A584" t="str">
            <v>40017_3</v>
          </cell>
        </row>
        <row r="585">
          <cell r="A585" t="str">
            <v>40018_1</v>
          </cell>
        </row>
        <row r="586">
          <cell r="A586" t="str">
            <v>40018_2</v>
          </cell>
        </row>
        <row r="587">
          <cell r="A587" t="str">
            <v>40018_3</v>
          </cell>
        </row>
        <row r="588">
          <cell r="A588" t="str">
            <v>40019_1</v>
          </cell>
        </row>
        <row r="589">
          <cell r="A589" t="str">
            <v>40019_2</v>
          </cell>
        </row>
        <row r="590">
          <cell r="A590" t="str">
            <v>40019_3</v>
          </cell>
        </row>
        <row r="591">
          <cell r="A591" t="str">
            <v>40021_1</v>
          </cell>
        </row>
        <row r="592">
          <cell r="A592" t="str">
            <v>40021_2</v>
          </cell>
        </row>
        <row r="593">
          <cell r="A593" t="str">
            <v>40022_1</v>
          </cell>
        </row>
        <row r="594">
          <cell r="A594" t="str">
            <v>40022_2</v>
          </cell>
        </row>
        <row r="595">
          <cell r="A595" t="str">
            <v>48001_1</v>
          </cell>
        </row>
        <row r="596">
          <cell r="A596" t="str">
            <v>48002_1</v>
          </cell>
        </row>
        <row r="597">
          <cell r="A597" t="str">
            <v>48002_2</v>
          </cell>
        </row>
        <row r="598">
          <cell r="A598" t="str">
            <v>48002_3</v>
          </cell>
        </row>
        <row r="599">
          <cell r="A599" t="str">
            <v>48003_1</v>
          </cell>
        </row>
        <row r="600">
          <cell r="A600" t="str">
            <v>48003_2</v>
          </cell>
        </row>
        <row r="601">
          <cell r="A601" t="str">
            <v>48003_3</v>
          </cell>
        </row>
        <row r="602">
          <cell r="A602" t="str">
            <v>48004_1</v>
          </cell>
        </row>
        <row r="603">
          <cell r="A603" t="str">
            <v>48004_2</v>
          </cell>
        </row>
        <row r="604">
          <cell r="A604" t="str">
            <v>41001_1</v>
          </cell>
        </row>
        <row r="605">
          <cell r="A605" t="str">
            <v>41001_2</v>
          </cell>
        </row>
        <row r="606">
          <cell r="A606" t="str">
            <v>41001_3</v>
          </cell>
        </row>
        <row r="607">
          <cell r="A607" t="str">
            <v>41002_1</v>
          </cell>
        </row>
        <row r="608">
          <cell r="A608" t="str">
            <v>41002_2</v>
          </cell>
        </row>
        <row r="609">
          <cell r="A609" t="str">
            <v>41002_3</v>
          </cell>
        </row>
        <row r="610">
          <cell r="A610" t="str">
            <v>41003_1</v>
          </cell>
        </row>
        <row r="611">
          <cell r="A611" t="str">
            <v>41003_2</v>
          </cell>
        </row>
        <row r="612">
          <cell r="A612" t="str">
            <v>41003_3</v>
          </cell>
        </row>
        <row r="613">
          <cell r="A613" t="str">
            <v>41004_1</v>
          </cell>
        </row>
        <row r="614">
          <cell r="A614" t="str">
            <v>41004_2</v>
          </cell>
        </row>
        <row r="615">
          <cell r="A615" t="str">
            <v>41004_3</v>
          </cell>
        </row>
        <row r="616">
          <cell r="A616" t="str">
            <v>41005_1</v>
          </cell>
        </row>
        <row r="617">
          <cell r="A617" t="str">
            <v>41005_2</v>
          </cell>
        </row>
        <row r="618">
          <cell r="A618" t="str">
            <v>41005_3</v>
          </cell>
        </row>
        <row r="619">
          <cell r="A619" t="str">
            <v>41006_1</v>
          </cell>
        </row>
        <row r="620">
          <cell r="A620" t="str">
            <v>41006_2</v>
          </cell>
        </row>
        <row r="621">
          <cell r="A621" t="str">
            <v>41006_3</v>
          </cell>
        </row>
        <row r="622">
          <cell r="A622" t="str">
            <v>41007_1</v>
          </cell>
        </row>
        <row r="623">
          <cell r="A623" t="str">
            <v>41007_2</v>
          </cell>
        </row>
        <row r="624">
          <cell r="A624" t="str">
            <v>41007_3</v>
          </cell>
        </row>
        <row r="625">
          <cell r="A625" t="str">
            <v>41008_1</v>
          </cell>
        </row>
        <row r="626">
          <cell r="A626" t="str">
            <v>41008_2</v>
          </cell>
        </row>
        <row r="627">
          <cell r="A627" t="str">
            <v>41008_3</v>
          </cell>
        </row>
        <row r="628">
          <cell r="A628" t="str">
            <v>41009_1</v>
          </cell>
        </row>
        <row r="629">
          <cell r="A629" t="str">
            <v>41009_2</v>
          </cell>
        </row>
        <row r="630">
          <cell r="A630" t="str">
            <v>41009_3</v>
          </cell>
        </row>
        <row r="631">
          <cell r="A631" t="str">
            <v>41010_1</v>
          </cell>
        </row>
        <row r="632">
          <cell r="A632" t="str">
            <v>41010_2</v>
          </cell>
        </row>
        <row r="633">
          <cell r="A633" t="str">
            <v>41010_3</v>
          </cell>
        </row>
        <row r="634">
          <cell r="A634" t="str">
            <v>41011_1</v>
          </cell>
        </row>
        <row r="635">
          <cell r="A635" t="str">
            <v>41011_2</v>
          </cell>
        </row>
        <row r="636">
          <cell r="A636" t="str">
            <v>41012_1</v>
          </cell>
        </row>
        <row r="637">
          <cell r="A637" t="str">
            <v>41012_2</v>
          </cell>
        </row>
        <row r="638">
          <cell r="A638" t="str">
            <v>41013_1</v>
          </cell>
        </row>
        <row r="639">
          <cell r="A639" t="str">
            <v>41013_2</v>
          </cell>
        </row>
        <row r="640">
          <cell r="A640" t="str">
            <v>41014_1</v>
          </cell>
        </row>
        <row r="641">
          <cell r="A641" t="str">
            <v>41014_2</v>
          </cell>
        </row>
        <row r="642">
          <cell r="A642" t="str">
            <v>41015_1</v>
          </cell>
        </row>
        <row r="643">
          <cell r="A643" t="str">
            <v>41015_2</v>
          </cell>
        </row>
        <row r="644">
          <cell r="A644" t="str">
            <v>47001_1</v>
          </cell>
        </row>
        <row r="645">
          <cell r="A645" t="str">
            <v>47001_2</v>
          </cell>
        </row>
        <row r="646">
          <cell r="A646" t="str">
            <v>47002_1</v>
          </cell>
        </row>
        <row r="647">
          <cell r="A647" t="str">
            <v>47002_2</v>
          </cell>
        </row>
        <row r="648">
          <cell r="A648" t="str">
            <v>49001_1</v>
          </cell>
        </row>
        <row r="649">
          <cell r="A649" t="str">
            <v>49002_1</v>
          </cell>
        </row>
        <row r="650">
          <cell r="A650" t="str">
            <v>49002_2</v>
          </cell>
        </row>
        <row r="651">
          <cell r="A651" t="str">
            <v>49003_1</v>
          </cell>
        </row>
        <row r="652">
          <cell r="A652" t="str">
            <v>49003_2</v>
          </cell>
        </row>
        <row r="653">
          <cell r="A653" t="str">
            <v>49004_1</v>
          </cell>
        </row>
        <row r="654">
          <cell r="A654" t="str">
            <v>49004_2</v>
          </cell>
        </row>
        <row r="655">
          <cell r="A655" t="str">
            <v>49004_3</v>
          </cell>
        </row>
        <row r="656">
          <cell r="A656" t="str">
            <v>49005_1</v>
          </cell>
        </row>
        <row r="657">
          <cell r="A657" t="str">
            <v>49006_1</v>
          </cell>
        </row>
        <row r="658">
          <cell r="A658" t="str">
            <v>49006_2</v>
          </cell>
        </row>
        <row r="659">
          <cell r="A659" t="str">
            <v>49007_1</v>
          </cell>
        </row>
        <row r="660">
          <cell r="A660" t="str">
            <v>49007_2</v>
          </cell>
        </row>
        <row r="661">
          <cell r="A661" t="str">
            <v>49007_3</v>
          </cell>
        </row>
        <row r="662">
          <cell r="A662" t="str">
            <v>50001_1</v>
          </cell>
        </row>
        <row r="663">
          <cell r="A663" t="str">
            <v>50002_1</v>
          </cell>
        </row>
        <row r="664">
          <cell r="A664" t="str">
            <v>50003_1</v>
          </cell>
        </row>
        <row r="665">
          <cell r="A665" t="str">
            <v>50004_1</v>
          </cell>
        </row>
        <row r="666">
          <cell r="A666" t="str">
            <v>50005_1</v>
          </cell>
        </row>
        <row r="667">
          <cell r="A667" t="str">
            <v>50006_1</v>
          </cell>
        </row>
        <row r="668">
          <cell r="A668" t="str">
            <v>51001_1</v>
          </cell>
        </row>
        <row r="669">
          <cell r="A669" t="str">
            <v>51002_1</v>
          </cell>
        </row>
        <row r="670">
          <cell r="A670" t="str">
            <v>60001_1</v>
          </cell>
        </row>
        <row r="671">
          <cell r="A671" t="str">
            <v>60002_1</v>
          </cell>
        </row>
        <row r="672">
          <cell r="A672" t="str">
            <v>60002_2</v>
          </cell>
        </row>
        <row r="673">
          <cell r="A673" t="str">
            <v>60003_1</v>
          </cell>
        </row>
        <row r="674">
          <cell r="A674" t="str">
            <v>60003_2</v>
          </cell>
        </row>
        <row r="675">
          <cell r="A675" t="str">
            <v>60003_3</v>
          </cell>
        </row>
        <row r="676">
          <cell r="A676" t="str">
            <v>60004_1</v>
          </cell>
        </row>
        <row r="677">
          <cell r="A677" t="str">
            <v>60005_1</v>
          </cell>
        </row>
        <row r="678">
          <cell r="A678" t="str">
            <v>60006_1</v>
          </cell>
        </row>
        <row r="679">
          <cell r="A679" t="str">
            <v>60006_2</v>
          </cell>
        </row>
        <row r="680">
          <cell r="A680" t="str">
            <v>60006_3</v>
          </cell>
        </row>
        <row r="681">
          <cell r="A681" t="str">
            <v>60007_1</v>
          </cell>
        </row>
        <row r="682">
          <cell r="A682" t="str">
            <v>60007_2</v>
          </cell>
        </row>
        <row r="683">
          <cell r="A683" t="str">
            <v>60007_3</v>
          </cell>
        </row>
        <row r="684">
          <cell r="A684" t="str">
            <v>60010_1</v>
          </cell>
        </row>
        <row r="685">
          <cell r="A685" t="str">
            <v>60011_1</v>
          </cell>
        </row>
        <row r="686">
          <cell r="A686" t="str">
            <v>60011_2</v>
          </cell>
        </row>
        <row r="687">
          <cell r="A687" t="str">
            <v>61011_1</v>
          </cell>
        </row>
        <row r="688">
          <cell r="A688" t="str">
            <v>60012_1</v>
          </cell>
        </row>
        <row r="689">
          <cell r="A689" t="str">
            <v>60013_1</v>
          </cell>
        </row>
        <row r="690">
          <cell r="A690" t="str">
            <v>60013_2</v>
          </cell>
        </row>
        <row r="691">
          <cell r="A691" t="str">
            <v>60013_3</v>
          </cell>
        </row>
        <row r="692">
          <cell r="A692" t="str">
            <v>60014_1</v>
          </cell>
        </row>
        <row r="693">
          <cell r="A693" t="str">
            <v>65533_1</v>
          </cell>
        </row>
        <row r="694">
          <cell r="A694" t="str">
            <v>65533_2</v>
          </cell>
        </row>
        <row r="695">
          <cell r="A695" t="str">
            <v>65534_1</v>
          </cell>
        </row>
        <row r="696">
          <cell r="A696" t="str">
            <v>65535_1</v>
          </cell>
        </row>
        <row r="697">
          <cell r="A697" t="str">
            <v>65535_2</v>
          </cell>
        </row>
        <row r="698">
          <cell r="A698" t="str">
            <v>65535_3</v>
          </cell>
        </row>
        <row r="699">
          <cell r="A699" t="str">
            <v>65535_4</v>
          </cell>
        </row>
        <row r="700">
          <cell r="A700" t="str">
            <v>65535_5</v>
          </cell>
        </row>
        <row r="701">
          <cell r="A701" t="str">
            <v>65535_6</v>
          </cell>
        </row>
        <row r="702">
          <cell r="A702" t="str">
            <v>65535_7</v>
          </cell>
        </row>
        <row r="703">
          <cell r="A703" t="str">
            <v>65535_8</v>
          </cell>
        </row>
        <row r="704">
          <cell r="A704" t="str">
            <v>60021_3</v>
          </cell>
        </row>
        <row r="705">
          <cell r="A705" t="str">
            <v>60022_3</v>
          </cell>
        </row>
        <row r="706">
          <cell r="A706" t="str">
            <v>60023_3</v>
          </cell>
        </row>
        <row r="707">
          <cell r="A70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8" sqref="B1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213</v>
      </c>
      <c r="B2" s="57" t="s">
        <v>107</v>
      </c>
      <c r="C2" s="62">
        <v>49006</v>
      </c>
      <c r="D2" s="57" t="s">
        <v>108</v>
      </c>
      <c r="E2" s="56" t="str">
        <f>B2&amp;C2&amp;D2</f>
        <v>floors_49006.tmp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213</v>
      </c>
      <c r="B3" s="57" t="s">
        <v>110</v>
      </c>
      <c r="C3" s="62">
        <f>C$2</f>
        <v>49006</v>
      </c>
      <c r="D3" s="57" t="s">
        <v>108</v>
      </c>
      <c r="E3" s="56" t="str">
        <f>B3&amp;C3&amp;D3</f>
        <v>enemy_habitats_49006.tmp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213</v>
      </c>
      <c r="B4" s="57" t="s">
        <v>112</v>
      </c>
      <c r="C4" s="62">
        <f t="shared" ref="C4:C13" si="0">C$2</f>
        <v>49006</v>
      </c>
      <c r="D4" s="57" t="s">
        <v>108</v>
      </c>
      <c r="E4" s="56" t="str">
        <f>B4&amp;C4&amp;D4</f>
        <v>enemy_habitat_S_49006.tmp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213</v>
      </c>
      <c r="B5" s="57" t="s">
        <v>114</v>
      </c>
      <c r="C5" s="62">
        <f t="shared" si="0"/>
        <v>49006</v>
      </c>
      <c r="D5" s="57" t="s">
        <v>108</v>
      </c>
      <c r="E5" s="56" t="str">
        <f>B5&amp;C5&amp;D5</f>
        <v>enemy_skill_sets_49006.tmp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213</v>
      </c>
      <c r="B6" s="57" t="s">
        <v>116</v>
      </c>
      <c r="C6" s="62">
        <f t="shared" si="0"/>
        <v>49006</v>
      </c>
      <c r="D6" s="57" t="s">
        <v>117</v>
      </c>
      <c r="E6" s="56" t="str">
        <f t="shared" ref="E6:E10" si="1">B6&amp;C6&amp;D6</f>
        <v>enemy_skills_tmp_49006.tmp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213</v>
      </c>
      <c r="B7" s="57" t="s">
        <v>118</v>
      </c>
      <c r="C7" s="62">
        <f t="shared" si="0"/>
        <v>49006</v>
      </c>
      <c r="D7" s="57" t="s">
        <v>108</v>
      </c>
      <c r="E7" s="56" t="str">
        <f>B7&amp;C7&amp;D7</f>
        <v>enemy_skills_i18n_49006.tmp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213</v>
      </c>
      <c r="B8" s="57" t="s">
        <v>120</v>
      </c>
      <c r="C8" s="62">
        <f t="shared" si="0"/>
        <v>49006</v>
      </c>
      <c r="D8" s="57" t="s">
        <v>121</v>
      </c>
      <c r="E8" s="56" t="str">
        <f t="shared" si="1"/>
        <v>enemy_skill_triggers_49006.tmp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213</v>
      </c>
      <c r="B9" s="67" t="s">
        <v>178</v>
      </c>
      <c r="C9" s="62">
        <f t="shared" si="0"/>
        <v>49006</v>
      </c>
      <c r="D9" s="67" t="s">
        <v>172</v>
      </c>
      <c r="E9" s="68" t="str">
        <f t="shared" si="1"/>
        <v>stage_bug_bonuses_49006.tmp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6" customFormat="1" x14ac:dyDescent="0.15">
      <c r="A10" s="61" t="s">
        <v>213</v>
      </c>
      <c r="B10" s="67" t="s">
        <v>202</v>
      </c>
      <c r="C10" s="62">
        <f>C$2</f>
        <v>49006</v>
      </c>
      <c r="D10" s="67" t="s">
        <v>181</v>
      </c>
      <c r="E10" s="68" t="str">
        <f t="shared" si="1"/>
        <v>stage_hints_data_c_49006.tmp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75" t="s">
        <v>185</v>
      </c>
    </row>
    <row r="11" spans="1:30" s="76" customFormat="1" x14ac:dyDescent="0.15">
      <c r="A11" s="61" t="s">
        <v>213</v>
      </c>
      <c r="B11" s="67" t="s">
        <v>203</v>
      </c>
      <c r="C11" s="62">
        <f t="shared" si="0"/>
        <v>49006</v>
      </c>
      <c r="D11" s="67" t="s">
        <v>172</v>
      </c>
      <c r="E11" s="68" t="str">
        <f t="shared" ref="E11:E13" si="2">B11&amp;C11&amp;D11</f>
        <v>stage_hints_data_f_49006.tmp</v>
      </c>
      <c r="F11" s="67" t="s">
        <v>211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75" t="s">
        <v>185</v>
      </c>
    </row>
    <row r="12" spans="1:30" s="76" customFormat="1" x14ac:dyDescent="0.15">
      <c r="A12" s="61" t="s">
        <v>213</v>
      </c>
      <c r="B12" s="67" t="s">
        <v>204</v>
      </c>
      <c r="C12" s="62">
        <f t="shared" si="0"/>
        <v>49006</v>
      </c>
      <c r="D12" s="67" t="s">
        <v>172</v>
      </c>
      <c r="E12" s="68" t="str">
        <f t="shared" si="2"/>
        <v>stage_hints_i18n_49006.tmp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94" t="s">
        <v>208</v>
      </c>
      <c r="K12" s="75" t="s">
        <v>209</v>
      </c>
    </row>
    <row r="13" spans="1:30" s="76" customFormat="1" x14ac:dyDescent="0.15">
      <c r="A13" s="61" t="s">
        <v>213</v>
      </c>
      <c r="B13" s="67" t="s">
        <v>297</v>
      </c>
      <c r="C13" s="62">
        <f t="shared" si="0"/>
        <v>49006</v>
      </c>
      <c r="D13" s="67" t="s">
        <v>108</v>
      </c>
      <c r="E13" s="68" t="str">
        <f t="shared" si="2"/>
        <v>stage_bonuses_49006.tmp</v>
      </c>
      <c r="F13" s="67" t="s">
        <v>298</v>
      </c>
      <c r="G13" s="73" t="s">
        <v>151</v>
      </c>
      <c r="H13" s="73" t="s">
        <v>152</v>
      </c>
      <c r="I13" s="73" t="s">
        <v>154</v>
      </c>
      <c r="J13" s="73" t="s">
        <v>299</v>
      </c>
      <c r="K13" s="73" t="s">
        <v>155</v>
      </c>
      <c r="L13" s="73" t="s">
        <v>156</v>
      </c>
      <c r="M13" s="73" t="s">
        <v>157</v>
      </c>
      <c r="N13" s="73" t="s">
        <v>158</v>
      </c>
      <c r="O13" s="73" t="s">
        <v>57</v>
      </c>
      <c r="P13" s="73" t="s">
        <v>160</v>
      </c>
      <c r="Q13" s="73" t="s">
        <v>38</v>
      </c>
      <c r="R13" s="73" t="s">
        <v>40</v>
      </c>
      <c r="S13" s="73" t="s">
        <v>42</v>
      </c>
      <c r="T13" s="73" t="s">
        <v>44</v>
      </c>
      <c r="U13" s="73" t="s">
        <v>46</v>
      </c>
      <c r="V13" s="73" t="s">
        <v>166</v>
      </c>
      <c r="W13" s="73" t="s">
        <v>167</v>
      </c>
      <c r="X13" s="73" t="s">
        <v>168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H12" sqref="H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32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49006_1-1</v>
      </c>
      <c r="B2" s="16" t="str">
        <f>IF(COUNTIF(enemy_habitats!$H:$H,A2),"OK","NG")</f>
        <v>OK</v>
      </c>
      <c r="C2" s="7">
        <v>49006</v>
      </c>
      <c r="D2" s="11" t="str">
        <f ca="1">VLOOKUP($C2,OFFSET([2]quests!$A$1,0,0,COUNTA([2]quests!$A:$A),MATCH(D$1,[2]quests!$1:$1,0)-MATCH($C$1,[2]quests!$1:$1,0)+1),MATCH(D$1,[2]quests!$1:$1,0)-MATCH($C$1,[2]quests!$1:$1,0)+1,FALSE)</f>
        <v>超大型巨人襲来！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コラボ降臨6</v>
      </c>
      <c r="F2" s="21">
        <v>1</v>
      </c>
      <c r="G2" s="23" t="str">
        <f>C2&amp;"_"&amp;F2</f>
        <v>49006_1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【超絶級】超大型巨人襲来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49006_1-2</v>
      </c>
      <c r="B3" s="16" t="str">
        <f>IF(COUNTIF(enemy_habitats!$H:$H,A3),"OK","NG")</f>
        <v>OK</v>
      </c>
      <c r="C3" s="7">
        <v>49006</v>
      </c>
      <c r="D3" s="11" t="str">
        <f ca="1">VLOOKUP($C3,OFFSET([2]quests!$A$1,0,0,COUNTA([2]quests!$A:$A),MATCH(D$1,[2]quests!$1:$1,0)-MATCH($C$1,[2]quests!$1:$1,0)+1),MATCH(D$1,[2]quests!$1:$1,0)-MATCH($C$1,[2]quests!$1:$1,0)+1,FALSE)</f>
        <v>超大型巨人襲来！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コラボ降臨6</v>
      </c>
      <c r="F3" s="21">
        <v>1</v>
      </c>
      <c r="G3" s="23" t="str">
        <f t="shared" ref="G3:G4" si="1">C3&amp;"_"&amp;F3</f>
        <v>49006_1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【超絶級】超大型巨人襲来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49006_1-3</v>
      </c>
      <c r="B4" s="16" t="str">
        <f>IF(COUNTIF(enemy_habitats!$H:$H,A4),"OK","NG")</f>
        <v>OK</v>
      </c>
      <c r="C4" s="7">
        <v>49006</v>
      </c>
      <c r="D4" s="11" t="str">
        <f ca="1">VLOOKUP($C4,OFFSET([2]quests!$A$1,0,0,COUNTA([2]quests!$A:$A),MATCH(D$1,[2]quests!$1:$1,0)-MATCH($C$1,[2]quests!$1:$1,0)+1),MATCH(D$1,[2]quests!$1:$1,0)-MATCH($C$1,[2]quests!$1:$1,0)+1,FALSE)</f>
        <v>超大型巨人襲来！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コラボ降臨6</v>
      </c>
      <c r="F4" s="21">
        <v>1</v>
      </c>
      <c r="G4" s="23" t="str">
        <f t="shared" si="1"/>
        <v>49006_1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【超絶級】超大型巨人襲来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49006_2-1</v>
      </c>
      <c r="B5" s="16" t="str">
        <f>IF(COUNTIF(enemy_habitats!$H:$H,A5),"OK","NG")</f>
        <v>OK</v>
      </c>
      <c r="C5" s="7">
        <v>49006</v>
      </c>
      <c r="D5" s="11" t="str">
        <f ca="1">VLOOKUP($C5,OFFSET([2]quests!$A$1,0,0,COUNTA([2]quests!$A:$A),MATCH(D$1,[2]quests!$1:$1,0)-MATCH($C$1,[2]quests!$1:$1,0)+1),MATCH(D$1,[2]quests!$1:$1,0)-MATCH($C$1,[2]quests!$1:$1,0)+1,FALSE)</f>
        <v>超大型巨人襲来！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コラボ降臨6</v>
      </c>
      <c r="F5" s="21">
        <v>2</v>
      </c>
      <c r="G5" s="23" t="str">
        <f>C5&amp;"_"&amp;F5</f>
        <v>49006_2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【ウィザード級】超大型巨人襲来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ref="A6:A7" si="2">G6&amp;"-"&amp;I6</f>
        <v>49006_2-2</v>
      </c>
      <c r="B6" s="16" t="str">
        <f>IF(COUNTIF(enemy_habitats!$H:$H,A6),"OK","NG")</f>
        <v>OK</v>
      </c>
      <c r="C6" s="7">
        <v>49006</v>
      </c>
      <c r="D6" s="11" t="str">
        <f ca="1">VLOOKUP($C6,OFFSET([2]quests!$A$1,0,0,COUNTA([2]quests!$A:$A),MATCH(D$1,[2]quests!$1:$1,0)-MATCH($C$1,[2]quests!$1:$1,0)+1),MATCH(D$1,[2]quests!$1:$1,0)-MATCH($C$1,[2]quests!$1:$1,0)+1,FALSE)</f>
        <v>超大型巨人襲来！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コラボ降臨6</v>
      </c>
      <c r="F6" s="21">
        <v>2</v>
      </c>
      <c r="G6" s="23" t="str">
        <f t="shared" ref="G6:G7" si="3">C6&amp;"_"&amp;F6</f>
        <v>49006_2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【ウィザード級】超大型巨人襲来</v>
      </c>
      <c r="I6" s="21">
        <v>2</v>
      </c>
      <c r="J6" s="12">
        <v>30</v>
      </c>
      <c r="K6" s="12">
        <v>30</v>
      </c>
    </row>
    <row r="7" spans="1:11" ht="21" customHeight="1" x14ac:dyDescent="0.15">
      <c r="A7" s="16" t="str">
        <f t="shared" si="2"/>
        <v>49006_2-3</v>
      </c>
      <c r="B7" s="16" t="str">
        <f>IF(COUNTIF(enemy_habitats!$H:$H,A7),"OK","NG")</f>
        <v>OK</v>
      </c>
      <c r="C7" s="7">
        <v>49006</v>
      </c>
      <c r="D7" s="11" t="str">
        <f ca="1">VLOOKUP($C7,OFFSET([2]quests!$A$1,0,0,COUNTA([2]quests!$A:$A),MATCH(D$1,[2]quests!$1:$1,0)-MATCH($C$1,[2]quests!$1:$1,0)+1),MATCH(D$1,[2]quests!$1:$1,0)-MATCH($C$1,[2]quests!$1:$1,0)+1,FALSE)</f>
        <v>超大型巨人襲来！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コラボ降臨6</v>
      </c>
      <c r="F7" s="21">
        <v>2</v>
      </c>
      <c r="G7" s="23" t="str">
        <f t="shared" si="3"/>
        <v>49006_2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【ウィザード級】超大型巨人襲来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75" zoomScaleNormal="75" zoomScalePageLayoutView="75" workbookViewId="0">
      <pane xSplit="17" ySplit="1" topLeftCell="AB2" activePane="bottomRight" state="frozen"/>
      <selection pane="topRight" activeCell="N1" sqref="N1"/>
      <selection pane="bottomLeft" activeCell="A2" sqref="A2"/>
      <selection pane="bottomRight" activeCell="AC4" sqref="AC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>B2&amp;"_"&amp;C2&amp;"-"&amp;G2&amp;"/"&amp;L2&amp;"&lt;lv"&amp;R2&amp;"&gt;s"&amp;AA2</f>
        <v>49006_1-1/882&lt;lv1&gt;s1</v>
      </c>
      <c r="B2" s="22">
        <v>49006</v>
      </c>
      <c r="C2" s="21">
        <v>1</v>
      </c>
      <c r="D2" s="2" t="str">
        <f>B2&amp;"_"&amp;C2</f>
        <v>49006_1</v>
      </c>
      <c r="E2" s="4" t="str">
        <f ca="1">VLOOKUP($B2,OFFSET([2]quests!$A$1,0,0,COUNTA([2]quests!$A:$A),MATCH(E$1,[2]quests!$1:$1,0)-MATCH($B$1,[2]quests!$1:$1,0)+1),MATCH(E$1,[2]quests!$1:$1,0)-MATCH($B$1,[2]quests!$1:$1,0)+1,FALSE)</f>
        <v>超大型巨人襲来！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【超絶級】超大型巨人襲来</v>
      </c>
      <c r="G2" s="21">
        <v>1</v>
      </c>
      <c r="H2" s="15" t="str">
        <f>B2&amp;"_"&amp;C2&amp;"-"&amp;G2</f>
        <v>49006_1-1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882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超大型巨人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ti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1</v>
      </c>
      <c r="S2" s="25">
        <v>1</v>
      </c>
      <c r="T2" s="25">
        <v>1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7">
        <v>49006001</v>
      </c>
      <c r="X2" s="6">
        <v>1</v>
      </c>
      <c r="Y2" s="6">
        <v>100</v>
      </c>
      <c r="Z2" s="6">
        <v>1</v>
      </c>
      <c r="AA2" s="17">
        <v>1</v>
      </c>
      <c r="AB2" s="24">
        <f>L2</f>
        <v>882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超大型巨人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4" ca="1" si="0">B3&amp;"_"&amp;C3&amp;"-"&amp;G3&amp;"/"&amp;L3&amp;"&lt;lv"&amp;R3&amp;"&gt;s"&amp;AA3</f>
        <v>49006_1-2/983&lt;lv40&gt;s3</v>
      </c>
      <c r="B3" s="22">
        <v>49006</v>
      </c>
      <c r="C3" s="21">
        <v>1</v>
      </c>
      <c r="D3" s="2" t="str">
        <f t="shared" ref="D3:D4" si="1">B3&amp;"_"&amp;C3</f>
        <v>49006_1</v>
      </c>
      <c r="E3" s="4" t="str">
        <f ca="1">VLOOKUP($B3,OFFSET([2]quests!$A$1,0,0,COUNTA([2]quests!$A:$A),MATCH(E$1,[2]quests!$1:$1,0)-MATCH($B$1,[2]quests!$1:$1,0)+1),MATCH(E$1,[2]quests!$1:$1,0)-MATCH($B$1,[2]quests!$1:$1,0)+1,FALSE)</f>
        <v>超大型巨人襲来！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【超絶級】超大型巨人襲来</v>
      </c>
      <c r="G3" s="21">
        <v>2</v>
      </c>
      <c r="H3" s="15" t="str">
        <f t="shared" ref="H3:H4" si="2">B3&amp;"_"&amp;C3&amp;"-"&amp;G3</f>
        <v>49006_1-2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2</v>
      </c>
      <c r="L3" s="20">
        <v>983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鎧の巨人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ti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40</v>
      </c>
      <c r="S3" s="25">
        <v>1.2</v>
      </c>
      <c r="T3" s="25">
        <v>1.1000000000000001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7">
        <v>49006008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ref="AB3:AB4" si="3">L3</f>
        <v>983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7">
        <v>1</v>
      </c>
      <c r="AG3" s="24">
        <f t="shared" ref="AG3:AG4" ca="1" si="4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49006_1-3/979&lt;lv60&gt;s2</v>
      </c>
      <c r="B4" s="22">
        <v>49006</v>
      </c>
      <c r="C4" s="21">
        <v>1</v>
      </c>
      <c r="D4" s="2" t="str">
        <f t="shared" si="1"/>
        <v>49006_1</v>
      </c>
      <c r="E4" s="4" t="str">
        <f ca="1">VLOOKUP($B4,OFFSET([2]quests!$A$1,0,0,COUNTA([2]quests!$A:$A),MATCH(E$1,[2]quests!$1:$1,0)-MATCH($B$1,[2]quests!$1:$1,0)+1),MATCH(E$1,[2]quests!$1:$1,0)-MATCH($B$1,[2]quests!$1:$1,0)+1,FALSE)</f>
        <v>超大型巨人襲来！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【超絶級】超大型巨人襲来</v>
      </c>
      <c r="G4" s="21">
        <v>3</v>
      </c>
      <c r="H4" s="15" t="str">
        <f t="shared" si="2"/>
        <v>49006_1-3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979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超大型巨人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ti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5">
        <v>2.2000000000000002</v>
      </c>
      <c r="T4" s="25">
        <v>1.6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7">
        <v>49006005</v>
      </c>
      <c r="X4" s="6">
        <v>1</v>
      </c>
      <c r="Y4" s="6">
        <v>100</v>
      </c>
      <c r="Z4" s="6">
        <v>1</v>
      </c>
      <c r="AA4" s="17">
        <v>2</v>
      </c>
      <c r="AB4" s="24">
        <f t="shared" si="3"/>
        <v>979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超大型巨人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4" s="7">
        <v>1</v>
      </c>
      <c r="AG4" s="24">
        <f t="shared" ca="1" si="4"/>
        <v>5</v>
      </c>
      <c r="AH4" s="8">
        <v>15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>B5&amp;"_"&amp;C5&amp;"-"&amp;G5&amp;"/"&amp;L5&amp;"&lt;lv"&amp;R5&amp;"&gt;s"&amp;AA5</f>
        <v>49006_2-1/882&lt;lv1&gt;s1</v>
      </c>
      <c r="B5" s="22">
        <v>49006</v>
      </c>
      <c r="C5" s="21">
        <v>2</v>
      </c>
      <c r="D5" s="2" t="str">
        <f>B5&amp;"_"&amp;C5</f>
        <v>49006_2</v>
      </c>
      <c r="E5" s="4" t="str">
        <f ca="1">VLOOKUP($B5,OFFSET([2]quests!$A$1,0,0,COUNTA([2]quests!$A:$A),MATCH(E$1,[2]quests!$1:$1,0)-MATCH($B$1,[2]quests!$1:$1,0)+1),MATCH(E$1,[2]quests!$1:$1,0)-MATCH($B$1,[2]quests!$1:$1,0)+1,FALSE)</f>
        <v>超大型巨人襲来！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【ウィザード級】超大型巨人襲来</v>
      </c>
      <c r="G5" s="21">
        <v>1</v>
      </c>
      <c r="H5" s="15" t="str">
        <f>B5&amp;"_"&amp;C5&amp;"-"&amp;G5</f>
        <v>49006_2-1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882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超大型巨人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ti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1</v>
      </c>
      <c r="S5" s="25">
        <v>1</v>
      </c>
      <c r="T5" s="25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7">
        <v>49006001</v>
      </c>
      <c r="X5" s="6">
        <v>1</v>
      </c>
      <c r="Y5" s="6">
        <v>100</v>
      </c>
      <c r="Z5" s="6">
        <v>1</v>
      </c>
      <c r="AA5" s="17">
        <v>1</v>
      </c>
      <c r="AB5" s="24">
        <f>L5</f>
        <v>882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超大型巨人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4">
        <f ca="1">AD5</f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ref="A6:A7" ca="1" si="5">B6&amp;"_"&amp;C6&amp;"-"&amp;G6&amp;"/"&amp;L6&amp;"&lt;lv"&amp;R6&amp;"&gt;s"&amp;AA6</f>
        <v>49006_2-2/983&lt;lv60&gt;s3</v>
      </c>
      <c r="B6" s="22">
        <v>49006</v>
      </c>
      <c r="C6" s="21">
        <v>2</v>
      </c>
      <c r="D6" s="2" t="str">
        <f t="shared" ref="D6:D7" si="6">B6&amp;"_"&amp;C6</f>
        <v>49006_2</v>
      </c>
      <c r="E6" s="4" t="str">
        <f ca="1">VLOOKUP($B6,OFFSET([2]quests!$A$1,0,0,COUNTA([2]quests!$A:$A),MATCH(E$1,[2]quests!$1:$1,0)-MATCH($B$1,[2]quests!$1:$1,0)+1),MATCH(E$1,[2]quests!$1:$1,0)-MATCH($B$1,[2]quests!$1:$1,0)+1,FALSE)</f>
        <v>超大型巨人襲来！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【ウィザード級】超大型巨人襲来</v>
      </c>
      <c r="G6" s="21">
        <v>2</v>
      </c>
      <c r="H6" s="15" t="str">
        <f t="shared" ref="H6:H7" si="7">B6&amp;"_"&amp;C6&amp;"-"&amp;G6</f>
        <v>49006_2-2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>
        <v>2</v>
      </c>
      <c r="L6" s="20">
        <v>983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鎧の巨人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ti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v>1.5</v>
      </c>
      <c r="T6" s="25">
        <v>1.1000000000000001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7">
        <v>49006003</v>
      </c>
      <c r="X6" s="6">
        <v>1</v>
      </c>
      <c r="Y6" s="6">
        <v>100</v>
      </c>
      <c r="Z6" s="6">
        <v>1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ref="AB6:AB7" si="8">L6</f>
        <v>983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鎧の巨人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ref="AG6:AG7" ca="1" si="9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5"/>
        <v>49006_2-3/979&lt;lv80&gt;s2</v>
      </c>
      <c r="B7" s="22">
        <v>49006</v>
      </c>
      <c r="C7" s="21">
        <v>2</v>
      </c>
      <c r="D7" s="2" t="str">
        <f t="shared" si="6"/>
        <v>49006_2</v>
      </c>
      <c r="E7" s="4" t="str">
        <f ca="1">VLOOKUP($B7,OFFSET([2]quests!$A$1,0,0,COUNTA([2]quests!$A:$A),MATCH(E$1,[2]quests!$1:$1,0)-MATCH($B$1,[2]quests!$1:$1,0)+1),MATCH(E$1,[2]quests!$1:$1,0)-MATCH($B$1,[2]quests!$1:$1,0)+1,FALSE)</f>
        <v>超大型巨人襲来！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【ウィザード級】超大型巨人襲来</v>
      </c>
      <c r="G7" s="21">
        <v>3</v>
      </c>
      <c r="H7" s="15" t="str">
        <f t="shared" si="7"/>
        <v>49006_2-3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3</v>
      </c>
      <c r="L7" s="20">
        <v>979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超大型巨人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ti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2.5</v>
      </c>
      <c r="T7" s="25">
        <v>1.6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7">
        <v>49006005</v>
      </c>
      <c r="X7" s="6">
        <v>1</v>
      </c>
      <c r="Y7" s="6">
        <v>100</v>
      </c>
      <c r="Z7" s="6">
        <v>1</v>
      </c>
      <c r="AA7" s="17">
        <v>2</v>
      </c>
      <c r="AB7" s="24">
        <f t="shared" si="8"/>
        <v>979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超大型巨人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4">
        <f t="shared" ca="1" si="9"/>
        <v>5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9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6" sqref="U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4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49006_1-1/979&lt;lv45&gt;sq1st2</v>
      </c>
      <c r="B2" s="22">
        <v>49006</v>
      </c>
      <c r="C2" s="21">
        <v>1</v>
      </c>
      <c r="D2" s="2" t="str">
        <f>B2&amp;"_"&amp;C2</f>
        <v>49006_1</v>
      </c>
      <c r="E2" s="4" t="str">
        <f ca="1">VLOOKUP($B2,OFFSET([2]quests!$A$1,0,0,COUNTA([2]quests!$A:$A),MATCH(E$1,[2]quests!$1:$1,0)-MATCH($B$1,[2]quests!$1:$1,0)+1),MATCH(E$1,[2]quests!$1:$1,0)-MATCH($B$1,[2]quests!$1:$1,0)+1,FALSE)</f>
        <v>超大型巨人襲来！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【超絶級】超大型巨人襲来</v>
      </c>
      <c r="G2" s="21">
        <v>1</v>
      </c>
      <c r="H2" s="15" t="str">
        <f>B2&amp;"_"&amp;C2&amp;"-"&amp;G2</f>
        <v>49006_1-1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979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超大型巨人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ti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45</v>
      </c>
      <c r="T2" s="25">
        <v>2.5</v>
      </c>
      <c r="U2" s="25">
        <v>1.6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7">
        <v>49006002</v>
      </c>
      <c r="Y2" s="70">
        <v>2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49006_1-2/984&lt;lv40&gt;sq2st2</v>
      </c>
      <c r="B3" s="22">
        <v>49006</v>
      </c>
      <c r="C3" s="21">
        <v>1</v>
      </c>
      <c r="D3" s="2" t="str">
        <f t="shared" ref="D3:D4" si="1">B3&amp;"_"&amp;C3</f>
        <v>49006_1</v>
      </c>
      <c r="E3" s="4" t="str">
        <f ca="1">VLOOKUP($B3,OFFSET([2]quests!$A$1,0,0,COUNTA([2]quests!$A:$A),MATCH(E$1,[2]quests!$1:$1,0)-MATCH($B$1,[2]quests!$1:$1,0)+1),MATCH(E$1,[2]quests!$1:$1,0)-MATCH($B$1,[2]quests!$1:$1,0)+1,FALSE)</f>
        <v>超大型巨人襲来！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【超絶級】超大型巨人襲来</v>
      </c>
      <c r="G3" s="21">
        <v>2</v>
      </c>
      <c r="H3" s="15" t="str">
        <f t="shared" ref="H3:H4" si="2">B3&amp;"_"&amp;C3&amp;"-"&amp;G3</f>
        <v>49006_1-2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2</v>
      </c>
      <c r="L3" s="38">
        <v>2</v>
      </c>
      <c r="M3" s="20">
        <v>984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破壁の剛弾 鎧の巨人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ti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40</v>
      </c>
      <c r="T3" s="25">
        <v>1.2</v>
      </c>
      <c r="U3" s="25">
        <v>1.1000000000000001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7">
        <v>49006009</v>
      </c>
      <c r="Y3" s="70">
        <v>2</v>
      </c>
    </row>
    <row r="4" spans="1:25" ht="21" customHeight="1" x14ac:dyDescent="0.15">
      <c r="A4" s="16" t="str">
        <f t="shared" si="0"/>
        <v>49006_1-3/980&lt;lv60&gt;sq3st2</v>
      </c>
      <c r="B4" s="22">
        <v>49006</v>
      </c>
      <c r="C4" s="21">
        <v>1</v>
      </c>
      <c r="D4" s="2" t="str">
        <f t="shared" si="1"/>
        <v>49006_1</v>
      </c>
      <c r="E4" s="4" t="str">
        <f ca="1">VLOOKUP($B4,OFFSET([2]quests!$A$1,0,0,COUNTA([2]quests!$A:$A),MATCH(E$1,[2]quests!$1:$1,0)-MATCH($B$1,[2]quests!$1:$1,0)+1),MATCH(E$1,[2]quests!$1:$1,0)-MATCH($B$1,[2]quests!$1:$1,0)+1,FALSE)</f>
        <v>超大型巨人襲来！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【超絶級】超大型巨人襲来</v>
      </c>
      <c r="G4" s="21">
        <v>3</v>
      </c>
      <c r="H4" s="15" t="str">
        <f t="shared" si="2"/>
        <v>49006_1-3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980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猛熱の災厄 超大型巨人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ti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2.8</v>
      </c>
      <c r="U4" s="25">
        <v>1.8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7">
        <v>49006006</v>
      </c>
      <c r="Y4" s="70">
        <v>1</v>
      </c>
    </row>
    <row r="5" spans="1:25" ht="21" customHeight="1" x14ac:dyDescent="0.15">
      <c r="A5" s="16" t="str">
        <f t="shared" ref="A5" si="3">B5&amp;"_"&amp;C5&amp;"-"&amp;G5&amp;"/"&amp;M5&amp;"&lt;lv"&amp;S5&amp;"&gt;sq"&amp;K5&amp;"st"&amp;L5</f>
        <v>49006_1-3/980&lt;lv60&gt;sq3st3</v>
      </c>
      <c r="B5" s="22">
        <v>49006</v>
      </c>
      <c r="C5" s="21">
        <v>1</v>
      </c>
      <c r="D5" s="2" t="str">
        <f t="shared" ref="D5" si="4">B5&amp;"_"&amp;C5</f>
        <v>49006_1</v>
      </c>
      <c r="E5" s="4" t="str">
        <f ca="1">VLOOKUP($B5,OFFSET([2]quests!$A$1,0,0,COUNTA([2]quests!$A:$A),MATCH(E$1,[2]quests!$1:$1,0)-MATCH($B$1,[2]quests!$1:$1,0)+1),MATCH(E$1,[2]quests!$1:$1,0)-MATCH($B$1,[2]quests!$1:$1,0)+1,FALSE)</f>
        <v>超大型巨人襲来！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【超絶級】超大型巨人襲来</v>
      </c>
      <c r="G5" s="21">
        <v>3</v>
      </c>
      <c r="H5" s="15" t="str">
        <f t="shared" ref="H5" si="5">B5&amp;"_"&amp;C5&amp;"-"&amp;G5</f>
        <v>49006_1-3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980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猛熱の災厄 超大型巨人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ti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2.2000000000000002</v>
      </c>
      <c r="U5" s="25">
        <v>2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7">
        <v>49006007</v>
      </c>
      <c r="Y5" s="70">
        <v>1</v>
      </c>
    </row>
    <row r="6" spans="1:25" ht="21" customHeight="1" x14ac:dyDescent="0.15">
      <c r="A6" s="16" t="str">
        <f>B6&amp;"_"&amp;C6&amp;"-"&amp;G6&amp;"/"&amp;M6&amp;"&lt;lv"&amp;S6&amp;"&gt;sq"&amp;K6&amp;"st"&amp;L6</f>
        <v>49006_2-1/979&lt;lv60&gt;sq1st2</v>
      </c>
      <c r="B6" s="22">
        <v>49006</v>
      </c>
      <c r="C6" s="21">
        <v>2</v>
      </c>
      <c r="D6" s="2" t="str">
        <f>B6&amp;"_"&amp;C6</f>
        <v>49006_2</v>
      </c>
      <c r="E6" s="4" t="str">
        <f ca="1">VLOOKUP($B6,OFFSET([2]quests!$A$1,0,0,COUNTA([2]quests!$A:$A),MATCH(E$1,[2]quests!$1:$1,0)-MATCH($B$1,[2]quests!$1:$1,0)+1),MATCH(E$1,[2]quests!$1:$1,0)-MATCH($B$1,[2]quests!$1:$1,0)+1,FALSE)</f>
        <v>超大型巨人襲来！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【ウィザード級】超大型巨人襲来</v>
      </c>
      <c r="G6" s="21">
        <v>1</v>
      </c>
      <c r="H6" s="15" t="str">
        <f>B6&amp;"_"&amp;C6&amp;"-"&amp;G6</f>
        <v>49006_2-1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979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超大型巨人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ti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2.5</v>
      </c>
      <c r="U6" s="25">
        <v>1.6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7">
        <v>49006002</v>
      </c>
      <c r="Y6" s="70">
        <v>2</v>
      </c>
    </row>
    <row r="7" spans="1:25" ht="21" customHeight="1" x14ac:dyDescent="0.15">
      <c r="A7" s="16" t="str">
        <f t="shared" ref="A7:A9" si="6">B7&amp;"_"&amp;C7&amp;"-"&amp;G7&amp;"/"&amp;M7&amp;"&lt;lv"&amp;S7&amp;"&gt;sq"&amp;K7&amp;"st"&amp;L7</f>
        <v>49006_2-2/984&lt;lv60&gt;sq2st2</v>
      </c>
      <c r="B7" s="22">
        <v>49006</v>
      </c>
      <c r="C7" s="21">
        <v>2</v>
      </c>
      <c r="D7" s="2" t="str">
        <f t="shared" ref="D7:D9" si="7">B7&amp;"_"&amp;C7</f>
        <v>49006_2</v>
      </c>
      <c r="E7" s="4" t="str">
        <f ca="1">VLOOKUP($B7,OFFSET([2]quests!$A$1,0,0,COUNTA([2]quests!$A:$A),MATCH(E$1,[2]quests!$1:$1,0)-MATCH($B$1,[2]quests!$1:$1,0)+1),MATCH(E$1,[2]quests!$1:$1,0)-MATCH($B$1,[2]quests!$1:$1,0)+1,FALSE)</f>
        <v>超大型巨人襲来！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【ウィザード級】超大型巨人襲来</v>
      </c>
      <c r="G7" s="21">
        <v>2</v>
      </c>
      <c r="H7" s="15" t="str">
        <f t="shared" ref="H7:H9" si="8">B7&amp;"_"&amp;C7&amp;"-"&amp;G7</f>
        <v>49006_2-2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>
        <v>2</v>
      </c>
      <c r="L7" s="38">
        <v>2</v>
      </c>
      <c r="M7" s="20">
        <v>984</v>
      </c>
      <c r="N7" s="17" t="str">
        <f ca="1">VLOOKUP($M7,OFFSET([3]enemies!$A$1,0,0,COUNTA([3]enemies!$A:$A),MATCH(N$1,[3]enemies!$1:$1,0)-MATCH($M$1,[3]enemies!$1:$1,0)+1),MATCH(N$1,[3]enemies!$1:$1,0)-MATCH($M$1,[3]enemies!$1:$1,0)+1,FALSE)</f>
        <v>破壁の剛弾 鎧の巨人</v>
      </c>
      <c r="O7" s="17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ti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5">
        <v>1.5</v>
      </c>
      <c r="U7" s="25">
        <v>1.1000000000000001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47">
        <v>49006004</v>
      </c>
      <c r="Y7" s="70">
        <v>2</v>
      </c>
    </row>
    <row r="8" spans="1:25" ht="21" customHeight="1" x14ac:dyDescent="0.15">
      <c r="A8" s="16" t="str">
        <f t="shared" si="6"/>
        <v>49006_2-3/980&lt;lv80&gt;sq3st2</v>
      </c>
      <c r="B8" s="22">
        <v>49006</v>
      </c>
      <c r="C8" s="21">
        <v>2</v>
      </c>
      <c r="D8" s="2" t="str">
        <f t="shared" si="7"/>
        <v>49006_2</v>
      </c>
      <c r="E8" s="4" t="str">
        <f ca="1">VLOOKUP($B8,OFFSET([2]quests!$A$1,0,0,COUNTA([2]quests!$A:$A),MATCH(E$1,[2]quests!$1:$1,0)-MATCH($B$1,[2]quests!$1:$1,0)+1),MATCH(E$1,[2]quests!$1:$1,0)-MATCH($B$1,[2]quests!$1:$1,0)+1,FALSE)</f>
        <v>超大型巨人襲来！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【ウィザード級】超大型巨人襲来</v>
      </c>
      <c r="G8" s="21">
        <v>3</v>
      </c>
      <c r="H8" s="15" t="str">
        <f t="shared" si="8"/>
        <v>49006_2-3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38">
        <v>2</v>
      </c>
      <c r="M8" s="20">
        <v>980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猛熱の災厄 超大型巨人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ti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80</v>
      </c>
      <c r="T8" s="25">
        <v>3</v>
      </c>
      <c r="U8" s="25">
        <v>1.8</v>
      </c>
      <c r="V8" s="5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47">
        <v>49006006</v>
      </c>
      <c r="Y8" s="70">
        <v>1</v>
      </c>
    </row>
    <row r="9" spans="1:25" ht="21" customHeight="1" x14ac:dyDescent="0.15">
      <c r="A9" s="16" t="str">
        <f t="shared" si="6"/>
        <v>49006_2-3/980&lt;lv80&gt;sq3st3</v>
      </c>
      <c r="B9" s="22">
        <v>49006</v>
      </c>
      <c r="C9" s="21">
        <v>2</v>
      </c>
      <c r="D9" s="2" t="str">
        <f t="shared" si="7"/>
        <v>49006_2</v>
      </c>
      <c r="E9" s="4" t="str">
        <f ca="1">VLOOKUP($B9,OFFSET([2]quests!$A$1,0,0,COUNTA([2]quests!$A:$A),MATCH(E$1,[2]quests!$1:$1,0)-MATCH($B$1,[2]quests!$1:$1,0)+1),MATCH(E$1,[2]quests!$1:$1,0)-MATCH($B$1,[2]quests!$1:$1,0)+1,FALSE)</f>
        <v>超大型巨人襲来！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【ウィザード級】超大型巨人襲来</v>
      </c>
      <c r="G9" s="21">
        <v>3</v>
      </c>
      <c r="H9" s="15" t="str">
        <f t="shared" si="8"/>
        <v>49006_2-3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3</v>
      </c>
      <c r="L9" s="38">
        <v>3</v>
      </c>
      <c r="M9" s="20">
        <v>980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猛熱の災厄 超大型巨人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ti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5">
        <v>2.5</v>
      </c>
      <c r="U9" s="25">
        <v>2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47">
        <v>49006007</v>
      </c>
      <c r="Y9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8" sqref="C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49006001_49006001</v>
      </c>
      <c r="B2" s="47">
        <v>49006001</v>
      </c>
      <c r="C2" s="47">
        <v>49006001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戦闘用意！！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目標目の前！超大型巨人！</v>
      </c>
      <c r="F2" s="47">
        <v>49006001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>B3&amp;"_"&amp;C3</f>
        <v>49006001_49006002</v>
      </c>
      <c r="B3" s="47">
        <v>49006001</v>
      </c>
      <c r="C3" s="47">
        <v>49006002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……よう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5年ぶりだな…</v>
      </c>
      <c r="F3" s="47">
        <v>49006002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:A44" si="1">B4&amp;"_"&amp;C4</f>
        <v>49006002_49006006</v>
      </c>
      <c r="B4" s="47">
        <v>49006002</v>
      </c>
      <c r="C4" s="47">
        <v>49006006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（超大型巨人が現れた！）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爆風軽減＋状態異常無効</v>
      </c>
      <c r="F4" s="47">
        <v>49006006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49006002_49006007</v>
      </c>
      <c r="B5" s="47">
        <v>49006002</v>
      </c>
      <c r="C5" s="47">
        <v>49006007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叩き潰す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5" s="47">
        <v>49006007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49006002_49006008</v>
      </c>
      <c r="B6" s="47">
        <v>49006002</v>
      </c>
      <c r="C6" s="47">
        <v>49006008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（目の前を蒸気が覆い尽くす！）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1ターン暗闇</v>
      </c>
      <c r="F6" s="47">
        <v>49006008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2">B7&amp;"_"&amp;C7</f>
        <v>49006002_49006009</v>
      </c>
      <c r="B7" s="47">
        <v>49006002</v>
      </c>
      <c r="C7" s="47">
        <v>49006009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（目の前を蒸気が覆い尽くす！）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1ターン暗闇</v>
      </c>
      <c r="F7" s="47">
        <v>49006009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3">B8&amp;"_"&amp;C8</f>
        <v>49006002_49006010</v>
      </c>
      <c r="B8" s="47">
        <v>49006002</v>
      </c>
      <c r="C8" s="47">
        <v>49006010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超大型巨人（表示しない）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逃走演出（表示しない）</v>
      </c>
      <c r="F8" s="47">
        <v>49006010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49006003_49006011</v>
      </c>
      <c r="B9" s="47">
        <v>49006003</v>
      </c>
      <c r="C9" s="47">
        <v>49006011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硬質化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自身に防御力UP</v>
      </c>
      <c r="F9" s="47">
        <v>49006011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49006003_49006012</v>
      </c>
      <c r="B10" s="47">
        <v>49006003</v>
      </c>
      <c r="C10" s="47">
        <v>49006012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赤パネルを吸収して全体攻撃（最大8個）</v>
      </c>
      <c r="F10" s="47">
        <v>49006012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" s="47"/>
      <c r="Q10" s="47"/>
      <c r="R10" s="47"/>
    </row>
    <row r="11" spans="1:18" ht="21" customHeight="1" x14ac:dyDescent="0.15">
      <c r="A11" s="39" t="str">
        <f t="shared" si="1"/>
        <v>49006003_49006013</v>
      </c>
      <c r="B11" s="47">
        <v>49006003</v>
      </c>
      <c r="C11" s="47">
        <v>49006013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緑パネルを吸収して全体攻撃（最大8個）</v>
      </c>
      <c r="F11" s="47">
        <v>49006013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7"/>
      <c r="Q11" s="47"/>
      <c r="R11" s="47"/>
    </row>
    <row r="12" spans="1:18" ht="21" customHeight="1" x14ac:dyDescent="0.15">
      <c r="A12" s="39" t="str">
        <f t="shared" si="1"/>
        <v>49006003_49006015</v>
      </c>
      <c r="B12" s="47">
        <v>49006003</v>
      </c>
      <c r="C12" s="47">
        <v>49006015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黄パネルを吸収して全体攻撃（最大8個）</v>
      </c>
      <c r="F12" s="47">
        <v>49006015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2" s="47"/>
      <c r="Q12" s="47"/>
      <c r="R12" s="47"/>
    </row>
    <row r="13" spans="1:18" ht="21" customHeight="1" x14ac:dyDescent="0.15">
      <c r="A13" s="39" t="str">
        <f t="shared" si="1"/>
        <v>49006004_49006017</v>
      </c>
      <c r="B13" s="47">
        <v>49006004</v>
      </c>
      <c r="C13" s="47">
        <v>49006017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瞬発機動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13" s="47">
        <v>49006017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49006004_49006018</v>
      </c>
      <c r="B14" s="47">
        <v>49006004</v>
      </c>
      <c r="C14" s="47">
        <v>49006018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赤パネルを吸収して全体攻撃（最大8個）</v>
      </c>
      <c r="F14" s="47">
        <v>49006018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4" s="47"/>
      <c r="Q14" s="47"/>
      <c r="R14" s="47"/>
    </row>
    <row r="15" spans="1:18" ht="21" customHeight="1" x14ac:dyDescent="0.15">
      <c r="A15" s="39" t="str">
        <f t="shared" si="1"/>
        <v>49006004_49006019</v>
      </c>
      <c r="B15" s="47">
        <v>49006004</v>
      </c>
      <c r="C15" s="47">
        <v>49006019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緑パネルを吸収して全体攻撃（最大8個）</v>
      </c>
      <c r="F15" s="47">
        <v>49006019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" s="47"/>
      <c r="Q15" s="47"/>
      <c r="R15" s="47"/>
    </row>
    <row r="16" spans="1:18" ht="21" customHeight="1" x14ac:dyDescent="0.15">
      <c r="A16" s="39" t="str">
        <f t="shared" si="1"/>
        <v>49006004_49006021</v>
      </c>
      <c r="B16" s="47">
        <v>49006004</v>
      </c>
      <c r="C16" s="47">
        <v>49006021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黄パネルを吸収して全体攻撃（最大8個）</v>
      </c>
      <c r="F16" s="47">
        <v>49006021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6" s="47"/>
      <c r="Q16" s="47"/>
      <c r="R16" s="47"/>
    </row>
    <row r="17" spans="1:18" ht="21" customHeight="1" x14ac:dyDescent="0.15">
      <c r="A17" s="39" t="str">
        <f t="shared" si="1"/>
        <v>49006004_49006023</v>
      </c>
      <c r="B17" s="47">
        <v>49006004</v>
      </c>
      <c r="C17" s="47">
        <v>49006023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破壊の双拳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7" s="47">
        <v>49006023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49006005_49006027</v>
      </c>
      <c r="B18" s="47">
        <v>49006005</v>
      </c>
      <c r="C18" s="47">
        <v>49006027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因縁の怨敵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爆風軽減＋状態異常無効</v>
      </c>
      <c r="F18" s="47">
        <v>49006027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49006005_49006028</v>
      </c>
      <c r="B19" s="47">
        <v>49006005</v>
      </c>
      <c r="C19" s="47">
        <v>49006028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7">
        <v>49006028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7"/>
      <c r="Q19" s="47"/>
      <c r="R19" s="47"/>
    </row>
    <row r="20" spans="1:18" ht="21" customHeight="1" x14ac:dyDescent="0.15">
      <c r="A20" s="39" t="str">
        <f t="shared" si="1"/>
        <v>49006005_49006029</v>
      </c>
      <c r="B20" s="47">
        <v>49006005</v>
      </c>
      <c r="C20" s="47">
        <v>49006029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叩き潰す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" s="47">
        <v>49006029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7"/>
      <c r="Q20" s="47"/>
      <c r="R20" s="47"/>
    </row>
    <row r="21" spans="1:18" ht="21" customHeight="1" x14ac:dyDescent="0.15">
      <c r="A21" s="39" t="str">
        <f t="shared" si="1"/>
        <v>49006006_49006032</v>
      </c>
      <c r="B21" s="47">
        <v>49006006</v>
      </c>
      <c r="C21" s="47">
        <v>49006032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焼け付く蒸気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解除されるまでウィルス＋状態異常無効</v>
      </c>
      <c r="F21" s="47">
        <v>49006032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49006006_49006033</v>
      </c>
      <c r="B22" s="47">
        <v>49006006</v>
      </c>
      <c r="C22" s="47">
        <v>49006033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22" s="47">
        <v>49006033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2" s="47"/>
      <c r="Q22" s="47"/>
      <c r="R22" s="47"/>
    </row>
    <row r="23" spans="1:18" ht="21" customHeight="1" x14ac:dyDescent="0.15">
      <c r="A23" s="39" t="str">
        <f t="shared" si="1"/>
        <v>49006006_49006034</v>
      </c>
      <c r="B23" s="47">
        <v>49006006</v>
      </c>
      <c r="C23" s="47">
        <v>49006034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23" s="47">
        <v>49006034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7"/>
      <c r="Q23" s="47"/>
      <c r="R23" s="47"/>
    </row>
    <row r="24" spans="1:18" ht="21" customHeight="1" x14ac:dyDescent="0.15">
      <c r="A24" s="39" t="str">
        <f t="shared" si="1"/>
        <v>49006006_49006035</v>
      </c>
      <c r="B24" s="47">
        <v>49006006</v>
      </c>
      <c r="C24" s="47">
        <v>49006035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24" s="47">
        <v>49006035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47"/>
    </row>
    <row r="25" spans="1:18" ht="21" customHeight="1" x14ac:dyDescent="0.15">
      <c r="A25" s="39" t="str">
        <f t="shared" si="1"/>
        <v>49006006_49006036</v>
      </c>
      <c r="B25" s="47">
        <v>49006006</v>
      </c>
      <c r="C25" s="47">
        <v>49006036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叩き潰す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25" s="47">
        <v>49006036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5" s="47"/>
      <c r="Q25" s="47"/>
      <c r="R25" s="47"/>
    </row>
    <row r="26" spans="1:18" ht="21" customHeight="1" x14ac:dyDescent="0.15">
      <c r="A26" s="39" t="str">
        <f t="shared" si="1"/>
        <v>49006006_49006037</v>
      </c>
      <c r="B26" s="47">
        <v>49006006</v>
      </c>
      <c r="C26" s="47">
        <v>49006037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叩き潰す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26" s="47">
        <v>49006037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7"/>
      <c r="Q26" s="47"/>
      <c r="R26" s="47"/>
    </row>
    <row r="27" spans="1:18" ht="21" customHeight="1" x14ac:dyDescent="0.15">
      <c r="A27" s="39" t="str">
        <f t="shared" si="1"/>
        <v>49006006_49006038</v>
      </c>
      <c r="B27" s="47">
        <v>49006006</v>
      </c>
      <c r="C27" s="47">
        <v>49006038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叩き潰す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27" s="47">
        <v>49006038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si="1"/>
        <v>49006006_49006039</v>
      </c>
      <c r="B28" s="47">
        <v>49006006</v>
      </c>
      <c r="C28" s="47">
        <v>49006039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連続投石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4回連続攻撃_x000D_＋攻撃頻度がランダムに変わる！</v>
      </c>
      <c r="F28" s="47">
        <v>49006039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8" s="47"/>
      <c r="Q28" s="47"/>
      <c r="R28" s="47"/>
    </row>
    <row r="29" spans="1:18" ht="21" customHeight="1" x14ac:dyDescent="0.15">
      <c r="A29" s="39" t="str">
        <f t="shared" si="1"/>
        <v>49006006_49006040</v>
      </c>
      <c r="B29" s="47">
        <v>49006006</v>
      </c>
      <c r="C29" s="47">
        <v>49006040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連続投石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3回連続攻撃_x000D_＋攻撃頻度がランダムに変わる！</v>
      </c>
      <c r="F29" s="47">
        <v>49006040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si="1"/>
        <v>49006006_49006041</v>
      </c>
      <c r="B30" s="47">
        <v>49006006</v>
      </c>
      <c r="C30" s="47">
        <v>49006041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連続投石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5回連続攻撃_x000D_＋攻撃頻度がランダムに変わる！</v>
      </c>
      <c r="F30" s="47">
        <v>49006041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7"/>
      <c r="Q30" s="47"/>
      <c r="R30" s="47"/>
    </row>
    <row r="31" spans="1:18" ht="21" customHeight="1" x14ac:dyDescent="0.15">
      <c r="A31" s="39" t="str">
        <f t="shared" si="1"/>
        <v>49006006_49006042</v>
      </c>
      <c r="B31" s="47">
        <v>49006006</v>
      </c>
      <c r="C31" s="47">
        <v>49006042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なぎ倒し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47">
        <v>49006042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49006007_49006046</v>
      </c>
      <c r="B32" s="47">
        <v>49006007</v>
      </c>
      <c r="C32" s="47">
        <v>49006046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圧倒的な巨体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2" s="47">
        <v>49006046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49006007_49006047</v>
      </c>
      <c r="B33" s="47">
        <v>49006007</v>
      </c>
      <c r="C33" s="47">
        <v>49006047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33" s="47">
        <v>49006047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3" s="47"/>
      <c r="Q33" s="47"/>
      <c r="R33" s="47"/>
    </row>
    <row r="34" spans="1:18" ht="21" customHeight="1" x14ac:dyDescent="0.15">
      <c r="A34" s="39" t="str">
        <f t="shared" si="1"/>
        <v>49006007_49006048</v>
      </c>
      <c r="B34" s="47">
        <v>49006007</v>
      </c>
      <c r="C34" s="47">
        <v>49006048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34" s="47">
        <v>49006048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1"/>
        <v>49006007_49006049</v>
      </c>
      <c r="B35" s="47">
        <v>49006007</v>
      </c>
      <c r="C35" s="47">
        <v>49006049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なぎはらい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全体攻撃_x000D_＋攻撃頻度がランダムに変わる！</v>
      </c>
      <c r="F35" s="47">
        <v>49006049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5" s="47"/>
      <c r="Q35" s="47"/>
      <c r="R35" s="47"/>
    </row>
    <row r="36" spans="1:18" ht="21" customHeight="1" x14ac:dyDescent="0.15">
      <c r="A36" s="39" t="str">
        <f t="shared" si="1"/>
        <v>49006007_49006050</v>
      </c>
      <c r="B36" s="47">
        <v>49006007</v>
      </c>
      <c r="C36" s="47">
        <v>49006050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叩き潰す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36" s="47">
        <v>49006050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6" s="47"/>
      <c r="Q36" s="47"/>
      <c r="R36" s="47"/>
    </row>
    <row r="37" spans="1:18" ht="21" customHeight="1" x14ac:dyDescent="0.15">
      <c r="A37" s="39" t="str">
        <f t="shared" si="1"/>
        <v>49006007_49006051</v>
      </c>
      <c r="B37" s="47">
        <v>49006007</v>
      </c>
      <c r="C37" s="47">
        <v>49006051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叩き潰す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37" s="47">
        <v>49006051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7"/>
      <c r="Q37" s="47"/>
      <c r="R37" s="47"/>
    </row>
    <row r="38" spans="1:18" ht="21" customHeight="1" x14ac:dyDescent="0.15">
      <c r="A38" s="39" t="str">
        <f t="shared" si="1"/>
        <v>49006007_49006052</v>
      </c>
      <c r="B38" s="47">
        <v>49006007</v>
      </c>
      <c r="C38" s="47">
        <v>49006052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叩き潰す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クリティカル！_x000D_＋攻撃頻度がランダムに変わる！</v>
      </c>
      <c r="F38" s="47">
        <v>49006052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" s="47"/>
      <c r="Q38" s="47"/>
      <c r="R38" s="47"/>
    </row>
    <row r="39" spans="1:18" ht="21" customHeight="1" x14ac:dyDescent="0.15">
      <c r="A39" s="39" t="str">
        <f t="shared" si="1"/>
        <v>49006007_49006053</v>
      </c>
      <c r="B39" s="47">
        <v>49006007</v>
      </c>
      <c r="C39" s="47">
        <v>49006053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連続投石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4回連続攻撃_x000D_＋攻撃頻度がランダムに変わる！</v>
      </c>
      <c r="F39" s="47">
        <v>49006053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9" s="47"/>
      <c r="Q39" s="47"/>
      <c r="R39" s="47"/>
    </row>
    <row r="40" spans="1:18" ht="21" customHeight="1" x14ac:dyDescent="0.15">
      <c r="A40" s="39" t="str">
        <f t="shared" si="1"/>
        <v>49006007_49006054</v>
      </c>
      <c r="B40" s="47">
        <v>49006007</v>
      </c>
      <c r="C40" s="47">
        <v>49006054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連続投石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3回連続攻撃_x000D_＋攻撃頻度がランダムに変わる！</v>
      </c>
      <c r="F40" s="47">
        <v>49006054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7"/>
      <c r="Q40" s="47"/>
      <c r="R40" s="47"/>
    </row>
    <row r="41" spans="1:18" ht="21" customHeight="1" x14ac:dyDescent="0.15">
      <c r="A41" s="39" t="str">
        <f t="shared" si="1"/>
        <v>49006007_49006055</v>
      </c>
      <c r="B41" s="47">
        <v>49006007</v>
      </c>
      <c r="C41" s="47">
        <v>49006055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連続投石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5回連続攻撃_x000D_＋攻撃頻度がランダムに変わる！</v>
      </c>
      <c r="F41" s="47">
        <v>49006055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7"/>
      <c r="Q41" s="47"/>
      <c r="R41" s="47"/>
    </row>
    <row r="42" spans="1:18" ht="21" customHeight="1" x14ac:dyDescent="0.15">
      <c r="A42" s="39" t="str">
        <f t="shared" si="1"/>
        <v>49006007_49006056</v>
      </c>
      <c r="B42" s="47">
        <v>49006007</v>
      </c>
      <c r="C42" s="47">
        <v>49006056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超高熱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42" s="47">
        <v>49006056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49006007_49006057</v>
      </c>
      <c r="B43" s="47">
        <v>49006007</v>
      </c>
      <c r="C43" s="47">
        <v>49006057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超回復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一度だけHPを超回復</v>
      </c>
      <c r="F43" s="47">
        <v>49006057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49006007_49006058</v>
      </c>
      <c r="B44" s="47">
        <v>49006007</v>
      </c>
      <c r="C44" s="47">
        <v>49006058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絶望の拳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4" s="47">
        <v>49006058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53" si="4">B45&amp;"_"&amp;C45</f>
        <v>49006008_49006061</v>
      </c>
      <c r="B45" s="47">
        <v>49006008</v>
      </c>
      <c r="C45" s="47">
        <v>49006061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硬質化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自身に防御力UP</v>
      </c>
      <c r="F45" s="47">
        <v>49006011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4"/>
        <v>49006008_49006062</v>
      </c>
      <c r="B46" s="47">
        <v>49006008</v>
      </c>
      <c r="C46" s="47">
        <v>49006062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赤パネルを吸収して全体攻撃（最大7個）</v>
      </c>
      <c r="F46" s="47">
        <v>49006012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6" s="47"/>
      <c r="Q46" s="47"/>
      <c r="R46" s="47"/>
    </row>
    <row r="47" spans="1:18" ht="21" customHeight="1" x14ac:dyDescent="0.15">
      <c r="A47" s="39" t="str">
        <f t="shared" si="4"/>
        <v>49006008_49006063</v>
      </c>
      <c r="B47" s="47">
        <v>49006008</v>
      </c>
      <c r="C47" s="47">
        <v>49006063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緑パネルを吸収して全体攻撃（最大7個）</v>
      </c>
      <c r="F47" s="47">
        <v>49006013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7" s="47"/>
      <c r="Q47" s="47"/>
      <c r="R47" s="47"/>
    </row>
    <row r="48" spans="1:18" ht="21" customHeight="1" x14ac:dyDescent="0.15">
      <c r="A48" s="39" t="str">
        <f t="shared" si="4"/>
        <v>49006008_49006065</v>
      </c>
      <c r="B48" s="47">
        <v>49006008</v>
      </c>
      <c r="C48" s="47">
        <v>49006065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黄パネルを吸収して全体攻撃（最大7個）</v>
      </c>
      <c r="F48" s="47">
        <v>49006015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8" s="47"/>
      <c r="Q48" s="47"/>
      <c r="R48" s="47"/>
    </row>
    <row r="49" spans="1:18" ht="21" customHeight="1" x14ac:dyDescent="0.15">
      <c r="A49" s="39" t="str">
        <f t="shared" si="4"/>
        <v>49006009_49006067</v>
      </c>
      <c r="B49" s="47">
        <v>49006009</v>
      </c>
      <c r="C49" s="47">
        <v>49006067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瞬発機動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49" s="47">
        <v>49006017</v>
      </c>
      <c r="G49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9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9" s="47"/>
      <c r="Q49" s="47"/>
      <c r="R49" s="47"/>
    </row>
    <row r="50" spans="1:18" ht="21" customHeight="1" x14ac:dyDescent="0.15">
      <c r="A50" s="39" t="str">
        <f t="shared" si="4"/>
        <v>49006009_49006068</v>
      </c>
      <c r="B50" s="47">
        <v>49006009</v>
      </c>
      <c r="C50" s="47">
        <v>49006068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赤パネルを吸収して全体攻撃（最大7個）</v>
      </c>
      <c r="F50" s="47">
        <v>49006018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0" s="47"/>
      <c r="Q50" s="47"/>
      <c r="R50" s="47"/>
    </row>
    <row r="51" spans="1:18" ht="21" customHeight="1" x14ac:dyDescent="0.15">
      <c r="A51" s="39" t="str">
        <f t="shared" si="4"/>
        <v>49006009_49006069</v>
      </c>
      <c r="B51" s="47">
        <v>49006009</v>
      </c>
      <c r="C51" s="47">
        <v>49006069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緑パネルを吸収して全体攻撃（最大7個）</v>
      </c>
      <c r="F51" s="47">
        <v>49006019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1" s="47"/>
      <c r="Q51" s="47"/>
      <c r="R51" s="47"/>
    </row>
    <row r="52" spans="1:18" ht="21" customHeight="1" x14ac:dyDescent="0.15">
      <c r="A52" s="39" t="str">
        <f t="shared" si="4"/>
        <v>49006009_49006071</v>
      </c>
      <c r="B52" s="47">
        <v>49006009</v>
      </c>
      <c r="C52" s="47">
        <v>49006071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（瓦礫の中を突っ込んでくる！）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黄パネルを吸収して全体攻撃（最大7個）</v>
      </c>
      <c r="F52" s="47">
        <v>49006021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2" s="47"/>
      <c r="Q52" s="47"/>
      <c r="R52" s="47"/>
    </row>
    <row r="53" spans="1:18" ht="21" customHeight="1" x14ac:dyDescent="0.15">
      <c r="A53" s="39" t="str">
        <f t="shared" si="4"/>
        <v>49006009_49006073</v>
      </c>
      <c r="B53" s="47">
        <v>49006009</v>
      </c>
      <c r="C53" s="47">
        <v>49006073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破壊の双拳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3" s="47">
        <v>49006023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7"/>
  <sheetViews>
    <sheetView showGridLines="0" tabSelected="1" zoomScaleNormal="75" zoomScalePageLayoutView="75" workbookViewId="0">
      <pane ySplit="1" topLeftCell="A17" activePane="bottomLeft" state="frozenSplit"/>
      <selection pane="bottomLeft" activeCell="F17" sqref="F17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4.6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49006001</v>
      </c>
      <c r="B2" s="47" t="s">
        <v>275</v>
      </c>
      <c r="C2" s="50">
        <v>3</v>
      </c>
      <c r="D2" s="50" t="s">
        <v>128</v>
      </c>
      <c r="E2" s="51" t="s">
        <v>222</v>
      </c>
      <c r="F2" s="51" t="s">
        <v>277</v>
      </c>
      <c r="G2" s="63" t="str">
        <f>IFERROR(LEFT(B2,FIND("],",B2)),B2)</f>
        <v>[effect:sleep, target:unit_all, turn:1, rate:1, calc_type:target_one]</v>
      </c>
      <c r="H2" s="63">
        <f>FIND("effect:",G2)+7</f>
        <v>9</v>
      </c>
      <c r="I2" s="63">
        <f>IFERROR(FIND(",",G2),LEN(G2))</f>
        <v>14</v>
      </c>
      <c r="J2" s="63">
        <f>FIND("target:",G2)+7</f>
        <v>23</v>
      </c>
      <c r="K2" s="63">
        <f>FIND(",",G2,I2+1)</f>
        <v>31</v>
      </c>
      <c r="L2" s="63" t="str">
        <f>IFERROR(VLOOKUP(MID(G2,J2,K2-J2),[6]skilldef!$C:$D,2,FALSE),"-") &amp; " / " &amp; IFERROR(VLOOKUP(MID(G2,H2,I2-H2),[6]skilldef!$A:$B,2,FALSE),"-")</f>
        <v>味方全体に / スリープ</v>
      </c>
      <c r="M2" s="63" t="str">
        <f>IFERROR(RIGHT(B2,LEN(B2)-FIND("],",B2)-1),"none")</f>
        <v>[effect:fix_speed, target:enemy_all, turn:1]</v>
      </c>
      <c r="N2" s="48" t="str">
        <f>IFERROR(LEFT(M2,FIND("],",M2)+S9),M2)</f>
        <v>[effect:fix_speed, target:enemy_all, turn:1]</v>
      </c>
      <c r="O2" s="63">
        <f>FIND("effect:",N2)+7</f>
        <v>9</v>
      </c>
      <c r="P2" s="63">
        <f>IFERROR(FIND(",",N2),LEN(N2))</f>
        <v>18</v>
      </c>
      <c r="Q2" s="63">
        <f>FIND("target:",N2)+7</f>
        <v>27</v>
      </c>
      <c r="R2" s="63">
        <f>FIND(",",N2,P2+1)</f>
        <v>36</v>
      </c>
      <c r="S2" s="63" t="str">
        <f>IFERROR(VLOOKUP(MID(N2,Q2,R2-Q2),[6]skilldef!$C:$D,2,FALSE),"-") &amp; " / " &amp; IFERROR(VLOOKUP(MID(N2,O2,P2-O2),[6]skilldef!$A:$B,2,FALSE),"-")</f>
        <v>敵全体に / 行動値設定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49006002</v>
      </c>
      <c r="B3" s="47" t="s">
        <v>224</v>
      </c>
      <c r="C3" s="50">
        <v>3</v>
      </c>
      <c r="D3" s="50" t="s">
        <v>128</v>
      </c>
      <c r="E3" s="51" t="s">
        <v>225</v>
      </c>
      <c r="F3" s="51" t="s">
        <v>223</v>
      </c>
      <c r="G3" s="63" t="str">
        <f t="shared" ref="G3:G48" si="0">IFERROR(LEFT(B3,FIND("],",B3)),B3)</f>
        <v>[effect:suicide, val:1, dead_type:escape, target:myself]</v>
      </c>
      <c r="H3" s="63">
        <f t="shared" ref="H3:H48" si="1">FIND("effect:",G3)+7</f>
        <v>9</v>
      </c>
      <c r="I3" s="63">
        <f t="shared" ref="I3:I48" si="2">IFERROR(FIND(",",G3),LEN(G3))</f>
        <v>16</v>
      </c>
      <c r="J3" s="63">
        <f t="shared" ref="J3:J48" si="3">FIND("target:",G3)+7</f>
        <v>50</v>
      </c>
      <c r="K3" s="63">
        <f t="shared" ref="K3:K48" si="4">FIND(",",G3,I3+1)</f>
        <v>23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48" si="5">IFERROR(RIGHT(B3,LEN(B3)-FIND("],",B3)-1),"none")</f>
        <v>none</v>
      </c>
      <c r="N3" s="48" t="str">
        <f>IFERROR(LEFT(M3,FIND("],",M3)+S10),M3)</f>
        <v>none</v>
      </c>
      <c r="O3" s="63" t="e">
        <f t="shared" ref="O3:O48" si="6">FIND("effect:",N3)+7</f>
        <v>#VALUE!</v>
      </c>
      <c r="P3" s="63">
        <f t="shared" ref="P3:P48" si="7">IFERROR(FIND(",",N3),LEN(N3))</f>
        <v>4</v>
      </c>
      <c r="Q3" s="63" t="e">
        <f t="shared" ref="Q3:Q48" si="8">FIND("target:",N3)+7</f>
        <v>#VALUE!</v>
      </c>
      <c r="R3" s="63" t="e">
        <f t="shared" ref="R3:R48" si="9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48" si="10">IFERROR(RIGHT(M3,LEN(M3)-FIND("],",M3)-1),"none")</f>
        <v>none</v>
      </c>
      <c r="U3" s="63" t="e">
        <f t="shared" ref="U3:U48" si="11">FIND("effect:",T3)+7</f>
        <v>#VALUE!</v>
      </c>
      <c r="V3" s="63">
        <f t="shared" ref="V3:V48" si="12">IFERROR(FIND(",",T3),LEN(T3))</f>
        <v>4</v>
      </c>
      <c r="W3" s="63" t="e">
        <f t="shared" ref="W3:W48" si="13">FIND("target:",T3)+7</f>
        <v>#VALUE!</v>
      </c>
      <c r="X3" s="63" t="e">
        <f t="shared" ref="X3:X48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49006006</v>
      </c>
      <c r="B4" s="47" t="s">
        <v>276</v>
      </c>
      <c r="C4" s="50">
        <v>3</v>
      </c>
      <c r="D4" s="50" t="s">
        <v>128</v>
      </c>
      <c r="E4" s="51" t="s">
        <v>271</v>
      </c>
      <c r="F4" s="51" t="s">
        <v>238</v>
      </c>
      <c r="G4" s="63" t="str">
        <f t="shared" si="0"/>
        <v>[effect:change_bomb_range, turn:-1, target:unit_all, val:0.5, rate:1, animation:bomb_small]</v>
      </c>
      <c r="H4" s="63">
        <f t="shared" si="1"/>
        <v>9</v>
      </c>
      <c r="I4" s="63">
        <f t="shared" si="2"/>
        <v>26</v>
      </c>
      <c r="J4" s="63">
        <f t="shared" si="3"/>
        <v>44</v>
      </c>
      <c r="K4" s="63">
        <f t="shared" si="4"/>
        <v>35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[effect:tolerance, target:myself, turn:-1, tolerance_effect:all, count:-1, animation:enemy_tolerance]</v>
      </c>
      <c r="N4" s="48" t="str">
        <f t="shared" ref="N4:N38" si="15">IFERROR(LEFT(M4,FIND("],",M4)+S14),M4)</f>
        <v>[effect:tolerance, target:myself, turn:-1, tolerance_effect:all, count:-1, animation:enemy_tolerance]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IFERROR(VLOOKUP(MID(N4,Q4,R4-Q4),[6]skilldef!$C:$D,2,FALSE),"-") &amp; " / " &amp; IFERROR(VLOOKUP(MID(N4,O4,P4-O4),[6]skilldef!$A:$B,2,FALSE),"-")</f>
        <v>自分自身に / 状態異常耐性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49006007</v>
      </c>
      <c r="B5" s="47" t="s">
        <v>219</v>
      </c>
      <c r="C5" s="50">
        <v>3</v>
      </c>
      <c r="D5" s="50" t="s">
        <v>128</v>
      </c>
      <c r="E5" s="51" t="s">
        <v>244</v>
      </c>
      <c r="F5" s="51" t="s">
        <v>217</v>
      </c>
      <c r="G5" s="63" t="str">
        <f t="shared" si="0"/>
        <v>[effect:critical, val:1.4]</v>
      </c>
      <c r="H5" s="63">
        <f t="shared" si="1"/>
        <v>9</v>
      </c>
      <c r="I5" s="63">
        <f t="shared" si="2"/>
        <v>17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IFERROR(VLOOKUP(MID(G5,J5,K5-J5),[6]skilldef!$C:$D,2,FALSE),"-") &amp; " / " &amp; IFERROR(VLOOKUP(MID(G5,H5,I5-H5),[6]skilldef!$A:$B,2,FALSE),"-")</f>
        <v>- / 大攻撃</v>
      </c>
      <c r="M5" s="63" t="str">
        <f t="shared" si="5"/>
        <v>none</v>
      </c>
      <c r="N5" s="48" t="str">
        <f t="shared" si="15"/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49006008</v>
      </c>
      <c r="B6" s="47" t="s">
        <v>246</v>
      </c>
      <c r="C6" s="50">
        <v>3</v>
      </c>
      <c r="D6" s="50" t="s">
        <v>128</v>
      </c>
      <c r="E6" s="51" t="s">
        <v>272</v>
      </c>
      <c r="F6" s="51" t="s">
        <v>324</v>
      </c>
      <c r="G6" s="63" t="str">
        <f t="shared" si="0"/>
        <v>[effect:dark, target:unit_all, turn:1]</v>
      </c>
      <c r="H6" s="63">
        <f t="shared" si="1"/>
        <v>9</v>
      </c>
      <c r="I6" s="63">
        <f t="shared" si="2"/>
        <v>13</v>
      </c>
      <c r="J6" s="63">
        <f t="shared" si="3"/>
        <v>22</v>
      </c>
      <c r="K6" s="63">
        <f t="shared" si="4"/>
        <v>30</v>
      </c>
      <c r="L6" s="63" t="str">
        <f>IFERROR(VLOOKUP(MID(G6,J6,K6-J6),[6]skilldef!$C:$D,2,FALSE),"-") &amp; " / " &amp; IFERROR(VLOOKUP(MID(G6,H6,I6-H6),[6]skilldef!$A:$B,2,FALSE),"-")</f>
        <v>味方全体に / 暗黒</v>
      </c>
      <c r="M6" s="63" t="str">
        <f t="shared" si="5"/>
        <v>[effect:suicide, val:1, dead_type:escape, target:myself, animation:enemy_escape]</v>
      </c>
      <c r="N6" s="48" t="str">
        <f t="shared" si="15"/>
        <v>[effect:suicide, val:1, dead_type:escape, target:myself, animation:enemy_escape]</v>
      </c>
      <c r="O6" s="63">
        <f t="shared" si="6"/>
        <v>9</v>
      </c>
      <c r="P6" s="63">
        <f t="shared" si="7"/>
        <v>16</v>
      </c>
      <c r="Q6" s="63">
        <f t="shared" si="8"/>
        <v>50</v>
      </c>
      <c r="R6" s="63">
        <f t="shared" si="9"/>
        <v>23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49006009</v>
      </c>
      <c r="B7" s="47" t="s">
        <v>246</v>
      </c>
      <c r="C7" s="50">
        <v>3</v>
      </c>
      <c r="D7" s="50" t="s">
        <v>128</v>
      </c>
      <c r="E7" s="51" t="s">
        <v>272</v>
      </c>
      <c r="F7" s="51" t="s">
        <v>324</v>
      </c>
      <c r="G7" s="63" t="str">
        <f t="shared" si="0"/>
        <v>[effect:dark, target:unit_all, turn:1]</v>
      </c>
      <c r="H7" s="63">
        <f t="shared" si="1"/>
        <v>9</v>
      </c>
      <c r="I7" s="63">
        <f t="shared" si="2"/>
        <v>13</v>
      </c>
      <c r="J7" s="63">
        <f t="shared" si="3"/>
        <v>22</v>
      </c>
      <c r="K7" s="63">
        <f t="shared" si="4"/>
        <v>30</v>
      </c>
      <c r="L7" s="63" t="str">
        <f>IFERROR(VLOOKUP(MID(G7,J7,K7-J7),[6]skilldef!$C:$D,2,FALSE),"-") &amp; " / " &amp; IFERROR(VLOOKUP(MID(G7,H7,I7-H7),[6]skilldef!$A:$B,2,FALSE),"-")</f>
        <v>味方全体に / 暗黒</v>
      </c>
      <c r="M7" s="63" t="str">
        <f t="shared" si="5"/>
        <v>[effect:suicide, val:1, dead_type:escape, target:myself, animation:enemy_escape]</v>
      </c>
      <c r="N7" s="48" t="str">
        <f t="shared" si="15"/>
        <v>[effect:suicide, val:1, dead_type:escape, target:myself, animation:enemy_escape]</v>
      </c>
      <c r="O7" s="63">
        <f t="shared" si="6"/>
        <v>9</v>
      </c>
      <c r="P7" s="63">
        <f t="shared" si="7"/>
        <v>16</v>
      </c>
      <c r="Q7" s="63">
        <f t="shared" si="8"/>
        <v>50</v>
      </c>
      <c r="R7" s="63">
        <f t="shared" si="9"/>
        <v>23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49006010</v>
      </c>
      <c r="B8" s="47" t="s">
        <v>274</v>
      </c>
      <c r="C8" s="50">
        <v>3</v>
      </c>
      <c r="D8" s="50" t="s">
        <v>128</v>
      </c>
      <c r="E8" s="51" t="s">
        <v>326</v>
      </c>
      <c r="F8" s="51" t="s">
        <v>325</v>
      </c>
      <c r="G8" s="63" t="str">
        <f t="shared" si="0"/>
        <v>[effect:enemy_message, val1:0, val2:0, dead_type:escape]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30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none</v>
      </c>
      <c r="N8" s="48" t="str">
        <f t="shared" si="15"/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49006011</v>
      </c>
      <c r="B9" s="47" t="s">
        <v>232</v>
      </c>
      <c r="C9" s="50">
        <v>3</v>
      </c>
      <c r="D9" s="50" t="s">
        <v>128</v>
      </c>
      <c r="E9" s="51" t="s">
        <v>233</v>
      </c>
      <c r="F9" s="51" t="s">
        <v>327</v>
      </c>
      <c r="G9" s="63" t="str">
        <f t="shared" si="0"/>
        <v>[effect:fix_speed, target:myself, turn:2]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33</v>
      </c>
      <c r="L9" s="63" t="str">
        <f>IFERROR(VLOOKUP(MID(G9,J9,K9-J9),[6]skilldef!$C:$D,2,FALSE),"-") &amp; " / " &amp; IFERROR(VLOOKUP(MID(G9,H9,I9-H9),[6]skilldef!$A:$B,2,FALSE),"-")</f>
        <v>自分自身に / 行動値設定</v>
      </c>
      <c r="M9" s="63" t="str">
        <f t="shared" si="5"/>
        <v>[effect:enhance_enemy, target:myself, turn:-1, status:defense, val:3000, calc:add, animation:enemy_enhance_defense]</v>
      </c>
      <c r="N9" s="48" t="str">
        <f t="shared" si="15"/>
        <v>[effect:enhance_enemy, target:myself, turn:-1, status:defense, val:3000, calc:add, animation:enemy_enhance_defense]</v>
      </c>
      <c r="O9" s="63">
        <f t="shared" si="6"/>
        <v>9</v>
      </c>
      <c r="P9" s="63">
        <f t="shared" si="7"/>
        <v>22</v>
      </c>
      <c r="Q9" s="63">
        <f t="shared" si="8"/>
        <v>31</v>
      </c>
      <c r="R9" s="63">
        <f t="shared" si="9"/>
        <v>37</v>
      </c>
      <c r="S9" s="63" t="str">
        <f>IFERROR(VLOOKUP(MID(N9,Q9,R9-Q9),[6]skilldef!$C:$D,2,FALSE),"-") &amp; " / " &amp; IFERROR(VLOOKUP(MID(N9,O9,P9-O9),[6]skilldef!$A:$B,2,FALSE),"-")</f>
        <v>自分自身に / ステータス強化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49006012</v>
      </c>
      <c r="B10" s="47" t="s">
        <v>262</v>
      </c>
      <c r="C10" s="50">
        <v>3</v>
      </c>
      <c r="D10" s="50" t="s">
        <v>128</v>
      </c>
      <c r="E10" s="51" t="s">
        <v>273</v>
      </c>
      <c r="F10" s="51" t="s">
        <v>328</v>
      </c>
      <c r="G10" s="63" t="str">
        <f t="shared" si="0"/>
        <v xml:space="preserve">[effect:break_attack_fix, val:120, lowest_val:1500, count:8, block:block_red, target:unit_all]    </v>
      </c>
      <c r="H10" s="63">
        <f t="shared" si="1"/>
        <v>9</v>
      </c>
      <c r="I10" s="63">
        <f t="shared" si="2"/>
        <v>25</v>
      </c>
      <c r="J10" s="63">
        <f t="shared" si="3"/>
        <v>86</v>
      </c>
      <c r="K10" s="63">
        <f t="shared" si="4"/>
        <v>34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15"/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49006013</v>
      </c>
      <c r="B11" s="47" t="s">
        <v>263</v>
      </c>
      <c r="C11" s="50">
        <v>3</v>
      </c>
      <c r="D11" s="50" t="s">
        <v>128</v>
      </c>
      <c r="E11" s="51" t="s">
        <v>273</v>
      </c>
      <c r="F11" s="51" t="s">
        <v>329</v>
      </c>
      <c r="G11" s="63" t="str">
        <f t="shared" si="0"/>
        <v xml:space="preserve">[effect:break_attack_fix, val:120, lowest_val:1500, count:8, block:block_green, target:unit_all]    </v>
      </c>
      <c r="H11" s="63">
        <f t="shared" si="1"/>
        <v>9</v>
      </c>
      <c r="I11" s="63">
        <f t="shared" si="2"/>
        <v>25</v>
      </c>
      <c r="J11" s="63">
        <f t="shared" si="3"/>
        <v>88</v>
      </c>
      <c r="K11" s="63">
        <f t="shared" si="4"/>
        <v>34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none</v>
      </c>
      <c r="N11" s="48" t="str">
        <f t="shared" si="15"/>
        <v>none</v>
      </c>
      <c r="O11" s="63" t="e">
        <f t="shared" si="6"/>
        <v>#VALUE!</v>
      </c>
      <c r="P11" s="63">
        <f t="shared" si="7"/>
        <v>4</v>
      </c>
      <c r="Q11" s="63" t="e">
        <f t="shared" si="8"/>
        <v>#VALUE!</v>
      </c>
      <c r="R11" s="63" t="e">
        <f t="shared" si="9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49006014</v>
      </c>
      <c r="B12" s="47" t="s">
        <v>264</v>
      </c>
      <c r="C12" s="50">
        <v>3</v>
      </c>
      <c r="D12" s="50" t="s">
        <v>128</v>
      </c>
      <c r="E12" s="51" t="s">
        <v>273</v>
      </c>
      <c r="F12" s="51" t="s">
        <v>330</v>
      </c>
      <c r="G12" s="63" t="str">
        <f t="shared" si="0"/>
        <v xml:space="preserve">[effect:break_attack_fix, val:120, lowest_val:1500, count:8, block:block_blue, target:unit_all]      </v>
      </c>
      <c r="H12" s="63">
        <f t="shared" si="1"/>
        <v>9</v>
      </c>
      <c r="I12" s="63">
        <f t="shared" si="2"/>
        <v>25</v>
      </c>
      <c r="J12" s="63">
        <f t="shared" si="3"/>
        <v>87</v>
      </c>
      <c r="K12" s="63">
        <f t="shared" si="4"/>
        <v>34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>none</v>
      </c>
      <c r="N12" s="48" t="str">
        <f>IFERROR(LEFT(M12,FIND("],",M12)+#REF!),M12)</f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49006015</v>
      </c>
      <c r="B13" s="47" t="s">
        <v>265</v>
      </c>
      <c r="C13" s="50">
        <v>3</v>
      </c>
      <c r="D13" s="50" t="s">
        <v>128</v>
      </c>
      <c r="E13" s="51" t="s">
        <v>273</v>
      </c>
      <c r="F13" s="51" t="s">
        <v>331</v>
      </c>
      <c r="G13" s="63" t="str">
        <f t="shared" si="0"/>
        <v xml:space="preserve">[effect:break_attack_fix, val:120, lowest_val:1500, count:8, block:block_yellow, target:unit_all]    </v>
      </c>
      <c r="H13" s="63">
        <f t="shared" si="1"/>
        <v>9</v>
      </c>
      <c r="I13" s="63">
        <f t="shared" si="2"/>
        <v>25</v>
      </c>
      <c r="J13" s="63">
        <f t="shared" si="3"/>
        <v>89</v>
      </c>
      <c r="K13" s="63">
        <f t="shared" si="4"/>
        <v>34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>none</v>
      </c>
      <c r="N13" s="48" t="str">
        <f>IFERROR(LEFT(M13,FIND("],",M13)+#REF!),M13)</f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49006016</v>
      </c>
      <c r="B14" s="47" t="s">
        <v>266</v>
      </c>
      <c r="C14" s="50">
        <v>3</v>
      </c>
      <c r="D14" s="50" t="s">
        <v>128</v>
      </c>
      <c r="E14" s="51" t="s">
        <v>273</v>
      </c>
      <c r="F14" s="51" t="s">
        <v>332</v>
      </c>
      <c r="G14" s="63" t="str">
        <f t="shared" si="0"/>
        <v xml:space="preserve">[effect:break_attack_fix, val:120, lowest_val:1500, count:8, block:block_heart, target:unit_all]    </v>
      </c>
      <c r="H14" s="63">
        <f t="shared" si="1"/>
        <v>9</v>
      </c>
      <c r="I14" s="63">
        <f t="shared" si="2"/>
        <v>25</v>
      </c>
      <c r="J14" s="63">
        <f t="shared" si="3"/>
        <v>88</v>
      </c>
      <c r="K14" s="63">
        <f t="shared" si="4"/>
        <v>34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>none</v>
      </c>
      <c r="N14" s="48" t="str">
        <f>IFERROR(LEFT(M14,FIND("],",M14)+#REF!),M14)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49006017</v>
      </c>
      <c r="B15" s="47" t="s">
        <v>221</v>
      </c>
      <c r="C15" s="50">
        <v>3</v>
      </c>
      <c r="D15" s="50" t="s">
        <v>128</v>
      </c>
      <c r="E15" s="51" t="s">
        <v>234</v>
      </c>
      <c r="F15" s="51" t="s">
        <v>235</v>
      </c>
      <c r="G15" s="63" t="str">
        <f t="shared" si="0"/>
        <v>[effect:fix_speed, target:enemy_all, turn:1]</v>
      </c>
      <c r="H15" s="63">
        <f t="shared" si="1"/>
        <v>9</v>
      </c>
      <c r="I15" s="63">
        <f t="shared" si="2"/>
        <v>18</v>
      </c>
      <c r="J15" s="63">
        <f t="shared" si="3"/>
        <v>27</v>
      </c>
      <c r="K15" s="63">
        <f t="shared" si="4"/>
        <v>36</v>
      </c>
      <c r="L15" s="63" t="str">
        <f>IFERROR(VLOOKUP(MID(G15,J15,K15-J15),[6]skilldef!$C:$D,2,FALSE),"-") &amp; " / " &amp; IFERROR(VLOOKUP(MID(G15,H15,I15-H15),[6]skilldef!$A:$B,2,FALSE),"-")</f>
        <v>敵全体に / 行動値設定</v>
      </c>
      <c r="M15" s="63" t="str">
        <f t="shared" si="5"/>
        <v>none</v>
      </c>
      <c r="N15" s="48" t="str">
        <f>IFERROR(LEFT(M15,FIND("],",M15)+S22),M15)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49006018</v>
      </c>
      <c r="B16" s="47" t="s">
        <v>262</v>
      </c>
      <c r="C16" s="50">
        <v>3</v>
      </c>
      <c r="D16" s="50" t="s">
        <v>128</v>
      </c>
      <c r="E16" s="51" t="s">
        <v>273</v>
      </c>
      <c r="F16" s="51" t="s">
        <v>328</v>
      </c>
      <c r="G16" s="63" t="str">
        <f t="shared" si="0"/>
        <v xml:space="preserve">[effect:break_attack_fix, val:120, lowest_val:1500, count:8, block:block_red, target:unit_all]    </v>
      </c>
      <c r="H16" s="63">
        <f t="shared" si="1"/>
        <v>9</v>
      </c>
      <c r="I16" s="63">
        <f t="shared" si="2"/>
        <v>25</v>
      </c>
      <c r="J16" s="63">
        <f t="shared" si="3"/>
        <v>86</v>
      </c>
      <c r="K16" s="63">
        <f t="shared" si="4"/>
        <v>34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none</v>
      </c>
      <c r="N16" s="48" t="str">
        <f>IFERROR(LEFT(M16,FIND("],",M16)+S23),M16)</f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49006019</v>
      </c>
      <c r="B17" s="47" t="s">
        <v>263</v>
      </c>
      <c r="C17" s="50">
        <v>3</v>
      </c>
      <c r="D17" s="50" t="s">
        <v>128</v>
      </c>
      <c r="E17" s="51" t="s">
        <v>273</v>
      </c>
      <c r="F17" s="51" t="s">
        <v>329</v>
      </c>
      <c r="G17" s="63" t="str">
        <f t="shared" si="0"/>
        <v xml:space="preserve">[effect:break_attack_fix, val:120, lowest_val:1500, count:8, block:block_green, target:unit_all]    </v>
      </c>
      <c r="H17" s="63">
        <f t="shared" si="1"/>
        <v>9</v>
      </c>
      <c r="I17" s="63">
        <f t="shared" si="2"/>
        <v>25</v>
      </c>
      <c r="J17" s="63">
        <f t="shared" si="3"/>
        <v>88</v>
      </c>
      <c r="K17" s="63">
        <f t="shared" si="4"/>
        <v>34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none</v>
      </c>
      <c r="N17" s="48" t="str">
        <f>IFERROR(LEFT(M17,FIND("],",M17)+S24),M17)</f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49006020</v>
      </c>
      <c r="B18" s="47" t="s">
        <v>264</v>
      </c>
      <c r="C18" s="50">
        <v>3</v>
      </c>
      <c r="D18" s="50" t="s">
        <v>128</v>
      </c>
      <c r="E18" s="51" t="s">
        <v>273</v>
      </c>
      <c r="F18" s="51" t="s">
        <v>330</v>
      </c>
      <c r="G18" s="63" t="str">
        <f t="shared" si="0"/>
        <v xml:space="preserve">[effect:break_attack_fix, val:120, lowest_val:1500, count:8, block:block_blue, target:unit_all]      </v>
      </c>
      <c r="H18" s="63">
        <f t="shared" si="1"/>
        <v>9</v>
      </c>
      <c r="I18" s="63">
        <f t="shared" si="2"/>
        <v>25</v>
      </c>
      <c r="J18" s="63">
        <f t="shared" si="3"/>
        <v>87</v>
      </c>
      <c r="K18" s="63">
        <f t="shared" si="4"/>
        <v>34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none</v>
      </c>
      <c r="N18" s="48" t="str">
        <f>IFERROR(LEFT(M18,FIND("],",M18)+#REF!),M18)</f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49006021</v>
      </c>
      <c r="B19" s="47" t="s">
        <v>265</v>
      </c>
      <c r="C19" s="50">
        <v>3</v>
      </c>
      <c r="D19" s="50" t="s">
        <v>128</v>
      </c>
      <c r="E19" s="51" t="s">
        <v>273</v>
      </c>
      <c r="F19" s="51" t="s">
        <v>331</v>
      </c>
      <c r="G19" s="63" t="str">
        <f t="shared" si="0"/>
        <v xml:space="preserve">[effect:break_attack_fix, val:120, lowest_val:1500, count:8, block:block_yellow, target:unit_all]    </v>
      </c>
      <c r="H19" s="63">
        <f t="shared" si="1"/>
        <v>9</v>
      </c>
      <c r="I19" s="63">
        <f t="shared" si="2"/>
        <v>25</v>
      </c>
      <c r="J19" s="63">
        <f t="shared" si="3"/>
        <v>89</v>
      </c>
      <c r="K19" s="63">
        <f t="shared" si="4"/>
        <v>34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8" t="str">
        <f>IFERROR(LEFT(M19,FIND("],",M19)+#REF!),M19)</f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49006022</v>
      </c>
      <c r="B20" s="47" t="s">
        <v>266</v>
      </c>
      <c r="C20" s="50">
        <v>3</v>
      </c>
      <c r="D20" s="50" t="s">
        <v>128</v>
      </c>
      <c r="E20" s="51" t="s">
        <v>273</v>
      </c>
      <c r="F20" s="51" t="s">
        <v>332</v>
      </c>
      <c r="G20" s="63" t="str">
        <f t="shared" si="0"/>
        <v xml:space="preserve">[effect:break_attack_fix, val:120, lowest_val:1500, count:8, block:block_heart, target:unit_all]    </v>
      </c>
      <c r="H20" s="63">
        <f t="shared" si="1"/>
        <v>9</v>
      </c>
      <c r="I20" s="63">
        <f t="shared" si="2"/>
        <v>25</v>
      </c>
      <c r="J20" s="63">
        <f t="shared" si="3"/>
        <v>88</v>
      </c>
      <c r="K20" s="63">
        <f t="shared" si="4"/>
        <v>34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>IFERROR(LEFT(M20,FIND("],",M20)+S25),M20)</f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49006023</v>
      </c>
      <c r="B21" s="47" t="s">
        <v>255</v>
      </c>
      <c r="C21" s="50">
        <v>3</v>
      </c>
      <c r="D21" s="50" t="s">
        <v>128</v>
      </c>
      <c r="E21" s="51" t="s">
        <v>236</v>
      </c>
      <c r="F21" s="51" t="s">
        <v>237</v>
      </c>
      <c r="G21" s="63" t="str">
        <f t="shared" si="0"/>
        <v xml:space="preserve">[effect:rush, count:2, val:0.7]    </v>
      </c>
      <c r="H21" s="63">
        <f t="shared" si="1"/>
        <v>9</v>
      </c>
      <c r="I21" s="63">
        <f t="shared" si="2"/>
        <v>13</v>
      </c>
      <c r="J21" s="63" t="e">
        <f t="shared" si="3"/>
        <v>#VALUE!</v>
      </c>
      <c r="K21" s="63">
        <f t="shared" si="4"/>
        <v>22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5"/>
        <v>none</v>
      </c>
      <c r="N21" s="48" t="str">
        <f>IFERROR(LEFT(M21,FIND("],",M21)+S26),M21)</f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49006027</v>
      </c>
      <c r="B22" s="47" t="s">
        <v>239</v>
      </c>
      <c r="C22" s="50">
        <v>3</v>
      </c>
      <c r="D22" s="50" t="s">
        <v>128</v>
      </c>
      <c r="E22" s="51" t="s">
        <v>261</v>
      </c>
      <c r="F22" s="51" t="s">
        <v>238</v>
      </c>
      <c r="G22" s="63" t="str">
        <f t="shared" si="0"/>
        <v>[effect:change_bomb_range, turn:-1, target:unit_all, val:0.5, rate:1, animation:bomb_small]</v>
      </c>
      <c r="H22" s="63">
        <f t="shared" si="1"/>
        <v>9</v>
      </c>
      <c r="I22" s="63">
        <f t="shared" si="2"/>
        <v>26</v>
      </c>
      <c r="J22" s="63">
        <f t="shared" si="3"/>
        <v>44</v>
      </c>
      <c r="K22" s="63">
        <f t="shared" si="4"/>
        <v>35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[effect:tolerance, target:myself, turn:-1, tolerance_effect:all, count:-1, animation:enemy_tolerance]</v>
      </c>
      <c r="N22" s="48" t="str">
        <f>IFERROR(LEFT(M22,FIND("],",M22)+S30),M22)</f>
        <v>[effect:tolerance, target:myself, turn:-1, tolerance_effect:all, count:-1, animation:enemy_tolerance]</v>
      </c>
      <c r="O22" s="63">
        <f t="shared" si="6"/>
        <v>9</v>
      </c>
      <c r="P22" s="63">
        <f t="shared" si="7"/>
        <v>18</v>
      </c>
      <c r="Q22" s="63">
        <f t="shared" si="8"/>
        <v>27</v>
      </c>
      <c r="R22" s="63">
        <f t="shared" si="9"/>
        <v>33</v>
      </c>
      <c r="S22" s="63" t="str">
        <f>IFERROR(VLOOKUP(MID(N22,Q22,R22-Q22),[6]skilldef!$C:$D,2,FALSE),"-") &amp; " / " &amp; IFERROR(VLOOKUP(MID(N22,O22,P22-O22),[6]skilldef!$A:$B,2,FALSE),"-")</f>
        <v>自分自身に / 状態異常耐性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49006028</v>
      </c>
      <c r="B23" s="47" t="s">
        <v>254</v>
      </c>
      <c r="C23" s="50">
        <v>3</v>
      </c>
      <c r="D23" s="50" t="s">
        <v>128</v>
      </c>
      <c r="E23" s="51" t="s">
        <v>227</v>
      </c>
      <c r="F23" s="51" t="s">
        <v>214</v>
      </c>
      <c r="G23" s="63" t="str">
        <f t="shared" si="0"/>
        <v>[effect:spread, val:0.3]</v>
      </c>
      <c r="H23" s="63">
        <f t="shared" si="1"/>
        <v>9</v>
      </c>
      <c r="I23" s="63">
        <f t="shared" si="2"/>
        <v>15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5"/>
        <v>none</v>
      </c>
      <c r="N23" s="48" t="str">
        <f>IFERROR(LEFT(M23,FIND("],",M23)+S31),M23)</f>
        <v>none</v>
      </c>
      <c r="O23" s="63" t="e">
        <f t="shared" si="6"/>
        <v>#VALUE!</v>
      </c>
      <c r="P23" s="63">
        <f t="shared" si="7"/>
        <v>4</v>
      </c>
      <c r="Q23" s="63" t="e">
        <f t="shared" si="8"/>
        <v>#VALUE!</v>
      </c>
      <c r="R23" s="63" t="e">
        <f t="shared" si="9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49006029</v>
      </c>
      <c r="B24" s="47" t="s">
        <v>253</v>
      </c>
      <c r="C24" s="50">
        <v>3</v>
      </c>
      <c r="D24" s="50" t="s">
        <v>128</v>
      </c>
      <c r="E24" s="51" t="s">
        <v>244</v>
      </c>
      <c r="F24" s="51" t="s">
        <v>333</v>
      </c>
      <c r="G24" s="63" t="str">
        <f t="shared" si="0"/>
        <v>[effect:critical, val:1.3]</v>
      </c>
      <c r="H24" s="63">
        <f t="shared" si="1"/>
        <v>9</v>
      </c>
      <c r="I24" s="63">
        <f t="shared" si="2"/>
        <v>17</v>
      </c>
      <c r="J24" s="63" t="e">
        <f t="shared" si="3"/>
        <v>#VALUE!</v>
      </c>
      <c r="K24" s="63" t="e">
        <f t="shared" si="4"/>
        <v>#VALUE!</v>
      </c>
      <c r="L24" s="63" t="str">
        <f>IFERROR(VLOOKUP(MID(G24,J24,K24-J24),[6]skilldef!$C:$D,2,FALSE),"-") &amp; " / " &amp; IFERROR(VLOOKUP(MID(G24,H24,I24-H24),[6]skilldef!$A:$B,2,FALSE),"-")</f>
        <v>- / 大攻撃</v>
      </c>
      <c r="M24" s="63" t="str">
        <f t="shared" si="5"/>
        <v>none</v>
      </c>
      <c r="N24" s="48" t="str">
        <f>IFERROR(LEFT(M24,FIND("],",M24)+S32),M24)</f>
        <v>none</v>
      </c>
      <c r="O24" s="63" t="e">
        <f t="shared" si="6"/>
        <v>#VALUE!</v>
      </c>
      <c r="P24" s="63">
        <f t="shared" si="7"/>
        <v>4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49006032</v>
      </c>
      <c r="B25" s="47" t="s">
        <v>259</v>
      </c>
      <c r="C25" s="50">
        <v>3</v>
      </c>
      <c r="D25" s="50" t="s">
        <v>128</v>
      </c>
      <c r="E25" s="51" t="s">
        <v>260</v>
      </c>
      <c r="F25" s="51" t="s">
        <v>339</v>
      </c>
      <c r="G25" s="63" t="str">
        <f t="shared" si="0"/>
        <v>[effect:virus, turn:-1, target:unit_all, rate:1, val:0.03, calc_type:target_all, animation:enemy_virus]</v>
      </c>
      <c r="H25" s="63">
        <f t="shared" si="1"/>
        <v>9</v>
      </c>
      <c r="I25" s="63">
        <f t="shared" si="2"/>
        <v>14</v>
      </c>
      <c r="J25" s="63">
        <f t="shared" si="3"/>
        <v>32</v>
      </c>
      <c r="K25" s="63">
        <f t="shared" si="4"/>
        <v>23</v>
      </c>
      <c r="L25" s="63" t="str">
        <f>IFERROR(VLOOKUP(MID(G25,J25,K25-J25),[6]skilldef!$C:$D,2,FALSE),"-") &amp; " / " &amp; IFERROR(VLOOKUP(MID(G25,H25,I25-H25),[6]skilldef!$A:$B,2,FALSE),"-")</f>
        <v>- / ウィルス</v>
      </c>
      <c r="M25" s="63" t="str">
        <f t="shared" si="5"/>
        <v>[effect:tolerance, target:myself, turn:-1, tolerance_effect:all, count:-1, animation:enemy_tolerance]</v>
      </c>
      <c r="N25" s="48" t="str">
        <f t="shared" si="15"/>
        <v>[effect:tolerance, target:myself, turn:-1, tolerance_effect:all, count:-1, animation:enemy_tolerance]</v>
      </c>
      <c r="O25" s="63">
        <f t="shared" si="6"/>
        <v>9</v>
      </c>
      <c r="P25" s="63">
        <f t="shared" si="7"/>
        <v>18</v>
      </c>
      <c r="Q25" s="63">
        <f t="shared" si="8"/>
        <v>27</v>
      </c>
      <c r="R25" s="63">
        <f t="shared" si="9"/>
        <v>33</v>
      </c>
      <c r="S25" s="63" t="str">
        <f>IFERROR(VLOOKUP(MID(N25,Q25,R25-Q25),[6]skilldef!$C:$D,2,FALSE),"-") &amp; " / " &amp; IFERROR(VLOOKUP(MID(N25,O25,P25-O25),[6]skilldef!$A:$B,2,FALSE),"-")</f>
        <v>自分自身に / 状態異常耐性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49006033</v>
      </c>
      <c r="B26" s="47" t="s">
        <v>247</v>
      </c>
      <c r="C26" s="50">
        <v>3</v>
      </c>
      <c r="D26" s="50" t="s">
        <v>128</v>
      </c>
      <c r="E26" s="51" t="s">
        <v>228</v>
      </c>
      <c r="F26" s="51" t="s">
        <v>340</v>
      </c>
      <c r="G26" s="63" t="str">
        <f t="shared" si="0"/>
        <v>[effect:spread, val:0.25]</v>
      </c>
      <c r="H26" s="63">
        <f t="shared" si="1"/>
        <v>9</v>
      </c>
      <c r="I26" s="63">
        <f t="shared" si="2"/>
        <v>15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5"/>
        <v>[effect:fix_speed, target:enemy_all, turn:1]</v>
      </c>
      <c r="N26" s="48" t="str">
        <f>IFERROR(LEFT(M26,FIND("],",M26)+#REF!),M26)</f>
        <v>[effect:fix_speed, target:enemy_all, turn:1]</v>
      </c>
      <c r="O26" s="63">
        <f t="shared" si="6"/>
        <v>9</v>
      </c>
      <c r="P26" s="63">
        <f t="shared" si="7"/>
        <v>18</v>
      </c>
      <c r="Q26" s="63">
        <f t="shared" si="8"/>
        <v>27</v>
      </c>
      <c r="R26" s="63">
        <f t="shared" si="9"/>
        <v>36</v>
      </c>
      <c r="S26" s="63" t="str">
        <f>IFERROR(VLOOKUP(MID(N26,Q26,R26-Q26),[6]skilldef!$C:$D,2,FALSE),"-") &amp; " / " &amp; IFERROR(VLOOKUP(MID(N26,O26,P26-O26),[6]skilldef!$A:$B,2,FALSE),"-")</f>
        <v>敵全体に / 行動値設定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49006034</v>
      </c>
      <c r="B27" s="47" t="s">
        <v>248</v>
      </c>
      <c r="C27" s="50">
        <v>3</v>
      </c>
      <c r="D27" s="50" t="s">
        <v>128</v>
      </c>
      <c r="E27" s="51" t="s">
        <v>228</v>
      </c>
      <c r="F27" s="51" t="s">
        <v>340</v>
      </c>
      <c r="G27" s="63" t="str">
        <f t="shared" si="0"/>
        <v>[effect:spread, val:0.28]</v>
      </c>
      <c r="H27" s="63">
        <f t="shared" si="1"/>
        <v>9</v>
      </c>
      <c r="I27" s="63">
        <f t="shared" si="2"/>
        <v>15</v>
      </c>
      <c r="J27" s="63" t="e">
        <f t="shared" si="3"/>
        <v>#VALUE!</v>
      </c>
      <c r="K27" s="63" t="e">
        <f t="shared" si="4"/>
        <v>#VALUE!</v>
      </c>
      <c r="L27" s="63" t="str">
        <f>IFERROR(VLOOKUP(MID(G27,J27,K27-J27),[6]skilldef!$C:$D,2,FALSE),"-") &amp; " / " &amp; IFERROR(VLOOKUP(MID(G27,H27,I27-H27),[6]skilldef!$A:$B,2,FALSE),"-")</f>
        <v>- / 全体攻撃</v>
      </c>
      <c r="M27" s="63" t="str">
        <f t="shared" si="5"/>
        <v>[effect:fix_speed, target:enemy_all, turn:2]</v>
      </c>
      <c r="N27" s="48" t="str">
        <f>IFERROR(LEFT(M27,FIND("],",M27)+#REF!),M27)</f>
        <v>[effect:fix_speed, target:enemy_all, turn:2]</v>
      </c>
      <c r="O27" s="63">
        <f t="shared" si="6"/>
        <v>9</v>
      </c>
      <c r="P27" s="63">
        <f t="shared" si="7"/>
        <v>18</v>
      </c>
      <c r="Q27" s="63">
        <f t="shared" si="8"/>
        <v>27</v>
      </c>
      <c r="R27" s="63">
        <f t="shared" si="9"/>
        <v>36</v>
      </c>
      <c r="S27" s="63" t="str">
        <f>IFERROR(VLOOKUP(MID(N27,Q27,R27-Q27),[6]skilldef!$C:$D,2,FALSE),"-") &amp; " / " &amp; IFERROR(VLOOKUP(MID(N27,O27,P27-O27),[6]skilldef!$A:$B,2,FALSE),"-")</f>
        <v>敵全体に / 行動値設定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49006035</v>
      </c>
      <c r="B28" s="47" t="s">
        <v>218</v>
      </c>
      <c r="C28" s="50">
        <v>3</v>
      </c>
      <c r="D28" s="50" t="s">
        <v>128</v>
      </c>
      <c r="E28" s="51" t="s">
        <v>228</v>
      </c>
      <c r="F28" s="51" t="s">
        <v>340</v>
      </c>
      <c r="G28" s="63" t="str">
        <f t="shared" si="0"/>
        <v>[effect:spread, val:0.3]</v>
      </c>
      <c r="H28" s="63">
        <f t="shared" si="1"/>
        <v>9</v>
      </c>
      <c r="I28" s="63">
        <f t="shared" si="2"/>
        <v>15</v>
      </c>
      <c r="J28" s="63" t="e">
        <f t="shared" si="3"/>
        <v>#VALUE!</v>
      </c>
      <c r="K28" s="63" t="e">
        <f t="shared" si="4"/>
        <v>#VALUE!</v>
      </c>
      <c r="L28" s="63" t="str">
        <f>IFERROR(VLOOKUP(MID(G28,J28,K28-J28),[6]skilldef!$C:$D,2,FALSE),"-") &amp; " / " &amp; IFERROR(VLOOKUP(MID(G28,H28,I28-H28),[6]skilldef!$A:$B,2,FALSE),"-")</f>
        <v>- / 全体攻撃</v>
      </c>
      <c r="M28" s="63" t="str">
        <f t="shared" si="5"/>
        <v>[effect:fix_speed, target:enemy_all, turn:3]</v>
      </c>
      <c r="N28" s="48" t="str">
        <f>IFERROR(LEFT(M28,FIND("],",M28)+#REF!),M28)</f>
        <v>[effect:fix_speed, target:enemy_all, turn:3]</v>
      </c>
      <c r="O28" s="63">
        <f t="shared" si="6"/>
        <v>9</v>
      </c>
      <c r="P28" s="63">
        <f t="shared" si="7"/>
        <v>18</v>
      </c>
      <c r="Q28" s="63">
        <f t="shared" si="8"/>
        <v>27</v>
      </c>
      <c r="R28" s="63">
        <f t="shared" si="9"/>
        <v>36</v>
      </c>
      <c r="S28" s="63" t="str">
        <f>IFERROR(VLOOKUP(MID(N28,Q28,R28-Q28),[6]skilldef!$C:$D,2,FALSE),"-") &amp; " / " &amp; IFERROR(VLOOKUP(MID(N28,O28,P28-O28),[6]skilldef!$A:$B,2,FALSE),"-")</f>
        <v>敵全体に / 行動値設定</v>
      </c>
      <c r="T28" s="48" t="str">
        <f t="shared" si="10"/>
        <v>none</v>
      </c>
      <c r="U28" s="63" t="e">
        <f t="shared" si="11"/>
        <v>#VALUE!</v>
      </c>
      <c r="V28" s="63">
        <f t="shared" si="12"/>
        <v>4</v>
      </c>
      <c r="W28" s="63" t="e">
        <f t="shared" si="13"/>
        <v>#VALUE!</v>
      </c>
      <c r="X28" s="63" t="e">
        <f t="shared" si="1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49006036</v>
      </c>
      <c r="B29" s="47" t="s">
        <v>226</v>
      </c>
      <c r="C29" s="50">
        <v>3</v>
      </c>
      <c r="D29" s="50" t="s">
        <v>128</v>
      </c>
      <c r="E29" s="51" t="s">
        <v>244</v>
      </c>
      <c r="F29" s="51" t="s">
        <v>341</v>
      </c>
      <c r="G29" s="63" t="str">
        <f t="shared" si="0"/>
        <v>[effect:critical, val:1.4]</v>
      </c>
      <c r="H29" s="63">
        <f t="shared" si="1"/>
        <v>9</v>
      </c>
      <c r="I29" s="63">
        <f t="shared" si="2"/>
        <v>17</v>
      </c>
      <c r="J29" s="63" t="e">
        <f t="shared" si="3"/>
        <v>#VALUE!</v>
      </c>
      <c r="K29" s="63" t="e">
        <f t="shared" si="4"/>
        <v>#VALUE!</v>
      </c>
      <c r="L29" s="63" t="str">
        <f>IFERROR(VLOOKUP(MID(G29,J29,K29-J29),[6]skilldef!$C:$D,2,FALSE),"-") &amp; " / " &amp; IFERROR(VLOOKUP(MID(G29,H29,I29-H29),[6]skilldef!$A:$B,2,FALSE),"-")</f>
        <v>- / 大攻撃</v>
      </c>
      <c r="M29" s="63" t="str">
        <f t="shared" si="5"/>
        <v>[effect:fix_speed, target:enemy_all, turn:1]</v>
      </c>
      <c r="N29" s="48" t="str">
        <f t="shared" ref="N29:N35" si="16">IFERROR(LEFT(M29,FIND("],",M29)+S36),M29)</f>
        <v>[effect:fix_speed, target:enemy_all, turn:1]</v>
      </c>
      <c r="O29" s="63">
        <f t="shared" si="6"/>
        <v>9</v>
      </c>
      <c r="P29" s="63">
        <f t="shared" si="7"/>
        <v>18</v>
      </c>
      <c r="Q29" s="63">
        <f t="shared" si="8"/>
        <v>27</v>
      </c>
      <c r="R29" s="63">
        <f t="shared" si="9"/>
        <v>36</v>
      </c>
      <c r="S29" s="63" t="str">
        <f>IFERROR(VLOOKUP(MID(N29,Q29,R29-Q29),[6]skilldef!$C:$D,2,FALSE),"-") &amp; " / " &amp; IFERROR(VLOOKUP(MID(N29,O29,P29-O29),[6]skilldef!$A:$B,2,FALSE),"-")</f>
        <v>敵全体に / 行動値設定</v>
      </c>
      <c r="T29" s="48" t="str">
        <f t="shared" si="10"/>
        <v>none</v>
      </c>
      <c r="U29" s="63" t="e">
        <f t="shared" si="11"/>
        <v>#VALUE!</v>
      </c>
      <c r="V29" s="63">
        <f t="shared" si="12"/>
        <v>4</v>
      </c>
      <c r="W29" s="63" t="e">
        <f t="shared" si="13"/>
        <v>#VALUE!</v>
      </c>
      <c r="X29" s="63" t="e">
        <f t="shared" si="14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49006037</v>
      </c>
      <c r="B30" s="47" t="s">
        <v>249</v>
      </c>
      <c r="C30" s="50">
        <v>3</v>
      </c>
      <c r="D30" s="50" t="s">
        <v>128</v>
      </c>
      <c r="E30" s="51" t="s">
        <v>244</v>
      </c>
      <c r="F30" s="51" t="s">
        <v>341</v>
      </c>
      <c r="G30" s="63" t="str">
        <f t="shared" si="0"/>
        <v>[effect:critical, val:1.3]</v>
      </c>
      <c r="H30" s="63">
        <f t="shared" si="1"/>
        <v>9</v>
      </c>
      <c r="I30" s="63">
        <f t="shared" si="2"/>
        <v>17</v>
      </c>
      <c r="J30" s="63" t="e">
        <f t="shared" si="3"/>
        <v>#VALUE!</v>
      </c>
      <c r="K30" s="63" t="e">
        <f t="shared" si="4"/>
        <v>#VALUE!</v>
      </c>
      <c r="L30" s="63" t="str">
        <f>IFERROR(VLOOKUP(MID(G30,J30,K30-J30),[6]skilldef!$C:$D,2,FALSE),"-") &amp; " / " &amp; IFERROR(VLOOKUP(MID(G30,H30,I30-H30),[6]skilldef!$A:$B,2,FALSE),"-")</f>
        <v>- / 大攻撃</v>
      </c>
      <c r="M30" s="63" t="str">
        <f t="shared" si="5"/>
        <v>[effect:fix_speed, target:enemy_all, turn:2]</v>
      </c>
      <c r="N30" s="48" t="str">
        <f t="shared" si="16"/>
        <v>[effect:fix_speed, target:enemy_all, turn:2]</v>
      </c>
      <c r="O30" s="63">
        <f t="shared" si="6"/>
        <v>9</v>
      </c>
      <c r="P30" s="63">
        <f t="shared" si="7"/>
        <v>18</v>
      </c>
      <c r="Q30" s="63">
        <f t="shared" si="8"/>
        <v>27</v>
      </c>
      <c r="R30" s="63">
        <f t="shared" si="9"/>
        <v>36</v>
      </c>
      <c r="S30" s="63" t="str">
        <f>IFERROR(VLOOKUP(MID(N30,Q30,R30-Q30),[6]skilldef!$C:$D,2,FALSE),"-") &amp; " / " &amp; IFERROR(VLOOKUP(MID(N30,O30,P30-O30),[6]skilldef!$A:$B,2,FALSE),"-")</f>
        <v>敵全体に / 行動値設定</v>
      </c>
      <c r="T30" s="48" t="str">
        <f t="shared" si="10"/>
        <v>none</v>
      </c>
      <c r="U30" s="63" t="e">
        <f t="shared" si="11"/>
        <v>#VALUE!</v>
      </c>
      <c r="V30" s="63">
        <f t="shared" si="12"/>
        <v>4</v>
      </c>
      <c r="W30" s="63" t="e">
        <f t="shared" si="13"/>
        <v>#VALUE!</v>
      </c>
      <c r="X30" s="63" t="e">
        <f t="shared" si="14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49006038</v>
      </c>
      <c r="B31" s="47" t="s">
        <v>250</v>
      </c>
      <c r="C31" s="50">
        <v>3</v>
      </c>
      <c r="D31" s="50" t="s">
        <v>128</v>
      </c>
      <c r="E31" s="51" t="s">
        <v>244</v>
      </c>
      <c r="F31" s="51" t="s">
        <v>342</v>
      </c>
      <c r="G31" s="63" t="str">
        <f t="shared" si="0"/>
        <v>[effect:critical, val:1.2]</v>
      </c>
      <c r="H31" s="63">
        <f t="shared" si="1"/>
        <v>9</v>
      </c>
      <c r="I31" s="63">
        <f t="shared" si="2"/>
        <v>17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IFERROR(VLOOKUP(MID(G31,J31,K31-J31),[6]skilldef!$C:$D,2,FALSE),"-") &amp; " / " &amp; IFERROR(VLOOKUP(MID(G31,H31,I31-H31),[6]skilldef!$A:$B,2,FALSE),"-")</f>
        <v>- / 大攻撃</v>
      </c>
      <c r="M31" s="63" t="str">
        <f t="shared" si="5"/>
        <v>[effect:fix_speed, target:enemy_all, turn:3]</v>
      </c>
      <c r="N31" s="48" t="str">
        <f t="shared" si="16"/>
        <v>[effect:fix_speed, target:enemy_all, turn:3]</v>
      </c>
      <c r="O31" s="63">
        <f t="shared" si="6"/>
        <v>9</v>
      </c>
      <c r="P31" s="63">
        <f t="shared" si="7"/>
        <v>18</v>
      </c>
      <c r="Q31" s="63">
        <f t="shared" si="8"/>
        <v>27</v>
      </c>
      <c r="R31" s="63">
        <f t="shared" si="9"/>
        <v>36</v>
      </c>
      <c r="S31" s="63" t="str">
        <f>IFERROR(VLOOKUP(MID(N31,Q31,R31-Q31),[6]skilldef!$C:$D,2,FALSE),"-") &amp; " / " &amp; IFERROR(VLOOKUP(MID(N31,O31,P31-O31),[6]skilldef!$A:$B,2,FALSE),"-")</f>
        <v>敵全体に / 行動値設定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49006039</v>
      </c>
      <c r="B32" s="47" t="s">
        <v>240</v>
      </c>
      <c r="C32" s="50">
        <v>3</v>
      </c>
      <c r="D32" s="50" t="s">
        <v>128</v>
      </c>
      <c r="E32" s="51" t="s">
        <v>229</v>
      </c>
      <c r="F32" s="51" t="s">
        <v>343</v>
      </c>
      <c r="G32" s="63" t="str">
        <f t="shared" si="0"/>
        <v>[effect:rush, count:4, val:0.3]</v>
      </c>
      <c r="H32" s="63">
        <f t="shared" si="1"/>
        <v>9</v>
      </c>
      <c r="I32" s="63">
        <f t="shared" si="2"/>
        <v>13</v>
      </c>
      <c r="J32" s="63" t="e">
        <f t="shared" si="3"/>
        <v>#VALUE!</v>
      </c>
      <c r="K32" s="63">
        <f t="shared" si="4"/>
        <v>22</v>
      </c>
      <c r="L32" s="63" t="str">
        <f>IFERROR(VLOOKUP(MID(G32,J32,K32-J32),[6]skilldef!$C:$D,2,FALSE),"-") &amp; " / " &amp; IFERROR(VLOOKUP(MID(G32,H32,I32-H32),[6]skilldef!$A:$B,2,FALSE),"-")</f>
        <v>- / 連続攻撃</v>
      </c>
      <c r="M32" s="63" t="str">
        <f t="shared" si="5"/>
        <v>[effect:fix_speed, target:enemy_all, turn:1]</v>
      </c>
      <c r="N32" s="48" t="str">
        <f t="shared" si="16"/>
        <v>[effect:fix_speed, target:enemy_all, turn:1]</v>
      </c>
      <c r="O32" s="63">
        <f t="shared" si="6"/>
        <v>9</v>
      </c>
      <c r="P32" s="63">
        <f t="shared" si="7"/>
        <v>18</v>
      </c>
      <c r="Q32" s="63">
        <f t="shared" si="8"/>
        <v>27</v>
      </c>
      <c r="R32" s="63">
        <f t="shared" si="9"/>
        <v>36</v>
      </c>
      <c r="S32" s="63" t="str">
        <f>IFERROR(VLOOKUP(MID(N32,Q32,R32-Q32),[6]skilldef!$C:$D,2,FALSE),"-") &amp; " / " &amp; IFERROR(VLOOKUP(MID(N32,O32,P32-O32),[6]skilldef!$A:$B,2,FALSE),"-")</f>
        <v>敵全体に / 行動値設定</v>
      </c>
      <c r="T32" s="48" t="str">
        <f t="shared" si="10"/>
        <v>none</v>
      </c>
      <c r="U32" s="63" t="e">
        <f t="shared" si="11"/>
        <v>#VALUE!</v>
      </c>
      <c r="V32" s="63">
        <f t="shared" si="12"/>
        <v>4</v>
      </c>
      <c r="W32" s="63" t="e">
        <f t="shared" si="13"/>
        <v>#VALUE!</v>
      </c>
      <c r="X32" s="63" t="e">
        <f t="shared" si="14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49006040</v>
      </c>
      <c r="B33" s="47" t="s">
        <v>251</v>
      </c>
      <c r="C33" s="50">
        <v>3</v>
      </c>
      <c r="D33" s="50" t="s">
        <v>128</v>
      </c>
      <c r="E33" s="51" t="s">
        <v>229</v>
      </c>
      <c r="F33" s="51" t="s">
        <v>344</v>
      </c>
      <c r="G33" s="63" t="str">
        <f t="shared" si="0"/>
        <v>[effect:rush, count:3, val:0.4]</v>
      </c>
      <c r="H33" s="63">
        <f t="shared" si="1"/>
        <v>9</v>
      </c>
      <c r="I33" s="63">
        <f t="shared" si="2"/>
        <v>13</v>
      </c>
      <c r="J33" s="63" t="e">
        <f t="shared" si="3"/>
        <v>#VALUE!</v>
      </c>
      <c r="K33" s="63">
        <f t="shared" si="4"/>
        <v>22</v>
      </c>
      <c r="L33" s="63" t="str">
        <f>IFERROR(VLOOKUP(MID(G33,J33,K33-J33),[6]skilldef!$C:$D,2,FALSE),"-") &amp; " / " &amp; IFERROR(VLOOKUP(MID(G33,H33,I33-H33),[6]skilldef!$A:$B,2,FALSE),"-")</f>
        <v>- / 連続攻撃</v>
      </c>
      <c r="M33" s="63" t="str">
        <f t="shared" si="5"/>
        <v>[effect:fix_speed, target:enemy_all, turn:2]</v>
      </c>
      <c r="N33" s="48" t="str">
        <f t="shared" si="16"/>
        <v>[effect:fix_speed, target:enemy_all, turn:2]</v>
      </c>
      <c r="O33" s="63">
        <f t="shared" si="6"/>
        <v>9</v>
      </c>
      <c r="P33" s="63">
        <f t="shared" si="7"/>
        <v>18</v>
      </c>
      <c r="Q33" s="63">
        <f t="shared" si="8"/>
        <v>27</v>
      </c>
      <c r="R33" s="63">
        <f t="shared" si="9"/>
        <v>36</v>
      </c>
      <c r="S33" s="63" t="str">
        <f>IFERROR(VLOOKUP(MID(N33,Q33,R33-Q33),[6]skilldef!$C:$D,2,FALSE),"-") &amp; " / " &amp; IFERROR(VLOOKUP(MID(N33,O33,P33-O33),[6]skilldef!$A:$B,2,FALSE),"-")</f>
        <v>敵全体に / 行動値設定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49006041</v>
      </c>
      <c r="B34" s="47" t="s">
        <v>252</v>
      </c>
      <c r="C34" s="50">
        <v>3</v>
      </c>
      <c r="D34" s="50" t="s">
        <v>128</v>
      </c>
      <c r="E34" s="51" t="s">
        <v>229</v>
      </c>
      <c r="F34" s="51" t="s">
        <v>345</v>
      </c>
      <c r="G34" s="63" t="str">
        <f t="shared" si="0"/>
        <v>[effect:rush, count:5, val:0.2]</v>
      </c>
      <c r="H34" s="63">
        <f t="shared" si="1"/>
        <v>9</v>
      </c>
      <c r="I34" s="63">
        <f t="shared" si="2"/>
        <v>13</v>
      </c>
      <c r="J34" s="63" t="e">
        <f t="shared" si="3"/>
        <v>#VALUE!</v>
      </c>
      <c r="K34" s="63">
        <f t="shared" si="4"/>
        <v>22</v>
      </c>
      <c r="L34" s="63" t="str">
        <f>IFERROR(VLOOKUP(MID(G34,J34,K34-J34),[6]skilldef!$C:$D,2,FALSE),"-") &amp; " / " &amp; IFERROR(VLOOKUP(MID(G34,H34,I34-H34),[6]skilldef!$A:$B,2,FALSE),"-")</f>
        <v>- / 連続攻撃</v>
      </c>
      <c r="M34" s="63" t="str">
        <f t="shared" si="5"/>
        <v>[effect:fix_speed, target:enemy_all, turn:3]</v>
      </c>
      <c r="N34" s="48" t="str">
        <f t="shared" si="16"/>
        <v>[effect:fix_speed, target:enemy_all, turn:3]</v>
      </c>
      <c r="O34" s="63">
        <f t="shared" si="6"/>
        <v>9</v>
      </c>
      <c r="P34" s="63">
        <f t="shared" si="7"/>
        <v>18</v>
      </c>
      <c r="Q34" s="63">
        <f t="shared" si="8"/>
        <v>27</v>
      </c>
      <c r="R34" s="63">
        <f t="shared" si="9"/>
        <v>36</v>
      </c>
      <c r="S34" s="63" t="str">
        <f>IFERROR(VLOOKUP(MID(N34,Q34,R34-Q34),[6]skilldef!$C:$D,2,FALSE),"-") &amp; " / " &amp; IFERROR(VLOOKUP(MID(N34,O34,P34-O34),[6]skilldef!$A:$B,2,FALSE),"-")</f>
        <v>敵全体に / 行動値設定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49006042</v>
      </c>
      <c r="B35" s="47" t="s">
        <v>256</v>
      </c>
      <c r="C35" s="50">
        <v>3</v>
      </c>
      <c r="D35" s="50" t="s">
        <v>128</v>
      </c>
      <c r="E35" s="51" t="s">
        <v>241</v>
      </c>
      <c r="F35" s="51" t="s">
        <v>334</v>
      </c>
      <c r="G35" s="63" t="str">
        <f t="shared" si="0"/>
        <v>[effect:spread, val:0.3]</v>
      </c>
      <c r="H35" s="63">
        <f t="shared" si="1"/>
        <v>9</v>
      </c>
      <c r="I35" s="63">
        <f t="shared" si="2"/>
        <v>15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全体攻撃</v>
      </c>
      <c r="M35" s="63" t="str">
        <f t="shared" si="5"/>
        <v>none</v>
      </c>
      <c r="N35" s="48" t="str">
        <f t="shared" si="16"/>
        <v>none</v>
      </c>
      <c r="O35" s="63" t="e">
        <f t="shared" si="6"/>
        <v>#VALUE!</v>
      </c>
      <c r="P35" s="63">
        <f t="shared" si="7"/>
        <v>4</v>
      </c>
      <c r="Q35" s="63" t="e">
        <f t="shared" si="8"/>
        <v>#VALUE!</v>
      </c>
      <c r="R35" s="63" t="e">
        <f t="shared" si="9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49006046</v>
      </c>
      <c r="B36" s="47" t="s">
        <v>220</v>
      </c>
      <c r="C36" s="50">
        <v>3</v>
      </c>
      <c r="D36" s="50" t="s">
        <v>128</v>
      </c>
      <c r="E36" s="51" t="s">
        <v>243</v>
      </c>
      <c r="F36" s="51" t="s">
        <v>242</v>
      </c>
      <c r="G36" s="63" t="str">
        <f t="shared" si="0"/>
        <v>[effect:tolerance, target:myself, turn:-1, tolerance_effect:all, count:-1, animation:enemy_tolerance]</v>
      </c>
      <c r="H36" s="63">
        <f t="shared" si="1"/>
        <v>9</v>
      </c>
      <c r="I36" s="63">
        <f t="shared" si="2"/>
        <v>18</v>
      </c>
      <c r="J36" s="63">
        <f t="shared" si="3"/>
        <v>27</v>
      </c>
      <c r="K36" s="63">
        <f t="shared" si="4"/>
        <v>33</v>
      </c>
      <c r="L36" s="63" t="str">
        <f>IFERROR(VLOOKUP(MID(G36,J36,K36-J36),[6]skilldef!$C:$D,2,FALSE),"-") &amp; " / " &amp; IFERROR(VLOOKUP(MID(G36,H36,I36-H36),[6]skilldef!$A:$B,2,FALSE),"-")</f>
        <v>自分自身に / 状態異常耐性</v>
      </c>
      <c r="M36" s="63" t="str">
        <f t="shared" si="5"/>
        <v>none</v>
      </c>
      <c r="N36" s="48" t="str">
        <f t="shared" si="15"/>
        <v>none</v>
      </c>
      <c r="O36" s="63" t="e">
        <f t="shared" si="6"/>
        <v>#VALUE!</v>
      </c>
      <c r="P36" s="63">
        <f t="shared" si="7"/>
        <v>4</v>
      </c>
      <c r="Q36" s="63" t="e">
        <f t="shared" si="8"/>
        <v>#VALUE!</v>
      </c>
      <c r="R36" s="63" t="e">
        <f t="shared" si="9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49006047</v>
      </c>
      <c r="B37" s="47" t="s">
        <v>247</v>
      </c>
      <c r="C37" s="50">
        <v>3</v>
      </c>
      <c r="D37" s="50" t="s">
        <v>128</v>
      </c>
      <c r="E37" s="51" t="s">
        <v>228</v>
      </c>
      <c r="F37" s="51" t="s">
        <v>340</v>
      </c>
      <c r="G37" s="63" t="str">
        <f t="shared" si="0"/>
        <v>[effect:spread, val:0.25]</v>
      </c>
      <c r="H37" s="63">
        <f t="shared" si="1"/>
        <v>9</v>
      </c>
      <c r="I37" s="63">
        <f t="shared" si="2"/>
        <v>15</v>
      </c>
      <c r="J37" s="63" t="e">
        <f t="shared" si="3"/>
        <v>#VALUE!</v>
      </c>
      <c r="K37" s="63" t="e">
        <f t="shared" si="4"/>
        <v>#VALUE!</v>
      </c>
      <c r="L37" s="63" t="str">
        <f>IFERROR(VLOOKUP(MID(G37,J37,K37-J37),[6]skilldef!$C:$D,2,FALSE),"-") &amp; " / " &amp; IFERROR(VLOOKUP(MID(G37,H37,I37-H37),[6]skilldef!$A:$B,2,FALSE),"-")</f>
        <v>- / 全体攻撃</v>
      </c>
      <c r="M37" s="63" t="str">
        <f t="shared" si="5"/>
        <v>[effect:fix_speed, target:enemy_all, turn:1]</v>
      </c>
      <c r="N37" s="48" t="str">
        <f t="shared" si="15"/>
        <v>[effect:fix_speed, target:enemy_all, turn:1]</v>
      </c>
      <c r="O37" s="63">
        <f t="shared" si="6"/>
        <v>9</v>
      </c>
      <c r="P37" s="63">
        <f t="shared" si="7"/>
        <v>18</v>
      </c>
      <c r="Q37" s="63">
        <f t="shared" si="8"/>
        <v>27</v>
      </c>
      <c r="R37" s="63">
        <f t="shared" si="9"/>
        <v>36</v>
      </c>
      <c r="S37" s="63" t="str">
        <f>IFERROR(VLOOKUP(MID(N37,Q37,R37-Q37),[6]skilldef!$C:$D,2,FALSE),"-") &amp; " / " &amp; IFERROR(VLOOKUP(MID(N37,O37,P37-O37),[6]skilldef!$A:$B,2,FALSE),"-")</f>
        <v>敵全体に / 行動値設定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47">
        <v>49006048</v>
      </c>
      <c r="B38" s="47" t="s">
        <v>248</v>
      </c>
      <c r="C38" s="50">
        <v>3</v>
      </c>
      <c r="D38" s="50" t="s">
        <v>128</v>
      </c>
      <c r="E38" s="51" t="s">
        <v>228</v>
      </c>
      <c r="F38" s="51" t="s">
        <v>340</v>
      </c>
      <c r="G38" s="63" t="str">
        <f t="shared" si="0"/>
        <v>[effect:spread, val:0.28]</v>
      </c>
      <c r="H38" s="63">
        <f t="shared" si="1"/>
        <v>9</v>
      </c>
      <c r="I38" s="63">
        <f t="shared" si="2"/>
        <v>15</v>
      </c>
      <c r="J38" s="63" t="e">
        <f t="shared" si="3"/>
        <v>#VALUE!</v>
      </c>
      <c r="K38" s="63" t="e">
        <f t="shared" si="4"/>
        <v>#VALUE!</v>
      </c>
      <c r="L38" s="63" t="str">
        <f>IFERROR(VLOOKUP(MID(G38,J38,K38-J38),[6]skilldef!$C:$D,2,FALSE),"-") &amp; " / " &amp; IFERROR(VLOOKUP(MID(G38,H38,I38-H38),[6]skilldef!$A:$B,2,FALSE),"-")</f>
        <v>- / 全体攻撃</v>
      </c>
      <c r="M38" s="63" t="str">
        <f t="shared" si="5"/>
        <v>[effect:fix_speed, target:enemy_all, turn:2]</v>
      </c>
      <c r="N38" s="48" t="str">
        <f t="shared" si="15"/>
        <v>[effect:fix_speed, target:enemy_all, turn:2]</v>
      </c>
      <c r="O38" s="63">
        <f t="shared" si="6"/>
        <v>9</v>
      </c>
      <c r="P38" s="63">
        <f t="shared" si="7"/>
        <v>18</v>
      </c>
      <c r="Q38" s="63">
        <f t="shared" si="8"/>
        <v>27</v>
      </c>
      <c r="R38" s="63">
        <f t="shared" si="9"/>
        <v>36</v>
      </c>
      <c r="S38" s="63" t="str">
        <f>IFERROR(VLOOKUP(MID(N38,Q38,R38-Q38),[6]skilldef!$C:$D,2,FALSE),"-") &amp; " / " &amp; IFERROR(VLOOKUP(MID(N38,O38,P38-O38),[6]skilldef!$A:$B,2,FALSE),"-")</f>
        <v>敵全体に / 行動値設定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49006049</v>
      </c>
      <c r="B39" s="47" t="s">
        <v>218</v>
      </c>
      <c r="C39" s="50">
        <v>3</v>
      </c>
      <c r="D39" s="50" t="s">
        <v>128</v>
      </c>
      <c r="E39" s="51" t="s">
        <v>228</v>
      </c>
      <c r="F39" s="51" t="s">
        <v>340</v>
      </c>
      <c r="G39" s="63" t="str">
        <f t="shared" si="0"/>
        <v>[effect:spread, val:0.3]</v>
      </c>
      <c r="H39" s="63">
        <f t="shared" si="1"/>
        <v>9</v>
      </c>
      <c r="I39" s="63">
        <f t="shared" si="2"/>
        <v>15</v>
      </c>
      <c r="J39" s="63" t="e">
        <f t="shared" si="3"/>
        <v>#VALUE!</v>
      </c>
      <c r="K39" s="63" t="e">
        <f t="shared" si="4"/>
        <v>#VALUE!</v>
      </c>
      <c r="L39" s="63" t="str">
        <f>IFERROR(VLOOKUP(MID(G39,J39,K39-J39),[6]skilldef!$C:$D,2,FALSE),"-") &amp; " / " &amp; IFERROR(VLOOKUP(MID(G39,H39,I39-H39),[6]skilldef!$A:$B,2,FALSE),"-")</f>
        <v>- / 全体攻撃</v>
      </c>
      <c r="M39" s="63" t="str">
        <f t="shared" si="5"/>
        <v>[effect:fix_speed, target:enemy_all, turn:3]</v>
      </c>
      <c r="N39" s="48" t="str">
        <f>IFERROR(LEFT(M39,FIND("],",M39)+#REF!),M39)</f>
        <v>[effect:fix_speed, target:enemy_all, turn:3]</v>
      </c>
      <c r="O39" s="63">
        <f t="shared" si="6"/>
        <v>9</v>
      </c>
      <c r="P39" s="63">
        <f t="shared" si="7"/>
        <v>18</v>
      </c>
      <c r="Q39" s="63">
        <f t="shared" si="8"/>
        <v>27</v>
      </c>
      <c r="R39" s="63">
        <f t="shared" si="9"/>
        <v>36</v>
      </c>
      <c r="S39" s="63" t="str">
        <f>IFERROR(VLOOKUP(MID(N39,Q39,R39-Q39),[6]skilldef!$C:$D,2,FALSE),"-") &amp; " / " &amp; IFERROR(VLOOKUP(MID(N39,O39,P39-O39),[6]skilldef!$A:$B,2,FALSE),"-")</f>
        <v>敵全体に / 行動値設定</v>
      </c>
      <c r="T39" s="48" t="str">
        <f t="shared" si="10"/>
        <v>none</v>
      </c>
      <c r="U39" s="63" t="e">
        <f t="shared" si="11"/>
        <v>#VALUE!</v>
      </c>
      <c r="V39" s="63">
        <f t="shared" si="12"/>
        <v>4</v>
      </c>
      <c r="W39" s="63" t="e">
        <f t="shared" si="13"/>
        <v>#VALUE!</v>
      </c>
      <c r="X39" s="63" t="e">
        <f t="shared" si="14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49006050</v>
      </c>
      <c r="B40" s="47" t="s">
        <v>226</v>
      </c>
      <c r="C40" s="50">
        <v>3</v>
      </c>
      <c r="D40" s="50" t="s">
        <v>128</v>
      </c>
      <c r="E40" s="51" t="s">
        <v>244</v>
      </c>
      <c r="F40" s="51" t="s">
        <v>341</v>
      </c>
      <c r="G40" s="63" t="str">
        <f t="shared" si="0"/>
        <v>[effect:critical, val:1.4]</v>
      </c>
      <c r="H40" s="63">
        <f t="shared" si="1"/>
        <v>9</v>
      </c>
      <c r="I40" s="63">
        <f t="shared" si="2"/>
        <v>17</v>
      </c>
      <c r="J40" s="63" t="e">
        <f t="shared" si="3"/>
        <v>#VALUE!</v>
      </c>
      <c r="K40" s="63" t="e">
        <f t="shared" si="4"/>
        <v>#VALUE!</v>
      </c>
      <c r="L40" s="63" t="str">
        <f>IFERROR(VLOOKUP(MID(G40,J40,K40-J40),[6]skilldef!$C:$D,2,FALSE),"-") &amp; " / " &amp; IFERROR(VLOOKUP(MID(G40,H40,I40-H40),[6]skilldef!$A:$B,2,FALSE),"-")</f>
        <v>- / 大攻撃</v>
      </c>
      <c r="M40" s="63" t="str">
        <f t="shared" si="5"/>
        <v>[effect:fix_speed, target:enemy_all, turn:1]</v>
      </c>
      <c r="N40" s="48" t="str">
        <f>IFERROR(LEFT(M40,FIND("],",M40)+#REF!),M40)</f>
        <v>[effect:fix_speed, target:enemy_all, turn:1]</v>
      </c>
      <c r="O40" s="63">
        <f t="shared" si="6"/>
        <v>9</v>
      </c>
      <c r="P40" s="63">
        <f t="shared" si="7"/>
        <v>18</v>
      </c>
      <c r="Q40" s="63">
        <f t="shared" si="8"/>
        <v>27</v>
      </c>
      <c r="R40" s="63">
        <f t="shared" si="9"/>
        <v>36</v>
      </c>
      <c r="S40" s="63" t="str">
        <f>IFERROR(VLOOKUP(MID(N40,Q40,R40-Q40),[6]skilldef!$C:$D,2,FALSE),"-") &amp; " / " &amp; IFERROR(VLOOKUP(MID(N40,O40,P40-O40),[6]skilldef!$A:$B,2,FALSE),"-")</f>
        <v>敵全体に / 行動値設定</v>
      </c>
      <c r="T40" s="48" t="str">
        <f t="shared" si="10"/>
        <v>none</v>
      </c>
      <c r="U40" s="63" t="e">
        <f t="shared" si="11"/>
        <v>#VALUE!</v>
      </c>
      <c r="V40" s="63">
        <f t="shared" si="12"/>
        <v>4</v>
      </c>
      <c r="W40" s="63" t="e">
        <f t="shared" si="13"/>
        <v>#VALUE!</v>
      </c>
      <c r="X40" s="63" t="e">
        <f t="shared" si="14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49006051</v>
      </c>
      <c r="B41" s="47" t="s">
        <v>249</v>
      </c>
      <c r="C41" s="50">
        <v>3</v>
      </c>
      <c r="D41" s="50" t="s">
        <v>128</v>
      </c>
      <c r="E41" s="51" t="s">
        <v>244</v>
      </c>
      <c r="F41" s="51" t="s">
        <v>341</v>
      </c>
      <c r="G41" s="63" t="str">
        <f t="shared" si="0"/>
        <v>[effect:critical, val:1.3]</v>
      </c>
      <c r="H41" s="63">
        <f t="shared" si="1"/>
        <v>9</v>
      </c>
      <c r="I41" s="63">
        <f t="shared" si="2"/>
        <v>17</v>
      </c>
      <c r="J41" s="63" t="e">
        <f t="shared" si="3"/>
        <v>#VALUE!</v>
      </c>
      <c r="K41" s="63" t="e">
        <f t="shared" si="4"/>
        <v>#VALUE!</v>
      </c>
      <c r="L41" s="63" t="str">
        <f>IFERROR(VLOOKUP(MID(G41,J41,K41-J41),[6]skilldef!$C:$D,2,FALSE),"-") &amp; " / " &amp; IFERROR(VLOOKUP(MID(G41,H41,I41-H41),[6]skilldef!$A:$B,2,FALSE),"-")</f>
        <v>- / 大攻撃</v>
      </c>
      <c r="M41" s="63" t="str">
        <f t="shared" si="5"/>
        <v>[effect:fix_speed, target:enemy_all, turn:2]</v>
      </c>
      <c r="N41" s="48" t="str">
        <f>IFERROR(LEFT(M41,FIND("],",M41)+#REF!),M41)</f>
        <v>[effect:fix_speed, target:enemy_all, turn:2]</v>
      </c>
      <c r="O41" s="63">
        <f t="shared" si="6"/>
        <v>9</v>
      </c>
      <c r="P41" s="63">
        <f t="shared" si="7"/>
        <v>18</v>
      </c>
      <c r="Q41" s="63">
        <f t="shared" si="8"/>
        <v>27</v>
      </c>
      <c r="R41" s="63">
        <f t="shared" si="9"/>
        <v>36</v>
      </c>
      <c r="S41" s="63" t="str">
        <f>IFERROR(VLOOKUP(MID(N41,Q41,R41-Q41),[6]skilldef!$C:$D,2,FALSE),"-") &amp; " / " &amp; IFERROR(VLOOKUP(MID(N41,O41,P41-O41),[6]skilldef!$A:$B,2,FALSE),"-")</f>
        <v>敵全体に / 行動値設定</v>
      </c>
      <c r="T41" s="48" t="str">
        <f t="shared" si="10"/>
        <v>none</v>
      </c>
      <c r="U41" s="63" t="e">
        <f t="shared" si="11"/>
        <v>#VALUE!</v>
      </c>
      <c r="V41" s="63">
        <f t="shared" si="12"/>
        <v>4</v>
      </c>
      <c r="W41" s="63" t="e">
        <f t="shared" si="13"/>
        <v>#VALUE!</v>
      </c>
      <c r="X41" s="63" t="e">
        <f t="shared" si="14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49006052</v>
      </c>
      <c r="B42" s="47" t="s">
        <v>250</v>
      </c>
      <c r="C42" s="50">
        <v>3</v>
      </c>
      <c r="D42" s="50" t="s">
        <v>128</v>
      </c>
      <c r="E42" s="51" t="s">
        <v>244</v>
      </c>
      <c r="F42" s="51" t="s">
        <v>342</v>
      </c>
      <c r="G42" s="63" t="str">
        <f t="shared" si="0"/>
        <v>[effect:critical, val:1.2]</v>
      </c>
      <c r="H42" s="63">
        <f t="shared" si="1"/>
        <v>9</v>
      </c>
      <c r="I42" s="63">
        <f t="shared" si="2"/>
        <v>17</v>
      </c>
      <c r="J42" s="63" t="e">
        <f t="shared" si="3"/>
        <v>#VALUE!</v>
      </c>
      <c r="K42" s="63" t="e">
        <f t="shared" si="4"/>
        <v>#VALUE!</v>
      </c>
      <c r="L42" s="63" t="str">
        <f>IFERROR(VLOOKUP(MID(G42,J42,K42-J42),[6]skilldef!$C:$D,2,FALSE),"-") &amp; " / " &amp; IFERROR(VLOOKUP(MID(G42,H42,I42-H42),[6]skilldef!$A:$B,2,FALSE),"-")</f>
        <v>- / 大攻撃</v>
      </c>
      <c r="M42" s="63" t="str">
        <f t="shared" si="5"/>
        <v>[effect:fix_speed, target:enemy_all, turn:3]</v>
      </c>
      <c r="N42" s="48" t="str">
        <f>IFERROR(LEFT(M42,FIND("],",M42)+S49),M42)</f>
        <v>[effect:fix_speed, target:enemy_all, turn:3]</v>
      </c>
      <c r="O42" s="63">
        <f t="shared" si="6"/>
        <v>9</v>
      </c>
      <c r="P42" s="63">
        <f t="shared" si="7"/>
        <v>18</v>
      </c>
      <c r="Q42" s="63">
        <f t="shared" si="8"/>
        <v>27</v>
      </c>
      <c r="R42" s="63">
        <f t="shared" si="9"/>
        <v>36</v>
      </c>
      <c r="S42" s="63" t="str">
        <f>IFERROR(VLOOKUP(MID(N42,Q42,R42-Q42),[6]skilldef!$C:$D,2,FALSE),"-") &amp; " / " &amp; IFERROR(VLOOKUP(MID(N42,O42,P42-O42),[6]skilldef!$A:$B,2,FALSE),"-")</f>
        <v>敵全体に / 行動値設定</v>
      </c>
      <c r="T42" s="48" t="str">
        <f t="shared" si="10"/>
        <v>none</v>
      </c>
      <c r="U42" s="63" t="e">
        <f t="shared" si="11"/>
        <v>#VALUE!</v>
      </c>
      <c r="V42" s="63">
        <f t="shared" si="12"/>
        <v>4</v>
      </c>
      <c r="W42" s="63" t="e">
        <f t="shared" si="13"/>
        <v>#VALUE!</v>
      </c>
      <c r="X42" s="63" t="e">
        <f t="shared" si="14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49006053</v>
      </c>
      <c r="B43" s="47" t="s">
        <v>240</v>
      </c>
      <c r="C43" s="50">
        <v>3</v>
      </c>
      <c r="D43" s="50" t="s">
        <v>128</v>
      </c>
      <c r="E43" s="51" t="s">
        <v>229</v>
      </c>
      <c r="F43" s="51" t="s">
        <v>343</v>
      </c>
      <c r="G43" s="63" t="str">
        <f t="shared" si="0"/>
        <v>[effect:rush, count:4, val:0.3]</v>
      </c>
      <c r="H43" s="63">
        <f t="shared" si="1"/>
        <v>9</v>
      </c>
      <c r="I43" s="63">
        <f t="shared" si="2"/>
        <v>13</v>
      </c>
      <c r="J43" s="63" t="e">
        <f t="shared" si="3"/>
        <v>#VALUE!</v>
      </c>
      <c r="K43" s="63">
        <f t="shared" si="4"/>
        <v>22</v>
      </c>
      <c r="L43" s="63" t="str">
        <f>IFERROR(VLOOKUP(MID(G43,J43,K43-J43),[6]skilldef!$C:$D,2,FALSE),"-") &amp; " / " &amp; IFERROR(VLOOKUP(MID(G43,H43,I43-H43),[6]skilldef!$A:$B,2,FALSE),"-")</f>
        <v>- / 連続攻撃</v>
      </c>
      <c r="M43" s="63" t="str">
        <f t="shared" si="5"/>
        <v>[effect:fix_speed, target:enemy_all, turn:1]</v>
      </c>
      <c r="N43" s="48" t="str">
        <f>IFERROR(LEFT(M43,FIND("],",M43)+S50),M43)</f>
        <v>[effect:fix_speed, target:enemy_all, turn:1]</v>
      </c>
      <c r="O43" s="63">
        <f t="shared" si="6"/>
        <v>9</v>
      </c>
      <c r="P43" s="63">
        <f t="shared" si="7"/>
        <v>18</v>
      </c>
      <c r="Q43" s="63">
        <f t="shared" si="8"/>
        <v>27</v>
      </c>
      <c r="R43" s="63">
        <f t="shared" si="9"/>
        <v>36</v>
      </c>
      <c r="S43" s="63" t="str">
        <f>IFERROR(VLOOKUP(MID(N43,Q43,R43-Q43),[6]skilldef!$C:$D,2,FALSE),"-") &amp; " / " &amp; IFERROR(VLOOKUP(MID(N43,O43,P43-O43),[6]skilldef!$A:$B,2,FALSE),"-")</f>
        <v>敵全体に / 行動値設定</v>
      </c>
      <c r="T43" s="48" t="str">
        <f t="shared" si="10"/>
        <v>none</v>
      </c>
      <c r="U43" s="63" t="e">
        <f t="shared" si="11"/>
        <v>#VALUE!</v>
      </c>
      <c r="V43" s="63">
        <f t="shared" si="12"/>
        <v>4</v>
      </c>
      <c r="W43" s="63" t="e">
        <f t="shared" si="13"/>
        <v>#VALUE!</v>
      </c>
      <c r="X43" s="63" t="e">
        <f t="shared" si="14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49006054</v>
      </c>
      <c r="B44" s="47" t="s">
        <v>251</v>
      </c>
      <c r="C44" s="50">
        <v>3</v>
      </c>
      <c r="D44" s="50" t="s">
        <v>128</v>
      </c>
      <c r="E44" s="51" t="s">
        <v>229</v>
      </c>
      <c r="F44" s="51" t="s">
        <v>344</v>
      </c>
      <c r="G44" s="63" t="str">
        <f t="shared" si="0"/>
        <v>[effect:rush, count:3, val:0.4]</v>
      </c>
      <c r="H44" s="63">
        <f t="shared" si="1"/>
        <v>9</v>
      </c>
      <c r="I44" s="63">
        <f t="shared" si="2"/>
        <v>13</v>
      </c>
      <c r="J44" s="63" t="e">
        <f t="shared" si="3"/>
        <v>#VALUE!</v>
      </c>
      <c r="K44" s="63">
        <f t="shared" si="4"/>
        <v>22</v>
      </c>
      <c r="L44" s="63" t="str">
        <f>IFERROR(VLOOKUP(MID(G44,J44,K44-J44),[6]skilldef!$C:$D,2,FALSE),"-") &amp; " / " &amp; IFERROR(VLOOKUP(MID(G44,H44,I44-H44),[6]skilldef!$A:$B,2,FALSE),"-")</f>
        <v>- / 連続攻撃</v>
      </c>
      <c r="M44" s="63" t="str">
        <f t="shared" si="5"/>
        <v>[effect:fix_speed, target:enemy_all, turn:2]</v>
      </c>
      <c r="N44" s="48" t="str">
        <f>IFERROR(LEFT(M44,FIND("],",M44)+S51),M44)</f>
        <v>[effect:fix_speed, target:enemy_all, turn:2]</v>
      </c>
      <c r="O44" s="63">
        <f t="shared" si="6"/>
        <v>9</v>
      </c>
      <c r="P44" s="63">
        <f t="shared" si="7"/>
        <v>18</v>
      </c>
      <c r="Q44" s="63">
        <f t="shared" si="8"/>
        <v>27</v>
      </c>
      <c r="R44" s="63">
        <f t="shared" si="9"/>
        <v>36</v>
      </c>
      <c r="S44" s="63" t="str">
        <f>IFERROR(VLOOKUP(MID(N44,Q44,R44-Q44),[6]skilldef!$C:$D,2,FALSE),"-") &amp; " / " &amp; IFERROR(VLOOKUP(MID(N44,O44,P44-O44),[6]skilldef!$A:$B,2,FALSE),"-")</f>
        <v>敵全体に / 行動値設定</v>
      </c>
      <c r="T44" s="48" t="str">
        <f t="shared" si="10"/>
        <v>none</v>
      </c>
      <c r="U44" s="63" t="e">
        <f t="shared" si="11"/>
        <v>#VALUE!</v>
      </c>
      <c r="V44" s="63">
        <f t="shared" si="12"/>
        <v>4</v>
      </c>
      <c r="W44" s="63" t="e">
        <f t="shared" si="13"/>
        <v>#VALUE!</v>
      </c>
      <c r="X44" s="63" t="e">
        <f t="shared" si="14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49006055</v>
      </c>
      <c r="B45" s="47" t="s">
        <v>252</v>
      </c>
      <c r="C45" s="50">
        <v>3</v>
      </c>
      <c r="D45" s="50" t="s">
        <v>128</v>
      </c>
      <c r="E45" s="51" t="s">
        <v>229</v>
      </c>
      <c r="F45" s="51" t="s">
        <v>345</v>
      </c>
      <c r="G45" s="63" t="str">
        <f t="shared" si="0"/>
        <v>[effect:rush, count:5, val:0.2]</v>
      </c>
      <c r="H45" s="63">
        <f t="shared" si="1"/>
        <v>9</v>
      </c>
      <c r="I45" s="63">
        <f t="shared" si="2"/>
        <v>13</v>
      </c>
      <c r="J45" s="63" t="e">
        <f t="shared" si="3"/>
        <v>#VALUE!</v>
      </c>
      <c r="K45" s="63">
        <f t="shared" si="4"/>
        <v>22</v>
      </c>
      <c r="L45" s="63" t="str">
        <f>IFERROR(VLOOKUP(MID(G45,J45,K45-J45),[6]skilldef!$C:$D,2,FALSE),"-") &amp; " / " &amp; IFERROR(VLOOKUP(MID(G45,H45,I45-H45),[6]skilldef!$A:$B,2,FALSE),"-")</f>
        <v>- / 連続攻撃</v>
      </c>
      <c r="M45" s="63" t="str">
        <f t="shared" si="5"/>
        <v>[effect:fix_speed, target:enemy_all, turn:3]</v>
      </c>
      <c r="N45" s="48" t="str">
        <f>IFERROR(LEFT(M45,FIND("],",M45)+#REF!),M45)</f>
        <v>[effect:fix_speed, target:enemy_all, turn:3]</v>
      </c>
      <c r="O45" s="63">
        <f t="shared" si="6"/>
        <v>9</v>
      </c>
      <c r="P45" s="63">
        <f t="shared" si="7"/>
        <v>18</v>
      </c>
      <c r="Q45" s="63">
        <f t="shared" si="8"/>
        <v>27</v>
      </c>
      <c r="R45" s="63">
        <f t="shared" si="9"/>
        <v>36</v>
      </c>
      <c r="S45" s="63" t="str">
        <f>IFERROR(VLOOKUP(MID(N45,Q45,R45-Q45),[6]skilldef!$C:$D,2,FALSE),"-") &amp; " / " &amp; IFERROR(VLOOKUP(MID(N45,O45,P45-O45),[6]skilldef!$A:$B,2,FALSE),"-")</f>
        <v>敵全体に / 行動値設定</v>
      </c>
      <c r="T45" s="48" t="str">
        <f t="shared" si="10"/>
        <v>none</v>
      </c>
      <c r="U45" s="63" t="e">
        <f t="shared" si="11"/>
        <v>#VALUE!</v>
      </c>
      <c r="V45" s="63">
        <f t="shared" si="12"/>
        <v>4</v>
      </c>
      <c r="W45" s="63" t="e">
        <f t="shared" si="13"/>
        <v>#VALUE!</v>
      </c>
      <c r="X45" s="63" t="e">
        <f t="shared" si="14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47">
        <v>49006056</v>
      </c>
      <c r="B46" s="47" t="s">
        <v>256</v>
      </c>
      <c r="C46" s="50">
        <v>3</v>
      </c>
      <c r="D46" s="50" t="s">
        <v>128</v>
      </c>
      <c r="E46" s="51" t="s">
        <v>245</v>
      </c>
      <c r="F46" s="51" t="s">
        <v>215</v>
      </c>
      <c r="G46" s="63" t="str">
        <f t="shared" si="0"/>
        <v>[effect:spread, val:0.3]</v>
      </c>
      <c r="H46" s="63">
        <f t="shared" si="1"/>
        <v>9</v>
      </c>
      <c r="I46" s="63">
        <f t="shared" si="2"/>
        <v>15</v>
      </c>
      <c r="J46" s="63" t="e">
        <f t="shared" si="3"/>
        <v>#VALUE!</v>
      </c>
      <c r="K46" s="63" t="e">
        <f t="shared" si="4"/>
        <v>#VALUE!</v>
      </c>
      <c r="L46" s="63" t="str">
        <f>IFERROR(VLOOKUP(MID(G46,J46,K46-J46),[6]skilldef!$C:$D,2,FALSE),"-") &amp; " / " &amp; IFERROR(VLOOKUP(MID(G46,H46,I46-H46),[6]skilldef!$A:$B,2,FALSE),"-")</f>
        <v>- / 全体攻撃</v>
      </c>
      <c r="M46" s="63" t="str">
        <f t="shared" si="5"/>
        <v>none</v>
      </c>
      <c r="N46" s="48" t="str">
        <f>IFERROR(LEFT(M46,FIND("],",M46)+S52),M46)</f>
        <v>none</v>
      </c>
      <c r="O46" s="63" t="e">
        <f t="shared" si="6"/>
        <v>#VALUE!</v>
      </c>
      <c r="P46" s="63">
        <f t="shared" si="7"/>
        <v>4</v>
      </c>
      <c r="Q46" s="63" t="e">
        <f t="shared" si="8"/>
        <v>#VALUE!</v>
      </c>
      <c r="R46" s="63" t="e">
        <f t="shared" si="9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10"/>
        <v>none</v>
      </c>
      <c r="U46" s="63" t="e">
        <f t="shared" si="11"/>
        <v>#VALUE!</v>
      </c>
      <c r="V46" s="63">
        <f t="shared" si="12"/>
        <v>4</v>
      </c>
      <c r="W46" s="63" t="e">
        <f t="shared" si="13"/>
        <v>#VALUE!</v>
      </c>
      <c r="X46" s="63" t="e">
        <f t="shared" si="14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47">
        <v>49006057</v>
      </c>
      <c r="B47" s="47" t="s">
        <v>257</v>
      </c>
      <c r="C47" s="50">
        <v>3</v>
      </c>
      <c r="D47" s="50" t="s">
        <v>128</v>
      </c>
      <c r="E47" s="51" t="s">
        <v>230</v>
      </c>
      <c r="F47" s="51" t="s">
        <v>216</v>
      </c>
      <c r="G47" s="63" t="str">
        <f t="shared" si="0"/>
        <v>[effect:heal, target:myself, val:0.4, animation:enemy_heal]</v>
      </c>
      <c r="H47" s="63">
        <f t="shared" si="1"/>
        <v>9</v>
      </c>
      <c r="I47" s="63">
        <f t="shared" si="2"/>
        <v>13</v>
      </c>
      <c r="J47" s="63">
        <f t="shared" si="3"/>
        <v>22</v>
      </c>
      <c r="K47" s="63">
        <f t="shared" si="4"/>
        <v>28</v>
      </c>
      <c r="L47" s="63" t="str">
        <f>IFERROR(VLOOKUP(MID(G47,J47,K47-J47),[6]skilldef!$C:$D,2,FALSE),"-") &amp; " / " &amp; IFERROR(VLOOKUP(MID(G47,H47,I47-H47),[6]skilldef!$A:$B,2,FALSE),"-")</f>
        <v>自分自身に / 回復</v>
      </c>
      <c r="M47" s="63" t="str">
        <f t="shared" si="5"/>
        <v>none</v>
      </c>
      <c r="N47" s="48" t="str">
        <f>IFERROR(LEFT(M47,FIND("],",M47)+#REF!),M47)</f>
        <v>none</v>
      </c>
      <c r="O47" s="63" t="e">
        <f t="shared" si="6"/>
        <v>#VALUE!</v>
      </c>
      <c r="P47" s="63">
        <f t="shared" si="7"/>
        <v>4</v>
      </c>
      <c r="Q47" s="63" t="e">
        <f t="shared" si="8"/>
        <v>#VALUE!</v>
      </c>
      <c r="R47" s="63" t="e">
        <f t="shared" si="9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10"/>
        <v>none</v>
      </c>
      <c r="U47" s="63" t="e">
        <f t="shared" si="11"/>
        <v>#VALUE!</v>
      </c>
      <c r="V47" s="63">
        <f t="shared" si="12"/>
        <v>4</v>
      </c>
      <c r="W47" s="63" t="e">
        <f t="shared" si="13"/>
        <v>#VALUE!</v>
      </c>
      <c r="X47" s="63" t="e">
        <f t="shared" si="14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47">
        <v>49006058</v>
      </c>
      <c r="B48" s="47" t="s">
        <v>258</v>
      </c>
      <c r="C48" s="50">
        <v>3</v>
      </c>
      <c r="D48" s="50" t="s">
        <v>128</v>
      </c>
      <c r="E48" s="51" t="s">
        <v>231</v>
      </c>
      <c r="F48" s="51" t="s">
        <v>335</v>
      </c>
      <c r="G48" s="63" t="str">
        <f t="shared" si="0"/>
        <v>[effect:critical, val:1.3]</v>
      </c>
      <c r="H48" s="63">
        <f t="shared" si="1"/>
        <v>9</v>
      </c>
      <c r="I48" s="63">
        <f t="shared" si="2"/>
        <v>17</v>
      </c>
      <c r="J48" s="63" t="e">
        <f t="shared" si="3"/>
        <v>#VALUE!</v>
      </c>
      <c r="K48" s="63" t="e">
        <f t="shared" si="4"/>
        <v>#VALUE!</v>
      </c>
      <c r="L48" s="63" t="str">
        <f>IFERROR(VLOOKUP(MID(G48,J48,K48-J48),[6]skilldef!$C:$D,2,FALSE),"-") &amp; " / " &amp; IFERROR(VLOOKUP(MID(G48,H48,I48-H48),[6]skilldef!$A:$B,2,FALSE),"-")</f>
        <v>- / 大攻撃</v>
      </c>
      <c r="M48" s="63" t="str">
        <f t="shared" si="5"/>
        <v>none</v>
      </c>
      <c r="N48" s="48" t="str">
        <f>IFERROR(LEFT(M48,FIND("],",M48)+S53),M48)</f>
        <v>none</v>
      </c>
      <c r="O48" s="63" t="e">
        <f t="shared" si="6"/>
        <v>#VALUE!</v>
      </c>
      <c r="P48" s="63">
        <f t="shared" si="7"/>
        <v>4</v>
      </c>
      <c r="Q48" s="63" t="e">
        <f t="shared" si="8"/>
        <v>#VALUE!</v>
      </c>
      <c r="R48" s="63" t="e">
        <f t="shared" si="9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10"/>
        <v>none</v>
      </c>
      <c r="U48" s="63" t="e">
        <f t="shared" si="11"/>
        <v>#VALUE!</v>
      </c>
      <c r="V48" s="63">
        <f t="shared" si="12"/>
        <v>4</v>
      </c>
      <c r="W48" s="63" t="e">
        <f t="shared" si="13"/>
        <v>#VALUE!</v>
      </c>
      <c r="X48" s="63" t="e">
        <f t="shared" si="14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47">
        <v>49006061</v>
      </c>
      <c r="B49" s="47" t="s">
        <v>267</v>
      </c>
      <c r="C49" s="50">
        <v>3</v>
      </c>
      <c r="D49" s="50" t="s">
        <v>128</v>
      </c>
      <c r="E49" s="51" t="s">
        <v>233</v>
      </c>
      <c r="F49" s="51" t="s">
        <v>327</v>
      </c>
      <c r="G49" s="63" t="str">
        <f t="shared" ref="G49:G57" si="17">IFERROR(LEFT(B49,FIND("],",B49)),B49)</f>
        <v>[effect:fix_speed, target:myself, turn:2]</v>
      </c>
      <c r="H49" s="63">
        <f t="shared" ref="H49:H57" si="18">FIND("effect:",G49)+7</f>
        <v>9</v>
      </c>
      <c r="I49" s="63">
        <f t="shared" ref="I49:I57" si="19">IFERROR(FIND(",",G49),LEN(G49))</f>
        <v>18</v>
      </c>
      <c r="J49" s="63">
        <f t="shared" ref="J49:J57" si="20">FIND("target:",G49)+7</f>
        <v>27</v>
      </c>
      <c r="K49" s="63">
        <f t="shared" ref="K49:K57" si="21">FIND(",",G49,I49+1)</f>
        <v>33</v>
      </c>
      <c r="L49" s="63" t="str">
        <f>IFERROR(VLOOKUP(MID(G49,J49,K49-J49),[6]skilldef!$C:$D,2,FALSE),"-") &amp; " / " &amp; IFERROR(VLOOKUP(MID(G49,H49,I49-H49),[6]skilldef!$A:$B,2,FALSE),"-")</f>
        <v>自分自身に / 行動値設定</v>
      </c>
      <c r="M49" s="63" t="str">
        <f t="shared" ref="M49:M57" si="22">IFERROR(RIGHT(B49,LEN(B49)-FIND("],",B49)-1),"none")</f>
        <v>[effect:enhance_enemy, target:myself, turn:-1, status:defense, val:2000, calc:add, animation:enemy_enhance_defense]</v>
      </c>
      <c r="N49" s="48" t="str">
        <f>IFERROR(LEFT(M49,FIND("],",M49)+S56),M49)</f>
        <v>[effect:enhance_enemy, target:myself, turn:-1, status:defense, val:2000, calc:add, animation:enemy_enhance_defense]</v>
      </c>
      <c r="O49" s="63">
        <f t="shared" ref="O49:O57" si="23">FIND("effect:",N49)+7</f>
        <v>9</v>
      </c>
      <c r="P49" s="63">
        <f t="shared" ref="P49:P57" si="24">IFERROR(FIND(",",N49),LEN(N49))</f>
        <v>22</v>
      </c>
      <c r="Q49" s="63">
        <f t="shared" ref="Q49:Q57" si="25">FIND("target:",N49)+7</f>
        <v>31</v>
      </c>
      <c r="R49" s="63">
        <f t="shared" ref="R49:R57" si="26">FIND(",",N49,P49+1)</f>
        <v>37</v>
      </c>
      <c r="S49" s="63" t="str">
        <f>IFERROR(VLOOKUP(MID(N49,Q49,R49-Q49),[6]skilldef!$C:$D,2,FALSE),"-") &amp; " / " &amp; IFERROR(VLOOKUP(MID(N49,O49,P49-O49),[6]skilldef!$A:$B,2,FALSE),"-")</f>
        <v>自分自身に / ステータス強化</v>
      </c>
      <c r="T49" s="48" t="str">
        <f t="shared" ref="T49:T57" si="27">IFERROR(RIGHT(M49,LEN(M49)-FIND("],",M49)-1),"none")</f>
        <v>none</v>
      </c>
      <c r="U49" s="63" t="e">
        <f t="shared" ref="U49:U57" si="28">FIND("effect:",T49)+7</f>
        <v>#VALUE!</v>
      </c>
      <c r="V49" s="63">
        <f t="shared" ref="V49:V57" si="29">IFERROR(FIND(",",T49),LEN(T49))</f>
        <v>4</v>
      </c>
      <c r="W49" s="63" t="e">
        <f t="shared" ref="W49:W57" si="30">FIND("target:",T49)+7</f>
        <v>#VALUE!</v>
      </c>
      <c r="X49" s="63" t="e">
        <f t="shared" ref="X49:X57" si="31">FIND(",",T49,V49+1)</f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47">
        <v>49006062</v>
      </c>
      <c r="B50" s="47" t="s">
        <v>268</v>
      </c>
      <c r="C50" s="50">
        <v>3</v>
      </c>
      <c r="D50" s="50" t="s">
        <v>128</v>
      </c>
      <c r="E50" s="51" t="s">
        <v>273</v>
      </c>
      <c r="F50" s="51" t="s">
        <v>336</v>
      </c>
      <c r="G50" s="63" t="str">
        <f t="shared" si="17"/>
        <v xml:space="preserve">[effect:break_attack_fix, val:100, lowest_val:1200, count:7, block:block_red, target:unit_all]    </v>
      </c>
      <c r="H50" s="63">
        <f t="shared" si="18"/>
        <v>9</v>
      </c>
      <c r="I50" s="63">
        <f t="shared" si="19"/>
        <v>25</v>
      </c>
      <c r="J50" s="63">
        <f t="shared" si="20"/>
        <v>86</v>
      </c>
      <c r="K50" s="63">
        <f t="shared" si="21"/>
        <v>34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22"/>
        <v>none</v>
      </c>
      <c r="N50" s="48" t="str">
        <f>IFERROR(LEFT(M50,FIND("],",M50)+#REF!),M50)</f>
        <v>none</v>
      </c>
      <c r="O50" s="63" t="e">
        <f t="shared" si="23"/>
        <v>#VALUE!</v>
      </c>
      <c r="P50" s="63">
        <f t="shared" si="24"/>
        <v>4</v>
      </c>
      <c r="Q50" s="63" t="e">
        <f t="shared" si="25"/>
        <v>#VALUE!</v>
      </c>
      <c r="R50" s="63" t="e">
        <f t="shared" si="2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27"/>
        <v>none</v>
      </c>
      <c r="U50" s="63" t="e">
        <f t="shared" si="28"/>
        <v>#VALUE!</v>
      </c>
      <c r="V50" s="63">
        <f t="shared" si="29"/>
        <v>4</v>
      </c>
      <c r="W50" s="63" t="e">
        <f t="shared" si="30"/>
        <v>#VALUE!</v>
      </c>
      <c r="X50" s="63" t="e">
        <f t="shared" si="3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47">
        <v>49006063</v>
      </c>
      <c r="B51" s="47" t="s">
        <v>269</v>
      </c>
      <c r="C51" s="50">
        <v>3</v>
      </c>
      <c r="D51" s="50" t="s">
        <v>128</v>
      </c>
      <c r="E51" s="51" t="s">
        <v>273</v>
      </c>
      <c r="F51" s="51" t="s">
        <v>337</v>
      </c>
      <c r="G51" s="63" t="str">
        <f t="shared" si="17"/>
        <v xml:space="preserve">[effect:break_attack_fix, val:100, lowest_val:1200, count:7, block:block_green, target:unit_all]    </v>
      </c>
      <c r="H51" s="63">
        <f t="shared" si="18"/>
        <v>9</v>
      </c>
      <c r="I51" s="63">
        <f t="shared" si="19"/>
        <v>25</v>
      </c>
      <c r="J51" s="63">
        <f t="shared" si="20"/>
        <v>88</v>
      </c>
      <c r="K51" s="63">
        <f t="shared" si="21"/>
        <v>34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22"/>
        <v>none</v>
      </c>
      <c r="N51" s="48" t="str">
        <f>IFERROR(LEFT(M51,FIND("],",M51)+S57),M51)</f>
        <v>none</v>
      </c>
      <c r="O51" s="63" t="e">
        <f t="shared" si="23"/>
        <v>#VALUE!</v>
      </c>
      <c r="P51" s="63">
        <f t="shared" si="24"/>
        <v>4</v>
      </c>
      <c r="Q51" s="63" t="e">
        <f t="shared" si="25"/>
        <v>#VALUE!</v>
      </c>
      <c r="R51" s="63" t="e">
        <f t="shared" si="2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27"/>
        <v>none</v>
      </c>
      <c r="U51" s="63" t="e">
        <f t="shared" si="28"/>
        <v>#VALUE!</v>
      </c>
      <c r="V51" s="63">
        <f t="shared" si="29"/>
        <v>4</v>
      </c>
      <c r="W51" s="63" t="e">
        <f t="shared" si="30"/>
        <v>#VALUE!</v>
      </c>
      <c r="X51" s="63" t="e">
        <f t="shared" si="3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47">
        <v>49006065</v>
      </c>
      <c r="B52" s="47" t="s">
        <v>270</v>
      </c>
      <c r="C52" s="50">
        <v>3</v>
      </c>
      <c r="D52" s="50" t="s">
        <v>128</v>
      </c>
      <c r="E52" s="51" t="s">
        <v>273</v>
      </c>
      <c r="F52" s="51" t="s">
        <v>338</v>
      </c>
      <c r="G52" s="63" t="str">
        <f t="shared" si="17"/>
        <v xml:space="preserve">[effect:break_attack_fix, val:100, lowest_val:1200, count:7, block:block_yellow, target:unit_all]    </v>
      </c>
      <c r="H52" s="63">
        <f t="shared" si="18"/>
        <v>9</v>
      </c>
      <c r="I52" s="63">
        <f t="shared" si="19"/>
        <v>25</v>
      </c>
      <c r="J52" s="63">
        <f t="shared" si="20"/>
        <v>89</v>
      </c>
      <c r="K52" s="63">
        <f t="shared" si="21"/>
        <v>34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22"/>
        <v>none</v>
      </c>
      <c r="N52" s="48" t="str">
        <f>IFERROR(LEFT(M52,FIND("],",M52)+S59),M52)</f>
        <v>none</v>
      </c>
      <c r="O52" s="63" t="e">
        <f t="shared" si="23"/>
        <v>#VALUE!</v>
      </c>
      <c r="P52" s="63">
        <f t="shared" si="24"/>
        <v>4</v>
      </c>
      <c r="Q52" s="63" t="e">
        <f t="shared" si="25"/>
        <v>#VALUE!</v>
      </c>
      <c r="R52" s="63" t="e">
        <f t="shared" si="26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27"/>
        <v>none</v>
      </c>
      <c r="U52" s="63" t="e">
        <f t="shared" si="28"/>
        <v>#VALUE!</v>
      </c>
      <c r="V52" s="63">
        <f t="shared" si="29"/>
        <v>4</v>
      </c>
      <c r="W52" s="63" t="e">
        <f t="shared" si="30"/>
        <v>#VALUE!</v>
      </c>
      <c r="X52" s="63" t="e">
        <f t="shared" si="31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47">
        <v>49006067</v>
      </c>
      <c r="B53" s="47" t="s">
        <v>221</v>
      </c>
      <c r="C53" s="50">
        <v>3</v>
      </c>
      <c r="D53" s="50" t="s">
        <v>128</v>
      </c>
      <c r="E53" s="51" t="s">
        <v>234</v>
      </c>
      <c r="F53" s="51" t="s">
        <v>235</v>
      </c>
      <c r="G53" s="63" t="str">
        <f t="shared" si="17"/>
        <v>[effect:fix_speed, target:enemy_all, turn:1]</v>
      </c>
      <c r="H53" s="63">
        <f t="shared" si="18"/>
        <v>9</v>
      </c>
      <c r="I53" s="63">
        <f t="shared" si="19"/>
        <v>18</v>
      </c>
      <c r="J53" s="63">
        <f t="shared" si="20"/>
        <v>27</v>
      </c>
      <c r="K53" s="63">
        <f t="shared" si="21"/>
        <v>36</v>
      </c>
      <c r="L53" s="63" t="str">
        <f>IFERROR(VLOOKUP(MID(G53,J53,K53-J53),[6]skilldef!$C:$D,2,FALSE),"-") &amp; " / " &amp; IFERROR(VLOOKUP(MID(G53,H53,I53-H53),[6]skilldef!$A:$B,2,FALSE),"-")</f>
        <v>敵全体に / 行動値設定</v>
      </c>
      <c r="M53" s="63" t="str">
        <f t="shared" si="22"/>
        <v>none</v>
      </c>
      <c r="N53" s="48" t="str">
        <f>IFERROR(LEFT(M53,FIND("],",M53)+S61),M53)</f>
        <v>none</v>
      </c>
      <c r="O53" s="63" t="e">
        <f t="shared" si="23"/>
        <v>#VALUE!</v>
      </c>
      <c r="P53" s="63">
        <f t="shared" si="24"/>
        <v>4</v>
      </c>
      <c r="Q53" s="63" t="e">
        <f t="shared" si="25"/>
        <v>#VALUE!</v>
      </c>
      <c r="R53" s="63" t="e">
        <f t="shared" si="26"/>
        <v>#VALUE!</v>
      </c>
      <c r="S53" s="63" t="str">
        <f>IFERROR(VLOOKUP(MID(N53,Q53,R53-Q53),[6]skilldef!$C:$D,2,FALSE),"-") &amp; " / " &amp; IFERROR(VLOOKUP(MID(N53,O53,P53-O53),[6]skilldef!$A:$B,2,FALSE),"-")</f>
        <v>- / -</v>
      </c>
      <c r="T53" s="48" t="str">
        <f t="shared" si="27"/>
        <v>none</v>
      </c>
      <c r="U53" s="63" t="e">
        <f t="shared" si="28"/>
        <v>#VALUE!</v>
      </c>
      <c r="V53" s="63">
        <f t="shared" si="29"/>
        <v>4</v>
      </c>
      <c r="W53" s="63" t="e">
        <f t="shared" si="30"/>
        <v>#VALUE!</v>
      </c>
      <c r="X53" s="63" t="e">
        <f t="shared" si="31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47">
        <v>49006068</v>
      </c>
      <c r="B54" s="47" t="s">
        <v>268</v>
      </c>
      <c r="C54" s="50">
        <v>3</v>
      </c>
      <c r="D54" s="50" t="s">
        <v>128</v>
      </c>
      <c r="E54" s="51" t="s">
        <v>273</v>
      </c>
      <c r="F54" s="51" t="s">
        <v>336</v>
      </c>
      <c r="G54" s="63" t="str">
        <f t="shared" si="17"/>
        <v xml:space="preserve">[effect:break_attack_fix, val:100, lowest_val:1200, count:7, block:block_red, target:unit_all]    </v>
      </c>
      <c r="H54" s="63">
        <f t="shared" si="18"/>
        <v>9</v>
      </c>
      <c r="I54" s="63">
        <f t="shared" si="19"/>
        <v>25</v>
      </c>
      <c r="J54" s="63">
        <f t="shared" si="20"/>
        <v>86</v>
      </c>
      <c r="K54" s="63">
        <f t="shared" si="21"/>
        <v>34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si="22"/>
        <v>none</v>
      </c>
      <c r="N54" s="48" t="str">
        <f>IFERROR(LEFT(M54,FIND("],",M54)+S62),M54)</f>
        <v>none</v>
      </c>
      <c r="O54" s="63" t="e">
        <f t="shared" si="23"/>
        <v>#VALUE!</v>
      </c>
      <c r="P54" s="63">
        <f t="shared" si="24"/>
        <v>4</v>
      </c>
      <c r="Q54" s="63" t="e">
        <f t="shared" si="25"/>
        <v>#VALUE!</v>
      </c>
      <c r="R54" s="63" t="e">
        <f t="shared" si="26"/>
        <v>#VALUE!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27"/>
        <v>none</v>
      </c>
      <c r="U54" s="63" t="e">
        <f t="shared" si="28"/>
        <v>#VALUE!</v>
      </c>
      <c r="V54" s="63">
        <f t="shared" si="29"/>
        <v>4</v>
      </c>
      <c r="W54" s="63" t="e">
        <f t="shared" si="30"/>
        <v>#VALUE!</v>
      </c>
      <c r="X54" s="63" t="e">
        <f t="shared" si="31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47">
        <v>49006069</v>
      </c>
      <c r="B55" s="47" t="s">
        <v>269</v>
      </c>
      <c r="C55" s="50">
        <v>3</v>
      </c>
      <c r="D55" s="50" t="s">
        <v>128</v>
      </c>
      <c r="E55" s="51" t="s">
        <v>273</v>
      </c>
      <c r="F55" s="51" t="s">
        <v>337</v>
      </c>
      <c r="G55" s="63" t="str">
        <f t="shared" si="17"/>
        <v xml:space="preserve">[effect:break_attack_fix, val:100, lowest_val:1200, count:7, block:block_green, target:unit_all]    </v>
      </c>
      <c r="H55" s="63">
        <f t="shared" si="18"/>
        <v>9</v>
      </c>
      <c r="I55" s="63">
        <f t="shared" si="19"/>
        <v>25</v>
      </c>
      <c r="J55" s="63">
        <f t="shared" si="20"/>
        <v>88</v>
      </c>
      <c r="K55" s="63">
        <f t="shared" si="21"/>
        <v>34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22"/>
        <v>none</v>
      </c>
      <c r="N55" s="48" t="str">
        <f>IFERROR(LEFT(M55,FIND("],",M55)+S63),M55)</f>
        <v>none</v>
      </c>
      <c r="O55" s="63" t="e">
        <f t="shared" si="23"/>
        <v>#VALUE!</v>
      </c>
      <c r="P55" s="63">
        <f t="shared" si="24"/>
        <v>4</v>
      </c>
      <c r="Q55" s="63" t="e">
        <f t="shared" si="25"/>
        <v>#VALUE!</v>
      </c>
      <c r="R55" s="63" t="e">
        <f t="shared" si="26"/>
        <v>#VALUE!</v>
      </c>
      <c r="S55" s="63" t="str">
        <f>IFERROR(VLOOKUP(MID(N55,Q55,R55-Q55),[6]skilldef!$C:$D,2,FALSE),"-") &amp; " / " &amp; IFERROR(VLOOKUP(MID(N55,O55,P55-O55),[6]skilldef!$A:$B,2,FALSE),"-")</f>
        <v>- / -</v>
      </c>
      <c r="T55" s="48" t="str">
        <f t="shared" si="27"/>
        <v>none</v>
      </c>
      <c r="U55" s="63" t="e">
        <f t="shared" si="28"/>
        <v>#VALUE!</v>
      </c>
      <c r="V55" s="63">
        <f t="shared" si="29"/>
        <v>4</v>
      </c>
      <c r="W55" s="63" t="e">
        <f t="shared" si="30"/>
        <v>#VALUE!</v>
      </c>
      <c r="X55" s="63" t="e">
        <f t="shared" si="31"/>
        <v>#VALUE!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21" customHeight="1" x14ac:dyDescent="0.15">
      <c r="A56" s="47">
        <v>49006071</v>
      </c>
      <c r="B56" s="47" t="s">
        <v>270</v>
      </c>
      <c r="C56" s="50">
        <v>3</v>
      </c>
      <c r="D56" s="50" t="s">
        <v>128</v>
      </c>
      <c r="E56" s="51" t="s">
        <v>273</v>
      </c>
      <c r="F56" s="51" t="s">
        <v>338</v>
      </c>
      <c r="G56" s="63" t="str">
        <f t="shared" si="17"/>
        <v xml:space="preserve">[effect:break_attack_fix, val:100, lowest_val:1200, count:7, block:block_yellow, target:unit_all]    </v>
      </c>
      <c r="H56" s="63">
        <f t="shared" si="18"/>
        <v>9</v>
      </c>
      <c r="I56" s="63">
        <f t="shared" si="19"/>
        <v>25</v>
      </c>
      <c r="J56" s="63">
        <f t="shared" si="20"/>
        <v>89</v>
      </c>
      <c r="K56" s="63">
        <f t="shared" si="21"/>
        <v>34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22"/>
        <v>none</v>
      </c>
      <c r="N56" s="48" t="str">
        <f>IFERROR(LEFT(M56,FIND("],",M56)+S65),M56)</f>
        <v>none</v>
      </c>
      <c r="O56" s="63" t="e">
        <f t="shared" si="23"/>
        <v>#VALUE!</v>
      </c>
      <c r="P56" s="63">
        <f t="shared" si="24"/>
        <v>4</v>
      </c>
      <c r="Q56" s="63" t="e">
        <f t="shared" si="25"/>
        <v>#VALUE!</v>
      </c>
      <c r="R56" s="63" t="e">
        <f t="shared" si="26"/>
        <v>#VALUE!</v>
      </c>
      <c r="S56" s="63" t="str">
        <f>IFERROR(VLOOKUP(MID(N56,Q56,R56-Q56),[6]skilldef!$C:$D,2,FALSE),"-") &amp; " / " &amp; IFERROR(VLOOKUP(MID(N56,O56,P56-O56),[6]skilldef!$A:$B,2,FALSE),"-")</f>
        <v>- / -</v>
      </c>
      <c r="T56" s="48" t="str">
        <f t="shared" si="27"/>
        <v>none</v>
      </c>
      <c r="U56" s="63" t="e">
        <f t="shared" si="28"/>
        <v>#VALUE!</v>
      </c>
      <c r="V56" s="63">
        <f t="shared" si="29"/>
        <v>4</v>
      </c>
      <c r="W56" s="63" t="e">
        <f t="shared" si="30"/>
        <v>#VALUE!</v>
      </c>
      <c r="X56" s="63" t="e">
        <f t="shared" si="31"/>
        <v>#VALUE!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21" customHeight="1" x14ac:dyDescent="0.15">
      <c r="A57" s="47">
        <v>49006073</v>
      </c>
      <c r="B57" s="47" t="s">
        <v>255</v>
      </c>
      <c r="C57" s="50">
        <v>3</v>
      </c>
      <c r="D57" s="50" t="s">
        <v>128</v>
      </c>
      <c r="E57" s="51" t="s">
        <v>236</v>
      </c>
      <c r="F57" s="51" t="s">
        <v>237</v>
      </c>
      <c r="G57" s="63" t="str">
        <f t="shared" si="17"/>
        <v xml:space="preserve">[effect:rush, count:2, val:0.7]    </v>
      </c>
      <c r="H57" s="63">
        <f t="shared" si="18"/>
        <v>9</v>
      </c>
      <c r="I57" s="63">
        <f t="shared" si="19"/>
        <v>13</v>
      </c>
      <c r="J57" s="63" t="e">
        <f t="shared" si="20"/>
        <v>#VALUE!</v>
      </c>
      <c r="K57" s="63">
        <f t="shared" si="21"/>
        <v>22</v>
      </c>
      <c r="L57" s="63" t="str">
        <f>IFERROR(VLOOKUP(MID(G57,J57,K57-J57),[6]skilldef!$C:$D,2,FALSE),"-") &amp; " / " &amp; IFERROR(VLOOKUP(MID(G57,H57,I57-H57),[6]skilldef!$A:$B,2,FALSE),"-")</f>
        <v>- / 連続攻撃</v>
      </c>
      <c r="M57" s="63" t="str">
        <f t="shared" si="22"/>
        <v>none</v>
      </c>
      <c r="N57" s="48" t="str">
        <f t="shared" ref="N57" si="32">IFERROR(LEFT(M57,FIND("],",M57)+S67),M57)</f>
        <v>none</v>
      </c>
      <c r="O57" s="63" t="e">
        <f t="shared" si="23"/>
        <v>#VALUE!</v>
      </c>
      <c r="P57" s="63">
        <f t="shared" si="24"/>
        <v>4</v>
      </c>
      <c r="Q57" s="63" t="e">
        <f t="shared" si="25"/>
        <v>#VALUE!</v>
      </c>
      <c r="R57" s="63" t="e">
        <f t="shared" si="26"/>
        <v>#VALUE!</v>
      </c>
      <c r="S57" s="63" t="str">
        <f>IFERROR(VLOOKUP(MID(N57,Q57,R57-Q57),[6]skilldef!$C:$D,2,FALSE),"-") &amp; " / " &amp; IFERROR(VLOOKUP(MID(N57,O57,P57-O57),[6]skilldef!$A:$B,2,FALSE),"-")</f>
        <v>- / -</v>
      </c>
      <c r="T57" s="48" t="str">
        <f t="shared" si="27"/>
        <v>none</v>
      </c>
      <c r="U57" s="63" t="e">
        <f t="shared" si="28"/>
        <v>#VALUE!</v>
      </c>
      <c r="V57" s="63">
        <f t="shared" si="29"/>
        <v>4</v>
      </c>
      <c r="W57" s="63" t="e">
        <f t="shared" si="30"/>
        <v>#VALUE!</v>
      </c>
      <c r="X57" s="63" t="e">
        <f t="shared" si="31"/>
        <v>#VALUE!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1"/>
  <sheetViews>
    <sheetView showGridLines="0" zoomScale="90" zoomScaleNormal="75" zoomScalePageLayoutView="75" workbookViewId="0">
      <pane ySplit="1" topLeftCell="A10" activePane="bottomLeft" state="frozenSplit"/>
      <selection pane="bottomLeft" activeCell="I12" sqref="I1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49006001</v>
      </c>
      <c r="B2" s="47">
        <v>1</v>
      </c>
      <c r="C2" s="47" t="s">
        <v>89</v>
      </c>
      <c r="D2" s="47">
        <v>100</v>
      </c>
      <c r="E2" s="47" t="s">
        <v>90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49006002</v>
      </c>
      <c r="B3" s="47">
        <v>0</v>
      </c>
      <c r="C3" s="47" t="s">
        <v>53</v>
      </c>
      <c r="D3" s="47">
        <v>100</v>
      </c>
      <c r="E3" s="47" t="s">
        <v>90</v>
      </c>
      <c r="F3" s="47" t="s">
        <v>90</v>
      </c>
      <c r="G3" s="47" t="s">
        <v>90</v>
      </c>
      <c r="H3" s="47" t="s">
        <v>90</v>
      </c>
      <c r="I3" s="47" t="s">
        <v>90</v>
      </c>
      <c r="J3" s="48">
        <f t="shared" ref="J3:J61" si="1">D3</f>
        <v>100</v>
      </c>
    </row>
    <row r="4" spans="1:11" ht="21" customHeight="1" x14ac:dyDescent="0.15">
      <c r="A4" s="47">
        <v>49006003</v>
      </c>
      <c r="B4" s="47">
        <v>0</v>
      </c>
      <c r="C4" s="47" t="s">
        <v>53</v>
      </c>
      <c r="D4" s="47">
        <v>100</v>
      </c>
      <c r="E4" s="47" t="s">
        <v>90</v>
      </c>
      <c r="F4" s="47" t="s">
        <v>90</v>
      </c>
      <c r="G4" s="47" t="s">
        <v>90</v>
      </c>
      <c r="H4" s="47" t="s">
        <v>90</v>
      </c>
      <c r="I4" s="47" t="s">
        <v>90</v>
      </c>
      <c r="J4" s="48">
        <f t="shared" si="1"/>
        <v>100</v>
      </c>
    </row>
    <row r="5" spans="1:11" ht="21" customHeight="1" x14ac:dyDescent="0.15">
      <c r="A5" s="47">
        <v>49006004</v>
      </c>
      <c r="B5" s="47">
        <v>0</v>
      </c>
      <c r="C5" s="47" t="s">
        <v>53</v>
      </c>
      <c r="D5" s="47">
        <v>100</v>
      </c>
      <c r="E5" s="47" t="s">
        <v>90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49006005</v>
      </c>
      <c r="B6" s="47">
        <v>0</v>
      </c>
      <c r="C6" s="47" t="s">
        <v>53</v>
      </c>
      <c r="D6" s="47">
        <v>100</v>
      </c>
      <c r="E6" s="47" t="s">
        <v>90</v>
      </c>
      <c r="F6" s="47" t="s">
        <v>90</v>
      </c>
      <c r="G6" s="47" t="s">
        <v>90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49006006</v>
      </c>
      <c r="B7" s="47">
        <v>1</v>
      </c>
      <c r="C7" s="47" t="s">
        <v>53</v>
      </c>
      <c r="D7" s="47">
        <v>100</v>
      </c>
      <c r="E7" s="47" t="s">
        <v>90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49006007</v>
      </c>
      <c r="B8" s="47">
        <v>0</v>
      </c>
      <c r="C8" s="47" t="s">
        <v>53</v>
      </c>
      <c r="D8" s="47">
        <v>50</v>
      </c>
      <c r="E8" s="47" t="s">
        <v>90</v>
      </c>
      <c r="F8" s="47" t="s">
        <v>90</v>
      </c>
      <c r="G8" s="47" t="s">
        <v>90</v>
      </c>
      <c r="H8" s="47" t="s">
        <v>90</v>
      </c>
      <c r="I8" s="47" t="s">
        <v>90</v>
      </c>
      <c r="J8" s="48">
        <f t="shared" si="1"/>
        <v>50</v>
      </c>
    </row>
    <row r="9" spans="1:11" ht="21" customHeight="1" x14ac:dyDescent="0.15">
      <c r="A9" s="47">
        <v>49006008</v>
      </c>
      <c r="B9" s="47">
        <v>0</v>
      </c>
      <c r="C9" s="47" t="s">
        <v>53</v>
      </c>
      <c r="D9" s="47">
        <v>100</v>
      </c>
      <c r="E9" s="47" t="s">
        <v>90</v>
      </c>
      <c r="F9" s="47" t="s">
        <v>90</v>
      </c>
      <c r="G9" s="47" t="s">
        <v>90</v>
      </c>
      <c r="H9" s="47">
        <v>3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49006009</v>
      </c>
      <c r="B10" s="47">
        <v>0</v>
      </c>
      <c r="C10" s="47" t="s">
        <v>53</v>
      </c>
      <c r="D10" s="47">
        <v>100</v>
      </c>
      <c r="E10" s="47">
        <v>30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49006010</v>
      </c>
      <c r="B11" s="47">
        <v>0</v>
      </c>
      <c r="C11" s="47" t="s">
        <v>53</v>
      </c>
      <c r="D11" s="47">
        <v>100</v>
      </c>
      <c r="E11" s="47" t="s">
        <v>90</v>
      </c>
      <c r="F11" s="47" t="s">
        <v>90</v>
      </c>
      <c r="G11" s="47">
        <v>0</v>
      </c>
      <c r="H11" s="47" t="s">
        <v>90</v>
      </c>
      <c r="I11" s="47">
        <v>0</v>
      </c>
      <c r="J11" s="48">
        <f t="shared" si="1"/>
        <v>100</v>
      </c>
    </row>
    <row r="12" spans="1:11" ht="21" customHeight="1" x14ac:dyDescent="0.15">
      <c r="A12" s="47">
        <v>49006011</v>
      </c>
      <c r="B12" s="47">
        <v>1</v>
      </c>
      <c r="C12" s="47" t="s">
        <v>53</v>
      </c>
      <c r="D12" s="47">
        <v>100</v>
      </c>
      <c r="E12" s="47" t="s">
        <v>90</v>
      </c>
      <c r="F12" s="47" t="s">
        <v>90</v>
      </c>
      <c r="G12" s="47">
        <v>1</v>
      </c>
      <c r="H12" s="47" t="s">
        <v>90</v>
      </c>
      <c r="I12" s="47" t="s">
        <v>90</v>
      </c>
      <c r="J12" s="48">
        <f t="shared" si="1"/>
        <v>100</v>
      </c>
    </row>
    <row r="13" spans="1:11" ht="21" customHeight="1" x14ac:dyDescent="0.15">
      <c r="A13" s="47">
        <v>49006012</v>
      </c>
      <c r="B13" s="47">
        <v>0</v>
      </c>
      <c r="C13" s="47" t="s">
        <v>53</v>
      </c>
      <c r="D13" s="47">
        <v>20</v>
      </c>
      <c r="E13" s="47" t="s">
        <v>90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20</v>
      </c>
    </row>
    <row r="14" spans="1:11" ht="21" customHeight="1" x14ac:dyDescent="0.15">
      <c r="A14" s="47">
        <v>49006013</v>
      </c>
      <c r="B14" s="47">
        <v>0</v>
      </c>
      <c r="C14" s="47" t="s">
        <v>53</v>
      </c>
      <c r="D14" s="47">
        <v>40</v>
      </c>
      <c r="E14" s="47" t="s">
        <v>90</v>
      </c>
      <c r="F14" s="47" t="s">
        <v>90</v>
      </c>
      <c r="G14" s="47" t="s">
        <v>90</v>
      </c>
      <c r="H14" s="47" t="s">
        <v>90</v>
      </c>
      <c r="I14" s="47" t="s">
        <v>90</v>
      </c>
      <c r="J14" s="48">
        <f t="shared" si="1"/>
        <v>40</v>
      </c>
    </row>
    <row r="15" spans="1:11" ht="21" customHeight="1" x14ac:dyDescent="0.15">
      <c r="A15" s="47">
        <v>49006014</v>
      </c>
      <c r="B15" s="47">
        <v>0</v>
      </c>
      <c r="C15" s="47" t="s">
        <v>53</v>
      </c>
      <c r="D15" s="47">
        <v>60</v>
      </c>
      <c r="E15" s="47" t="s">
        <v>90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60</v>
      </c>
    </row>
    <row r="16" spans="1:11" ht="21" customHeight="1" x14ac:dyDescent="0.15">
      <c r="A16" s="47">
        <v>49006015</v>
      </c>
      <c r="B16" s="47">
        <v>0</v>
      </c>
      <c r="C16" s="47" t="s">
        <v>53</v>
      </c>
      <c r="D16" s="47">
        <v>80</v>
      </c>
      <c r="E16" s="47" t="s">
        <v>90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80</v>
      </c>
    </row>
    <row r="17" spans="1:10" ht="21" customHeight="1" x14ac:dyDescent="0.15">
      <c r="A17" s="47">
        <v>49006016</v>
      </c>
      <c r="B17" s="47">
        <v>0</v>
      </c>
      <c r="C17" s="47" t="s">
        <v>53</v>
      </c>
      <c r="D17" s="47">
        <v>100</v>
      </c>
      <c r="E17" s="47" t="s">
        <v>90</v>
      </c>
      <c r="F17" s="47" t="s">
        <v>90</v>
      </c>
      <c r="G17" s="47" t="s">
        <v>90</v>
      </c>
      <c r="H17" s="47" t="s">
        <v>90</v>
      </c>
      <c r="I17" s="47" t="s">
        <v>90</v>
      </c>
      <c r="J17" s="48">
        <f t="shared" si="1"/>
        <v>100</v>
      </c>
    </row>
    <row r="18" spans="1:10" ht="21" customHeight="1" x14ac:dyDescent="0.15">
      <c r="A18" s="47">
        <v>49006017</v>
      </c>
      <c r="B18" s="47">
        <v>1</v>
      </c>
      <c r="C18" s="47" t="s">
        <v>53</v>
      </c>
      <c r="D18" s="47">
        <v>100</v>
      </c>
      <c r="E18" s="47" t="s">
        <v>90</v>
      </c>
      <c r="F18" s="47" t="s">
        <v>90</v>
      </c>
      <c r="G18" s="47">
        <v>1</v>
      </c>
      <c r="H18" s="47" t="s">
        <v>90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49006018</v>
      </c>
      <c r="B19" s="47">
        <v>0</v>
      </c>
      <c r="C19" s="47" t="s">
        <v>53</v>
      </c>
      <c r="D19" s="47">
        <v>20</v>
      </c>
      <c r="E19" s="47" t="s">
        <v>90</v>
      </c>
      <c r="F19" s="47" t="s">
        <v>90</v>
      </c>
      <c r="G19" s="47" t="s">
        <v>90</v>
      </c>
      <c r="H19" s="47" t="s">
        <v>90</v>
      </c>
      <c r="I19" s="47" t="s">
        <v>90</v>
      </c>
      <c r="J19" s="48">
        <f t="shared" si="1"/>
        <v>20</v>
      </c>
    </row>
    <row r="20" spans="1:10" ht="21" customHeight="1" x14ac:dyDescent="0.15">
      <c r="A20" s="47">
        <v>49006019</v>
      </c>
      <c r="B20" s="47">
        <v>0</v>
      </c>
      <c r="C20" s="47" t="s">
        <v>53</v>
      </c>
      <c r="D20" s="47">
        <v>40</v>
      </c>
      <c r="E20" s="47" t="s">
        <v>90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40</v>
      </c>
    </row>
    <row r="21" spans="1:10" ht="21" customHeight="1" x14ac:dyDescent="0.15">
      <c r="A21" s="47">
        <v>49006020</v>
      </c>
      <c r="B21" s="47">
        <v>0</v>
      </c>
      <c r="C21" s="47" t="s">
        <v>53</v>
      </c>
      <c r="D21" s="47">
        <v>60</v>
      </c>
      <c r="E21" s="47" t="s">
        <v>90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60</v>
      </c>
    </row>
    <row r="22" spans="1:10" ht="21" customHeight="1" x14ac:dyDescent="0.15">
      <c r="A22" s="47">
        <v>49006021</v>
      </c>
      <c r="B22" s="47">
        <v>0</v>
      </c>
      <c r="C22" s="47" t="s">
        <v>53</v>
      </c>
      <c r="D22" s="47">
        <v>80</v>
      </c>
      <c r="E22" s="47" t="s">
        <v>90</v>
      </c>
      <c r="F22" s="47" t="s">
        <v>90</v>
      </c>
      <c r="G22" s="47" t="s">
        <v>90</v>
      </c>
      <c r="H22" s="47" t="s">
        <v>90</v>
      </c>
      <c r="I22" s="47" t="s">
        <v>90</v>
      </c>
      <c r="J22" s="48">
        <f t="shared" si="1"/>
        <v>80</v>
      </c>
    </row>
    <row r="23" spans="1:10" ht="21" customHeight="1" x14ac:dyDescent="0.15">
      <c r="A23" s="47">
        <v>49006022</v>
      </c>
      <c r="B23" s="47">
        <v>0</v>
      </c>
      <c r="C23" s="47" t="s">
        <v>53</v>
      </c>
      <c r="D23" s="47">
        <v>100</v>
      </c>
      <c r="E23" s="47" t="s">
        <v>90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1"/>
        <v>100</v>
      </c>
    </row>
    <row r="24" spans="1:10" ht="21" customHeight="1" x14ac:dyDescent="0.15">
      <c r="A24" s="47">
        <v>49006023</v>
      </c>
      <c r="B24" s="47">
        <v>0</v>
      </c>
      <c r="C24" s="47">
        <v>10</v>
      </c>
      <c r="D24" s="47">
        <v>100</v>
      </c>
      <c r="E24" s="47">
        <v>30</v>
      </c>
      <c r="F24" s="47" t="s">
        <v>90</v>
      </c>
      <c r="G24" s="47" t="s">
        <v>90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 x14ac:dyDescent="0.15">
      <c r="A25" s="47">
        <v>49006024</v>
      </c>
      <c r="B25" s="47">
        <v>0</v>
      </c>
      <c r="C25" s="47" t="s">
        <v>53</v>
      </c>
      <c r="D25" s="47">
        <v>100</v>
      </c>
      <c r="E25" s="47" t="s">
        <v>90</v>
      </c>
      <c r="F25" s="47" t="s">
        <v>90</v>
      </c>
      <c r="G25" s="47" t="s">
        <v>90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 x14ac:dyDescent="0.15">
      <c r="A26" s="47">
        <v>49006025</v>
      </c>
      <c r="B26" s="47">
        <v>0</v>
      </c>
      <c r="C26" s="47" t="s">
        <v>53</v>
      </c>
      <c r="D26" s="47">
        <v>100</v>
      </c>
      <c r="E26" s="47" t="s">
        <v>90</v>
      </c>
      <c r="F26" s="47" t="s">
        <v>90</v>
      </c>
      <c r="G26" s="47" t="s">
        <v>90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 x14ac:dyDescent="0.15">
      <c r="A27" s="47">
        <v>49006026</v>
      </c>
      <c r="B27" s="47">
        <v>0</v>
      </c>
      <c r="C27" s="47" t="s">
        <v>53</v>
      </c>
      <c r="D27" s="47">
        <v>100</v>
      </c>
      <c r="E27" s="47" t="s">
        <v>90</v>
      </c>
      <c r="F27" s="47" t="s">
        <v>90</v>
      </c>
      <c r="G27" s="47" t="s">
        <v>90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 x14ac:dyDescent="0.15">
      <c r="A28" s="47">
        <v>49006027</v>
      </c>
      <c r="B28" s="47">
        <v>1</v>
      </c>
      <c r="C28" s="47" t="s">
        <v>53</v>
      </c>
      <c r="D28" s="47">
        <v>100</v>
      </c>
      <c r="E28" s="47" t="s">
        <v>90</v>
      </c>
      <c r="F28" s="47" t="s">
        <v>90</v>
      </c>
      <c r="G28" s="47">
        <v>1</v>
      </c>
      <c r="H28" s="47" t="s">
        <v>90</v>
      </c>
      <c r="I28" s="47" t="s">
        <v>90</v>
      </c>
      <c r="J28" s="48">
        <f t="shared" si="1"/>
        <v>100</v>
      </c>
    </row>
    <row r="29" spans="1:10" ht="21" customHeight="1" x14ac:dyDescent="0.15">
      <c r="A29" s="47">
        <v>49006028</v>
      </c>
      <c r="B29" s="47">
        <v>0</v>
      </c>
      <c r="C29" s="47" t="s">
        <v>53</v>
      </c>
      <c r="D29" s="47">
        <v>50</v>
      </c>
      <c r="E29" s="47" t="s">
        <v>90</v>
      </c>
      <c r="F29" s="47" t="s">
        <v>90</v>
      </c>
      <c r="G29" s="47" t="s">
        <v>90</v>
      </c>
      <c r="H29" s="47" t="s">
        <v>90</v>
      </c>
      <c r="I29" s="47" t="s">
        <v>90</v>
      </c>
      <c r="J29" s="48">
        <f t="shared" si="1"/>
        <v>50</v>
      </c>
    </row>
    <row r="30" spans="1:10" ht="21" customHeight="1" x14ac:dyDescent="0.15">
      <c r="A30" s="47">
        <v>49006029</v>
      </c>
      <c r="B30" s="47">
        <v>0</v>
      </c>
      <c r="C30" s="47" t="s">
        <v>53</v>
      </c>
      <c r="D30" s="47">
        <v>50</v>
      </c>
      <c r="E30" s="47" t="s">
        <v>90</v>
      </c>
      <c r="F30" s="47" t="s">
        <v>90</v>
      </c>
      <c r="G30" s="47" t="s">
        <v>90</v>
      </c>
      <c r="H30" s="47" t="s">
        <v>90</v>
      </c>
      <c r="I30" s="47" t="s">
        <v>90</v>
      </c>
      <c r="J30" s="48">
        <f t="shared" si="1"/>
        <v>50</v>
      </c>
    </row>
    <row r="31" spans="1:10" ht="21" customHeight="1" x14ac:dyDescent="0.15">
      <c r="A31" s="47">
        <v>49006030</v>
      </c>
      <c r="B31" s="47">
        <v>0</v>
      </c>
      <c r="C31" s="47" t="s">
        <v>53</v>
      </c>
      <c r="D31" s="47">
        <v>100</v>
      </c>
      <c r="E31" s="47" t="s">
        <v>90</v>
      </c>
      <c r="F31" s="47" t="s">
        <v>90</v>
      </c>
      <c r="G31" s="47" t="s">
        <v>90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 x14ac:dyDescent="0.15">
      <c r="A32" s="47">
        <v>49006031</v>
      </c>
      <c r="B32" s="47">
        <v>0</v>
      </c>
      <c r="C32" s="47" t="s">
        <v>53</v>
      </c>
      <c r="D32" s="47">
        <v>100</v>
      </c>
      <c r="E32" s="47" t="s">
        <v>90</v>
      </c>
      <c r="F32" s="47" t="s">
        <v>90</v>
      </c>
      <c r="G32" s="47" t="s">
        <v>90</v>
      </c>
      <c r="H32" s="47" t="s">
        <v>90</v>
      </c>
      <c r="I32" s="47" t="s">
        <v>90</v>
      </c>
      <c r="J32" s="48">
        <f t="shared" si="1"/>
        <v>100</v>
      </c>
    </row>
    <row r="33" spans="1:10" ht="21" customHeight="1" x14ac:dyDescent="0.15">
      <c r="A33" s="47">
        <v>49006032</v>
      </c>
      <c r="B33" s="47">
        <v>1</v>
      </c>
      <c r="C33" s="47" t="s">
        <v>53</v>
      </c>
      <c r="D33" s="47">
        <v>100</v>
      </c>
      <c r="E33" s="47" t="s">
        <v>90</v>
      </c>
      <c r="F33" s="47" t="s">
        <v>90</v>
      </c>
      <c r="G33" s="47">
        <v>1</v>
      </c>
      <c r="H33" s="47" t="s">
        <v>90</v>
      </c>
      <c r="I33" s="47" t="s">
        <v>90</v>
      </c>
      <c r="J33" s="48">
        <f t="shared" si="1"/>
        <v>100</v>
      </c>
    </row>
    <row r="34" spans="1:10" ht="21" customHeight="1" x14ac:dyDescent="0.15">
      <c r="A34" s="47">
        <v>49006033</v>
      </c>
      <c r="B34" s="47">
        <v>0</v>
      </c>
      <c r="C34" s="47">
        <v>50</v>
      </c>
      <c r="D34" s="47">
        <v>20</v>
      </c>
      <c r="E34" s="47" t="s">
        <v>90</v>
      </c>
      <c r="F34" s="47" t="s">
        <v>90</v>
      </c>
      <c r="G34" s="47" t="s">
        <v>90</v>
      </c>
      <c r="H34" s="47" t="s">
        <v>90</v>
      </c>
      <c r="I34" s="47" t="s">
        <v>90</v>
      </c>
      <c r="J34" s="48">
        <f t="shared" si="1"/>
        <v>20</v>
      </c>
    </row>
    <row r="35" spans="1:10" ht="21" customHeight="1" x14ac:dyDescent="0.15">
      <c r="A35" s="47">
        <v>49006034</v>
      </c>
      <c r="B35" s="47">
        <v>0</v>
      </c>
      <c r="C35" s="47">
        <v>40</v>
      </c>
      <c r="D35" s="47">
        <v>50</v>
      </c>
      <c r="E35" s="47" t="s">
        <v>90</v>
      </c>
      <c r="F35" s="47" t="s">
        <v>90</v>
      </c>
      <c r="G35" s="47" t="s">
        <v>90</v>
      </c>
      <c r="H35" s="47" t="s">
        <v>90</v>
      </c>
      <c r="I35" s="47" t="s">
        <v>90</v>
      </c>
      <c r="J35" s="48">
        <f t="shared" si="1"/>
        <v>50</v>
      </c>
    </row>
    <row r="36" spans="1:10" ht="21" customHeight="1" x14ac:dyDescent="0.15">
      <c r="A36" s="47">
        <v>49006035</v>
      </c>
      <c r="B36" s="47">
        <v>0</v>
      </c>
      <c r="C36" s="47">
        <v>30</v>
      </c>
      <c r="D36" s="47">
        <v>50</v>
      </c>
      <c r="E36" s="47" t="s">
        <v>90</v>
      </c>
      <c r="F36" s="47" t="s">
        <v>90</v>
      </c>
      <c r="G36" s="47" t="s">
        <v>90</v>
      </c>
      <c r="H36" s="47" t="s">
        <v>90</v>
      </c>
      <c r="I36" s="47" t="s">
        <v>90</v>
      </c>
      <c r="J36" s="48">
        <f t="shared" si="1"/>
        <v>50</v>
      </c>
    </row>
    <row r="37" spans="1:10" ht="21" customHeight="1" x14ac:dyDescent="0.15">
      <c r="A37" s="47">
        <v>49006036</v>
      </c>
      <c r="B37" s="47">
        <v>0</v>
      </c>
      <c r="C37" s="47">
        <v>50</v>
      </c>
      <c r="D37" s="47">
        <v>20</v>
      </c>
      <c r="E37" s="47" t="s">
        <v>90</v>
      </c>
      <c r="F37" s="47" t="s">
        <v>90</v>
      </c>
      <c r="G37" s="47" t="s">
        <v>90</v>
      </c>
      <c r="H37" s="47" t="s">
        <v>90</v>
      </c>
      <c r="I37" s="47" t="s">
        <v>90</v>
      </c>
      <c r="J37" s="48">
        <f t="shared" si="1"/>
        <v>20</v>
      </c>
    </row>
    <row r="38" spans="1:10" ht="21" customHeight="1" x14ac:dyDescent="0.15">
      <c r="A38" s="47">
        <v>49006037</v>
      </c>
      <c r="B38" s="47">
        <v>0</v>
      </c>
      <c r="C38" s="47">
        <v>40</v>
      </c>
      <c r="D38" s="47">
        <v>50</v>
      </c>
      <c r="E38" s="47" t="s">
        <v>90</v>
      </c>
      <c r="F38" s="47" t="s">
        <v>90</v>
      </c>
      <c r="G38" s="47" t="s">
        <v>90</v>
      </c>
      <c r="H38" s="47" t="s">
        <v>90</v>
      </c>
      <c r="I38" s="47" t="s">
        <v>90</v>
      </c>
      <c r="J38" s="48">
        <f t="shared" si="1"/>
        <v>50</v>
      </c>
    </row>
    <row r="39" spans="1:10" ht="21" customHeight="1" x14ac:dyDescent="0.15">
      <c r="A39" s="47">
        <v>49006038</v>
      </c>
      <c r="B39" s="47">
        <v>0</v>
      </c>
      <c r="C39" s="47">
        <v>30</v>
      </c>
      <c r="D39" s="47">
        <v>50</v>
      </c>
      <c r="E39" s="47" t="s">
        <v>90</v>
      </c>
      <c r="F39" s="47" t="s">
        <v>90</v>
      </c>
      <c r="G39" s="47" t="s">
        <v>90</v>
      </c>
      <c r="H39" s="47" t="s">
        <v>90</v>
      </c>
      <c r="I39" s="47" t="s">
        <v>90</v>
      </c>
      <c r="J39" s="48">
        <f t="shared" si="1"/>
        <v>50</v>
      </c>
    </row>
    <row r="40" spans="1:10" ht="21" customHeight="1" x14ac:dyDescent="0.15">
      <c r="A40" s="47">
        <v>49006039</v>
      </c>
      <c r="B40" s="47">
        <v>0</v>
      </c>
      <c r="C40" s="47">
        <v>50</v>
      </c>
      <c r="D40" s="47">
        <v>20</v>
      </c>
      <c r="E40" s="47" t="s">
        <v>90</v>
      </c>
      <c r="F40" s="47" t="s">
        <v>90</v>
      </c>
      <c r="G40" s="47" t="s">
        <v>90</v>
      </c>
      <c r="H40" s="47" t="s">
        <v>90</v>
      </c>
      <c r="I40" s="47" t="s">
        <v>90</v>
      </c>
      <c r="J40" s="48">
        <f t="shared" si="1"/>
        <v>20</v>
      </c>
    </row>
    <row r="41" spans="1:10" ht="21" customHeight="1" x14ac:dyDescent="0.15">
      <c r="A41" s="47">
        <v>49006040</v>
      </c>
      <c r="B41" s="47">
        <v>0</v>
      </c>
      <c r="C41" s="47">
        <v>40</v>
      </c>
      <c r="D41" s="47">
        <v>50</v>
      </c>
      <c r="E41" s="47" t="s">
        <v>90</v>
      </c>
      <c r="F41" s="47" t="s">
        <v>90</v>
      </c>
      <c r="G41" s="47" t="s">
        <v>90</v>
      </c>
      <c r="H41" s="47" t="s">
        <v>90</v>
      </c>
      <c r="I41" s="47" t="s">
        <v>90</v>
      </c>
      <c r="J41" s="48">
        <f t="shared" si="1"/>
        <v>50</v>
      </c>
    </row>
    <row r="42" spans="1:10" ht="21" customHeight="1" x14ac:dyDescent="0.15">
      <c r="A42" s="47">
        <v>49006041</v>
      </c>
      <c r="B42" s="47">
        <v>0</v>
      </c>
      <c r="C42" s="47">
        <v>30</v>
      </c>
      <c r="D42" s="47">
        <v>50</v>
      </c>
      <c r="E42" s="47" t="s">
        <v>90</v>
      </c>
      <c r="F42" s="47" t="s">
        <v>90</v>
      </c>
      <c r="G42" s="47" t="s">
        <v>90</v>
      </c>
      <c r="H42" s="47" t="s">
        <v>90</v>
      </c>
      <c r="I42" s="47" t="s">
        <v>90</v>
      </c>
      <c r="J42" s="48">
        <f t="shared" si="1"/>
        <v>50</v>
      </c>
    </row>
    <row r="43" spans="1:10" ht="21" customHeight="1" x14ac:dyDescent="0.15">
      <c r="A43" s="47">
        <v>49006042</v>
      </c>
      <c r="B43" s="47">
        <v>0</v>
      </c>
      <c r="C43" s="47">
        <v>10</v>
      </c>
      <c r="D43" s="47">
        <v>100</v>
      </c>
      <c r="E43" s="47">
        <v>30</v>
      </c>
      <c r="F43" s="47" t="s">
        <v>90</v>
      </c>
      <c r="G43" s="47" t="s">
        <v>89</v>
      </c>
      <c r="H43" s="47" t="s">
        <v>90</v>
      </c>
      <c r="I43" s="47" t="s">
        <v>90</v>
      </c>
      <c r="J43" s="48">
        <f t="shared" si="1"/>
        <v>100</v>
      </c>
    </row>
    <row r="44" spans="1:10" ht="21" customHeight="1" x14ac:dyDescent="0.15">
      <c r="A44" s="47">
        <v>49006043</v>
      </c>
      <c r="B44" s="47">
        <v>0</v>
      </c>
      <c r="C44" s="47" t="s">
        <v>53</v>
      </c>
      <c r="D44" s="47">
        <v>100</v>
      </c>
      <c r="E44" s="47" t="s">
        <v>90</v>
      </c>
      <c r="F44" s="47" t="s">
        <v>90</v>
      </c>
      <c r="G44" s="47" t="s">
        <v>90</v>
      </c>
      <c r="H44" s="47" t="s">
        <v>90</v>
      </c>
      <c r="I44" s="47" t="s">
        <v>90</v>
      </c>
      <c r="J44" s="48">
        <f t="shared" si="1"/>
        <v>100</v>
      </c>
    </row>
    <row r="45" spans="1:10" ht="21" customHeight="1" x14ac:dyDescent="0.15">
      <c r="A45" s="47">
        <v>49006044</v>
      </c>
      <c r="B45" s="47">
        <v>0</v>
      </c>
      <c r="C45" s="47" t="s">
        <v>53</v>
      </c>
      <c r="D45" s="47">
        <v>100</v>
      </c>
      <c r="E45" s="47" t="s">
        <v>90</v>
      </c>
      <c r="F45" s="47" t="s">
        <v>90</v>
      </c>
      <c r="G45" s="47" t="s">
        <v>90</v>
      </c>
      <c r="H45" s="47" t="s">
        <v>90</v>
      </c>
      <c r="I45" s="47" t="s">
        <v>90</v>
      </c>
      <c r="J45" s="48">
        <f t="shared" si="1"/>
        <v>100</v>
      </c>
    </row>
    <row r="46" spans="1:10" ht="21" customHeight="1" x14ac:dyDescent="0.15">
      <c r="A46" s="47">
        <v>49006045</v>
      </c>
      <c r="B46" s="47">
        <v>0</v>
      </c>
      <c r="C46" s="47" t="s">
        <v>53</v>
      </c>
      <c r="D46" s="47">
        <v>100</v>
      </c>
      <c r="E46" s="47" t="s">
        <v>90</v>
      </c>
      <c r="F46" s="47" t="s">
        <v>90</v>
      </c>
      <c r="G46" s="47" t="s">
        <v>90</v>
      </c>
      <c r="H46" s="47" t="s">
        <v>90</v>
      </c>
      <c r="I46" s="47" t="s">
        <v>90</v>
      </c>
      <c r="J46" s="48">
        <f t="shared" si="1"/>
        <v>100</v>
      </c>
    </row>
    <row r="47" spans="1:10" ht="21" customHeight="1" x14ac:dyDescent="0.15">
      <c r="A47" s="47">
        <v>49006046</v>
      </c>
      <c r="B47" s="47">
        <v>1</v>
      </c>
      <c r="C47" s="47" t="s">
        <v>53</v>
      </c>
      <c r="D47" s="47">
        <v>100</v>
      </c>
      <c r="E47" s="47" t="s">
        <v>90</v>
      </c>
      <c r="F47" s="47" t="s">
        <v>90</v>
      </c>
      <c r="G47" s="47">
        <v>1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 x14ac:dyDescent="0.15">
      <c r="A48" s="47">
        <v>49006047</v>
      </c>
      <c r="B48" s="47">
        <v>0</v>
      </c>
      <c r="C48" s="47">
        <v>50</v>
      </c>
      <c r="D48" s="47">
        <v>20</v>
      </c>
      <c r="E48" s="47" t="s">
        <v>90</v>
      </c>
      <c r="F48" s="47" t="s">
        <v>90</v>
      </c>
      <c r="G48" s="47" t="s">
        <v>90</v>
      </c>
      <c r="H48" s="47" t="s">
        <v>90</v>
      </c>
      <c r="I48" s="47" t="s">
        <v>90</v>
      </c>
      <c r="J48" s="48">
        <f t="shared" si="1"/>
        <v>20</v>
      </c>
    </row>
    <row r="49" spans="1:10" ht="21" customHeight="1" x14ac:dyDescent="0.15">
      <c r="A49" s="47">
        <v>49006048</v>
      </c>
      <c r="B49" s="47">
        <v>0</v>
      </c>
      <c r="C49" s="47">
        <v>40</v>
      </c>
      <c r="D49" s="47">
        <v>50</v>
      </c>
      <c r="E49" s="47" t="s">
        <v>90</v>
      </c>
      <c r="F49" s="47" t="s">
        <v>90</v>
      </c>
      <c r="G49" s="47" t="s">
        <v>90</v>
      </c>
      <c r="H49" s="47" t="s">
        <v>90</v>
      </c>
      <c r="I49" s="47" t="s">
        <v>90</v>
      </c>
      <c r="J49" s="48">
        <f t="shared" si="1"/>
        <v>50</v>
      </c>
    </row>
    <row r="50" spans="1:10" ht="21" customHeight="1" x14ac:dyDescent="0.15">
      <c r="A50" s="47">
        <v>49006049</v>
      </c>
      <c r="B50" s="47">
        <v>0</v>
      </c>
      <c r="C50" s="47">
        <v>30</v>
      </c>
      <c r="D50" s="47">
        <v>50</v>
      </c>
      <c r="E50" s="47" t="s">
        <v>90</v>
      </c>
      <c r="F50" s="47" t="s">
        <v>90</v>
      </c>
      <c r="G50" s="47" t="s">
        <v>90</v>
      </c>
      <c r="H50" s="47" t="s">
        <v>90</v>
      </c>
      <c r="I50" s="47" t="s">
        <v>90</v>
      </c>
      <c r="J50" s="48">
        <f t="shared" si="1"/>
        <v>50</v>
      </c>
    </row>
    <row r="51" spans="1:10" ht="21" customHeight="1" x14ac:dyDescent="0.15">
      <c r="A51" s="47">
        <v>49006050</v>
      </c>
      <c r="B51" s="47">
        <v>0</v>
      </c>
      <c r="C51" s="47">
        <v>50</v>
      </c>
      <c r="D51" s="47">
        <v>20</v>
      </c>
      <c r="E51" s="47" t="s">
        <v>90</v>
      </c>
      <c r="F51" s="47" t="s">
        <v>90</v>
      </c>
      <c r="G51" s="47" t="s">
        <v>90</v>
      </c>
      <c r="H51" s="47" t="s">
        <v>90</v>
      </c>
      <c r="I51" s="47" t="s">
        <v>90</v>
      </c>
      <c r="J51" s="48">
        <f t="shared" si="1"/>
        <v>20</v>
      </c>
    </row>
    <row r="52" spans="1:10" ht="21" customHeight="1" x14ac:dyDescent="0.15">
      <c r="A52" s="47">
        <v>49006051</v>
      </c>
      <c r="B52" s="47">
        <v>0</v>
      </c>
      <c r="C52" s="47">
        <v>40</v>
      </c>
      <c r="D52" s="47">
        <v>50</v>
      </c>
      <c r="E52" s="47" t="s">
        <v>90</v>
      </c>
      <c r="F52" s="47" t="s">
        <v>90</v>
      </c>
      <c r="G52" s="47" t="s">
        <v>90</v>
      </c>
      <c r="H52" s="47" t="s">
        <v>90</v>
      </c>
      <c r="I52" s="47" t="s">
        <v>90</v>
      </c>
      <c r="J52" s="48">
        <f t="shared" si="1"/>
        <v>50</v>
      </c>
    </row>
    <row r="53" spans="1:10" ht="21" customHeight="1" x14ac:dyDescent="0.15">
      <c r="A53" s="47">
        <v>49006052</v>
      </c>
      <c r="B53" s="47">
        <v>0</v>
      </c>
      <c r="C53" s="47">
        <v>30</v>
      </c>
      <c r="D53" s="47">
        <v>50</v>
      </c>
      <c r="E53" s="47" t="s">
        <v>90</v>
      </c>
      <c r="F53" s="47" t="s">
        <v>90</v>
      </c>
      <c r="G53" s="47" t="s">
        <v>90</v>
      </c>
      <c r="H53" s="47" t="s">
        <v>90</v>
      </c>
      <c r="I53" s="47" t="s">
        <v>90</v>
      </c>
      <c r="J53" s="48">
        <f t="shared" si="1"/>
        <v>50</v>
      </c>
    </row>
    <row r="54" spans="1:10" ht="21" customHeight="1" x14ac:dyDescent="0.15">
      <c r="A54" s="47">
        <v>49006053</v>
      </c>
      <c r="B54" s="47">
        <v>0</v>
      </c>
      <c r="C54" s="47">
        <v>50</v>
      </c>
      <c r="D54" s="47">
        <v>20</v>
      </c>
      <c r="E54" s="47" t="s">
        <v>90</v>
      </c>
      <c r="F54" s="47" t="s">
        <v>90</v>
      </c>
      <c r="G54" s="47" t="s">
        <v>90</v>
      </c>
      <c r="H54" s="47" t="s">
        <v>90</v>
      </c>
      <c r="I54" s="47" t="s">
        <v>90</v>
      </c>
      <c r="J54" s="48">
        <f t="shared" si="1"/>
        <v>20</v>
      </c>
    </row>
    <row r="55" spans="1:10" ht="21" customHeight="1" x14ac:dyDescent="0.15">
      <c r="A55" s="47">
        <v>49006054</v>
      </c>
      <c r="B55" s="47">
        <v>0</v>
      </c>
      <c r="C55" s="47">
        <v>40</v>
      </c>
      <c r="D55" s="47">
        <v>50</v>
      </c>
      <c r="E55" s="47" t="s">
        <v>90</v>
      </c>
      <c r="F55" s="47" t="s">
        <v>90</v>
      </c>
      <c r="G55" s="47" t="s">
        <v>90</v>
      </c>
      <c r="H55" s="47" t="s">
        <v>90</v>
      </c>
      <c r="I55" s="47" t="s">
        <v>90</v>
      </c>
      <c r="J55" s="48">
        <f t="shared" si="1"/>
        <v>50</v>
      </c>
    </row>
    <row r="56" spans="1:10" ht="21" customHeight="1" x14ac:dyDescent="0.15">
      <c r="A56" s="47">
        <v>49006055</v>
      </c>
      <c r="B56" s="47">
        <v>0</v>
      </c>
      <c r="C56" s="47">
        <v>30</v>
      </c>
      <c r="D56" s="47">
        <v>50</v>
      </c>
      <c r="E56" s="47" t="s">
        <v>90</v>
      </c>
      <c r="F56" s="47" t="s">
        <v>90</v>
      </c>
      <c r="G56" s="47" t="s">
        <v>90</v>
      </c>
      <c r="H56" s="47" t="s">
        <v>90</v>
      </c>
      <c r="I56" s="47" t="s">
        <v>90</v>
      </c>
      <c r="J56" s="48">
        <f t="shared" si="1"/>
        <v>50</v>
      </c>
    </row>
    <row r="57" spans="1:10" ht="21" customHeight="1" x14ac:dyDescent="0.15">
      <c r="A57" s="47">
        <v>49006056</v>
      </c>
      <c r="B57" s="47">
        <v>0</v>
      </c>
      <c r="C57" s="47">
        <v>90</v>
      </c>
      <c r="D57" s="47">
        <v>100</v>
      </c>
      <c r="E57" s="47">
        <v>50</v>
      </c>
      <c r="F57" s="47" t="s">
        <v>90</v>
      </c>
      <c r="G57" s="47">
        <v>1</v>
      </c>
      <c r="H57" s="47" t="s">
        <v>90</v>
      </c>
      <c r="I57" s="47" t="s">
        <v>90</v>
      </c>
      <c r="J57" s="48">
        <f t="shared" si="1"/>
        <v>100</v>
      </c>
    </row>
    <row r="58" spans="1:10" ht="21" customHeight="1" x14ac:dyDescent="0.15">
      <c r="A58" s="47">
        <v>49006057</v>
      </c>
      <c r="B58" s="47">
        <v>0</v>
      </c>
      <c r="C58" s="47">
        <v>100</v>
      </c>
      <c r="D58" s="47">
        <v>100</v>
      </c>
      <c r="E58" s="47">
        <v>50</v>
      </c>
      <c r="F58" s="47" t="s">
        <v>90</v>
      </c>
      <c r="G58" s="47">
        <v>1</v>
      </c>
      <c r="H58" s="47" t="s">
        <v>90</v>
      </c>
      <c r="I58" s="47" t="s">
        <v>90</v>
      </c>
      <c r="J58" s="48">
        <f t="shared" si="1"/>
        <v>100</v>
      </c>
    </row>
    <row r="59" spans="1:10" ht="21" customHeight="1" x14ac:dyDescent="0.15">
      <c r="A59" s="47">
        <v>49006058</v>
      </c>
      <c r="B59" s="47">
        <v>0</v>
      </c>
      <c r="C59" s="47">
        <v>80</v>
      </c>
      <c r="D59" s="47">
        <v>100</v>
      </c>
      <c r="E59" s="47">
        <v>50</v>
      </c>
      <c r="F59" s="47" t="s">
        <v>90</v>
      </c>
      <c r="G59" s="47" t="s">
        <v>89</v>
      </c>
      <c r="H59" s="47" t="s">
        <v>90</v>
      </c>
      <c r="I59" s="47" t="s">
        <v>90</v>
      </c>
      <c r="J59" s="48">
        <f t="shared" si="1"/>
        <v>100</v>
      </c>
    </row>
    <row r="60" spans="1:10" ht="21" customHeight="1" x14ac:dyDescent="0.15">
      <c r="A60" s="47">
        <v>49006059</v>
      </c>
      <c r="B60" s="47">
        <v>0</v>
      </c>
      <c r="C60" s="47" t="s">
        <v>53</v>
      </c>
      <c r="D60" s="47">
        <v>100</v>
      </c>
      <c r="E60" s="47" t="s">
        <v>90</v>
      </c>
      <c r="F60" s="47" t="s">
        <v>90</v>
      </c>
      <c r="G60" s="47" t="s">
        <v>90</v>
      </c>
      <c r="H60" s="47" t="s">
        <v>90</v>
      </c>
      <c r="I60" s="47" t="s">
        <v>90</v>
      </c>
      <c r="J60" s="48">
        <f t="shared" si="1"/>
        <v>100</v>
      </c>
    </row>
    <row r="61" spans="1:10" ht="22" customHeight="1" x14ac:dyDescent="0.15">
      <c r="A61" s="47">
        <v>49006060</v>
      </c>
      <c r="B61" s="47">
        <v>0</v>
      </c>
      <c r="C61" s="47" t="s">
        <v>53</v>
      </c>
      <c r="D61" s="47">
        <v>100</v>
      </c>
      <c r="E61" s="47" t="s">
        <v>90</v>
      </c>
      <c r="F61" s="47" t="s">
        <v>90</v>
      </c>
      <c r="G61" s="47" t="s">
        <v>90</v>
      </c>
      <c r="H61" s="47" t="s">
        <v>90</v>
      </c>
      <c r="I61" s="47" t="s">
        <v>90</v>
      </c>
      <c r="J61" s="48">
        <f t="shared" si="1"/>
        <v>100</v>
      </c>
    </row>
  </sheetData>
  <autoFilter ref="A1:G1"/>
  <phoneticPr fontId="5"/>
  <conditionalFormatting sqref="K62:K1048576 K1:K2">
    <cfRule type="duplicateValues" dxfId="1" priority="2"/>
  </conditionalFormatting>
  <conditionalFormatting sqref="K3:K61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P13" sqref="P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v>49006</v>
      </c>
      <c r="B2" s="82">
        <v>1</v>
      </c>
      <c r="C2" s="71" t="str">
        <f>A2&amp; "_"&amp;B2</f>
        <v>49006_1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169</v>
      </c>
      <c r="G2" s="82">
        <v>40000</v>
      </c>
      <c r="H2" s="82" t="s">
        <v>53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150</v>
      </c>
      <c r="Q2" s="82" t="s">
        <v>170</v>
      </c>
      <c r="R2" s="82" t="s">
        <v>171</v>
      </c>
    </row>
    <row r="3" spans="1:18" x14ac:dyDescent="0.15">
      <c r="A3" s="57">
        <v>49006</v>
      </c>
      <c r="B3" s="82">
        <v>1</v>
      </c>
      <c r="C3" s="71" t="str">
        <f t="shared" ref="C3:C11" si="0">A3&amp; "_"&amp;B3</f>
        <v>49006_1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278</v>
      </c>
      <c r="G3" s="82">
        <v>30</v>
      </c>
      <c r="H3" s="82" t="s">
        <v>53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150</v>
      </c>
      <c r="Q3" s="82" t="s">
        <v>170</v>
      </c>
      <c r="R3" s="82" t="s">
        <v>171</v>
      </c>
    </row>
    <row r="4" spans="1:18" x14ac:dyDescent="0.15">
      <c r="A4" s="57">
        <v>49006</v>
      </c>
      <c r="B4" s="82">
        <v>1</v>
      </c>
      <c r="C4" s="71" t="str">
        <f t="shared" si="0"/>
        <v>49006_1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279</v>
      </c>
      <c r="G4" s="95">
        <v>333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28</v>
      </c>
      <c r="Q4" s="82" t="s">
        <v>170</v>
      </c>
      <c r="R4" s="82" t="s">
        <v>171</v>
      </c>
    </row>
    <row r="5" spans="1:18" x14ac:dyDescent="0.15">
      <c r="A5" s="57">
        <v>49006</v>
      </c>
      <c r="B5" s="82">
        <v>1</v>
      </c>
      <c r="C5" s="71" t="str">
        <f t="shared" si="0"/>
        <v>49006_1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279</v>
      </c>
      <c r="G5" s="95">
        <v>334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112</v>
      </c>
      <c r="Q5" s="82" t="s">
        <v>170</v>
      </c>
      <c r="R5" s="82" t="s">
        <v>171</v>
      </c>
    </row>
    <row r="6" spans="1:18" x14ac:dyDescent="0.15">
      <c r="A6" s="57">
        <v>49006</v>
      </c>
      <c r="B6" s="82">
        <v>1</v>
      </c>
      <c r="C6" s="71" t="str">
        <f t="shared" si="0"/>
        <v>49006_1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279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100</v>
      </c>
      <c r="Q6" s="82" t="s">
        <v>170</v>
      </c>
      <c r="R6" s="82" t="s">
        <v>171</v>
      </c>
    </row>
    <row r="7" spans="1:18" x14ac:dyDescent="0.15">
      <c r="A7" s="57">
        <v>49006</v>
      </c>
      <c r="B7" s="82">
        <v>1</v>
      </c>
      <c r="C7" s="71" t="str">
        <f t="shared" si="0"/>
        <v>49006_1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279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100</v>
      </c>
      <c r="Q7" s="82" t="s">
        <v>170</v>
      </c>
      <c r="R7" s="82" t="s">
        <v>171</v>
      </c>
    </row>
    <row r="8" spans="1:18" x14ac:dyDescent="0.15">
      <c r="A8" s="57">
        <v>49006</v>
      </c>
      <c r="B8" s="82">
        <v>1</v>
      </c>
      <c r="C8" s="71" t="str">
        <f t="shared" si="0"/>
        <v>49006_1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279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100</v>
      </c>
      <c r="Q8" s="82" t="s">
        <v>170</v>
      </c>
      <c r="R8" s="82" t="s">
        <v>171</v>
      </c>
    </row>
    <row r="9" spans="1:18" x14ac:dyDescent="0.15">
      <c r="A9" s="57">
        <v>49006</v>
      </c>
      <c r="B9" s="82">
        <v>1</v>
      </c>
      <c r="C9" s="71" t="str">
        <f t="shared" si="0"/>
        <v>49006_1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280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170</v>
      </c>
      <c r="R9" s="82" t="s">
        <v>171</v>
      </c>
    </row>
    <row r="10" spans="1:18" x14ac:dyDescent="0.15">
      <c r="A10" s="57">
        <v>49006</v>
      </c>
      <c r="B10" s="82">
        <v>1</v>
      </c>
      <c r="C10" s="71" t="str">
        <f t="shared" si="0"/>
        <v>49006_1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279</v>
      </c>
      <c r="G10" s="95">
        <v>979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100</v>
      </c>
      <c r="Q10" s="82" t="s">
        <v>170</v>
      </c>
      <c r="R10" s="82" t="s">
        <v>171</v>
      </c>
    </row>
    <row r="11" spans="1:18" x14ac:dyDescent="0.15">
      <c r="A11" s="57">
        <v>49006</v>
      </c>
      <c r="B11" s="82">
        <v>1</v>
      </c>
      <c r="C11" s="71" t="str">
        <f t="shared" si="0"/>
        <v>49006_1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279</v>
      </c>
      <c r="G11" s="95">
        <v>348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150</v>
      </c>
      <c r="Q11" s="82" t="s">
        <v>170</v>
      </c>
      <c r="R11" s="82" t="s">
        <v>171</v>
      </c>
    </row>
    <row r="12" spans="1:18" x14ac:dyDescent="0.15">
      <c r="A12" s="57">
        <v>49006</v>
      </c>
      <c r="B12" s="82">
        <v>2</v>
      </c>
      <c r="C12" s="71" t="str">
        <f t="shared" ref="C12:C18" si="1">A12&amp; "_"&amp;B12</f>
        <v>49006_2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</v>
      </c>
      <c r="F12" s="82" t="s">
        <v>279</v>
      </c>
      <c r="G12" s="82">
        <v>334</v>
      </c>
      <c r="H12" s="82">
        <v>1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50</v>
      </c>
      <c r="Q12" s="82" t="s">
        <v>170</v>
      </c>
      <c r="R12" s="82" t="s">
        <v>171</v>
      </c>
    </row>
    <row r="13" spans="1:18" x14ac:dyDescent="0.15">
      <c r="A13" s="57">
        <v>49006</v>
      </c>
      <c r="B13" s="82">
        <v>2</v>
      </c>
      <c r="C13" s="71" t="str">
        <f t="shared" si="1"/>
        <v>49006_2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2</v>
      </c>
      <c r="F13" s="82" t="s">
        <v>279</v>
      </c>
      <c r="G13" s="96">
        <v>348</v>
      </c>
      <c r="H13" s="82">
        <v>1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120</v>
      </c>
      <c r="Q13" s="82" t="s">
        <v>170</v>
      </c>
      <c r="R13" s="82" t="s">
        <v>171</v>
      </c>
    </row>
    <row r="14" spans="1:18" x14ac:dyDescent="0.15">
      <c r="A14" s="57">
        <v>49006</v>
      </c>
      <c r="B14" s="82">
        <v>2</v>
      </c>
      <c r="C14" s="71" t="str">
        <f t="shared" si="1"/>
        <v>49006_2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3</v>
      </c>
      <c r="F14" s="82" t="s">
        <v>279</v>
      </c>
      <c r="G14" s="82">
        <v>607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100</v>
      </c>
      <c r="Q14" s="82" t="s">
        <v>170</v>
      </c>
      <c r="R14" s="82" t="s">
        <v>171</v>
      </c>
    </row>
    <row r="15" spans="1:18" x14ac:dyDescent="0.15">
      <c r="A15" s="57">
        <v>49006</v>
      </c>
      <c r="B15" s="82">
        <v>2</v>
      </c>
      <c r="C15" s="71" t="str">
        <f t="shared" si="1"/>
        <v>49006_2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4</v>
      </c>
      <c r="F15" s="82" t="s">
        <v>280</v>
      </c>
      <c r="G15" s="82">
        <v>608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100</v>
      </c>
      <c r="Q15" s="82" t="s">
        <v>170</v>
      </c>
      <c r="R15" s="82" t="s">
        <v>171</v>
      </c>
    </row>
    <row r="16" spans="1:18" x14ac:dyDescent="0.15">
      <c r="A16" s="57">
        <v>49006</v>
      </c>
      <c r="B16" s="82">
        <v>2</v>
      </c>
      <c r="C16" s="71" t="str">
        <f t="shared" si="1"/>
        <v>49006_2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5</v>
      </c>
      <c r="F16" s="82" t="s">
        <v>281</v>
      </c>
      <c r="G16" s="82">
        <v>609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100</v>
      </c>
      <c r="Q16" s="82" t="s">
        <v>170</v>
      </c>
      <c r="R16" s="82" t="s">
        <v>171</v>
      </c>
    </row>
    <row r="17" spans="1:18" x14ac:dyDescent="0.15">
      <c r="A17" s="57">
        <v>49006</v>
      </c>
      <c r="B17" s="82">
        <v>2</v>
      </c>
      <c r="C17" s="71" t="str">
        <f t="shared" si="1"/>
        <v>49006_2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6</v>
      </c>
      <c r="F17" s="82" t="s">
        <v>279</v>
      </c>
      <c r="G17" s="82">
        <v>125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30</v>
      </c>
      <c r="Q17" s="82" t="s">
        <v>170</v>
      </c>
      <c r="R17" s="82" t="s">
        <v>171</v>
      </c>
    </row>
    <row r="18" spans="1:18" x14ac:dyDescent="0.15">
      <c r="A18" s="57">
        <v>49006</v>
      </c>
      <c r="B18" s="82">
        <v>2</v>
      </c>
      <c r="C18" s="71" t="str">
        <f t="shared" si="1"/>
        <v>49006_2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7</v>
      </c>
      <c r="F18" s="82" t="s">
        <v>279</v>
      </c>
      <c r="G18" s="97">
        <v>979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500</v>
      </c>
      <c r="Q18" s="82" t="s">
        <v>170</v>
      </c>
      <c r="R18" s="82" t="s">
        <v>171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8" sqref="L18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1" t="s">
        <v>195</v>
      </c>
      <c r="J1" s="80" t="s">
        <v>127</v>
      </c>
      <c r="K1" s="79" t="s">
        <v>187</v>
      </c>
      <c r="L1" s="92" t="s">
        <v>186</v>
      </c>
      <c r="M1" s="81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5"/>
  <sheetViews>
    <sheetView showGridLines="0" workbookViewId="0">
      <pane ySplit="1" topLeftCell="A15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89" t="s">
        <v>194</v>
      </c>
      <c r="J1" s="91" t="s">
        <v>195</v>
      </c>
      <c r="K1" s="80" t="s">
        <v>127</v>
      </c>
      <c r="L1" s="79" t="s">
        <v>187</v>
      </c>
      <c r="M1" s="92" t="s">
        <v>186</v>
      </c>
      <c r="N1" s="81" t="s">
        <v>196</v>
      </c>
    </row>
    <row r="2" spans="1:14" ht="30" x14ac:dyDescent="0.15">
      <c r="A2" s="82" t="s">
        <v>197</v>
      </c>
      <c r="B2" s="83">
        <f>floors!$C$2</f>
        <v>49006</v>
      </c>
      <c r="C2" s="84" t="str">
        <f ca="1">VLOOKUP($B2,OFFSET([2]quests!$A$1,0,0,COUNTA([2]quests!$A:$A),MATCH(C$1,[2]quests!$1:$1,0)-MATCH($B$1,[2]quests!$1:$1,0)+1),MATCH(C$1,[2]quests!$1:$1,0)-MATCH($B$1,[2]quests!$1:$1,0)+1,FALSE)</f>
        <v>超大型巨人襲来！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コラボ降臨6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【超絶級】超大型巨人襲来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コラボ降臨6</v>
      </c>
      <c r="H2" s="86">
        <v>1</v>
      </c>
      <c r="I2" s="90">
        <f>ROW()-1</f>
        <v>1</v>
      </c>
      <c r="J2" s="87" t="str">
        <f>B2&amp;TEXT(I2,"00")</f>
        <v>4900601</v>
      </c>
      <c r="K2" s="85" t="s">
        <v>198</v>
      </c>
      <c r="L2" s="98" t="s">
        <v>199</v>
      </c>
      <c r="M2" s="99" t="s">
        <v>282</v>
      </c>
      <c r="N2" s="57" t="s">
        <v>200</v>
      </c>
    </row>
    <row r="3" spans="1:14" ht="30" x14ac:dyDescent="0.15">
      <c r="A3" s="82" t="s">
        <v>197</v>
      </c>
      <c r="B3" s="83">
        <f>floors!$C$2</f>
        <v>49006</v>
      </c>
      <c r="C3" s="84" t="str">
        <f ca="1">VLOOKUP($B3,OFFSET([2]quests!$A$1,0,0,COUNTA([2]quests!$A:$A),MATCH(C$1,[2]quests!$1:$1,0)-MATCH($B$1,[2]quests!$1:$1,0)+1),MATCH(C$1,[2]quests!$1:$1,0)-MATCH($B$1,[2]quests!$1:$1,0)+1,FALSE)</f>
        <v>超大型巨人襲来！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コラボ降臨6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【超絶級】超大型巨人襲来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コラボ降臨6</v>
      </c>
      <c r="H3" s="86">
        <v>1</v>
      </c>
      <c r="I3" s="90">
        <f t="shared" ref="I3:I25" si="0">ROW()-1</f>
        <v>2</v>
      </c>
      <c r="J3" s="87" t="str">
        <f t="shared" ref="J3:J16" si="1">B3&amp;TEXT(I3,"00")</f>
        <v>4900602</v>
      </c>
      <c r="K3" s="85" t="s">
        <v>128</v>
      </c>
      <c r="L3" s="98" t="s">
        <v>199</v>
      </c>
      <c r="M3" s="99" t="s">
        <v>283</v>
      </c>
      <c r="N3" s="57" t="s">
        <v>200</v>
      </c>
    </row>
    <row r="4" spans="1:14" ht="30" x14ac:dyDescent="0.15">
      <c r="A4" s="82" t="s">
        <v>197</v>
      </c>
      <c r="B4" s="83">
        <f>floors!$C$2</f>
        <v>49006</v>
      </c>
      <c r="C4" s="84" t="str">
        <f ca="1">VLOOKUP($B4,OFFSET([2]quests!$A$1,0,0,COUNTA([2]quests!$A:$A),MATCH(C$1,[2]quests!$1:$1,0)-MATCH($B$1,[2]quests!$1:$1,0)+1),MATCH(C$1,[2]quests!$1:$1,0)-MATCH($B$1,[2]quests!$1:$1,0)+1,FALSE)</f>
        <v>超大型巨人襲来！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コラボ降臨6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【超絶級】超大型巨人襲来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コラボ降臨6</v>
      </c>
      <c r="H4" s="86">
        <v>2</v>
      </c>
      <c r="I4" s="90">
        <f t="shared" si="0"/>
        <v>3</v>
      </c>
      <c r="J4" s="87" t="str">
        <f t="shared" si="1"/>
        <v>4900603</v>
      </c>
      <c r="K4" s="85" t="s">
        <v>128</v>
      </c>
      <c r="L4" s="98" t="s">
        <v>199</v>
      </c>
      <c r="M4" s="99" t="s">
        <v>284</v>
      </c>
      <c r="N4" s="57" t="s">
        <v>200</v>
      </c>
    </row>
    <row r="5" spans="1:14" ht="30" x14ac:dyDescent="0.15">
      <c r="A5" s="82" t="s">
        <v>197</v>
      </c>
      <c r="B5" s="83">
        <f>floors!$C$2</f>
        <v>49006</v>
      </c>
      <c r="C5" s="84" t="str">
        <f ca="1">VLOOKUP($B5,OFFSET([2]quests!$A$1,0,0,COUNTA([2]quests!$A:$A),MATCH(C$1,[2]quests!$1:$1,0)-MATCH($B$1,[2]quests!$1:$1,0)+1),MATCH(C$1,[2]quests!$1:$1,0)-MATCH($B$1,[2]quests!$1:$1,0)+1,FALSE)</f>
        <v>超大型巨人襲来！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コラボ降臨6</v>
      </c>
      <c r="E5" s="85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【超絶級】超大型巨人襲来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コラボ降臨6</v>
      </c>
      <c r="H5" s="86">
        <v>2</v>
      </c>
      <c r="I5" s="90">
        <f t="shared" si="0"/>
        <v>4</v>
      </c>
      <c r="J5" s="87" t="str">
        <f t="shared" si="1"/>
        <v>4900604</v>
      </c>
      <c r="K5" s="85" t="s">
        <v>128</v>
      </c>
      <c r="L5" s="98" t="s">
        <v>199</v>
      </c>
      <c r="M5" s="99" t="s">
        <v>285</v>
      </c>
      <c r="N5" s="57" t="s">
        <v>200</v>
      </c>
    </row>
    <row r="6" spans="1:14" ht="60" x14ac:dyDescent="0.15">
      <c r="A6" s="82" t="s">
        <v>197</v>
      </c>
      <c r="B6" s="83">
        <f>floors!$C$2</f>
        <v>49006</v>
      </c>
      <c r="C6" s="84" t="str">
        <f ca="1">VLOOKUP($B6,OFFSET([2]quests!$A$1,0,0,COUNTA([2]quests!$A:$A),MATCH(C$1,[2]quests!$1:$1,0)-MATCH($B$1,[2]quests!$1:$1,0)+1),MATCH(C$1,[2]quests!$1:$1,0)-MATCH($B$1,[2]quests!$1:$1,0)+1,FALSE)</f>
        <v>超大型巨人襲来！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コラボ降臨6</v>
      </c>
      <c r="E6" s="85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【超絶級】超大型巨人襲来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コラボ降臨6</v>
      </c>
      <c r="H6" s="86">
        <v>3</v>
      </c>
      <c r="I6" s="90">
        <f t="shared" si="0"/>
        <v>5</v>
      </c>
      <c r="J6" s="87" t="str">
        <f t="shared" si="1"/>
        <v>4900605</v>
      </c>
      <c r="K6" s="85" t="s">
        <v>128</v>
      </c>
      <c r="L6" s="98" t="s">
        <v>199</v>
      </c>
      <c r="M6" s="99" t="s">
        <v>286</v>
      </c>
      <c r="N6" s="57" t="s">
        <v>200</v>
      </c>
    </row>
    <row r="7" spans="1:14" ht="45" x14ac:dyDescent="0.15">
      <c r="A7" s="82" t="s">
        <v>197</v>
      </c>
      <c r="B7" s="83">
        <f>floors!$C$2</f>
        <v>49006</v>
      </c>
      <c r="C7" s="84" t="str">
        <f ca="1">VLOOKUP($B7,OFFSET([2]quests!$A$1,0,0,COUNTA([2]quests!$A:$A),MATCH(C$1,[2]quests!$1:$1,0)-MATCH($B$1,[2]quests!$1:$1,0)+1),MATCH(C$1,[2]quests!$1:$1,0)-MATCH($B$1,[2]quests!$1:$1,0)+1,FALSE)</f>
        <v>超大型巨人襲来！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コラボ降臨6</v>
      </c>
      <c r="E7" s="85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【超絶級】超大型巨人襲来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コラボ降臨6</v>
      </c>
      <c r="H7" s="86">
        <v>3</v>
      </c>
      <c r="I7" s="90">
        <f t="shared" si="0"/>
        <v>6</v>
      </c>
      <c r="J7" s="87" t="str">
        <f t="shared" si="1"/>
        <v>4900606</v>
      </c>
      <c r="K7" s="85" t="s">
        <v>128</v>
      </c>
      <c r="L7" s="98" t="s">
        <v>199</v>
      </c>
      <c r="M7" s="99" t="s">
        <v>287</v>
      </c>
      <c r="N7" s="57" t="s">
        <v>200</v>
      </c>
    </row>
    <row r="8" spans="1:14" ht="45" x14ac:dyDescent="0.15">
      <c r="A8" s="82" t="s">
        <v>197</v>
      </c>
      <c r="B8" s="83">
        <f>floors!$C$2</f>
        <v>49006</v>
      </c>
      <c r="C8" s="84" t="str">
        <f ca="1">VLOOKUP($B8,OFFSET([2]quests!$A$1,0,0,COUNTA([2]quests!$A:$A),MATCH(C$1,[2]quests!$1:$1,0)-MATCH($B$1,[2]quests!$1:$1,0)+1),MATCH(C$1,[2]quests!$1:$1,0)-MATCH($B$1,[2]quests!$1:$1,0)+1,FALSE)</f>
        <v>超大型巨人襲来！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コラボ降臨6</v>
      </c>
      <c r="E8" s="85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【超絶級】超大型巨人襲来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コラボ降臨6</v>
      </c>
      <c r="H8" s="86">
        <v>3</v>
      </c>
      <c r="I8" s="90">
        <f t="shared" si="0"/>
        <v>7</v>
      </c>
      <c r="J8" s="87" t="str">
        <f t="shared" si="1"/>
        <v>4900607</v>
      </c>
      <c r="K8" s="85" t="s">
        <v>128</v>
      </c>
      <c r="L8" s="98" t="s">
        <v>199</v>
      </c>
      <c r="M8" s="99" t="s">
        <v>288</v>
      </c>
      <c r="N8" s="57" t="s">
        <v>200</v>
      </c>
    </row>
    <row r="9" spans="1:14" ht="30" x14ac:dyDescent="0.15">
      <c r="A9" s="82" t="s">
        <v>197</v>
      </c>
      <c r="B9" s="83">
        <f>floors!$C$2</f>
        <v>49006</v>
      </c>
      <c r="C9" s="84" t="str">
        <f ca="1">VLOOKUP($B9,OFFSET([2]quests!$A$1,0,0,COUNTA([2]quests!$A:$A),MATCH(C$1,[2]quests!$1:$1,0)-MATCH($B$1,[2]quests!$1:$1,0)+1),MATCH(C$1,[2]quests!$1:$1,0)-MATCH($B$1,[2]quests!$1:$1,0)+1,FALSE)</f>
        <v>超大型巨人襲来！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コラボ降臨6</v>
      </c>
      <c r="E9" s="85">
        <v>2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コラボ降臨6</v>
      </c>
      <c r="H9" s="86">
        <v>1</v>
      </c>
      <c r="I9" s="90">
        <f>ROW()-1</f>
        <v>8</v>
      </c>
      <c r="J9" s="87" t="str">
        <f>B9&amp;TEXT(I9,"00")</f>
        <v>4900608</v>
      </c>
      <c r="K9" s="85" t="s">
        <v>128</v>
      </c>
      <c r="L9" s="98" t="s">
        <v>199</v>
      </c>
      <c r="M9" s="99" t="s">
        <v>282</v>
      </c>
      <c r="N9" s="57" t="s">
        <v>200</v>
      </c>
    </row>
    <row r="10" spans="1:14" ht="30" x14ac:dyDescent="0.15">
      <c r="A10" s="82" t="s">
        <v>197</v>
      </c>
      <c r="B10" s="83">
        <f>floors!$C$2</f>
        <v>49006</v>
      </c>
      <c r="C10" s="84" t="str">
        <f ca="1">VLOOKUP($B10,OFFSET([2]quests!$A$1,0,0,COUNTA([2]quests!$A:$A),MATCH(C$1,[2]quests!$1:$1,0)-MATCH($B$1,[2]quests!$1:$1,0)+1),MATCH(C$1,[2]quests!$1:$1,0)-MATCH($B$1,[2]quests!$1:$1,0)+1,FALSE)</f>
        <v>超大型巨人襲来！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コラボ降臨6</v>
      </c>
      <c r="E10" s="85">
        <v>2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コラボ降臨6</v>
      </c>
      <c r="H10" s="86">
        <v>1</v>
      </c>
      <c r="I10" s="90">
        <f t="shared" si="0"/>
        <v>9</v>
      </c>
      <c r="J10" s="87" t="str">
        <f t="shared" ref="J10:J15" si="2">B10&amp;TEXT(I10,"00")</f>
        <v>4900609</v>
      </c>
      <c r="K10" s="85" t="s">
        <v>128</v>
      </c>
      <c r="L10" s="98" t="s">
        <v>199</v>
      </c>
      <c r="M10" s="99" t="s">
        <v>283</v>
      </c>
      <c r="N10" s="57" t="s">
        <v>200</v>
      </c>
    </row>
    <row r="11" spans="1:14" ht="30" x14ac:dyDescent="0.15">
      <c r="A11" s="82" t="s">
        <v>197</v>
      </c>
      <c r="B11" s="83">
        <f>floors!$C$2</f>
        <v>49006</v>
      </c>
      <c r="C11" s="84" t="str">
        <f ca="1">VLOOKUP($B11,OFFSET([2]quests!$A$1,0,0,COUNTA([2]quests!$A:$A),MATCH(C$1,[2]quests!$1:$1,0)-MATCH($B$1,[2]quests!$1:$1,0)+1),MATCH(C$1,[2]quests!$1:$1,0)-MATCH($B$1,[2]quests!$1:$1,0)+1,FALSE)</f>
        <v>超大型巨人襲来！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コラボ降臨6</v>
      </c>
      <c r="E11" s="85">
        <v>2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コラボ降臨6</v>
      </c>
      <c r="H11" s="86">
        <v>2</v>
      </c>
      <c r="I11" s="90">
        <f t="shared" si="0"/>
        <v>10</v>
      </c>
      <c r="J11" s="87" t="str">
        <f t="shared" si="2"/>
        <v>4900610</v>
      </c>
      <c r="K11" s="85" t="s">
        <v>128</v>
      </c>
      <c r="L11" s="98" t="s">
        <v>199</v>
      </c>
      <c r="M11" s="99" t="s">
        <v>284</v>
      </c>
      <c r="N11" s="57" t="s">
        <v>200</v>
      </c>
    </row>
    <row r="12" spans="1:14" ht="30" x14ac:dyDescent="0.15">
      <c r="A12" s="82" t="s">
        <v>197</v>
      </c>
      <c r="B12" s="83">
        <f>floors!$C$2</f>
        <v>49006</v>
      </c>
      <c r="C12" s="84" t="str">
        <f ca="1">VLOOKUP($B12,OFFSET([2]quests!$A$1,0,0,COUNTA([2]quests!$A:$A),MATCH(C$1,[2]quests!$1:$1,0)-MATCH($B$1,[2]quests!$1:$1,0)+1),MATCH(C$1,[2]quests!$1:$1,0)-MATCH($B$1,[2]quests!$1:$1,0)+1,FALSE)</f>
        <v>超大型巨人襲来！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コラボ降臨6</v>
      </c>
      <c r="E12" s="85">
        <v>2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コラボ降臨6</v>
      </c>
      <c r="H12" s="86">
        <v>2</v>
      </c>
      <c r="I12" s="90">
        <f t="shared" si="0"/>
        <v>11</v>
      </c>
      <c r="J12" s="87" t="str">
        <f t="shared" si="2"/>
        <v>4900611</v>
      </c>
      <c r="K12" s="85" t="s">
        <v>128</v>
      </c>
      <c r="L12" s="98" t="s">
        <v>199</v>
      </c>
      <c r="M12" s="99" t="s">
        <v>285</v>
      </c>
      <c r="N12" s="57" t="s">
        <v>200</v>
      </c>
    </row>
    <row r="13" spans="1:14" ht="60" x14ac:dyDescent="0.15">
      <c r="A13" s="82" t="s">
        <v>197</v>
      </c>
      <c r="B13" s="83">
        <f>floors!$C$2</f>
        <v>49006</v>
      </c>
      <c r="C13" s="84" t="str">
        <f ca="1">VLOOKUP($B13,OFFSET([2]quests!$A$1,0,0,COUNTA([2]quests!$A:$A),MATCH(C$1,[2]quests!$1:$1,0)-MATCH($B$1,[2]quests!$1:$1,0)+1),MATCH(C$1,[2]quests!$1:$1,0)-MATCH($B$1,[2]quests!$1:$1,0)+1,FALSE)</f>
        <v>超大型巨人襲来！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コラボ降臨6</v>
      </c>
      <c r="E13" s="85">
        <v>2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コラボ降臨6</v>
      </c>
      <c r="H13" s="86">
        <v>3</v>
      </c>
      <c r="I13" s="90">
        <f t="shared" si="0"/>
        <v>12</v>
      </c>
      <c r="J13" s="87" t="str">
        <f t="shared" si="2"/>
        <v>4900612</v>
      </c>
      <c r="K13" s="85" t="s">
        <v>128</v>
      </c>
      <c r="L13" s="98" t="s">
        <v>199</v>
      </c>
      <c r="M13" s="99" t="s">
        <v>286</v>
      </c>
      <c r="N13" s="57" t="s">
        <v>200</v>
      </c>
    </row>
    <row r="14" spans="1:14" ht="45" x14ac:dyDescent="0.15">
      <c r="A14" s="82" t="s">
        <v>197</v>
      </c>
      <c r="B14" s="83">
        <f>floors!$C$2</f>
        <v>49006</v>
      </c>
      <c r="C14" s="84" t="str">
        <f ca="1">VLOOKUP($B14,OFFSET([2]quests!$A$1,0,0,COUNTA([2]quests!$A:$A),MATCH(C$1,[2]quests!$1:$1,0)-MATCH($B$1,[2]quests!$1:$1,0)+1),MATCH(C$1,[2]quests!$1:$1,0)-MATCH($B$1,[2]quests!$1:$1,0)+1,FALSE)</f>
        <v>超大型巨人襲来！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コラボ降臨6</v>
      </c>
      <c r="E14" s="85">
        <v>2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コラボ降臨6</v>
      </c>
      <c r="H14" s="86">
        <v>3</v>
      </c>
      <c r="I14" s="90">
        <f t="shared" si="0"/>
        <v>13</v>
      </c>
      <c r="J14" s="87" t="str">
        <f t="shared" si="2"/>
        <v>4900613</v>
      </c>
      <c r="K14" s="85" t="s">
        <v>128</v>
      </c>
      <c r="L14" s="98" t="s">
        <v>199</v>
      </c>
      <c r="M14" s="99" t="s">
        <v>287</v>
      </c>
      <c r="N14" s="57" t="s">
        <v>200</v>
      </c>
    </row>
    <row r="15" spans="1:14" ht="45" x14ac:dyDescent="0.15">
      <c r="A15" s="82" t="s">
        <v>197</v>
      </c>
      <c r="B15" s="83">
        <f>floors!$C$2</f>
        <v>49006</v>
      </c>
      <c r="C15" s="84" t="str">
        <f ca="1">VLOOKUP($B15,OFFSET([2]quests!$A$1,0,0,COUNTA([2]quests!$A:$A),MATCH(C$1,[2]quests!$1:$1,0)-MATCH($B$1,[2]quests!$1:$1,0)+1),MATCH(C$1,[2]quests!$1:$1,0)-MATCH($B$1,[2]quests!$1:$1,0)+1,FALSE)</f>
        <v>超大型巨人襲来！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コラボ降臨6</v>
      </c>
      <c r="E15" s="85">
        <v>2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コラボ降臨6</v>
      </c>
      <c r="H15" s="86">
        <v>3</v>
      </c>
      <c r="I15" s="90">
        <f t="shared" si="0"/>
        <v>14</v>
      </c>
      <c r="J15" s="87" t="str">
        <f t="shared" si="2"/>
        <v>4900614</v>
      </c>
      <c r="K15" s="85" t="s">
        <v>128</v>
      </c>
      <c r="L15" s="98" t="s">
        <v>199</v>
      </c>
      <c r="M15" s="99" t="s">
        <v>288</v>
      </c>
      <c r="N15" s="57" t="s">
        <v>200</v>
      </c>
    </row>
    <row r="16" spans="1:14" ht="45" x14ac:dyDescent="0.15">
      <c r="A16" s="82" t="s">
        <v>201</v>
      </c>
      <c r="B16" s="83">
        <f>floors!$C$2</f>
        <v>49006</v>
      </c>
      <c r="C16" s="84" t="str">
        <f ca="1">VLOOKUP($B16,OFFSET([2]quests!$A$1,0,0,COUNTA([2]quests!$A:$A),MATCH(C$1,[2]quests!$1:$1,0)-MATCH($B$1,[2]quests!$1:$1,0)+1),MATCH(C$1,[2]quests!$1:$1,0)-MATCH($B$1,[2]quests!$1:$1,0)+1,FALSE)</f>
        <v>超大型巨人襲来！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コラボ降臨6</v>
      </c>
      <c r="E16" s="85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【超絶級】超大型巨人襲来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コラボ降臨6</v>
      </c>
      <c r="H16" s="86">
        <v>0</v>
      </c>
      <c r="I16" s="90">
        <f t="shared" si="0"/>
        <v>15</v>
      </c>
      <c r="J16" s="87" t="str">
        <f t="shared" si="1"/>
        <v>4900615</v>
      </c>
      <c r="K16" s="85" t="s">
        <v>128</v>
      </c>
      <c r="L16" s="100" t="s">
        <v>289</v>
      </c>
      <c r="M16" s="99" t="s">
        <v>322</v>
      </c>
      <c r="N16" s="57" t="s">
        <v>200</v>
      </c>
    </row>
    <row r="17" spans="1:14" ht="45" x14ac:dyDescent="0.15">
      <c r="A17" s="82" t="s">
        <v>201</v>
      </c>
      <c r="B17" s="83">
        <f>floors!$C$2</f>
        <v>49006</v>
      </c>
      <c r="C17" s="84" t="str">
        <f ca="1">VLOOKUP($B17,OFFSET([2]quests!$A$1,0,0,COUNTA([2]quests!$A:$A),MATCH(C$1,[2]quests!$1:$1,0)-MATCH($B$1,[2]quests!$1:$1,0)+1),MATCH(C$1,[2]quests!$1:$1,0)-MATCH($B$1,[2]quests!$1:$1,0)+1,FALSE)</f>
        <v>超大型巨人襲来！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コラボ降臨6</v>
      </c>
      <c r="E17" s="85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【超絶級】超大型巨人襲来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コラボ降臨6</v>
      </c>
      <c r="H17" s="86">
        <v>0</v>
      </c>
      <c r="I17" s="90">
        <f t="shared" si="0"/>
        <v>16</v>
      </c>
      <c r="J17" s="87" t="str">
        <f t="shared" ref="J17:J21" si="3">B17&amp;TEXT(I17,"00")</f>
        <v>4900616</v>
      </c>
      <c r="K17" s="85" t="s">
        <v>128</v>
      </c>
      <c r="L17" s="100" t="s">
        <v>290</v>
      </c>
      <c r="M17" s="99" t="s">
        <v>291</v>
      </c>
      <c r="N17" s="57" t="s">
        <v>200</v>
      </c>
    </row>
    <row r="18" spans="1:14" ht="45" x14ac:dyDescent="0.15">
      <c r="A18" s="82" t="s">
        <v>201</v>
      </c>
      <c r="B18" s="83">
        <f>floors!$C$2</f>
        <v>49006</v>
      </c>
      <c r="C18" s="84" t="str">
        <f ca="1">VLOOKUP($B18,OFFSET([2]quests!$A$1,0,0,COUNTA([2]quests!$A:$A),MATCH(C$1,[2]quests!$1:$1,0)-MATCH($B$1,[2]quests!$1:$1,0)+1),MATCH(C$1,[2]quests!$1:$1,0)-MATCH($B$1,[2]quests!$1:$1,0)+1,FALSE)</f>
        <v>超大型巨人襲来！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コラボ降臨6</v>
      </c>
      <c r="E18" s="85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【超絶級】超大型巨人襲来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コラボ降臨6</v>
      </c>
      <c r="H18" s="86">
        <v>0</v>
      </c>
      <c r="I18" s="90">
        <f t="shared" si="0"/>
        <v>17</v>
      </c>
      <c r="J18" s="87" t="str">
        <f t="shared" si="3"/>
        <v>4900617</v>
      </c>
      <c r="K18" s="85" t="s">
        <v>128</v>
      </c>
      <c r="L18" s="100" t="s">
        <v>292</v>
      </c>
      <c r="M18" s="99" t="s">
        <v>323</v>
      </c>
      <c r="N18" s="57" t="s">
        <v>200</v>
      </c>
    </row>
    <row r="19" spans="1:14" ht="45" x14ac:dyDescent="0.15">
      <c r="A19" s="82" t="s">
        <v>201</v>
      </c>
      <c r="B19" s="83">
        <f>floors!$C$2</f>
        <v>49006</v>
      </c>
      <c r="C19" s="84" t="str">
        <f ca="1">VLOOKUP($B19,OFFSET([2]quests!$A$1,0,0,COUNTA([2]quests!$A:$A),MATCH(C$1,[2]quests!$1:$1,0)-MATCH($B$1,[2]quests!$1:$1,0)+1),MATCH(C$1,[2]quests!$1:$1,0)-MATCH($B$1,[2]quests!$1:$1,0)+1,FALSE)</f>
        <v>超大型巨人襲来！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コラボ降臨6</v>
      </c>
      <c r="E19" s="85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【超絶級】超大型巨人襲来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コラボ降臨6</v>
      </c>
      <c r="H19" s="86">
        <v>0</v>
      </c>
      <c r="I19" s="90">
        <f t="shared" si="0"/>
        <v>18</v>
      </c>
      <c r="J19" s="87" t="str">
        <f t="shared" si="3"/>
        <v>4900618</v>
      </c>
      <c r="K19" s="85" t="s">
        <v>128</v>
      </c>
      <c r="L19" s="100" t="s">
        <v>293</v>
      </c>
      <c r="M19" s="99" t="s">
        <v>294</v>
      </c>
      <c r="N19" s="57" t="s">
        <v>200</v>
      </c>
    </row>
    <row r="20" spans="1:14" ht="45" x14ac:dyDescent="0.15">
      <c r="A20" s="82" t="s">
        <v>201</v>
      </c>
      <c r="B20" s="83">
        <f>floors!$C$2</f>
        <v>49006</v>
      </c>
      <c r="C20" s="84" t="str">
        <f ca="1">VLOOKUP($B20,OFFSET([2]quests!$A$1,0,0,COUNTA([2]quests!$A:$A),MATCH(C$1,[2]quests!$1:$1,0)-MATCH($B$1,[2]quests!$1:$1,0)+1),MATCH(C$1,[2]quests!$1:$1,0)-MATCH($B$1,[2]quests!$1:$1,0)+1,FALSE)</f>
        <v>超大型巨人襲来！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コラボ降臨6</v>
      </c>
      <c r="E20" s="85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【超絶級】超大型巨人襲来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コラボ降臨6</v>
      </c>
      <c r="H20" s="86">
        <v>0</v>
      </c>
      <c r="I20" s="90">
        <f t="shared" si="0"/>
        <v>19</v>
      </c>
      <c r="J20" s="87" t="str">
        <f t="shared" si="3"/>
        <v>4900619</v>
      </c>
      <c r="K20" s="85" t="s">
        <v>128</v>
      </c>
      <c r="L20" s="100" t="s">
        <v>295</v>
      </c>
      <c r="M20" s="99" t="s">
        <v>296</v>
      </c>
      <c r="N20" s="57" t="s">
        <v>200</v>
      </c>
    </row>
    <row r="21" spans="1:14" ht="45" x14ac:dyDescent="0.15">
      <c r="A21" s="82" t="s">
        <v>201</v>
      </c>
      <c r="B21" s="83">
        <f>floors!$C$2</f>
        <v>49006</v>
      </c>
      <c r="C21" s="84" t="str">
        <f ca="1">VLOOKUP($B21,OFFSET([2]quests!$A$1,0,0,COUNTA([2]quests!$A:$A),MATCH(C$1,[2]quests!$1:$1,0)-MATCH($B$1,[2]quests!$1:$1,0)+1),MATCH(C$1,[2]quests!$1:$1,0)-MATCH($B$1,[2]quests!$1:$1,0)+1,FALSE)</f>
        <v>超大型巨人襲来！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コラボ降臨6</v>
      </c>
      <c r="E21" s="85">
        <v>2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コラボ降臨6</v>
      </c>
      <c r="H21" s="86">
        <v>0</v>
      </c>
      <c r="I21" s="90">
        <f t="shared" si="0"/>
        <v>20</v>
      </c>
      <c r="J21" s="87" t="str">
        <f t="shared" si="3"/>
        <v>4900620</v>
      </c>
      <c r="K21" s="85" t="s">
        <v>128</v>
      </c>
      <c r="L21" s="100" t="s">
        <v>289</v>
      </c>
      <c r="M21" s="99" t="s">
        <v>322</v>
      </c>
      <c r="N21" s="57" t="s">
        <v>200</v>
      </c>
    </row>
    <row r="22" spans="1:14" ht="45" x14ac:dyDescent="0.15">
      <c r="A22" s="82" t="s">
        <v>201</v>
      </c>
      <c r="B22" s="83">
        <f>floors!$C$2</f>
        <v>49006</v>
      </c>
      <c r="C22" s="84" t="str">
        <f ca="1">VLOOKUP($B22,OFFSET([2]quests!$A$1,0,0,COUNTA([2]quests!$A:$A),MATCH(C$1,[2]quests!$1:$1,0)-MATCH($B$1,[2]quests!$1:$1,0)+1),MATCH(C$1,[2]quests!$1:$1,0)-MATCH($B$1,[2]quests!$1:$1,0)+1,FALSE)</f>
        <v>超大型巨人襲来！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コラボ降臨6</v>
      </c>
      <c r="E22" s="85">
        <v>2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コラボ降臨6</v>
      </c>
      <c r="H22" s="86">
        <v>0</v>
      </c>
      <c r="I22" s="90">
        <f t="shared" si="0"/>
        <v>21</v>
      </c>
      <c r="J22" s="87" t="str">
        <f t="shared" ref="J22:J25" si="4">B22&amp;TEXT(I22,"00")</f>
        <v>4900621</v>
      </c>
      <c r="K22" s="85" t="s">
        <v>128</v>
      </c>
      <c r="L22" s="100" t="s">
        <v>290</v>
      </c>
      <c r="M22" s="99" t="s">
        <v>291</v>
      </c>
      <c r="N22" s="57" t="s">
        <v>200</v>
      </c>
    </row>
    <row r="23" spans="1:14" ht="45" x14ac:dyDescent="0.15">
      <c r="A23" s="82" t="s">
        <v>201</v>
      </c>
      <c r="B23" s="83">
        <f>floors!$C$2</f>
        <v>49006</v>
      </c>
      <c r="C23" s="84" t="str">
        <f ca="1">VLOOKUP($B23,OFFSET([2]quests!$A$1,0,0,COUNTA([2]quests!$A:$A),MATCH(C$1,[2]quests!$1:$1,0)-MATCH($B$1,[2]quests!$1:$1,0)+1),MATCH(C$1,[2]quests!$1:$1,0)-MATCH($B$1,[2]quests!$1:$1,0)+1,FALSE)</f>
        <v>超大型巨人襲来！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コラボ降臨6</v>
      </c>
      <c r="E23" s="85">
        <v>2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コラボ降臨6</v>
      </c>
      <c r="H23" s="86">
        <v>0</v>
      </c>
      <c r="I23" s="90">
        <f t="shared" si="0"/>
        <v>22</v>
      </c>
      <c r="J23" s="87" t="str">
        <f t="shared" si="4"/>
        <v>4900622</v>
      </c>
      <c r="K23" s="85" t="s">
        <v>128</v>
      </c>
      <c r="L23" s="100" t="s">
        <v>292</v>
      </c>
      <c r="M23" s="99" t="s">
        <v>323</v>
      </c>
      <c r="N23" s="57" t="s">
        <v>200</v>
      </c>
    </row>
    <row r="24" spans="1:14" ht="45" x14ac:dyDescent="0.15">
      <c r="A24" s="82" t="s">
        <v>201</v>
      </c>
      <c r="B24" s="83">
        <f>floors!$C$2</f>
        <v>49006</v>
      </c>
      <c r="C24" s="84" t="str">
        <f ca="1">VLOOKUP($B24,OFFSET([2]quests!$A$1,0,0,COUNTA([2]quests!$A:$A),MATCH(C$1,[2]quests!$1:$1,0)-MATCH($B$1,[2]quests!$1:$1,0)+1),MATCH(C$1,[2]quests!$1:$1,0)-MATCH($B$1,[2]quests!$1:$1,0)+1,FALSE)</f>
        <v>超大型巨人襲来！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コラボ降臨6</v>
      </c>
      <c r="E24" s="85">
        <v>2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コラボ降臨6</v>
      </c>
      <c r="H24" s="86">
        <v>0</v>
      </c>
      <c r="I24" s="90">
        <f t="shared" si="0"/>
        <v>23</v>
      </c>
      <c r="J24" s="87" t="str">
        <f t="shared" si="4"/>
        <v>4900623</v>
      </c>
      <c r="K24" s="85" t="s">
        <v>128</v>
      </c>
      <c r="L24" s="100" t="s">
        <v>293</v>
      </c>
      <c r="M24" s="99" t="s">
        <v>294</v>
      </c>
      <c r="N24" s="57" t="s">
        <v>200</v>
      </c>
    </row>
    <row r="25" spans="1:14" ht="45" x14ac:dyDescent="0.15">
      <c r="A25" s="82" t="s">
        <v>201</v>
      </c>
      <c r="B25" s="83">
        <f>floors!$C$2</f>
        <v>49006</v>
      </c>
      <c r="C25" s="84" t="str">
        <f ca="1">VLOOKUP($B25,OFFSET([2]quests!$A$1,0,0,COUNTA([2]quests!$A:$A),MATCH(C$1,[2]quests!$1:$1,0)-MATCH($B$1,[2]quests!$1:$1,0)+1),MATCH(C$1,[2]quests!$1:$1,0)-MATCH($B$1,[2]quests!$1:$1,0)+1,FALSE)</f>
        <v>超大型巨人襲来！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コラボ降臨6</v>
      </c>
      <c r="E25" s="85">
        <v>2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コラボ降臨6</v>
      </c>
      <c r="H25" s="86">
        <v>0</v>
      </c>
      <c r="I25" s="90">
        <f t="shared" si="0"/>
        <v>24</v>
      </c>
      <c r="J25" s="87" t="str">
        <f t="shared" si="4"/>
        <v>4900624</v>
      </c>
      <c r="K25" s="85" t="s">
        <v>128</v>
      </c>
      <c r="L25" s="100" t="s">
        <v>295</v>
      </c>
      <c r="M25" s="99" t="s">
        <v>296</v>
      </c>
      <c r="N25" s="57" t="s">
        <v>200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Q5" sqref="Q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02" t="s">
        <v>300</v>
      </c>
      <c r="B1" s="103" t="s">
        <v>301</v>
      </c>
      <c r="C1" s="78" t="s">
        <v>302</v>
      </c>
      <c r="D1" s="78" t="s">
        <v>33</v>
      </c>
      <c r="E1" s="103" t="s">
        <v>303</v>
      </c>
      <c r="F1" s="78" t="s">
        <v>302</v>
      </c>
      <c r="G1" s="78" t="s">
        <v>33</v>
      </c>
      <c r="H1" s="103" t="s">
        <v>304</v>
      </c>
      <c r="I1" s="103" t="s">
        <v>305</v>
      </c>
      <c r="J1" s="103" t="s">
        <v>306</v>
      </c>
      <c r="K1" s="73" t="s">
        <v>307</v>
      </c>
      <c r="L1" s="73" t="s">
        <v>308</v>
      </c>
      <c r="M1" s="73" t="s">
        <v>309</v>
      </c>
      <c r="N1" s="78" t="s">
        <v>302</v>
      </c>
      <c r="O1" s="73" t="s">
        <v>310</v>
      </c>
      <c r="P1" s="73" t="s">
        <v>311</v>
      </c>
      <c r="Q1" s="73" t="s">
        <v>312</v>
      </c>
      <c r="R1" s="73" t="s">
        <v>313</v>
      </c>
      <c r="S1" s="73" t="s">
        <v>314</v>
      </c>
      <c r="T1" s="73" t="s">
        <v>315</v>
      </c>
      <c r="U1" s="73" t="s">
        <v>316</v>
      </c>
      <c r="V1" s="73" t="s">
        <v>317</v>
      </c>
      <c r="W1" s="73" t="s">
        <v>167</v>
      </c>
      <c r="X1" s="73" t="s">
        <v>168</v>
      </c>
    </row>
    <row r="2" spans="1:24" x14ac:dyDescent="0.15">
      <c r="A2" s="104" t="str">
        <f>B2&amp;"_"&amp;E2&amp;"_"&amp;H2&amp;"_"&amp;I2&amp;"_"&amp;J2</f>
        <v>49006_2_everyone_no_continue_1</v>
      </c>
      <c r="B2" s="83">
        <f>floors!$C$2</f>
        <v>49006</v>
      </c>
      <c r="C2" s="84" t="str">
        <f ca="1">VLOOKUP($B2,OFFSET([2]quests!$A$1,0,0,COUNTA([2]quests!$A:$A),MATCH(C$1,[2]quests!$1:$1,0)-MATCH($B$1,[2]quests!$1:$1,0)+1),MATCH(C$1,[2]quests!$1:$1,0)-MATCH($B$1,[2]quests!$1:$1,0)+1,FALSE)</f>
        <v>超大型巨人襲来！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コラボ降臨6</v>
      </c>
      <c r="E2" s="85">
        <v>2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【ウィザード級】超大型巨人襲来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コラボ降臨6</v>
      </c>
      <c r="H2" s="86" t="s">
        <v>318</v>
      </c>
      <c r="I2" s="85" t="s">
        <v>321</v>
      </c>
      <c r="J2" s="85">
        <v>1</v>
      </c>
      <c r="K2" s="85">
        <v>100</v>
      </c>
      <c r="L2" s="85" t="s">
        <v>279</v>
      </c>
      <c r="M2" s="85">
        <v>979</v>
      </c>
      <c r="N2" s="10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超大型巨人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6" t="s">
        <v>319</v>
      </c>
      <c r="X2" s="107" t="s">
        <v>320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2016-08-10T10:48:44Z</dcterms:modified>
</cp:coreProperties>
</file>