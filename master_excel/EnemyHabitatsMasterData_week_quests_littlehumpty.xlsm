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8980" yWindow="2620" windowWidth="28800" windowHeight="17460" tabRatio="789" activeTab="7"/>
  </bookViews>
  <sheets>
    <sheet name="output" sheetId="9" r:id="rId1"/>
    <sheet name="floors" sheetId="2" r:id="rId2"/>
    <sheet name="enemy_habitats" sheetId="1" r:id="rId3"/>
    <sheet name="enemy_habitat_S" sheetId="14" r:id="rId4"/>
    <sheet name="enemy_skill_sets" sheetId="10" r:id="rId5"/>
    <sheet name="enemy_skills" sheetId="11" r:id="rId6"/>
    <sheet name="enemy_skill_triggers" sheetId="12" r:id="rId7"/>
    <sheet name="bugbonuses" sheetId="13" r:id="rId8"/>
    <sheet name="stage_hints" sheetId="15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enemy_habitats!$B$1:$AH$73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stage_hints!$C$1:$N$1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3" l="1"/>
  <c r="D32" i="13"/>
  <c r="C29" i="13"/>
  <c r="D29" i="13"/>
  <c r="C26" i="13"/>
  <c r="D26" i="13"/>
  <c r="C23" i="13"/>
  <c r="D23" i="13"/>
  <c r="C19" i="13"/>
  <c r="D19" i="13"/>
  <c r="C20" i="13"/>
  <c r="D20" i="13"/>
  <c r="C16" i="13"/>
  <c r="D16" i="13"/>
  <c r="C17" i="13"/>
  <c r="D17" i="13"/>
  <c r="C13" i="13"/>
  <c r="D13" i="13"/>
  <c r="C10" i="13"/>
  <c r="D10" i="13"/>
  <c r="C7" i="13"/>
  <c r="D7" i="13"/>
  <c r="C4" i="13"/>
  <c r="D4" i="13"/>
  <c r="C10" i="9"/>
  <c r="E10" i="9"/>
  <c r="N199" i="15"/>
  <c r="M199" i="15"/>
  <c r="J199" i="15"/>
  <c r="H199" i="15"/>
  <c r="G199" i="15"/>
  <c r="E199" i="15"/>
  <c r="D199" i="15"/>
  <c r="A199" i="15"/>
  <c r="N198" i="15"/>
  <c r="M198" i="15"/>
  <c r="J198" i="15"/>
  <c r="H198" i="15"/>
  <c r="G198" i="15"/>
  <c r="E198" i="15"/>
  <c r="D198" i="15"/>
  <c r="A198" i="15"/>
  <c r="N197" i="15"/>
  <c r="M197" i="15"/>
  <c r="J197" i="15"/>
  <c r="H197" i="15"/>
  <c r="G197" i="15"/>
  <c r="E197" i="15"/>
  <c r="D197" i="15"/>
  <c r="A197" i="15"/>
  <c r="N196" i="15"/>
  <c r="M196" i="15"/>
  <c r="J196" i="15"/>
  <c r="H196" i="15"/>
  <c r="G196" i="15"/>
  <c r="E196" i="15"/>
  <c r="D196" i="15"/>
  <c r="A196" i="15"/>
  <c r="N195" i="15"/>
  <c r="M195" i="15"/>
  <c r="J195" i="15"/>
  <c r="H195" i="15"/>
  <c r="G195" i="15"/>
  <c r="E195" i="15"/>
  <c r="D195" i="15"/>
  <c r="A195" i="15"/>
  <c r="N194" i="15"/>
  <c r="M194" i="15"/>
  <c r="J194" i="15"/>
  <c r="H194" i="15"/>
  <c r="G194" i="15"/>
  <c r="E194" i="15"/>
  <c r="D194" i="15"/>
  <c r="A194" i="15"/>
  <c r="N193" i="15"/>
  <c r="M193" i="15"/>
  <c r="J193" i="15"/>
  <c r="H193" i="15"/>
  <c r="G193" i="15"/>
  <c r="E193" i="15"/>
  <c r="D193" i="15"/>
  <c r="A193" i="15"/>
  <c r="N192" i="15"/>
  <c r="M192" i="15"/>
  <c r="J192" i="15"/>
  <c r="H192" i="15"/>
  <c r="G192" i="15"/>
  <c r="E192" i="15"/>
  <c r="D192" i="15"/>
  <c r="A192" i="15"/>
  <c r="N191" i="15"/>
  <c r="M191" i="15"/>
  <c r="J191" i="15"/>
  <c r="H191" i="15"/>
  <c r="G191" i="15"/>
  <c r="E191" i="15"/>
  <c r="D191" i="15"/>
  <c r="A191" i="15"/>
  <c r="N190" i="15"/>
  <c r="M190" i="15"/>
  <c r="J190" i="15"/>
  <c r="H190" i="15"/>
  <c r="G190" i="15"/>
  <c r="E190" i="15"/>
  <c r="D190" i="15"/>
  <c r="A190" i="15"/>
  <c r="N189" i="15"/>
  <c r="M189" i="15"/>
  <c r="J189" i="15"/>
  <c r="H189" i="15"/>
  <c r="G189" i="15"/>
  <c r="E189" i="15"/>
  <c r="D189" i="15"/>
  <c r="A189" i="15"/>
  <c r="N188" i="15"/>
  <c r="M188" i="15"/>
  <c r="J188" i="15"/>
  <c r="H188" i="15"/>
  <c r="G188" i="15"/>
  <c r="E188" i="15"/>
  <c r="D188" i="15"/>
  <c r="A188" i="15"/>
  <c r="N187" i="15"/>
  <c r="M187" i="15"/>
  <c r="J187" i="15"/>
  <c r="H187" i="15"/>
  <c r="G187" i="15"/>
  <c r="E187" i="15"/>
  <c r="D187" i="15"/>
  <c r="A187" i="15"/>
  <c r="N186" i="15"/>
  <c r="M186" i="15"/>
  <c r="J186" i="15"/>
  <c r="H186" i="15"/>
  <c r="G186" i="15"/>
  <c r="E186" i="15"/>
  <c r="D186" i="15"/>
  <c r="A186" i="15"/>
  <c r="N185" i="15"/>
  <c r="M185" i="15"/>
  <c r="J185" i="15"/>
  <c r="H185" i="15"/>
  <c r="G185" i="15"/>
  <c r="E185" i="15"/>
  <c r="D185" i="15"/>
  <c r="A185" i="15"/>
  <c r="N184" i="15"/>
  <c r="M184" i="15"/>
  <c r="J184" i="15"/>
  <c r="H184" i="15"/>
  <c r="G184" i="15"/>
  <c r="E184" i="15"/>
  <c r="D184" i="15"/>
  <c r="A184" i="15"/>
  <c r="N183" i="15"/>
  <c r="M183" i="15"/>
  <c r="J183" i="15"/>
  <c r="H183" i="15"/>
  <c r="G183" i="15"/>
  <c r="E183" i="15"/>
  <c r="D183" i="15"/>
  <c r="A183" i="15"/>
  <c r="N182" i="15"/>
  <c r="M182" i="15"/>
  <c r="J182" i="15"/>
  <c r="H182" i="15"/>
  <c r="G182" i="15"/>
  <c r="E182" i="15"/>
  <c r="D182" i="15"/>
  <c r="A182" i="15"/>
  <c r="N181" i="15"/>
  <c r="M181" i="15"/>
  <c r="J181" i="15"/>
  <c r="H181" i="15"/>
  <c r="G181" i="15"/>
  <c r="E181" i="15"/>
  <c r="D181" i="15"/>
  <c r="A181" i="15"/>
  <c r="N180" i="15"/>
  <c r="M180" i="15"/>
  <c r="J180" i="15"/>
  <c r="H180" i="15"/>
  <c r="G180" i="15"/>
  <c r="E180" i="15"/>
  <c r="D180" i="15"/>
  <c r="A180" i="15"/>
  <c r="N179" i="15"/>
  <c r="M179" i="15"/>
  <c r="J179" i="15"/>
  <c r="H179" i="15"/>
  <c r="G179" i="15"/>
  <c r="E179" i="15"/>
  <c r="D179" i="15"/>
  <c r="A179" i="15"/>
  <c r="N178" i="15"/>
  <c r="M178" i="15"/>
  <c r="J178" i="15"/>
  <c r="H178" i="15"/>
  <c r="G178" i="15"/>
  <c r="E178" i="15"/>
  <c r="D178" i="15"/>
  <c r="A178" i="15"/>
  <c r="N177" i="15"/>
  <c r="M177" i="15"/>
  <c r="J177" i="15"/>
  <c r="H177" i="15"/>
  <c r="G177" i="15"/>
  <c r="E177" i="15"/>
  <c r="D177" i="15"/>
  <c r="A177" i="15"/>
  <c r="N176" i="15"/>
  <c r="M176" i="15"/>
  <c r="J176" i="15"/>
  <c r="H176" i="15"/>
  <c r="G176" i="15"/>
  <c r="E176" i="15"/>
  <c r="D176" i="15"/>
  <c r="A176" i="15"/>
  <c r="N175" i="15"/>
  <c r="M175" i="15"/>
  <c r="J175" i="15"/>
  <c r="H175" i="15"/>
  <c r="G175" i="15"/>
  <c r="E175" i="15"/>
  <c r="D175" i="15"/>
  <c r="A175" i="15"/>
  <c r="N174" i="15"/>
  <c r="M174" i="15"/>
  <c r="J174" i="15"/>
  <c r="H174" i="15"/>
  <c r="G174" i="15"/>
  <c r="E174" i="15"/>
  <c r="D174" i="15"/>
  <c r="A174" i="15"/>
  <c r="N173" i="15"/>
  <c r="M173" i="15"/>
  <c r="J173" i="15"/>
  <c r="H173" i="15"/>
  <c r="G173" i="15"/>
  <c r="E173" i="15"/>
  <c r="D173" i="15"/>
  <c r="A173" i="15"/>
  <c r="N172" i="15"/>
  <c r="M172" i="15"/>
  <c r="J172" i="15"/>
  <c r="H172" i="15"/>
  <c r="G172" i="15"/>
  <c r="E172" i="15"/>
  <c r="D172" i="15"/>
  <c r="A172" i="15"/>
  <c r="N171" i="15"/>
  <c r="M171" i="15"/>
  <c r="J171" i="15"/>
  <c r="H171" i="15"/>
  <c r="G171" i="15"/>
  <c r="E171" i="15"/>
  <c r="D171" i="15"/>
  <c r="A171" i="15"/>
  <c r="N170" i="15"/>
  <c r="M170" i="15"/>
  <c r="J170" i="15"/>
  <c r="H170" i="15"/>
  <c r="G170" i="15"/>
  <c r="E170" i="15"/>
  <c r="D170" i="15"/>
  <c r="A170" i="15"/>
  <c r="N169" i="15"/>
  <c r="M169" i="15"/>
  <c r="J169" i="15"/>
  <c r="H169" i="15"/>
  <c r="G169" i="15"/>
  <c r="E169" i="15"/>
  <c r="D169" i="15"/>
  <c r="A169" i="15"/>
  <c r="N168" i="15"/>
  <c r="M168" i="15"/>
  <c r="J168" i="15"/>
  <c r="H168" i="15"/>
  <c r="G168" i="15"/>
  <c r="E168" i="15"/>
  <c r="D168" i="15"/>
  <c r="A168" i="15"/>
  <c r="N167" i="15"/>
  <c r="M167" i="15"/>
  <c r="J167" i="15"/>
  <c r="H167" i="15"/>
  <c r="G167" i="15"/>
  <c r="E167" i="15"/>
  <c r="D167" i="15"/>
  <c r="A167" i="15"/>
  <c r="N166" i="15"/>
  <c r="M166" i="15"/>
  <c r="J166" i="15"/>
  <c r="H166" i="15"/>
  <c r="G166" i="15"/>
  <c r="E166" i="15"/>
  <c r="D166" i="15"/>
  <c r="A166" i="15"/>
  <c r="N165" i="15"/>
  <c r="M165" i="15"/>
  <c r="J165" i="15"/>
  <c r="H165" i="15"/>
  <c r="G165" i="15"/>
  <c r="E165" i="15"/>
  <c r="D165" i="15"/>
  <c r="A165" i="15"/>
  <c r="N164" i="15"/>
  <c r="M164" i="15"/>
  <c r="J164" i="15"/>
  <c r="H164" i="15"/>
  <c r="G164" i="15"/>
  <c r="E164" i="15"/>
  <c r="D164" i="15"/>
  <c r="A164" i="15"/>
  <c r="N163" i="15"/>
  <c r="M163" i="15"/>
  <c r="J163" i="15"/>
  <c r="H163" i="15"/>
  <c r="G163" i="15"/>
  <c r="E163" i="15"/>
  <c r="D163" i="15"/>
  <c r="A163" i="15"/>
  <c r="N162" i="15"/>
  <c r="M162" i="15"/>
  <c r="J162" i="15"/>
  <c r="H162" i="15"/>
  <c r="G162" i="15"/>
  <c r="E162" i="15"/>
  <c r="D162" i="15"/>
  <c r="A162" i="15"/>
  <c r="N161" i="15"/>
  <c r="M161" i="15"/>
  <c r="J161" i="15"/>
  <c r="H161" i="15"/>
  <c r="G161" i="15"/>
  <c r="E161" i="15"/>
  <c r="D161" i="15"/>
  <c r="A161" i="15"/>
  <c r="N160" i="15"/>
  <c r="M160" i="15"/>
  <c r="J160" i="15"/>
  <c r="H160" i="15"/>
  <c r="G160" i="15"/>
  <c r="E160" i="15"/>
  <c r="D160" i="15"/>
  <c r="A160" i="15"/>
  <c r="N159" i="15"/>
  <c r="M159" i="15"/>
  <c r="J159" i="15"/>
  <c r="H159" i="15"/>
  <c r="G159" i="15"/>
  <c r="E159" i="15"/>
  <c r="D159" i="15"/>
  <c r="A159" i="15"/>
  <c r="N158" i="15"/>
  <c r="M158" i="15"/>
  <c r="J158" i="15"/>
  <c r="H158" i="15"/>
  <c r="G158" i="15"/>
  <c r="E158" i="15"/>
  <c r="D158" i="15"/>
  <c r="A158" i="15"/>
  <c r="N157" i="15"/>
  <c r="M157" i="15"/>
  <c r="J157" i="15"/>
  <c r="H157" i="15"/>
  <c r="G157" i="15"/>
  <c r="E157" i="15"/>
  <c r="D157" i="15"/>
  <c r="A157" i="15"/>
  <c r="N156" i="15"/>
  <c r="M156" i="15"/>
  <c r="J156" i="15"/>
  <c r="H156" i="15"/>
  <c r="G156" i="15"/>
  <c r="E156" i="15"/>
  <c r="D156" i="15"/>
  <c r="A156" i="15"/>
  <c r="N155" i="15"/>
  <c r="M155" i="15"/>
  <c r="J155" i="15"/>
  <c r="H155" i="15"/>
  <c r="G155" i="15"/>
  <c r="E155" i="15"/>
  <c r="D155" i="15"/>
  <c r="A155" i="15"/>
  <c r="N154" i="15"/>
  <c r="M154" i="15"/>
  <c r="J154" i="15"/>
  <c r="H154" i="15"/>
  <c r="G154" i="15"/>
  <c r="E154" i="15"/>
  <c r="D154" i="15"/>
  <c r="A154" i="15"/>
  <c r="N153" i="15"/>
  <c r="M153" i="15"/>
  <c r="J153" i="15"/>
  <c r="H153" i="15"/>
  <c r="G153" i="15"/>
  <c r="E153" i="15"/>
  <c r="D153" i="15"/>
  <c r="A153" i="15"/>
  <c r="N152" i="15"/>
  <c r="M152" i="15"/>
  <c r="J152" i="15"/>
  <c r="H152" i="15"/>
  <c r="G152" i="15"/>
  <c r="E152" i="15"/>
  <c r="D152" i="15"/>
  <c r="A152" i="15"/>
  <c r="N151" i="15"/>
  <c r="M151" i="15"/>
  <c r="J151" i="15"/>
  <c r="H151" i="15"/>
  <c r="G151" i="15"/>
  <c r="E151" i="15"/>
  <c r="D151" i="15"/>
  <c r="A151" i="15"/>
  <c r="N150" i="15"/>
  <c r="M150" i="15"/>
  <c r="J150" i="15"/>
  <c r="H150" i="15"/>
  <c r="G150" i="15"/>
  <c r="E150" i="15"/>
  <c r="D150" i="15"/>
  <c r="A150" i="15"/>
  <c r="N149" i="15"/>
  <c r="M149" i="15"/>
  <c r="J149" i="15"/>
  <c r="H149" i="15"/>
  <c r="G149" i="15"/>
  <c r="E149" i="15"/>
  <c r="D149" i="15"/>
  <c r="A149" i="15"/>
  <c r="N148" i="15"/>
  <c r="M148" i="15"/>
  <c r="J148" i="15"/>
  <c r="H148" i="15"/>
  <c r="G148" i="15"/>
  <c r="E148" i="15"/>
  <c r="D148" i="15"/>
  <c r="A148" i="15"/>
  <c r="N147" i="15"/>
  <c r="M147" i="15"/>
  <c r="J147" i="15"/>
  <c r="H147" i="15"/>
  <c r="G147" i="15"/>
  <c r="E147" i="15"/>
  <c r="D147" i="15"/>
  <c r="A147" i="15"/>
  <c r="N146" i="15"/>
  <c r="M146" i="15"/>
  <c r="J146" i="15"/>
  <c r="H146" i="15"/>
  <c r="G146" i="15"/>
  <c r="E146" i="15"/>
  <c r="D146" i="15"/>
  <c r="A146" i="15"/>
  <c r="N145" i="15"/>
  <c r="M145" i="15"/>
  <c r="J145" i="15"/>
  <c r="H145" i="15"/>
  <c r="G145" i="15"/>
  <c r="E145" i="15"/>
  <c r="D145" i="15"/>
  <c r="A145" i="15"/>
  <c r="N144" i="15"/>
  <c r="M144" i="15"/>
  <c r="J144" i="15"/>
  <c r="H144" i="15"/>
  <c r="G144" i="15"/>
  <c r="E144" i="15"/>
  <c r="D144" i="15"/>
  <c r="A144" i="15"/>
  <c r="N143" i="15"/>
  <c r="M143" i="15"/>
  <c r="J143" i="15"/>
  <c r="H143" i="15"/>
  <c r="G143" i="15"/>
  <c r="E143" i="15"/>
  <c r="D143" i="15"/>
  <c r="A143" i="15"/>
  <c r="N142" i="15"/>
  <c r="M142" i="15"/>
  <c r="J142" i="15"/>
  <c r="H142" i="15"/>
  <c r="G142" i="15"/>
  <c r="E142" i="15"/>
  <c r="D142" i="15"/>
  <c r="A142" i="15"/>
  <c r="N141" i="15"/>
  <c r="M141" i="15"/>
  <c r="J141" i="15"/>
  <c r="H141" i="15"/>
  <c r="G141" i="15"/>
  <c r="E141" i="15"/>
  <c r="D141" i="15"/>
  <c r="A141" i="15"/>
  <c r="N140" i="15"/>
  <c r="M140" i="15"/>
  <c r="J140" i="15"/>
  <c r="H140" i="15"/>
  <c r="G140" i="15"/>
  <c r="E140" i="15"/>
  <c r="D140" i="15"/>
  <c r="A140" i="15"/>
  <c r="N139" i="15"/>
  <c r="M139" i="15"/>
  <c r="J139" i="15"/>
  <c r="H139" i="15"/>
  <c r="G139" i="15"/>
  <c r="E139" i="15"/>
  <c r="D139" i="15"/>
  <c r="A139" i="15"/>
  <c r="N138" i="15"/>
  <c r="M138" i="15"/>
  <c r="J138" i="15"/>
  <c r="H138" i="15"/>
  <c r="G138" i="15"/>
  <c r="E138" i="15"/>
  <c r="D138" i="15"/>
  <c r="A138" i="15"/>
  <c r="N137" i="15"/>
  <c r="M137" i="15"/>
  <c r="J137" i="15"/>
  <c r="H137" i="15"/>
  <c r="G137" i="15"/>
  <c r="E137" i="15"/>
  <c r="D137" i="15"/>
  <c r="A137" i="15"/>
  <c r="N136" i="15"/>
  <c r="M136" i="15"/>
  <c r="J136" i="15"/>
  <c r="H136" i="15"/>
  <c r="G136" i="15"/>
  <c r="E136" i="15"/>
  <c r="D136" i="15"/>
  <c r="A136" i="15"/>
  <c r="N135" i="15"/>
  <c r="M135" i="15"/>
  <c r="J135" i="15"/>
  <c r="H135" i="15"/>
  <c r="G135" i="15"/>
  <c r="E135" i="15"/>
  <c r="D135" i="15"/>
  <c r="A135" i="15"/>
  <c r="N134" i="15"/>
  <c r="M134" i="15"/>
  <c r="J134" i="15"/>
  <c r="H134" i="15"/>
  <c r="G134" i="15"/>
  <c r="E134" i="15"/>
  <c r="D134" i="15"/>
  <c r="A134" i="15"/>
  <c r="N331" i="15"/>
  <c r="M331" i="15"/>
  <c r="J331" i="15"/>
  <c r="H331" i="15"/>
  <c r="G331" i="15"/>
  <c r="E331" i="15"/>
  <c r="D331" i="15"/>
  <c r="A331" i="15"/>
  <c r="N330" i="15"/>
  <c r="M330" i="15"/>
  <c r="J330" i="15"/>
  <c r="H330" i="15"/>
  <c r="G330" i="15"/>
  <c r="E330" i="15"/>
  <c r="D330" i="15"/>
  <c r="A330" i="15"/>
  <c r="N329" i="15"/>
  <c r="M329" i="15"/>
  <c r="J329" i="15"/>
  <c r="H329" i="15"/>
  <c r="G329" i="15"/>
  <c r="E329" i="15"/>
  <c r="D329" i="15"/>
  <c r="A329" i="15"/>
  <c r="N328" i="15"/>
  <c r="M328" i="15"/>
  <c r="J328" i="15"/>
  <c r="H328" i="15"/>
  <c r="G328" i="15"/>
  <c r="E328" i="15"/>
  <c r="D328" i="15"/>
  <c r="A328" i="15"/>
  <c r="N327" i="15"/>
  <c r="M327" i="15"/>
  <c r="J327" i="15"/>
  <c r="H327" i="15"/>
  <c r="G327" i="15"/>
  <c r="E327" i="15"/>
  <c r="D327" i="15"/>
  <c r="A327" i="15"/>
  <c r="N326" i="15"/>
  <c r="M326" i="15"/>
  <c r="J326" i="15"/>
  <c r="H326" i="15"/>
  <c r="G326" i="15"/>
  <c r="E326" i="15"/>
  <c r="D326" i="15"/>
  <c r="A326" i="15"/>
  <c r="N325" i="15"/>
  <c r="M325" i="15"/>
  <c r="J325" i="15"/>
  <c r="H325" i="15"/>
  <c r="G325" i="15"/>
  <c r="E325" i="15"/>
  <c r="D325" i="15"/>
  <c r="A325" i="15"/>
  <c r="N324" i="15"/>
  <c r="M324" i="15"/>
  <c r="J324" i="15"/>
  <c r="H324" i="15"/>
  <c r="G324" i="15"/>
  <c r="E324" i="15"/>
  <c r="D324" i="15"/>
  <c r="A324" i="15"/>
  <c r="N323" i="15"/>
  <c r="M323" i="15"/>
  <c r="J323" i="15"/>
  <c r="H323" i="15"/>
  <c r="G323" i="15"/>
  <c r="E323" i="15"/>
  <c r="D323" i="15"/>
  <c r="A323" i="15"/>
  <c r="N322" i="15"/>
  <c r="M322" i="15"/>
  <c r="J322" i="15"/>
  <c r="H322" i="15"/>
  <c r="G322" i="15"/>
  <c r="E322" i="15"/>
  <c r="D322" i="15"/>
  <c r="A322" i="15"/>
  <c r="N321" i="15"/>
  <c r="M321" i="15"/>
  <c r="J321" i="15"/>
  <c r="H321" i="15"/>
  <c r="G321" i="15"/>
  <c r="E321" i="15"/>
  <c r="D321" i="15"/>
  <c r="A321" i="15"/>
  <c r="N320" i="15"/>
  <c r="M320" i="15"/>
  <c r="J320" i="15"/>
  <c r="H320" i="15"/>
  <c r="G320" i="15"/>
  <c r="E320" i="15"/>
  <c r="D320" i="15"/>
  <c r="A320" i="15"/>
  <c r="N319" i="15"/>
  <c r="M319" i="15"/>
  <c r="J319" i="15"/>
  <c r="H319" i="15"/>
  <c r="G319" i="15"/>
  <c r="E319" i="15"/>
  <c r="D319" i="15"/>
  <c r="A319" i="15"/>
  <c r="N318" i="15"/>
  <c r="M318" i="15"/>
  <c r="J318" i="15"/>
  <c r="H318" i="15"/>
  <c r="G318" i="15"/>
  <c r="E318" i="15"/>
  <c r="D318" i="15"/>
  <c r="A318" i="15"/>
  <c r="N317" i="15"/>
  <c r="M317" i="15"/>
  <c r="J317" i="15"/>
  <c r="H317" i="15"/>
  <c r="G317" i="15"/>
  <c r="E317" i="15"/>
  <c r="D317" i="15"/>
  <c r="A317" i="15"/>
  <c r="N316" i="15"/>
  <c r="M316" i="15"/>
  <c r="J316" i="15"/>
  <c r="H316" i="15"/>
  <c r="G316" i="15"/>
  <c r="E316" i="15"/>
  <c r="D316" i="15"/>
  <c r="A316" i="15"/>
  <c r="N315" i="15"/>
  <c r="M315" i="15"/>
  <c r="J315" i="15"/>
  <c r="H315" i="15"/>
  <c r="G315" i="15"/>
  <c r="E315" i="15"/>
  <c r="D315" i="15"/>
  <c r="A315" i="15"/>
  <c r="N314" i="15"/>
  <c r="M314" i="15"/>
  <c r="J314" i="15"/>
  <c r="H314" i="15"/>
  <c r="G314" i="15"/>
  <c r="E314" i="15"/>
  <c r="D314" i="15"/>
  <c r="A314" i="15"/>
  <c r="N313" i="15"/>
  <c r="M313" i="15"/>
  <c r="J313" i="15"/>
  <c r="H313" i="15"/>
  <c r="G313" i="15"/>
  <c r="E313" i="15"/>
  <c r="D313" i="15"/>
  <c r="A313" i="15"/>
  <c r="N312" i="15"/>
  <c r="M312" i="15"/>
  <c r="J312" i="15"/>
  <c r="H312" i="15"/>
  <c r="G312" i="15"/>
  <c r="E312" i="15"/>
  <c r="D312" i="15"/>
  <c r="A312" i="15"/>
  <c r="N311" i="15"/>
  <c r="M311" i="15"/>
  <c r="J311" i="15"/>
  <c r="H311" i="15"/>
  <c r="G311" i="15"/>
  <c r="E311" i="15"/>
  <c r="D311" i="15"/>
  <c r="A311" i="15"/>
  <c r="N310" i="15"/>
  <c r="M310" i="15"/>
  <c r="J310" i="15"/>
  <c r="H310" i="15"/>
  <c r="G310" i="15"/>
  <c r="E310" i="15"/>
  <c r="D310" i="15"/>
  <c r="A310" i="15"/>
  <c r="N309" i="15"/>
  <c r="M309" i="15"/>
  <c r="J309" i="15"/>
  <c r="H309" i="15"/>
  <c r="G309" i="15"/>
  <c r="E309" i="15"/>
  <c r="D309" i="15"/>
  <c r="A309" i="15"/>
  <c r="N308" i="15"/>
  <c r="M308" i="15"/>
  <c r="J308" i="15"/>
  <c r="H308" i="15"/>
  <c r="G308" i="15"/>
  <c r="E308" i="15"/>
  <c r="D308" i="15"/>
  <c r="A308" i="15"/>
  <c r="N307" i="15"/>
  <c r="M307" i="15"/>
  <c r="J307" i="15"/>
  <c r="H307" i="15"/>
  <c r="G307" i="15"/>
  <c r="E307" i="15"/>
  <c r="D307" i="15"/>
  <c r="A307" i="15"/>
  <c r="N306" i="15"/>
  <c r="M306" i="15"/>
  <c r="J306" i="15"/>
  <c r="H306" i="15"/>
  <c r="G306" i="15"/>
  <c r="E306" i="15"/>
  <c r="D306" i="15"/>
  <c r="A306" i="15"/>
  <c r="N305" i="15"/>
  <c r="M305" i="15"/>
  <c r="J305" i="15"/>
  <c r="H305" i="15"/>
  <c r="G305" i="15"/>
  <c r="E305" i="15"/>
  <c r="D305" i="15"/>
  <c r="A305" i="15"/>
  <c r="N304" i="15"/>
  <c r="M304" i="15"/>
  <c r="J304" i="15"/>
  <c r="H304" i="15"/>
  <c r="G304" i="15"/>
  <c r="E304" i="15"/>
  <c r="D304" i="15"/>
  <c r="A304" i="15"/>
  <c r="N303" i="15"/>
  <c r="M303" i="15"/>
  <c r="J303" i="15"/>
  <c r="H303" i="15"/>
  <c r="G303" i="15"/>
  <c r="E303" i="15"/>
  <c r="D303" i="15"/>
  <c r="A303" i="15"/>
  <c r="N302" i="15"/>
  <c r="M302" i="15"/>
  <c r="J302" i="15"/>
  <c r="H302" i="15"/>
  <c r="G302" i="15"/>
  <c r="E302" i="15"/>
  <c r="D302" i="15"/>
  <c r="A302" i="15"/>
  <c r="N301" i="15"/>
  <c r="M301" i="15"/>
  <c r="J301" i="15"/>
  <c r="H301" i="15"/>
  <c r="G301" i="15"/>
  <c r="E301" i="15"/>
  <c r="D301" i="15"/>
  <c r="A301" i="15"/>
  <c r="N300" i="15"/>
  <c r="M300" i="15"/>
  <c r="J300" i="15"/>
  <c r="H300" i="15"/>
  <c r="G300" i="15"/>
  <c r="E300" i="15"/>
  <c r="D300" i="15"/>
  <c r="A300" i="15"/>
  <c r="N299" i="15"/>
  <c r="M299" i="15"/>
  <c r="J299" i="15"/>
  <c r="H299" i="15"/>
  <c r="G299" i="15"/>
  <c r="E299" i="15"/>
  <c r="D299" i="15"/>
  <c r="A299" i="15"/>
  <c r="N298" i="15"/>
  <c r="M298" i="15"/>
  <c r="J298" i="15"/>
  <c r="H298" i="15"/>
  <c r="G298" i="15"/>
  <c r="E298" i="15"/>
  <c r="D298" i="15"/>
  <c r="A298" i="15"/>
  <c r="N297" i="15"/>
  <c r="M297" i="15"/>
  <c r="J297" i="15"/>
  <c r="H297" i="15"/>
  <c r="G297" i="15"/>
  <c r="E297" i="15"/>
  <c r="D297" i="15"/>
  <c r="A297" i="15"/>
  <c r="N296" i="15"/>
  <c r="M296" i="15"/>
  <c r="J296" i="15"/>
  <c r="H296" i="15"/>
  <c r="G296" i="15"/>
  <c r="E296" i="15"/>
  <c r="D296" i="15"/>
  <c r="A296" i="15"/>
  <c r="N295" i="15"/>
  <c r="M295" i="15"/>
  <c r="J295" i="15"/>
  <c r="H295" i="15"/>
  <c r="G295" i="15"/>
  <c r="E295" i="15"/>
  <c r="D295" i="15"/>
  <c r="A295" i="15"/>
  <c r="N294" i="15"/>
  <c r="M294" i="15"/>
  <c r="J294" i="15"/>
  <c r="H294" i="15"/>
  <c r="G294" i="15"/>
  <c r="E294" i="15"/>
  <c r="D294" i="15"/>
  <c r="A294" i="15"/>
  <c r="N293" i="15"/>
  <c r="M293" i="15"/>
  <c r="J293" i="15"/>
  <c r="H293" i="15"/>
  <c r="G293" i="15"/>
  <c r="E293" i="15"/>
  <c r="D293" i="15"/>
  <c r="A293" i="15"/>
  <c r="N292" i="15"/>
  <c r="M292" i="15"/>
  <c r="J292" i="15"/>
  <c r="H292" i="15"/>
  <c r="G292" i="15"/>
  <c r="E292" i="15"/>
  <c r="D292" i="15"/>
  <c r="A292" i="15"/>
  <c r="N291" i="15"/>
  <c r="M291" i="15"/>
  <c r="J291" i="15"/>
  <c r="H291" i="15"/>
  <c r="G291" i="15"/>
  <c r="E291" i="15"/>
  <c r="D291" i="15"/>
  <c r="A291" i="15"/>
  <c r="N290" i="15"/>
  <c r="M290" i="15"/>
  <c r="J290" i="15"/>
  <c r="H290" i="15"/>
  <c r="G290" i="15"/>
  <c r="E290" i="15"/>
  <c r="D290" i="15"/>
  <c r="A290" i="15"/>
  <c r="N289" i="15"/>
  <c r="M289" i="15"/>
  <c r="J289" i="15"/>
  <c r="H289" i="15"/>
  <c r="G289" i="15"/>
  <c r="E289" i="15"/>
  <c r="D289" i="15"/>
  <c r="A289" i="15"/>
  <c r="N288" i="15"/>
  <c r="M288" i="15"/>
  <c r="J288" i="15"/>
  <c r="H288" i="15"/>
  <c r="G288" i="15"/>
  <c r="E288" i="15"/>
  <c r="D288" i="15"/>
  <c r="A288" i="15"/>
  <c r="N287" i="15"/>
  <c r="M287" i="15"/>
  <c r="J287" i="15"/>
  <c r="H287" i="15"/>
  <c r="G287" i="15"/>
  <c r="E287" i="15"/>
  <c r="D287" i="15"/>
  <c r="A287" i="15"/>
  <c r="N286" i="15"/>
  <c r="M286" i="15"/>
  <c r="J286" i="15"/>
  <c r="H286" i="15"/>
  <c r="G286" i="15"/>
  <c r="E286" i="15"/>
  <c r="D286" i="15"/>
  <c r="A286" i="15"/>
  <c r="N285" i="15"/>
  <c r="M285" i="15"/>
  <c r="J285" i="15"/>
  <c r="H285" i="15"/>
  <c r="G285" i="15"/>
  <c r="E285" i="15"/>
  <c r="D285" i="15"/>
  <c r="A285" i="15"/>
  <c r="N284" i="15"/>
  <c r="M284" i="15"/>
  <c r="J284" i="15"/>
  <c r="H284" i="15"/>
  <c r="G284" i="15"/>
  <c r="E284" i="15"/>
  <c r="D284" i="15"/>
  <c r="A284" i="15"/>
  <c r="N283" i="15"/>
  <c r="M283" i="15"/>
  <c r="J283" i="15"/>
  <c r="H283" i="15"/>
  <c r="G283" i="15"/>
  <c r="E283" i="15"/>
  <c r="D283" i="15"/>
  <c r="A283" i="15"/>
  <c r="N282" i="15"/>
  <c r="M282" i="15"/>
  <c r="J282" i="15"/>
  <c r="H282" i="15"/>
  <c r="G282" i="15"/>
  <c r="E282" i="15"/>
  <c r="D282" i="15"/>
  <c r="A282" i="15"/>
  <c r="N281" i="15"/>
  <c r="M281" i="15"/>
  <c r="J281" i="15"/>
  <c r="H281" i="15"/>
  <c r="G281" i="15"/>
  <c r="E281" i="15"/>
  <c r="D281" i="15"/>
  <c r="A281" i="15"/>
  <c r="N280" i="15"/>
  <c r="M280" i="15"/>
  <c r="J280" i="15"/>
  <c r="H280" i="15"/>
  <c r="G280" i="15"/>
  <c r="E280" i="15"/>
  <c r="D280" i="15"/>
  <c r="A280" i="15"/>
  <c r="N279" i="15"/>
  <c r="M279" i="15"/>
  <c r="J279" i="15"/>
  <c r="H279" i="15"/>
  <c r="G279" i="15"/>
  <c r="E279" i="15"/>
  <c r="D279" i="15"/>
  <c r="A279" i="15"/>
  <c r="N278" i="15"/>
  <c r="M278" i="15"/>
  <c r="J278" i="15"/>
  <c r="H278" i="15"/>
  <c r="G278" i="15"/>
  <c r="E278" i="15"/>
  <c r="D278" i="15"/>
  <c r="A278" i="15"/>
  <c r="N277" i="15"/>
  <c r="M277" i="15"/>
  <c r="J277" i="15"/>
  <c r="H277" i="15"/>
  <c r="G277" i="15"/>
  <c r="E277" i="15"/>
  <c r="D277" i="15"/>
  <c r="A277" i="15"/>
  <c r="N276" i="15"/>
  <c r="M276" i="15"/>
  <c r="J276" i="15"/>
  <c r="H276" i="15"/>
  <c r="G276" i="15"/>
  <c r="E276" i="15"/>
  <c r="D276" i="15"/>
  <c r="A276" i="15"/>
  <c r="N275" i="15"/>
  <c r="M275" i="15"/>
  <c r="J275" i="15"/>
  <c r="H275" i="15"/>
  <c r="G275" i="15"/>
  <c r="E275" i="15"/>
  <c r="D275" i="15"/>
  <c r="A275" i="15"/>
  <c r="N274" i="15"/>
  <c r="M274" i="15"/>
  <c r="J274" i="15"/>
  <c r="H274" i="15"/>
  <c r="G274" i="15"/>
  <c r="E274" i="15"/>
  <c r="D274" i="15"/>
  <c r="A274" i="15"/>
  <c r="N273" i="15"/>
  <c r="M273" i="15"/>
  <c r="J273" i="15"/>
  <c r="H273" i="15"/>
  <c r="G273" i="15"/>
  <c r="E273" i="15"/>
  <c r="D273" i="15"/>
  <c r="A273" i="15"/>
  <c r="N272" i="15"/>
  <c r="M272" i="15"/>
  <c r="J272" i="15"/>
  <c r="H272" i="15"/>
  <c r="G272" i="15"/>
  <c r="E272" i="15"/>
  <c r="D272" i="15"/>
  <c r="A272" i="15"/>
  <c r="N271" i="15"/>
  <c r="M271" i="15"/>
  <c r="J271" i="15"/>
  <c r="H271" i="15"/>
  <c r="G271" i="15"/>
  <c r="E271" i="15"/>
  <c r="D271" i="15"/>
  <c r="A271" i="15"/>
  <c r="N270" i="15"/>
  <c r="M270" i="15"/>
  <c r="J270" i="15"/>
  <c r="H270" i="15"/>
  <c r="G270" i="15"/>
  <c r="E270" i="15"/>
  <c r="D270" i="15"/>
  <c r="A270" i="15"/>
  <c r="N269" i="15"/>
  <c r="M269" i="15"/>
  <c r="J269" i="15"/>
  <c r="H269" i="15"/>
  <c r="G269" i="15"/>
  <c r="E269" i="15"/>
  <c r="D269" i="15"/>
  <c r="A269" i="15"/>
  <c r="N268" i="15"/>
  <c r="M268" i="15"/>
  <c r="J268" i="15"/>
  <c r="H268" i="15"/>
  <c r="G268" i="15"/>
  <c r="E268" i="15"/>
  <c r="D268" i="15"/>
  <c r="A268" i="15"/>
  <c r="N267" i="15"/>
  <c r="M267" i="15"/>
  <c r="J267" i="15"/>
  <c r="H267" i="15"/>
  <c r="G267" i="15"/>
  <c r="E267" i="15"/>
  <c r="D267" i="15"/>
  <c r="A267" i="15"/>
  <c r="N266" i="15"/>
  <c r="M266" i="15"/>
  <c r="J266" i="15"/>
  <c r="H266" i="15"/>
  <c r="G266" i="15"/>
  <c r="E266" i="15"/>
  <c r="D266" i="15"/>
  <c r="A266" i="15"/>
  <c r="N265" i="15"/>
  <c r="M265" i="15"/>
  <c r="J265" i="15"/>
  <c r="H265" i="15"/>
  <c r="G265" i="15"/>
  <c r="E265" i="15"/>
  <c r="D265" i="15"/>
  <c r="A265" i="15"/>
  <c r="N264" i="15"/>
  <c r="M264" i="15"/>
  <c r="J264" i="15"/>
  <c r="H264" i="15"/>
  <c r="G264" i="15"/>
  <c r="E264" i="15"/>
  <c r="D264" i="15"/>
  <c r="A264" i="15"/>
  <c r="N263" i="15"/>
  <c r="M263" i="15"/>
  <c r="J263" i="15"/>
  <c r="H263" i="15"/>
  <c r="G263" i="15"/>
  <c r="E263" i="15"/>
  <c r="D263" i="15"/>
  <c r="A263" i="15"/>
  <c r="N262" i="15"/>
  <c r="M262" i="15"/>
  <c r="J262" i="15"/>
  <c r="H262" i="15"/>
  <c r="G262" i="15"/>
  <c r="E262" i="15"/>
  <c r="D262" i="15"/>
  <c r="A262" i="15"/>
  <c r="N261" i="15"/>
  <c r="M261" i="15"/>
  <c r="J261" i="15"/>
  <c r="H261" i="15"/>
  <c r="G261" i="15"/>
  <c r="E261" i="15"/>
  <c r="D261" i="15"/>
  <c r="A261" i="15"/>
  <c r="N260" i="15"/>
  <c r="M260" i="15"/>
  <c r="J260" i="15"/>
  <c r="H260" i="15"/>
  <c r="G260" i="15"/>
  <c r="E260" i="15"/>
  <c r="D260" i="15"/>
  <c r="A260" i="15"/>
  <c r="N259" i="15"/>
  <c r="M259" i="15"/>
  <c r="J259" i="15"/>
  <c r="H259" i="15"/>
  <c r="G259" i="15"/>
  <c r="E259" i="15"/>
  <c r="D259" i="15"/>
  <c r="A259" i="15"/>
  <c r="N258" i="15"/>
  <c r="M258" i="15"/>
  <c r="J258" i="15"/>
  <c r="H258" i="15"/>
  <c r="G258" i="15"/>
  <c r="E258" i="15"/>
  <c r="D258" i="15"/>
  <c r="A258" i="15"/>
  <c r="N257" i="15"/>
  <c r="M257" i="15"/>
  <c r="J257" i="15"/>
  <c r="H257" i="15"/>
  <c r="G257" i="15"/>
  <c r="E257" i="15"/>
  <c r="D257" i="15"/>
  <c r="A257" i="15"/>
  <c r="N256" i="15"/>
  <c r="M256" i="15"/>
  <c r="J256" i="15"/>
  <c r="H256" i="15"/>
  <c r="G256" i="15"/>
  <c r="E256" i="15"/>
  <c r="D256" i="15"/>
  <c r="A256" i="15"/>
  <c r="N255" i="15"/>
  <c r="M255" i="15"/>
  <c r="J255" i="15"/>
  <c r="H255" i="15"/>
  <c r="G255" i="15"/>
  <c r="E255" i="15"/>
  <c r="D255" i="15"/>
  <c r="A255" i="15"/>
  <c r="N254" i="15"/>
  <c r="M254" i="15"/>
  <c r="J254" i="15"/>
  <c r="H254" i="15"/>
  <c r="G254" i="15"/>
  <c r="E254" i="15"/>
  <c r="D254" i="15"/>
  <c r="A254" i="15"/>
  <c r="N253" i="15"/>
  <c r="M253" i="15"/>
  <c r="J253" i="15"/>
  <c r="H253" i="15"/>
  <c r="G253" i="15"/>
  <c r="E253" i="15"/>
  <c r="D253" i="15"/>
  <c r="A253" i="15"/>
  <c r="N252" i="15"/>
  <c r="M252" i="15"/>
  <c r="J252" i="15"/>
  <c r="H252" i="15"/>
  <c r="G252" i="15"/>
  <c r="E252" i="15"/>
  <c r="D252" i="15"/>
  <c r="A252" i="15"/>
  <c r="N251" i="15"/>
  <c r="M251" i="15"/>
  <c r="J251" i="15"/>
  <c r="H251" i="15"/>
  <c r="G251" i="15"/>
  <c r="E251" i="15"/>
  <c r="D251" i="15"/>
  <c r="A251" i="15"/>
  <c r="N250" i="15"/>
  <c r="M250" i="15"/>
  <c r="J250" i="15"/>
  <c r="H250" i="15"/>
  <c r="G250" i="15"/>
  <c r="E250" i="15"/>
  <c r="D250" i="15"/>
  <c r="A250" i="15"/>
  <c r="N249" i="15"/>
  <c r="M249" i="15"/>
  <c r="J249" i="15"/>
  <c r="H249" i="15"/>
  <c r="G249" i="15"/>
  <c r="E249" i="15"/>
  <c r="D249" i="15"/>
  <c r="A249" i="15"/>
  <c r="N248" i="15"/>
  <c r="M248" i="15"/>
  <c r="J248" i="15"/>
  <c r="H248" i="15"/>
  <c r="G248" i="15"/>
  <c r="E248" i="15"/>
  <c r="D248" i="15"/>
  <c r="A248" i="15"/>
  <c r="N247" i="15"/>
  <c r="M247" i="15"/>
  <c r="J247" i="15"/>
  <c r="H247" i="15"/>
  <c r="G247" i="15"/>
  <c r="E247" i="15"/>
  <c r="D247" i="15"/>
  <c r="A247" i="15"/>
  <c r="N246" i="15"/>
  <c r="M246" i="15"/>
  <c r="J246" i="15"/>
  <c r="H246" i="15"/>
  <c r="G246" i="15"/>
  <c r="E246" i="15"/>
  <c r="D246" i="15"/>
  <c r="A246" i="15"/>
  <c r="N245" i="15"/>
  <c r="M245" i="15"/>
  <c r="J245" i="15"/>
  <c r="H245" i="15"/>
  <c r="G245" i="15"/>
  <c r="E245" i="15"/>
  <c r="D245" i="15"/>
  <c r="A245" i="15"/>
  <c r="N244" i="15"/>
  <c r="M244" i="15"/>
  <c r="J244" i="15"/>
  <c r="H244" i="15"/>
  <c r="G244" i="15"/>
  <c r="E244" i="15"/>
  <c r="D244" i="15"/>
  <c r="A244" i="15"/>
  <c r="N243" i="15"/>
  <c r="M243" i="15"/>
  <c r="J243" i="15"/>
  <c r="H243" i="15"/>
  <c r="G243" i="15"/>
  <c r="E243" i="15"/>
  <c r="D243" i="15"/>
  <c r="A243" i="15"/>
  <c r="N242" i="15"/>
  <c r="M242" i="15"/>
  <c r="J242" i="15"/>
  <c r="H242" i="15"/>
  <c r="G242" i="15"/>
  <c r="E242" i="15"/>
  <c r="D242" i="15"/>
  <c r="A242" i="15"/>
  <c r="N241" i="15"/>
  <c r="M241" i="15"/>
  <c r="J241" i="15"/>
  <c r="H241" i="15"/>
  <c r="G241" i="15"/>
  <c r="E241" i="15"/>
  <c r="D241" i="15"/>
  <c r="A241" i="15"/>
  <c r="N240" i="15"/>
  <c r="M240" i="15"/>
  <c r="J240" i="15"/>
  <c r="H240" i="15"/>
  <c r="G240" i="15"/>
  <c r="E240" i="15"/>
  <c r="D240" i="15"/>
  <c r="A240" i="15"/>
  <c r="N239" i="15"/>
  <c r="M239" i="15"/>
  <c r="J239" i="15"/>
  <c r="H239" i="15"/>
  <c r="G239" i="15"/>
  <c r="E239" i="15"/>
  <c r="D239" i="15"/>
  <c r="A239" i="15"/>
  <c r="N238" i="15"/>
  <c r="M238" i="15"/>
  <c r="J238" i="15"/>
  <c r="H238" i="15"/>
  <c r="G238" i="15"/>
  <c r="E238" i="15"/>
  <c r="D238" i="15"/>
  <c r="A238" i="15"/>
  <c r="N237" i="15"/>
  <c r="M237" i="15"/>
  <c r="J237" i="15"/>
  <c r="H237" i="15"/>
  <c r="G237" i="15"/>
  <c r="E237" i="15"/>
  <c r="D237" i="15"/>
  <c r="A237" i="15"/>
  <c r="N236" i="15"/>
  <c r="M236" i="15"/>
  <c r="J236" i="15"/>
  <c r="H236" i="15"/>
  <c r="G236" i="15"/>
  <c r="E236" i="15"/>
  <c r="D236" i="15"/>
  <c r="A236" i="15"/>
  <c r="N235" i="15"/>
  <c r="M235" i="15"/>
  <c r="J235" i="15"/>
  <c r="H235" i="15"/>
  <c r="G235" i="15"/>
  <c r="E235" i="15"/>
  <c r="D235" i="15"/>
  <c r="A235" i="15"/>
  <c r="N234" i="15"/>
  <c r="M234" i="15"/>
  <c r="J234" i="15"/>
  <c r="H234" i="15"/>
  <c r="G234" i="15"/>
  <c r="E234" i="15"/>
  <c r="D234" i="15"/>
  <c r="A234" i="15"/>
  <c r="N233" i="15"/>
  <c r="M233" i="15"/>
  <c r="J233" i="15"/>
  <c r="H233" i="15"/>
  <c r="G233" i="15"/>
  <c r="E233" i="15"/>
  <c r="D233" i="15"/>
  <c r="A233" i="15"/>
  <c r="N232" i="15"/>
  <c r="M232" i="15"/>
  <c r="J232" i="15"/>
  <c r="H232" i="15"/>
  <c r="G232" i="15"/>
  <c r="E232" i="15"/>
  <c r="D232" i="15"/>
  <c r="A232" i="15"/>
  <c r="N231" i="15"/>
  <c r="M231" i="15"/>
  <c r="J231" i="15"/>
  <c r="H231" i="15"/>
  <c r="G231" i="15"/>
  <c r="E231" i="15"/>
  <c r="D231" i="15"/>
  <c r="A231" i="15"/>
  <c r="N230" i="15"/>
  <c r="M230" i="15"/>
  <c r="J230" i="15"/>
  <c r="H230" i="15"/>
  <c r="G230" i="15"/>
  <c r="E230" i="15"/>
  <c r="D230" i="15"/>
  <c r="A230" i="15"/>
  <c r="N229" i="15"/>
  <c r="M229" i="15"/>
  <c r="J229" i="15"/>
  <c r="H229" i="15"/>
  <c r="G229" i="15"/>
  <c r="E229" i="15"/>
  <c r="D229" i="15"/>
  <c r="A229" i="15"/>
  <c r="N228" i="15"/>
  <c r="M228" i="15"/>
  <c r="J228" i="15"/>
  <c r="H228" i="15"/>
  <c r="G228" i="15"/>
  <c r="E228" i="15"/>
  <c r="D228" i="15"/>
  <c r="A228" i="15"/>
  <c r="N227" i="15"/>
  <c r="M227" i="15"/>
  <c r="J227" i="15"/>
  <c r="H227" i="15"/>
  <c r="G227" i="15"/>
  <c r="E227" i="15"/>
  <c r="D227" i="15"/>
  <c r="A227" i="15"/>
  <c r="N226" i="15"/>
  <c r="M226" i="15"/>
  <c r="J226" i="15"/>
  <c r="H226" i="15"/>
  <c r="G226" i="15"/>
  <c r="E226" i="15"/>
  <c r="D226" i="15"/>
  <c r="A226" i="15"/>
  <c r="N225" i="15"/>
  <c r="M225" i="15"/>
  <c r="J225" i="15"/>
  <c r="H225" i="15"/>
  <c r="G225" i="15"/>
  <c r="E225" i="15"/>
  <c r="D225" i="15"/>
  <c r="A225" i="15"/>
  <c r="N224" i="15"/>
  <c r="M224" i="15"/>
  <c r="J224" i="15"/>
  <c r="H224" i="15"/>
  <c r="G224" i="15"/>
  <c r="E224" i="15"/>
  <c r="D224" i="15"/>
  <c r="A224" i="15"/>
  <c r="N223" i="15"/>
  <c r="M223" i="15"/>
  <c r="J223" i="15"/>
  <c r="H223" i="15"/>
  <c r="G223" i="15"/>
  <c r="E223" i="15"/>
  <c r="D223" i="15"/>
  <c r="A223" i="15"/>
  <c r="N222" i="15"/>
  <c r="M222" i="15"/>
  <c r="J222" i="15"/>
  <c r="H222" i="15"/>
  <c r="G222" i="15"/>
  <c r="E222" i="15"/>
  <c r="D222" i="15"/>
  <c r="A222" i="15"/>
  <c r="N221" i="15"/>
  <c r="M221" i="15"/>
  <c r="J221" i="15"/>
  <c r="H221" i="15"/>
  <c r="G221" i="15"/>
  <c r="E221" i="15"/>
  <c r="D221" i="15"/>
  <c r="A221" i="15"/>
  <c r="N220" i="15"/>
  <c r="M220" i="15"/>
  <c r="J220" i="15"/>
  <c r="H220" i="15"/>
  <c r="G220" i="15"/>
  <c r="E220" i="15"/>
  <c r="D220" i="15"/>
  <c r="A220" i="15"/>
  <c r="N219" i="15"/>
  <c r="M219" i="15"/>
  <c r="J219" i="15"/>
  <c r="H219" i="15"/>
  <c r="G219" i="15"/>
  <c r="E219" i="15"/>
  <c r="D219" i="15"/>
  <c r="A219" i="15"/>
  <c r="N218" i="15"/>
  <c r="M218" i="15"/>
  <c r="J218" i="15"/>
  <c r="H218" i="15"/>
  <c r="G218" i="15"/>
  <c r="E218" i="15"/>
  <c r="D218" i="15"/>
  <c r="A218" i="15"/>
  <c r="N217" i="15"/>
  <c r="M217" i="15"/>
  <c r="J217" i="15"/>
  <c r="H217" i="15"/>
  <c r="G217" i="15"/>
  <c r="E217" i="15"/>
  <c r="D217" i="15"/>
  <c r="A217" i="15"/>
  <c r="N216" i="15"/>
  <c r="M216" i="15"/>
  <c r="J216" i="15"/>
  <c r="H216" i="15"/>
  <c r="G216" i="15"/>
  <c r="E216" i="15"/>
  <c r="D216" i="15"/>
  <c r="A216" i="15"/>
  <c r="N215" i="15"/>
  <c r="M215" i="15"/>
  <c r="J215" i="15"/>
  <c r="H215" i="15"/>
  <c r="G215" i="15"/>
  <c r="E215" i="15"/>
  <c r="D215" i="15"/>
  <c r="A215" i="15"/>
  <c r="N214" i="15"/>
  <c r="M214" i="15"/>
  <c r="J214" i="15"/>
  <c r="H214" i="15"/>
  <c r="G214" i="15"/>
  <c r="E214" i="15"/>
  <c r="D214" i="15"/>
  <c r="A214" i="15"/>
  <c r="N213" i="15"/>
  <c r="M213" i="15"/>
  <c r="J213" i="15"/>
  <c r="H213" i="15"/>
  <c r="G213" i="15"/>
  <c r="E213" i="15"/>
  <c r="D213" i="15"/>
  <c r="A213" i="15"/>
  <c r="N212" i="15"/>
  <c r="M212" i="15"/>
  <c r="J212" i="15"/>
  <c r="H212" i="15"/>
  <c r="G212" i="15"/>
  <c r="E212" i="15"/>
  <c r="D212" i="15"/>
  <c r="A212" i="15"/>
  <c r="N211" i="15"/>
  <c r="M211" i="15"/>
  <c r="J211" i="15"/>
  <c r="H211" i="15"/>
  <c r="G211" i="15"/>
  <c r="E211" i="15"/>
  <c r="D211" i="15"/>
  <c r="A211" i="15"/>
  <c r="N210" i="15"/>
  <c r="M210" i="15"/>
  <c r="J210" i="15"/>
  <c r="H210" i="15"/>
  <c r="G210" i="15"/>
  <c r="E210" i="15"/>
  <c r="D210" i="15"/>
  <c r="A210" i="15"/>
  <c r="N209" i="15"/>
  <c r="M209" i="15"/>
  <c r="J209" i="15"/>
  <c r="H209" i="15"/>
  <c r="G209" i="15"/>
  <c r="E209" i="15"/>
  <c r="D209" i="15"/>
  <c r="A209" i="15"/>
  <c r="N208" i="15"/>
  <c r="M208" i="15"/>
  <c r="J208" i="15"/>
  <c r="H208" i="15"/>
  <c r="G208" i="15"/>
  <c r="E208" i="15"/>
  <c r="D208" i="15"/>
  <c r="A208" i="15"/>
  <c r="N207" i="15"/>
  <c r="M207" i="15"/>
  <c r="J207" i="15"/>
  <c r="H207" i="15"/>
  <c r="G207" i="15"/>
  <c r="E207" i="15"/>
  <c r="D207" i="15"/>
  <c r="A207" i="15"/>
  <c r="N206" i="15"/>
  <c r="M206" i="15"/>
  <c r="J206" i="15"/>
  <c r="H206" i="15"/>
  <c r="G206" i="15"/>
  <c r="E206" i="15"/>
  <c r="D206" i="15"/>
  <c r="A206" i="15"/>
  <c r="N205" i="15"/>
  <c r="M205" i="15"/>
  <c r="J205" i="15"/>
  <c r="H205" i="15"/>
  <c r="G205" i="15"/>
  <c r="E205" i="15"/>
  <c r="D205" i="15"/>
  <c r="A205" i="15"/>
  <c r="N204" i="15"/>
  <c r="M204" i="15"/>
  <c r="J204" i="15"/>
  <c r="H204" i="15"/>
  <c r="G204" i="15"/>
  <c r="E204" i="15"/>
  <c r="D204" i="15"/>
  <c r="A204" i="15"/>
  <c r="N203" i="15"/>
  <c r="M203" i="15"/>
  <c r="J203" i="15"/>
  <c r="H203" i="15"/>
  <c r="G203" i="15"/>
  <c r="E203" i="15"/>
  <c r="D203" i="15"/>
  <c r="A203" i="15"/>
  <c r="N202" i="15"/>
  <c r="M202" i="15"/>
  <c r="J202" i="15"/>
  <c r="H202" i="15"/>
  <c r="G202" i="15"/>
  <c r="E202" i="15"/>
  <c r="D202" i="15"/>
  <c r="A202" i="15"/>
  <c r="N201" i="15"/>
  <c r="M201" i="15"/>
  <c r="J201" i="15"/>
  <c r="H201" i="15"/>
  <c r="G201" i="15"/>
  <c r="E201" i="15"/>
  <c r="D201" i="15"/>
  <c r="A201" i="15"/>
  <c r="N200" i="15"/>
  <c r="M200" i="15"/>
  <c r="J200" i="15"/>
  <c r="H200" i="15"/>
  <c r="G200" i="15"/>
  <c r="E200" i="15"/>
  <c r="D200" i="15"/>
  <c r="A200" i="15"/>
  <c r="N133" i="15"/>
  <c r="M133" i="15"/>
  <c r="J133" i="15"/>
  <c r="H133" i="15"/>
  <c r="G133" i="15"/>
  <c r="E133" i="15"/>
  <c r="D133" i="15"/>
  <c r="A133" i="15"/>
  <c r="N132" i="15"/>
  <c r="M132" i="15"/>
  <c r="J132" i="15"/>
  <c r="H132" i="15"/>
  <c r="G132" i="15"/>
  <c r="E132" i="15"/>
  <c r="D132" i="15"/>
  <c r="A132" i="15"/>
  <c r="N131" i="15"/>
  <c r="M131" i="15"/>
  <c r="J131" i="15"/>
  <c r="H131" i="15"/>
  <c r="G131" i="15"/>
  <c r="E131" i="15"/>
  <c r="D131" i="15"/>
  <c r="A131" i="15"/>
  <c r="N130" i="15"/>
  <c r="M130" i="15"/>
  <c r="J130" i="15"/>
  <c r="H130" i="15"/>
  <c r="G130" i="15"/>
  <c r="E130" i="15"/>
  <c r="D130" i="15"/>
  <c r="A130" i="15"/>
  <c r="N129" i="15"/>
  <c r="M129" i="15"/>
  <c r="J129" i="15"/>
  <c r="H129" i="15"/>
  <c r="G129" i="15"/>
  <c r="E129" i="15"/>
  <c r="D129" i="15"/>
  <c r="A129" i="15"/>
  <c r="N128" i="15"/>
  <c r="M128" i="15"/>
  <c r="J128" i="15"/>
  <c r="H128" i="15"/>
  <c r="G128" i="15"/>
  <c r="E128" i="15"/>
  <c r="D128" i="15"/>
  <c r="A128" i="15"/>
  <c r="N127" i="15"/>
  <c r="M127" i="15"/>
  <c r="J127" i="15"/>
  <c r="H127" i="15"/>
  <c r="G127" i="15"/>
  <c r="E127" i="15"/>
  <c r="D127" i="15"/>
  <c r="A127" i="15"/>
  <c r="N126" i="15"/>
  <c r="M126" i="15"/>
  <c r="J126" i="15"/>
  <c r="H126" i="15"/>
  <c r="G126" i="15"/>
  <c r="E126" i="15"/>
  <c r="D126" i="15"/>
  <c r="A126" i="15"/>
  <c r="N125" i="15"/>
  <c r="M125" i="15"/>
  <c r="J125" i="15"/>
  <c r="H125" i="15"/>
  <c r="G125" i="15"/>
  <c r="E125" i="15"/>
  <c r="D125" i="15"/>
  <c r="A125" i="15"/>
  <c r="N124" i="15"/>
  <c r="M124" i="15"/>
  <c r="J124" i="15"/>
  <c r="H124" i="15"/>
  <c r="G124" i="15"/>
  <c r="E124" i="15"/>
  <c r="D124" i="15"/>
  <c r="A124" i="15"/>
  <c r="N123" i="15"/>
  <c r="M123" i="15"/>
  <c r="J123" i="15"/>
  <c r="H123" i="15"/>
  <c r="G123" i="15"/>
  <c r="E123" i="15"/>
  <c r="D123" i="15"/>
  <c r="A123" i="15"/>
  <c r="N122" i="15"/>
  <c r="M122" i="15"/>
  <c r="J122" i="15"/>
  <c r="H122" i="15"/>
  <c r="G122" i="15"/>
  <c r="E122" i="15"/>
  <c r="D122" i="15"/>
  <c r="A122" i="15"/>
  <c r="N121" i="15"/>
  <c r="M121" i="15"/>
  <c r="J121" i="15"/>
  <c r="H121" i="15"/>
  <c r="G121" i="15"/>
  <c r="E121" i="15"/>
  <c r="D121" i="15"/>
  <c r="A121" i="15"/>
  <c r="N120" i="15"/>
  <c r="M120" i="15"/>
  <c r="J120" i="15"/>
  <c r="H120" i="15"/>
  <c r="G120" i="15"/>
  <c r="E120" i="15"/>
  <c r="D120" i="15"/>
  <c r="A120" i="15"/>
  <c r="N119" i="15"/>
  <c r="M119" i="15"/>
  <c r="J119" i="15"/>
  <c r="H119" i="15"/>
  <c r="G119" i="15"/>
  <c r="E119" i="15"/>
  <c r="D119" i="15"/>
  <c r="A119" i="15"/>
  <c r="N118" i="15"/>
  <c r="M118" i="15"/>
  <c r="J118" i="15"/>
  <c r="H118" i="15"/>
  <c r="G118" i="15"/>
  <c r="E118" i="15"/>
  <c r="D118" i="15"/>
  <c r="A118" i="15"/>
  <c r="N117" i="15"/>
  <c r="M117" i="15"/>
  <c r="J117" i="15"/>
  <c r="H117" i="15"/>
  <c r="G117" i="15"/>
  <c r="E117" i="15"/>
  <c r="D117" i="15"/>
  <c r="A117" i="15"/>
  <c r="N116" i="15"/>
  <c r="M116" i="15"/>
  <c r="J116" i="15"/>
  <c r="H116" i="15"/>
  <c r="G116" i="15"/>
  <c r="E116" i="15"/>
  <c r="D116" i="15"/>
  <c r="A116" i="15"/>
  <c r="N115" i="15"/>
  <c r="M115" i="15"/>
  <c r="J115" i="15"/>
  <c r="H115" i="15"/>
  <c r="G115" i="15"/>
  <c r="E115" i="15"/>
  <c r="D115" i="15"/>
  <c r="A115" i="15"/>
  <c r="N114" i="15"/>
  <c r="M114" i="15"/>
  <c r="J114" i="15"/>
  <c r="H114" i="15"/>
  <c r="G114" i="15"/>
  <c r="E114" i="15"/>
  <c r="D114" i="15"/>
  <c r="A114" i="15"/>
  <c r="N113" i="15"/>
  <c r="M113" i="15"/>
  <c r="J113" i="15"/>
  <c r="H113" i="15"/>
  <c r="G113" i="15"/>
  <c r="E113" i="15"/>
  <c r="D113" i="15"/>
  <c r="A113" i="15"/>
  <c r="N112" i="15"/>
  <c r="M112" i="15"/>
  <c r="J112" i="15"/>
  <c r="H112" i="15"/>
  <c r="G112" i="15"/>
  <c r="E112" i="15"/>
  <c r="D112" i="15"/>
  <c r="A112" i="15"/>
  <c r="N111" i="15"/>
  <c r="M111" i="15"/>
  <c r="J111" i="15"/>
  <c r="H111" i="15"/>
  <c r="G111" i="15"/>
  <c r="E111" i="15"/>
  <c r="D111" i="15"/>
  <c r="A111" i="15"/>
  <c r="N110" i="15"/>
  <c r="M110" i="15"/>
  <c r="J110" i="15"/>
  <c r="H110" i="15"/>
  <c r="G110" i="15"/>
  <c r="E110" i="15"/>
  <c r="D110" i="15"/>
  <c r="A110" i="15"/>
  <c r="N109" i="15"/>
  <c r="M109" i="15"/>
  <c r="J109" i="15"/>
  <c r="H109" i="15"/>
  <c r="G109" i="15"/>
  <c r="E109" i="15"/>
  <c r="D109" i="15"/>
  <c r="A109" i="15"/>
  <c r="N108" i="15"/>
  <c r="M108" i="15"/>
  <c r="J108" i="15"/>
  <c r="H108" i="15"/>
  <c r="G108" i="15"/>
  <c r="E108" i="15"/>
  <c r="D108" i="15"/>
  <c r="A108" i="15"/>
  <c r="N107" i="15"/>
  <c r="M107" i="15"/>
  <c r="J107" i="15"/>
  <c r="H107" i="15"/>
  <c r="G107" i="15"/>
  <c r="E107" i="15"/>
  <c r="D107" i="15"/>
  <c r="A107" i="15"/>
  <c r="N106" i="15"/>
  <c r="M106" i="15"/>
  <c r="J106" i="15"/>
  <c r="H106" i="15"/>
  <c r="G106" i="15"/>
  <c r="E106" i="15"/>
  <c r="D106" i="15"/>
  <c r="A106" i="15"/>
  <c r="N105" i="15"/>
  <c r="M105" i="15"/>
  <c r="J105" i="15"/>
  <c r="H105" i="15"/>
  <c r="G105" i="15"/>
  <c r="E105" i="15"/>
  <c r="D105" i="15"/>
  <c r="A105" i="15"/>
  <c r="N104" i="15"/>
  <c r="M104" i="15"/>
  <c r="J104" i="15"/>
  <c r="H104" i="15"/>
  <c r="G104" i="15"/>
  <c r="E104" i="15"/>
  <c r="D104" i="15"/>
  <c r="A104" i="15"/>
  <c r="N103" i="15"/>
  <c r="M103" i="15"/>
  <c r="J103" i="15"/>
  <c r="H103" i="15"/>
  <c r="G103" i="15"/>
  <c r="E103" i="15"/>
  <c r="D103" i="15"/>
  <c r="A103" i="15"/>
  <c r="N102" i="15"/>
  <c r="M102" i="15"/>
  <c r="J102" i="15"/>
  <c r="H102" i="15"/>
  <c r="G102" i="15"/>
  <c r="E102" i="15"/>
  <c r="D102" i="15"/>
  <c r="A102" i="15"/>
  <c r="N101" i="15"/>
  <c r="M101" i="15"/>
  <c r="J101" i="15"/>
  <c r="H101" i="15"/>
  <c r="G101" i="15"/>
  <c r="E101" i="15"/>
  <c r="D101" i="15"/>
  <c r="A101" i="15"/>
  <c r="N100" i="15"/>
  <c r="M100" i="15"/>
  <c r="J100" i="15"/>
  <c r="H100" i="15"/>
  <c r="G100" i="15"/>
  <c r="E100" i="15"/>
  <c r="D100" i="15"/>
  <c r="A100" i="15"/>
  <c r="N99" i="15"/>
  <c r="M99" i="15"/>
  <c r="J99" i="15"/>
  <c r="H99" i="15"/>
  <c r="G99" i="15"/>
  <c r="E99" i="15"/>
  <c r="D99" i="15"/>
  <c r="A99" i="15"/>
  <c r="N98" i="15"/>
  <c r="M98" i="15"/>
  <c r="J98" i="15"/>
  <c r="H98" i="15"/>
  <c r="G98" i="15"/>
  <c r="E98" i="15"/>
  <c r="D98" i="15"/>
  <c r="A98" i="15"/>
  <c r="N97" i="15"/>
  <c r="M97" i="15"/>
  <c r="J97" i="15"/>
  <c r="H97" i="15"/>
  <c r="G97" i="15"/>
  <c r="E97" i="15"/>
  <c r="D97" i="15"/>
  <c r="A97" i="15"/>
  <c r="N96" i="15"/>
  <c r="M96" i="15"/>
  <c r="J96" i="15"/>
  <c r="H96" i="15"/>
  <c r="G96" i="15"/>
  <c r="E96" i="15"/>
  <c r="D96" i="15"/>
  <c r="A96" i="15"/>
  <c r="N95" i="15"/>
  <c r="M95" i="15"/>
  <c r="J95" i="15"/>
  <c r="H95" i="15"/>
  <c r="G95" i="15"/>
  <c r="E95" i="15"/>
  <c r="D95" i="15"/>
  <c r="A95" i="15"/>
  <c r="N94" i="15"/>
  <c r="M94" i="15"/>
  <c r="J94" i="15"/>
  <c r="H94" i="15"/>
  <c r="G94" i="15"/>
  <c r="E94" i="15"/>
  <c r="D94" i="15"/>
  <c r="A94" i="15"/>
  <c r="N93" i="15"/>
  <c r="M93" i="15"/>
  <c r="J93" i="15"/>
  <c r="H93" i="15"/>
  <c r="G93" i="15"/>
  <c r="E93" i="15"/>
  <c r="D93" i="15"/>
  <c r="A93" i="15"/>
  <c r="N92" i="15"/>
  <c r="M92" i="15"/>
  <c r="J92" i="15"/>
  <c r="H92" i="15"/>
  <c r="G92" i="15"/>
  <c r="E92" i="15"/>
  <c r="D92" i="15"/>
  <c r="A92" i="15"/>
  <c r="N91" i="15"/>
  <c r="M91" i="15"/>
  <c r="J91" i="15"/>
  <c r="H91" i="15"/>
  <c r="G91" i="15"/>
  <c r="E91" i="15"/>
  <c r="D91" i="15"/>
  <c r="A91" i="15"/>
  <c r="N90" i="15"/>
  <c r="M90" i="15"/>
  <c r="J90" i="15"/>
  <c r="H90" i="15"/>
  <c r="G90" i="15"/>
  <c r="E90" i="15"/>
  <c r="D90" i="15"/>
  <c r="A90" i="15"/>
  <c r="N89" i="15"/>
  <c r="M89" i="15"/>
  <c r="J89" i="15"/>
  <c r="H89" i="15"/>
  <c r="G89" i="15"/>
  <c r="E89" i="15"/>
  <c r="D89" i="15"/>
  <c r="A89" i="15"/>
  <c r="N88" i="15"/>
  <c r="M88" i="15"/>
  <c r="J88" i="15"/>
  <c r="H88" i="15"/>
  <c r="G88" i="15"/>
  <c r="E88" i="15"/>
  <c r="D88" i="15"/>
  <c r="A88" i="15"/>
  <c r="N87" i="15"/>
  <c r="M87" i="15"/>
  <c r="J87" i="15"/>
  <c r="H87" i="15"/>
  <c r="G87" i="15"/>
  <c r="E87" i="15"/>
  <c r="D87" i="15"/>
  <c r="A87" i="15"/>
  <c r="N86" i="15"/>
  <c r="M86" i="15"/>
  <c r="J86" i="15"/>
  <c r="H86" i="15"/>
  <c r="G86" i="15"/>
  <c r="E86" i="15"/>
  <c r="D86" i="15"/>
  <c r="A86" i="15"/>
  <c r="N85" i="15"/>
  <c r="M85" i="15"/>
  <c r="J85" i="15"/>
  <c r="H85" i="15"/>
  <c r="G85" i="15"/>
  <c r="E85" i="15"/>
  <c r="D85" i="15"/>
  <c r="A85" i="15"/>
  <c r="N84" i="15"/>
  <c r="M84" i="15"/>
  <c r="J84" i="15"/>
  <c r="H84" i="15"/>
  <c r="G84" i="15"/>
  <c r="E84" i="15"/>
  <c r="D84" i="15"/>
  <c r="A84" i="15"/>
  <c r="N83" i="15"/>
  <c r="M83" i="15"/>
  <c r="J83" i="15"/>
  <c r="H83" i="15"/>
  <c r="G83" i="15"/>
  <c r="E83" i="15"/>
  <c r="D83" i="15"/>
  <c r="A83" i="15"/>
  <c r="N82" i="15"/>
  <c r="M82" i="15"/>
  <c r="J82" i="15"/>
  <c r="H82" i="15"/>
  <c r="G82" i="15"/>
  <c r="E82" i="15"/>
  <c r="D82" i="15"/>
  <c r="A82" i="15"/>
  <c r="N81" i="15"/>
  <c r="M81" i="15"/>
  <c r="J81" i="15"/>
  <c r="H81" i="15"/>
  <c r="G81" i="15"/>
  <c r="E81" i="15"/>
  <c r="D81" i="15"/>
  <c r="A81" i="15"/>
  <c r="N80" i="15"/>
  <c r="M80" i="15"/>
  <c r="J80" i="15"/>
  <c r="H80" i="15"/>
  <c r="G80" i="15"/>
  <c r="E80" i="15"/>
  <c r="D80" i="15"/>
  <c r="A80" i="15"/>
  <c r="N79" i="15"/>
  <c r="M79" i="15"/>
  <c r="J79" i="15"/>
  <c r="H79" i="15"/>
  <c r="G79" i="15"/>
  <c r="E79" i="15"/>
  <c r="D79" i="15"/>
  <c r="A79" i="15"/>
  <c r="N78" i="15"/>
  <c r="M78" i="15"/>
  <c r="J78" i="15"/>
  <c r="H78" i="15"/>
  <c r="G78" i="15"/>
  <c r="E78" i="15"/>
  <c r="D78" i="15"/>
  <c r="A78" i="15"/>
  <c r="N77" i="15"/>
  <c r="M77" i="15"/>
  <c r="J77" i="15"/>
  <c r="H77" i="15"/>
  <c r="G77" i="15"/>
  <c r="E77" i="15"/>
  <c r="D77" i="15"/>
  <c r="A77" i="15"/>
  <c r="N76" i="15"/>
  <c r="M76" i="15"/>
  <c r="J76" i="15"/>
  <c r="H76" i="15"/>
  <c r="G76" i="15"/>
  <c r="E76" i="15"/>
  <c r="D76" i="15"/>
  <c r="A76" i="15"/>
  <c r="N75" i="15"/>
  <c r="M75" i="15"/>
  <c r="J75" i="15"/>
  <c r="H75" i="15"/>
  <c r="G75" i="15"/>
  <c r="E75" i="15"/>
  <c r="D75" i="15"/>
  <c r="A75" i="15"/>
  <c r="N74" i="15"/>
  <c r="M74" i="15"/>
  <c r="J74" i="15"/>
  <c r="H74" i="15"/>
  <c r="G74" i="15"/>
  <c r="E74" i="15"/>
  <c r="D74" i="15"/>
  <c r="A74" i="15"/>
  <c r="N73" i="15"/>
  <c r="M73" i="15"/>
  <c r="J73" i="15"/>
  <c r="H73" i="15"/>
  <c r="G73" i="15"/>
  <c r="E73" i="15"/>
  <c r="D73" i="15"/>
  <c r="A73" i="15"/>
  <c r="N72" i="15"/>
  <c r="M72" i="15"/>
  <c r="J72" i="15"/>
  <c r="H72" i="15"/>
  <c r="G72" i="15"/>
  <c r="E72" i="15"/>
  <c r="D72" i="15"/>
  <c r="A72" i="15"/>
  <c r="N71" i="15"/>
  <c r="M71" i="15"/>
  <c r="J71" i="15"/>
  <c r="H71" i="15"/>
  <c r="G71" i="15"/>
  <c r="E71" i="15"/>
  <c r="D71" i="15"/>
  <c r="A71" i="15"/>
  <c r="N70" i="15"/>
  <c r="M70" i="15"/>
  <c r="J70" i="15"/>
  <c r="H70" i="15"/>
  <c r="G70" i="15"/>
  <c r="E70" i="15"/>
  <c r="D70" i="15"/>
  <c r="A70" i="15"/>
  <c r="N69" i="15"/>
  <c r="M69" i="15"/>
  <c r="J69" i="15"/>
  <c r="H69" i="15"/>
  <c r="G69" i="15"/>
  <c r="E69" i="15"/>
  <c r="D69" i="15"/>
  <c r="A69" i="15"/>
  <c r="N68" i="15"/>
  <c r="M68" i="15"/>
  <c r="J68" i="15"/>
  <c r="H68" i="15"/>
  <c r="G68" i="15"/>
  <c r="E68" i="15"/>
  <c r="D68" i="15"/>
  <c r="A68" i="15"/>
  <c r="N67" i="15"/>
  <c r="M67" i="15"/>
  <c r="J67" i="15"/>
  <c r="H67" i="15"/>
  <c r="G67" i="15"/>
  <c r="E67" i="15"/>
  <c r="D67" i="15"/>
  <c r="A67" i="15"/>
  <c r="N66" i="15"/>
  <c r="M66" i="15"/>
  <c r="J66" i="15"/>
  <c r="H66" i="15"/>
  <c r="G66" i="15"/>
  <c r="E66" i="15"/>
  <c r="D66" i="15"/>
  <c r="A66" i="15"/>
  <c r="N65" i="15"/>
  <c r="M65" i="15"/>
  <c r="J65" i="15"/>
  <c r="H65" i="15"/>
  <c r="G65" i="15"/>
  <c r="E65" i="15"/>
  <c r="D65" i="15"/>
  <c r="A65" i="15"/>
  <c r="N64" i="15"/>
  <c r="M64" i="15"/>
  <c r="J64" i="15"/>
  <c r="H64" i="15"/>
  <c r="G64" i="15"/>
  <c r="E64" i="15"/>
  <c r="D64" i="15"/>
  <c r="A64" i="15"/>
  <c r="N63" i="15"/>
  <c r="M63" i="15"/>
  <c r="J63" i="15"/>
  <c r="H63" i="15"/>
  <c r="G63" i="15"/>
  <c r="E63" i="15"/>
  <c r="D63" i="15"/>
  <c r="A63" i="15"/>
  <c r="N62" i="15"/>
  <c r="M62" i="15"/>
  <c r="J62" i="15"/>
  <c r="H62" i="15"/>
  <c r="G62" i="15"/>
  <c r="E62" i="15"/>
  <c r="D62" i="15"/>
  <c r="A62" i="15"/>
  <c r="N61" i="15"/>
  <c r="M61" i="15"/>
  <c r="J61" i="15"/>
  <c r="H61" i="15"/>
  <c r="G61" i="15"/>
  <c r="E61" i="15"/>
  <c r="D61" i="15"/>
  <c r="A61" i="15"/>
  <c r="N60" i="15"/>
  <c r="M60" i="15"/>
  <c r="J60" i="15"/>
  <c r="H60" i="15"/>
  <c r="G60" i="15"/>
  <c r="E60" i="15"/>
  <c r="D60" i="15"/>
  <c r="A60" i="15"/>
  <c r="N59" i="15"/>
  <c r="M59" i="15"/>
  <c r="J59" i="15"/>
  <c r="H59" i="15"/>
  <c r="G59" i="15"/>
  <c r="E59" i="15"/>
  <c r="D59" i="15"/>
  <c r="A59" i="15"/>
  <c r="N58" i="15"/>
  <c r="M58" i="15"/>
  <c r="J58" i="15"/>
  <c r="H58" i="15"/>
  <c r="G58" i="15"/>
  <c r="E58" i="15"/>
  <c r="D58" i="15"/>
  <c r="A58" i="15"/>
  <c r="N57" i="15"/>
  <c r="M57" i="15"/>
  <c r="J57" i="15"/>
  <c r="H57" i="15"/>
  <c r="G57" i="15"/>
  <c r="E57" i="15"/>
  <c r="D57" i="15"/>
  <c r="A57" i="15"/>
  <c r="N56" i="15"/>
  <c r="M56" i="15"/>
  <c r="J56" i="15"/>
  <c r="H56" i="15"/>
  <c r="G56" i="15"/>
  <c r="E56" i="15"/>
  <c r="D56" i="15"/>
  <c r="A56" i="15"/>
  <c r="N55" i="15"/>
  <c r="M55" i="15"/>
  <c r="J55" i="15"/>
  <c r="H55" i="15"/>
  <c r="G55" i="15"/>
  <c r="E55" i="15"/>
  <c r="D55" i="15"/>
  <c r="A55" i="15"/>
  <c r="N54" i="15"/>
  <c r="M54" i="15"/>
  <c r="J54" i="15"/>
  <c r="H54" i="15"/>
  <c r="G54" i="15"/>
  <c r="E54" i="15"/>
  <c r="D54" i="15"/>
  <c r="A54" i="15"/>
  <c r="N53" i="15"/>
  <c r="M53" i="15"/>
  <c r="J53" i="15"/>
  <c r="H53" i="15"/>
  <c r="G53" i="15"/>
  <c r="E53" i="15"/>
  <c r="D53" i="15"/>
  <c r="A53" i="15"/>
  <c r="N52" i="15"/>
  <c r="M52" i="15"/>
  <c r="J52" i="15"/>
  <c r="H52" i="15"/>
  <c r="G52" i="15"/>
  <c r="E52" i="15"/>
  <c r="D52" i="15"/>
  <c r="A52" i="15"/>
  <c r="N51" i="15"/>
  <c r="M51" i="15"/>
  <c r="J51" i="15"/>
  <c r="H51" i="15"/>
  <c r="G51" i="15"/>
  <c r="E51" i="15"/>
  <c r="D51" i="15"/>
  <c r="A51" i="15"/>
  <c r="N50" i="15"/>
  <c r="M50" i="15"/>
  <c r="J50" i="15"/>
  <c r="H50" i="15"/>
  <c r="G50" i="15"/>
  <c r="E50" i="15"/>
  <c r="D50" i="15"/>
  <c r="A50" i="15"/>
  <c r="N49" i="15"/>
  <c r="M49" i="15"/>
  <c r="J49" i="15"/>
  <c r="H49" i="15"/>
  <c r="G49" i="15"/>
  <c r="E49" i="15"/>
  <c r="D49" i="15"/>
  <c r="A49" i="15"/>
  <c r="N48" i="15"/>
  <c r="M48" i="15"/>
  <c r="J48" i="15"/>
  <c r="H48" i="15"/>
  <c r="G48" i="15"/>
  <c r="E48" i="15"/>
  <c r="D48" i="15"/>
  <c r="A48" i="15"/>
  <c r="N47" i="15"/>
  <c r="M47" i="15"/>
  <c r="J47" i="15"/>
  <c r="H47" i="15"/>
  <c r="G47" i="15"/>
  <c r="E47" i="15"/>
  <c r="D47" i="15"/>
  <c r="A47" i="15"/>
  <c r="N46" i="15"/>
  <c r="M46" i="15"/>
  <c r="J46" i="15"/>
  <c r="H46" i="15"/>
  <c r="G46" i="15"/>
  <c r="E46" i="15"/>
  <c r="D46" i="15"/>
  <c r="A46" i="15"/>
  <c r="N45" i="15"/>
  <c r="M45" i="15"/>
  <c r="J45" i="15"/>
  <c r="H45" i="15"/>
  <c r="G45" i="15"/>
  <c r="E45" i="15"/>
  <c r="D45" i="15"/>
  <c r="A45" i="15"/>
  <c r="N44" i="15"/>
  <c r="M44" i="15"/>
  <c r="J44" i="15"/>
  <c r="H44" i="15"/>
  <c r="G44" i="15"/>
  <c r="E44" i="15"/>
  <c r="D44" i="15"/>
  <c r="A44" i="15"/>
  <c r="N43" i="15"/>
  <c r="M43" i="15"/>
  <c r="J43" i="15"/>
  <c r="H43" i="15"/>
  <c r="G43" i="15"/>
  <c r="E43" i="15"/>
  <c r="D43" i="15"/>
  <c r="A43" i="15"/>
  <c r="N42" i="15"/>
  <c r="M42" i="15"/>
  <c r="J42" i="15"/>
  <c r="H42" i="15"/>
  <c r="G42" i="15"/>
  <c r="E42" i="15"/>
  <c r="D42" i="15"/>
  <c r="A42" i="15"/>
  <c r="N41" i="15"/>
  <c r="M41" i="15"/>
  <c r="J41" i="15"/>
  <c r="H41" i="15"/>
  <c r="G41" i="15"/>
  <c r="E41" i="15"/>
  <c r="D41" i="15"/>
  <c r="A41" i="15"/>
  <c r="N40" i="15"/>
  <c r="M40" i="15"/>
  <c r="J40" i="15"/>
  <c r="H40" i="15"/>
  <c r="G40" i="15"/>
  <c r="E40" i="15"/>
  <c r="D40" i="15"/>
  <c r="A40" i="15"/>
  <c r="N39" i="15"/>
  <c r="M39" i="15"/>
  <c r="J39" i="15"/>
  <c r="H39" i="15"/>
  <c r="G39" i="15"/>
  <c r="E39" i="15"/>
  <c r="D39" i="15"/>
  <c r="A39" i="15"/>
  <c r="N38" i="15"/>
  <c r="M38" i="15"/>
  <c r="J38" i="15"/>
  <c r="H38" i="15"/>
  <c r="G38" i="15"/>
  <c r="E38" i="15"/>
  <c r="D38" i="15"/>
  <c r="A38" i="15"/>
  <c r="N37" i="15"/>
  <c r="M37" i="15"/>
  <c r="J37" i="15"/>
  <c r="H37" i="15"/>
  <c r="G37" i="15"/>
  <c r="E37" i="15"/>
  <c r="D37" i="15"/>
  <c r="A37" i="15"/>
  <c r="N36" i="15"/>
  <c r="M36" i="15"/>
  <c r="J36" i="15"/>
  <c r="H36" i="15"/>
  <c r="G36" i="15"/>
  <c r="E36" i="15"/>
  <c r="D36" i="15"/>
  <c r="A36" i="15"/>
  <c r="N35" i="15"/>
  <c r="M35" i="15"/>
  <c r="J35" i="15"/>
  <c r="H35" i="15"/>
  <c r="G35" i="15"/>
  <c r="E35" i="15"/>
  <c r="D35" i="15"/>
  <c r="A35" i="15"/>
  <c r="N34" i="15"/>
  <c r="M34" i="15"/>
  <c r="J34" i="15"/>
  <c r="H34" i="15"/>
  <c r="G34" i="15"/>
  <c r="E34" i="15"/>
  <c r="D34" i="15"/>
  <c r="A34" i="15"/>
  <c r="N33" i="15"/>
  <c r="M33" i="15"/>
  <c r="J33" i="15"/>
  <c r="H33" i="15"/>
  <c r="G33" i="15"/>
  <c r="E33" i="15"/>
  <c r="D33" i="15"/>
  <c r="A33" i="15"/>
  <c r="N32" i="15"/>
  <c r="M32" i="15"/>
  <c r="J32" i="15"/>
  <c r="H32" i="15"/>
  <c r="G32" i="15"/>
  <c r="E32" i="15"/>
  <c r="D32" i="15"/>
  <c r="A32" i="15"/>
  <c r="N31" i="15"/>
  <c r="M31" i="15"/>
  <c r="J31" i="15"/>
  <c r="H31" i="15"/>
  <c r="G31" i="15"/>
  <c r="E31" i="15"/>
  <c r="D31" i="15"/>
  <c r="A31" i="15"/>
  <c r="N30" i="15"/>
  <c r="M30" i="15"/>
  <c r="J30" i="15"/>
  <c r="H30" i="15"/>
  <c r="G30" i="15"/>
  <c r="E30" i="15"/>
  <c r="D30" i="15"/>
  <c r="A30" i="15"/>
  <c r="N29" i="15"/>
  <c r="M29" i="15"/>
  <c r="J29" i="15"/>
  <c r="H29" i="15"/>
  <c r="G29" i="15"/>
  <c r="E29" i="15"/>
  <c r="D29" i="15"/>
  <c r="A29" i="15"/>
  <c r="N28" i="15"/>
  <c r="M28" i="15"/>
  <c r="J28" i="15"/>
  <c r="H28" i="15"/>
  <c r="G28" i="15"/>
  <c r="E28" i="15"/>
  <c r="D28" i="15"/>
  <c r="A28" i="15"/>
  <c r="N27" i="15"/>
  <c r="M27" i="15"/>
  <c r="J27" i="15"/>
  <c r="H27" i="15"/>
  <c r="G27" i="15"/>
  <c r="E27" i="15"/>
  <c r="D27" i="15"/>
  <c r="A27" i="15"/>
  <c r="N26" i="15"/>
  <c r="M26" i="15"/>
  <c r="J26" i="15"/>
  <c r="H26" i="15"/>
  <c r="G26" i="15"/>
  <c r="E26" i="15"/>
  <c r="D26" i="15"/>
  <c r="A26" i="15"/>
  <c r="N25" i="15"/>
  <c r="M25" i="15"/>
  <c r="J25" i="15"/>
  <c r="H25" i="15"/>
  <c r="G25" i="15"/>
  <c r="E25" i="15"/>
  <c r="D25" i="15"/>
  <c r="A25" i="15"/>
  <c r="N24" i="15"/>
  <c r="M24" i="15"/>
  <c r="J24" i="15"/>
  <c r="H24" i="15"/>
  <c r="G24" i="15"/>
  <c r="E24" i="15"/>
  <c r="D24" i="15"/>
  <c r="A24" i="15"/>
  <c r="N23" i="15"/>
  <c r="M23" i="15"/>
  <c r="J23" i="15"/>
  <c r="H23" i="15"/>
  <c r="G23" i="15"/>
  <c r="E23" i="15"/>
  <c r="D23" i="15"/>
  <c r="A23" i="15"/>
  <c r="N22" i="15"/>
  <c r="M22" i="15"/>
  <c r="J22" i="15"/>
  <c r="H22" i="15"/>
  <c r="G22" i="15"/>
  <c r="E22" i="15"/>
  <c r="D22" i="15"/>
  <c r="A22" i="15"/>
  <c r="N21" i="15"/>
  <c r="M21" i="15"/>
  <c r="J21" i="15"/>
  <c r="H21" i="15"/>
  <c r="G21" i="15"/>
  <c r="E21" i="15"/>
  <c r="D21" i="15"/>
  <c r="A21" i="15"/>
  <c r="N20" i="15"/>
  <c r="M20" i="15"/>
  <c r="J20" i="15"/>
  <c r="H20" i="15"/>
  <c r="G20" i="15"/>
  <c r="E20" i="15"/>
  <c r="D20" i="15"/>
  <c r="A20" i="15"/>
  <c r="N19" i="15"/>
  <c r="M19" i="15"/>
  <c r="J19" i="15"/>
  <c r="H19" i="15"/>
  <c r="G19" i="15"/>
  <c r="E19" i="15"/>
  <c r="D19" i="15"/>
  <c r="A19" i="15"/>
  <c r="N18" i="15"/>
  <c r="M18" i="15"/>
  <c r="J18" i="15"/>
  <c r="H18" i="15"/>
  <c r="G18" i="15"/>
  <c r="E18" i="15"/>
  <c r="D18" i="15"/>
  <c r="A18" i="15"/>
  <c r="N17" i="15"/>
  <c r="M17" i="15"/>
  <c r="J17" i="15"/>
  <c r="H17" i="15"/>
  <c r="G17" i="15"/>
  <c r="E17" i="15"/>
  <c r="D17" i="15"/>
  <c r="A17" i="15"/>
  <c r="N16" i="15"/>
  <c r="M16" i="15"/>
  <c r="J16" i="15"/>
  <c r="H16" i="15"/>
  <c r="G16" i="15"/>
  <c r="E16" i="15"/>
  <c r="D16" i="15"/>
  <c r="A16" i="15"/>
  <c r="N15" i="15"/>
  <c r="M15" i="15"/>
  <c r="J15" i="15"/>
  <c r="H15" i="15"/>
  <c r="G15" i="15"/>
  <c r="E15" i="15"/>
  <c r="D15" i="15"/>
  <c r="A15" i="15"/>
  <c r="N14" i="15"/>
  <c r="M14" i="15"/>
  <c r="J14" i="15"/>
  <c r="H14" i="15"/>
  <c r="G14" i="15"/>
  <c r="E14" i="15"/>
  <c r="D14" i="15"/>
  <c r="A14" i="15"/>
  <c r="N13" i="15"/>
  <c r="M13" i="15"/>
  <c r="J13" i="15"/>
  <c r="H13" i="15"/>
  <c r="G13" i="15"/>
  <c r="E13" i="15"/>
  <c r="D13" i="15"/>
  <c r="A13" i="15"/>
  <c r="N12" i="15"/>
  <c r="M12" i="15"/>
  <c r="J12" i="15"/>
  <c r="H12" i="15"/>
  <c r="G12" i="15"/>
  <c r="E12" i="15"/>
  <c r="D12" i="15"/>
  <c r="A12" i="15"/>
  <c r="N11" i="15"/>
  <c r="M11" i="15"/>
  <c r="J11" i="15"/>
  <c r="H11" i="15"/>
  <c r="G11" i="15"/>
  <c r="E11" i="15"/>
  <c r="D11" i="15"/>
  <c r="A11" i="15"/>
  <c r="N10" i="15"/>
  <c r="M10" i="15"/>
  <c r="J10" i="15"/>
  <c r="H10" i="15"/>
  <c r="G10" i="15"/>
  <c r="E10" i="15"/>
  <c r="D10" i="15"/>
  <c r="A10" i="15"/>
  <c r="N9" i="15"/>
  <c r="M9" i="15"/>
  <c r="J9" i="15"/>
  <c r="H9" i="15"/>
  <c r="G9" i="15"/>
  <c r="E9" i="15"/>
  <c r="D9" i="15"/>
  <c r="A9" i="15"/>
  <c r="N8" i="15"/>
  <c r="M8" i="15"/>
  <c r="J8" i="15"/>
  <c r="H8" i="15"/>
  <c r="G8" i="15"/>
  <c r="E8" i="15"/>
  <c r="D8" i="15"/>
  <c r="A8" i="15"/>
  <c r="N7" i="15"/>
  <c r="M7" i="15"/>
  <c r="J7" i="15"/>
  <c r="H7" i="15"/>
  <c r="G7" i="15"/>
  <c r="E7" i="15"/>
  <c r="D7" i="15"/>
  <c r="A7" i="15"/>
  <c r="N6" i="15"/>
  <c r="M6" i="15"/>
  <c r="J6" i="15"/>
  <c r="H6" i="15"/>
  <c r="G6" i="15"/>
  <c r="E6" i="15"/>
  <c r="D6" i="15"/>
  <c r="A6" i="15"/>
  <c r="N5" i="15"/>
  <c r="M5" i="15"/>
  <c r="J5" i="15"/>
  <c r="H5" i="15"/>
  <c r="G5" i="15"/>
  <c r="E5" i="15"/>
  <c r="D5" i="15"/>
  <c r="A5" i="15"/>
  <c r="N4" i="15"/>
  <c r="M4" i="15"/>
  <c r="J4" i="15"/>
  <c r="H4" i="15"/>
  <c r="G4" i="15"/>
  <c r="E4" i="15"/>
  <c r="D4" i="15"/>
  <c r="A4" i="15"/>
  <c r="N3" i="15"/>
  <c r="M3" i="15"/>
  <c r="J3" i="15"/>
  <c r="H3" i="15"/>
  <c r="G3" i="15"/>
  <c r="E3" i="15"/>
  <c r="D3" i="15"/>
  <c r="A3" i="15"/>
  <c r="N2" i="15"/>
  <c r="M2" i="15"/>
  <c r="J2" i="15"/>
  <c r="H2" i="15"/>
  <c r="G2" i="15"/>
  <c r="E2" i="15"/>
  <c r="D2" i="15"/>
  <c r="A2" i="15"/>
  <c r="AA191" i="1"/>
  <c r="A191" i="1"/>
  <c r="D191" i="1"/>
  <c r="E191" i="1"/>
  <c r="F191" i="1"/>
  <c r="H191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A22" i="2"/>
  <c r="G23" i="2"/>
  <c r="A23" i="2"/>
  <c r="G24" i="2"/>
  <c r="A24" i="2"/>
  <c r="G25" i="2"/>
  <c r="A25" i="2"/>
  <c r="G26" i="2"/>
  <c r="A26" i="2"/>
  <c r="G27" i="2"/>
  <c r="A27" i="2"/>
  <c r="G28" i="2"/>
  <c r="A28" i="2"/>
  <c r="G29" i="2"/>
  <c r="A29" i="2"/>
  <c r="G30" i="2"/>
  <c r="A30" i="2"/>
  <c r="G31" i="2"/>
  <c r="A31" i="2"/>
  <c r="G32" i="2"/>
  <c r="A32" i="2"/>
  <c r="G33" i="2"/>
  <c r="A33" i="2"/>
  <c r="G34" i="2"/>
  <c r="A34" i="2"/>
  <c r="G35" i="2"/>
  <c r="A35" i="2"/>
  <c r="G36" i="2"/>
  <c r="A36" i="2"/>
  <c r="G37" i="2"/>
  <c r="A37" i="2"/>
  <c r="G38" i="2"/>
  <c r="A38" i="2"/>
  <c r="G39" i="2"/>
  <c r="A39" i="2"/>
  <c r="G40" i="2"/>
  <c r="A40" i="2"/>
  <c r="G41" i="2"/>
  <c r="A41" i="2"/>
  <c r="G42" i="2"/>
  <c r="A42" i="2"/>
  <c r="G43" i="2"/>
  <c r="A43" i="2"/>
  <c r="G44" i="2"/>
  <c r="A44" i="2"/>
  <c r="G45" i="2"/>
  <c r="A45" i="2"/>
  <c r="G46" i="2"/>
  <c r="A46" i="2"/>
  <c r="G47" i="2"/>
  <c r="A47" i="2"/>
  <c r="G48" i="2"/>
  <c r="A48" i="2"/>
  <c r="G49" i="2"/>
  <c r="A49" i="2"/>
  <c r="G50" i="2"/>
  <c r="A50" i="2"/>
  <c r="G51" i="2"/>
  <c r="A51" i="2"/>
  <c r="I191" i="1"/>
  <c r="J191" i="1"/>
  <c r="M191" i="1"/>
  <c r="N191" i="1"/>
  <c r="O191" i="1"/>
  <c r="P191" i="1"/>
  <c r="Q191" i="1"/>
  <c r="W191" i="1"/>
  <c r="V191" i="1"/>
  <c r="AC191" i="1"/>
  <c r="AD191" i="1"/>
  <c r="AE191" i="1"/>
  <c r="AG191" i="1"/>
  <c r="C21" i="13"/>
  <c r="D21" i="13"/>
  <c r="C18" i="13"/>
  <c r="D18" i="13"/>
  <c r="C15" i="13"/>
  <c r="D15" i="13"/>
  <c r="C14" i="13"/>
  <c r="D14" i="13"/>
  <c r="AD190" i="1"/>
  <c r="AG190" i="1"/>
  <c r="AE190" i="1"/>
  <c r="AC190" i="1"/>
  <c r="AA190" i="1"/>
  <c r="W190" i="1"/>
  <c r="V190" i="1"/>
  <c r="Q190" i="1"/>
  <c r="P190" i="1"/>
  <c r="O190" i="1"/>
  <c r="N190" i="1"/>
  <c r="M190" i="1"/>
  <c r="H190" i="1"/>
  <c r="J190" i="1"/>
  <c r="I190" i="1"/>
  <c r="D190" i="1"/>
  <c r="F190" i="1"/>
  <c r="E190" i="1"/>
  <c r="A190" i="1"/>
  <c r="AD189" i="1"/>
  <c r="AG189" i="1"/>
  <c r="AE189" i="1"/>
  <c r="AC189" i="1"/>
  <c r="AA189" i="1"/>
  <c r="W189" i="1"/>
  <c r="V189" i="1"/>
  <c r="Q189" i="1"/>
  <c r="P189" i="1"/>
  <c r="O189" i="1"/>
  <c r="N189" i="1"/>
  <c r="M189" i="1"/>
  <c r="H189" i="1"/>
  <c r="J189" i="1"/>
  <c r="I189" i="1"/>
  <c r="D189" i="1"/>
  <c r="F189" i="1"/>
  <c r="E189" i="1"/>
  <c r="A189" i="1"/>
  <c r="AD188" i="1"/>
  <c r="AG188" i="1"/>
  <c r="AE188" i="1"/>
  <c r="AC188" i="1"/>
  <c r="AA188" i="1"/>
  <c r="W188" i="1"/>
  <c r="V188" i="1"/>
  <c r="Q188" i="1"/>
  <c r="P188" i="1"/>
  <c r="O188" i="1"/>
  <c r="N188" i="1"/>
  <c r="M188" i="1"/>
  <c r="H188" i="1"/>
  <c r="J188" i="1"/>
  <c r="I188" i="1"/>
  <c r="D188" i="1"/>
  <c r="F188" i="1"/>
  <c r="E188" i="1"/>
  <c r="A188" i="1"/>
  <c r="AD187" i="1"/>
  <c r="AG187" i="1"/>
  <c r="AE187" i="1"/>
  <c r="AC187" i="1"/>
  <c r="AA187" i="1"/>
  <c r="W187" i="1"/>
  <c r="V187" i="1"/>
  <c r="Q187" i="1"/>
  <c r="P187" i="1"/>
  <c r="O187" i="1"/>
  <c r="N187" i="1"/>
  <c r="M187" i="1"/>
  <c r="H187" i="1"/>
  <c r="J187" i="1"/>
  <c r="I187" i="1"/>
  <c r="D187" i="1"/>
  <c r="F187" i="1"/>
  <c r="E187" i="1"/>
  <c r="A187" i="1"/>
  <c r="AD186" i="1"/>
  <c r="AG186" i="1"/>
  <c r="AE186" i="1"/>
  <c r="AC186" i="1"/>
  <c r="AA186" i="1"/>
  <c r="W186" i="1"/>
  <c r="V186" i="1"/>
  <c r="Q186" i="1"/>
  <c r="P186" i="1"/>
  <c r="O186" i="1"/>
  <c r="N186" i="1"/>
  <c r="M186" i="1"/>
  <c r="H186" i="1"/>
  <c r="J186" i="1"/>
  <c r="I186" i="1"/>
  <c r="D186" i="1"/>
  <c r="F186" i="1"/>
  <c r="E186" i="1"/>
  <c r="A186" i="1"/>
  <c r="AD185" i="1"/>
  <c r="AG185" i="1"/>
  <c r="AE185" i="1"/>
  <c r="AC185" i="1"/>
  <c r="AA185" i="1"/>
  <c r="W185" i="1"/>
  <c r="V185" i="1"/>
  <c r="Q185" i="1"/>
  <c r="P185" i="1"/>
  <c r="O185" i="1"/>
  <c r="N185" i="1"/>
  <c r="M185" i="1"/>
  <c r="H185" i="1"/>
  <c r="J185" i="1"/>
  <c r="I185" i="1"/>
  <c r="D185" i="1"/>
  <c r="F185" i="1"/>
  <c r="E185" i="1"/>
  <c r="A185" i="1"/>
  <c r="AD184" i="1"/>
  <c r="AG184" i="1"/>
  <c r="AE184" i="1"/>
  <c r="AC184" i="1"/>
  <c r="AA184" i="1"/>
  <c r="W184" i="1"/>
  <c r="V184" i="1"/>
  <c r="Q184" i="1"/>
  <c r="P184" i="1"/>
  <c r="O184" i="1"/>
  <c r="N184" i="1"/>
  <c r="M184" i="1"/>
  <c r="H184" i="1"/>
  <c r="J184" i="1"/>
  <c r="I184" i="1"/>
  <c r="D184" i="1"/>
  <c r="F184" i="1"/>
  <c r="E184" i="1"/>
  <c r="A184" i="1"/>
  <c r="AD183" i="1"/>
  <c r="AG183" i="1"/>
  <c r="AE183" i="1"/>
  <c r="AC183" i="1"/>
  <c r="AA183" i="1"/>
  <c r="W183" i="1"/>
  <c r="V183" i="1"/>
  <c r="Q183" i="1"/>
  <c r="P183" i="1"/>
  <c r="O183" i="1"/>
  <c r="N183" i="1"/>
  <c r="M183" i="1"/>
  <c r="H183" i="1"/>
  <c r="J183" i="1"/>
  <c r="I183" i="1"/>
  <c r="D183" i="1"/>
  <c r="F183" i="1"/>
  <c r="E183" i="1"/>
  <c r="A183" i="1"/>
  <c r="AD182" i="1"/>
  <c r="AG182" i="1"/>
  <c r="AE182" i="1"/>
  <c r="AC182" i="1"/>
  <c r="AA182" i="1"/>
  <c r="W182" i="1"/>
  <c r="V182" i="1"/>
  <c r="Q182" i="1"/>
  <c r="P182" i="1"/>
  <c r="O182" i="1"/>
  <c r="N182" i="1"/>
  <c r="M182" i="1"/>
  <c r="H182" i="1"/>
  <c r="J182" i="1"/>
  <c r="I182" i="1"/>
  <c r="D182" i="1"/>
  <c r="F182" i="1"/>
  <c r="E182" i="1"/>
  <c r="A182" i="1"/>
  <c r="AD181" i="1"/>
  <c r="AG181" i="1"/>
  <c r="AE181" i="1"/>
  <c r="AC181" i="1"/>
  <c r="AA181" i="1"/>
  <c r="W181" i="1"/>
  <c r="V181" i="1"/>
  <c r="Q181" i="1"/>
  <c r="P181" i="1"/>
  <c r="O181" i="1"/>
  <c r="N181" i="1"/>
  <c r="M181" i="1"/>
  <c r="H181" i="1"/>
  <c r="J181" i="1"/>
  <c r="I181" i="1"/>
  <c r="D181" i="1"/>
  <c r="F181" i="1"/>
  <c r="E181" i="1"/>
  <c r="A181" i="1"/>
  <c r="AD180" i="1"/>
  <c r="AG180" i="1"/>
  <c r="AE180" i="1"/>
  <c r="AC180" i="1"/>
  <c r="AA180" i="1"/>
  <c r="W180" i="1"/>
  <c r="V180" i="1"/>
  <c r="Q180" i="1"/>
  <c r="P180" i="1"/>
  <c r="O180" i="1"/>
  <c r="N180" i="1"/>
  <c r="M180" i="1"/>
  <c r="H180" i="1"/>
  <c r="J180" i="1"/>
  <c r="I180" i="1"/>
  <c r="D180" i="1"/>
  <c r="F180" i="1"/>
  <c r="E180" i="1"/>
  <c r="A180" i="1"/>
  <c r="AD179" i="1"/>
  <c r="AG179" i="1"/>
  <c r="AE179" i="1"/>
  <c r="AC179" i="1"/>
  <c r="AA179" i="1"/>
  <c r="W179" i="1"/>
  <c r="V179" i="1"/>
  <c r="Q179" i="1"/>
  <c r="P179" i="1"/>
  <c r="O179" i="1"/>
  <c r="N179" i="1"/>
  <c r="M179" i="1"/>
  <c r="H179" i="1"/>
  <c r="J179" i="1"/>
  <c r="I179" i="1"/>
  <c r="D179" i="1"/>
  <c r="F179" i="1"/>
  <c r="E179" i="1"/>
  <c r="A179" i="1"/>
  <c r="AD178" i="1"/>
  <c r="AG178" i="1"/>
  <c r="AE178" i="1"/>
  <c r="AC178" i="1"/>
  <c r="AA178" i="1"/>
  <c r="W178" i="1"/>
  <c r="V178" i="1"/>
  <c r="Q178" i="1"/>
  <c r="P178" i="1"/>
  <c r="O178" i="1"/>
  <c r="N178" i="1"/>
  <c r="M178" i="1"/>
  <c r="H178" i="1"/>
  <c r="J178" i="1"/>
  <c r="I178" i="1"/>
  <c r="D178" i="1"/>
  <c r="F178" i="1"/>
  <c r="E178" i="1"/>
  <c r="A178" i="1"/>
  <c r="AD177" i="1"/>
  <c r="AG177" i="1"/>
  <c r="AE177" i="1"/>
  <c r="AC177" i="1"/>
  <c r="AA177" i="1"/>
  <c r="W177" i="1"/>
  <c r="V177" i="1"/>
  <c r="Q177" i="1"/>
  <c r="P177" i="1"/>
  <c r="O177" i="1"/>
  <c r="N177" i="1"/>
  <c r="M177" i="1"/>
  <c r="H177" i="1"/>
  <c r="J177" i="1"/>
  <c r="I177" i="1"/>
  <c r="D177" i="1"/>
  <c r="F177" i="1"/>
  <c r="E177" i="1"/>
  <c r="A177" i="1"/>
  <c r="AD176" i="1"/>
  <c r="AG176" i="1"/>
  <c r="AE176" i="1"/>
  <c r="AC176" i="1"/>
  <c r="AA176" i="1"/>
  <c r="W176" i="1"/>
  <c r="V176" i="1"/>
  <c r="Q176" i="1"/>
  <c r="P176" i="1"/>
  <c r="O176" i="1"/>
  <c r="N176" i="1"/>
  <c r="M176" i="1"/>
  <c r="H176" i="1"/>
  <c r="J176" i="1"/>
  <c r="I176" i="1"/>
  <c r="D176" i="1"/>
  <c r="F176" i="1"/>
  <c r="E176" i="1"/>
  <c r="A176" i="1"/>
  <c r="AD175" i="1"/>
  <c r="AG175" i="1"/>
  <c r="AE175" i="1"/>
  <c r="AC175" i="1"/>
  <c r="AA175" i="1"/>
  <c r="W175" i="1"/>
  <c r="V175" i="1"/>
  <c r="Q175" i="1"/>
  <c r="P175" i="1"/>
  <c r="O175" i="1"/>
  <c r="N175" i="1"/>
  <c r="M175" i="1"/>
  <c r="H175" i="1"/>
  <c r="J175" i="1"/>
  <c r="I175" i="1"/>
  <c r="D175" i="1"/>
  <c r="F175" i="1"/>
  <c r="E175" i="1"/>
  <c r="A175" i="1"/>
  <c r="AD174" i="1"/>
  <c r="AG174" i="1"/>
  <c r="AE174" i="1"/>
  <c r="AC174" i="1"/>
  <c r="AA174" i="1"/>
  <c r="W174" i="1"/>
  <c r="V174" i="1"/>
  <c r="Q174" i="1"/>
  <c r="P174" i="1"/>
  <c r="O174" i="1"/>
  <c r="N174" i="1"/>
  <c r="M174" i="1"/>
  <c r="H174" i="1"/>
  <c r="J174" i="1"/>
  <c r="I174" i="1"/>
  <c r="D174" i="1"/>
  <c r="F174" i="1"/>
  <c r="E174" i="1"/>
  <c r="A174" i="1"/>
  <c r="AD173" i="1"/>
  <c r="AG173" i="1"/>
  <c r="AE173" i="1"/>
  <c r="AC173" i="1"/>
  <c r="AA173" i="1"/>
  <c r="W173" i="1"/>
  <c r="V173" i="1"/>
  <c r="Q173" i="1"/>
  <c r="P173" i="1"/>
  <c r="O173" i="1"/>
  <c r="N173" i="1"/>
  <c r="M173" i="1"/>
  <c r="H173" i="1"/>
  <c r="J173" i="1"/>
  <c r="I173" i="1"/>
  <c r="D173" i="1"/>
  <c r="F173" i="1"/>
  <c r="E173" i="1"/>
  <c r="A173" i="1"/>
  <c r="AD172" i="1"/>
  <c r="AG172" i="1"/>
  <c r="AE172" i="1"/>
  <c r="AC172" i="1"/>
  <c r="AA172" i="1"/>
  <c r="W172" i="1"/>
  <c r="V172" i="1"/>
  <c r="Q172" i="1"/>
  <c r="P172" i="1"/>
  <c r="O172" i="1"/>
  <c r="N172" i="1"/>
  <c r="M172" i="1"/>
  <c r="H172" i="1"/>
  <c r="J172" i="1"/>
  <c r="I172" i="1"/>
  <c r="D172" i="1"/>
  <c r="F172" i="1"/>
  <c r="E172" i="1"/>
  <c r="A172" i="1"/>
  <c r="AD171" i="1"/>
  <c r="AG171" i="1"/>
  <c r="AE171" i="1"/>
  <c r="AC171" i="1"/>
  <c r="AA171" i="1"/>
  <c r="W171" i="1"/>
  <c r="V171" i="1"/>
  <c r="Q171" i="1"/>
  <c r="P171" i="1"/>
  <c r="O171" i="1"/>
  <c r="N171" i="1"/>
  <c r="M171" i="1"/>
  <c r="H171" i="1"/>
  <c r="J171" i="1"/>
  <c r="I171" i="1"/>
  <c r="D171" i="1"/>
  <c r="F171" i="1"/>
  <c r="E171" i="1"/>
  <c r="A171" i="1"/>
  <c r="AD170" i="1"/>
  <c r="AG170" i="1"/>
  <c r="AE170" i="1"/>
  <c r="AC170" i="1"/>
  <c r="AA170" i="1"/>
  <c r="W170" i="1"/>
  <c r="V170" i="1"/>
  <c r="Q170" i="1"/>
  <c r="P170" i="1"/>
  <c r="O170" i="1"/>
  <c r="N170" i="1"/>
  <c r="M170" i="1"/>
  <c r="H170" i="1"/>
  <c r="J170" i="1"/>
  <c r="I170" i="1"/>
  <c r="D170" i="1"/>
  <c r="F170" i="1"/>
  <c r="E170" i="1"/>
  <c r="A170" i="1"/>
  <c r="AD169" i="1"/>
  <c r="AG169" i="1"/>
  <c r="AE169" i="1"/>
  <c r="AC169" i="1"/>
  <c r="AA169" i="1"/>
  <c r="W169" i="1"/>
  <c r="V169" i="1"/>
  <c r="Q169" i="1"/>
  <c r="P169" i="1"/>
  <c r="O169" i="1"/>
  <c r="N169" i="1"/>
  <c r="M169" i="1"/>
  <c r="H169" i="1"/>
  <c r="J169" i="1"/>
  <c r="I169" i="1"/>
  <c r="D169" i="1"/>
  <c r="F169" i="1"/>
  <c r="E169" i="1"/>
  <c r="A169" i="1"/>
  <c r="AD168" i="1"/>
  <c r="AG168" i="1"/>
  <c r="AE168" i="1"/>
  <c r="AC168" i="1"/>
  <c r="AA168" i="1"/>
  <c r="W168" i="1"/>
  <c r="V168" i="1"/>
  <c r="Q168" i="1"/>
  <c r="P168" i="1"/>
  <c r="O168" i="1"/>
  <c r="N168" i="1"/>
  <c r="M168" i="1"/>
  <c r="H168" i="1"/>
  <c r="J168" i="1"/>
  <c r="I168" i="1"/>
  <c r="D168" i="1"/>
  <c r="F168" i="1"/>
  <c r="E168" i="1"/>
  <c r="A168" i="1"/>
  <c r="AD167" i="1"/>
  <c r="AG167" i="1"/>
  <c r="AE167" i="1"/>
  <c r="AC167" i="1"/>
  <c r="AA167" i="1"/>
  <c r="W167" i="1"/>
  <c r="V167" i="1"/>
  <c r="Q167" i="1"/>
  <c r="P167" i="1"/>
  <c r="O167" i="1"/>
  <c r="N167" i="1"/>
  <c r="M167" i="1"/>
  <c r="H167" i="1"/>
  <c r="D167" i="1"/>
  <c r="F167" i="1"/>
  <c r="E167" i="1"/>
  <c r="A167" i="1"/>
  <c r="AD166" i="1"/>
  <c r="AG166" i="1"/>
  <c r="AE166" i="1"/>
  <c r="AC166" i="1"/>
  <c r="AA166" i="1"/>
  <c r="W166" i="1"/>
  <c r="V166" i="1"/>
  <c r="Q166" i="1"/>
  <c r="P166" i="1"/>
  <c r="O166" i="1"/>
  <c r="N166" i="1"/>
  <c r="M166" i="1"/>
  <c r="H166" i="1"/>
  <c r="D166" i="1"/>
  <c r="F166" i="1"/>
  <c r="E166" i="1"/>
  <c r="A166" i="1"/>
  <c r="AD165" i="1"/>
  <c r="AG165" i="1"/>
  <c r="AE165" i="1"/>
  <c r="AC165" i="1"/>
  <c r="AA165" i="1"/>
  <c r="W165" i="1"/>
  <c r="V165" i="1"/>
  <c r="Q165" i="1"/>
  <c r="P165" i="1"/>
  <c r="O165" i="1"/>
  <c r="N165" i="1"/>
  <c r="M165" i="1"/>
  <c r="H165" i="1"/>
  <c r="D165" i="1"/>
  <c r="F165" i="1"/>
  <c r="E165" i="1"/>
  <c r="A165" i="1"/>
  <c r="AD164" i="1"/>
  <c r="AG164" i="1"/>
  <c r="AE164" i="1"/>
  <c r="AC164" i="1"/>
  <c r="AA164" i="1"/>
  <c r="W164" i="1"/>
  <c r="V164" i="1"/>
  <c r="Q164" i="1"/>
  <c r="P164" i="1"/>
  <c r="O164" i="1"/>
  <c r="N164" i="1"/>
  <c r="M164" i="1"/>
  <c r="H164" i="1"/>
  <c r="D164" i="1"/>
  <c r="F164" i="1"/>
  <c r="E164" i="1"/>
  <c r="A164" i="1"/>
  <c r="AD163" i="1"/>
  <c r="AG163" i="1"/>
  <c r="AE163" i="1"/>
  <c r="AC163" i="1"/>
  <c r="AA163" i="1"/>
  <c r="W163" i="1"/>
  <c r="V163" i="1"/>
  <c r="Q163" i="1"/>
  <c r="P163" i="1"/>
  <c r="O163" i="1"/>
  <c r="N163" i="1"/>
  <c r="M163" i="1"/>
  <c r="H163" i="1"/>
  <c r="D163" i="1"/>
  <c r="F163" i="1"/>
  <c r="E163" i="1"/>
  <c r="A163" i="1"/>
  <c r="AD162" i="1"/>
  <c r="AG162" i="1"/>
  <c r="AE162" i="1"/>
  <c r="AC162" i="1"/>
  <c r="AA162" i="1"/>
  <c r="W162" i="1"/>
  <c r="V162" i="1"/>
  <c r="Q162" i="1"/>
  <c r="P162" i="1"/>
  <c r="O162" i="1"/>
  <c r="N162" i="1"/>
  <c r="M162" i="1"/>
  <c r="H162" i="1"/>
  <c r="D162" i="1"/>
  <c r="F162" i="1"/>
  <c r="E162" i="1"/>
  <c r="A162" i="1"/>
  <c r="AD161" i="1"/>
  <c r="AG161" i="1"/>
  <c r="AE161" i="1"/>
  <c r="AC161" i="1"/>
  <c r="AA161" i="1"/>
  <c r="W161" i="1"/>
  <c r="V161" i="1"/>
  <c r="Q161" i="1"/>
  <c r="P161" i="1"/>
  <c r="O161" i="1"/>
  <c r="N161" i="1"/>
  <c r="M161" i="1"/>
  <c r="H161" i="1"/>
  <c r="D161" i="1"/>
  <c r="F161" i="1"/>
  <c r="E161" i="1"/>
  <c r="A161" i="1"/>
  <c r="AD160" i="1"/>
  <c r="AG160" i="1"/>
  <c r="AE160" i="1"/>
  <c r="AC160" i="1"/>
  <c r="AA160" i="1"/>
  <c r="W160" i="1"/>
  <c r="V160" i="1"/>
  <c r="Q160" i="1"/>
  <c r="P160" i="1"/>
  <c r="O160" i="1"/>
  <c r="N160" i="1"/>
  <c r="M160" i="1"/>
  <c r="H160" i="1"/>
  <c r="D160" i="1"/>
  <c r="F160" i="1"/>
  <c r="E160" i="1"/>
  <c r="A160" i="1"/>
  <c r="AD159" i="1"/>
  <c r="AG159" i="1"/>
  <c r="AE159" i="1"/>
  <c r="AC159" i="1"/>
  <c r="AA159" i="1"/>
  <c r="W159" i="1"/>
  <c r="V159" i="1"/>
  <c r="Q159" i="1"/>
  <c r="P159" i="1"/>
  <c r="O159" i="1"/>
  <c r="N159" i="1"/>
  <c r="M159" i="1"/>
  <c r="H159" i="1"/>
  <c r="D159" i="1"/>
  <c r="F159" i="1"/>
  <c r="E159" i="1"/>
  <c r="A159" i="1"/>
  <c r="AD158" i="1"/>
  <c r="AG158" i="1"/>
  <c r="AE158" i="1"/>
  <c r="AC158" i="1"/>
  <c r="AA158" i="1"/>
  <c r="W158" i="1"/>
  <c r="V158" i="1"/>
  <c r="Q158" i="1"/>
  <c r="P158" i="1"/>
  <c r="O158" i="1"/>
  <c r="N158" i="1"/>
  <c r="M158" i="1"/>
  <c r="H158" i="1"/>
  <c r="D158" i="1"/>
  <c r="F158" i="1"/>
  <c r="E158" i="1"/>
  <c r="A158" i="1"/>
  <c r="AD157" i="1"/>
  <c r="AG157" i="1"/>
  <c r="AE157" i="1"/>
  <c r="AC157" i="1"/>
  <c r="AA157" i="1"/>
  <c r="W157" i="1"/>
  <c r="V157" i="1"/>
  <c r="Q157" i="1"/>
  <c r="P157" i="1"/>
  <c r="O157" i="1"/>
  <c r="N157" i="1"/>
  <c r="M157" i="1"/>
  <c r="H157" i="1"/>
  <c r="D157" i="1"/>
  <c r="F157" i="1"/>
  <c r="E157" i="1"/>
  <c r="A157" i="1"/>
  <c r="AD156" i="1"/>
  <c r="AG156" i="1"/>
  <c r="AE156" i="1"/>
  <c r="AC156" i="1"/>
  <c r="AA156" i="1"/>
  <c r="W156" i="1"/>
  <c r="V156" i="1"/>
  <c r="Q156" i="1"/>
  <c r="P156" i="1"/>
  <c r="O156" i="1"/>
  <c r="N156" i="1"/>
  <c r="M156" i="1"/>
  <c r="H156" i="1"/>
  <c r="D156" i="1"/>
  <c r="F156" i="1"/>
  <c r="E156" i="1"/>
  <c r="A156" i="1"/>
  <c r="AD155" i="1"/>
  <c r="AG155" i="1"/>
  <c r="AE155" i="1"/>
  <c r="AC155" i="1"/>
  <c r="AA155" i="1"/>
  <c r="W155" i="1"/>
  <c r="V155" i="1"/>
  <c r="Q155" i="1"/>
  <c r="P155" i="1"/>
  <c r="O155" i="1"/>
  <c r="N155" i="1"/>
  <c r="M155" i="1"/>
  <c r="H155" i="1"/>
  <c r="D155" i="1"/>
  <c r="F155" i="1"/>
  <c r="E155" i="1"/>
  <c r="A155" i="1"/>
  <c r="AD154" i="1"/>
  <c r="AG154" i="1"/>
  <c r="AE154" i="1"/>
  <c r="AC154" i="1"/>
  <c r="AA154" i="1"/>
  <c r="W154" i="1"/>
  <c r="V154" i="1"/>
  <c r="Q154" i="1"/>
  <c r="P154" i="1"/>
  <c r="O154" i="1"/>
  <c r="N154" i="1"/>
  <c r="M154" i="1"/>
  <c r="H154" i="1"/>
  <c r="D154" i="1"/>
  <c r="F154" i="1"/>
  <c r="E154" i="1"/>
  <c r="A154" i="1"/>
  <c r="AD153" i="1"/>
  <c r="AG153" i="1"/>
  <c r="AE153" i="1"/>
  <c r="AC153" i="1"/>
  <c r="AA153" i="1"/>
  <c r="W153" i="1"/>
  <c r="V153" i="1"/>
  <c r="Q153" i="1"/>
  <c r="P153" i="1"/>
  <c r="O153" i="1"/>
  <c r="N153" i="1"/>
  <c r="M153" i="1"/>
  <c r="H153" i="1"/>
  <c r="D153" i="1"/>
  <c r="F153" i="1"/>
  <c r="E153" i="1"/>
  <c r="A153" i="1"/>
  <c r="AD152" i="1"/>
  <c r="AG152" i="1"/>
  <c r="AE152" i="1"/>
  <c r="AC152" i="1"/>
  <c r="AA152" i="1"/>
  <c r="W152" i="1"/>
  <c r="V152" i="1"/>
  <c r="Q152" i="1"/>
  <c r="P152" i="1"/>
  <c r="O152" i="1"/>
  <c r="N152" i="1"/>
  <c r="M152" i="1"/>
  <c r="H152" i="1"/>
  <c r="D152" i="1"/>
  <c r="F152" i="1"/>
  <c r="E152" i="1"/>
  <c r="A152" i="1"/>
  <c r="AD151" i="1"/>
  <c r="AG151" i="1"/>
  <c r="AE151" i="1"/>
  <c r="AC151" i="1"/>
  <c r="AA151" i="1"/>
  <c r="W151" i="1"/>
  <c r="V151" i="1"/>
  <c r="Q151" i="1"/>
  <c r="P151" i="1"/>
  <c r="O151" i="1"/>
  <c r="N151" i="1"/>
  <c r="M151" i="1"/>
  <c r="H151" i="1"/>
  <c r="D151" i="1"/>
  <c r="F151" i="1"/>
  <c r="E151" i="1"/>
  <c r="A151" i="1"/>
  <c r="AD150" i="1"/>
  <c r="AG150" i="1"/>
  <c r="AE150" i="1"/>
  <c r="AC150" i="1"/>
  <c r="AA150" i="1"/>
  <c r="W150" i="1"/>
  <c r="V150" i="1"/>
  <c r="Q150" i="1"/>
  <c r="P150" i="1"/>
  <c r="O150" i="1"/>
  <c r="N150" i="1"/>
  <c r="M150" i="1"/>
  <c r="H150" i="1"/>
  <c r="D150" i="1"/>
  <c r="F150" i="1"/>
  <c r="E150" i="1"/>
  <c r="A150" i="1"/>
  <c r="AD149" i="1"/>
  <c r="AG149" i="1"/>
  <c r="AE149" i="1"/>
  <c r="AC149" i="1"/>
  <c r="AA149" i="1"/>
  <c r="W149" i="1"/>
  <c r="V149" i="1"/>
  <c r="Q149" i="1"/>
  <c r="P149" i="1"/>
  <c r="O149" i="1"/>
  <c r="N149" i="1"/>
  <c r="M149" i="1"/>
  <c r="H149" i="1"/>
  <c r="D149" i="1"/>
  <c r="F149" i="1"/>
  <c r="E149" i="1"/>
  <c r="A149" i="1"/>
  <c r="AD148" i="1"/>
  <c r="AG148" i="1"/>
  <c r="AE148" i="1"/>
  <c r="AC148" i="1"/>
  <c r="AA148" i="1"/>
  <c r="W148" i="1"/>
  <c r="V148" i="1"/>
  <c r="Q148" i="1"/>
  <c r="P148" i="1"/>
  <c r="O148" i="1"/>
  <c r="N148" i="1"/>
  <c r="M148" i="1"/>
  <c r="H148" i="1"/>
  <c r="D148" i="1"/>
  <c r="F148" i="1"/>
  <c r="E148" i="1"/>
  <c r="A148" i="1"/>
  <c r="AD147" i="1"/>
  <c r="AG147" i="1"/>
  <c r="AE147" i="1"/>
  <c r="AC147" i="1"/>
  <c r="AA147" i="1"/>
  <c r="W147" i="1"/>
  <c r="V147" i="1"/>
  <c r="Q147" i="1"/>
  <c r="P147" i="1"/>
  <c r="O147" i="1"/>
  <c r="N147" i="1"/>
  <c r="M147" i="1"/>
  <c r="H147" i="1"/>
  <c r="D147" i="1"/>
  <c r="F147" i="1"/>
  <c r="E147" i="1"/>
  <c r="A147" i="1"/>
  <c r="AD146" i="1"/>
  <c r="AG146" i="1"/>
  <c r="AE146" i="1"/>
  <c r="AC146" i="1"/>
  <c r="AA146" i="1"/>
  <c r="W146" i="1"/>
  <c r="V146" i="1"/>
  <c r="Q146" i="1"/>
  <c r="P146" i="1"/>
  <c r="O146" i="1"/>
  <c r="N146" i="1"/>
  <c r="M146" i="1"/>
  <c r="H146" i="1"/>
  <c r="D146" i="1"/>
  <c r="F146" i="1"/>
  <c r="E146" i="1"/>
  <c r="A146" i="1"/>
  <c r="AD145" i="1"/>
  <c r="AG145" i="1"/>
  <c r="AE145" i="1"/>
  <c r="AC145" i="1"/>
  <c r="AA145" i="1"/>
  <c r="W145" i="1"/>
  <c r="V145" i="1"/>
  <c r="Q145" i="1"/>
  <c r="P145" i="1"/>
  <c r="O145" i="1"/>
  <c r="N145" i="1"/>
  <c r="M145" i="1"/>
  <c r="H145" i="1"/>
  <c r="D145" i="1"/>
  <c r="F145" i="1"/>
  <c r="E145" i="1"/>
  <c r="A145" i="1"/>
  <c r="AD143" i="1"/>
  <c r="AG143" i="1"/>
  <c r="AE143" i="1"/>
  <c r="AC143" i="1"/>
  <c r="AA143" i="1"/>
  <c r="W143" i="1"/>
  <c r="V143" i="1"/>
  <c r="Q143" i="1"/>
  <c r="P143" i="1"/>
  <c r="O143" i="1"/>
  <c r="N143" i="1"/>
  <c r="M143" i="1"/>
  <c r="H143" i="1"/>
  <c r="D143" i="1"/>
  <c r="F143" i="1"/>
  <c r="E143" i="1"/>
  <c r="A143" i="1"/>
  <c r="AD142" i="1"/>
  <c r="AG142" i="1"/>
  <c r="AE142" i="1"/>
  <c r="AC142" i="1"/>
  <c r="AA142" i="1"/>
  <c r="W142" i="1"/>
  <c r="V142" i="1"/>
  <c r="Q142" i="1"/>
  <c r="P142" i="1"/>
  <c r="O142" i="1"/>
  <c r="N142" i="1"/>
  <c r="M142" i="1"/>
  <c r="H142" i="1"/>
  <c r="D142" i="1"/>
  <c r="F142" i="1"/>
  <c r="E142" i="1"/>
  <c r="A142" i="1"/>
  <c r="AD141" i="1"/>
  <c r="AG141" i="1"/>
  <c r="AE141" i="1"/>
  <c r="AC141" i="1"/>
  <c r="AA141" i="1"/>
  <c r="W141" i="1"/>
  <c r="V141" i="1"/>
  <c r="Q141" i="1"/>
  <c r="P141" i="1"/>
  <c r="O141" i="1"/>
  <c r="N141" i="1"/>
  <c r="M141" i="1"/>
  <c r="H141" i="1"/>
  <c r="D141" i="1"/>
  <c r="F141" i="1"/>
  <c r="E141" i="1"/>
  <c r="A141" i="1"/>
  <c r="AD140" i="1"/>
  <c r="AG140" i="1"/>
  <c r="AE140" i="1"/>
  <c r="AC140" i="1"/>
  <c r="AA140" i="1"/>
  <c r="W140" i="1"/>
  <c r="V140" i="1"/>
  <c r="Q140" i="1"/>
  <c r="P140" i="1"/>
  <c r="O140" i="1"/>
  <c r="N140" i="1"/>
  <c r="M140" i="1"/>
  <c r="H140" i="1"/>
  <c r="D140" i="1"/>
  <c r="F140" i="1"/>
  <c r="E140" i="1"/>
  <c r="A140" i="1"/>
  <c r="AD139" i="1"/>
  <c r="AG139" i="1"/>
  <c r="AE139" i="1"/>
  <c r="AC139" i="1"/>
  <c r="AA139" i="1"/>
  <c r="W139" i="1"/>
  <c r="V139" i="1"/>
  <c r="Q139" i="1"/>
  <c r="P139" i="1"/>
  <c r="O139" i="1"/>
  <c r="N139" i="1"/>
  <c r="M139" i="1"/>
  <c r="H139" i="1"/>
  <c r="D139" i="1"/>
  <c r="F139" i="1"/>
  <c r="E139" i="1"/>
  <c r="A139" i="1"/>
  <c r="AD138" i="1"/>
  <c r="AG138" i="1"/>
  <c r="AE138" i="1"/>
  <c r="AC138" i="1"/>
  <c r="AA138" i="1"/>
  <c r="W138" i="1"/>
  <c r="V138" i="1"/>
  <c r="Q138" i="1"/>
  <c r="P138" i="1"/>
  <c r="O138" i="1"/>
  <c r="N138" i="1"/>
  <c r="M138" i="1"/>
  <c r="H138" i="1"/>
  <c r="D138" i="1"/>
  <c r="F138" i="1"/>
  <c r="E138" i="1"/>
  <c r="A138" i="1"/>
  <c r="AD137" i="1"/>
  <c r="AG137" i="1"/>
  <c r="AE137" i="1"/>
  <c r="AC137" i="1"/>
  <c r="AA137" i="1"/>
  <c r="W137" i="1"/>
  <c r="V137" i="1"/>
  <c r="Q137" i="1"/>
  <c r="P137" i="1"/>
  <c r="O137" i="1"/>
  <c r="N137" i="1"/>
  <c r="M137" i="1"/>
  <c r="H137" i="1"/>
  <c r="D137" i="1"/>
  <c r="F137" i="1"/>
  <c r="E137" i="1"/>
  <c r="A137" i="1"/>
  <c r="AD136" i="1"/>
  <c r="AG136" i="1"/>
  <c r="AE136" i="1"/>
  <c r="AC136" i="1"/>
  <c r="AA136" i="1"/>
  <c r="W136" i="1"/>
  <c r="V136" i="1"/>
  <c r="Q136" i="1"/>
  <c r="P136" i="1"/>
  <c r="O136" i="1"/>
  <c r="N136" i="1"/>
  <c r="M136" i="1"/>
  <c r="H136" i="1"/>
  <c r="D136" i="1"/>
  <c r="F136" i="1"/>
  <c r="E136" i="1"/>
  <c r="A136" i="1"/>
  <c r="AD135" i="1"/>
  <c r="AG135" i="1"/>
  <c r="AE135" i="1"/>
  <c r="AC135" i="1"/>
  <c r="AA135" i="1"/>
  <c r="W135" i="1"/>
  <c r="V135" i="1"/>
  <c r="Q135" i="1"/>
  <c r="P135" i="1"/>
  <c r="O135" i="1"/>
  <c r="N135" i="1"/>
  <c r="M135" i="1"/>
  <c r="H135" i="1"/>
  <c r="D135" i="1"/>
  <c r="F135" i="1"/>
  <c r="E135" i="1"/>
  <c r="A135" i="1"/>
  <c r="AD134" i="1"/>
  <c r="AG134" i="1"/>
  <c r="AE134" i="1"/>
  <c r="AC134" i="1"/>
  <c r="AA134" i="1"/>
  <c r="W134" i="1"/>
  <c r="V134" i="1"/>
  <c r="Q134" i="1"/>
  <c r="P134" i="1"/>
  <c r="O134" i="1"/>
  <c r="N134" i="1"/>
  <c r="M134" i="1"/>
  <c r="H134" i="1"/>
  <c r="D134" i="1"/>
  <c r="F134" i="1"/>
  <c r="E134" i="1"/>
  <c r="A134" i="1"/>
  <c r="AD133" i="1"/>
  <c r="AG133" i="1"/>
  <c r="AE133" i="1"/>
  <c r="AC133" i="1"/>
  <c r="AA133" i="1"/>
  <c r="W133" i="1"/>
  <c r="V133" i="1"/>
  <c r="Q133" i="1"/>
  <c r="P133" i="1"/>
  <c r="O133" i="1"/>
  <c r="N133" i="1"/>
  <c r="M133" i="1"/>
  <c r="H133" i="1"/>
  <c r="D133" i="1"/>
  <c r="F133" i="1"/>
  <c r="E133" i="1"/>
  <c r="A133" i="1"/>
  <c r="AD132" i="1"/>
  <c r="AG132" i="1"/>
  <c r="AE132" i="1"/>
  <c r="AC132" i="1"/>
  <c r="AA132" i="1"/>
  <c r="W132" i="1"/>
  <c r="V132" i="1"/>
  <c r="Q132" i="1"/>
  <c r="P132" i="1"/>
  <c r="O132" i="1"/>
  <c r="N132" i="1"/>
  <c r="M132" i="1"/>
  <c r="H132" i="1"/>
  <c r="D132" i="1"/>
  <c r="F132" i="1"/>
  <c r="E132" i="1"/>
  <c r="A132" i="1"/>
  <c r="AD131" i="1"/>
  <c r="AG131" i="1"/>
  <c r="AE131" i="1"/>
  <c r="AC131" i="1"/>
  <c r="AA131" i="1"/>
  <c r="W131" i="1"/>
  <c r="V131" i="1"/>
  <c r="Q131" i="1"/>
  <c r="P131" i="1"/>
  <c r="O131" i="1"/>
  <c r="N131" i="1"/>
  <c r="M131" i="1"/>
  <c r="H131" i="1"/>
  <c r="D131" i="1"/>
  <c r="F131" i="1"/>
  <c r="E131" i="1"/>
  <c r="A131" i="1"/>
  <c r="AD130" i="1"/>
  <c r="AG130" i="1"/>
  <c r="AE130" i="1"/>
  <c r="AC130" i="1"/>
  <c r="AA130" i="1"/>
  <c r="W130" i="1"/>
  <c r="V130" i="1"/>
  <c r="Q130" i="1"/>
  <c r="P130" i="1"/>
  <c r="O130" i="1"/>
  <c r="N130" i="1"/>
  <c r="M130" i="1"/>
  <c r="H130" i="1"/>
  <c r="D130" i="1"/>
  <c r="F130" i="1"/>
  <c r="E130" i="1"/>
  <c r="A130" i="1"/>
  <c r="AD129" i="1"/>
  <c r="AG129" i="1"/>
  <c r="AE129" i="1"/>
  <c r="AC129" i="1"/>
  <c r="AA129" i="1"/>
  <c r="W129" i="1"/>
  <c r="V129" i="1"/>
  <c r="Q129" i="1"/>
  <c r="P129" i="1"/>
  <c r="O129" i="1"/>
  <c r="N129" i="1"/>
  <c r="M129" i="1"/>
  <c r="H129" i="1"/>
  <c r="D129" i="1"/>
  <c r="F129" i="1"/>
  <c r="E129" i="1"/>
  <c r="A129" i="1"/>
  <c r="AD128" i="1"/>
  <c r="AG128" i="1"/>
  <c r="AE128" i="1"/>
  <c r="AC128" i="1"/>
  <c r="AA128" i="1"/>
  <c r="W128" i="1"/>
  <c r="V128" i="1"/>
  <c r="Q128" i="1"/>
  <c r="P128" i="1"/>
  <c r="O128" i="1"/>
  <c r="N128" i="1"/>
  <c r="M128" i="1"/>
  <c r="H128" i="1"/>
  <c r="D128" i="1"/>
  <c r="F128" i="1"/>
  <c r="E128" i="1"/>
  <c r="A128" i="1"/>
  <c r="AD127" i="1"/>
  <c r="AG127" i="1"/>
  <c r="AE127" i="1"/>
  <c r="AC127" i="1"/>
  <c r="AA127" i="1"/>
  <c r="W127" i="1"/>
  <c r="V127" i="1"/>
  <c r="Q127" i="1"/>
  <c r="P127" i="1"/>
  <c r="O127" i="1"/>
  <c r="N127" i="1"/>
  <c r="M127" i="1"/>
  <c r="H127" i="1"/>
  <c r="D127" i="1"/>
  <c r="F127" i="1"/>
  <c r="E127" i="1"/>
  <c r="A127" i="1"/>
  <c r="AD126" i="1"/>
  <c r="AG126" i="1"/>
  <c r="AE126" i="1"/>
  <c r="AC126" i="1"/>
  <c r="AA126" i="1"/>
  <c r="W126" i="1"/>
  <c r="V126" i="1"/>
  <c r="Q126" i="1"/>
  <c r="P126" i="1"/>
  <c r="O126" i="1"/>
  <c r="N126" i="1"/>
  <c r="M126" i="1"/>
  <c r="H126" i="1"/>
  <c r="D126" i="1"/>
  <c r="F126" i="1"/>
  <c r="E126" i="1"/>
  <c r="A126" i="1"/>
  <c r="AD125" i="1"/>
  <c r="AG125" i="1"/>
  <c r="AE125" i="1"/>
  <c r="AC125" i="1"/>
  <c r="AA125" i="1"/>
  <c r="W125" i="1"/>
  <c r="V125" i="1"/>
  <c r="Q125" i="1"/>
  <c r="P125" i="1"/>
  <c r="O125" i="1"/>
  <c r="N125" i="1"/>
  <c r="M125" i="1"/>
  <c r="H125" i="1"/>
  <c r="D125" i="1"/>
  <c r="F125" i="1"/>
  <c r="E125" i="1"/>
  <c r="A125" i="1"/>
  <c r="AD124" i="1"/>
  <c r="AG124" i="1"/>
  <c r="AE124" i="1"/>
  <c r="AC124" i="1"/>
  <c r="AA124" i="1"/>
  <c r="W124" i="1"/>
  <c r="V124" i="1"/>
  <c r="Q124" i="1"/>
  <c r="P124" i="1"/>
  <c r="O124" i="1"/>
  <c r="N124" i="1"/>
  <c r="M124" i="1"/>
  <c r="H124" i="1"/>
  <c r="D124" i="1"/>
  <c r="F124" i="1"/>
  <c r="E124" i="1"/>
  <c r="A124" i="1"/>
  <c r="AD123" i="1"/>
  <c r="AG123" i="1"/>
  <c r="AE123" i="1"/>
  <c r="AC123" i="1"/>
  <c r="AA123" i="1"/>
  <c r="W123" i="1"/>
  <c r="V123" i="1"/>
  <c r="Q123" i="1"/>
  <c r="P123" i="1"/>
  <c r="O123" i="1"/>
  <c r="N123" i="1"/>
  <c r="M123" i="1"/>
  <c r="H123" i="1"/>
  <c r="D123" i="1"/>
  <c r="F123" i="1"/>
  <c r="E123" i="1"/>
  <c r="A123" i="1"/>
  <c r="AD122" i="1"/>
  <c r="AG122" i="1"/>
  <c r="AE122" i="1"/>
  <c r="AC122" i="1"/>
  <c r="AA122" i="1"/>
  <c r="W122" i="1"/>
  <c r="V122" i="1"/>
  <c r="Q122" i="1"/>
  <c r="P122" i="1"/>
  <c r="O122" i="1"/>
  <c r="N122" i="1"/>
  <c r="M122" i="1"/>
  <c r="H122" i="1"/>
  <c r="D122" i="1"/>
  <c r="F122" i="1"/>
  <c r="E122" i="1"/>
  <c r="A122" i="1"/>
  <c r="AD121" i="1"/>
  <c r="AG121" i="1"/>
  <c r="AE121" i="1"/>
  <c r="AC121" i="1"/>
  <c r="AA121" i="1"/>
  <c r="W121" i="1"/>
  <c r="V121" i="1"/>
  <c r="Q121" i="1"/>
  <c r="P121" i="1"/>
  <c r="O121" i="1"/>
  <c r="N121" i="1"/>
  <c r="M121" i="1"/>
  <c r="H121" i="1"/>
  <c r="D121" i="1"/>
  <c r="F121" i="1"/>
  <c r="E121" i="1"/>
  <c r="A121" i="1"/>
  <c r="AD144" i="1"/>
  <c r="AG144" i="1"/>
  <c r="AE144" i="1"/>
  <c r="AC144" i="1"/>
  <c r="AA144" i="1"/>
  <c r="W144" i="1"/>
  <c r="V144" i="1"/>
  <c r="Q144" i="1"/>
  <c r="P144" i="1"/>
  <c r="O144" i="1"/>
  <c r="N144" i="1"/>
  <c r="M144" i="1"/>
  <c r="H144" i="1"/>
  <c r="D144" i="1"/>
  <c r="F144" i="1"/>
  <c r="E144" i="1"/>
  <c r="A144" i="1"/>
  <c r="AD120" i="1"/>
  <c r="AG120" i="1"/>
  <c r="AE120" i="1"/>
  <c r="AC120" i="1"/>
  <c r="AA120" i="1"/>
  <c r="W120" i="1"/>
  <c r="V120" i="1"/>
  <c r="Q120" i="1"/>
  <c r="P120" i="1"/>
  <c r="O120" i="1"/>
  <c r="N120" i="1"/>
  <c r="M120" i="1"/>
  <c r="H120" i="1"/>
  <c r="D120" i="1"/>
  <c r="F120" i="1"/>
  <c r="E120" i="1"/>
  <c r="A120" i="1"/>
  <c r="AD119" i="1"/>
  <c r="AG119" i="1"/>
  <c r="AE119" i="1"/>
  <c r="AC119" i="1"/>
  <c r="AA119" i="1"/>
  <c r="W119" i="1"/>
  <c r="V119" i="1"/>
  <c r="Q119" i="1"/>
  <c r="P119" i="1"/>
  <c r="O119" i="1"/>
  <c r="N119" i="1"/>
  <c r="M119" i="1"/>
  <c r="H119" i="1"/>
  <c r="D119" i="1"/>
  <c r="F119" i="1"/>
  <c r="E119" i="1"/>
  <c r="A119" i="1"/>
  <c r="AD118" i="1"/>
  <c r="AG118" i="1"/>
  <c r="AE118" i="1"/>
  <c r="AC118" i="1"/>
  <c r="AA118" i="1"/>
  <c r="W118" i="1"/>
  <c r="V118" i="1"/>
  <c r="Q118" i="1"/>
  <c r="P118" i="1"/>
  <c r="O118" i="1"/>
  <c r="N118" i="1"/>
  <c r="M118" i="1"/>
  <c r="H118" i="1"/>
  <c r="D118" i="1"/>
  <c r="F118" i="1"/>
  <c r="E118" i="1"/>
  <c r="A118" i="1"/>
  <c r="AD117" i="1"/>
  <c r="AG117" i="1"/>
  <c r="AE117" i="1"/>
  <c r="AC117" i="1"/>
  <c r="AA117" i="1"/>
  <c r="W117" i="1"/>
  <c r="V117" i="1"/>
  <c r="Q117" i="1"/>
  <c r="P117" i="1"/>
  <c r="O117" i="1"/>
  <c r="N117" i="1"/>
  <c r="M117" i="1"/>
  <c r="H117" i="1"/>
  <c r="D117" i="1"/>
  <c r="F117" i="1"/>
  <c r="E117" i="1"/>
  <c r="A117" i="1"/>
  <c r="AD116" i="1"/>
  <c r="AG116" i="1"/>
  <c r="AE116" i="1"/>
  <c r="AC116" i="1"/>
  <c r="AA116" i="1"/>
  <c r="W116" i="1"/>
  <c r="V116" i="1"/>
  <c r="Q116" i="1"/>
  <c r="P116" i="1"/>
  <c r="O116" i="1"/>
  <c r="N116" i="1"/>
  <c r="M116" i="1"/>
  <c r="H116" i="1"/>
  <c r="D116" i="1"/>
  <c r="F116" i="1"/>
  <c r="E116" i="1"/>
  <c r="A116" i="1"/>
  <c r="AD115" i="1"/>
  <c r="AG115" i="1"/>
  <c r="AE115" i="1"/>
  <c r="AC115" i="1"/>
  <c r="AA115" i="1"/>
  <c r="W115" i="1"/>
  <c r="V115" i="1"/>
  <c r="Q115" i="1"/>
  <c r="P115" i="1"/>
  <c r="O115" i="1"/>
  <c r="N115" i="1"/>
  <c r="M115" i="1"/>
  <c r="H115" i="1"/>
  <c r="D115" i="1"/>
  <c r="F115" i="1"/>
  <c r="E115" i="1"/>
  <c r="A115" i="1"/>
  <c r="AD114" i="1"/>
  <c r="AG114" i="1"/>
  <c r="AE114" i="1"/>
  <c r="AC114" i="1"/>
  <c r="AA114" i="1"/>
  <c r="W114" i="1"/>
  <c r="V114" i="1"/>
  <c r="Q114" i="1"/>
  <c r="P114" i="1"/>
  <c r="O114" i="1"/>
  <c r="N114" i="1"/>
  <c r="M114" i="1"/>
  <c r="H114" i="1"/>
  <c r="D114" i="1"/>
  <c r="F114" i="1"/>
  <c r="E114" i="1"/>
  <c r="A114" i="1"/>
  <c r="AD113" i="1"/>
  <c r="AG113" i="1"/>
  <c r="AE113" i="1"/>
  <c r="AC113" i="1"/>
  <c r="AA113" i="1"/>
  <c r="W113" i="1"/>
  <c r="V113" i="1"/>
  <c r="Q113" i="1"/>
  <c r="P113" i="1"/>
  <c r="O113" i="1"/>
  <c r="N113" i="1"/>
  <c r="M113" i="1"/>
  <c r="H113" i="1"/>
  <c r="D113" i="1"/>
  <c r="F113" i="1"/>
  <c r="E113" i="1"/>
  <c r="A113" i="1"/>
  <c r="AD112" i="1"/>
  <c r="AG112" i="1"/>
  <c r="AE112" i="1"/>
  <c r="AC112" i="1"/>
  <c r="AA112" i="1"/>
  <c r="W112" i="1"/>
  <c r="V112" i="1"/>
  <c r="Q112" i="1"/>
  <c r="P112" i="1"/>
  <c r="O112" i="1"/>
  <c r="N112" i="1"/>
  <c r="M112" i="1"/>
  <c r="H112" i="1"/>
  <c r="D112" i="1"/>
  <c r="F112" i="1"/>
  <c r="E112" i="1"/>
  <c r="A112" i="1"/>
  <c r="AD111" i="1"/>
  <c r="AG111" i="1"/>
  <c r="AE111" i="1"/>
  <c r="AC111" i="1"/>
  <c r="AA111" i="1"/>
  <c r="W111" i="1"/>
  <c r="V111" i="1"/>
  <c r="Q111" i="1"/>
  <c r="P111" i="1"/>
  <c r="O111" i="1"/>
  <c r="N111" i="1"/>
  <c r="M111" i="1"/>
  <c r="H111" i="1"/>
  <c r="D111" i="1"/>
  <c r="F111" i="1"/>
  <c r="E111" i="1"/>
  <c r="A111" i="1"/>
  <c r="AD110" i="1"/>
  <c r="AG110" i="1"/>
  <c r="AE110" i="1"/>
  <c r="AC110" i="1"/>
  <c r="AA110" i="1"/>
  <c r="W110" i="1"/>
  <c r="V110" i="1"/>
  <c r="Q110" i="1"/>
  <c r="P110" i="1"/>
  <c r="O110" i="1"/>
  <c r="N110" i="1"/>
  <c r="M110" i="1"/>
  <c r="H110" i="1"/>
  <c r="D110" i="1"/>
  <c r="F110" i="1"/>
  <c r="E110" i="1"/>
  <c r="A110" i="1"/>
  <c r="AD109" i="1"/>
  <c r="AG109" i="1"/>
  <c r="AE109" i="1"/>
  <c r="AC109" i="1"/>
  <c r="AA109" i="1"/>
  <c r="W109" i="1"/>
  <c r="V109" i="1"/>
  <c r="Q109" i="1"/>
  <c r="P109" i="1"/>
  <c r="O109" i="1"/>
  <c r="N109" i="1"/>
  <c r="M109" i="1"/>
  <c r="H109" i="1"/>
  <c r="D109" i="1"/>
  <c r="F109" i="1"/>
  <c r="E109" i="1"/>
  <c r="A109" i="1"/>
  <c r="AD108" i="1"/>
  <c r="AG108" i="1"/>
  <c r="AE108" i="1"/>
  <c r="AC108" i="1"/>
  <c r="AA108" i="1"/>
  <c r="W108" i="1"/>
  <c r="V108" i="1"/>
  <c r="Q108" i="1"/>
  <c r="P108" i="1"/>
  <c r="O108" i="1"/>
  <c r="N108" i="1"/>
  <c r="M108" i="1"/>
  <c r="H108" i="1"/>
  <c r="D108" i="1"/>
  <c r="F108" i="1"/>
  <c r="E108" i="1"/>
  <c r="A108" i="1"/>
  <c r="AD107" i="1"/>
  <c r="AG107" i="1"/>
  <c r="AE107" i="1"/>
  <c r="AC107" i="1"/>
  <c r="AA107" i="1"/>
  <c r="W107" i="1"/>
  <c r="V107" i="1"/>
  <c r="Q107" i="1"/>
  <c r="P107" i="1"/>
  <c r="O107" i="1"/>
  <c r="N107" i="1"/>
  <c r="M107" i="1"/>
  <c r="H107" i="1"/>
  <c r="D107" i="1"/>
  <c r="F107" i="1"/>
  <c r="E107" i="1"/>
  <c r="A107" i="1"/>
  <c r="AD106" i="1"/>
  <c r="AG106" i="1"/>
  <c r="AE106" i="1"/>
  <c r="AC106" i="1"/>
  <c r="AA106" i="1"/>
  <c r="W106" i="1"/>
  <c r="V106" i="1"/>
  <c r="Q106" i="1"/>
  <c r="P106" i="1"/>
  <c r="O106" i="1"/>
  <c r="N106" i="1"/>
  <c r="M106" i="1"/>
  <c r="H106" i="1"/>
  <c r="D106" i="1"/>
  <c r="F106" i="1"/>
  <c r="E106" i="1"/>
  <c r="A106" i="1"/>
  <c r="AD105" i="1"/>
  <c r="AG105" i="1"/>
  <c r="AE105" i="1"/>
  <c r="AC105" i="1"/>
  <c r="AA105" i="1"/>
  <c r="W105" i="1"/>
  <c r="V105" i="1"/>
  <c r="Q105" i="1"/>
  <c r="P105" i="1"/>
  <c r="O105" i="1"/>
  <c r="N105" i="1"/>
  <c r="M105" i="1"/>
  <c r="H105" i="1"/>
  <c r="D105" i="1"/>
  <c r="F105" i="1"/>
  <c r="E105" i="1"/>
  <c r="A105" i="1"/>
  <c r="AD104" i="1"/>
  <c r="AG104" i="1"/>
  <c r="AE104" i="1"/>
  <c r="AC104" i="1"/>
  <c r="AA104" i="1"/>
  <c r="W104" i="1"/>
  <c r="V104" i="1"/>
  <c r="Q104" i="1"/>
  <c r="P104" i="1"/>
  <c r="O104" i="1"/>
  <c r="N104" i="1"/>
  <c r="M104" i="1"/>
  <c r="H104" i="1"/>
  <c r="D104" i="1"/>
  <c r="F104" i="1"/>
  <c r="E104" i="1"/>
  <c r="A104" i="1"/>
  <c r="AD103" i="1"/>
  <c r="AG103" i="1"/>
  <c r="AE103" i="1"/>
  <c r="AC103" i="1"/>
  <c r="AA103" i="1"/>
  <c r="W103" i="1"/>
  <c r="V103" i="1"/>
  <c r="Q103" i="1"/>
  <c r="P103" i="1"/>
  <c r="O103" i="1"/>
  <c r="N103" i="1"/>
  <c r="M103" i="1"/>
  <c r="H103" i="1"/>
  <c r="D103" i="1"/>
  <c r="F103" i="1"/>
  <c r="E103" i="1"/>
  <c r="A103" i="1"/>
  <c r="AD102" i="1"/>
  <c r="AG102" i="1"/>
  <c r="AE102" i="1"/>
  <c r="AC102" i="1"/>
  <c r="AA102" i="1"/>
  <c r="W102" i="1"/>
  <c r="V102" i="1"/>
  <c r="Q102" i="1"/>
  <c r="P102" i="1"/>
  <c r="O102" i="1"/>
  <c r="N102" i="1"/>
  <c r="M102" i="1"/>
  <c r="H102" i="1"/>
  <c r="D102" i="1"/>
  <c r="F102" i="1"/>
  <c r="E102" i="1"/>
  <c r="A102" i="1"/>
  <c r="AD101" i="1"/>
  <c r="AG101" i="1"/>
  <c r="AE101" i="1"/>
  <c r="AC101" i="1"/>
  <c r="AA101" i="1"/>
  <c r="W101" i="1"/>
  <c r="V101" i="1"/>
  <c r="Q101" i="1"/>
  <c r="P101" i="1"/>
  <c r="O101" i="1"/>
  <c r="N101" i="1"/>
  <c r="M101" i="1"/>
  <c r="H101" i="1"/>
  <c r="D101" i="1"/>
  <c r="F101" i="1"/>
  <c r="E101" i="1"/>
  <c r="A101" i="1"/>
  <c r="AD100" i="1"/>
  <c r="AG100" i="1"/>
  <c r="AE100" i="1"/>
  <c r="AC100" i="1"/>
  <c r="AA100" i="1"/>
  <c r="W100" i="1"/>
  <c r="V100" i="1"/>
  <c r="Q100" i="1"/>
  <c r="P100" i="1"/>
  <c r="O100" i="1"/>
  <c r="N100" i="1"/>
  <c r="M100" i="1"/>
  <c r="H100" i="1"/>
  <c r="D100" i="1"/>
  <c r="F100" i="1"/>
  <c r="E100" i="1"/>
  <c r="A100" i="1"/>
  <c r="AD99" i="1"/>
  <c r="AG99" i="1"/>
  <c r="AE99" i="1"/>
  <c r="AC99" i="1"/>
  <c r="AA99" i="1"/>
  <c r="W99" i="1"/>
  <c r="V99" i="1"/>
  <c r="Q99" i="1"/>
  <c r="P99" i="1"/>
  <c r="O99" i="1"/>
  <c r="N99" i="1"/>
  <c r="M99" i="1"/>
  <c r="H99" i="1"/>
  <c r="D99" i="1"/>
  <c r="F99" i="1"/>
  <c r="E99" i="1"/>
  <c r="A99" i="1"/>
  <c r="AD98" i="1"/>
  <c r="AG98" i="1"/>
  <c r="AE98" i="1"/>
  <c r="AC98" i="1"/>
  <c r="AA98" i="1"/>
  <c r="W98" i="1"/>
  <c r="V98" i="1"/>
  <c r="Q98" i="1"/>
  <c r="P98" i="1"/>
  <c r="O98" i="1"/>
  <c r="N98" i="1"/>
  <c r="M98" i="1"/>
  <c r="H98" i="1"/>
  <c r="D98" i="1"/>
  <c r="F98" i="1"/>
  <c r="E98" i="1"/>
  <c r="A98" i="1"/>
  <c r="H31" i="2"/>
  <c r="E31" i="2"/>
  <c r="D3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B31" i="2"/>
  <c r="H30" i="2"/>
  <c r="E30" i="2"/>
  <c r="D30" i="2"/>
  <c r="B30" i="2"/>
  <c r="H29" i="2"/>
  <c r="E29" i="2"/>
  <c r="D29" i="2"/>
  <c r="B29" i="2"/>
  <c r="H28" i="2"/>
  <c r="E28" i="2"/>
  <c r="D28" i="2"/>
  <c r="B28" i="2"/>
  <c r="H27" i="2"/>
  <c r="E27" i="2"/>
  <c r="D27" i="2"/>
  <c r="B27" i="2"/>
  <c r="H26" i="2"/>
  <c r="E26" i="2"/>
  <c r="D26" i="2"/>
  <c r="B26" i="2"/>
  <c r="H25" i="2"/>
  <c r="E25" i="2"/>
  <c r="D25" i="2"/>
  <c r="B25" i="2"/>
  <c r="H24" i="2"/>
  <c r="E24" i="2"/>
  <c r="D24" i="2"/>
  <c r="B24" i="2"/>
  <c r="H23" i="2"/>
  <c r="E23" i="2"/>
  <c r="D23" i="2"/>
  <c r="B23" i="2"/>
  <c r="H22" i="2"/>
  <c r="E22" i="2"/>
  <c r="D22" i="2"/>
  <c r="B22" i="2"/>
  <c r="C33" i="13"/>
  <c r="D33" i="13"/>
  <c r="C31" i="13"/>
  <c r="D31" i="13"/>
  <c r="C30" i="13"/>
  <c r="D30" i="13"/>
  <c r="C28" i="13"/>
  <c r="D28" i="13"/>
  <c r="C27" i="13"/>
  <c r="D27" i="13"/>
  <c r="C25" i="13"/>
  <c r="D25" i="13"/>
  <c r="C24" i="13"/>
  <c r="D24" i="13"/>
  <c r="C22" i="13"/>
  <c r="D22" i="13"/>
  <c r="A2" i="14"/>
  <c r="D2" i="14"/>
  <c r="E2" i="14"/>
  <c r="F2" i="14"/>
  <c r="H2" i="14"/>
  <c r="I2" i="14"/>
  <c r="J2" i="14"/>
  <c r="N2" i="14"/>
  <c r="O2" i="14"/>
  <c r="P2" i="14"/>
  <c r="Q2" i="14"/>
  <c r="R2" i="14"/>
  <c r="X2" i="14"/>
  <c r="W2" i="14"/>
  <c r="Y2" i="14"/>
  <c r="H51" i="2"/>
  <c r="E51" i="2"/>
  <c r="D51" i="2"/>
  <c r="B51" i="2"/>
  <c r="H50" i="2"/>
  <c r="E50" i="2"/>
  <c r="D50" i="2"/>
  <c r="B50" i="2"/>
  <c r="H49" i="2"/>
  <c r="E49" i="2"/>
  <c r="D49" i="2"/>
  <c r="B49" i="2"/>
  <c r="H48" i="2"/>
  <c r="E48" i="2"/>
  <c r="D48" i="2"/>
  <c r="B48" i="2"/>
  <c r="H47" i="2"/>
  <c r="E47" i="2"/>
  <c r="D47" i="2"/>
  <c r="B47" i="2"/>
  <c r="H46" i="2"/>
  <c r="E46" i="2"/>
  <c r="D46" i="2"/>
  <c r="B46" i="2"/>
  <c r="H45" i="2"/>
  <c r="E45" i="2"/>
  <c r="D45" i="2"/>
  <c r="B45" i="2"/>
  <c r="H44" i="2"/>
  <c r="E44" i="2"/>
  <c r="D44" i="2"/>
  <c r="B44" i="2"/>
  <c r="H43" i="2"/>
  <c r="E43" i="2"/>
  <c r="D43" i="2"/>
  <c r="B43" i="2"/>
  <c r="H42" i="2"/>
  <c r="E42" i="2"/>
  <c r="D42" i="2"/>
  <c r="B42" i="2"/>
  <c r="H41" i="2"/>
  <c r="E41" i="2"/>
  <c r="D41" i="2"/>
  <c r="B41" i="2"/>
  <c r="H40" i="2"/>
  <c r="E40" i="2"/>
  <c r="D40" i="2"/>
  <c r="B40" i="2"/>
  <c r="H39" i="2"/>
  <c r="E39" i="2"/>
  <c r="D39" i="2"/>
  <c r="B39" i="2"/>
  <c r="H38" i="2"/>
  <c r="E38" i="2"/>
  <c r="D38" i="2"/>
  <c r="B38" i="2"/>
  <c r="H37" i="2"/>
  <c r="E37" i="2"/>
  <c r="D37" i="2"/>
  <c r="B37" i="2"/>
  <c r="H36" i="2"/>
  <c r="E36" i="2"/>
  <c r="D36" i="2"/>
  <c r="B36" i="2"/>
  <c r="H35" i="2"/>
  <c r="E35" i="2"/>
  <c r="D35" i="2"/>
  <c r="B35" i="2"/>
  <c r="H34" i="2"/>
  <c r="E34" i="2"/>
  <c r="D34" i="2"/>
  <c r="B34" i="2"/>
  <c r="H33" i="2"/>
  <c r="E33" i="2"/>
  <c r="D33" i="2"/>
  <c r="B33" i="2"/>
  <c r="H32" i="2"/>
  <c r="E32" i="2"/>
  <c r="D32" i="2"/>
  <c r="B32" i="2"/>
  <c r="AD287" i="1"/>
  <c r="AG287" i="1"/>
  <c r="AE287" i="1"/>
  <c r="AC287" i="1"/>
  <c r="AA287" i="1"/>
  <c r="W287" i="1"/>
  <c r="V287" i="1"/>
  <c r="Q287" i="1"/>
  <c r="P287" i="1"/>
  <c r="O287" i="1"/>
  <c r="N287" i="1"/>
  <c r="M287" i="1"/>
  <c r="D287" i="1"/>
  <c r="F287" i="1"/>
  <c r="E287" i="1"/>
  <c r="A287" i="1"/>
  <c r="AD286" i="1"/>
  <c r="AG286" i="1"/>
  <c r="AE286" i="1"/>
  <c r="AC286" i="1"/>
  <c r="AA286" i="1"/>
  <c r="W286" i="1"/>
  <c r="V286" i="1"/>
  <c r="Q286" i="1"/>
  <c r="P286" i="1"/>
  <c r="O286" i="1"/>
  <c r="N286" i="1"/>
  <c r="M286" i="1"/>
  <c r="D286" i="1"/>
  <c r="F286" i="1"/>
  <c r="E286" i="1"/>
  <c r="A286" i="1"/>
  <c r="AD285" i="1"/>
  <c r="AG285" i="1"/>
  <c r="AE285" i="1"/>
  <c r="AC285" i="1"/>
  <c r="AA285" i="1"/>
  <c r="W285" i="1"/>
  <c r="V285" i="1"/>
  <c r="Q285" i="1"/>
  <c r="P285" i="1"/>
  <c r="O285" i="1"/>
  <c r="N285" i="1"/>
  <c r="M285" i="1"/>
  <c r="D285" i="1"/>
  <c r="F285" i="1"/>
  <c r="E285" i="1"/>
  <c r="A285" i="1"/>
  <c r="AD284" i="1"/>
  <c r="AG284" i="1"/>
  <c r="AE284" i="1"/>
  <c r="AC284" i="1"/>
  <c r="AA284" i="1"/>
  <c r="W284" i="1"/>
  <c r="V284" i="1"/>
  <c r="Q284" i="1"/>
  <c r="P284" i="1"/>
  <c r="O284" i="1"/>
  <c r="N284" i="1"/>
  <c r="M284" i="1"/>
  <c r="D284" i="1"/>
  <c r="F284" i="1"/>
  <c r="E284" i="1"/>
  <c r="A284" i="1"/>
  <c r="AD283" i="1"/>
  <c r="AG283" i="1"/>
  <c r="AE283" i="1"/>
  <c r="AC283" i="1"/>
  <c r="AA283" i="1"/>
  <c r="W283" i="1"/>
  <c r="V283" i="1"/>
  <c r="Q283" i="1"/>
  <c r="P283" i="1"/>
  <c r="O283" i="1"/>
  <c r="N283" i="1"/>
  <c r="M283" i="1"/>
  <c r="D283" i="1"/>
  <c r="F283" i="1"/>
  <c r="E283" i="1"/>
  <c r="A283" i="1"/>
  <c r="AD282" i="1"/>
  <c r="AG282" i="1"/>
  <c r="AE282" i="1"/>
  <c r="AC282" i="1"/>
  <c r="AA282" i="1"/>
  <c r="W282" i="1"/>
  <c r="V282" i="1"/>
  <c r="Q282" i="1"/>
  <c r="P282" i="1"/>
  <c r="O282" i="1"/>
  <c r="N282" i="1"/>
  <c r="M282" i="1"/>
  <c r="D282" i="1"/>
  <c r="F282" i="1"/>
  <c r="E282" i="1"/>
  <c r="A282" i="1"/>
  <c r="AD281" i="1"/>
  <c r="AG281" i="1"/>
  <c r="AE281" i="1"/>
  <c r="AC281" i="1"/>
  <c r="AA281" i="1"/>
  <c r="W281" i="1"/>
  <c r="V281" i="1"/>
  <c r="Q281" i="1"/>
  <c r="P281" i="1"/>
  <c r="O281" i="1"/>
  <c r="N281" i="1"/>
  <c r="M281" i="1"/>
  <c r="D281" i="1"/>
  <c r="F281" i="1"/>
  <c r="E281" i="1"/>
  <c r="A281" i="1"/>
  <c r="AD280" i="1"/>
  <c r="AG280" i="1"/>
  <c r="AE280" i="1"/>
  <c r="AC280" i="1"/>
  <c r="AA280" i="1"/>
  <c r="W280" i="1"/>
  <c r="V280" i="1"/>
  <c r="Q280" i="1"/>
  <c r="P280" i="1"/>
  <c r="O280" i="1"/>
  <c r="N280" i="1"/>
  <c r="M280" i="1"/>
  <c r="D280" i="1"/>
  <c r="F280" i="1"/>
  <c r="E280" i="1"/>
  <c r="A280" i="1"/>
  <c r="AD279" i="1"/>
  <c r="AG279" i="1"/>
  <c r="AE279" i="1"/>
  <c r="AC279" i="1"/>
  <c r="AA279" i="1"/>
  <c r="W279" i="1"/>
  <c r="V279" i="1"/>
  <c r="Q279" i="1"/>
  <c r="P279" i="1"/>
  <c r="O279" i="1"/>
  <c r="N279" i="1"/>
  <c r="M279" i="1"/>
  <c r="D279" i="1"/>
  <c r="F279" i="1"/>
  <c r="E279" i="1"/>
  <c r="A279" i="1"/>
  <c r="AD278" i="1"/>
  <c r="AG278" i="1"/>
  <c r="AE278" i="1"/>
  <c r="AC278" i="1"/>
  <c r="AA278" i="1"/>
  <c r="W278" i="1"/>
  <c r="V278" i="1"/>
  <c r="Q278" i="1"/>
  <c r="P278" i="1"/>
  <c r="O278" i="1"/>
  <c r="N278" i="1"/>
  <c r="M278" i="1"/>
  <c r="D278" i="1"/>
  <c r="F278" i="1"/>
  <c r="E278" i="1"/>
  <c r="A278" i="1"/>
  <c r="AD277" i="1"/>
  <c r="AG277" i="1"/>
  <c r="AE277" i="1"/>
  <c r="AC277" i="1"/>
  <c r="AA277" i="1"/>
  <c r="W277" i="1"/>
  <c r="V277" i="1"/>
  <c r="Q277" i="1"/>
  <c r="P277" i="1"/>
  <c r="O277" i="1"/>
  <c r="N277" i="1"/>
  <c r="M277" i="1"/>
  <c r="D277" i="1"/>
  <c r="F277" i="1"/>
  <c r="E277" i="1"/>
  <c r="A277" i="1"/>
  <c r="AD276" i="1"/>
  <c r="AG276" i="1"/>
  <c r="AE276" i="1"/>
  <c r="AC276" i="1"/>
  <c r="AA276" i="1"/>
  <c r="W276" i="1"/>
  <c r="V276" i="1"/>
  <c r="Q276" i="1"/>
  <c r="P276" i="1"/>
  <c r="O276" i="1"/>
  <c r="N276" i="1"/>
  <c r="M276" i="1"/>
  <c r="D276" i="1"/>
  <c r="F276" i="1"/>
  <c r="E276" i="1"/>
  <c r="A276" i="1"/>
  <c r="AD275" i="1"/>
  <c r="AG275" i="1"/>
  <c r="AE275" i="1"/>
  <c r="AC275" i="1"/>
  <c r="AA275" i="1"/>
  <c r="W275" i="1"/>
  <c r="V275" i="1"/>
  <c r="Q275" i="1"/>
  <c r="P275" i="1"/>
  <c r="O275" i="1"/>
  <c r="N275" i="1"/>
  <c r="M275" i="1"/>
  <c r="D275" i="1"/>
  <c r="F275" i="1"/>
  <c r="E275" i="1"/>
  <c r="A275" i="1"/>
  <c r="AD274" i="1"/>
  <c r="AG274" i="1"/>
  <c r="AE274" i="1"/>
  <c r="AC274" i="1"/>
  <c r="AA274" i="1"/>
  <c r="W274" i="1"/>
  <c r="V274" i="1"/>
  <c r="Q274" i="1"/>
  <c r="P274" i="1"/>
  <c r="O274" i="1"/>
  <c r="N274" i="1"/>
  <c r="M274" i="1"/>
  <c r="D274" i="1"/>
  <c r="F274" i="1"/>
  <c r="E274" i="1"/>
  <c r="A274" i="1"/>
  <c r="AD273" i="1"/>
  <c r="AG273" i="1"/>
  <c r="AE273" i="1"/>
  <c r="AC273" i="1"/>
  <c r="AA273" i="1"/>
  <c r="W273" i="1"/>
  <c r="V273" i="1"/>
  <c r="Q273" i="1"/>
  <c r="P273" i="1"/>
  <c r="O273" i="1"/>
  <c r="N273" i="1"/>
  <c r="M273" i="1"/>
  <c r="D273" i="1"/>
  <c r="F273" i="1"/>
  <c r="E273" i="1"/>
  <c r="A273" i="1"/>
  <c r="AD272" i="1"/>
  <c r="AG272" i="1"/>
  <c r="AE272" i="1"/>
  <c r="AC272" i="1"/>
  <c r="AA272" i="1"/>
  <c r="W272" i="1"/>
  <c r="V272" i="1"/>
  <c r="Q272" i="1"/>
  <c r="P272" i="1"/>
  <c r="O272" i="1"/>
  <c r="N272" i="1"/>
  <c r="M272" i="1"/>
  <c r="D272" i="1"/>
  <c r="F272" i="1"/>
  <c r="E272" i="1"/>
  <c r="A272" i="1"/>
  <c r="AD271" i="1"/>
  <c r="AG271" i="1"/>
  <c r="AE271" i="1"/>
  <c r="AC271" i="1"/>
  <c r="AA271" i="1"/>
  <c r="W271" i="1"/>
  <c r="V271" i="1"/>
  <c r="Q271" i="1"/>
  <c r="P271" i="1"/>
  <c r="O271" i="1"/>
  <c r="N271" i="1"/>
  <c r="M271" i="1"/>
  <c r="D271" i="1"/>
  <c r="F271" i="1"/>
  <c r="E271" i="1"/>
  <c r="A271" i="1"/>
  <c r="AD270" i="1"/>
  <c r="AG270" i="1"/>
  <c r="AE270" i="1"/>
  <c r="AC270" i="1"/>
  <c r="AA270" i="1"/>
  <c r="W270" i="1"/>
  <c r="V270" i="1"/>
  <c r="Q270" i="1"/>
  <c r="P270" i="1"/>
  <c r="O270" i="1"/>
  <c r="N270" i="1"/>
  <c r="M270" i="1"/>
  <c r="D270" i="1"/>
  <c r="F270" i="1"/>
  <c r="E270" i="1"/>
  <c r="A270" i="1"/>
  <c r="AD269" i="1"/>
  <c r="AG269" i="1"/>
  <c r="AE269" i="1"/>
  <c r="AC269" i="1"/>
  <c r="AA269" i="1"/>
  <c r="W269" i="1"/>
  <c r="V269" i="1"/>
  <c r="Q269" i="1"/>
  <c r="P269" i="1"/>
  <c r="O269" i="1"/>
  <c r="N269" i="1"/>
  <c r="M269" i="1"/>
  <c r="D269" i="1"/>
  <c r="F269" i="1"/>
  <c r="E269" i="1"/>
  <c r="A269" i="1"/>
  <c r="AD268" i="1"/>
  <c r="AG268" i="1"/>
  <c r="AE268" i="1"/>
  <c r="AC268" i="1"/>
  <c r="AA268" i="1"/>
  <c r="W268" i="1"/>
  <c r="V268" i="1"/>
  <c r="Q268" i="1"/>
  <c r="P268" i="1"/>
  <c r="O268" i="1"/>
  <c r="N268" i="1"/>
  <c r="M268" i="1"/>
  <c r="D268" i="1"/>
  <c r="F268" i="1"/>
  <c r="E268" i="1"/>
  <c r="A268" i="1"/>
  <c r="AD267" i="1"/>
  <c r="AG267" i="1"/>
  <c r="AE267" i="1"/>
  <c r="AC267" i="1"/>
  <c r="AA267" i="1"/>
  <c r="W267" i="1"/>
  <c r="V267" i="1"/>
  <c r="Q267" i="1"/>
  <c r="P267" i="1"/>
  <c r="O267" i="1"/>
  <c r="N267" i="1"/>
  <c r="M267" i="1"/>
  <c r="D267" i="1"/>
  <c r="F267" i="1"/>
  <c r="E267" i="1"/>
  <c r="A267" i="1"/>
  <c r="AD266" i="1"/>
  <c r="AG266" i="1"/>
  <c r="AE266" i="1"/>
  <c r="AC266" i="1"/>
  <c r="AA266" i="1"/>
  <c r="W266" i="1"/>
  <c r="V266" i="1"/>
  <c r="Q266" i="1"/>
  <c r="P266" i="1"/>
  <c r="O266" i="1"/>
  <c r="N266" i="1"/>
  <c r="M266" i="1"/>
  <c r="D266" i="1"/>
  <c r="F266" i="1"/>
  <c r="E266" i="1"/>
  <c r="A266" i="1"/>
  <c r="AD265" i="1"/>
  <c r="AG265" i="1"/>
  <c r="AE265" i="1"/>
  <c r="AC265" i="1"/>
  <c r="AA265" i="1"/>
  <c r="W265" i="1"/>
  <c r="V265" i="1"/>
  <c r="Q265" i="1"/>
  <c r="P265" i="1"/>
  <c r="O265" i="1"/>
  <c r="N265" i="1"/>
  <c r="M265" i="1"/>
  <c r="D265" i="1"/>
  <c r="F265" i="1"/>
  <c r="E265" i="1"/>
  <c r="A265" i="1"/>
  <c r="AD264" i="1"/>
  <c r="AG264" i="1"/>
  <c r="AE264" i="1"/>
  <c r="AC264" i="1"/>
  <c r="AA264" i="1"/>
  <c r="W264" i="1"/>
  <c r="V264" i="1"/>
  <c r="Q264" i="1"/>
  <c r="P264" i="1"/>
  <c r="O264" i="1"/>
  <c r="N264" i="1"/>
  <c r="M264" i="1"/>
  <c r="D264" i="1"/>
  <c r="F264" i="1"/>
  <c r="E264" i="1"/>
  <c r="A264" i="1"/>
  <c r="AD263" i="1"/>
  <c r="AG263" i="1"/>
  <c r="AE263" i="1"/>
  <c r="AC263" i="1"/>
  <c r="AA263" i="1"/>
  <c r="W263" i="1"/>
  <c r="V263" i="1"/>
  <c r="Q263" i="1"/>
  <c r="P263" i="1"/>
  <c r="O263" i="1"/>
  <c r="N263" i="1"/>
  <c r="M263" i="1"/>
  <c r="D263" i="1"/>
  <c r="F263" i="1"/>
  <c r="E263" i="1"/>
  <c r="A263" i="1"/>
  <c r="AD262" i="1"/>
  <c r="AG262" i="1"/>
  <c r="AE262" i="1"/>
  <c r="AC262" i="1"/>
  <c r="AA262" i="1"/>
  <c r="W262" i="1"/>
  <c r="V262" i="1"/>
  <c r="Q262" i="1"/>
  <c r="P262" i="1"/>
  <c r="O262" i="1"/>
  <c r="N262" i="1"/>
  <c r="M262" i="1"/>
  <c r="D262" i="1"/>
  <c r="F262" i="1"/>
  <c r="E262" i="1"/>
  <c r="A262" i="1"/>
  <c r="AD261" i="1"/>
  <c r="AG261" i="1"/>
  <c r="AE261" i="1"/>
  <c r="AC261" i="1"/>
  <c r="AA261" i="1"/>
  <c r="W261" i="1"/>
  <c r="V261" i="1"/>
  <c r="Q261" i="1"/>
  <c r="P261" i="1"/>
  <c r="O261" i="1"/>
  <c r="N261" i="1"/>
  <c r="M261" i="1"/>
  <c r="D261" i="1"/>
  <c r="F261" i="1"/>
  <c r="E261" i="1"/>
  <c r="A261" i="1"/>
  <c r="AD260" i="1"/>
  <c r="AG260" i="1"/>
  <c r="AE260" i="1"/>
  <c r="AC260" i="1"/>
  <c r="AA260" i="1"/>
  <c r="W260" i="1"/>
  <c r="V260" i="1"/>
  <c r="Q260" i="1"/>
  <c r="P260" i="1"/>
  <c r="O260" i="1"/>
  <c r="N260" i="1"/>
  <c r="M260" i="1"/>
  <c r="D260" i="1"/>
  <c r="F260" i="1"/>
  <c r="E260" i="1"/>
  <c r="A260" i="1"/>
  <c r="AD259" i="1"/>
  <c r="AG259" i="1"/>
  <c r="AE259" i="1"/>
  <c r="AC259" i="1"/>
  <c r="AA259" i="1"/>
  <c r="W259" i="1"/>
  <c r="V259" i="1"/>
  <c r="Q259" i="1"/>
  <c r="P259" i="1"/>
  <c r="O259" i="1"/>
  <c r="N259" i="1"/>
  <c r="M259" i="1"/>
  <c r="D259" i="1"/>
  <c r="F259" i="1"/>
  <c r="E259" i="1"/>
  <c r="A259" i="1"/>
  <c r="AD258" i="1"/>
  <c r="AG258" i="1"/>
  <c r="AE258" i="1"/>
  <c r="AC258" i="1"/>
  <c r="AA258" i="1"/>
  <c r="W258" i="1"/>
  <c r="V258" i="1"/>
  <c r="Q258" i="1"/>
  <c r="P258" i="1"/>
  <c r="O258" i="1"/>
  <c r="N258" i="1"/>
  <c r="M258" i="1"/>
  <c r="D258" i="1"/>
  <c r="F258" i="1"/>
  <c r="E258" i="1"/>
  <c r="A258" i="1"/>
  <c r="AD257" i="1"/>
  <c r="AG257" i="1"/>
  <c r="AE257" i="1"/>
  <c r="AC257" i="1"/>
  <c r="AA257" i="1"/>
  <c r="W257" i="1"/>
  <c r="V257" i="1"/>
  <c r="Q257" i="1"/>
  <c r="P257" i="1"/>
  <c r="O257" i="1"/>
  <c r="N257" i="1"/>
  <c r="M257" i="1"/>
  <c r="D257" i="1"/>
  <c r="F257" i="1"/>
  <c r="E257" i="1"/>
  <c r="A257" i="1"/>
  <c r="AD256" i="1"/>
  <c r="AG256" i="1"/>
  <c r="AE256" i="1"/>
  <c r="AC256" i="1"/>
  <c r="AA256" i="1"/>
  <c r="W256" i="1"/>
  <c r="V256" i="1"/>
  <c r="Q256" i="1"/>
  <c r="P256" i="1"/>
  <c r="O256" i="1"/>
  <c r="N256" i="1"/>
  <c r="M256" i="1"/>
  <c r="D256" i="1"/>
  <c r="F256" i="1"/>
  <c r="E256" i="1"/>
  <c r="A256" i="1"/>
  <c r="AD255" i="1"/>
  <c r="AG255" i="1"/>
  <c r="AE255" i="1"/>
  <c r="AC255" i="1"/>
  <c r="AA255" i="1"/>
  <c r="W255" i="1"/>
  <c r="V255" i="1"/>
  <c r="Q255" i="1"/>
  <c r="P255" i="1"/>
  <c r="O255" i="1"/>
  <c r="N255" i="1"/>
  <c r="M255" i="1"/>
  <c r="D255" i="1"/>
  <c r="F255" i="1"/>
  <c r="E255" i="1"/>
  <c r="A255" i="1"/>
  <c r="AD254" i="1"/>
  <c r="AG254" i="1"/>
  <c r="AE254" i="1"/>
  <c r="AC254" i="1"/>
  <c r="AA254" i="1"/>
  <c r="W254" i="1"/>
  <c r="V254" i="1"/>
  <c r="Q254" i="1"/>
  <c r="P254" i="1"/>
  <c r="O254" i="1"/>
  <c r="N254" i="1"/>
  <c r="M254" i="1"/>
  <c r="D254" i="1"/>
  <c r="F254" i="1"/>
  <c r="E254" i="1"/>
  <c r="A254" i="1"/>
  <c r="AD253" i="1"/>
  <c r="AG253" i="1"/>
  <c r="AE253" i="1"/>
  <c r="AC253" i="1"/>
  <c r="AA253" i="1"/>
  <c r="W253" i="1"/>
  <c r="V253" i="1"/>
  <c r="Q253" i="1"/>
  <c r="P253" i="1"/>
  <c r="O253" i="1"/>
  <c r="N253" i="1"/>
  <c r="M253" i="1"/>
  <c r="D253" i="1"/>
  <c r="F253" i="1"/>
  <c r="E253" i="1"/>
  <c r="A253" i="1"/>
  <c r="AD252" i="1"/>
  <c r="AG252" i="1"/>
  <c r="AE252" i="1"/>
  <c r="AC252" i="1"/>
  <c r="AA252" i="1"/>
  <c r="W252" i="1"/>
  <c r="V252" i="1"/>
  <c r="Q252" i="1"/>
  <c r="P252" i="1"/>
  <c r="O252" i="1"/>
  <c r="N252" i="1"/>
  <c r="M252" i="1"/>
  <c r="D252" i="1"/>
  <c r="F252" i="1"/>
  <c r="E252" i="1"/>
  <c r="A252" i="1"/>
  <c r="AD251" i="1"/>
  <c r="AG251" i="1"/>
  <c r="AE251" i="1"/>
  <c r="AC251" i="1"/>
  <c r="AA251" i="1"/>
  <c r="W251" i="1"/>
  <c r="V251" i="1"/>
  <c r="Q251" i="1"/>
  <c r="P251" i="1"/>
  <c r="O251" i="1"/>
  <c r="N251" i="1"/>
  <c r="M251" i="1"/>
  <c r="D251" i="1"/>
  <c r="F251" i="1"/>
  <c r="E251" i="1"/>
  <c r="A251" i="1"/>
  <c r="AD250" i="1"/>
  <c r="AG250" i="1"/>
  <c r="AE250" i="1"/>
  <c r="AC250" i="1"/>
  <c r="AA250" i="1"/>
  <c r="W250" i="1"/>
  <c r="V250" i="1"/>
  <c r="Q250" i="1"/>
  <c r="P250" i="1"/>
  <c r="O250" i="1"/>
  <c r="N250" i="1"/>
  <c r="M250" i="1"/>
  <c r="D250" i="1"/>
  <c r="F250" i="1"/>
  <c r="E250" i="1"/>
  <c r="A250" i="1"/>
  <c r="AD249" i="1"/>
  <c r="AG249" i="1"/>
  <c r="AE249" i="1"/>
  <c r="AC249" i="1"/>
  <c r="AA249" i="1"/>
  <c r="W249" i="1"/>
  <c r="V249" i="1"/>
  <c r="Q249" i="1"/>
  <c r="P249" i="1"/>
  <c r="O249" i="1"/>
  <c r="N249" i="1"/>
  <c r="M249" i="1"/>
  <c r="D249" i="1"/>
  <c r="F249" i="1"/>
  <c r="E249" i="1"/>
  <c r="A249" i="1"/>
  <c r="AD248" i="1"/>
  <c r="AG248" i="1"/>
  <c r="AE248" i="1"/>
  <c r="AC248" i="1"/>
  <c r="AA248" i="1"/>
  <c r="W248" i="1"/>
  <c r="V248" i="1"/>
  <c r="Q248" i="1"/>
  <c r="P248" i="1"/>
  <c r="O248" i="1"/>
  <c r="N248" i="1"/>
  <c r="M248" i="1"/>
  <c r="D248" i="1"/>
  <c r="F248" i="1"/>
  <c r="E248" i="1"/>
  <c r="A248" i="1"/>
  <c r="AD247" i="1"/>
  <c r="AG247" i="1"/>
  <c r="AE247" i="1"/>
  <c r="AC247" i="1"/>
  <c r="AA247" i="1"/>
  <c r="W247" i="1"/>
  <c r="V247" i="1"/>
  <c r="Q247" i="1"/>
  <c r="P247" i="1"/>
  <c r="O247" i="1"/>
  <c r="N247" i="1"/>
  <c r="M247" i="1"/>
  <c r="D247" i="1"/>
  <c r="F247" i="1"/>
  <c r="E247" i="1"/>
  <c r="A247" i="1"/>
  <c r="AD246" i="1"/>
  <c r="AG246" i="1"/>
  <c r="AE246" i="1"/>
  <c r="AC246" i="1"/>
  <c r="AA246" i="1"/>
  <c r="W246" i="1"/>
  <c r="V246" i="1"/>
  <c r="Q246" i="1"/>
  <c r="P246" i="1"/>
  <c r="O246" i="1"/>
  <c r="N246" i="1"/>
  <c r="M246" i="1"/>
  <c r="D246" i="1"/>
  <c r="F246" i="1"/>
  <c r="E246" i="1"/>
  <c r="A246" i="1"/>
  <c r="AD245" i="1"/>
  <c r="AG245" i="1"/>
  <c r="AE245" i="1"/>
  <c r="AC245" i="1"/>
  <c r="AA245" i="1"/>
  <c r="W245" i="1"/>
  <c r="V245" i="1"/>
  <c r="Q245" i="1"/>
  <c r="P245" i="1"/>
  <c r="O245" i="1"/>
  <c r="N245" i="1"/>
  <c r="M245" i="1"/>
  <c r="D245" i="1"/>
  <c r="F245" i="1"/>
  <c r="E245" i="1"/>
  <c r="A245" i="1"/>
  <c r="AD244" i="1"/>
  <c r="AG244" i="1"/>
  <c r="AE244" i="1"/>
  <c r="AC244" i="1"/>
  <c r="AA244" i="1"/>
  <c r="W244" i="1"/>
  <c r="V244" i="1"/>
  <c r="Q244" i="1"/>
  <c r="P244" i="1"/>
  <c r="O244" i="1"/>
  <c r="N244" i="1"/>
  <c r="M244" i="1"/>
  <c r="D244" i="1"/>
  <c r="F244" i="1"/>
  <c r="E244" i="1"/>
  <c r="A244" i="1"/>
  <c r="AD243" i="1"/>
  <c r="AG243" i="1"/>
  <c r="AE243" i="1"/>
  <c r="AC243" i="1"/>
  <c r="AA243" i="1"/>
  <c r="W243" i="1"/>
  <c r="V243" i="1"/>
  <c r="Q243" i="1"/>
  <c r="P243" i="1"/>
  <c r="O243" i="1"/>
  <c r="N243" i="1"/>
  <c r="M243" i="1"/>
  <c r="D243" i="1"/>
  <c r="F243" i="1"/>
  <c r="E243" i="1"/>
  <c r="A243" i="1"/>
  <c r="AD242" i="1"/>
  <c r="AG242" i="1"/>
  <c r="AE242" i="1"/>
  <c r="AC242" i="1"/>
  <c r="AA242" i="1"/>
  <c r="W242" i="1"/>
  <c r="V242" i="1"/>
  <c r="Q242" i="1"/>
  <c r="P242" i="1"/>
  <c r="O242" i="1"/>
  <c r="N242" i="1"/>
  <c r="M242" i="1"/>
  <c r="D242" i="1"/>
  <c r="F242" i="1"/>
  <c r="E242" i="1"/>
  <c r="A242" i="1"/>
  <c r="AD241" i="1"/>
  <c r="AG241" i="1"/>
  <c r="AE241" i="1"/>
  <c r="AC241" i="1"/>
  <c r="AA241" i="1"/>
  <c r="W241" i="1"/>
  <c r="V241" i="1"/>
  <c r="Q241" i="1"/>
  <c r="P241" i="1"/>
  <c r="O241" i="1"/>
  <c r="N241" i="1"/>
  <c r="M241" i="1"/>
  <c r="D241" i="1"/>
  <c r="F241" i="1"/>
  <c r="E241" i="1"/>
  <c r="A241" i="1"/>
  <c r="AD240" i="1"/>
  <c r="AG240" i="1"/>
  <c r="AE240" i="1"/>
  <c r="AC240" i="1"/>
  <c r="AA240" i="1"/>
  <c r="W240" i="1"/>
  <c r="V240" i="1"/>
  <c r="Q240" i="1"/>
  <c r="P240" i="1"/>
  <c r="O240" i="1"/>
  <c r="N240" i="1"/>
  <c r="M240" i="1"/>
  <c r="D240" i="1"/>
  <c r="F240" i="1"/>
  <c r="E240" i="1"/>
  <c r="A240" i="1"/>
  <c r="AD239" i="1"/>
  <c r="AG239" i="1"/>
  <c r="AE239" i="1"/>
  <c r="AC239" i="1"/>
  <c r="AA239" i="1"/>
  <c r="W239" i="1"/>
  <c r="V239" i="1"/>
  <c r="Q239" i="1"/>
  <c r="P239" i="1"/>
  <c r="O239" i="1"/>
  <c r="N239" i="1"/>
  <c r="M239" i="1"/>
  <c r="D239" i="1"/>
  <c r="F239" i="1"/>
  <c r="E239" i="1"/>
  <c r="A239" i="1"/>
  <c r="AD238" i="1"/>
  <c r="AG238" i="1"/>
  <c r="AE238" i="1"/>
  <c r="AC238" i="1"/>
  <c r="AA238" i="1"/>
  <c r="W238" i="1"/>
  <c r="V238" i="1"/>
  <c r="Q238" i="1"/>
  <c r="P238" i="1"/>
  <c r="O238" i="1"/>
  <c r="N238" i="1"/>
  <c r="M238" i="1"/>
  <c r="D238" i="1"/>
  <c r="F238" i="1"/>
  <c r="E238" i="1"/>
  <c r="A238" i="1"/>
  <c r="AD237" i="1"/>
  <c r="AG237" i="1"/>
  <c r="AE237" i="1"/>
  <c r="AC237" i="1"/>
  <c r="AA237" i="1"/>
  <c r="W237" i="1"/>
  <c r="V237" i="1"/>
  <c r="Q237" i="1"/>
  <c r="P237" i="1"/>
  <c r="O237" i="1"/>
  <c r="N237" i="1"/>
  <c r="M237" i="1"/>
  <c r="D237" i="1"/>
  <c r="F237" i="1"/>
  <c r="E237" i="1"/>
  <c r="A237" i="1"/>
  <c r="AD236" i="1"/>
  <c r="AG236" i="1"/>
  <c r="AE236" i="1"/>
  <c r="AC236" i="1"/>
  <c r="AA236" i="1"/>
  <c r="W236" i="1"/>
  <c r="V236" i="1"/>
  <c r="Q236" i="1"/>
  <c r="P236" i="1"/>
  <c r="O236" i="1"/>
  <c r="N236" i="1"/>
  <c r="M236" i="1"/>
  <c r="D236" i="1"/>
  <c r="F236" i="1"/>
  <c r="E236" i="1"/>
  <c r="A236" i="1"/>
  <c r="AD235" i="1"/>
  <c r="AG235" i="1"/>
  <c r="AE235" i="1"/>
  <c r="AC235" i="1"/>
  <c r="AA235" i="1"/>
  <c r="W235" i="1"/>
  <c r="V235" i="1"/>
  <c r="Q235" i="1"/>
  <c r="P235" i="1"/>
  <c r="O235" i="1"/>
  <c r="N235" i="1"/>
  <c r="M235" i="1"/>
  <c r="D235" i="1"/>
  <c r="F235" i="1"/>
  <c r="E235" i="1"/>
  <c r="A235" i="1"/>
  <c r="AD234" i="1"/>
  <c r="AG234" i="1"/>
  <c r="AE234" i="1"/>
  <c r="AC234" i="1"/>
  <c r="AA234" i="1"/>
  <c r="W234" i="1"/>
  <c r="V234" i="1"/>
  <c r="Q234" i="1"/>
  <c r="P234" i="1"/>
  <c r="O234" i="1"/>
  <c r="N234" i="1"/>
  <c r="M234" i="1"/>
  <c r="D234" i="1"/>
  <c r="F234" i="1"/>
  <c r="E234" i="1"/>
  <c r="A234" i="1"/>
  <c r="AD233" i="1"/>
  <c r="AG233" i="1"/>
  <c r="AE233" i="1"/>
  <c r="AC233" i="1"/>
  <c r="AA233" i="1"/>
  <c r="W233" i="1"/>
  <c r="V233" i="1"/>
  <c r="Q233" i="1"/>
  <c r="P233" i="1"/>
  <c r="O233" i="1"/>
  <c r="N233" i="1"/>
  <c r="M233" i="1"/>
  <c r="D233" i="1"/>
  <c r="F233" i="1"/>
  <c r="E233" i="1"/>
  <c r="A233" i="1"/>
  <c r="AD232" i="1"/>
  <c r="AG232" i="1"/>
  <c r="AE232" i="1"/>
  <c r="AC232" i="1"/>
  <c r="AA232" i="1"/>
  <c r="W232" i="1"/>
  <c r="V232" i="1"/>
  <c r="Q232" i="1"/>
  <c r="P232" i="1"/>
  <c r="O232" i="1"/>
  <c r="N232" i="1"/>
  <c r="M232" i="1"/>
  <c r="D232" i="1"/>
  <c r="F232" i="1"/>
  <c r="E232" i="1"/>
  <c r="A232" i="1"/>
  <c r="AD231" i="1"/>
  <c r="AG231" i="1"/>
  <c r="AE231" i="1"/>
  <c r="AC231" i="1"/>
  <c r="AA231" i="1"/>
  <c r="W231" i="1"/>
  <c r="V231" i="1"/>
  <c r="Q231" i="1"/>
  <c r="P231" i="1"/>
  <c r="O231" i="1"/>
  <c r="N231" i="1"/>
  <c r="M231" i="1"/>
  <c r="D231" i="1"/>
  <c r="F231" i="1"/>
  <c r="E231" i="1"/>
  <c r="A231" i="1"/>
  <c r="AD230" i="1"/>
  <c r="AG230" i="1"/>
  <c r="AE230" i="1"/>
  <c r="AC230" i="1"/>
  <c r="AA230" i="1"/>
  <c r="W230" i="1"/>
  <c r="V230" i="1"/>
  <c r="Q230" i="1"/>
  <c r="P230" i="1"/>
  <c r="O230" i="1"/>
  <c r="N230" i="1"/>
  <c r="M230" i="1"/>
  <c r="D230" i="1"/>
  <c r="F230" i="1"/>
  <c r="E230" i="1"/>
  <c r="A230" i="1"/>
  <c r="AD229" i="1"/>
  <c r="AG229" i="1"/>
  <c r="AE229" i="1"/>
  <c r="AC229" i="1"/>
  <c r="AA229" i="1"/>
  <c r="W229" i="1"/>
  <c r="V229" i="1"/>
  <c r="Q229" i="1"/>
  <c r="P229" i="1"/>
  <c r="O229" i="1"/>
  <c r="N229" i="1"/>
  <c r="M229" i="1"/>
  <c r="D229" i="1"/>
  <c r="F229" i="1"/>
  <c r="E229" i="1"/>
  <c r="A229" i="1"/>
  <c r="AD228" i="1"/>
  <c r="AG228" i="1"/>
  <c r="AE228" i="1"/>
  <c r="AC228" i="1"/>
  <c r="AA228" i="1"/>
  <c r="W228" i="1"/>
  <c r="V228" i="1"/>
  <c r="Q228" i="1"/>
  <c r="P228" i="1"/>
  <c r="O228" i="1"/>
  <c r="N228" i="1"/>
  <c r="M228" i="1"/>
  <c r="D228" i="1"/>
  <c r="F228" i="1"/>
  <c r="E228" i="1"/>
  <c r="A228" i="1"/>
  <c r="AD227" i="1"/>
  <c r="AG227" i="1"/>
  <c r="AE227" i="1"/>
  <c r="AC227" i="1"/>
  <c r="AA227" i="1"/>
  <c r="W227" i="1"/>
  <c r="V227" i="1"/>
  <c r="Q227" i="1"/>
  <c r="P227" i="1"/>
  <c r="O227" i="1"/>
  <c r="N227" i="1"/>
  <c r="M227" i="1"/>
  <c r="D227" i="1"/>
  <c r="F227" i="1"/>
  <c r="E227" i="1"/>
  <c r="A227" i="1"/>
  <c r="AD226" i="1"/>
  <c r="AG226" i="1"/>
  <c r="AE226" i="1"/>
  <c r="AC226" i="1"/>
  <c r="AA226" i="1"/>
  <c r="W226" i="1"/>
  <c r="V226" i="1"/>
  <c r="Q226" i="1"/>
  <c r="P226" i="1"/>
  <c r="O226" i="1"/>
  <c r="N226" i="1"/>
  <c r="M226" i="1"/>
  <c r="D226" i="1"/>
  <c r="F226" i="1"/>
  <c r="E226" i="1"/>
  <c r="A226" i="1"/>
  <c r="AD225" i="1"/>
  <c r="AG225" i="1"/>
  <c r="AE225" i="1"/>
  <c r="AC225" i="1"/>
  <c r="AA225" i="1"/>
  <c r="W225" i="1"/>
  <c r="V225" i="1"/>
  <c r="Q225" i="1"/>
  <c r="P225" i="1"/>
  <c r="O225" i="1"/>
  <c r="N225" i="1"/>
  <c r="M225" i="1"/>
  <c r="D225" i="1"/>
  <c r="F225" i="1"/>
  <c r="E225" i="1"/>
  <c r="A225" i="1"/>
  <c r="AD224" i="1"/>
  <c r="AG224" i="1"/>
  <c r="AE224" i="1"/>
  <c r="AC224" i="1"/>
  <c r="AA224" i="1"/>
  <c r="W224" i="1"/>
  <c r="V224" i="1"/>
  <c r="Q224" i="1"/>
  <c r="P224" i="1"/>
  <c r="O224" i="1"/>
  <c r="N224" i="1"/>
  <c r="M224" i="1"/>
  <c r="D224" i="1"/>
  <c r="F224" i="1"/>
  <c r="E224" i="1"/>
  <c r="A224" i="1"/>
  <c r="AD223" i="1"/>
  <c r="AG223" i="1"/>
  <c r="AE223" i="1"/>
  <c r="AC223" i="1"/>
  <c r="AA223" i="1"/>
  <c r="W223" i="1"/>
  <c r="V223" i="1"/>
  <c r="Q223" i="1"/>
  <c r="P223" i="1"/>
  <c r="O223" i="1"/>
  <c r="N223" i="1"/>
  <c r="M223" i="1"/>
  <c r="D223" i="1"/>
  <c r="F223" i="1"/>
  <c r="E223" i="1"/>
  <c r="A223" i="1"/>
  <c r="AD222" i="1"/>
  <c r="AG222" i="1"/>
  <c r="AE222" i="1"/>
  <c r="AC222" i="1"/>
  <c r="AA222" i="1"/>
  <c r="W222" i="1"/>
  <c r="V222" i="1"/>
  <c r="Q222" i="1"/>
  <c r="P222" i="1"/>
  <c r="O222" i="1"/>
  <c r="N222" i="1"/>
  <c r="M222" i="1"/>
  <c r="D222" i="1"/>
  <c r="F222" i="1"/>
  <c r="E222" i="1"/>
  <c r="A222" i="1"/>
  <c r="AD221" i="1"/>
  <c r="AG221" i="1"/>
  <c r="AE221" i="1"/>
  <c r="AC221" i="1"/>
  <c r="AA221" i="1"/>
  <c r="W221" i="1"/>
  <c r="V221" i="1"/>
  <c r="Q221" i="1"/>
  <c r="P221" i="1"/>
  <c r="O221" i="1"/>
  <c r="N221" i="1"/>
  <c r="M221" i="1"/>
  <c r="D221" i="1"/>
  <c r="F221" i="1"/>
  <c r="E221" i="1"/>
  <c r="A221" i="1"/>
  <c r="AD220" i="1"/>
  <c r="AG220" i="1"/>
  <c r="AE220" i="1"/>
  <c r="AC220" i="1"/>
  <c r="AA220" i="1"/>
  <c r="W220" i="1"/>
  <c r="V220" i="1"/>
  <c r="Q220" i="1"/>
  <c r="P220" i="1"/>
  <c r="O220" i="1"/>
  <c r="N220" i="1"/>
  <c r="M220" i="1"/>
  <c r="D220" i="1"/>
  <c r="F220" i="1"/>
  <c r="E220" i="1"/>
  <c r="A220" i="1"/>
  <c r="AD219" i="1"/>
  <c r="AG219" i="1"/>
  <c r="AE219" i="1"/>
  <c r="AC219" i="1"/>
  <c r="AA219" i="1"/>
  <c r="W219" i="1"/>
  <c r="V219" i="1"/>
  <c r="Q219" i="1"/>
  <c r="P219" i="1"/>
  <c r="O219" i="1"/>
  <c r="N219" i="1"/>
  <c r="M219" i="1"/>
  <c r="D219" i="1"/>
  <c r="F219" i="1"/>
  <c r="E219" i="1"/>
  <c r="A219" i="1"/>
  <c r="AD218" i="1"/>
  <c r="AG218" i="1"/>
  <c r="AE218" i="1"/>
  <c r="AC218" i="1"/>
  <c r="AA218" i="1"/>
  <c r="W218" i="1"/>
  <c r="V218" i="1"/>
  <c r="Q218" i="1"/>
  <c r="P218" i="1"/>
  <c r="O218" i="1"/>
  <c r="N218" i="1"/>
  <c r="M218" i="1"/>
  <c r="D218" i="1"/>
  <c r="F218" i="1"/>
  <c r="E218" i="1"/>
  <c r="A218" i="1"/>
  <c r="AD217" i="1"/>
  <c r="AG217" i="1"/>
  <c r="AE217" i="1"/>
  <c r="AC217" i="1"/>
  <c r="AA217" i="1"/>
  <c r="W217" i="1"/>
  <c r="V217" i="1"/>
  <c r="Q217" i="1"/>
  <c r="P217" i="1"/>
  <c r="O217" i="1"/>
  <c r="N217" i="1"/>
  <c r="M217" i="1"/>
  <c r="D217" i="1"/>
  <c r="F217" i="1"/>
  <c r="E217" i="1"/>
  <c r="A217" i="1"/>
  <c r="AD216" i="1"/>
  <c r="AG216" i="1"/>
  <c r="AE216" i="1"/>
  <c r="AC216" i="1"/>
  <c r="AA216" i="1"/>
  <c r="W216" i="1"/>
  <c r="V216" i="1"/>
  <c r="Q216" i="1"/>
  <c r="P216" i="1"/>
  <c r="O216" i="1"/>
  <c r="N216" i="1"/>
  <c r="M216" i="1"/>
  <c r="D216" i="1"/>
  <c r="F216" i="1"/>
  <c r="E216" i="1"/>
  <c r="A216" i="1"/>
  <c r="AD215" i="1"/>
  <c r="AG215" i="1"/>
  <c r="AE215" i="1"/>
  <c r="AC215" i="1"/>
  <c r="AA215" i="1"/>
  <c r="W215" i="1"/>
  <c r="V215" i="1"/>
  <c r="Q215" i="1"/>
  <c r="P215" i="1"/>
  <c r="O215" i="1"/>
  <c r="N215" i="1"/>
  <c r="M215" i="1"/>
  <c r="J215" i="1"/>
  <c r="I215" i="1"/>
  <c r="D215" i="1"/>
  <c r="F215" i="1"/>
  <c r="E215" i="1"/>
  <c r="A215" i="1"/>
  <c r="AD214" i="1"/>
  <c r="AG214" i="1"/>
  <c r="AE214" i="1"/>
  <c r="AC214" i="1"/>
  <c r="AA214" i="1"/>
  <c r="W214" i="1"/>
  <c r="V214" i="1"/>
  <c r="Q214" i="1"/>
  <c r="P214" i="1"/>
  <c r="O214" i="1"/>
  <c r="N214" i="1"/>
  <c r="M214" i="1"/>
  <c r="J214" i="1"/>
  <c r="I214" i="1"/>
  <c r="D214" i="1"/>
  <c r="F214" i="1"/>
  <c r="E214" i="1"/>
  <c r="A214" i="1"/>
  <c r="AD213" i="1"/>
  <c r="AG213" i="1"/>
  <c r="AE213" i="1"/>
  <c r="AC213" i="1"/>
  <c r="AA213" i="1"/>
  <c r="W213" i="1"/>
  <c r="V213" i="1"/>
  <c r="Q213" i="1"/>
  <c r="P213" i="1"/>
  <c r="O213" i="1"/>
  <c r="N213" i="1"/>
  <c r="M213" i="1"/>
  <c r="J213" i="1"/>
  <c r="I213" i="1"/>
  <c r="D213" i="1"/>
  <c r="F213" i="1"/>
  <c r="E213" i="1"/>
  <c r="A213" i="1"/>
  <c r="AD212" i="1"/>
  <c r="AG212" i="1"/>
  <c r="AE212" i="1"/>
  <c r="AC212" i="1"/>
  <c r="AA212" i="1"/>
  <c r="W212" i="1"/>
  <c r="V212" i="1"/>
  <c r="Q212" i="1"/>
  <c r="P212" i="1"/>
  <c r="O212" i="1"/>
  <c r="N212" i="1"/>
  <c r="M212" i="1"/>
  <c r="J212" i="1"/>
  <c r="I212" i="1"/>
  <c r="D212" i="1"/>
  <c r="F212" i="1"/>
  <c r="E212" i="1"/>
  <c r="A212" i="1"/>
  <c r="AD211" i="1"/>
  <c r="AG211" i="1"/>
  <c r="AE211" i="1"/>
  <c r="AC211" i="1"/>
  <c r="AA211" i="1"/>
  <c r="W211" i="1"/>
  <c r="V211" i="1"/>
  <c r="Q211" i="1"/>
  <c r="P211" i="1"/>
  <c r="O211" i="1"/>
  <c r="N211" i="1"/>
  <c r="M211" i="1"/>
  <c r="J211" i="1"/>
  <c r="I211" i="1"/>
  <c r="D211" i="1"/>
  <c r="F211" i="1"/>
  <c r="E211" i="1"/>
  <c r="A211" i="1"/>
  <c r="AD210" i="1"/>
  <c r="AG210" i="1"/>
  <c r="AE210" i="1"/>
  <c r="AC210" i="1"/>
  <c r="AA210" i="1"/>
  <c r="W210" i="1"/>
  <c r="V210" i="1"/>
  <c r="Q210" i="1"/>
  <c r="P210" i="1"/>
  <c r="O210" i="1"/>
  <c r="N210" i="1"/>
  <c r="M210" i="1"/>
  <c r="J210" i="1"/>
  <c r="I210" i="1"/>
  <c r="D210" i="1"/>
  <c r="F210" i="1"/>
  <c r="E210" i="1"/>
  <c r="A210" i="1"/>
  <c r="AD209" i="1"/>
  <c r="AG209" i="1"/>
  <c r="AE209" i="1"/>
  <c r="AC209" i="1"/>
  <c r="AA209" i="1"/>
  <c r="W209" i="1"/>
  <c r="V209" i="1"/>
  <c r="Q209" i="1"/>
  <c r="P209" i="1"/>
  <c r="O209" i="1"/>
  <c r="N209" i="1"/>
  <c r="M209" i="1"/>
  <c r="J209" i="1"/>
  <c r="I209" i="1"/>
  <c r="D209" i="1"/>
  <c r="F209" i="1"/>
  <c r="E209" i="1"/>
  <c r="A209" i="1"/>
  <c r="AD208" i="1"/>
  <c r="AG208" i="1"/>
  <c r="AE208" i="1"/>
  <c r="AC208" i="1"/>
  <c r="AA208" i="1"/>
  <c r="W208" i="1"/>
  <c r="V208" i="1"/>
  <c r="Q208" i="1"/>
  <c r="P208" i="1"/>
  <c r="O208" i="1"/>
  <c r="N208" i="1"/>
  <c r="M208" i="1"/>
  <c r="J208" i="1"/>
  <c r="I208" i="1"/>
  <c r="D208" i="1"/>
  <c r="F208" i="1"/>
  <c r="E208" i="1"/>
  <c r="A208" i="1"/>
  <c r="AD207" i="1"/>
  <c r="AG207" i="1"/>
  <c r="AE207" i="1"/>
  <c r="AC207" i="1"/>
  <c r="AA207" i="1"/>
  <c r="W207" i="1"/>
  <c r="V207" i="1"/>
  <c r="Q207" i="1"/>
  <c r="P207" i="1"/>
  <c r="O207" i="1"/>
  <c r="N207" i="1"/>
  <c r="M207" i="1"/>
  <c r="J207" i="1"/>
  <c r="I207" i="1"/>
  <c r="D207" i="1"/>
  <c r="F207" i="1"/>
  <c r="E207" i="1"/>
  <c r="A207" i="1"/>
  <c r="AD206" i="1"/>
  <c r="AG206" i="1"/>
  <c r="AE206" i="1"/>
  <c r="AC206" i="1"/>
  <c r="AA206" i="1"/>
  <c r="W206" i="1"/>
  <c r="V206" i="1"/>
  <c r="Q206" i="1"/>
  <c r="P206" i="1"/>
  <c r="O206" i="1"/>
  <c r="N206" i="1"/>
  <c r="M206" i="1"/>
  <c r="J206" i="1"/>
  <c r="I206" i="1"/>
  <c r="D206" i="1"/>
  <c r="F206" i="1"/>
  <c r="E206" i="1"/>
  <c r="A206" i="1"/>
  <c r="AD205" i="1"/>
  <c r="AG205" i="1"/>
  <c r="AE205" i="1"/>
  <c r="AC205" i="1"/>
  <c r="AA205" i="1"/>
  <c r="W205" i="1"/>
  <c r="V205" i="1"/>
  <c r="Q205" i="1"/>
  <c r="P205" i="1"/>
  <c r="O205" i="1"/>
  <c r="N205" i="1"/>
  <c r="M205" i="1"/>
  <c r="J205" i="1"/>
  <c r="I205" i="1"/>
  <c r="D205" i="1"/>
  <c r="F205" i="1"/>
  <c r="E205" i="1"/>
  <c r="A205" i="1"/>
  <c r="AD204" i="1"/>
  <c r="AG204" i="1"/>
  <c r="AE204" i="1"/>
  <c r="AC204" i="1"/>
  <c r="AA204" i="1"/>
  <c r="W204" i="1"/>
  <c r="V204" i="1"/>
  <c r="Q204" i="1"/>
  <c r="P204" i="1"/>
  <c r="O204" i="1"/>
  <c r="N204" i="1"/>
  <c r="M204" i="1"/>
  <c r="J204" i="1"/>
  <c r="I204" i="1"/>
  <c r="D204" i="1"/>
  <c r="F204" i="1"/>
  <c r="E204" i="1"/>
  <c r="A204" i="1"/>
  <c r="AD203" i="1"/>
  <c r="AG203" i="1"/>
  <c r="AE203" i="1"/>
  <c r="AC203" i="1"/>
  <c r="AA203" i="1"/>
  <c r="W203" i="1"/>
  <c r="V203" i="1"/>
  <c r="Q203" i="1"/>
  <c r="P203" i="1"/>
  <c r="O203" i="1"/>
  <c r="N203" i="1"/>
  <c r="M203" i="1"/>
  <c r="J203" i="1"/>
  <c r="I203" i="1"/>
  <c r="D203" i="1"/>
  <c r="F203" i="1"/>
  <c r="E203" i="1"/>
  <c r="A203" i="1"/>
  <c r="AD202" i="1"/>
  <c r="AG202" i="1"/>
  <c r="AE202" i="1"/>
  <c r="AC202" i="1"/>
  <c r="AA202" i="1"/>
  <c r="W202" i="1"/>
  <c r="V202" i="1"/>
  <c r="Q202" i="1"/>
  <c r="P202" i="1"/>
  <c r="O202" i="1"/>
  <c r="N202" i="1"/>
  <c r="M202" i="1"/>
  <c r="J202" i="1"/>
  <c r="I202" i="1"/>
  <c r="D202" i="1"/>
  <c r="F202" i="1"/>
  <c r="E202" i="1"/>
  <c r="A202" i="1"/>
  <c r="AD201" i="1"/>
  <c r="AG201" i="1"/>
  <c r="AE201" i="1"/>
  <c r="AC201" i="1"/>
  <c r="AA201" i="1"/>
  <c r="W201" i="1"/>
  <c r="V201" i="1"/>
  <c r="Q201" i="1"/>
  <c r="P201" i="1"/>
  <c r="O201" i="1"/>
  <c r="N201" i="1"/>
  <c r="M201" i="1"/>
  <c r="J201" i="1"/>
  <c r="I201" i="1"/>
  <c r="D201" i="1"/>
  <c r="F201" i="1"/>
  <c r="E201" i="1"/>
  <c r="A201" i="1"/>
  <c r="AD200" i="1"/>
  <c r="AG200" i="1"/>
  <c r="AE200" i="1"/>
  <c r="AC200" i="1"/>
  <c r="AA200" i="1"/>
  <c r="W200" i="1"/>
  <c r="V200" i="1"/>
  <c r="Q200" i="1"/>
  <c r="P200" i="1"/>
  <c r="O200" i="1"/>
  <c r="N200" i="1"/>
  <c r="M200" i="1"/>
  <c r="J200" i="1"/>
  <c r="I200" i="1"/>
  <c r="D200" i="1"/>
  <c r="F200" i="1"/>
  <c r="E200" i="1"/>
  <c r="A200" i="1"/>
  <c r="AD199" i="1"/>
  <c r="AG199" i="1"/>
  <c r="AE199" i="1"/>
  <c r="AC199" i="1"/>
  <c r="AA199" i="1"/>
  <c r="W199" i="1"/>
  <c r="V199" i="1"/>
  <c r="Q199" i="1"/>
  <c r="P199" i="1"/>
  <c r="O199" i="1"/>
  <c r="N199" i="1"/>
  <c r="M199" i="1"/>
  <c r="J199" i="1"/>
  <c r="I199" i="1"/>
  <c r="D199" i="1"/>
  <c r="F199" i="1"/>
  <c r="E199" i="1"/>
  <c r="A199" i="1"/>
  <c r="AD198" i="1"/>
  <c r="AG198" i="1"/>
  <c r="AE198" i="1"/>
  <c r="AC198" i="1"/>
  <c r="AA198" i="1"/>
  <c r="W198" i="1"/>
  <c r="V198" i="1"/>
  <c r="Q198" i="1"/>
  <c r="P198" i="1"/>
  <c r="O198" i="1"/>
  <c r="N198" i="1"/>
  <c r="M198" i="1"/>
  <c r="J198" i="1"/>
  <c r="I198" i="1"/>
  <c r="D198" i="1"/>
  <c r="F198" i="1"/>
  <c r="E198" i="1"/>
  <c r="A198" i="1"/>
  <c r="AD197" i="1"/>
  <c r="AG197" i="1"/>
  <c r="AE197" i="1"/>
  <c r="AC197" i="1"/>
  <c r="AA197" i="1"/>
  <c r="W197" i="1"/>
  <c r="V197" i="1"/>
  <c r="Q197" i="1"/>
  <c r="P197" i="1"/>
  <c r="O197" i="1"/>
  <c r="N197" i="1"/>
  <c r="M197" i="1"/>
  <c r="J197" i="1"/>
  <c r="I197" i="1"/>
  <c r="D197" i="1"/>
  <c r="F197" i="1"/>
  <c r="E197" i="1"/>
  <c r="A197" i="1"/>
  <c r="AD196" i="1"/>
  <c r="AG196" i="1"/>
  <c r="AE196" i="1"/>
  <c r="AC196" i="1"/>
  <c r="AA196" i="1"/>
  <c r="W196" i="1"/>
  <c r="V196" i="1"/>
  <c r="Q196" i="1"/>
  <c r="P196" i="1"/>
  <c r="O196" i="1"/>
  <c r="N196" i="1"/>
  <c r="M196" i="1"/>
  <c r="J196" i="1"/>
  <c r="I196" i="1"/>
  <c r="D196" i="1"/>
  <c r="F196" i="1"/>
  <c r="E196" i="1"/>
  <c r="A196" i="1"/>
  <c r="AD195" i="1"/>
  <c r="AG195" i="1"/>
  <c r="AE195" i="1"/>
  <c r="AC195" i="1"/>
  <c r="AA195" i="1"/>
  <c r="W195" i="1"/>
  <c r="V195" i="1"/>
  <c r="Q195" i="1"/>
  <c r="P195" i="1"/>
  <c r="O195" i="1"/>
  <c r="N195" i="1"/>
  <c r="M195" i="1"/>
  <c r="J195" i="1"/>
  <c r="I195" i="1"/>
  <c r="D195" i="1"/>
  <c r="F195" i="1"/>
  <c r="E195" i="1"/>
  <c r="A195" i="1"/>
  <c r="AD194" i="1"/>
  <c r="AG194" i="1"/>
  <c r="AE194" i="1"/>
  <c r="AC194" i="1"/>
  <c r="AA194" i="1"/>
  <c r="W194" i="1"/>
  <c r="V194" i="1"/>
  <c r="Q194" i="1"/>
  <c r="P194" i="1"/>
  <c r="O194" i="1"/>
  <c r="N194" i="1"/>
  <c r="M194" i="1"/>
  <c r="J194" i="1"/>
  <c r="I194" i="1"/>
  <c r="D194" i="1"/>
  <c r="F194" i="1"/>
  <c r="E194" i="1"/>
  <c r="A194" i="1"/>
  <c r="AD193" i="1"/>
  <c r="AG193" i="1"/>
  <c r="AE193" i="1"/>
  <c r="AC193" i="1"/>
  <c r="AA193" i="1"/>
  <c r="W193" i="1"/>
  <c r="V193" i="1"/>
  <c r="Q193" i="1"/>
  <c r="P193" i="1"/>
  <c r="O193" i="1"/>
  <c r="N193" i="1"/>
  <c r="M193" i="1"/>
  <c r="J193" i="1"/>
  <c r="I193" i="1"/>
  <c r="D193" i="1"/>
  <c r="F193" i="1"/>
  <c r="E193" i="1"/>
  <c r="A193" i="1"/>
  <c r="AD192" i="1"/>
  <c r="AG192" i="1"/>
  <c r="AE192" i="1"/>
  <c r="AC192" i="1"/>
  <c r="AA192" i="1"/>
  <c r="W192" i="1"/>
  <c r="V192" i="1"/>
  <c r="Q192" i="1"/>
  <c r="P192" i="1"/>
  <c r="O192" i="1"/>
  <c r="N192" i="1"/>
  <c r="M192" i="1"/>
  <c r="J192" i="1"/>
  <c r="I192" i="1"/>
  <c r="D192" i="1"/>
  <c r="F192" i="1"/>
  <c r="E192" i="1"/>
  <c r="A192" i="1"/>
  <c r="C12" i="13"/>
  <c r="D12" i="13"/>
  <c r="C11" i="13"/>
  <c r="D11" i="13"/>
  <c r="C9" i="13"/>
  <c r="D9" i="13"/>
  <c r="C8" i="13"/>
  <c r="D8" i="13"/>
  <c r="C6" i="13"/>
  <c r="D6" i="13"/>
  <c r="C5" i="13"/>
  <c r="D5" i="13"/>
  <c r="H21" i="2"/>
  <c r="E21" i="2"/>
  <c r="D21" i="2"/>
  <c r="B21" i="2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AD97" i="1"/>
  <c r="AG97" i="1"/>
  <c r="AE97" i="1"/>
  <c r="AC97" i="1"/>
  <c r="AA97" i="1"/>
  <c r="W97" i="1"/>
  <c r="V97" i="1"/>
  <c r="Q97" i="1"/>
  <c r="P97" i="1"/>
  <c r="O97" i="1"/>
  <c r="N97" i="1"/>
  <c r="M97" i="1"/>
  <c r="D97" i="1"/>
  <c r="F97" i="1"/>
  <c r="E97" i="1"/>
  <c r="A97" i="1"/>
  <c r="AD96" i="1"/>
  <c r="AG96" i="1"/>
  <c r="AE96" i="1"/>
  <c r="AC96" i="1"/>
  <c r="AA96" i="1"/>
  <c r="W96" i="1"/>
  <c r="V96" i="1"/>
  <c r="Q96" i="1"/>
  <c r="P96" i="1"/>
  <c r="O96" i="1"/>
  <c r="N96" i="1"/>
  <c r="M96" i="1"/>
  <c r="D96" i="1"/>
  <c r="F96" i="1"/>
  <c r="E96" i="1"/>
  <c r="A96" i="1"/>
  <c r="AD95" i="1"/>
  <c r="AG95" i="1"/>
  <c r="AE95" i="1"/>
  <c r="AC95" i="1"/>
  <c r="AA95" i="1"/>
  <c r="W95" i="1"/>
  <c r="V95" i="1"/>
  <c r="Q95" i="1"/>
  <c r="P95" i="1"/>
  <c r="O95" i="1"/>
  <c r="N95" i="1"/>
  <c r="M95" i="1"/>
  <c r="D95" i="1"/>
  <c r="F95" i="1"/>
  <c r="E95" i="1"/>
  <c r="A95" i="1"/>
  <c r="AD94" i="1"/>
  <c r="AG94" i="1"/>
  <c r="AE94" i="1"/>
  <c r="AC94" i="1"/>
  <c r="AA94" i="1"/>
  <c r="W94" i="1"/>
  <c r="V94" i="1"/>
  <c r="Q94" i="1"/>
  <c r="P94" i="1"/>
  <c r="O94" i="1"/>
  <c r="N94" i="1"/>
  <c r="M94" i="1"/>
  <c r="D94" i="1"/>
  <c r="F94" i="1"/>
  <c r="E94" i="1"/>
  <c r="A94" i="1"/>
  <c r="AD93" i="1"/>
  <c r="AG93" i="1"/>
  <c r="AE93" i="1"/>
  <c r="AC93" i="1"/>
  <c r="AA93" i="1"/>
  <c r="W93" i="1"/>
  <c r="V93" i="1"/>
  <c r="Q93" i="1"/>
  <c r="P93" i="1"/>
  <c r="O93" i="1"/>
  <c r="N93" i="1"/>
  <c r="M93" i="1"/>
  <c r="D93" i="1"/>
  <c r="F93" i="1"/>
  <c r="E93" i="1"/>
  <c r="A93" i="1"/>
  <c r="AD92" i="1"/>
  <c r="AG92" i="1"/>
  <c r="AE92" i="1"/>
  <c r="AC92" i="1"/>
  <c r="AA92" i="1"/>
  <c r="W92" i="1"/>
  <c r="V92" i="1"/>
  <c r="Q92" i="1"/>
  <c r="P92" i="1"/>
  <c r="O92" i="1"/>
  <c r="N92" i="1"/>
  <c r="M92" i="1"/>
  <c r="D92" i="1"/>
  <c r="F92" i="1"/>
  <c r="E92" i="1"/>
  <c r="A92" i="1"/>
  <c r="AD91" i="1"/>
  <c r="AG91" i="1"/>
  <c r="AE91" i="1"/>
  <c r="AC91" i="1"/>
  <c r="AA91" i="1"/>
  <c r="W91" i="1"/>
  <c r="V91" i="1"/>
  <c r="Q91" i="1"/>
  <c r="P91" i="1"/>
  <c r="O91" i="1"/>
  <c r="N91" i="1"/>
  <c r="M91" i="1"/>
  <c r="D91" i="1"/>
  <c r="F91" i="1"/>
  <c r="E91" i="1"/>
  <c r="A91" i="1"/>
  <c r="AD90" i="1"/>
  <c r="AG90" i="1"/>
  <c r="AE90" i="1"/>
  <c r="AC90" i="1"/>
  <c r="AA90" i="1"/>
  <c r="W90" i="1"/>
  <c r="V90" i="1"/>
  <c r="Q90" i="1"/>
  <c r="P90" i="1"/>
  <c r="O90" i="1"/>
  <c r="N90" i="1"/>
  <c r="M90" i="1"/>
  <c r="D90" i="1"/>
  <c r="F90" i="1"/>
  <c r="E90" i="1"/>
  <c r="A90" i="1"/>
  <c r="AD89" i="1"/>
  <c r="AG89" i="1"/>
  <c r="AE89" i="1"/>
  <c r="AC89" i="1"/>
  <c r="AA89" i="1"/>
  <c r="W89" i="1"/>
  <c r="V89" i="1"/>
  <c r="Q89" i="1"/>
  <c r="P89" i="1"/>
  <c r="O89" i="1"/>
  <c r="N89" i="1"/>
  <c r="M89" i="1"/>
  <c r="D89" i="1"/>
  <c r="F89" i="1"/>
  <c r="E89" i="1"/>
  <c r="A89" i="1"/>
  <c r="AD88" i="1"/>
  <c r="AG88" i="1"/>
  <c r="AE88" i="1"/>
  <c r="AC88" i="1"/>
  <c r="AA88" i="1"/>
  <c r="W88" i="1"/>
  <c r="V88" i="1"/>
  <c r="Q88" i="1"/>
  <c r="P88" i="1"/>
  <c r="O88" i="1"/>
  <c r="N88" i="1"/>
  <c r="M88" i="1"/>
  <c r="D88" i="1"/>
  <c r="F88" i="1"/>
  <c r="E88" i="1"/>
  <c r="A88" i="1"/>
  <c r="AD87" i="1"/>
  <c r="AG87" i="1"/>
  <c r="AE87" i="1"/>
  <c r="AC87" i="1"/>
  <c r="AA87" i="1"/>
  <c r="W87" i="1"/>
  <c r="V87" i="1"/>
  <c r="Q87" i="1"/>
  <c r="P87" i="1"/>
  <c r="O87" i="1"/>
  <c r="N87" i="1"/>
  <c r="M87" i="1"/>
  <c r="D87" i="1"/>
  <c r="F87" i="1"/>
  <c r="E87" i="1"/>
  <c r="A87" i="1"/>
  <c r="AD86" i="1"/>
  <c r="AG86" i="1"/>
  <c r="AE86" i="1"/>
  <c r="AC86" i="1"/>
  <c r="AA86" i="1"/>
  <c r="W86" i="1"/>
  <c r="V86" i="1"/>
  <c r="Q86" i="1"/>
  <c r="P86" i="1"/>
  <c r="O86" i="1"/>
  <c r="N86" i="1"/>
  <c r="M86" i="1"/>
  <c r="D86" i="1"/>
  <c r="F86" i="1"/>
  <c r="E86" i="1"/>
  <c r="A86" i="1"/>
  <c r="AD85" i="1"/>
  <c r="AG85" i="1"/>
  <c r="AE85" i="1"/>
  <c r="AC85" i="1"/>
  <c r="AA85" i="1"/>
  <c r="W85" i="1"/>
  <c r="V85" i="1"/>
  <c r="Q85" i="1"/>
  <c r="P85" i="1"/>
  <c r="O85" i="1"/>
  <c r="N85" i="1"/>
  <c r="M85" i="1"/>
  <c r="D85" i="1"/>
  <c r="F85" i="1"/>
  <c r="E85" i="1"/>
  <c r="A85" i="1"/>
  <c r="AD84" i="1"/>
  <c r="AG84" i="1"/>
  <c r="AE84" i="1"/>
  <c r="AC84" i="1"/>
  <c r="AA84" i="1"/>
  <c r="W84" i="1"/>
  <c r="V84" i="1"/>
  <c r="Q84" i="1"/>
  <c r="P84" i="1"/>
  <c r="O84" i="1"/>
  <c r="N84" i="1"/>
  <c r="M84" i="1"/>
  <c r="D84" i="1"/>
  <c r="F84" i="1"/>
  <c r="E84" i="1"/>
  <c r="A84" i="1"/>
  <c r="AD83" i="1"/>
  <c r="AG83" i="1"/>
  <c r="AE83" i="1"/>
  <c r="AC83" i="1"/>
  <c r="AA83" i="1"/>
  <c r="W83" i="1"/>
  <c r="V83" i="1"/>
  <c r="Q83" i="1"/>
  <c r="P83" i="1"/>
  <c r="O83" i="1"/>
  <c r="N83" i="1"/>
  <c r="M83" i="1"/>
  <c r="D83" i="1"/>
  <c r="F83" i="1"/>
  <c r="E83" i="1"/>
  <c r="A83" i="1"/>
  <c r="AD82" i="1"/>
  <c r="AG82" i="1"/>
  <c r="AE82" i="1"/>
  <c r="AC82" i="1"/>
  <c r="AA82" i="1"/>
  <c r="W82" i="1"/>
  <c r="V82" i="1"/>
  <c r="Q82" i="1"/>
  <c r="P82" i="1"/>
  <c r="O82" i="1"/>
  <c r="N82" i="1"/>
  <c r="M82" i="1"/>
  <c r="D82" i="1"/>
  <c r="F82" i="1"/>
  <c r="E82" i="1"/>
  <c r="A82" i="1"/>
  <c r="AD81" i="1"/>
  <c r="AG81" i="1"/>
  <c r="AE81" i="1"/>
  <c r="AC81" i="1"/>
  <c r="AA81" i="1"/>
  <c r="W81" i="1"/>
  <c r="V81" i="1"/>
  <c r="Q81" i="1"/>
  <c r="P81" i="1"/>
  <c r="O81" i="1"/>
  <c r="N81" i="1"/>
  <c r="M81" i="1"/>
  <c r="D81" i="1"/>
  <c r="F81" i="1"/>
  <c r="E81" i="1"/>
  <c r="A81" i="1"/>
  <c r="AD80" i="1"/>
  <c r="AG80" i="1"/>
  <c r="AE80" i="1"/>
  <c r="AC80" i="1"/>
  <c r="AA80" i="1"/>
  <c r="W80" i="1"/>
  <c r="V80" i="1"/>
  <c r="Q80" i="1"/>
  <c r="P80" i="1"/>
  <c r="O80" i="1"/>
  <c r="N80" i="1"/>
  <c r="M80" i="1"/>
  <c r="D80" i="1"/>
  <c r="F80" i="1"/>
  <c r="E80" i="1"/>
  <c r="A80" i="1"/>
  <c r="AD79" i="1"/>
  <c r="AG79" i="1"/>
  <c r="AE79" i="1"/>
  <c r="AC79" i="1"/>
  <c r="AA79" i="1"/>
  <c r="W79" i="1"/>
  <c r="V79" i="1"/>
  <c r="Q79" i="1"/>
  <c r="P79" i="1"/>
  <c r="O79" i="1"/>
  <c r="N79" i="1"/>
  <c r="M79" i="1"/>
  <c r="D79" i="1"/>
  <c r="F79" i="1"/>
  <c r="E79" i="1"/>
  <c r="A79" i="1"/>
  <c r="AD78" i="1"/>
  <c r="AG78" i="1"/>
  <c r="AE78" i="1"/>
  <c r="AC78" i="1"/>
  <c r="AA78" i="1"/>
  <c r="W78" i="1"/>
  <c r="V78" i="1"/>
  <c r="Q78" i="1"/>
  <c r="P78" i="1"/>
  <c r="O78" i="1"/>
  <c r="N78" i="1"/>
  <c r="M78" i="1"/>
  <c r="D78" i="1"/>
  <c r="F78" i="1"/>
  <c r="E78" i="1"/>
  <c r="A78" i="1"/>
  <c r="AD77" i="1"/>
  <c r="AG77" i="1"/>
  <c r="AE77" i="1"/>
  <c r="AC77" i="1"/>
  <c r="AA77" i="1"/>
  <c r="W77" i="1"/>
  <c r="V77" i="1"/>
  <c r="Q77" i="1"/>
  <c r="P77" i="1"/>
  <c r="O77" i="1"/>
  <c r="N77" i="1"/>
  <c r="M77" i="1"/>
  <c r="D77" i="1"/>
  <c r="F77" i="1"/>
  <c r="E77" i="1"/>
  <c r="A77" i="1"/>
  <c r="AD76" i="1"/>
  <c r="AG76" i="1"/>
  <c r="AE76" i="1"/>
  <c r="AC76" i="1"/>
  <c r="AA76" i="1"/>
  <c r="W76" i="1"/>
  <c r="V76" i="1"/>
  <c r="Q76" i="1"/>
  <c r="P76" i="1"/>
  <c r="O76" i="1"/>
  <c r="N76" i="1"/>
  <c r="M76" i="1"/>
  <c r="D76" i="1"/>
  <c r="F76" i="1"/>
  <c r="E76" i="1"/>
  <c r="A76" i="1"/>
  <c r="AD75" i="1"/>
  <c r="AG75" i="1"/>
  <c r="AE75" i="1"/>
  <c r="AC75" i="1"/>
  <c r="AA75" i="1"/>
  <c r="W75" i="1"/>
  <c r="V75" i="1"/>
  <c r="Q75" i="1"/>
  <c r="P75" i="1"/>
  <c r="O75" i="1"/>
  <c r="N75" i="1"/>
  <c r="M75" i="1"/>
  <c r="D75" i="1"/>
  <c r="F75" i="1"/>
  <c r="E75" i="1"/>
  <c r="A75" i="1"/>
  <c r="AD74" i="1"/>
  <c r="AG74" i="1"/>
  <c r="AE74" i="1"/>
  <c r="AC74" i="1"/>
  <c r="AA74" i="1"/>
  <c r="W74" i="1"/>
  <c r="V74" i="1"/>
  <c r="Q74" i="1"/>
  <c r="P74" i="1"/>
  <c r="O74" i="1"/>
  <c r="N74" i="1"/>
  <c r="M74" i="1"/>
  <c r="D74" i="1"/>
  <c r="F74" i="1"/>
  <c r="E74" i="1"/>
  <c r="A74" i="1"/>
  <c r="AD73" i="1"/>
  <c r="AG73" i="1"/>
  <c r="AE73" i="1"/>
  <c r="AC73" i="1"/>
  <c r="AA73" i="1"/>
  <c r="W73" i="1"/>
  <c r="V73" i="1"/>
  <c r="Q73" i="1"/>
  <c r="P73" i="1"/>
  <c r="O73" i="1"/>
  <c r="N73" i="1"/>
  <c r="M73" i="1"/>
  <c r="D73" i="1"/>
  <c r="F73" i="1"/>
  <c r="E73" i="1"/>
  <c r="A73" i="1"/>
  <c r="AD72" i="1"/>
  <c r="AG72" i="1"/>
  <c r="AE72" i="1"/>
  <c r="AC72" i="1"/>
  <c r="AA72" i="1"/>
  <c r="W72" i="1"/>
  <c r="V72" i="1"/>
  <c r="Q72" i="1"/>
  <c r="P72" i="1"/>
  <c r="O72" i="1"/>
  <c r="N72" i="1"/>
  <c r="M72" i="1"/>
  <c r="D72" i="1"/>
  <c r="F72" i="1"/>
  <c r="E72" i="1"/>
  <c r="A72" i="1"/>
  <c r="AD71" i="1"/>
  <c r="AG71" i="1"/>
  <c r="AE71" i="1"/>
  <c r="AC71" i="1"/>
  <c r="AA71" i="1"/>
  <c r="W71" i="1"/>
  <c r="V71" i="1"/>
  <c r="Q71" i="1"/>
  <c r="P71" i="1"/>
  <c r="O71" i="1"/>
  <c r="N71" i="1"/>
  <c r="M71" i="1"/>
  <c r="D71" i="1"/>
  <c r="F71" i="1"/>
  <c r="E71" i="1"/>
  <c r="A71" i="1"/>
  <c r="AD70" i="1"/>
  <c r="AG70" i="1"/>
  <c r="AE70" i="1"/>
  <c r="AC70" i="1"/>
  <c r="AA70" i="1"/>
  <c r="W70" i="1"/>
  <c r="V70" i="1"/>
  <c r="Q70" i="1"/>
  <c r="P70" i="1"/>
  <c r="O70" i="1"/>
  <c r="N70" i="1"/>
  <c r="M70" i="1"/>
  <c r="D70" i="1"/>
  <c r="F70" i="1"/>
  <c r="E70" i="1"/>
  <c r="A70" i="1"/>
  <c r="AD69" i="1"/>
  <c r="AG69" i="1"/>
  <c r="AE69" i="1"/>
  <c r="AC69" i="1"/>
  <c r="AA69" i="1"/>
  <c r="W69" i="1"/>
  <c r="V69" i="1"/>
  <c r="Q69" i="1"/>
  <c r="P69" i="1"/>
  <c r="O69" i="1"/>
  <c r="N69" i="1"/>
  <c r="M69" i="1"/>
  <c r="D69" i="1"/>
  <c r="F69" i="1"/>
  <c r="E69" i="1"/>
  <c r="A69" i="1"/>
  <c r="AD68" i="1"/>
  <c r="AG68" i="1"/>
  <c r="AE68" i="1"/>
  <c r="AC68" i="1"/>
  <c r="AA68" i="1"/>
  <c r="W68" i="1"/>
  <c r="V68" i="1"/>
  <c r="Q68" i="1"/>
  <c r="P68" i="1"/>
  <c r="O68" i="1"/>
  <c r="N68" i="1"/>
  <c r="M68" i="1"/>
  <c r="D68" i="1"/>
  <c r="F68" i="1"/>
  <c r="E68" i="1"/>
  <c r="A68" i="1"/>
  <c r="AD67" i="1"/>
  <c r="AG67" i="1"/>
  <c r="AE67" i="1"/>
  <c r="AC67" i="1"/>
  <c r="AA67" i="1"/>
  <c r="W67" i="1"/>
  <c r="V67" i="1"/>
  <c r="Q67" i="1"/>
  <c r="P67" i="1"/>
  <c r="O67" i="1"/>
  <c r="N67" i="1"/>
  <c r="M67" i="1"/>
  <c r="D67" i="1"/>
  <c r="F67" i="1"/>
  <c r="E67" i="1"/>
  <c r="A67" i="1"/>
  <c r="AD66" i="1"/>
  <c r="AG66" i="1"/>
  <c r="AE66" i="1"/>
  <c r="AC66" i="1"/>
  <c r="AA66" i="1"/>
  <c r="W66" i="1"/>
  <c r="V66" i="1"/>
  <c r="Q66" i="1"/>
  <c r="P66" i="1"/>
  <c r="O66" i="1"/>
  <c r="N66" i="1"/>
  <c r="M66" i="1"/>
  <c r="D66" i="1"/>
  <c r="F66" i="1"/>
  <c r="E66" i="1"/>
  <c r="A66" i="1"/>
  <c r="AD65" i="1"/>
  <c r="AG65" i="1"/>
  <c r="AE65" i="1"/>
  <c r="AC65" i="1"/>
  <c r="AA65" i="1"/>
  <c r="W65" i="1"/>
  <c r="V65" i="1"/>
  <c r="Q65" i="1"/>
  <c r="P65" i="1"/>
  <c r="O65" i="1"/>
  <c r="N65" i="1"/>
  <c r="M65" i="1"/>
  <c r="D65" i="1"/>
  <c r="F65" i="1"/>
  <c r="E65" i="1"/>
  <c r="A65" i="1"/>
  <c r="AD64" i="1"/>
  <c r="AG64" i="1"/>
  <c r="AE64" i="1"/>
  <c r="AC64" i="1"/>
  <c r="AA64" i="1"/>
  <c r="W64" i="1"/>
  <c r="V64" i="1"/>
  <c r="Q64" i="1"/>
  <c r="P64" i="1"/>
  <c r="O64" i="1"/>
  <c r="N64" i="1"/>
  <c r="M64" i="1"/>
  <c r="D64" i="1"/>
  <c r="F64" i="1"/>
  <c r="E64" i="1"/>
  <c r="A64" i="1"/>
  <c r="AD63" i="1"/>
  <c r="AG63" i="1"/>
  <c r="AE63" i="1"/>
  <c r="AC63" i="1"/>
  <c r="AA63" i="1"/>
  <c r="W63" i="1"/>
  <c r="V63" i="1"/>
  <c r="Q63" i="1"/>
  <c r="P63" i="1"/>
  <c r="O63" i="1"/>
  <c r="N63" i="1"/>
  <c r="M63" i="1"/>
  <c r="D63" i="1"/>
  <c r="F63" i="1"/>
  <c r="E63" i="1"/>
  <c r="A63" i="1"/>
  <c r="AD62" i="1"/>
  <c r="AG62" i="1"/>
  <c r="AE62" i="1"/>
  <c r="AC62" i="1"/>
  <c r="AA62" i="1"/>
  <c r="W62" i="1"/>
  <c r="V62" i="1"/>
  <c r="Q62" i="1"/>
  <c r="P62" i="1"/>
  <c r="O62" i="1"/>
  <c r="N62" i="1"/>
  <c r="M62" i="1"/>
  <c r="D62" i="1"/>
  <c r="F62" i="1"/>
  <c r="E62" i="1"/>
  <c r="A62" i="1"/>
  <c r="AD61" i="1"/>
  <c r="AG61" i="1"/>
  <c r="AE61" i="1"/>
  <c r="AC61" i="1"/>
  <c r="AA61" i="1"/>
  <c r="W61" i="1"/>
  <c r="V61" i="1"/>
  <c r="Q61" i="1"/>
  <c r="P61" i="1"/>
  <c r="O61" i="1"/>
  <c r="N61" i="1"/>
  <c r="M61" i="1"/>
  <c r="D61" i="1"/>
  <c r="F61" i="1"/>
  <c r="E61" i="1"/>
  <c r="A61" i="1"/>
  <c r="AD60" i="1"/>
  <c r="AG60" i="1"/>
  <c r="AE60" i="1"/>
  <c r="AC60" i="1"/>
  <c r="AA60" i="1"/>
  <c r="W60" i="1"/>
  <c r="V60" i="1"/>
  <c r="Q60" i="1"/>
  <c r="P60" i="1"/>
  <c r="O60" i="1"/>
  <c r="N60" i="1"/>
  <c r="M60" i="1"/>
  <c r="D60" i="1"/>
  <c r="F60" i="1"/>
  <c r="E60" i="1"/>
  <c r="A60" i="1"/>
  <c r="AD59" i="1"/>
  <c r="AG59" i="1"/>
  <c r="AE59" i="1"/>
  <c r="AC59" i="1"/>
  <c r="AA59" i="1"/>
  <c r="W59" i="1"/>
  <c r="V59" i="1"/>
  <c r="Q59" i="1"/>
  <c r="P59" i="1"/>
  <c r="O59" i="1"/>
  <c r="N59" i="1"/>
  <c r="M59" i="1"/>
  <c r="D59" i="1"/>
  <c r="F59" i="1"/>
  <c r="E59" i="1"/>
  <c r="A59" i="1"/>
  <c r="AD58" i="1"/>
  <c r="AG58" i="1"/>
  <c r="AE58" i="1"/>
  <c r="AC58" i="1"/>
  <c r="AA58" i="1"/>
  <c r="W58" i="1"/>
  <c r="V58" i="1"/>
  <c r="Q58" i="1"/>
  <c r="P58" i="1"/>
  <c r="O58" i="1"/>
  <c r="N58" i="1"/>
  <c r="M58" i="1"/>
  <c r="D58" i="1"/>
  <c r="F58" i="1"/>
  <c r="E58" i="1"/>
  <c r="A58" i="1"/>
  <c r="AD57" i="1"/>
  <c r="AG57" i="1"/>
  <c r="AE57" i="1"/>
  <c r="AC57" i="1"/>
  <c r="AA57" i="1"/>
  <c r="W57" i="1"/>
  <c r="V57" i="1"/>
  <c r="Q57" i="1"/>
  <c r="P57" i="1"/>
  <c r="O57" i="1"/>
  <c r="N57" i="1"/>
  <c r="M57" i="1"/>
  <c r="D57" i="1"/>
  <c r="F57" i="1"/>
  <c r="E57" i="1"/>
  <c r="A57" i="1"/>
  <c r="AD56" i="1"/>
  <c r="AG56" i="1"/>
  <c r="AE56" i="1"/>
  <c r="AC56" i="1"/>
  <c r="AA56" i="1"/>
  <c r="W56" i="1"/>
  <c r="V56" i="1"/>
  <c r="Q56" i="1"/>
  <c r="P56" i="1"/>
  <c r="O56" i="1"/>
  <c r="N56" i="1"/>
  <c r="M56" i="1"/>
  <c r="D56" i="1"/>
  <c r="F56" i="1"/>
  <c r="E56" i="1"/>
  <c r="A56" i="1"/>
  <c r="AD55" i="1"/>
  <c r="AG55" i="1"/>
  <c r="AE55" i="1"/>
  <c r="AC55" i="1"/>
  <c r="AA55" i="1"/>
  <c r="W55" i="1"/>
  <c r="V55" i="1"/>
  <c r="Q55" i="1"/>
  <c r="P55" i="1"/>
  <c r="O55" i="1"/>
  <c r="N55" i="1"/>
  <c r="M55" i="1"/>
  <c r="D55" i="1"/>
  <c r="F55" i="1"/>
  <c r="E55" i="1"/>
  <c r="A55" i="1"/>
  <c r="AD54" i="1"/>
  <c r="AG54" i="1"/>
  <c r="AE54" i="1"/>
  <c r="AC54" i="1"/>
  <c r="AA54" i="1"/>
  <c r="W54" i="1"/>
  <c r="V54" i="1"/>
  <c r="Q54" i="1"/>
  <c r="P54" i="1"/>
  <c r="O54" i="1"/>
  <c r="N54" i="1"/>
  <c r="M54" i="1"/>
  <c r="D54" i="1"/>
  <c r="F54" i="1"/>
  <c r="E54" i="1"/>
  <c r="A54" i="1"/>
  <c r="AD53" i="1"/>
  <c r="AG53" i="1"/>
  <c r="AE53" i="1"/>
  <c r="AC53" i="1"/>
  <c r="AA53" i="1"/>
  <c r="W53" i="1"/>
  <c r="V53" i="1"/>
  <c r="Q53" i="1"/>
  <c r="P53" i="1"/>
  <c r="O53" i="1"/>
  <c r="N53" i="1"/>
  <c r="M53" i="1"/>
  <c r="D53" i="1"/>
  <c r="F53" i="1"/>
  <c r="E53" i="1"/>
  <c r="A53" i="1"/>
  <c r="AD52" i="1"/>
  <c r="AG52" i="1"/>
  <c r="AE52" i="1"/>
  <c r="AC52" i="1"/>
  <c r="AA52" i="1"/>
  <c r="W52" i="1"/>
  <c r="V52" i="1"/>
  <c r="Q52" i="1"/>
  <c r="P52" i="1"/>
  <c r="O52" i="1"/>
  <c r="N52" i="1"/>
  <c r="M52" i="1"/>
  <c r="D52" i="1"/>
  <c r="F52" i="1"/>
  <c r="E52" i="1"/>
  <c r="A52" i="1"/>
  <c r="AD51" i="1"/>
  <c r="AG51" i="1"/>
  <c r="AE51" i="1"/>
  <c r="AC51" i="1"/>
  <c r="AA51" i="1"/>
  <c r="W51" i="1"/>
  <c r="V51" i="1"/>
  <c r="Q51" i="1"/>
  <c r="P51" i="1"/>
  <c r="O51" i="1"/>
  <c r="N51" i="1"/>
  <c r="M51" i="1"/>
  <c r="D51" i="1"/>
  <c r="F51" i="1"/>
  <c r="E51" i="1"/>
  <c r="A51" i="1"/>
  <c r="AD50" i="1"/>
  <c r="AG50" i="1"/>
  <c r="AE50" i="1"/>
  <c r="AC50" i="1"/>
  <c r="AA50" i="1"/>
  <c r="W50" i="1"/>
  <c r="V50" i="1"/>
  <c r="Q50" i="1"/>
  <c r="P50" i="1"/>
  <c r="O50" i="1"/>
  <c r="N50" i="1"/>
  <c r="M50" i="1"/>
  <c r="D50" i="1"/>
  <c r="F50" i="1"/>
  <c r="E50" i="1"/>
  <c r="A50" i="1"/>
  <c r="AD49" i="1"/>
  <c r="AG49" i="1"/>
  <c r="AE49" i="1"/>
  <c r="AC49" i="1"/>
  <c r="AA49" i="1"/>
  <c r="W49" i="1"/>
  <c r="V49" i="1"/>
  <c r="Q49" i="1"/>
  <c r="P49" i="1"/>
  <c r="O49" i="1"/>
  <c r="N49" i="1"/>
  <c r="M49" i="1"/>
  <c r="D49" i="1"/>
  <c r="F49" i="1"/>
  <c r="E49" i="1"/>
  <c r="A49" i="1"/>
  <c r="AD48" i="1"/>
  <c r="AG48" i="1"/>
  <c r="AE48" i="1"/>
  <c r="AC48" i="1"/>
  <c r="AA48" i="1"/>
  <c r="W48" i="1"/>
  <c r="V48" i="1"/>
  <c r="Q48" i="1"/>
  <c r="P48" i="1"/>
  <c r="O48" i="1"/>
  <c r="N48" i="1"/>
  <c r="M48" i="1"/>
  <c r="D48" i="1"/>
  <c r="F48" i="1"/>
  <c r="E48" i="1"/>
  <c r="A48" i="1"/>
  <c r="AD47" i="1"/>
  <c r="AG47" i="1"/>
  <c r="AE47" i="1"/>
  <c r="AC47" i="1"/>
  <c r="AA47" i="1"/>
  <c r="W47" i="1"/>
  <c r="V47" i="1"/>
  <c r="Q47" i="1"/>
  <c r="P47" i="1"/>
  <c r="O47" i="1"/>
  <c r="N47" i="1"/>
  <c r="M47" i="1"/>
  <c r="D47" i="1"/>
  <c r="F47" i="1"/>
  <c r="E47" i="1"/>
  <c r="A47" i="1"/>
  <c r="AD46" i="1"/>
  <c r="AG46" i="1"/>
  <c r="AE46" i="1"/>
  <c r="AC46" i="1"/>
  <c r="AA46" i="1"/>
  <c r="W46" i="1"/>
  <c r="V46" i="1"/>
  <c r="Q46" i="1"/>
  <c r="P46" i="1"/>
  <c r="O46" i="1"/>
  <c r="N46" i="1"/>
  <c r="M46" i="1"/>
  <c r="D46" i="1"/>
  <c r="F46" i="1"/>
  <c r="E46" i="1"/>
  <c r="A46" i="1"/>
  <c r="AD45" i="1"/>
  <c r="AG45" i="1"/>
  <c r="AE45" i="1"/>
  <c r="AC45" i="1"/>
  <c r="AA45" i="1"/>
  <c r="W45" i="1"/>
  <c r="V45" i="1"/>
  <c r="Q45" i="1"/>
  <c r="P45" i="1"/>
  <c r="O45" i="1"/>
  <c r="N45" i="1"/>
  <c r="M45" i="1"/>
  <c r="D45" i="1"/>
  <c r="F45" i="1"/>
  <c r="E45" i="1"/>
  <c r="A45" i="1"/>
  <c r="AD44" i="1"/>
  <c r="AG44" i="1"/>
  <c r="AE44" i="1"/>
  <c r="AC44" i="1"/>
  <c r="AA44" i="1"/>
  <c r="W44" i="1"/>
  <c r="V44" i="1"/>
  <c r="Q44" i="1"/>
  <c r="P44" i="1"/>
  <c r="O44" i="1"/>
  <c r="N44" i="1"/>
  <c r="M44" i="1"/>
  <c r="D44" i="1"/>
  <c r="F44" i="1"/>
  <c r="E44" i="1"/>
  <c r="A44" i="1"/>
  <c r="AD43" i="1"/>
  <c r="AG43" i="1"/>
  <c r="AE43" i="1"/>
  <c r="AC43" i="1"/>
  <c r="AA43" i="1"/>
  <c r="W43" i="1"/>
  <c r="V43" i="1"/>
  <c r="Q43" i="1"/>
  <c r="P43" i="1"/>
  <c r="O43" i="1"/>
  <c r="N43" i="1"/>
  <c r="M43" i="1"/>
  <c r="D43" i="1"/>
  <c r="F43" i="1"/>
  <c r="E43" i="1"/>
  <c r="A43" i="1"/>
  <c r="AD42" i="1"/>
  <c r="AG42" i="1"/>
  <c r="AE42" i="1"/>
  <c r="AC42" i="1"/>
  <c r="AA42" i="1"/>
  <c r="W42" i="1"/>
  <c r="V42" i="1"/>
  <c r="Q42" i="1"/>
  <c r="P42" i="1"/>
  <c r="O42" i="1"/>
  <c r="N42" i="1"/>
  <c r="M42" i="1"/>
  <c r="D42" i="1"/>
  <c r="F42" i="1"/>
  <c r="E42" i="1"/>
  <c r="A42" i="1"/>
  <c r="AD41" i="1"/>
  <c r="AG41" i="1"/>
  <c r="AE41" i="1"/>
  <c r="AC41" i="1"/>
  <c r="AA41" i="1"/>
  <c r="W41" i="1"/>
  <c r="V41" i="1"/>
  <c r="Q41" i="1"/>
  <c r="P41" i="1"/>
  <c r="O41" i="1"/>
  <c r="N41" i="1"/>
  <c r="M41" i="1"/>
  <c r="D41" i="1"/>
  <c r="F41" i="1"/>
  <c r="E41" i="1"/>
  <c r="A41" i="1"/>
  <c r="AD40" i="1"/>
  <c r="AG40" i="1"/>
  <c r="AE40" i="1"/>
  <c r="AC40" i="1"/>
  <c r="AA40" i="1"/>
  <c r="W40" i="1"/>
  <c r="V40" i="1"/>
  <c r="Q40" i="1"/>
  <c r="P40" i="1"/>
  <c r="O40" i="1"/>
  <c r="N40" i="1"/>
  <c r="M40" i="1"/>
  <c r="D40" i="1"/>
  <c r="F40" i="1"/>
  <c r="E40" i="1"/>
  <c r="A40" i="1"/>
  <c r="AD39" i="1"/>
  <c r="AG39" i="1"/>
  <c r="AE39" i="1"/>
  <c r="AC39" i="1"/>
  <c r="AA39" i="1"/>
  <c r="W39" i="1"/>
  <c r="V39" i="1"/>
  <c r="Q39" i="1"/>
  <c r="P39" i="1"/>
  <c r="O39" i="1"/>
  <c r="N39" i="1"/>
  <c r="M39" i="1"/>
  <c r="D39" i="1"/>
  <c r="F39" i="1"/>
  <c r="E39" i="1"/>
  <c r="A39" i="1"/>
  <c r="AD38" i="1"/>
  <c r="AG38" i="1"/>
  <c r="AE38" i="1"/>
  <c r="AC38" i="1"/>
  <c r="AA38" i="1"/>
  <c r="W38" i="1"/>
  <c r="V38" i="1"/>
  <c r="Q38" i="1"/>
  <c r="P38" i="1"/>
  <c r="O38" i="1"/>
  <c r="N38" i="1"/>
  <c r="M38" i="1"/>
  <c r="D38" i="1"/>
  <c r="F38" i="1"/>
  <c r="E38" i="1"/>
  <c r="A38" i="1"/>
  <c r="AD37" i="1"/>
  <c r="AG37" i="1"/>
  <c r="AE37" i="1"/>
  <c r="AC37" i="1"/>
  <c r="AA37" i="1"/>
  <c r="W37" i="1"/>
  <c r="V37" i="1"/>
  <c r="Q37" i="1"/>
  <c r="P37" i="1"/>
  <c r="O37" i="1"/>
  <c r="N37" i="1"/>
  <c r="M37" i="1"/>
  <c r="D37" i="1"/>
  <c r="F37" i="1"/>
  <c r="E37" i="1"/>
  <c r="A37" i="1"/>
  <c r="AD36" i="1"/>
  <c r="AG36" i="1"/>
  <c r="AE36" i="1"/>
  <c r="AC36" i="1"/>
  <c r="AA36" i="1"/>
  <c r="W36" i="1"/>
  <c r="V36" i="1"/>
  <c r="Q36" i="1"/>
  <c r="P36" i="1"/>
  <c r="O36" i="1"/>
  <c r="N36" i="1"/>
  <c r="M36" i="1"/>
  <c r="D36" i="1"/>
  <c r="F36" i="1"/>
  <c r="E36" i="1"/>
  <c r="A36" i="1"/>
  <c r="AD35" i="1"/>
  <c r="AG35" i="1"/>
  <c r="AE35" i="1"/>
  <c r="AC35" i="1"/>
  <c r="AA35" i="1"/>
  <c r="W35" i="1"/>
  <c r="V35" i="1"/>
  <c r="Q35" i="1"/>
  <c r="P35" i="1"/>
  <c r="O35" i="1"/>
  <c r="N35" i="1"/>
  <c r="M35" i="1"/>
  <c r="D35" i="1"/>
  <c r="F35" i="1"/>
  <c r="E35" i="1"/>
  <c r="A35" i="1"/>
  <c r="AD34" i="1"/>
  <c r="AG34" i="1"/>
  <c r="AE34" i="1"/>
  <c r="AC34" i="1"/>
  <c r="AA34" i="1"/>
  <c r="W34" i="1"/>
  <c r="V34" i="1"/>
  <c r="Q34" i="1"/>
  <c r="P34" i="1"/>
  <c r="O34" i="1"/>
  <c r="N34" i="1"/>
  <c r="M34" i="1"/>
  <c r="D34" i="1"/>
  <c r="F34" i="1"/>
  <c r="E34" i="1"/>
  <c r="A34" i="1"/>
  <c r="AD33" i="1"/>
  <c r="AG33" i="1"/>
  <c r="AE33" i="1"/>
  <c r="AC33" i="1"/>
  <c r="AA33" i="1"/>
  <c r="W33" i="1"/>
  <c r="V33" i="1"/>
  <c r="Q33" i="1"/>
  <c r="P33" i="1"/>
  <c r="O33" i="1"/>
  <c r="N33" i="1"/>
  <c r="M33" i="1"/>
  <c r="D33" i="1"/>
  <c r="F33" i="1"/>
  <c r="E33" i="1"/>
  <c r="A33" i="1"/>
  <c r="AD32" i="1"/>
  <c r="AG32" i="1"/>
  <c r="AE32" i="1"/>
  <c r="AC32" i="1"/>
  <c r="AA32" i="1"/>
  <c r="W32" i="1"/>
  <c r="V32" i="1"/>
  <c r="Q32" i="1"/>
  <c r="P32" i="1"/>
  <c r="O32" i="1"/>
  <c r="N32" i="1"/>
  <c r="M32" i="1"/>
  <c r="D32" i="1"/>
  <c r="F32" i="1"/>
  <c r="E32" i="1"/>
  <c r="A32" i="1"/>
  <c r="AD31" i="1"/>
  <c r="AG31" i="1"/>
  <c r="AE31" i="1"/>
  <c r="AC31" i="1"/>
  <c r="AA31" i="1"/>
  <c r="W31" i="1"/>
  <c r="V31" i="1"/>
  <c r="Q31" i="1"/>
  <c r="P31" i="1"/>
  <c r="O31" i="1"/>
  <c r="N31" i="1"/>
  <c r="M31" i="1"/>
  <c r="D31" i="1"/>
  <c r="F31" i="1"/>
  <c r="E31" i="1"/>
  <c r="A31" i="1"/>
  <c r="AD30" i="1"/>
  <c r="AG30" i="1"/>
  <c r="AE30" i="1"/>
  <c r="AC30" i="1"/>
  <c r="AA30" i="1"/>
  <c r="W30" i="1"/>
  <c r="V30" i="1"/>
  <c r="Q30" i="1"/>
  <c r="P30" i="1"/>
  <c r="O30" i="1"/>
  <c r="N30" i="1"/>
  <c r="M30" i="1"/>
  <c r="D30" i="1"/>
  <c r="F30" i="1"/>
  <c r="E30" i="1"/>
  <c r="A30" i="1"/>
  <c r="AD29" i="1"/>
  <c r="AG29" i="1"/>
  <c r="AE29" i="1"/>
  <c r="AC29" i="1"/>
  <c r="AA29" i="1"/>
  <c r="W29" i="1"/>
  <c r="V29" i="1"/>
  <c r="Q29" i="1"/>
  <c r="P29" i="1"/>
  <c r="O29" i="1"/>
  <c r="N29" i="1"/>
  <c r="M29" i="1"/>
  <c r="D29" i="1"/>
  <c r="F29" i="1"/>
  <c r="E29" i="1"/>
  <c r="A29" i="1"/>
  <c r="AD28" i="1"/>
  <c r="AG28" i="1"/>
  <c r="AE28" i="1"/>
  <c r="AC28" i="1"/>
  <c r="AA28" i="1"/>
  <c r="W28" i="1"/>
  <c r="V28" i="1"/>
  <c r="Q28" i="1"/>
  <c r="P28" i="1"/>
  <c r="O28" i="1"/>
  <c r="N28" i="1"/>
  <c r="M28" i="1"/>
  <c r="D28" i="1"/>
  <c r="F28" i="1"/>
  <c r="E28" i="1"/>
  <c r="A28" i="1"/>
  <c r="AD27" i="1"/>
  <c r="AG27" i="1"/>
  <c r="AE27" i="1"/>
  <c r="AC27" i="1"/>
  <c r="AA27" i="1"/>
  <c r="W27" i="1"/>
  <c r="V27" i="1"/>
  <c r="Q27" i="1"/>
  <c r="P27" i="1"/>
  <c r="O27" i="1"/>
  <c r="N27" i="1"/>
  <c r="M27" i="1"/>
  <c r="D27" i="1"/>
  <c r="F27" i="1"/>
  <c r="E27" i="1"/>
  <c r="A27" i="1"/>
  <c r="AD26" i="1"/>
  <c r="AG26" i="1"/>
  <c r="AE26" i="1"/>
  <c r="AC26" i="1"/>
  <c r="AA26" i="1"/>
  <c r="W26" i="1"/>
  <c r="V26" i="1"/>
  <c r="Q26" i="1"/>
  <c r="P26" i="1"/>
  <c r="O26" i="1"/>
  <c r="N26" i="1"/>
  <c r="M26" i="1"/>
  <c r="D26" i="1"/>
  <c r="F26" i="1"/>
  <c r="E26" i="1"/>
  <c r="A26" i="1"/>
  <c r="C3" i="13"/>
  <c r="D3" i="13"/>
  <c r="AD24" i="1"/>
  <c r="AG24" i="1"/>
  <c r="AE24" i="1"/>
  <c r="AC24" i="1"/>
  <c r="AA24" i="1"/>
  <c r="W24" i="1"/>
  <c r="V24" i="1"/>
  <c r="Q24" i="1"/>
  <c r="P24" i="1"/>
  <c r="O24" i="1"/>
  <c r="N24" i="1"/>
  <c r="M24" i="1"/>
  <c r="J24" i="1"/>
  <c r="I24" i="1"/>
  <c r="D24" i="1"/>
  <c r="F24" i="1"/>
  <c r="E24" i="1"/>
  <c r="A24" i="1"/>
  <c r="C2" i="13"/>
  <c r="D2" i="13"/>
  <c r="C9" i="9"/>
  <c r="E9" i="9"/>
  <c r="C8" i="9"/>
  <c r="E8" i="9"/>
  <c r="C7" i="9"/>
  <c r="E7" i="9"/>
  <c r="C6" i="9"/>
  <c r="E6" i="9"/>
  <c r="C5" i="9"/>
  <c r="E5" i="9"/>
  <c r="C4" i="9"/>
  <c r="E4" i="9"/>
  <c r="C3" i="9"/>
  <c r="E3" i="9"/>
  <c r="E2" i="9"/>
  <c r="AE25" i="1"/>
  <c r="AD25" i="1"/>
  <c r="AC25" i="1"/>
  <c r="AE23" i="1"/>
  <c r="AD23" i="1"/>
  <c r="AC23" i="1"/>
  <c r="AE22" i="1"/>
  <c r="AD22" i="1"/>
  <c r="AC22" i="1"/>
  <c r="AE21" i="1"/>
  <c r="AD21" i="1"/>
  <c r="AC21" i="1"/>
  <c r="AE20" i="1"/>
  <c r="AD20" i="1"/>
  <c r="AC20" i="1"/>
  <c r="AE19" i="1"/>
  <c r="AD19" i="1"/>
  <c r="AC19" i="1"/>
  <c r="AE18" i="1"/>
  <c r="AD18" i="1"/>
  <c r="AC18" i="1"/>
  <c r="AE17" i="1"/>
  <c r="AD17" i="1"/>
  <c r="AC17" i="1"/>
  <c r="AE16" i="1"/>
  <c r="AD16" i="1"/>
  <c r="AC16" i="1"/>
  <c r="AE15" i="1"/>
  <c r="AD15" i="1"/>
  <c r="AC15" i="1"/>
  <c r="AE14" i="1"/>
  <c r="AD14" i="1"/>
  <c r="AC14" i="1"/>
  <c r="AE13" i="1"/>
  <c r="AD13" i="1"/>
  <c r="AC13" i="1"/>
  <c r="AE12" i="1"/>
  <c r="AD12" i="1"/>
  <c r="AC12" i="1"/>
  <c r="AE11" i="1"/>
  <c r="AD11" i="1"/>
  <c r="AC11" i="1"/>
  <c r="AE10" i="1"/>
  <c r="AD10" i="1"/>
  <c r="AC10" i="1"/>
  <c r="AE9" i="1"/>
  <c r="AD9" i="1"/>
  <c r="AC9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AA25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W25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O25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Q25" i="1"/>
  <c r="P25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Q2" i="1"/>
  <c r="P2" i="1"/>
  <c r="N25" i="1"/>
  <c r="M25" i="1"/>
  <c r="N23" i="1"/>
  <c r="M23" i="1"/>
  <c r="N22" i="1"/>
  <c r="M22" i="1"/>
  <c r="N21" i="1"/>
  <c r="M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N2" i="1"/>
  <c r="M2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5" i="1"/>
  <c r="AG25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J25" i="1"/>
  <c r="I25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  <c r="J2" i="1"/>
  <c r="I2" i="1"/>
  <c r="V25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D25" i="1"/>
  <c r="F25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H6" i="2"/>
  <c r="H5" i="2"/>
  <c r="H4" i="2"/>
  <c r="H3" i="2"/>
  <c r="H2" i="2"/>
  <c r="E22" i="1"/>
  <c r="E21" i="1"/>
  <c r="E23" i="1"/>
  <c r="E20" i="1"/>
  <c r="E19" i="1"/>
  <c r="E16" i="1"/>
  <c r="E15" i="1"/>
  <c r="E14" i="1"/>
  <c r="E11" i="1"/>
  <c r="E10" i="1"/>
  <c r="E9" i="1"/>
  <c r="E4" i="1"/>
  <c r="E5" i="1"/>
  <c r="E6" i="1"/>
  <c r="E25" i="1"/>
  <c r="E18" i="1"/>
  <c r="E17" i="1"/>
  <c r="E13" i="1"/>
  <c r="E12" i="1"/>
  <c r="E8" i="1"/>
  <c r="E7" i="1"/>
  <c r="E3" i="1"/>
  <c r="E2" i="1"/>
  <c r="E6" i="2"/>
  <c r="D6" i="2"/>
  <c r="B6" i="2"/>
  <c r="E5" i="2"/>
  <c r="D5" i="2"/>
  <c r="B5" i="2"/>
  <c r="E4" i="2"/>
  <c r="D4" i="2"/>
  <c r="B4" i="2"/>
  <c r="E3" i="2"/>
  <c r="D3" i="2"/>
  <c r="B3" i="2"/>
  <c r="E2" i="2"/>
  <c r="D2" i="2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<sst xmlns="http://schemas.openxmlformats.org/spreadsheetml/2006/main" count="1676" uniqueCount="417">
  <si>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</si>
  <si>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</si>
  <si>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</si>
  <si>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</si>
  <si>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</si>
  <si>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</si>
  <si>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</si>
  <si>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</si>
  <si>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</si>
  <si>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</si>
  <si>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</si>
  <si>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</si>
  <si>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</si>
  <si>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</si>
  <si>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</si>
  <si>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</si>
  <si>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</si>
  <si>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</si>
  <si>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</si>
  <si>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</si>
  <si>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</si>
  <si>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</si>
  <si>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</si>
  <si>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</si>
  <si>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</si>
  <si>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</si>
  <si>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</si>
  <si>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</si>
  <si>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</si>
  <si>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</si>
  <si>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</si>
  <si>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</si>
  <si>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</si>
  <si>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</si>
  <si>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</si>
  <si>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</si>
  <si>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</si>
  <si>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</si>
  <si>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</si>
  <si>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</si>
  <si>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</si>
  <si>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</si>
  <si>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</si>
  <si>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</si>
  <si>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</si>
  <si>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</si>
  <si>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</si>
  <si>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incidence</t>
    <phoneticPr fontId="5"/>
  </si>
  <si>
    <t>hp_coefficient</t>
    <phoneticPr fontId="5"/>
  </si>
  <si>
    <t>attack_coefficient</t>
    <phoneticPr fontId="5"/>
  </si>
  <si>
    <t>defense_correction</t>
    <phoneticPr fontId="5"/>
  </si>
  <si>
    <t>hp_coefficient</t>
  </si>
  <si>
    <t>attack_coefficient</t>
  </si>
  <si>
    <t>defense_correction</t>
  </si>
  <si>
    <t>出力flg</t>
    <rPh sb="0" eb="2">
      <t>シュツリョク</t>
    </rPh>
    <phoneticPr fontId="5"/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</si>
  <si>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</si>
  <si>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</si>
  <si>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</si>
  <si>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</si>
  <si>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</si>
  <si>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</si>
  <si>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</si>
  <si>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</si>
  <si>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</si>
  <si>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</si>
  <si>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.tmp</t>
    <phoneticPr fontId="5"/>
  </si>
  <si>
    <t>enemy_habitats</t>
    <phoneticPr fontId="5"/>
  </si>
  <si>
    <t>seq_no</t>
    <phoneticPr fontId="5"/>
  </si>
  <si>
    <t>skill_level</t>
    <phoneticPr fontId="5"/>
  </si>
  <si>
    <t>enemy_habitat_S_</t>
    <phoneticPr fontId="5"/>
  </si>
  <si>
    <t>enemy_habitat_S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</si>
  <si>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</si>
  <si>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</si>
  <si>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</si>
  <si>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</si>
  <si>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</si>
  <si>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</si>
  <si>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hp_coefficient</t>
    <phoneticPr fontId="5"/>
  </si>
  <si>
    <t>attack_coefficient</t>
    <phoneticPr fontId="5"/>
  </si>
  <si>
    <t>defense_correction</t>
    <phoneticPr fontId="5"/>
  </si>
  <si>
    <t>enemy_skill_sets_</t>
    <phoneticPr fontId="5"/>
  </si>
  <si>
    <t>enemy_skill_sets</t>
    <phoneticPr fontId="5"/>
  </si>
  <si>
    <t>skill_id</t>
  </si>
  <si>
    <t>skill_trigger_id</t>
  </si>
  <si>
    <t>enemy_skills_tmp_</t>
    <phoneticPr fontId="5"/>
  </si>
  <si>
    <t>enemy_skills</t>
    <phoneticPr fontId="5"/>
  </si>
  <si>
    <t>enemy_skill_id</t>
  </si>
  <si>
    <t>effect_param</t>
    <phoneticPr fontId="5"/>
  </si>
  <si>
    <t>valid_flg</t>
  </si>
  <si>
    <t>enemy_skills_i18n_</t>
    <phoneticPr fontId="5"/>
  </si>
  <si>
    <t>language</t>
  </si>
  <si>
    <t>name</t>
  </si>
  <si>
    <t>comment</t>
  </si>
  <si>
    <t>enemy_skill_triggers_</t>
    <phoneticPr fontId="5"/>
  </si>
  <si>
    <t>enemy_skill_triggers</t>
    <phoneticPr fontId="5"/>
  </si>
  <si>
    <t>first_time</t>
  </si>
  <si>
    <t>invoke_rate</t>
  </si>
  <si>
    <t>hp_threshold</t>
  </si>
  <si>
    <t>hp_termination</t>
    <phoneticPr fontId="5"/>
  </si>
  <si>
    <t>invoke_times</t>
  </si>
  <si>
    <t>invoke_weight</t>
    <phoneticPr fontId="5"/>
  </si>
  <si>
    <t>every_time_count</t>
    <phoneticPr fontId="5"/>
  </si>
  <si>
    <t>neighbor_dead_id</t>
    <phoneticPr fontId="5"/>
  </si>
  <si>
    <t>priority</t>
    <phoneticPr fontId="5"/>
  </si>
  <si>
    <t>stage_bug_bonuses_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</si>
  <si>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</si>
  <si>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</si>
  <si>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quest_id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</si>
  <si>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</si>
  <si>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</si>
  <si>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</si>
  <si>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</si>
  <si>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</si>
  <si>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</si>
  <si>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</si>
  <si>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</si>
  <si>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</si>
  <si>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</si>
  <si>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</si>
  <si>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</si>
  <si>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</si>
  <si>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</si>
  <si>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</si>
  <si>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</si>
  <si>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</si>
  <si>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</si>
  <si>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</si>
  <si>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</si>
  <si>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</si>
  <si>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</si>
  <si>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</si>
  <si>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</si>
  <si>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</si>
  <si>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hp_threshold</t>
    <phoneticPr fontId="5"/>
  </si>
  <si>
    <t>invoke_times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</si>
  <si>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</si>
  <si>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</si>
  <si>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</si>
  <si>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effect_param</t>
    <phoneticPr fontId="5"/>
  </si>
  <si>
    <t>language</t>
    <phoneticPr fontId="5"/>
  </si>
  <si>
    <t>name</t>
    <phoneticPr fontId="7"/>
  </si>
  <si>
    <t>効果１文字列</t>
    <rPh sb="0" eb="2">
      <t>コウカ</t>
    </rPh>
    <rPh sb="3" eb="6">
      <t>モジレツ</t>
    </rPh>
    <phoneticPr fontId="5"/>
  </si>
  <si>
    <t>効果１efect位置</t>
    <rPh sb="0" eb="2">
      <t>コウカ</t>
    </rPh>
    <rPh sb="8" eb="10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</si>
  <si>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</si>
  <si>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</si>
  <si>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</si>
  <si>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効果１簡易デコード</t>
    <rPh sb="0" eb="2">
      <t>コウカ</t>
    </rPh>
    <rPh sb="3" eb="5">
      <t>カンイ</t>
    </rPh>
    <phoneticPr fontId="5"/>
  </si>
  <si>
    <t>中間文字列１</t>
    <rPh sb="0" eb="2">
      <t>チュウカン</t>
    </rPh>
    <rPh sb="2" eb="5">
      <t>モジレツ</t>
    </rPh>
    <phoneticPr fontId="5"/>
  </si>
  <si>
    <t>効果２文字列</t>
    <rPh sb="0" eb="2">
      <t>コウカ</t>
    </rPh>
    <rPh sb="3" eb="6">
      <t>モジレツ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</si>
  <si>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</si>
  <si>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</si>
  <si>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</si>
  <si>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</si>
  <si>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</si>
  <si>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</si>
  <si>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</si>
  <si>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</si>
  <si>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</si>
  <si>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</si>
  <si>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効果３簡易デコード</t>
    <rPh sb="0" eb="2">
      <t>コウカ</t>
    </rPh>
    <rPh sb="3" eb="5">
      <t>カンイ</t>
    </rPh>
    <phoneticPr fontId="5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</si>
  <si>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</si>
  <si>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</si>
  <si>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</si>
  <si>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</si>
  <si>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</si>
  <si>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</si>
  <si>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</si>
  <si>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</si>
  <si>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</si>
  <si>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</si>
  <si>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</si>
  <si>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重複チェック</t>
    <rPh sb="0" eb="2">
      <t>チョウフク</t>
    </rPh>
    <phoneticPr fontId="5"/>
  </si>
  <si>
    <t>null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</si>
  <si>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</si>
  <si>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</si>
  <si>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</si>
  <si>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</si>
  <si>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</si>
  <si>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</si>
  <si>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</si>
  <si>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</si>
  <si>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</si>
  <si>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</si>
  <si>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</si>
  <si>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</si>
  <si>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</si>
  <si>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</si>
  <si>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</si>
  <si>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</si>
  <si>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</si>
  <si>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</si>
  <si>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</si>
  <si>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</si>
  <si>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t>temp_habitats</t>
    <phoneticPr fontId="5"/>
  </si>
  <si>
    <t>temp_stage</t>
    <phoneticPr fontId="5"/>
  </si>
  <si>
    <t>name</t>
    <phoneticPr fontId="5"/>
  </si>
  <si>
    <t>floor_id</t>
    <phoneticPr fontId="5"/>
  </si>
  <si>
    <t>temp_floor</t>
    <phoneticPr fontId="5"/>
  </si>
  <si>
    <t>seq_no</t>
    <phoneticPr fontId="5"/>
  </si>
  <si>
    <t>state_no</t>
    <phoneticPr fontId="5"/>
  </si>
  <si>
    <t>color</t>
    <phoneticPr fontId="5"/>
  </si>
  <si>
    <t>drop_label</t>
    <phoneticPr fontId="5"/>
  </si>
  <si>
    <t>character_main_tribe_id</t>
    <phoneticPr fontId="5"/>
  </si>
  <si>
    <t>size</t>
    <phoneticPr fontId="5"/>
  </si>
  <si>
    <t>hp_coefficient</t>
    <phoneticPr fontId="5"/>
  </si>
  <si>
    <t>attack_coefficient</t>
    <phoneticPr fontId="5"/>
  </si>
  <si>
    <t>defense_correction</t>
    <phoneticPr fontId="5"/>
  </si>
  <si>
    <t>スキル</t>
    <phoneticPr fontId="5"/>
  </si>
  <si>
    <t>skill_level</t>
    <phoneticPr fontId="5"/>
  </si>
  <si>
    <t>null</t>
    <phoneticPr fontId="5"/>
  </si>
  <si>
    <t>seq_no</t>
    <phoneticPr fontId="5"/>
  </si>
  <si>
    <t>skip</t>
    <phoneticPr fontId="5"/>
  </si>
  <si>
    <t>week_hump</t>
    <phoneticPr fontId="5"/>
  </si>
  <si>
    <t>old</t>
    <phoneticPr fontId="5"/>
  </si>
  <si>
    <t>bit</t>
    <phoneticPr fontId="5"/>
  </si>
  <si>
    <t>unit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</si>
  <si>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</si>
  <si>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</si>
  <si>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</si>
  <si>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</si>
  <si>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</si>
  <si>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hint_type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</si>
  <si>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</si>
  <si>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</si>
  <si>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</si>
  <si>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</si>
  <si>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language</t>
    <phoneticPr fontId="5"/>
  </si>
  <si>
    <t>title</t>
    <phoneticPr fontId="5"/>
  </si>
  <si>
    <t>hint</t>
    <phoneticPr fontId="5"/>
  </si>
  <si>
    <t>filename</t>
    <phoneticPr fontId="5"/>
  </si>
  <si>
    <t>hint_tmp_id</t>
  </si>
  <si>
    <t>complete</t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</si>
  <si>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</si>
  <si>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</si>
  <si>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</si>
  <si>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</si>
  <si>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</si>
  <si>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</si>
  <si>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</si>
  <si>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</si>
  <si>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</si>
  <si>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</si>
  <si>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</si>
  <si>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</si>
  <si>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</si>
  <si>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</si>
  <si>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</si>
  <si>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</si>
  <si>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</si>
  <si>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</si>
  <si>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</si>
  <si>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</si>
  <si>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</si>
  <si>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</si>
  <si>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</si>
  <si>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</si>
  <si>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</si>
  <si>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</si>
  <si>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</si>
  <si>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</si>
  <si>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</si>
  <si>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</si>
  <si>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</si>
  <si>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</si>
  <si>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</si>
  <si>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</si>
  <si>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</si>
  <si>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</si>
  <si>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</si>
  <si>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</si>
  <si>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</si>
  <si>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</si>
  <si>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</si>
  <si>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</si>
  <si>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</si>
  <si>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</si>
  <si>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</si>
  <si>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</si>
  <si>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</si>
  <si>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</si>
  <si>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</si>
  <si>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</si>
  <si>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</si>
  <si>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</si>
  <si>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</si>
  <si>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</si>
  <si>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</si>
  <si>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</si>
  <si>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</si>
  <si>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</si>
  <si>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</si>
  <si>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</si>
  <si>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</si>
  <si>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</si>
  <si>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</si>
  <si>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</si>
  <si>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</si>
  <si>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</si>
  <si>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</si>
  <si>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</si>
  <si>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</si>
  <si>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</si>
  <si>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</si>
  <si>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</si>
  <si>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</si>
  <si>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</si>
  <si>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</si>
  <si>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</si>
  <si>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</si>
  <si>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</si>
  <si>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</si>
  <si>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</si>
  <si>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</si>
  <si>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</si>
  <si>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</si>
  <si>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</si>
  <si>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</si>
  <si>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</si>
  <si>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</si>
  <si>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</si>
  <si>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</si>
  <si>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</si>
  <si>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</si>
  <si>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</si>
  <si>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</si>
  <si>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</si>
  <si>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</si>
  <si>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</si>
  <si>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</si>
  <si>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</si>
  <si>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</si>
  <si>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</si>
  <si>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</si>
  <si>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</si>
  <si>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</si>
  <si>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</si>
  <si>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</si>
  <si>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</si>
  <si>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</si>
  <si>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</si>
  <si>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</si>
  <si>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</si>
  <si>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</si>
  <si>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</si>
  <si>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</si>
  <si>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</si>
  <si>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</si>
  <si>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</si>
  <si>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</si>
  <si>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</si>
  <si>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</si>
  <si>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</si>
  <si>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</si>
  <si>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</si>
  <si>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</si>
  <si>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</si>
  <si>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</si>
  <si>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</si>
  <si>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</si>
  <si>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</si>
  <si>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</si>
  <si>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</si>
  <si>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</si>
  <si>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</si>
  <si>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</si>
  <si>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</si>
  <si>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</si>
  <si>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</si>
  <si>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</si>
  <si>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</si>
  <si>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</si>
  <si>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</si>
  <si>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</si>
  <si>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</si>
  <si>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</si>
  <si>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</si>
  <si>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</si>
  <si>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</si>
  <si>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</si>
  <si>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</si>
  <si>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</si>
  <si>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</si>
  <si>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</si>
  <si>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</si>
  <si>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</si>
  <si>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</si>
  <si>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</si>
  <si>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</si>
  <si>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</si>
  <si>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</si>
  <si>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</si>
  <si>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</si>
  <si>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</si>
  <si>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</si>
  <si>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</si>
  <si>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</si>
  <si>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</si>
  <si>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</si>
  <si>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</si>
  <si>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</si>
  <si>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</si>
  <si>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</si>
  <si>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</si>
  <si>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</si>
  <si>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</si>
  <si>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</si>
  <si>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</si>
  <si>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</si>
  <si>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</si>
  <si>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</si>
  <si>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</si>
  <si>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old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</si>
  <si>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</si>
  <si>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</si>
  <si>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stage_hints</t>
  </si>
  <si>
    <t>hint_id</t>
    <phoneticPr fontId="5"/>
  </si>
  <si>
    <t>hint_type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</si>
</sst>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_);[Red]\(0\)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52"/>
      <name val="lr oSVbN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sz val="12"/>
      <color indexed="17"/>
      <name val="lr oSVbN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55"/>
        <bgColor indexed="23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5"/>
        <bgColor indexed="29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88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7" fillId="0" borderId="0">
      <alignment vertical="center"/>
    </xf>
    <xf numFmtId="0" fontId="2" fillId="0" borderId="0"/>
    <xf numFmtId="0" fontId="2" fillId="0" borderId="0"/>
    <xf numFmtId="0" fontId="19" fillId="0" borderId="0"/>
    <xf numFmtId="38" fontId="20" fillId="0" borderId="0" applyFill="0" applyBorder="0" applyAlignment="0" applyProtection="0"/>
    <xf numFmtId="0" fontId="21" fillId="11" borderId="0" applyNumberFormat="0" applyBorder="0" applyAlignment="0" applyProtection="0"/>
    <xf numFmtId="0" fontId="22" fillId="12" borderId="0" applyNumberFormat="0" applyBorder="0" applyAlignment="0" applyProtection="0"/>
    <xf numFmtId="0" fontId="23" fillId="0" borderId="0"/>
    <xf numFmtId="0" fontId="15" fillId="0" borderId="0">
      <alignment vertical="center"/>
    </xf>
    <xf numFmtId="0" fontId="24" fillId="13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19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19" borderId="0" applyNumberFormat="0" applyBorder="0" applyAlignment="0" applyProtection="0"/>
    <xf numFmtId="0" fontId="32" fillId="24" borderId="0" applyNumberFormat="0" applyBorder="0" applyAlignment="0" applyProtection="0"/>
    <xf numFmtId="0" fontId="32" fillId="21" borderId="0" applyNumberFormat="0" applyBorder="0" applyAlignment="0" applyProtection="0"/>
    <xf numFmtId="0" fontId="32" fillId="19" borderId="0" applyNumberFormat="0" applyBorder="0" applyAlignment="0" applyProtection="0"/>
    <xf numFmtId="0" fontId="32" fillId="25" borderId="0" applyNumberFormat="0" applyBorder="0" applyAlignment="0" applyProtection="0"/>
    <xf numFmtId="0" fontId="32" fillId="20" borderId="0" applyNumberFormat="0" applyBorder="0" applyAlignment="0" applyProtection="0"/>
    <xf numFmtId="0" fontId="33" fillId="26" borderId="0" applyNumberFormat="0" applyBorder="0" applyAlignment="0" applyProtection="0"/>
    <xf numFmtId="0" fontId="33" fillId="24" borderId="0" applyNumberFormat="0" applyBorder="0" applyAlignment="0" applyProtection="0"/>
    <xf numFmtId="0" fontId="33" fillId="21" borderId="0" applyNumberFormat="0" applyBorder="0" applyAlignment="0" applyProtection="0"/>
    <xf numFmtId="0" fontId="33" fillId="19" borderId="0" applyNumberFormat="0" applyBorder="0" applyAlignment="0" applyProtection="0"/>
    <xf numFmtId="0" fontId="33" fillId="26" borderId="0" applyNumberFormat="0" applyBorder="0" applyAlignment="0" applyProtection="0"/>
    <xf numFmtId="0" fontId="33" fillId="20" borderId="0" applyNumberFormat="0" applyBorder="0" applyAlignment="0" applyProtection="0"/>
    <xf numFmtId="0" fontId="34" fillId="0" borderId="0" applyNumberFormat="0" applyFill="0" applyBorder="0" applyAlignment="0" applyProtection="0"/>
    <xf numFmtId="0" fontId="35" fillId="27" borderId="16" applyNumberFormat="0" applyAlignment="0" applyProtection="0"/>
    <xf numFmtId="0" fontId="33" fillId="26" borderId="0" applyNumberFormat="0" applyBorder="0" applyAlignment="0" applyProtection="0"/>
    <xf numFmtId="0" fontId="33" fillId="28" borderId="0" applyNumberFormat="0" applyBorder="0" applyAlignment="0" applyProtection="0"/>
    <xf numFmtId="0" fontId="33" fillId="21" borderId="0" applyNumberFormat="0" applyBorder="0" applyAlignment="0" applyProtection="0"/>
    <xf numFmtId="0" fontId="33" fillId="29" borderId="0" applyNumberFormat="0" applyBorder="0" applyAlignment="0" applyProtection="0"/>
    <xf numFmtId="0" fontId="33" fillId="26" borderId="0" applyNumberFormat="0" applyBorder="0" applyAlignment="0" applyProtection="0"/>
    <xf numFmtId="0" fontId="33" fillId="24" borderId="0" applyNumberFormat="0" applyBorder="0" applyAlignment="0" applyProtection="0"/>
    <xf numFmtId="0" fontId="36" fillId="23" borderId="17" applyNumberFormat="0" applyAlignment="0" applyProtection="0"/>
    <xf numFmtId="0" fontId="37" fillId="0" borderId="18" applyNumberFormat="0" applyFill="0" applyAlignment="0" applyProtection="0"/>
    <xf numFmtId="0" fontId="38" fillId="20" borderId="0" applyNumberFormat="0" applyBorder="0" applyAlignment="0" applyProtection="0"/>
    <xf numFmtId="0" fontId="39" fillId="30" borderId="0" applyNumberFormat="0" applyBorder="0" applyAlignment="0" applyProtection="0"/>
    <xf numFmtId="0" fontId="40" fillId="31" borderId="19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0" applyNumberFormat="0" applyFill="0" applyAlignment="0" applyProtection="0"/>
    <xf numFmtId="0" fontId="43" fillId="0" borderId="21" applyNumberFormat="0" applyFill="0" applyAlignment="0" applyProtection="0"/>
    <xf numFmtId="0" fontId="44" fillId="0" borderId="22" applyNumberFormat="0" applyFill="0" applyAlignment="0" applyProtection="0"/>
    <xf numFmtId="0" fontId="45" fillId="0" borderId="23" applyNumberFormat="0" applyFill="0" applyAlignment="0" applyProtection="0"/>
    <xf numFmtId="0" fontId="45" fillId="0" borderId="0" applyNumberFormat="0" applyFill="0" applyBorder="0" applyAlignment="0" applyProtection="0"/>
    <xf numFmtId="0" fontId="46" fillId="0" borderId="24" applyNumberFormat="0" applyFill="0" applyAlignment="0" applyProtection="0"/>
    <xf numFmtId="0" fontId="47" fillId="19" borderId="25" applyNumberFormat="0" applyAlignment="0" applyProtection="0"/>
    <xf numFmtId="0" fontId="47" fillId="31" borderId="25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19" borderId="19" applyNumberFormat="0" applyAlignment="0" applyProtection="0"/>
    <xf numFmtId="0" fontId="49" fillId="20" borderId="19" applyNumberFormat="0" applyAlignment="0" applyProtection="0"/>
    <xf numFmtId="0" fontId="38" fillId="20" borderId="0" applyNumberFormat="0" applyBorder="0" applyAlignment="0" applyProtection="0"/>
    <xf numFmtId="0" fontId="50" fillId="32" borderId="0" applyNumberFormat="0" applyBorder="0" applyAlignment="0" applyProtection="0"/>
    <xf numFmtId="0" fontId="1" fillId="0" borderId="0"/>
    <xf numFmtId="0" fontId="1" fillId="0" borderId="0"/>
  </cellStyleXfs>
  <cellXfs count="13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4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vertical="center"/>
    </xf>
    <xf numFmtId="0" fontId="4" fillId="3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176" fontId="8" fillId="0" borderId="4" xfId="0" applyNumberFormat="1" applyFont="1" applyBorder="1" applyAlignment="1">
      <alignment vertical="center"/>
    </xf>
    <xf numFmtId="0" fontId="4" fillId="3" borderId="7" xfId="0" applyFont="1" applyFill="1" applyBorder="1" applyAlignment="1">
      <alignment horizontal="left" vertical="center"/>
    </xf>
    <xf numFmtId="0" fontId="13" fillId="9" borderId="7" xfId="1680" applyFont="1" applyFill="1" applyBorder="1" applyAlignment="1"/>
    <xf numFmtId="0" fontId="13" fillId="9" borderId="7" xfId="0" applyFont="1" applyFill="1" applyBorder="1"/>
    <xf numFmtId="0" fontId="0" fillId="9" borderId="7" xfId="0" applyFill="1" applyBorder="1"/>
    <xf numFmtId="0" fontId="17" fillId="0" borderId="7" xfId="1680" applyBorder="1" applyAlignment="1"/>
    <xf numFmtId="0" fontId="0" fillId="0" borderId="7" xfId="0" applyBorder="1"/>
    <xf numFmtId="0" fontId="0" fillId="8" borderId="7" xfId="0" applyFill="1" applyBorder="1"/>
    <xf numFmtId="0" fontId="0" fillId="6" borderId="7" xfId="0" applyFill="1" applyBorder="1"/>
    <xf numFmtId="0" fontId="18" fillId="10" borderId="7" xfId="0" applyFont="1" applyFill="1" applyBorder="1"/>
    <xf numFmtId="0" fontId="0" fillId="0" borderId="7" xfId="1681" applyFont="1" applyBorder="1"/>
    <xf numFmtId="0" fontId="2" fillId="9" borderId="7" xfId="1681" applyFill="1" applyBorder="1"/>
    <xf numFmtId="0" fontId="16" fillId="6" borderId="7" xfId="1682" applyFont="1" applyFill="1" applyBorder="1" applyAlignment="1">
      <alignment horizontal="left"/>
    </xf>
    <xf numFmtId="0" fontId="0" fillId="6" borderId="7" xfId="1681" applyFont="1" applyFill="1" applyBorder="1"/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0" fontId="16" fillId="3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0" xfId="1682" applyFont="1" applyFill="1" applyAlignment="1">
      <alignment horizontal="center" vertical="center"/>
    </xf>
    <xf numFmtId="0" fontId="12" fillId="7" borderId="0" xfId="0" applyFont="1" applyFill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77" fontId="4" fillId="0" borderId="3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0" fillId="3" borderId="7" xfId="0" applyFill="1" applyBorder="1"/>
    <xf numFmtId="0" fontId="16" fillId="3" borderId="7" xfId="1682" applyFont="1" applyFill="1" applyBorder="1" applyAlignment="1">
      <alignment horizontal="left"/>
    </xf>
    <xf numFmtId="0" fontId="4" fillId="8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15" borderId="7" xfId="0" applyFont="1" applyFill="1" applyBorder="1" applyAlignment="1">
      <alignment vertical="center"/>
    </xf>
    <xf numFmtId="0" fontId="4" fillId="15" borderId="7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8" fillId="0" borderId="7" xfId="0" applyNumberFormat="1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14" borderId="7" xfId="0" applyFont="1" applyFill="1" applyBorder="1" applyAlignment="1">
      <alignment vertical="center"/>
    </xf>
    <xf numFmtId="0" fontId="4" fillId="14" borderId="7" xfId="0" applyFont="1" applyFill="1" applyBorder="1" applyAlignment="1">
      <alignment horizontal="center" vertical="center"/>
    </xf>
    <xf numFmtId="0" fontId="4" fillId="16" borderId="7" xfId="0" applyFont="1" applyFill="1" applyBorder="1" applyAlignment="1">
      <alignment vertical="center"/>
    </xf>
    <xf numFmtId="0" fontId="4" fillId="16" borderId="7" xfId="0" applyFont="1" applyFill="1" applyBorder="1" applyAlignment="1">
      <alignment horizontal="center" vertical="center"/>
    </xf>
    <xf numFmtId="0" fontId="12" fillId="7" borderId="11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4" fillId="0" borderId="1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vertical="center"/>
    </xf>
    <xf numFmtId="0" fontId="4" fillId="3" borderId="14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vertical="center"/>
    </xf>
    <xf numFmtId="0" fontId="12" fillId="0" borderId="7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176" fontId="8" fillId="0" borderId="4" xfId="0" applyNumberFormat="1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7" borderId="7" xfId="0" applyFont="1" applyFill="1" applyBorder="1" applyAlignment="1">
      <alignment horizontal="center"/>
    </xf>
    <xf numFmtId="0" fontId="16" fillId="18" borderId="7" xfId="0" applyFont="1" applyFill="1" applyBorder="1" applyAlignment="1">
      <alignment horizontal="center"/>
    </xf>
    <xf numFmtId="56" fontId="16" fillId="3" borderId="7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5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5" xfId="0" applyFont="1" applyFill="1" applyBorder="1" applyAlignment="1">
      <alignment vertical="center"/>
    </xf>
    <xf numFmtId="0" fontId="18" fillId="0" borderId="0" xfId="0" applyFont="1"/>
    <xf numFmtId="0" fontId="31" fillId="17" borderId="7" xfId="0" applyFont="1" applyFill="1" applyBorder="1"/>
    <xf numFmtId="38" fontId="16" fillId="17" borderId="7" xfId="1834" applyFont="1" applyFill="1" applyBorder="1" applyAlignment="1"/>
    <xf numFmtId="0" fontId="27" fillId="0" borderId="0" xfId="0" applyFont="1" applyFill="1"/>
    <xf numFmtId="0" fontId="0" fillId="3" borderId="0" xfId="0" applyFill="1"/>
    <xf numFmtId="0" fontId="1" fillId="0" borderId="7" xfId="1681" applyFont="1" applyBorder="1"/>
    <xf numFmtId="0" fontId="2" fillId="0" borderId="7" xfId="1681" applyBorder="1"/>
    <xf numFmtId="56" fontId="16" fillId="6" borderId="7" xfId="0" applyNumberFormat="1" applyFont="1" applyFill="1" applyBorder="1" applyAlignment="1">
      <alignment horizontal="center"/>
    </xf>
    <xf numFmtId="0" fontId="0" fillId="6" borderId="0" xfId="1681" applyFont="1" applyFill="1"/>
    <xf numFmtId="0" fontId="2" fillId="0" borderId="0" xfId="1681"/>
    <xf numFmtId="0" fontId="4" fillId="8" borderId="6" xfId="0" applyFont="1" applyFill="1" applyBorder="1" applyAlignment="1">
      <alignment vertical="center"/>
    </xf>
    <xf numFmtId="0" fontId="4" fillId="8" borderId="7" xfId="0" applyFont="1" applyFill="1" applyBorder="1" applyAlignment="1">
      <alignment vertical="center"/>
    </xf>
    <xf numFmtId="0" fontId="0" fillId="8" borderId="0" xfId="0" applyFill="1"/>
  </cellXfs>
  <cellStyles count="1884">
    <cellStyle name="20% - ANZg1" xfId="1835"/>
    <cellStyle name="20% - ANZg2" xfId="1836"/>
    <cellStyle name="20% - ANZg3" xfId="1837"/>
    <cellStyle name="20% - ANZg4" xfId="1838"/>
    <cellStyle name="20% - ANZg5" xfId="1839"/>
    <cellStyle name="20% - ANZg6" xfId="1840"/>
    <cellStyle name="40% - ANZg1" xfId="1841"/>
    <cellStyle name="40% - ANZg2" xfId="1842"/>
    <cellStyle name="40% - ANZg3" xfId="1843"/>
    <cellStyle name="40% - ANZg4" xfId="1844"/>
    <cellStyle name="40% - ANZg5" xfId="1845"/>
    <cellStyle name="40% - ANZg6" xfId="1846"/>
    <cellStyle name="60% - ANZg1" xfId="1847"/>
    <cellStyle name="60% - ANZg2" xfId="1848"/>
    <cellStyle name="60% - ANZg3" xfId="1849"/>
    <cellStyle name="60% - ANZg4" xfId="1850"/>
    <cellStyle name="60% - ANZg5" xfId="1851"/>
    <cellStyle name="60% - ANZg6" xfId="1852"/>
    <cellStyle name="Excel Built-in Normal" xfId="1683"/>
    <cellStyle name="^Cg" xfId="1853"/>
    <cellStyle name="`FbN Z" xfId="1854"/>
    <cellStyle name="ANZg 1" xfId="1855"/>
    <cellStyle name="ANZg 2" xfId="1856"/>
    <cellStyle name="ANZg 3" xfId="1857"/>
    <cellStyle name="ANZg 4" xfId="1858"/>
    <cellStyle name="ANZg 5" xfId="1859"/>
    <cellStyle name="ANZg 6" xfId="1860"/>
    <cellStyle name="" xfId="1861"/>
    <cellStyle name="N Z" xfId="1862"/>
    <cellStyle name="_" xfId="1863"/>
    <cellStyle name="«¢" xfId="1864"/>
    <cellStyle name="vZ" xfId="1865"/>
    <cellStyle name="x÷" xfId="1866"/>
    <cellStyle name="x¶" xfId="1867"/>
    <cellStyle name="ýo_ 1" xfId="1868"/>
    <cellStyle name="©oµ 1" xfId="1869"/>
    <cellStyle name="©oµ 2" xfId="1870"/>
    <cellStyle name="©oµ 3" xfId="1871"/>
    <cellStyle name="©oµ 4" xfId="1872"/>
    <cellStyle name="v" xfId="1873"/>
    <cellStyle name="o_" xfId="1874"/>
    <cellStyle name="oÍ" xfId="1875"/>
    <cellStyle name="__÷" xfId="1876"/>
    <cellStyle name="à¾¶" xfId="1877"/>
    <cellStyle name="__" xfId="1878"/>
    <cellStyle name="üÍ" xfId="1879"/>
    <cellStyle name="Ê" xfId="1880"/>
    <cellStyle name="Ç¢" xfId="1881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桁区切り 2" xfId="1684"/>
    <cellStyle name="桁区切り 2 2" xfId="1834"/>
    <cellStyle name="標準" xfId="0" builtinId="0"/>
    <cellStyle name="標準 2" xfId="1687"/>
    <cellStyle name="標準 2 2" xfId="1688"/>
    <cellStyle name="標準 3" xfId="1680"/>
    <cellStyle name="標準 4" xfId="11"/>
    <cellStyle name="標準 4 2" xfId="1682"/>
    <cellStyle name="標準 5" xfId="1882"/>
    <cellStyle name="標準 5 2" xfId="1883"/>
    <cellStyle name="標準 6" xfId="1681"/>
    <cellStyle name="無題1" xfId="1689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赤字強調" xfId="1686"/>
    <cellStyle name="青字強調" xfId="168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60028_1</v>
          </cell>
        </row>
        <row r="952">
          <cell r="A952" t="str">
            <v>65525_1</v>
          </cell>
        </row>
        <row r="953">
          <cell r="A953" t="str">
            <v>65526_1</v>
          </cell>
        </row>
        <row r="954">
          <cell r="A954" t="str">
            <v>65526_2</v>
          </cell>
        </row>
        <row r="955">
          <cell r="A955" t="str">
            <v>65527_1</v>
          </cell>
        </row>
        <row r="956">
          <cell r="A956" t="str">
            <v>65528_1</v>
          </cell>
        </row>
        <row r="957">
          <cell r="A957" t="str">
            <v>65529_1</v>
          </cell>
        </row>
        <row r="958">
          <cell r="A958" t="str">
            <v>65530_1</v>
          </cell>
        </row>
        <row r="959">
          <cell r="A959" t="str">
            <v>65531_1</v>
          </cell>
        </row>
        <row r="960">
          <cell r="A960" t="str">
            <v>65531_2</v>
          </cell>
        </row>
        <row r="961">
          <cell r="A961" t="str">
            <v>65532_1</v>
          </cell>
        </row>
        <row r="962">
          <cell r="A962" t="str">
            <v>65532_2</v>
          </cell>
        </row>
        <row r="963">
          <cell r="A963" t="str">
            <v>65533_1</v>
          </cell>
        </row>
        <row r="964">
          <cell r="A964" t="str">
            <v>65533_2</v>
          </cell>
        </row>
        <row r="965">
          <cell r="A965" t="str">
            <v>65534_1</v>
          </cell>
        </row>
        <row r="966">
          <cell r="A966" t="str">
            <v>65534_2</v>
          </cell>
        </row>
        <row r="967">
          <cell r="A967" t="str">
            <v>65535_1</v>
          </cell>
        </row>
        <row r="968">
          <cell r="A968" t="str">
            <v>65535_2</v>
          </cell>
        </row>
        <row r="969">
          <cell r="A969" t="str">
            <v>65535_3</v>
          </cell>
        </row>
        <row r="970">
          <cell r="A970" t="str">
            <v>65535_4</v>
          </cell>
        </row>
        <row r="971">
          <cell r="A971" t="str">
            <v>65535_5</v>
          </cell>
        </row>
        <row r="972">
          <cell r="A972" t="str">
            <v>65535_6</v>
          </cell>
        </row>
        <row r="973">
          <cell r="A973" t="str">
            <v>65535_7</v>
          </cell>
        </row>
        <row r="974">
          <cell r="A974" t="str">
            <v>65535_8</v>
          </cell>
        </row>
        <row r="975">
          <cell r="A975" t="str">
            <v>65535_9</v>
          </cell>
        </row>
        <row r="976">
          <cell r="A97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　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　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　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　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　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　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　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　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　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</row>
        <row r="1093">
          <cell r="A1093">
            <v>1092</v>
          </cell>
          <cell r="B1093" t="str">
            <v>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</row>
        <row r="1336">
          <cell r="A1336">
            <v>1504</v>
          </cell>
          <cell r="B1336" t="str">
            <v>magenta01</v>
          </cell>
          <cell r="C1336">
            <v>1</v>
          </cell>
          <cell r="D1336" t="str">
            <v>red</v>
          </cell>
          <cell r="E1336">
            <v>1</v>
          </cell>
          <cell r="F1336">
            <v>1.02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unknown</v>
          </cell>
          <cell r="N1336" t="str">
            <v>Unknown</v>
          </cell>
          <cell r="O1336">
            <v>1</v>
          </cell>
          <cell r="P1336">
            <v>1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</row>
        <row r="1337">
          <cell r="A1337">
            <v>1505</v>
          </cell>
          <cell r="B1337" t="str">
            <v>amber01</v>
          </cell>
          <cell r="C1337">
            <v>1</v>
          </cell>
          <cell r="D1337" t="str">
            <v>green</v>
          </cell>
          <cell r="E1337">
            <v>1.02</v>
          </cell>
          <cell r="F1337">
            <v>0.98</v>
          </cell>
          <cell r="G1337">
            <v>1</v>
          </cell>
          <cell r="H1337" t="str">
            <v>hp</v>
          </cell>
          <cell r="I1337" t="str">
            <v>体力タイプ</v>
          </cell>
          <cell r="J1337">
            <v>1.45</v>
          </cell>
          <cell r="K1337">
            <v>0.85</v>
          </cell>
          <cell r="L1337">
            <v>1</v>
          </cell>
          <cell r="M1337" t="str">
            <v>unknown</v>
          </cell>
          <cell r="N1337" t="str">
            <v>Unknown</v>
          </cell>
          <cell r="O1337">
            <v>1</v>
          </cell>
          <cell r="P1337">
            <v>1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</row>
        <row r="1338">
          <cell r="A1338">
            <v>1506</v>
          </cell>
          <cell r="B1338" t="str">
            <v>pumpkin01</v>
          </cell>
          <cell r="C1338">
            <v>2</v>
          </cell>
          <cell r="D1338" t="str">
            <v>yellow</v>
          </cell>
          <cell r="E1338">
            <v>0.98</v>
          </cell>
          <cell r="F1338">
            <v>1.01</v>
          </cell>
          <cell r="G1338">
            <v>1</v>
          </cell>
          <cell r="H1338" t="str">
            <v>attack</v>
          </cell>
          <cell r="I1338" t="str">
            <v>攻撃タイプ</v>
          </cell>
          <cell r="J1338">
            <v>1</v>
          </cell>
          <cell r="K1338">
            <v>1.33</v>
          </cell>
          <cell r="L1338">
            <v>1</v>
          </cell>
          <cell r="M1338" t="str">
            <v>unknown</v>
          </cell>
          <cell r="N1338" t="str">
            <v>Unknown</v>
          </cell>
          <cell r="O1338">
            <v>1</v>
          </cell>
          <cell r="P1338">
            <v>1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</row>
        <row r="1339">
          <cell r="A1339">
            <v>1507</v>
          </cell>
          <cell r="B1339" t="str">
            <v>rose01</v>
          </cell>
          <cell r="C1339">
            <v>3</v>
          </cell>
          <cell r="D1339" t="str">
            <v>blue</v>
          </cell>
          <cell r="E1339">
            <v>1</v>
          </cell>
          <cell r="F1339">
            <v>0.98</v>
          </cell>
          <cell r="G1339">
            <v>1</v>
          </cell>
          <cell r="H1339" t="str">
            <v>technical</v>
          </cell>
          <cell r="I1339" t="str">
            <v>テクニカルタイプ</v>
          </cell>
          <cell r="J1339">
            <v>0.9</v>
          </cell>
          <cell r="K1339">
            <v>0.9</v>
          </cell>
          <cell r="L1339">
            <v>1</v>
          </cell>
          <cell r="M1339" t="str">
            <v>unknown</v>
          </cell>
          <cell r="N1339" t="str">
            <v>Unknown</v>
          </cell>
          <cell r="O1339">
            <v>1</v>
          </cell>
          <cell r="P1339">
            <v>1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</row>
        <row r="1340">
          <cell r="A1340">
            <v>1508</v>
          </cell>
          <cell r="B1340" t="str">
            <v>burgundy01</v>
          </cell>
          <cell r="C1340">
            <v>4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</row>
        <row r="1341">
          <cell r="A1341">
            <v>1509</v>
          </cell>
          <cell r="B1341" t="str">
            <v>cyan01</v>
          </cell>
          <cell r="C1341">
            <v>5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god</v>
          </cell>
          <cell r="N1341" t="str">
            <v>ゴッド</v>
          </cell>
          <cell r="O1341">
            <v>0.96</v>
          </cell>
          <cell r="P1341">
            <v>1.02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</row>
        <row r="1342">
          <cell r="A1342">
            <v>1510</v>
          </cell>
          <cell r="B1342" t="str">
            <v>scarlet01</v>
          </cell>
          <cell r="C1342">
            <v>4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balance</v>
          </cell>
          <cell r="I1342" t="str">
            <v>バランスタイプ</v>
          </cell>
          <cell r="J1342">
            <v>1</v>
          </cell>
          <cell r="K1342">
            <v>1</v>
          </cell>
          <cell r="L1342">
            <v>1</v>
          </cell>
          <cell r="M1342" t="str">
            <v>god</v>
          </cell>
          <cell r="N1342" t="str">
            <v>ゴッド</v>
          </cell>
          <cell r="O1342">
            <v>0.96</v>
          </cell>
          <cell r="P1342">
            <v>1.02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</row>
        <row r="1343">
          <cell r="A1343">
            <v>1511</v>
          </cell>
          <cell r="B1343" t="str">
            <v>scarlet02</v>
          </cell>
          <cell r="C1343">
            <v>5</v>
          </cell>
          <cell r="D1343" t="str">
            <v>yellow</v>
          </cell>
          <cell r="E1343">
            <v>0.98</v>
          </cell>
          <cell r="F1343">
            <v>1.01</v>
          </cell>
          <cell r="G1343">
            <v>1</v>
          </cell>
          <cell r="H1343" t="str">
            <v>balance</v>
          </cell>
          <cell r="I1343" t="str">
            <v>バランスタイプ</v>
          </cell>
          <cell r="J1343">
            <v>1</v>
          </cell>
          <cell r="K1343">
            <v>1</v>
          </cell>
          <cell r="L1343">
            <v>1</v>
          </cell>
          <cell r="M1343" t="str">
            <v>god</v>
          </cell>
          <cell r="N1343" t="str">
            <v>ゴッド</v>
          </cell>
          <cell r="O1343">
            <v>0.96</v>
          </cell>
          <cell r="P1343">
            <v>1.02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</row>
        <row r="1344">
          <cell r="A1344">
            <v>1512</v>
          </cell>
          <cell r="B1344" t="str">
            <v>scarlet03</v>
          </cell>
          <cell r="C1344">
            <v>6</v>
          </cell>
          <cell r="D1344" t="str">
            <v>yellow</v>
          </cell>
          <cell r="E1344">
            <v>0.98</v>
          </cell>
          <cell r="F1344">
            <v>1.01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god</v>
          </cell>
          <cell r="N1344" t="str">
            <v>ゴッド</v>
          </cell>
          <cell r="O1344">
            <v>0.96</v>
          </cell>
          <cell r="P1344">
            <v>1.02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</row>
        <row r="1345">
          <cell r="A1345">
            <v>1523</v>
          </cell>
          <cell r="B1345" t="str">
            <v>olive01</v>
          </cell>
          <cell r="C1345">
            <v>5</v>
          </cell>
          <cell r="D1345" t="str">
            <v>blue</v>
          </cell>
          <cell r="E1345">
            <v>1</v>
          </cell>
          <cell r="F1345">
            <v>0.98</v>
          </cell>
          <cell r="G1345">
            <v>1</v>
          </cell>
          <cell r="H1345" t="str">
            <v>balance</v>
          </cell>
          <cell r="I1345" t="str">
            <v>バランスタイプ</v>
          </cell>
          <cell r="J1345">
            <v>1</v>
          </cell>
          <cell r="K1345">
            <v>1</v>
          </cell>
          <cell r="L1345">
            <v>1</v>
          </cell>
          <cell r="M1345" t="str">
            <v>animal</v>
          </cell>
          <cell r="N1345" t="str">
            <v>アニマル</v>
          </cell>
          <cell r="O1345">
            <v>1</v>
          </cell>
          <cell r="P1345">
            <v>1.1000000000000001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</row>
        <row r="1346">
          <cell r="A1346">
            <v>1524</v>
          </cell>
          <cell r="B1346" t="str">
            <v>olive02</v>
          </cell>
          <cell r="C1346">
            <v>6</v>
          </cell>
          <cell r="D1346" t="str">
            <v>blue</v>
          </cell>
          <cell r="E1346">
            <v>1</v>
          </cell>
          <cell r="F1346">
            <v>0.98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animal</v>
          </cell>
          <cell r="N1346" t="str">
            <v>アニマル</v>
          </cell>
          <cell r="O1346">
            <v>1</v>
          </cell>
          <cell r="P1346">
            <v>1.1000000000000001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</row>
        <row r="1347">
          <cell r="A1347">
            <v>1525</v>
          </cell>
          <cell r="B1347" t="str">
            <v>white01</v>
          </cell>
          <cell r="C1347">
            <v>5</v>
          </cell>
          <cell r="D1347" t="str">
            <v>red</v>
          </cell>
          <cell r="E1347">
            <v>1</v>
          </cell>
          <cell r="F1347">
            <v>1.02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animal</v>
          </cell>
          <cell r="N1347" t="str">
            <v>アニマル</v>
          </cell>
          <cell r="O1347">
            <v>1</v>
          </cell>
          <cell r="P1347">
            <v>1.1000000000000001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</row>
        <row r="1348">
          <cell r="A1348">
            <v>1526</v>
          </cell>
          <cell r="B1348" t="str">
            <v>white02</v>
          </cell>
          <cell r="C1348">
            <v>6</v>
          </cell>
          <cell r="D1348" t="str">
            <v>red</v>
          </cell>
          <cell r="E1348">
            <v>1</v>
          </cell>
          <cell r="F1348">
            <v>1.02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animal</v>
          </cell>
          <cell r="N1348" t="str">
            <v>アニマル</v>
          </cell>
          <cell r="O1348">
            <v>1</v>
          </cell>
          <cell r="P1348">
            <v>1.1000000000000001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</row>
        <row r="1349">
          <cell r="A1349">
            <v>5001</v>
          </cell>
          <cell r="B1349" t="str">
            <v>ガルーダ</v>
          </cell>
          <cell r="C1349">
            <v>5</v>
          </cell>
          <cell r="D1349" t="str">
            <v>red</v>
          </cell>
          <cell r="E1349">
            <v>1</v>
          </cell>
          <cell r="F1349">
            <v>1.02</v>
          </cell>
          <cell r="G1349">
            <v>1</v>
          </cell>
          <cell r="H1349" t="str">
            <v>attack</v>
          </cell>
          <cell r="I1349" t="str">
            <v>攻撃タイプ</v>
          </cell>
          <cell r="J1349">
            <v>1</v>
          </cell>
          <cell r="K1349">
            <v>1.33</v>
          </cell>
          <cell r="L1349">
            <v>1</v>
          </cell>
          <cell r="M1349" t="str">
            <v>god</v>
          </cell>
          <cell r="N1349" t="str">
            <v>ゴッド</v>
          </cell>
          <cell r="O1349">
            <v>0.96</v>
          </cell>
          <cell r="P1349">
            <v>1.02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</row>
        <row r="1350">
          <cell r="A1350">
            <v>5002</v>
          </cell>
          <cell r="B1350" t="str">
            <v>ガルーダ★６</v>
          </cell>
          <cell r="C1350">
            <v>6</v>
          </cell>
          <cell r="D1350" t="str">
            <v>red</v>
          </cell>
          <cell r="E1350">
            <v>1</v>
          </cell>
          <cell r="F1350">
            <v>1.02</v>
          </cell>
          <cell r="G1350">
            <v>1</v>
          </cell>
          <cell r="H1350" t="str">
            <v>attack</v>
          </cell>
          <cell r="I1350" t="str">
            <v>攻撃タイプ</v>
          </cell>
          <cell r="J1350">
            <v>1</v>
          </cell>
          <cell r="K1350">
            <v>1.33</v>
          </cell>
          <cell r="L1350">
            <v>1</v>
          </cell>
          <cell r="M1350" t="str">
            <v>god</v>
          </cell>
          <cell r="N1350" t="str">
            <v>ゴッド</v>
          </cell>
          <cell r="O1350">
            <v>0.96</v>
          </cell>
          <cell r="P1350">
            <v>1.02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</row>
        <row r="1351">
          <cell r="A1351">
            <v>5003</v>
          </cell>
          <cell r="B1351" t="str">
            <v>ナーガ</v>
          </cell>
          <cell r="C1351">
            <v>5</v>
          </cell>
          <cell r="D1351" t="str">
            <v>green</v>
          </cell>
          <cell r="E1351">
            <v>1.02</v>
          </cell>
          <cell r="F1351">
            <v>0.98</v>
          </cell>
          <cell r="G1351">
            <v>1</v>
          </cell>
          <cell r="H1351" t="str">
            <v>technical</v>
          </cell>
          <cell r="I1351" t="str">
            <v>テクニカルタイプ</v>
          </cell>
          <cell r="J1351">
            <v>0.9</v>
          </cell>
          <cell r="K1351">
            <v>0.9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</row>
        <row r="1352">
          <cell r="A1352">
            <v>5004</v>
          </cell>
          <cell r="B1352" t="str">
            <v>ナーガ★６</v>
          </cell>
          <cell r="C1352">
            <v>6</v>
          </cell>
          <cell r="D1352" t="str">
            <v>green</v>
          </cell>
          <cell r="E1352">
            <v>1.02</v>
          </cell>
          <cell r="F1352">
            <v>0.98</v>
          </cell>
          <cell r="G1352">
            <v>1</v>
          </cell>
          <cell r="H1352" t="str">
            <v>technical</v>
          </cell>
          <cell r="I1352" t="str">
            <v>テクニカルタイプ</v>
          </cell>
          <cell r="J1352">
            <v>0.9</v>
          </cell>
          <cell r="K1352">
            <v>0.9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</row>
        <row r="1353">
          <cell r="A1353">
            <v>5005</v>
          </cell>
          <cell r="B1353" t="str">
            <v>カーミラ</v>
          </cell>
          <cell r="C1353">
            <v>5</v>
          </cell>
          <cell r="D1353" t="str">
            <v>green</v>
          </cell>
          <cell r="E1353">
            <v>1.02</v>
          </cell>
          <cell r="F1353">
            <v>0.98</v>
          </cell>
          <cell r="G1353">
            <v>1</v>
          </cell>
          <cell r="H1353" t="str">
            <v>balance</v>
          </cell>
          <cell r="I1353" t="str">
            <v>バランスタイプ</v>
          </cell>
          <cell r="J1353">
            <v>1</v>
          </cell>
          <cell r="K1353">
            <v>1</v>
          </cell>
          <cell r="L1353">
            <v>1</v>
          </cell>
          <cell r="M1353" t="str">
            <v>demon</v>
          </cell>
          <cell r="N1353" t="str">
            <v>デーモン</v>
          </cell>
          <cell r="O1353">
            <v>1</v>
          </cell>
          <cell r="P1353">
            <v>1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</row>
        <row r="1354">
          <cell r="A1354">
            <v>5006</v>
          </cell>
          <cell r="B1354" t="str">
            <v>カーミラ★６</v>
          </cell>
          <cell r="C1354">
            <v>6</v>
          </cell>
          <cell r="D1354" t="str">
            <v>green</v>
          </cell>
          <cell r="E1354">
            <v>1.02</v>
          </cell>
          <cell r="F1354">
            <v>0.98</v>
          </cell>
          <cell r="G1354">
            <v>1</v>
          </cell>
          <cell r="H1354" t="str">
            <v>balance</v>
          </cell>
          <cell r="I1354" t="str">
            <v>バランスタイプ</v>
          </cell>
          <cell r="J1354">
            <v>1</v>
          </cell>
          <cell r="K1354">
            <v>1</v>
          </cell>
          <cell r="L1354">
            <v>1</v>
          </cell>
          <cell r="M1354" t="str">
            <v>demon</v>
          </cell>
          <cell r="N1354" t="str">
            <v>デーモン</v>
          </cell>
          <cell r="O1354">
            <v>1</v>
          </cell>
          <cell r="P1354">
            <v>1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</row>
        <row r="1355">
          <cell r="A1355">
            <v>5007</v>
          </cell>
          <cell r="B1355" t="str">
            <v>ヘルシング</v>
          </cell>
          <cell r="C1355">
            <v>5</v>
          </cell>
          <cell r="D1355" t="str">
            <v>yellow</v>
          </cell>
          <cell r="E1355">
            <v>0.98</v>
          </cell>
          <cell r="F1355">
            <v>1.01</v>
          </cell>
          <cell r="G1355">
            <v>1</v>
          </cell>
          <cell r="H1355" t="str">
            <v>attack</v>
          </cell>
          <cell r="I1355" t="str">
            <v>攻撃タイプ</v>
          </cell>
          <cell r="J1355">
            <v>1</v>
          </cell>
          <cell r="K1355">
            <v>1.33</v>
          </cell>
          <cell r="L1355">
            <v>1</v>
          </cell>
          <cell r="M1355" t="str">
            <v>human</v>
          </cell>
          <cell r="N1355" t="str">
            <v>ヒューマン</v>
          </cell>
          <cell r="O1355">
            <v>0.94</v>
          </cell>
          <cell r="P1355">
            <v>0.99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</row>
        <row r="1356">
          <cell r="A1356">
            <v>5008</v>
          </cell>
          <cell r="B1356" t="str">
            <v>ヘルシング★６</v>
          </cell>
          <cell r="C1356">
            <v>6</v>
          </cell>
          <cell r="D1356" t="str">
            <v>yellow</v>
          </cell>
          <cell r="E1356">
            <v>0.98</v>
          </cell>
          <cell r="F1356">
            <v>1.01</v>
          </cell>
          <cell r="G1356">
            <v>1</v>
          </cell>
          <cell r="H1356" t="str">
            <v>attack</v>
          </cell>
          <cell r="I1356" t="str">
            <v>攻撃タイプ</v>
          </cell>
          <cell r="J1356">
            <v>1</v>
          </cell>
          <cell r="K1356">
            <v>1.33</v>
          </cell>
          <cell r="L1356">
            <v>1</v>
          </cell>
          <cell r="M1356" t="str">
            <v>human</v>
          </cell>
          <cell r="N1356" t="str">
            <v>ヒューマン</v>
          </cell>
          <cell r="O1356">
            <v>0.94</v>
          </cell>
          <cell r="P1356">
            <v>0.99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</row>
        <row r="1357">
          <cell r="A1357">
            <v>6001</v>
          </cell>
          <cell r="B1357" t="str">
            <v>ジェリー</v>
          </cell>
          <cell r="C1357">
            <v>1</v>
          </cell>
          <cell r="D1357" t="str">
            <v>red</v>
          </cell>
          <cell r="E1357">
            <v>1</v>
          </cell>
          <cell r="F1357">
            <v>1.02</v>
          </cell>
          <cell r="G1357">
            <v>1</v>
          </cell>
          <cell r="H1357" t="str">
            <v>ra</v>
          </cell>
          <cell r="I1357" t="str">
            <v>ラグランジュチャレンジ</v>
          </cell>
          <cell r="J1357">
            <v>1</v>
          </cell>
          <cell r="K1357">
            <v>1</v>
          </cell>
          <cell r="L1357">
            <v>1</v>
          </cell>
          <cell r="M1357" t="str">
            <v>unknown</v>
          </cell>
          <cell r="N1357" t="str">
            <v>Unknown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</row>
        <row r="1358">
          <cell r="A1358">
            <v>6002</v>
          </cell>
          <cell r="B1358" t="str">
            <v>ヨシタカ</v>
          </cell>
          <cell r="C1358">
            <v>2</v>
          </cell>
          <cell r="D1358" t="str">
            <v>red</v>
          </cell>
          <cell r="E1358">
            <v>1</v>
          </cell>
          <cell r="F1358">
            <v>1.02</v>
          </cell>
          <cell r="G1358">
            <v>1</v>
          </cell>
          <cell r="H1358" t="str">
            <v>ra</v>
          </cell>
          <cell r="I1358" t="str">
            <v>ラグランジュチャレンジ</v>
          </cell>
          <cell r="J1358">
            <v>1</v>
          </cell>
          <cell r="K1358">
            <v>1</v>
          </cell>
          <cell r="L1358">
            <v>1</v>
          </cell>
          <cell r="M1358" t="str">
            <v>human</v>
          </cell>
          <cell r="N1358" t="str">
            <v>ヒューマン</v>
          </cell>
          <cell r="O1358">
            <v>0.94</v>
          </cell>
          <cell r="P1358">
            <v>0.99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</row>
        <row r="1359">
          <cell r="A1359">
            <v>6003</v>
          </cell>
          <cell r="B1359" t="str">
            <v>朱雀</v>
          </cell>
          <cell r="C1359">
            <v>3</v>
          </cell>
          <cell r="D1359" t="str">
            <v>red</v>
          </cell>
          <cell r="E1359">
            <v>1</v>
          </cell>
          <cell r="F1359">
            <v>1.02</v>
          </cell>
          <cell r="G1359">
            <v>1</v>
          </cell>
          <cell r="H1359" t="str">
            <v>ra</v>
          </cell>
          <cell r="I1359" t="str">
            <v>ラグランジュチャレンジ</v>
          </cell>
          <cell r="J1359">
            <v>1</v>
          </cell>
          <cell r="K1359">
            <v>1</v>
          </cell>
          <cell r="L1359">
            <v>1</v>
          </cell>
          <cell r="M1359" t="str">
            <v>animal</v>
          </cell>
          <cell r="N1359" t="str">
            <v>アニマル</v>
          </cell>
          <cell r="O1359">
            <v>1</v>
          </cell>
          <cell r="P1359">
            <v>1.1000000000000001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</row>
        <row r="1360">
          <cell r="A1360">
            <v>6004</v>
          </cell>
          <cell r="B1360" t="str">
            <v>ブレット</v>
          </cell>
          <cell r="C1360">
            <v>1</v>
          </cell>
          <cell r="D1360" t="str">
            <v>red</v>
          </cell>
          <cell r="E1360">
            <v>1</v>
          </cell>
          <cell r="F1360">
            <v>1.02</v>
          </cell>
          <cell r="G1360">
            <v>1</v>
          </cell>
          <cell r="H1360" t="str">
            <v>ra</v>
          </cell>
          <cell r="I1360" t="str">
            <v>ラグランジュチャレンジ</v>
          </cell>
          <cell r="J1360">
            <v>1</v>
          </cell>
          <cell r="K1360">
            <v>1</v>
          </cell>
          <cell r="L1360">
            <v>1</v>
          </cell>
          <cell r="M1360" t="str">
            <v>animal</v>
          </cell>
          <cell r="N1360" t="str">
            <v>アニマル</v>
          </cell>
          <cell r="O1360">
            <v>1</v>
          </cell>
          <cell r="P1360">
            <v>1.1000000000000001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</row>
        <row r="1361">
          <cell r="A1361">
            <v>6005</v>
          </cell>
          <cell r="B1361" t="str">
            <v>孤神 テティス</v>
          </cell>
          <cell r="C1361">
            <v>4</v>
          </cell>
          <cell r="D1361" t="str">
            <v>blue</v>
          </cell>
          <cell r="E1361">
            <v>1</v>
          </cell>
          <cell r="F1361">
            <v>0.98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god</v>
          </cell>
          <cell r="N1361" t="str">
            <v>ゴッド</v>
          </cell>
          <cell r="O1361">
            <v>0.96</v>
          </cell>
          <cell r="P1361">
            <v>1.02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</row>
        <row r="1362">
          <cell r="A1362">
            <v>6006</v>
          </cell>
          <cell r="B1362" t="str">
            <v>海底の孤高神 テティス</v>
          </cell>
          <cell r="C1362">
            <v>5</v>
          </cell>
          <cell r="D1362" t="str">
            <v>blue</v>
          </cell>
          <cell r="E1362">
            <v>1</v>
          </cell>
          <cell r="F1362">
            <v>0.98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god</v>
          </cell>
          <cell r="N1362" t="str">
            <v>ゴッド</v>
          </cell>
          <cell r="O1362">
            <v>0.96</v>
          </cell>
          <cell r="P1362">
            <v>1.02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</row>
        <row r="1363">
          <cell r="A1363">
            <v>6007</v>
          </cell>
          <cell r="B1363" t="str">
            <v>番犬 ケルベロス</v>
          </cell>
          <cell r="C1363">
            <v>4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</row>
        <row r="1364">
          <cell r="A1364">
            <v>6008</v>
          </cell>
          <cell r="B1364" t="str">
            <v>焔神 プロメテウス</v>
          </cell>
          <cell r="C1364">
            <v>4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god</v>
          </cell>
          <cell r="N1364" t="str">
            <v>ゴッド</v>
          </cell>
          <cell r="O1364">
            <v>0.96</v>
          </cell>
          <cell r="P1364">
            <v>1.02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</row>
        <row r="1365">
          <cell r="A1365">
            <v>6009</v>
          </cell>
          <cell r="B1365" t="str">
            <v>超越自我 ラグランジュ</v>
          </cell>
          <cell r="C1365">
            <v>5</v>
          </cell>
          <cell r="D1365" t="str">
            <v>red</v>
          </cell>
          <cell r="E1365">
            <v>1</v>
          </cell>
          <cell r="F1365">
            <v>1.02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human</v>
          </cell>
          <cell r="N1365" t="str">
            <v>ヒューマン</v>
          </cell>
          <cell r="O1365">
            <v>0.94</v>
          </cell>
          <cell r="P1365">
            <v>0.99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</row>
        <row r="1366">
          <cell r="A1366">
            <v>6010</v>
          </cell>
          <cell r="B1366" t="str">
            <v>超越凌駕 ラグランジュ</v>
          </cell>
          <cell r="C1366">
            <v>6</v>
          </cell>
          <cell r="D1366" t="str">
            <v>red</v>
          </cell>
          <cell r="E1366">
            <v>1</v>
          </cell>
          <cell r="F1366">
            <v>1.02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human</v>
          </cell>
          <cell r="N1366" t="str">
            <v>ヒューマン</v>
          </cell>
          <cell r="O1366">
            <v>0.94</v>
          </cell>
          <cell r="P1366">
            <v>0.99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</row>
        <row r="1367">
          <cell r="A1367">
            <v>6011</v>
          </cell>
          <cell r="B1367" t="str">
            <v>パトドッグリーダー ポチ</v>
          </cell>
          <cell r="C1367">
            <v>2</v>
          </cell>
          <cell r="D1367" t="str">
            <v>blue</v>
          </cell>
          <cell r="E1367">
            <v>1</v>
          </cell>
          <cell r="F1367">
            <v>0.98</v>
          </cell>
          <cell r="G1367">
            <v>1</v>
          </cell>
          <cell r="H1367" t="str">
            <v>ra002</v>
          </cell>
          <cell r="I1367" t="str">
            <v>ユークリッドチャレンジ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unknown</v>
          </cell>
          <cell r="N1367" t="str">
            <v>Unknown</v>
          </cell>
          <cell r="O1367">
            <v>1</v>
          </cell>
          <cell r="P1367">
            <v>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</row>
        <row r="1368">
          <cell r="A1368">
            <v>6012</v>
          </cell>
          <cell r="B1368" t="str">
            <v>ミミ</v>
          </cell>
          <cell r="C1368">
            <v>1</v>
          </cell>
          <cell r="D1368" t="str">
            <v>yellow</v>
          </cell>
          <cell r="E1368">
            <v>0.98</v>
          </cell>
          <cell r="F1368">
            <v>1.01</v>
          </cell>
          <cell r="G1368">
            <v>1</v>
          </cell>
          <cell r="H1368" t="str">
            <v>ra002</v>
          </cell>
          <cell r="I1368" t="str">
            <v>ユークリッドチャレンジ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animal</v>
          </cell>
          <cell r="N1368" t="str">
            <v>アニマル</v>
          </cell>
          <cell r="O1368">
            <v>1</v>
          </cell>
          <cell r="P1368">
            <v>1.1000000000000001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</row>
        <row r="1369">
          <cell r="A1369">
            <v>6013</v>
          </cell>
          <cell r="B1369" t="str">
            <v>護衛機人 スケアクロウ</v>
          </cell>
          <cell r="C1369">
            <v>2</v>
          </cell>
          <cell r="D1369" t="str">
            <v>blue</v>
          </cell>
          <cell r="E1369">
            <v>1</v>
          </cell>
          <cell r="F1369">
            <v>0.98</v>
          </cell>
          <cell r="G1369">
            <v>1</v>
          </cell>
          <cell r="H1369" t="str">
            <v>ra002</v>
          </cell>
          <cell r="I1369" t="str">
            <v>ユークリッドチャレンジ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machine</v>
          </cell>
          <cell r="N1369" t="str">
            <v>マシン</v>
          </cell>
          <cell r="O1369">
            <v>1</v>
          </cell>
          <cell r="P1369">
            <v>1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</row>
        <row r="1370">
          <cell r="A1370">
            <v>6014</v>
          </cell>
          <cell r="B1370" t="str">
            <v>月下の人狼 ローレンス</v>
          </cell>
          <cell r="C1370">
            <v>4</v>
          </cell>
          <cell r="D1370" t="str">
            <v>blue</v>
          </cell>
          <cell r="E1370">
            <v>1</v>
          </cell>
          <cell r="F1370">
            <v>0.98</v>
          </cell>
          <cell r="G1370">
            <v>1</v>
          </cell>
          <cell r="H1370" t="str">
            <v>ra002</v>
          </cell>
          <cell r="I1370" t="str">
            <v>ユークリッドチャレンジ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animal</v>
          </cell>
          <cell r="N1370" t="str">
            <v>アニマル</v>
          </cell>
          <cell r="O1370">
            <v>1</v>
          </cell>
          <cell r="P1370">
            <v>1.1000000000000001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</row>
        <row r="1371">
          <cell r="A1371">
            <v>6015</v>
          </cell>
          <cell r="B1371" t="str">
            <v>フレイヤ</v>
          </cell>
          <cell r="C1371">
            <v>4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animal</v>
          </cell>
          <cell r="N1371" t="str">
            <v>アニマル</v>
          </cell>
          <cell r="O1371">
            <v>1</v>
          </cell>
          <cell r="P1371">
            <v>1.1000000000000001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</row>
        <row r="1372">
          <cell r="A1372">
            <v>6016</v>
          </cell>
          <cell r="B1372" t="str">
            <v>根原論理 ユークリッド</v>
          </cell>
          <cell r="C1372">
            <v>5</v>
          </cell>
          <cell r="D1372" t="str">
            <v>blue</v>
          </cell>
          <cell r="E1372">
            <v>1</v>
          </cell>
          <cell r="F1372">
            <v>0.98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human</v>
          </cell>
          <cell r="N1372" t="str">
            <v>ヒューマン</v>
          </cell>
          <cell r="O1372">
            <v>0.94</v>
          </cell>
          <cell r="P1372">
            <v>0.99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</row>
        <row r="1373">
          <cell r="A1373">
            <v>6017</v>
          </cell>
          <cell r="B1373" t="str">
            <v>不朽の極論 ユークリッド</v>
          </cell>
          <cell r="C1373">
            <v>6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human</v>
          </cell>
          <cell r="N1373" t="str">
            <v>ヒューマン</v>
          </cell>
          <cell r="O1373">
            <v>0.94</v>
          </cell>
          <cell r="P1373">
            <v>0.99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</row>
        <row r="1374">
          <cell r="A1374">
            <v>6018</v>
          </cell>
          <cell r="B1374" t="str">
            <v>ハヅル</v>
          </cell>
          <cell r="C1374">
            <v>4</v>
          </cell>
          <cell r="D1374" t="str">
            <v>red</v>
          </cell>
          <cell r="E1374">
            <v>1</v>
          </cell>
          <cell r="F1374">
            <v>1.02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</row>
        <row r="1375">
          <cell r="A1375">
            <v>6019</v>
          </cell>
          <cell r="B1375" t="str">
            <v>天織羽鶴 ハヅル</v>
          </cell>
          <cell r="C1375">
            <v>5</v>
          </cell>
          <cell r="D1375" t="str">
            <v>red</v>
          </cell>
          <cell r="E1375">
            <v>1</v>
          </cell>
          <cell r="F1375">
            <v>1.02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</row>
        <row r="1376">
          <cell r="A1376">
            <v>6020</v>
          </cell>
          <cell r="B1376" t="str">
            <v>ミズチ</v>
          </cell>
          <cell r="C1376">
            <v>4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dragon</v>
          </cell>
          <cell r="N1376" t="str">
            <v>ドラゴン</v>
          </cell>
          <cell r="O1376">
            <v>1.1499999999999999</v>
          </cell>
          <cell r="P1376">
            <v>1.1000000000000001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</row>
        <row r="1377">
          <cell r="A1377">
            <v>8001</v>
          </cell>
          <cell r="B1377" t="str">
            <v>媽祖</v>
          </cell>
          <cell r="C1377">
            <v>5</v>
          </cell>
          <cell r="D1377" t="str">
            <v>yellow</v>
          </cell>
          <cell r="E1377">
            <v>0.98</v>
          </cell>
          <cell r="F1377">
            <v>1.01</v>
          </cell>
          <cell r="G1377">
            <v>1</v>
          </cell>
          <cell r="H1377" t="str">
            <v>attack</v>
          </cell>
          <cell r="I1377" t="str">
            <v>攻撃タイプ</v>
          </cell>
          <cell r="J1377">
            <v>1</v>
          </cell>
          <cell r="K1377">
            <v>1.33</v>
          </cell>
          <cell r="L1377">
            <v>1</v>
          </cell>
          <cell r="M1377" t="str">
            <v>god</v>
          </cell>
          <cell r="N1377" t="str">
            <v>ゴッド</v>
          </cell>
          <cell r="O1377">
            <v>0.96</v>
          </cell>
          <cell r="P1377">
            <v>1.02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</row>
        <row r="1378">
          <cell r="A1378">
            <v>8002</v>
          </cell>
          <cell r="B1378" t="str">
            <v>宣導する天海妃 媽祖</v>
          </cell>
          <cell r="C1378">
            <v>6</v>
          </cell>
          <cell r="D1378" t="str">
            <v>yellow</v>
          </cell>
          <cell r="E1378">
            <v>0.98</v>
          </cell>
          <cell r="F1378">
            <v>1.01</v>
          </cell>
          <cell r="G1378">
            <v>1</v>
          </cell>
          <cell r="H1378" t="str">
            <v>attack</v>
          </cell>
          <cell r="I1378" t="str">
            <v>攻撃タイプ</v>
          </cell>
          <cell r="J1378">
            <v>1</v>
          </cell>
          <cell r="K1378">
            <v>1.33</v>
          </cell>
          <cell r="L1378">
            <v>1</v>
          </cell>
          <cell r="M1378" t="str">
            <v>god</v>
          </cell>
          <cell r="N1378" t="str">
            <v>ゴッド</v>
          </cell>
          <cell r="O1378">
            <v>0.96</v>
          </cell>
          <cell r="P1378">
            <v>1.02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</row>
        <row r="1379">
          <cell r="A1379">
            <v>8003</v>
          </cell>
          <cell r="B1379" t="str">
            <v>蛟龍</v>
          </cell>
          <cell r="C1379">
            <v>5</v>
          </cell>
          <cell r="D1379" t="str">
            <v>blue</v>
          </cell>
          <cell r="E1379">
            <v>1</v>
          </cell>
          <cell r="F1379">
            <v>0.98</v>
          </cell>
          <cell r="G1379">
            <v>1</v>
          </cell>
          <cell r="H1379" t="str">
            <v>hp</v>
          </cell>
          <cell r="I1379" t="str">
            <v>体力タイプ</v>
          </cell>
          <cell r="J1379">
            <v>1.45</v>
          </cell>
          <cell r="K1379">
            <v>0.85</v>
          </cell>
          <cell r="L1379">
            <v>1</v>
          </cell>
          <cell r="M1379" t="str">
            <v>dragon</v>
          </cell>
          <cell r="N1379" t="str">
            <v>ドラゴン</v>
          </cell>
          <cell r="O1379">
            <v>1.1499999999999999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</row>
        <row r="1380">
          <cell r="A1380">
            <v>8004</v>
          </cell>
          <cell r="B1380" t="str">
            <v>呼嵐の蒼棲龍 蛟龍</v>
          </cell>
          <cell r="C1380">
            <v>6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hp</v>
          </cell>
          <cell r="I1380" t="str">
            <v>体力タイプ</v>
          </cell>
          <cell r="J1380">
            <v>1.45</v>
          </cell>
          <cell r="K1380">
            <v>0.85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</row>
        <row r="1381">
          <cell r="A1381">
            <v>8005</v>
          </cell>
          <cell r="B1381" t="str">
            <v>三蔵法師</v>
          </cell>
          <cell r="C1381">
            <v>5</v>
          </cell>
          <cell r="D1381" t="str">
            <v>blue</v>
          </cell>
          <cell r="E1381">
            <v>1</v>
          </cell>
          <cell r="F1381">
            <v>0.98</v>
          </cell>
          <cell r="G1381">
            <v>1</v>
          </cell>
          <cell r="H1381" t="str">
            <v>balance</v>
          </cell>
          <cell r="I1381" t="str">
            <v>バランスタイプ</v>
          </cell>
          <cell r="J1381">
            <v>1</v>
          </cell>
          <cell r="K1381">
            <v>1</v>
          </cell>
          <cell r="L1381">
            <v>1</v>
          </cell>
          <cell r="M1381" t="str">
            <v>human</v>
          </cell>
          <cell r="N1381" t="str">
            <v>ヒューマン</v>
          </cell>
          <cell r="O1381">
            <v>0.94</v>
          </cell>
          <cell r="P1381">
            <v>0.99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</row>
        <row r="1382">
          <cell r="A1382">
            <v>8006</v>
          </cell>
          <cell r="B1382" t="str">
            <v>慈戒の呪封使 三蔵法師</v>
          </cell>
          <cell r="C1382">
            <v>6</v>
          </cell>
          <cell r="D1382" t="str">
            <v>blue</v>
          </cell>
          <cell r="E1382">
            <v>1</v>
          </cell>
          <cell r="F1382">
            <v>0.98</v>
          </cell>
          <cell r="G1382">
            <v>1</v>
          </cell>
          <cell r="H1382" t="str">
            <v>balance</v>
          </cell>
          <cell r="I1382" t="str">
            <v>バランスタイプ</v>
          </cell>
          <cell r="J1382">
            <v>1</v>
          </cell>
          <cell r="K1382">
            <v>1</v>
          </cell>
          <cell r="L1382">
            <v>1</v>
          </cell>
          <cell r="M1382" t="str">
            <v>human</v>
          </cell>
          <cell r="N1382" t="str">
            <v>ヒューマン</v>
          </cell>
          <cell r="O1382">
            <v>0.94</v>
          </cell>
          <cell r="P1382">
            <v>0.99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</row>
        <row r="1383">
          <cell r="A1383">
            <v>8007</v>
          </cell>
          <cell r="B1383" t="str">
            <v>孫悟空</v>
          </cell>
          <cell r="C1383">
            <v>5</v>
          </cell>
          <cell r="D1383" t="str">
            <v>red</v>
          </cell>
          <cell r="E1383">
            <v>1</v>
          </cell>
          <cell r="F1383">
            <v>1.02</v>
          </cell>
          <cell r="G1383">
            <v>1</v>
          </cell>
          <cell r="H1383" t="str">
            <v>attack</v>
          </cell>
          <cell r="I1383" t="str">
            <v>攻撃タイプ</v>
          </cell>
          <cell r="J1383">
            <v>1</v>
          </cell>
          <cell r="K1383">
            <v>1.33</v>
          </cell>
          <cell r="L1383">
            <v>1</v>
          </cell>
          <cell r="M1383" t="str">
            <v>animal</v>
          </cell>
          <cell r="N1383" t="str">
            <v>アニマル</v>
          </cell>
          <cell r="O1383">
            <v>1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</row>
        <row r="1384">
          <cell r="A1384">
            <v>8008</v>
          </cell>
          <cell r="B1384" t="str">
            <v>花果の天猿仙人 孫悟空</v>
          </cell>
          <cell r="C1384">
            <v>6</v>
          </cell>
          <cell r="D1384" t="str">
            <v>red</v>
          </cell>
          <cell r="E1384">
            <v>1</v>
          </cell>
          <cell r="F1384">
            <v>1.02</v>
          </cell>
          <cell r="G1384">
            <v>1</v>
          </cell>
          <cell r="H1384" t="str">
            <v>attack</v>
          </cell>
          <cell r="I1384" t="str">
            <v>攻撃タイプ</v>
          </cell>
          <cell r="J1384">
            <v>1</v>
          </cell>
          <cell r="K1384">
            <v>1.33</v>
          </cell>
          <cell r="L1384">
            <v>1</v>
          </cell>
          <cell r="M1384" t="str">
            <v>animal</v>
          </cell>
          <cell r="N1384" t="str">
            <v>アニマル</v>
          </cell>
          <cell r="O1384">
            <v>1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</row>
        <row r="1385">
          <cell r="A1385">
            <v>8009</v>
          </cell>
          <cell r="B1385" t="str">
            <v>西王娘娘</v>
          </cell>
          <cell r="C1385">
            <v>5</v>
          </cell>
          <cell r="D1385" t="str">
            <v>green</v>
          </cell>
          <cell r="E1385">
            <v>1.02</v>
          </cell>
          <cell r="F1385">
            <v>0.98</v>
          </cell>
          <cell r="G1385">
            <v>1</v>
          </cell>
          <cell r="H1385" t="str">
            <v>attack</v>
          </cell>
          <cell r="I1385" t="str">
            <v>攻撃タイプ</v>
          </cell>
          <cell r="J1385">
            <v>1</v>
          </cell>
          <cell r="K1385">
            <v>1.33</v>
          </cell>
          <cell r="L1385">
            <v>1</v>
          </cell>
          <cell r="M1385" t="str">
            <v>god</v>
          </cell>
          <cell r="N1385" t="str">
            <v>ゴッド</v>
          </cell>
          <cell r="O1385">
            <v>0.96</v>
          </cell>
          <cell r="P1385">
            <v>1.02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</row>
        <row r="1386">
          <cell r="A1386">
            <v>8010</v>
          </cell>
          <cell r="B1386" t="str">
            <v>極楽瑶池の聖母 西王娘娘</v>
          </cell>
          <cell r="C1386">
            <v>6</v>
          </cell>
          <cell r="D1386" t="str">
            <v>green</v>
          </cell>
          <cell r="E1386">
            <v>1.02</v>
          </cell>
          <cell r="F1386">
            <v>0.98</v>
          </cell>
          <cell r="G1386">
            <v>1</v>
          </cell>
          <cell r="H1386" t="str">
            <v>attack</v>
          </cell>
          <cell r="I1386" t="str">
            <v>攻撃タイプ</v>
          </cell>
          <cell r="J1386">
            <v>1</v>
          </cell>
          <cell r="K1386">
            <v>1.33</v>
          </cell>
          <cell r="L1386">
            <v>1</v>
          </cell>
          <cell r="M1386" t="str">
            <v>god</v>
          </cell>
          <cell r="N1386" t="str">
            <v>ゴッド</v>
          </cell>
          <cell r="O1386">
            <v>0.96</v>
          </cell>
          <cell r="P1386">
            <v>1.02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</row>
        <row r="1387">
          <cell r="A1387">
            <v>8011</v>
          </cell>
          <cell r="B1387" t="str">
            <v>月下老人</v>
          </cell>
          <cell r="C1387">
            <v>5</v>
          </cell>
          <cell r="D1387" t="str">
            <v>yellow</v>
          </cell>
          <cell r="E1387">
            <v>0.98</v>
          </cell>
          <cell r="F1387">
            <v>1.01</v>
          </cell>
          <cell r="G1387">
            <v>1</v>
          </cell>
          <cell r="H1387" t="str">
            <v>balance</v>
          </cell>
          <cell r="I1387" t="str">
            <v>バランスタイプ</v>
          </cell>
          <cell r="J1387">
            <v>1</v>
          </cell>
          <cell r="K1387">
            <v>1</v>
          </cell>
          <cell r="L1387">
            <v>1</v>
          </cell>
          <cell r="M1387" t="str">
            <v>god</v>
          </cell>
          <cell r="N1387" t="str">
            <v>ゴッド</v>
          </cell>
          <cell r="O1387">
            <v>0.96</v>
          </cell>
          <cell r="P1387">
            <v>1.02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</row>
        <row r="1388">
          <cell r="A1388">
            <v>8012</v>
          </cell>
          <cell r="B1388" t="str">
            <v>破戀斬る縁剣 月下老人</v>
          </cell>
          <cell r="C1388">
            <v>6</v>
          </cell>
          <cell r="D1388" t="str">
            <v>yellow</v>
          </cell>
          <cell r="E1388">
            <v>0.98</v>
          </cell>
          <cell r="F1388">
            <v>1.01</v>
          </cell>
          <cell r="G1388">
            <v>1</v>
          </cell>
          <cell r="H1388" t="str">
            <v>balance</v>
          </cell>
          <cell r="I1388" t="str">
            <v>バランスタイプ</v>
          </cell>
          <cell r="J1388">
            <v>1</v>
          </cell>
          <cell r="K1388">
            <v>1</v>
          </cell>
          <cell r="L1388">
            <v>1</v>
          </cell>
          <cell r="M1388" t="str">
            <v>god</v>
          </cell>
          <cell r="N1388" t="str">
            <v>ゴッド</v>
          </cell>
          <cell r="O1388">
            <v>0.96</v>
          </cell>
          <cell r="P1388">
            <v>1.02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</row>
        <row r="1389">
          <cell r="A1389">
            <v>8013</v>
          </cell>
          <cell r="B1389" t="str">
            <v>初音ミクV3</v>
          </cell>
          <cell r="C1389">
            <v>4</v>
          </cell>
          <cell r="D1389" t="str">
            <v>yellow</v>
          </cell>
          <cell r="E1389">
            <v>0.98</v>
          </cell>
          <cell r="F1389">
            <v>1.01</v>
          </cell>
          <cell r="G1389">
            <v>1</v>
          </cell>
          <cell r="H1389" t="str">
            <v>balance</v>
          </cell>
          <cell r="I1389" t="str">
            <v>バランスタイプ</v>
          </cell>
          <cell r="J1389">
            <v>1</v>
          </cell>
          <cell r="K1389">
            <v>1</v>
          </cell>
          <cell r="L1389">
            <v>1</v>
          </cell>
          <cell r="M1389" t="str">
            <v>unknown</v>
          </cell>
          <cell r="N1389" t="str">
            <v>Unknown</v>
          </cell>
          <cell r="O1389">
            <v>1</v>
          </cell>
          <cell r="P1389">
            <v>1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</row>
        <row r="1390">
          <cell r="A1390">
            <v>8014</v>
          </cell>
          <cell r="B1390" t="str">
            <v>初音ミクV3</v>
          </cell>
          <cell r="C1390">
            <v>5</v>
          </cell>
          <cell r="D1390" t="str">
            <v>yellow</v>
          </cell>
          <cell r="E1390">
            <v>0.98</v>
          </cell>
          <cell r="F1390">
            <v>1.01</v>
          </cell>
          <cell r="G1390">
            <v>1</v>
          </cell>
          <cell r="H1390" t="str">
            <v>balance</v>
          </cell>
          <cell r="I1390" t="str">
            <v>バランスタイプ</v>
          </cell>
          <cell r="J1390">
            <v>1</v>
          </cell>
          <cell r="K1390">
            <v>1</v>
          </cell>
          <cell r="L1390">
            <v>1</v>
          </cell>
          <cell r="M1390" t="str">
            <v>unknown</v>
          </cell>
          <cell r="N1390" t="str">
            <v>Unknown</v>
          </cell>
          <cell r="O1390">
            <v>1</v>
          </cell>
          <cell r="P1390">
            <v>1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</row>
        <row r="1391">
          <cell r="A1391">
            <v>8015</v>
          </cell>
          <cell r="B1391" t="str">
            <v>初音ミク・アペンド</v>
          </cell>
          <cell r="C1391">
            <v>4</v>
          </cell>
          <cell r="D1391" t="str">
            <v>green</v>
          </cell>
          <cell r="E1391">
            <v>1.02</v>
          </cell>
          <cell r="F1391">
            <v>0.98</v>
          </cell>
          <cell r="G1391">
            <v>1</v>
          </cell>
          <cell r="H1391" t="str">
            <v>technical</v>
          </cell>
          <cell r="I1391" t="str">
            <v>テクニカルタイプ</v>
          </cell>
          <cell r="J1391">
            <v>0.9</v>
          </cell>
          <cell r="K1391">
            <v>0.9</v>
          </cell>
          <cell r="L1391">
            <v>1</v>
          </cell>
          <cell r="M1391" t="str">
            <v>unknown</v>
          </cell>
          <cell r="N1391" t="str">
            <v>Unknown</v>
          </cell>
          <cell r="O1391">
            <v>1</v>
          </cell>
          <cell r="P1391">
            <v>1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</row>
        <row r="1392">
          <cell r="A1392">
            <v>8016</v>
          </cell>
          <cell r="B1392" t="str">
            <v>初音ミク・アペンド</v>
          </cell>
          <cell r="C1392">
            <v>5</v>
          </cell>
          <cell r="D1392" t="str">
            <v>green</v>
          </cell>
          <cell r="E1392">
            <v>1.02</v>
          </cell>
          <cell r="F1392">
            <v>0.98</v>
          </cell>
          <cell r="G1392">
            <v>1</v>
          </cell>
          <cell r="H1392" t="str">
            <v>technical</v>
          </cell>
          <cell r="I1392" t="str">
            <v>テクニカルタイプ</v>
          </cell>
          <cell r="J1392">
            <v>0.9</v>
          </cell>
          <cell r="K1392">
            <v>0.9</v>
          </cell>
          <cell r="L1392">
            <v>1</v>
          </cell>
          <cell r="M1392" t="str">
            <v>unknown</v>
          </cell>
          <cell r="N1392" t="str">
            <v>Unknown</v>
          </cell>
          <cell r="O1392">
            <v>1</v>
          </cell>
          <cell r="P1392">
            <v>1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</row>
        <row r="1393">
          <cell r="A1393">
            <v>8017</v>
          </cell>
          <cell r="B1393" t="str">
            <v>初音ミク</v>
          </cell>
          <cell r="C1393">
            <v>4</v>
          </cell>
          <cell r="D1393" t="str">
            <v>green</v>
          </cell>
          <cell r="E1393">
            <v>1.02</v>
          </cell>
          <cell r="F1393">
            <v>0.98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</row>
        <row r="1394">
          <cell r="A1394">
            <v>8018</v>
          </cell>
          <cell r="B1394" t="str">
            <v>初音ミク</v>
          </cell>
          <cell r="C1394">
            <v>5</v>
          </cell>
          <cell r="D1394" t="str">
            <v>green</v>
          </cell>
          <cell r="E1394">
            <v>1.02</v>
          </cell>
          <cell r="F1394">
            <v>0.98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</row>
        <row r="1395">
          <cell r="A1395">
            <v>8019</v>
          </cell>
          <cell r="B1395" t="str">
            <v>鏡音リン</v>
          </cell>
          <cell r="C1395">
            <v>4</v>
          </cell>
          <cell r="D1395" t="str">
            <v>yellow</v>
          </cell>
          <cell r="E1395">
            <v>0.98</v>
          </cell>
          <cell r="F1395">
            <v>1.01</v>
          </cell>
          <cell r="G1395">
            <v>1</v>
          </cell>
          <cell r="H1395" t="str">
            <v>balance</v>
          </cell>
          <cell r="I1395" t="str">
            <v>バランスタイプ</v>
          </cell>
          <cell r="J1395">
            <v>1</v>
          </cell>
          <cell r="K1395">
            <v>1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</row>
        <row r="1396">
          <cell r="A1396">
            <v>8020</v>
          </cell>
          <cell r="B1396" t="str">
            <v>鏡音リン</v>
          </cell>
          <cell r="C1396">
            <v>5</v>
          </cell>
          <cell r="D1396" t="str">
            <v>yellow</v>
          </cell>
          <cell r="E1396">
            <v>0.98</v>
          </cell>
          <cell r="F1396">
            <v>1.01</v>
          </cell>
          <cell r="G1396">
            <v>1</v>
          </cell>
          <cell r="H1396" t="str">
            <v>balance</v>
          </cell>
          <cell r="I1396" t="str">
            <v>バランスタイプ</v>
          </cell>
          <cell r="J1396">
            <v>1</v>
          </cell>
          <cell r="K1396">
            <v>1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</row>
        <row r="1397">
          <cell r="A1397">
            <v>8021</v>
          </cell>
          <cell r="B1397" t="str">
            <v>鏡音レン</v>
          </cell>
          <cell r="C1397">
            <v>4</v>
          </cell>
          <cell r="D1397" t="str">
            <v>yellow</v>
          </cell>
          <cell r="E1397">
            <v>0.98</v>
          </cell>
          <cell r="F1397">
            <v>1.01</v>
          </cell>
          <cell r="G1397">
            <v>1</v>
          </cell>
          <cell r="H1397" t="str">
            <v>heal</v>
          </cell>
          <cell r="I1397" t="str">
            <v>回復タイプ</v>
          </cell>
          <cell r="J1397">
            <v>0.8</v>
          </cell>
          <cell r="K1397">
            <v>0.78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</row>
        <row r="1398">
          <cell r="A1398">
            <v>8022</v>
          </cell>
          <cell r="B1398" t="str">
            <v>鏡音レン</v>
          </cell>
          <cell r="C1398">
            <v>5</v>
          </cell>
          <cell r="D1398" t="str">
            <v>yellow</v>
          </cell>
          <cell r="E1398">
            <v>0.98</v>
          </cell>
          <cell r="F1398">
            <v>1.01</v>
          </cell>
          <cell r="G1398">
            <v>1</v>
          </cell>
          <cell r="H1398" t="str">
            <v>heal</v>
          </cell>
          <cell r="I1398" t="str">
            <v>回復タイプ</v>
          </cell>
          <cell r="J1398">
            <v>0.8</v>
          </cell>
          <cell r="K1398">
            <v>0.78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</row>
        <row r="1399">
          <cell r="A1399">
            <v>8023</v>
          </cell>
          <cell r="B1399" t="str">
            <v>巡音ルカ</v>
          </cell>
          <cell r="C1399">
            <v>3</v>
          </cell>
          <cell r="D1399" t="str">
            <v>red</v>
          </cell>
          <cell r="E1399">
            <v>1</v>
          </cell>
          <cell r="F1399">
            <v>1.02</v>
          </cell>
          <cell r="G1399">
            <v>1</v>
          </cell>
          <cell r="H1399" t="str">
            <v>attack</v>
          </cell>
          <cell r="I1399" t="str">
            <v>攻撃タイプ</v>
          </cell>
          <cell r="J1399">
            <v>1</v>
          </cell>
          <cell r="K1399">
            <v>1.33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</row>
        <row r="1400">
          <cell r="A1400">
            <v>8024</v>
          </cell>
          <cell r="B1400" t="str">
            <v>巡音ルカ</v>
          </cell>
          <cell r="C1400">
            <v>4</v>
          </cell>
          <cell r="D1400" t="str">
            <v>red</v>
          </cell>
          <cell r="E1400">
            <v>1</v>
          </cell>
          <cell r="F1400">
            <v>1.02</v>
          </cell>
          <cell r="G1400">
            <v>1</v>
          </cell>
          <cell r="H1400" t="str">
            <v>attack</v>
          </cell>
          <cell r="I1400" t="str">
            <v>攻撃タイプ</v>
          </cell>
          <cell r="J1400">
            <v>1</v>
          </cell>
          <cell r="K1400">
            <v>1.33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</row>
        <row r="1401">
          <cell r="A1401">
            <v>8025</v>
          </cell>
          <cell r="B1401" t="str">
            <v>MEIKO</v>
          </cell>
          <cell r="C1401">
            <v>3</v>
          </cell>
          <cell r="D1401" t="str">
            <v>red</v>
          </cell>
          <cell r="E1401">
            <v>1</v>
          </cell>
          <cell r="F1401">
            <v>1.02</v>
          </cell>
          <cell r="G1401">
            <v>1</v>
          </cell>
          <cell r="H1401" t="str">
            <v>hp</v>
          </cell>
          <cell r="I1401" t="str">
            <v>体力タイプ</v>
          </cell>
          <cell r="J1401">
            <v>1.45</v>
          </cell>
          <cell r="K1401">
            <v>0.85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</row>
        <row r="1402">
          <cell r="A1402">
            <v>8026</v>
          </cell>
          <cell r="B1402" t="str">
            <v>MEIKO</v>
          </cell>
          <cell r="C1402">
            <v>4</v>
          </cell>
          <cell r="D1402" t="str">
            <v>red</v>
          </cell>
          <cell r="E1402">
            <v>1</v>
          </cell>
          <cell r="F1402">
            <v>1.02</v>
          </cell>
          <cell r="G1402">
            <v>1</v>
          </cell>
          <cell r="H1402" t="str">
            <v>hp</v>
          </cell>
          <cell r="I1402" t="str">
            <v>体力タイプ</v>
          </cell>
          <cell r="J1402">
            <v>1.45</v>
          </cell>
          <cell r="K1402">
            <v>0.85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</row>
        <row r="1403">
          <cell r="A1403">
            <v>8027</v>
          </cell>
          <cell r="B1403" t="str">
            <v>KAITO</v>
          </cell>
          <cell r="C1403">
            <v>3</v>
          </cell>
          <cell r="D1403" t="str">
            <v>blue</v>
          </cell>
          <cell r="E1403">
            <v>1</v>
          </cell>
          <cell r="F1403">
            <v>0.98</v>
          </cell>
          <cell r="G1403">
            <v>1</v>
          </cell>
          <cell r="H1403" t="str">
            <v>technical</v>
          </cell>
          <cell r="I1403" t="str">
            <v>テクニカルタイプ</v>
          </cell>
          <cell r="J1403">
            <v>0.9</v>
          </cell>
          <cell r="K1403">
            <v>0.9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</row>
        <row r="1404">
          <cell r="A1404">
            <v>8028</v>
          </cell>
          <cell r="B1404" t="str">
            <v>KAITO</v>
          </cell>
          <cell r="C1404">
            <v>4</v>
          </cell>
          <cell r="D1404" t="str">
            <v>blue</v>
          </cell>
          <cell r="E1404">
            <v>1</v>
          </cell>
          <cell r="F1404">
            <v>0.98</v>
          </cell>
          <cell r="G1404">
            <v>1</v>
          </cell>
          <cell r="H1404" t="str">
            <v>technical</v>
          </cell>
          <cell r="I1404" t="str">
            <v>テクニカルタイプ</v>
          </cell>
          <cell r="J1404">
            <v>0.9</v>
          </cell>
          <cell r="K1404">
            <v>0.9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</row>
        <row r="1405">
          <cell r="A1405">
            <v>8029</v>
          </cell>
          <cell r="B1405" t="str">
            <v>Expoミク</v>
          </cell>
          <cell r="C1405">
            <v>4</v>
          </cell>
          <cell r="D1405" t="str">
            <v>blue</v>
          </cell>
          <cell r="E1405">
            <v>1</v>
          </cell>
          <cell r="F1405">
            <v>0.98</v>
          </cell>
          <cell r="G1405">
            <v>1</v>
          </cell>
          <cell r="H1405" t="str">
            <v>heal</v>
          </cell>
          <cell r="I1405" t="str">
            <v>回復タイプ</v>
          </cell>
          <cell r="J1405">
            <v>0.8</v>
          </cell>
          <cell r="K1405">
            <v>0.78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</row>
        <row r="1406">
          <cell r="A1406">
            <v>8030</v>
          </cell>
          <cell r="B1406" t="str">
            <v>Expoミク</v>
          </cell>
          <cell r="C1406">
            <v>5</v>
          </cell>
          <cell r="D1406" t="str">
            <v>blue</v>
          </cell>
          <cell r="E1406">
            <v>1</v>
          </cell>
          <cell r="F1406">
            <v>0.98</v>
          </cell>
          <cell r="G1406">
            <v>1</v>
          </cell>
          <cell r="H1406" t="str">
            <v>heal</v>
          </cell>
          <cell r="I1406" t="str">
            <v>回復タイプ</v>
          </cell>
          <cell r="J1406">
            <v>0.8</v>
          </cell>
          <cell r="K1406">
            <v>0.78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</row>
        <row r="1407">
          <cell r="A1407">
            <v>8031</v>
          </cell>
          <cell r="B1407" t="str">
            <v>閻羅王</v>
          </cell>
          <cell r="C1407">
            <v>5</v>
          </cell>
          <cell r="D1407" t="str">
            <v>red</v>
          </cell>
          <cell r="E1407">
            <v>1</v>
          </cell>
          <cell r="F1407">
            <v>1.02</v>
          </cell>
          <cell r="G1407">
            <v>1</v>
          </cell>
          <cell r="H1407" t="str">
            <v>balance</v>
          </cell>
          <cell r="I1407" t="str">
            <v>バランスタイプ</v>
          </cell>
          <cell r="J1407">
            <v>1</v>
          </cell>
          <cell r="K1407">
            <v>1</v>
          </cell>
          <cell r="L1407">
            <v>1</v>
          </cell>
          <cell r="M1407" t="str">
            <v>god</v>
          </cell>
          <cell r="N1407" t="str">
            <v>ゴッド</v>
          </cell>
          <cell r="O1407">
            <v>0.96</v>
          </cell>
          <cell r="P1407">
            <v>1.02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</row>
        <row r="1408">
          <cell r="A1408">
            <v>8032</v>
          </cell>
          <cell r="B1408" t="str">
            <v>六道輪廻の絶獄 閻羅王</v>
          </cell>
          <cell r="C1408">
            <v>6</v>
          </cell>
          <cell r="D1408" t="str">
            <v>red</v>
          </cell>
          <cell r="E1408">
            <v>1</v>
          </cell>
          <cell r="F1408">
            <v>1.02</v>
          </cell>
          <cell r="G1408">
            <v>1</v>
          </cell>
          <cell r="H1408" t="str">
            <v>balance</v>
          </cell>
          <cell r="I1408" t="str">
            <v>バランスタイプ</v>
          </cell>
          <cell r="J1408">
            <v>1</v>
          </cell>
          <cell r="K1408">
            <v>1</v>
          </cell>
          <cell r="L1408">
            <v>1</v>
          </cell>
          <cell r="M1408" t="str">
            <v>god</v>
          </cell>
          <cell r="N1408" t="str">
            <v>ゴッド</v>
          </cell>
          <cell r="O1408">
            <v>0.96</v>
          </cell>
          <cell r="P1408">
            <v>1.02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</row>
        <row r="1409">
          <cell r="A1409">
            <v>8033</v>
          </cell>
          <cell r="B1409" t="str">
            <v>牛頭馬面</v>
          </cell>
          <cell r="C1409">
            <v>5</v>
          </cell>
          <cell r="D1409" t="str">
            <v>green</v>
          </cell>
          <cell r="E1409">
            <v>1.02</v>
          </cell>
          <cell r="F1409">
            <v>0.98</v>
          </cell>
          <cell r="G1409">
            <v>1</v>
          </cell>
          <cell r="H1409" t="str">
            <v>attack</v>
          </cell>
          <cell r="I1409" t="str">
            <v>攻撃タイプ</v>
          </cell>
          <cell r="J1409">
            <v>1</v>
          </cell>
          <cell r="K1409">
            <v>1.33</v>
          </cell>
          <cell r="L1409">
            <v>1</v>
          </cell>
          <cell r="M1409" t="str">
            <v>god</v>
          </cell>
          <cell r="N1409" t="str">
            <v>ゴッド</v>
          </cell>
          <cell r="O1409">
            <v>0.96</v>
          </cell>
          <cell r="P1409">
            <v>1.02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</row>
        <row r="1410">
          <cell r="A1410">
            <v>8034</v>
          </cell>
          <cell r="B1410" t="str">
            <v>冥府狩る魂使 牛頭馬面</v>
          </cell>
          <cell r="C1410">
            <v>6</v>
          </cell>
          <cell r="D1410" t="str">
            <v>green</v>
          </cell>
          <cell r="E1410">
            <v>1.02</v>
          </cell>
          <cell r="F1410">
            <v>0.98</v>
          </cell>
          <cell r="G1410">
            <v>1</v>
          </cell>
          <cell r="H1410" t="str">
            <v>attack</v>
          </cell>
          <cell r="I1410" t="str">
            <v>攻撃タイプ</v>
          </cell>
          <cell r="J1410">
            <v>1</v>
          </cell>
          <cell r="K1410">
            <v>1.33</v>
          </cell>
          <cell r="L1410">
            <v>1</v>
          </cell>
          <cell r="M1410" t="str">
            <v>god</v>
          </cell>
          <cell r="N1410" t="str">
            <v>ゴッド</v>
          </cell>
          <cell r="O1410">
            <v>0.96</v>
          </cell>
          <cell r="P1410">
            <v>1.02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</row>
        <row r="1411">
          <cell r="A1411">
            <v>8035</v>
          </cell>
          <cell r="B1411" t="str">
            <v>飛衛</v>
          </cell>
          <cell r="C1411">
            <v>5</v>
          </cell>
          <cell r="D1411" t="str">
            <v>blue</v>
          </cell>
          <cell r="E1411">
            <v>1</v>
          </cell>
          <cell r="F1411">
            <v>0.98</v>
          </cell>
          <cell r="G1411">
            <v>1</v>
          </cell>
          <cell r="H1411" t="str">
            <v>heal</v>
          </cell>
          <cell r="I1411" t="str">
            <v>回復タイプ</v>
          </cell>
          <cell r="J1411">
            <v>0.8</v>
          </cell>
          <cell r="K1411">
            <v>0.78</v>
          </cell>
          <cell r="L1411">
            <v>1</v>
          </cell>
          <cell r="M1411" t="str">
            <v>human</v>
          </cell>
          <cell r="N1411" t="str">
            <v>ヒューマン</v>
          </cell>
          <cell r="O1411">
            <v>0.94</v>
          </cell>
          <cell r="P1411">
            <v>0.99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</row>
        <row r="1412">
          <cell r="A1412">
            <v>8036</v>
          </cell>
          <cell r="B1412" t="str">
            <v>レア６飛衛</v>
          </cell>
          <cell r="C1412">
            <v>6</v>
          </cell>
          <cell r="D1412" t="str">
            <v>blue</v>
          </cell>
          <cell r="E1412">
            <v>1</v>
          </cell>
          <cell r="F1412">
            <v>0.98</v>
          </cell>
          <cell r="G1412">
            <v>1</v>
          </cell>
          <cell r="H1412" t="str">
            <v>heal</v>
          </cell>
          <cell r="I1412" t="str">
            <v>回復タイプ</v>
          </cell>
          <cell r="J1412">
            <v>0.8</v>
          </cell>
          <cell r="K1412">
            <v>0.78</v>
          </cell>
          <cell r="L1412">
            <v>1</v>
          </cell>
          <cell r="M1412" t="str">
            <v>human</v>
          </cell>
          <cell r="N1412" t="str">
            <v>ヒューマン</v>
          </cell>
          <cell r="O1412">
            <v>0.94</v>
          </cell>
          <cell r="P1412">
            <v>0.99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</row>
        <row r="1413">
          <cell r="A1413">
            <v>8037</v>
          </cell>
          <cell r="B1413" t="str">
            <v>紀昌</v>
          </cell>
          <cell r="C1413">
            <v>5</v>
          </cell>
          <cell r="D1413" t="str">
            <v>red</v>
          </cell>
          <cell r="E1413">
            <v>1</v>
          </cell>
          <cell r="F1413">
            <v>1.02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human</v>
          </cell>
          <cell r="N1413" t="str">
            <v>ヒューマン</v>
          </cell>
          <cell r="O1413">
            <v>0.94</v>
          </cell>
          <cell r="P1413">
            <v>0.99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</row>
        <row r="1414">
          <cell r="A1414">
            <v>8038</v>
          </cell>
          <cell r="B1414" t="str">
            <v>レア６紀昌</v>
          </cell>
          <cell r="C1414">
            <v>6</v>
          </cell>
          <cell r="D1414" t="str">
            <v>red</v>
          </cell>
          <cell r="E1414">
            <v>1</v>
          </cell>
          <cell r="F1414">
            <v>1.02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human</v>
          </cell>
          <cell r="N1414" t="str">
            <v>ヒューマン</v>
          </cell>
          <cell r="O1414">
            <v>0.94</v>
          </cell>
          <cell r="P1414">
            <v>0.99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</row>
        <row r="1415">
          <cell r="A1415">
            <v>8039</v>
          </cell>
          <cell r="B1415" t="str">
            <v>何仙姑</v>
          </cell>
          <cell r="C1415">
            <v>5</v>
          </cell>
          <cell r="D1415" t="str">
            <v>yellow</v>
          </cell>
          <cell r="E1415">
            <v>0.98</v>
          </cell>
          <cell r="F1415">
            <v>1.01</v>
          </cell>
          <cell r="G1415">
            <v>1</v>
          </cell>
          <cell r="H1415" t="str">
            <v>hp</v>
          </cell>
          <cell r="I1415" t="str">
            <v>体力タイプ</v>
          </cell>
          <cell r="J1415">
            <v>1.45</v>
          </cell>
          <cell r="K1415">
            <v>0.85</v>
          </cell>
          <cell r="L1415">
            <v>1</v>
          </cell>
          <cell r="M1415" t="str">
            <v>god</v>
          </cell>
          <cell r="N1415" t="str">
            <v>ゴッド</v>
          </cell>
          <cell r="O1415">
            <v>0.96</v>
          </cell>
          <cell r="P1415">
            <v>1.02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</row>
        <row r="1416">
          <cell r="A1416">
            <v>8040</v>
          </cell>
          <cell r="B1416" t="str">
            <v>レア６何仙姑</v>
          </cell>
          <cell r="C1416">
            <v>6</v>
          </cell>
          <cell r="D1416" t="str">
            <v>yellow</v>
          </cell>
          <cell r="E1416">
            <v>0.98</v>
          </cell>
          <cell r="F1416">
            <v>1.01</v>
          </cell>
          <cell r="G1416">
            <v>1</v>
          </cell>
          <cell r="H1416" t="str">
            <v>hp</v>
          </cell>
          <cell r="I1416" t="str">
            <v>体力タイプ</v>
          </cell>
          <cell r="J1416">
            <v>1.45</v>
          </cell>
          <cell r="K1416">
            <v>0.85</v>
          </cell>
          <cell r="L1416">
            <v>1</v>
          </cell>
          <cell r="M1416" t="str">
            <v>god</v>
          </cell>
          <cell r="N1416" t="str">
            <v>ゴッド</v>
          </cell>
          <cell r="O1416">
            <v>0.96</v>
          </cell>
          <cell r="P1416">
            <v>1.02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</row>
        <row r="1417">
          <cell r="A1417">
            <v>8041</v>
          </cell>
          <cell r="B1417" t="str">
            <v>藍采和</v>
          </cell>
          <cell r="C1417">
            <v>5</v>
          </cell>
          <cell r="D1417" t="str">
            <v>blue</v>
          </cell>
          <cell r="E1417">
            <v>1</v>
          </cell>
          <cell r="F1417">
            <v>0.98</v>
          </cell>
          <cell r="G1417">
            <v>1</v>
          </cell>
          <cell r="H1417" t="str">
            <v>balance</v>
          </cell>
          <cell r="I1417" t="str">
            <v>バランスタイプ</v>
          </cell>
          <cell r="J1417">
            <v>1</v>
          </cell>
          <cell r="K1417">
            <v>1</v>
          </cell>
          <cell r="L1417">
            <v>1</v>
          </cell>
          <cell r="M1417" t="str">
            <v>god</v>
          </cell>
          <cell r="N1417" t="str">
            <v>ゴッド</v>
          </cell>
          <cell r="O1417">
            <v>0.96</v>
          </cell>
          <cell r="P1417">
            <v>1.02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</row>
        <row r="1418">
          <cell r="A1418">
            <v>8042</v>
          </cell>
          <cell r="B1418" t="str">
            <v>レア６藍采和</v>
          </cell>
          <cell r="C1418">
            <v>6</v>
          </cell>
          <cell r="D1418" t="str">
            <v>blue</v>
          </cell>
          <cell r="E1418">
            <v>1</v>
          </cell>
          <cell r="F1418">
            <v>0.98</v>
          </cell>
          <cell r="G1418">
            <v>1</v>
          </cell>
          <cell r="H1418" t="str">
            <v>balance</v>
          </cell>
          <cell r="I1418" t="str">
            <v>バランスタイプ</v>
          </cell>
          <cell r="J1418">
            <v>1</v>
          </cell>
          <cell r="K1418">
            <v>1</v>
          </cell>
          <cell r="L1418">
            <v>1</v>
          </cell>
          <cell r="M1418" t="str">
            <v>god</v>
          </cell>
          <cell r="N1418" t="str">
            <v>ゴッド</v>
          </cell>
          <cell r="O1418">
            <v>0.96</v>
          </cell>
          <cell r="P1418">
            <v>1.02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</row>
        <row r="1419">
          <cell r="A1419">
            <v>8043</v>
          </cell>
          <cell r="B1419" t="str">
            <v>サンリオキャラ大集合+アザゼル</v>
          </cell>
          <cell r="C1419">
            <v>5</v>
          </cell>
          <cell r="D1419" t="str">
            <v>green</v>
          </cell>
          <cell r="E1419">
            <v>1.02</v>
          </cell>
          <cell r="F1419">
            <v>0.98</v>
          </cell>
          <cell r="G1419">
            <v>1</v>
          </cell>
          <cell r="H1419" t="str">
            <v>technical</v>
          </cell>
          <cell r="I1419" t="str">
            <v>テクニカルタイプ</v>
          </cell>
          <cell r="J1419">
            <v>1</v>
          </cell>
          <cell r="K1419">
            <v>1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</row>
        <row r="1420">
          <cell r="A1420">
            <v>8044</v>
          </cell>
          <cell r="B1420" t="str">
            <v>サンリオキャラ大集合+アザゼル</v>
          </cell>
          <cell r="C1420">
            <v>6</v>
          </cell>
          <cell r="D1420" t="str">
            <v>green</v>
          </cell>
          <cell r="E1420">
            <v>1.02</v>
          </cell>
          <cell r="F1420">
            <v>0.98</v>
          </cell>
          <cell r="G1420">
            <v>1</v>
          </cell>
          <cell r="H1420" t="str">
            <v>technical</v>
          </cell>
          <cell r="I1420" t="str">
            <v>テクニカルタイプ</v>
          </cell>
          <cell r="J1420">
            <v>1</v>
          </cell>
          <cell r="K1420">
            <v>1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</row>
        <row r="1421">
          <cell r="A1421">
            <v>8045</v>
          </cell>
          <cell r="B1421" t="str">
            <v>ニムダ_サンリオキャラ混じり</v>
          </cell>
          <cell r="C1421">
            <v>4</v>
          </cell>
          <cell r="D1421" t="str">
            <v>yellow</v>
          </cell>
          <cell r="E1421">
            <v>0.98</v>
          </cell>
          <cell r="F1421">
            <v>1.01</v>
          </cell>
          <cell r="G1421">
            <v>1</v>
          </cell>
          <cell r="H1421" t="str">
            <v>technical</v>
          </cell>
          <cell r="I1421" t="str">
            <v>テクニカルタイプ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unknown</v>
          </cell>
          <cell r="N1421" t="str">
            <v>Unknown</v>
          </cell>
          <cell r="O1421">
            <v>1</v>
          </cell>
          <cell r="P1421">
            <v>1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</row>
        <row r="1422">
          <cell r="A1422">
            <v>8046</v>
          </cell>
          <cell r="B1422" t="str">
            <v>ニムダ_サンリオキャラ混じり</v>
          </cell>
          <cell r="C1422">
            <v>5</v>
          </cell>
          <cell r="D1422" t="str">
            <v>yellow</v>
          </cell>
          <cell r="E1422">
            <v>0.98</v>
          </cell>
          <cell r="F1422">
            <v>1.01</v>
          </cell>
          <cell r="G1422">
            <v>1</v>
          </cell>
          <cell r="H1422" t="str">
            <v>technical</v>
          </cell>
          <cell r="I1422" t="str">
            <v>テクニカルタイプ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unknown</v>
          </cell>
          <cell r="N1422" t="str">
            <v>Unknown</v>
          </cell>
          <cell r="O1422">
            <v>1</v>
          </cell>
          <cell r="P1422">
            <v>1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</row>
        <row r="1423">
          <cell r="A1423">
            <v>8047</v>
          </cell>
          <cell r="B1423" t="str">
            <v>ハローキティ</v>
          </cell>
          <cell r="C1423">
            <v>4</v>
          </cell>
          <cell r="D1423" t="str">
            <v>red</v>
          </cell>
          <cell r="E1423">
            <v>1</v>
          </cell>
          <cell r="F1423">
            <v>1.02</v>
          </cell>
          <cell r="G1423">
            <v>1</v>
          </cell>
          <cell r="H1423" t="str">
            <v>balance</v>
          </cell>
          <cell r="I1423" t="str">
            <v>バランスタイプ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unknown</v>
          </cell>
          <cell r="N1423" t="str">
            <v>Unknown</v>
          </cell>
          <cell r="O1423">
            <v>1</v>
          </cell>
          <cell r="P1423">
            <v>1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</row>
        <row r="1424">
          <cell r="A1424">
            <v>8048</v>
          </cell>
          <cell r="B1424" t="str">
            <v>ハローキティ</v>
          </cell>
          <cell r="C1424">
            <v>5</v>
          </cell>
          <cell r="D1424" t="str">
            <v>red</v>
          </cell>
          <cell r="E1424">
            <v>1</v>
          </cell>
          <cell r="F1424">
            <v>1.02</v>
          </cell>
          <cell r="G1424">
            <v>1</v>
          </cell>
          <cell r="H1424" t="str">
            <v>balance</v>
          </cell>
          <cell r="I1424" t="str">
            <v>バランスタイプ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unknown</v>
          </cell>
          <cell r="N1424" t="str">
            <v>Unknown</v>
          </cell>
          <cell r="O1424">
            <v>1</v>
          </cell>
          <cell r="P1424">
            <v>1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</row>
        <row r="1425">
          <cell r="A1425">
            <v>8049</v>
          </cell>
          <cell r="B1425" t="str">
            <v>KIRIMIちゃん</v>
          </cell>
          <cell r="C1425">
            <v>4</v>
          </cell>
          <cell r="D1425" t="str">
            <v>red</v>
          </cell>
          <cell r="E1425">
            <v>1</v>
          </cell>
          <cell r="F1425">
            <v>1.02</v>
          </cell>
          <cell r="G1425">
            <v>1</v>
          </cell>
          <cell r="H1425" t="str">
            <v>hp</v>
          </cell>
          <cell r="I1425" t="str">
            <v>体力タイプ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</row>
        <row r="1426">
          <cell r="A1426">
            <v>8050</v>
          </cell>
          <cell r="B1426" t="str">
            <v>KIRIMIちゃん</v>
          </cell>
          <cell r="C1426">
            <v>5</v>
          </cell>
          <cell r="D1426" t="str">
            <v>red</v>
          </cell>
          <cell r="E1426">
            <v>1</v>
          </cell>
          <cell r="F1426">
            <v>1.02</v>
          </cell>
          <cell r="G1426">
            <v>1</v>
          </cell>
          <cell r="H1426" t="str">
            <v>hp</v>
          </cell>
          <cell r="I1426" t="str">
            <v>体力タイプ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</row>
        <row r="1427">
          <cell r="A1427">
            <v>8051</v>
          </cell>
          <cell r="B1427" t="str">
            <v>ハローキティのリボン</v>
          </cell>
          <cell r="C1427">
            <v>5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evolution</v>
          </cell>
          <cell r="I1427" t="str">
            <v>覚醒素材タイプ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</row>
        <row r="1428">
          <cell r="A1428">
            <v>8052</v>
          </cell>
          <cell r="B1428" t="str">
            <v>ママの作ったアップルパイ</v>
          </cell>
          <cell r="C1428">
            <v>4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evolution</v>
          </cell>
          <cell r="I1428" t="str">
            <v>覚醒素材タイプ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</row>
        <row r="1429">
          <cell r="A1429">
            <v>8053</v>
          </cell>
          <cell r="B1429" t="str">
            <v>D.R.T.H__キティコスプレ</v>
          </cell>
          <cell r="C1429">
            <v>5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balance</v>
          </cell>
          <cell r="I1429" t="str">
            <v>バランスタイプ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human</v>
          </cell>
          <cell r="N1429" t="str">
            <v>ヒューマン</v>
          </cell>
          <cell r="O1429">
            <v>0.94</v>
          </cell>
          <cell r="P1429">
            <v>0.99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</row>
        <row r="1430">
          <cell r="A1430">
            <v>8054</v>
          </cell>
          <cell r="B1430" t="str">
            <v>D.R.T.H__キティコスプレ</v>
          </cell>
          <cell r="C1430">
            <v>6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balance</v>
          </cell>
          <cell r="I1430" t="str">
            <v>バランスタイプ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human</v>
          </cell>
          <cell r="N1430" t="str">
            <v>ヒューマン</v>
          </cell>
          <cell r="O1430">
            <v>0.94</v>
          </cell>
          <cell r="P1430">
            <v>0.99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</row>
        <row r="1431">
          <cell r="A1431">
            <v>8055</v>
          </cell>
          <cell r="B1431" t="str">
            <v>マイメロディ</v>
          </cell>
          <cell r="C1431">
            <v>4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attack</v>
          </cell>
          <cell r="I1431" t="str">
            <v>攻撃タイプ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</row>
        <row r="1432">
          <cell r="A1432">
            <v>8056</v>
          </cell>
          <cell r="B1432" t="str">
            <v>マイメロディ</v>
          </cell>
          <cell r="C1432">
            <v>5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attack</v>
          </cell>
          <cell r="I1432" t="str">
            <v>攻撃タイプ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</row>
        <row r="1433">
          <cell r="A1433">
            <v>8057</v>
          </cell>
          <cell r="B1433" t="str">
            <v>ニーベルゲン_シナモロールコスプレ</v>
          </cell>
          <cell r="C1433">
            <v>4</v>
          </cell>
          <cell r="D1433" t="str">
            <v>green</v>
          </cell>
          <cell r="E1433">
            <v>1.02</v>
          </cell>
          <cell r="F1433">
            <v>0.98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unknown</v>
          </cell>
          <cell r="N1433" t="str">
            <v>Unknown</v>
          </cell>
          <cell r="O1433">
            <v>1</v>
          </cell>
          <cell r="P1433">
            <v>1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</row>
        <row r="1434">
          <cell r="A1434">
            <v>8058</v>
          </cell>
          <cell r="B1434" t="str">
            <v>ニーベルゲン_シナモロールコスプレ</v>
          </cell>
          <cell r="C1434">
            <v>5</v>
          </cell>
          <cell r="D1434" t="str">
            <v>green</v>
          </cell>
          <cell r="E1434">
            <v>1.02</v>
          </cell>
          <cell r="F1434">
            <v>0.98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unknown</v>
          </cell>
          <cell r="N1434" t="str">
            <v>Unknown</v>
          </cell>
          <cell r="O1434">
            <v>1</v>
          </cell>
          <cell r="P1434">
            <v>1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</row>
        <row r="1435">
          <cell r="A1435">
            <v>8059</v>
          </cell>
          <cell r="B1435" t="str">
            <v>カカシ_マイメロディコスプレ</v>
          </cell>
          <cell r="C1435">
            <v>4</v>
          </cell>
          <cell r="D1435" t="str">
            <v>green</v>
          </cell>
          <cell r="E1435">
            <v>1.02</v>
          </cell>
          <cell r="F1435">
            <v>0.98</v>
          </cell>
          <cell r="G1435">
            <v>1</v>
          </cell>
          <cell r="H1435" t="str">
            <v>technical</v>
          </cell>
          <cell r="I1435" t="str">
            <v>テクニカルタイプ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human</v>
          </cell>
          <cell r="N1435" t="str">
            <v>ヒューマン</v>
          </cell>
          <cell r="O1435">
            <v>0.94</v>
          </cell>
          <cell r="P1435">
            <v>0.99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</row>
        <row r="1436">
          <cell r="A1436">
            <v>8060</v>
          </cell>
          <cell r="B1436" t="str">
            <v>カカシ_マイメロディコスプレ</v>
          </cell>
          <cell r="C1436">
            <v>5</v>
          </cell>
          <cell r="D1436" t="str">
            <v>green</v>
          </cell>
          <cell r="E1436">
            <v>1.02</v>
          </cell>
          <cell r="F1436">
            <v>0.98</v>
          </cell>
          <cell r="G1436">
            <v>1</v>
          </cell>
          <cell r="H1436" t="str">
            <v>technical</v>
          </cell>
          <cell r="I1436" t="str">
            <v>テクニカルタイプ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human</v>
          </cell>
          <cell r="N1436" t="str">
            <v>ヒューマン</v>
          </cell>
          <cell r="O1436">
            <v>0.94</v>
          </cell>
          <cell r="P1436">
            <v>0.99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</row>
        <row r="1437">
          <cell r="A1437">
            <v>8061</v>
          </cell>
          <cell r="B1437" t="str">
            <v>ケロケロけろっぴ</v>
          </cell>
          <cell r="C1437">
            <v>3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</row>
        <row r="1438">
          <cell r="A1438">
            <v>8062</v>
          </cell>
          <cell r="B1438" t="str">
            <v>ケロケロけろっぴ</v>
          </cell>
          <cell r="C1438">
            <v>4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</row>
        <row r="1439">
          <cell r="A1439">
            <v>8063</v>
          </cell>
          <cell r="B1439" t="str">
            <v>モルドレッド_ポムポムプリンコスプレ</v>
          </cell>
          <cell r="C1439">
            <v>5</v>
          </cell>
          <cell r="D1439" t="str">
            <v>blue</v>
          </cell>
          <cell r="E1439">
            <v>1</v>
          </cell>
          <cell r="F1439">
            <v>0.98</v>
          </cell>
          <cell r="G1439">
            <v>1</v>
          </cell>
          <cell r="H1439" t="str">
            <v>heal</v>
          </cell>
          <cell r="I1439" t="str">
            <v>回復タイプ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</row>
        <row r="1440">
          <cell r="A1440">
            <v>8064</v>
          </cell>
          <cell r="B1440" t="str">
            <v>モルドレッド_ポムポムプリンコスプレ</v>
          </cell>
          <cell r="C1440">
            <v>6</v>
          </cell>
          <cell r="D1440" t="str">
            <v>blue</v>
          </cell>
          <cell r="E1440">
            <v>1</v>
          </cell>
          <cell r="F1440">
            <v>0.98</v>
          </cell>
          <cell r="G1440">
            <v>1</v>
          </cell>
          <cell r="H1440" t="str">
            <v>heal</v>
          </cell>
          <cell r="I1440" t="str">
            <v>回復タイプ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</row>
        <row r="1441">
          <cell r="A1441">
            <v>8065</v>
          </cell>
          <cell r="B1441" t="str">
            <v>クロミ</v>
          </cell>
          <cell r="C1441">
            <v>3</v>
          </cell>
          <cell r="D1441" t="str">
            <v>blue</v>
          </cell>
          <cell r="E1441">
            <v>1</v>
          </cell>
          <cell r="F1441">
            <v>0.98</v>
          </cell>
          <cell r="G1441">
            <v>1</v>
          </cell>
          <cell r="H1441" t="str">
            <v>technical</v>
          </cell>
          <cell r="I1441" t="str">
            <v>テクニカルタイプ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</row>
        <row r="1442">
          <cell r="A1442">
            <v>8066</v>
          </cell>
          <cell r="B1442" t="str">
            <v>クロミ</v>
          </cell>
          <cell r="C1442">
            <v>4</v>
          </cell>
          <cell r="D1442" t="str">
            <v>blue</v>
          </cell>
          <cell r="E1442">
            <v>1</v>
          </cell>
          <cell r="F1442">
            <v>0.98</v>
          </cell>
          <cell r="G1442">
            <v>1</v>
          </cell>
          <cell r="H1442" t="str">
            <v>technical</v>
          </cell>
          <cell r="I1442" t="str">
            <v>テクニカルタイプ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</row>
        <row r="1443">
          <cell r="A1443">
            <v>8067</v>
          </cell>
          <cell r="B1443" t="str">
            <v>バッドばつ丸</v>
          </cell>
          <cell r="C1443">
            <v>3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attack</v>
          </cell>
          <cell r="I1443" t="str">
            <v>攻撃タイプ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unknown</v>
          </cell>
          <cell r="N1443" t="str">
            <v>Unknown</v>
          </cell>
          <cell r="O1443">
            <v>1</v>
          </cell>
          <cell r="P1443">
            <v>1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</row>
        <row r="1444">
          <cell r="A1444">
            <v>8068</v>
          </cell>
          <cell r="B1444" t="str">
            <v>バッドばつ丸</v>
          </cell>
          <cell r="C1444">
            <v>4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attack</v>
          </cell>
          <cell r="I1444" t="str">
            <v>攻撃タイプ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unknown</v>
          </cell>
          <cell r="N1444" t="str">
            <v>Unknown</v>
          </cell>
          <cell r="O1444">
            <v>1</v>
          </cell>
          <cell r="P1444">
            <v>1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</row>
        <row r="1445">
          <cell r="A1445">
            <v>8069</v>
          </cell>
          <cell r="B1445" t="str">
            <v>シナモロール</v>
          </cell>
          <cell r="C1445">
            <v>4</v>
          </cell>
          <cell r="D1445" t="str">
            <v>yellow</v>
          </cell>
          <cell r="E1445">
            <v>0.98</v>
          </cell>
          <cell r="F1445">
            <v>1.01</v>
          </cell>
          <cell r="G1445">
            <v>1</v>
          </cell>
          <cell r="H1445" t="str">
            <v>heal</v>
          </cell>
          <cell r="I1445" t="str">
            <v>回復タイプ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</row>
        <row r="1446">
          <cell r="A1446">
            <v>8070</v>
          </cell>
          <cell r="B1446" t="str">
            <v>シナモロール</v>
          </cell>
          <cell r="C1446">
            <v>5</v>
          </cell>
          <cell r="D1446" t="str">
            <v>yellow</v>
          </cell>
          <cell r="E1446">
            <v>0.98</v>
          </cell>
          <cell r="F1446">
            <v>1.01</v>
          </cell>
          <cell r="G1446">
            <v>1</v>
          </cell>
          <cell r="H1446" t="str">
            <v>heal</v>
          </cell>
          <cell r="I1446" t="str">
            <v>回復タイプ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</row>
        <row r="1447">
          <cell r="A1447">
            <v>8071</v>
          </cell>
          <cell r="B1447" t="str">
            <v>ポムポムプリン</v>
          </cell>
          <cell r="C1447">
            <v>3</v>
          </cell>
          <cell r="D1447" t="str">
            <v>yellow</v>
          </cell>
          <cell r="E1447">
            <v>0.98</v>
          </cell>
          <cell r="F1447">
            <v>1.01</v>
          </cell>
          <cell r="G1447">
            <v>1</v>
          </cell>
          <cell r="H1447" t="str">
            <v>hp</v>
          </cell>
          <cell r="I1447" t="str">
            <v>体力タイプ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</row>
        <row r="1448">
          <cell r="A1448">
            <v>8072</v>
          </cell>
          <cell r="B1448" t="str">
            <v>ポムポムプリン</v>
          </cell>
          <cell r="C1448">
            <v>4</v>
          </cell>
          <cell r="D1448" t="str">
            <v>yellow</v>
          </cell>
          <cell r="E1448">
            <v>0.98</v>
          </cell>
          <cell r="F1448">
            <v>1.01</v>
          </cell>
          <cell r="G1448">
            <v>1</v>
          </cell>
          <cell r="H1448" t="str">
            <v>hp</v>
          </cell>
          <cell r="I1448" t="str">
            <v>体力タイプ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</row>
        <row r="1449">
          <cell r="A1449">
            <v>8073</v>
          </cell>
          <cell r="B1449" t="str">
            <v>星海祈る天光妃 媽祖</v>
          </cell>
          <cell r="C1449">
            <v>6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attack</v>
          </cell>
          <cell r="I1449" t="str">
            <v>攻撃タイプ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</row>
        <row r="1450">
          <cell r="A1450">
            <v>8074</v>
          </cell>
          <cell r="B1450" t="str">
            <v>海戀の絶龍姫 蛟龍</v>
          </cell>
          <cell r="C1450">
            <v>6</v>
          </cell>
          <cell r="D1450" t="str">
            <v>blue</v>
          </cell>
          <cell r="E1450">
            <v>1</v>
          </cell>
          <cell r="F1450">
            <v>0.98</v>
          </cell>
          <cell r="G1450">
            <v>1</v>
          </cell>
          <cell r="H1450" t="str">
            <v>hp</v>
          </cell>
          <cell r="I1450" t="str">
            <v>体力タイプ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</row>
        <row r="1451">
          <cell r="A1451">
            <v>8077</v>
          </cell>
          <cell r="B1451" t="str">
            <v>鄭成功</v>
          </cell>
          <cell r="C1451">
            <v>5</v>
          </cell>
          <cell r="D1451" t="str">
            <v>blue</v>
          </cell>
          <cell r="E1451">
            <v>1</v>
          </cell>
          <cell r="F1451">
            <v>0.98</v>
          </cell>
          <cell r="G1451">
            <v>1</v>
          </cell>
          <cell r="H1451" t="str">
            <v>attack</v>
          </cell>
          <cell r="I1451" t="str">
            <v>攻撃タイプ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</row>
        <row r="1452">
          <cell r="A1452">
            <v>8078</v>
          </cell>
          <cell r="B1452" t="str">
            <v>レア６鄭成功</v>
          </cell>
          <cell r="C1452">
            <v>6</v>
          </cell>
          <cell r="D1452" t="str">
            <v>blue</v>
          </cell>
          <cell r="E1452">
            <v>1</v>
          </cell>
          <cell r="F1452">
            <v>0.98</v>
          </cell>
          <cell r="G1452">
            <v>1</v>
          </cell>
          <cell r="H1452" t="str">
            <v>attack</v>
          </cell>
          <cell r="I1452" t="str">
            <v>攻撃タイプ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</row>
        <row r="1453">
          <cell r="A1453">
            <v>8079</v>
          </cell>
          <cell r="B1453" t="str">
            <v>赤鬼</v>
          </cell>
          <cell r="C1453">
            <v>5</v>
          </cell>
          <cell r="D1453" t="str">
            <v>red</v>
          </cell>
          <cell r="E1453">
            <v>1</v>
          </cell>
          <cell r="F1453">
            <v>1.02</v>
          </cell>
          <cell r="G1453">
            <v>1</v>
          </cell>
          <cell r="H1453" t="str">
            <v>hp</v>
          </cell>
          <cell r="I1453" t="str">
            <v>体力タイプ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</row>
        <row r="1454">
          <cell r="A1454">
            <v>8080</v>
          </cell>
          <cell r="B1454" t="str">
            <v>レア６赤鬼</v>
          </cell>
          <cell r="C1454">
            <v>6</v>
          </cell>
          <cell r="D1454" t="str">
            <v>red</v>
          </cell>
          <cell r="E1454">
            <v>1</v>
          </cell>
          <cell r="F1454">
            <v>1.02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</row>
        <row r="1455">
          <cell r="A1455">
            <v>8081</v>
          </cell>
          <cell r="B1455" t="str">
            <v>関羽</v>
          </cell>
          <cell r="C1455">
            <v>5</v>
          </cell>
          <cell r="D1455" t="str">
            <v>green</v>
          </cell>
          <cell r="E1455">
            <v>1.02</v>
          </cell>
          <cell r="F1455">
            <v>0.98</v>
          </cell>
          <cell r="G1455">
            <v>1</v>
          </cell>
          <cell r="H1455" t="str">
            <v>balance</v>
          </cell>
          <cell r="I1455" t="str">
            <v>バランスタイプ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</row>
        <row r="1456">
          <cell r="A1456">
            <v>8082</v>
          </cell>
          <cell r="B1456" t="str">
            <v>★６関羽</v>
          </cell>
          <cell r="C1456">
            <v>6</v>
          </cell>
          <cell r="D1456" t="str">
            <v>green</v>
          </cell>
          <cell r="E1456">
            <v>1.02</v>
          </cell>
          <cell r="F1456">
            <v>0.98</v>
          </cell>
          <cell r="G1456">
            <v>1</v>
          </cell>
          <cell r="H1456" t="str">
            <v>balance</v>
          </cell>
          <cell r="I1456" t="str">
            <v>バランスタイプ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</row>
        <row r="1457">
          <cell r="A1457">
            <v>8083</v>
          </cell>
          <cell r="B1457" t="str">
            <v>曹操</v>
          </cell>
          <cell r="C1457">
            <v>5</v>
          </cell>
          <cell r="D1457" t="str">
            <v>yellow</v>
          </cell>
          <cell r="E1457">
            <v>0.98</v>
          </cell>
          <cell r="F1457">
            <v>1.01</v>
          </cell>
          <cell r="G1457">
            <v>1</v>
          </cell>
          <cell r="H1457" t="str">
            <v>technical</v>
          </cell>
          <cell r="I1457" t="str">
            <v>テクニカルタイプ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</row>
        <row r="1458">
          <cell r="A1458">
            <v>8084</v>
          </cell>
          <cell r="B1458" t="str">
            <v>★６曹操</v>
          </cell>
          <cell r="C1458">
            <v>6</v>
          </cell>
          <cell r="D1458" t="str">
            <v>yellow</v>
          </cell>
          <cell r="E1458">
            <v>0.98</v>
          </cell>
          <cell r="F1458">
            <v>1.01</v>
          </cell>
          <cell r="G1458">
            <v>1</v>
          </cell>
          <cell r="H1458" t="str">
            <v>technical</v>
          </cell>
          <cell r="I1458" t="str">
            <v>テクニカルタイプ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</row>
        <row r="1459">
          <cell r="A1459">
            <v>8087</v>
          </cell>
          <cell r="B1459" t="str">
            <v>財神</v>
          </cell>
          <cell r="C1459">
            <v>5</v>
          </cell>
          <cell r="D1459" t="str">
            <v>red</v>
          </cell>
          <cell r="E1459">
            <v>1</v>
          </cell>
          <cell r="F1459">
            <v>1.02</v>
          </cell>
          <cell r="G1459">
            <v>1</v>
          </cell>
          <cell r="H1459" t="str">
            <v>technical</v>
          </cell>
          <cell r="I1459" t="str">
            <v>テクニカルタイプ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</row>
        <row r="1460">
          <cell r="A1460">
            <v>8088</v>
          </cell>
          <cell r="B1460" t="str">
            <v>★６財神</v>
          </cell>
          <cell r="C1460">
            <v>6</v>
          </cell>
          <cell r="D1460" t="str">
            <v>red</v>
          </cell>
          <cell r="E1460">
            <v>1</v>
          </cell>
          <cell r="F1460">
            <v>1.02</v>
          </cell>
          <cell r="G1460">
            <v>1</v>
          </cell>
          <cell r="H1460" t="str">
            <v>technical</v>
          </cell>
          <cell r="I1460" t="str">
            <v>テクニカルタイプ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</row>
        <row r="1461">
          <cell r="A1461">
            <v>8089</v>
          </cell>
          <cell r="B1461" t="str">
            <v>年獣</v>
          </cell>
          <cell r="C1461">
            <v>5</v>
          </cell>
          <cell r="D1461" t="str">
            <v>green</v>
          </cell>
          <cell r="E1461">
            <v>1.02</v>
          </cell>
          <cell r="F1461">
            <v>0.98</v>
          </cell>
          <cell r="G1461">
            <v>1</v>
          </cell>
          <cell r="H1461" t="str">
            <v>attack</v>
          </cell>
          <cell r="I1461" t="str">
            <v>攻撃タイプ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</row>
        <row r="1462">
          <cell r="A1462">
            <v>8090</v>
          </cell>
          <cell r="B1462" t="str">
            <v>★６年獣</v>
          </cell>
          <cell r="C1462">
            <v>6</v>
          </cell>
          <cell r="D1462" t="str">
            <v>green</v>
          </cell>
          <cell r="E1462">
            <v>1.02</v>
          </cell>
          <cell r="F1462">
            <v>0.98</v>
          </cell>
          <cell r="G1462">
            <v>1</v>
          </cell>
          <cell r="H1462" t="str">
            <v>attack</v>
          </cell>
          <cell r="I1462" t="str">
            <v>攻撃タイプ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</row>
        <row r="1463">
          <cell r="A1463">
            <v>8095</v>
          </cell>
          <cell r="B1463" t="str">
            <v>バハムートダック赤</v>
          </cell>
          <cell r="C1463">
            <v>6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exp</v>
          </cell>
          <cell r="I1463" t="str">
            <v>強化素材タイプ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</row>
        <row r="1464">
          <cell r="A1464">
            <v>8096</v>
          </cell>
          <cell r="B1464" t="str">
            <v>バハムートダック緑</v>
          </cell>
          <cell r="C1464">
            <v>6</v>
          </cell>
          <cell r="D1464" t="str">
            <v>green</v>
          </cell>
          <cell r="E1464">
            <v>1.02</v>
          </cell>
          <cell r="F1464">
            <v>0.98</v>
          </cell>
          <cell r="G1464">
            <v>1</v>
          </cell>
          <cell r="H1464" t="str">
            <v>exp</v>
          </cell>
          <cell r="I1464" t="str">
            <v>強化素材タイプ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</row>
        <row r="1465">
          <cell r="A1465">
            <v>8097</v>
          </cell>
          <cell r="B1465" t="str">
            <v>バハムートダック青</v>
          </cell>
          <cell r="C1465">
            <v>6</v>
          </cell>
          <cell r="D1465" t="str">
            <v>blue</v>
          </cell>
          <cell r="E1465">
            <v>1</v>
          </cell>
          <cell r="F1465">
            <v>0.98</v>
          </cell>
          <cell r="G1465">
            <v>1</v>
          </cell>
          <cell r="H1465" t="str">
            <v>exp</v>
          </cell>
          <cell r="I1465" t="str">
            <v>強化素材タイプ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</row>
        <row r="1466">
          <cell r="A1466">
            <v>8098</v>
          </cell>
          <cell r="B1466" t="str">
            <v>バハムートダック黄</v>
          </cell>
          <cell r="C1466">
            <v>6</v>
          </cell>
          <cell r="D1466" t="str">
            <v>yellow</v>
          </cell>
          <cell r="E1466">
            <v>0.98</v>
          </cell>
          <cell r="F1466">
            <v>1.01</v>
          </cell>
          <cell r="G1466">
            <v>1</v>
          </cell>
          <cell r="H1466" t="str">
            <v>exp</v>
          </cell>
          <cell r="I1466" t="str">
            <v>強化素材タイプ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</row>
        <row r="1467">
          <cell r="A1467">
            <v>8099</v>
          </cell>
          <cell r="B1467" t="str">
            <v>リトルハンプティ</v>
          </cell>
          <cell r="C1467">
            <v>6</v>
          </cell>
          <cell r="D1467" t="str">
            <v>green</v>
          </cell>
          <cell r="E1467">
            <v>1.02</v>
          </cell>
          <cell r="F1467">
            <v>0.98</v>
          </cell>
          <cell r="G1467">
            <v>1</v>
          </cell>
          <cell r="H1467" t="str">
            <v>evolution</v>
          </cell>
          <cell r="I1467" t="str">
            <v>覚醒素材タイプ</v>
          </cell>
          <cell r="J1467">
            <v>0.1</v>
          </cell>
          <cell r="K1467">
            <v>0.05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1409</v>
          </cell>
        </row>
        <row r="1383">
          <cell r="A1383">
            <v>1410</v>
          </cell>
        </row>
        <row r="1384">
          <cell r="A1384">
            <v>1414</v>
          </cell>
        </row>
        <row r="1385">
          <cell r="A1385">
            <v>1415</v>
          </cell>
        </row>
        <row r="1386">
          <cell r="A1386">
            <v>1416</v>
          </cell>
        </row>
        <row r="1387">
          <cell r="A1387">
            <v>1417</v>
          </cell>
        </row>
        <row r="1388">
          <cell r="A1388">
            <v>1418</v>
          </cell>
        </row>
        <row r="1389">
          <cell r="A1389">
            <v>1419</v>
          </cell>
        </row>
        <row r="1390">
          <cell r="A1390">
            <v>1420</v>
          </cell>
        </row>
        <row r="1391">
          <cell r="A1391">
            <v>1421</v>
          </cell>
        </row>
        <row r="1392">
          <cell r="A1392">
            <v>1422</v>
          </cell>
        </row>
        <row r="1393">
          <cell r="A1393">
            <v>1423</v>
          </cell>
        </row>
        <row r="1394">
          <cell r="A1394">
            <v>1424</v>
          </cell>
        </row>
        <row r="1395">
          <cell r="A1395">
            <v>1433</v>
          </cell>
        </row>
        <row r="1396">
          <cell r="A1396">
            <v>1434</v>
          </cell>
        </row>
        <row r="1397">
          <cell r="A1397">
            <v>1435</v>
          </cell>
        </row>
        <row r="1398">
          <cell r="A1398">
            <v>1504</v>
          </cell>
        </row>
        <row r="1399">
          <cell r="A1399">
            <v>1505</v>
          </cell>
        </row>
        <row r="1400">
          <cell r="A1400">
            <v>1506</v>
          </cell>
        </row>
        <row r="1401">
          <cell r="A1401">
            <v>1507</v>
          </cell>
        </row>
        <row r="1402">
          <cell r="A1402">
            <v>1508</v>
          </cell>
        </row>
        <row r="1403">
          <cell r="A1403">
            <v>1509</v>
          </cell>
        </row>
        <row r="1404">
          <cell r="A1404">
            <v>1510</v>
          </cell>
        </row>
        <row r="1405">
          <cell r="A1405">
            <v>1511</v>
          </cell>
        </row>
        <row r="1406">
          <cell r="A1406">
            <v>1512</v>
          </cell>
        </row>
        <row r="1407">
          <cell r="A1407">
            <v>1513</v>
          </cell>
        </row>
        <row r="1408">
          <cell r="A1408">
            <v>1514</v>
          </cell>
        </row>
        <row r="1409">
          <cell r="A1409">
            <v>1515</v>
          </cell>
        </row>
        <row r="1410">
          <cell r="A1410">
            <v>1516</v>
          </cell>
        </row>
        <row r="1411">
          <cell r="A1411">
            <v>1517</v>
          </cell>
        </row>
        <row r="1412">
          <cell r="A1412">
            <v>1518</v>
          </cell>
        </row>
        <row r="1413">
          <cell r="A1413">
            <v>1519</v>
          </cell>
        </row>
        <row r="1414">
          <cell r="A1414">
            <v>1520</v>
          </cell>
        </row>
        <row r="1415">
          <cell r="A1415">
            <v>1521</v>
          </cell>
        </row>
        <row r="1416">
          <cell r="A1416">
            <v>1522</v>
          </cell>
        </row>
        <row r="1417">
          <cell r="A1417">
            <v>1523</v>
          </cell>
        </row>
        <row r="1418">
          <cell r="A1418">
            <v>1524</v>
          </cell>
        </row>
        <row r="1419">
          <cell r="A1419">
            <v>1525</v>
          </cell>
        </row>
        <row r="1420">
          <cell r="A1420">
            <v>1526</v>
          </cell>
        </row>
        <row r="1421">
          <cell r="A1421">
            <v>1527</v>
          </cell>
        </row>
        <row r="1422">
          <cell r="A1422">
            <v>1528</v>
          </cell>
        </row>
        <row r="1423">
          <cell r="A1423">
            <v>1529</v>
          </cell>
        </row>
        <row r="1424">
          <cell r="A1424">
            <v>1530</v>
          </cell>
        </row>
        <row r="1425">
          <cell r="A1425">
            <v>1531</v>
          </cell>
        </row>
        <row r="1426">
          <cell r="A1426">
            <v>1532</v>
          </cell>
        </row>
        <row r="1427">
          <cell r="A1427">
            <v>1533</v>
          </cell>
        </row>
        <row r="1428">
          <cell r="A1428">
            <v>1534</v>
          </cell>
        </row>
        <row r="1429">
          <cell r="A1429">
            <v>1535</v>
          </cell>
        </row>
        <row r="1430">
          <cell r="A1430">
            <v>1536</v>
          </cell>
        </row>
        <row r="1431">
          <cell r="A1431">
            <v>1537</v>
          </cell>
        </row>
        <row r="1432">
          <cell r="A1432">
            <v>1538</v>
          </cell>
        </row>
        <row r="1433">
          <cell r="A1433">
            <v>1539</v>
          </cell>
        </row>
        <row r="1434">
          <cell r="A1434">
            <v>1540</v>
          </cell>
        </row>
        <row r="1435">
          <cell r="A1435">
            <v>1541</v>
          </cell>
        </row>
        <row r="1436">
          <cell r="A1436">
            <v>1542</v>
          </cell>
        </row>
        <row r="1437">
          <cell r="A1437">
            <v>1543</v>
          </cell>
        </row>
        <row r="1438">
          <cell r="A1438">
            <v>1544</v>
          </cell>
        </row>
        <row r="1439">
          <cell r="A1439">
            <v>1545</v>
          </cell>
        </row>
        <row r="1440">
          <cell r="A1440">
            <v>1546</v>
          </cell>
        </row>
        <row r="1441">
          <cell r="A1441">
            <v>1547</v>
          </cell>
        </row>
        <row r="1442">
          <cell r="A1442">
            <v>1548</v>
          </cell>
        </row>
        <row r="1443">
          <cell r="A1443">
            <v>1549</v>
          </cell>
        </row>
        <row r="1444">
          <cell r="A1444">
            <v>1550</v>
          </cell>
        </row>
        <row r="1445">
          <cell r="A1445">
            <v>5001</v>
          </cell>
        </row>
        <row r="1446">
          <cell r="A1446">
            <v>5002</v>
          </cell>
        </row>
        <row r="1447">
          <cell r="A1447">
            <v>5003</v>
          </cell>
        </row>
        <row r="1448">
          <cell r="A1448">
            <v>5004</v>
          </cell>
        </row>
        <row r="1449">
          <cell r="A1449">
            <v>5005</v>
          </cell>
        </row>
        <row r="1450">
          <cell r="A1450">
            <v>5006</v>
          </cell>
        </row>
        <row r="1451">
          <cell r="A1451">
            <v>5007</v>
          </cell>
        </row>
        <row r="1452">
          <cell r="A1452">
            <v>5008</v>
          </cell>
        </row>
        <row r="1453">
          <cell r="A1453">
            <v>6001</v>
          </cell>
        </row>
        <row r="1454">
          <cell r="A1454">
            <v>6002</v>
          </cell>
        </row>
        <row r="1455">
          <cell r="A1455">
            <v>6003</v>
          </cell>
        </row>
        <row r="1456">
          <cell r="A1456">
            <v>6004</v>
          </cell>
        </row>
        <row r="1457">
          <cell r="A1457">
            <v>6005</v>
          </cell>
        </row>
        <row r="1458">
          <cell r="A1458">
            <v>6006</v>
          </cell>
        </row>
        <row r="1459">
          <cell r="A1459">
            <v>6007</v>
          </cell>
        </row>
        <row r="1460">
          <cell r="A1460">
            <v>6008</v>
          </cell>
        </row>
        <row r="1461">
          <cell r="A1461">
            <v>6009</v>
          </cell>
        </row>
        <row r="1462">
          <cell r="A1462">
            <v>6010</v>
          </cell>
        </row>
        <row r="1463">
          <cell r="A1463">
            <v>6011</v>
          </cell>
        </row>
        <row r="1464">
          <cell r="A1464">
            <v>6012</v>
          </cell>
        </row>
        <row r="1465">
          <cell r="A1465">
            <v>6013</v>
          </cell>
        </row>
        <row r="1466">
          <cell r="A1466">
            <v>6014</v>
          </cell>
        </row>
        <row r="1467">
          <cell r="A1467">
            <v>6015</v>
          </cell>
        </row>
        <row r="1468">
          <cell r="A1468">
            <v>6016</v>
          </cell>
        </row>
        <row r="1469">
          <cell r="A1469">
            <v>6017</v>
          </cell>
        </row>
        <row r="1470">
          <cell r="A1470">
            <v>6018</v>
          </cell>
        </row>
        <row r="1471">
          <cell r="A1471">
            <v>6019</v>
          </cell>
        </row>
        <row r="1472">
          <cell r="A1472">
            <v>6020</v>
          </cell>
        </row>
        <row r="1473">
          <cell r="A1473">
            <v>8001</v>
          </cell>
        </row>
        <row r="1474">
          <cell r="A1474">
            <v>8002</v>
          </cell>
        </row>
        <row r="1475">
          <cell r="A1475">
            <v>8003</v>
          </cell>
        </row>
        <row r="1476">
          <cell r="A1476">
            <v>8004</v>
          </cell>
        </row>
        <row r="1477">
          <cell r="A1477">
            <v>8005</v>
          </cell>
        </row>
        <row r="1478">
          <cell r="A1478">
            <v>8006</v>
          </cell>
        </row>
        <row r="1479">
          <cell r="A1479">
            <v>8007</v>
          </cell>
        </row>
        <row r="1480">
          <cell r="A1480">
            <v>8008</v>
          </cell>
        </row>
        <row r="1481">
          <cell r="A1481">
            <v>8009</v>
          </cell>
        </row>
        <row r="1482">
          <cell r="A1482">
            <v>8010</v>
          </cell>
        </row>
        <row r="1483">
          <cell r="A1483">
            <v>8011</v>
          </cell>
        </row>
        <row r="1484">
          <cell r="A1484">
            <v>8012</v>
          </cell>
        </row>
        <row r="1485">
          <cell r="A1485">
            <v>8013</v>
          </cell>
        </row>
        <row r="1486">
          <cell r="A1486">
            <v>8014</v>
          </cell>
        </row>
        <row r="1487">
          <cell r="A1487">
            <v>8015</v>
          </cell>
        </row>
        <row r="1488">
          <cell r="A1488">
            <v>8016</v>
          </cell>
        </row>
        <row r="1489">
          <cell r="A1489">
            <v>8017</v>
          </cell>
        </row>
        <row r="1490">
          <cell r="A1490">
            <v>8018</v>
          </cell>
        </row>
        <row r="1491">
          <cell r="A1491">
            <v>8019</v>
          </cell>
        </row>
        <row r="1492">
          <cell r="A1492">
            <v>8020</v>
          </cell>
        </row>
        <row r="1493">
          <cell r="A1493">
            <v>8021</v>
          </cell>
        </row>
        <row r="1494">
          <cell r="A1494">
            <v>8022</v>
          </cell>
        </row>
        <row r="1495">
          <cell r="A1495">
            <v>8023</v>
          </cell>
        </row>
        <row r="1496">
          <cell r="A1496">
            <v>8024</v>
          </cell>
        </row>
        <row r="1497">
          <cell r="A1497">
            <v>8025</v>
          </cell>
        </row>
        <row r="1498">
          <cell r="A1498">
            <v>8026</v>
          </cell>
        </row>
        <row r="1499">
          <cell r="A1499">
            <v>8027</v>
          </cell>
        </row>
        <row r="1500">
          <cell r="A1500">
            <v>8028</v>
          </cell>
        </row>
        <row r="1501">
          <cell r="A1501">
            <v>8029</v>
          </cell>
        </row>
        <row r="1502">
          <cell r="A1502">
            <v>8030</v>
          </cell>
        </row>
        <row r="1503">
          <cell r="A1503">
            <v>8031</v>
          </cell>
        </row>
        <row r="1504">
          <cell r="A1504">
            <v>8032</v>
          </cell>
        </row>
        <row r="1505">
          <cell r="A1505">
            <v>8033</v>
          </cell>
        </row>
        <row r="1506">
          <cell r="A1506">
            <v>8034</v>
          </cell>
        </row>
        <row r="1507">
          <cell r="A1507">
            <v>8035</v>
          </cell>
        </row>
        <row r="1508">
          <cell r="A1508">
            <v>8036</v>
          </cell>
        </row>
        <row r="1509">
          <cell r="A1509">
            <v>8037</v>
          </cell>
        </row>
        <row r="1510">
          <cell r="A1510">
            <v>8038</v>
          </cell>
        </row>
        <row r="1511">
          <cell r="A1511">
            <v>8039</v>
          </cell>
        </row>
        <row r="1512">
          <cell r="A1512">
            <v>8040</v>
          </cell>
        </row>
        <row r="1513">
          <cell r="A1513">
            <v>8041</v>
          </cell>
        </row>
        <row r="1514">
          <cell r="A1514">
            <v>8042</v>
          </cell>
        </row>
        <row r="1515">
          <cell r="A1515">
            <v>8043</v>
          </cell>
        </row>
        <row r="1516">
          <cell r="A1516">
            <v>8044</v>
          </cell>
        </row>
        <row r="1517">
          <cell r="A1517">
            <v>8045</v>
          </cell>
        </row>
        <row r="1518">
          <cell r="A1518">
            <v>8046</v>
          </cell>
        </row>
        <row r="1519">
          <cell r="A1519">
            <v>8047</v>
          </cell>
        </row>
        <row r="1520">
          <cell r="A1520">
            <v>8048</v>
          </cell>
        </row>
        <row r="1521">
          <cell r="A1521">
            <v>8049</v>
          </cell>
        </row>
        <row r="1522">
          <cell r="A1522">
            <v>8050</v>
          </cell>
        </row>
        <row r="1523">
          <cell r="A1523">
            <v>8051</v>
          </cell>
        </row>
        <row r="1524">
          <cell r="A1524">
            <v>8052</v>
          </cell>
        </row>
        <row r="1525">
          <cell r="A1525">
            <v>8053</v>
          </cell>
        </row>
        <row r="1526">
          <cell r="A1526">
            <v>8054</v>
          </cell>
        </row>
        <row r="1527">
          <cell r="A1527">
            <v>8055</v>
          </cell>
        </row>
        <row r="1528">
          <cell r="A1528">
            <v>8056</v>
          </cell>
        </row>
        <row r="1529">
          <cell r="A1529">
            <v>8057</v>
          </cell>
        </row>
        <row r="1530">
          <cell r="A1530">
            <v>8058</v>
          </cell>
        </row>
        <row r="1531">
          <cell r="A1531">
            <v>8059</v>
          </cell>
        </row>
        <row r="1532">
          <cell r="A1532">
            <v>8060</v>
          </cell>
        </row>
        <row r="1533">
          <cell r="A1533">
            <v>8061</v>
          </cell>
        </row>
        <row r="1534">
          <cell r="A1534">
            <v>8062</v>
          </cell>
        </row>
        <row r="1535">
          <cell r="A1535">
            <v>8063</v>
          </cell>
        </row>
        <row r="1536">
          <cell r="A1536">
            <v>8064</v>
          </cell>
        </row>
        <row r="1537">
          <cell r="A1537">
            <v>8065</v>
          </cell>
        </row>
        <row r="1538">
          <cell r="A1538">
            <v>8066</v>
          </cell>
        </row>
        <row r="1539">
          <cell r="A1539">
            <v>8067</v>
          </cell>
        </row>
        <row r="1540">
          <cell r="A1540">
            <v>8068</v>
          </cell>
        </row>
        <row r="1541">
          <cell r="A1541">
            <v>8069</v>
          </cell>
        </row>
        <row r="1542">
          <cell r="A1542">
            <v>8070</v>
          </cell>
        </row>
        <row r="1543">
          <cell r="A1543">
            <v>8071</v>
          </cell>
        </row>
        <row r="1544">
          <cell r="A1544">
            <v>8072</v>
          </cell>
        </row>
        <row r="1545">
          <cell r="A1545">
            <v>8073</v>
          </cell>
        </row>
        <row r="1546">
          <cell r="A1546">
            <v>8074</v>
          </cell>
        </row>
        <row r="1547">
          <cell r="A1547">
            <v>8075</v>
          </cell>
        </row>
        <row r="1548">
          <cell r="A1548">
            <v>8076</v>
          </cell>
        </row>
        <row r="1549">
          <cell r="A1549">
            <v>8077</v>
          </cell>
        </row>
        <row r="1550">
          <cell r="A1550">
            <v>8078</v>
          </cell>
        </row>
        <row r="1551">
          <cell r="A1551">
            <v>8079</v>
          </cell>
        </row>
        <row r="1552">
          <cell r="A1552">
            <v>8080</v>
          </cell>
        </row>
        <row r="1553">
          <cell r="A1553">
            <v>8081</v>
          </cell>
        </row>
        <row r="1554">
          <cell r="A1554">
            <v>8082</v>
          </cell>
        </row>
        <row r="1555">
          <cell r="A1555">
            <v>8083</v>
          </cell>
        </row>
        <row r="1556">
          <cell r="A1556">
            <v>8084</v>
          </cell>
        </row>
        <row r="1557">
          <cell r="A1557">
            <v>8087</v>
          </cell>
        </row>
        <row r="1558">
          <cell r="A1558">
            <v>8088</v>
          </cell>
        </row>
        <row r="1559">
          <cell r="A1559">
            <v>8089</v>
          </cell>
        </row>
        <row r="1560">
          <cell r="A1560">
            <v>8090</v>
          </cell>
        </row>
        <row r="1561">
          <cell r="A1561">
            <v>8095</v>
          </cell>
        </row>
        <row r="1562">
          <cell r="A1562">
            <v>8096</v>
          </cell>
        </row>
        <row r="1563">
          <cell r="A1563">
            <v>8097</v>
          </cell>
        </row>
        <row r="1564">
          <cell r="A1564">
            <v>8098</v>
          </cell>
        </row>
        <row r="1565">
          <cell r="A1565">
            <v>8099</v>
          </cell>
        </row>
        <row r="1566">
          <cell r="A1566">
            <v>10001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0"/>
  <sheetViews>
    <sheetView workbookViewId="0">
      <selection activeCell="C20" sqref="C20"/>
    </sheetView>
  </sheetViews>
  <sheetFormatPr baseColWidth="12" defaultRowHeight="15" x14ac:dyDescent="0.15"/>
  <cols>
    <col min="2" max="2" width="18.1640625" bestFit="1" customWidth="1"/>
    <col min="4" max="4" width="5.5" bestFit="1" customWidth="1"/>
    <col min="5" max="5" width="32.1640625" bestFit="1" customWidth="1"/>
    <col min="6" max="6" width="22.1640625" bestFit="1" customWidth="1"/>
  </cols>
  <sheetData>
    <row r="1" spans="1:30" x14ac:dyDescent="0.15">
      <c r="A1" s="32" t="s">
        <v>54</v>
      </c>
      <c r="B1" s="33" t="s">
        <v>55</v>
      </c>
      <c r="C1" s="33" t="s">
        <v>56</v>
      </c>
      <c r="D1" s="33" t="s">
        <v>57</v>
      </c>
      <c r="E1" s="33" t="s">
        <v>58</v>
      </c>
      <c r="F1" s="33" t="s">
        <v>59</v>
      </c>
      <c r="G1" s="33" t="s">
        <v>60</v>
      </c>
      <c r="H1" s="33"/>
      <c r="I1" s="33"/>
      <c r="J1" s="33"/>
      <c r="K1" s="33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</row>
    <row r="2" spans="1:30" x14ac:dyDescent="0.15">
      <c r="A2" s="35" t="s">
        <v>213</v>
      </c>
      <c r="B2" s="36" t="s">
        <v>61</v>
      </c>
      <c r="C2" s="37" t="s">
        <v>212</v>
      </c>
      <c r="D2" s="36" t="s">
        <v>62</v>
      </c>
      <c r="E2" s="34" t="str">
        <f>B2&amp;C2&amp;D2</f>
        <v>floors_week_hump.tmp</v>
      </c>
      <c r="F2" s="36" t="s">
        <v>63</v>
      </c>
      <c r="G2" s="38" t="s">
        <v>0</v>
      </c>
      <c r="H2" s="38" t="s">
        <v>1</v>
      </c>
      <c r="I2" s="38" t="s">
        <v>13</v>
      </c>
      <c r="J2" s="38" t="s">
        <v>14</v>
      </c>
      <c r="K2" s="38" t="s">
        <v>15</v>
      </c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30" x14ac:dyDescent="0.15">
      <c r="A3" s="35" t="s">
        <v>213</v>
      </c>
      <c r="B3" s="36" t="s">
        <v>64</v>
      </c>
      <c r="C3" s="37" t="str">
        <f>C$2</f>
        <v>week_hump</v>
      </c>
      <c r="D3" s="36" t="s">
        <v>65</v>
      </c>
      <c r="E3" s="34" t="str">
        <f>B3&amp;C3&amp;D3</f>
        <v>enemy_habitats_week_hump.tmp</v>
      </c>
      <c r="F3" s="36" t="s">
        <v>66</v>
      </c>
      <c r="G3" s="38" t="s">
        <v>0</v>
      </c>
      <c r="H3" s="38" t="s">
        <v>1</v>
      </c>
      <c r="I3" s="38" t="s">
        <v>13</v>
      </c>
      <c r="J3" s="38" t="s">
        <v>2</v>
      </c>
      <c r="K3" s="38" t="s">
        <v>3</v>
      </c>
      <c r="L3" s="38" t="s">
        <v>51</v>
      </c>
      <c r="M3" s="38" t="s">
        <v>52</v>
      </c>
      <c r="N3" s="38" t="s">
        <v>53</v>
      </c>
      <c r="O3" s="38" t="s">
        <v>22</v>
      </c>
      <c r="P3" s="38" t="s">
        <v>5</v>
      </c>
      <c r="Q3" s="38" t="s">
        <v>6</v>
      </c>
      <c r="R3" s="38" t="s">
        <v>7</v>
      </c>
      <c r="S3" s="38" t="s">
        <v>8</v>
      </c>
      <c r="T3" s="38" t="s">
        <v>9</v>
      </c>
      <c r="U3" s="38" t="s">
        <v>10</v>
      </c>
      <c r="V3" s="38" t="s">
        <v>11</v>
      </c>
      <c r="W3" s="38" t="s">
        <v>12</v>
      </c>
      <c r="X3" s="38" t="s">
        <v>37</v>
      </c>
      <c r="Y3" s="38" t="s">
        <v>39</v>
      </c>
      <c r="Z3" s="38" t="s">
        <v>41</v>
      </c>
      <c r="AA3" s="38" t="s">
        <v>43</v>
      </c>
      <c r="AB3" s="38" t="s">
        <v>45</v>
      </c>
      <c r="AC3" s="38" t="s">
        <v>67</v>
      </c>
      <c r="AD3" s="38" t="s">
        <v>68</v>
      </c>
    </row>
    <row r="4" spans="1:30" x14ac:dyDescent="0.15">
      <c r="A4" s="35" t="s">
        <v>213</v>
      </c>
      <c r="B4" s="36" t="s">
        <v>69</v>
      </c>
      <c r="C4" s="37" t="str">
        <f t="shared" ref="C4:C10" si="0">C$2</f>
        <v>week_hump</v>
      </c>
      <c r="D4" s="36" t="s">
        <v>65</v>
      </c>
      <c r="E4" s="34" t="str">
        <f>B4&amp;C4&amp;D4</f>
        <v>enemy_habitat_S_week_hump.tmp</v>
      </c>
      <c r="F4" s="36" t="s">
        <v>70</v>
      </c>
      <c r="G4" s="38" t="s">
        <v>0</v>
      </c>
      <c r="H4" s="38" t="s">
        <v>1</v>
      </c>
      <c r="I4" s="38" t="s">
        <v>13</v>
      </c>
      <c r="J4" s="38" t="s">
        <v>71</v>
      </c>
      <c r="K4" s="38" t="s">
        <v>72</v>
      </c>
      <c r="L4" s="38" t="s">
        <v>73</v>
      </c>
      <c r="M4" s="38" t="s">
        <v>74</v>
      </c>
      <c r="N4" s="38" t="s">
        <v>75</v>
      </c>
      <c r="O4" s="38" t="s">
        <v>76</v>
      </c>
      <c r="P4" s="38" t="s">
        <v>77</v>
      </c>
      <c r="Q4" s="38" t="s">
        <v>78</v>
      </c>
      <c r="R4" s="38" t="s">
        <v>79</v>
      </c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30" x14ac:dyDescent="0.15">
      <c r="A5" s="35" t="s">
        <v>213</v>
      </c>
      <c r="B5" s="36" t="s">
        <v>80</v>
      </c>
      <c r="C5" s="37" t="str">
        <f t="shared" si="0"/>
        <v>week_hump</v>
      </c>
      <c r="D5" s="36" t="s">
        <v>65</v>
      </c>
      <c r="E5" s="34" t="str">
        <f>B5&amp;C5&amp;D5</f>
        <v>enemy_skill_sets_week_hump.tmp</v>
      </c>
      <c r="F5" s="36" t="s">
        <v>81</v>
      </c>
      <c r="G5" s="39" t="s">
        <v>22</v>
      </c>
      <c r="H5" s="39" t="s">
        <v>82</v>
      </c>
      <c r="I5" s="39" t="s">
        <v>83</v>
      </c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30" x14ac:dyDescent="0.15">
      <c r="A6" s="35" t="s">
        <v>213</v>
      </c>
      <c r="B6" s="36" t="s">
        <v>84</v>
      </c>
      <c r="C6" s="37" t="str">
        <f t="shared" si="0"/>
        <v>week_hump</v>
      </c>
      <c r="D6" s="36" t="s">
        <v>62</v>
      </c>
      <c r="E6" s="34" t="str">
        <f t="shared" ref="E6:E10" si="1">B6&amp;C6&amp;D6</f>
        <v>enemy_skills_tmp_week_hump.tmp</v>
      </c>
      <c r="F6" s="36" t="s">
        <v>85</v>
      </c>
      <c r="G6" s="38" t="s">
        <v>86</v>
      </c>
      <c r="H6" s="38" t="s">
        <v>87</v>
      </c>
      <c r="I6" s="38" t="s">
        <v>88</v>
      </c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30" x14ac:dyDescent="0.15">
      <c r="A7" s="35" t="s">
        <v>213</v>
      </c>
      <c r="B7" s="36" t="s">
        <v>89</v>
      </c>
      <c r="C7" s="37" t="str">
        <f t="shared" si="0"/>
        <v>week_hump</v>
      </c>
      <c r="D7" s="36" t="s">
        <v>65</v>
      </c>
      <c r="E7" s="34" t="str">
        <f>B7&amp;C7&amp;D7</f>
        <v>enemy_skills_i18n_week_hump.tmp</v>
      </c>
      <c r="F7" s="36" t="s">
        <v>85</v>
      </c>
      <c r="G7" s="38" t="s">
        <v>86</v>
      </c>
      <c r="H7" s="38" t="s">
        <v>90</v>
      </c>
      <c r="I7" s="38" t="s">
        <v>91</v>
      </c>
      <c r="J7" s="38" t="s">
        <v>92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</row>
    <row r="8" spans="1:30" x14ac:dyDescent="0.15">
      <c r="A8" s="35" t="s">
        <v>211</v>
      </c>
      <c r="B8" s="36" t="s">
        <v>93</v>
      </c>
      <c r="C8" s="37" t="str">
        <f t="shared" si="0"/>
        <v>week_hump</v>
      </c>
      <c r="D8" s="36" t="s">
        <v>65</v>
      </c>
      <c r="E8" s="34" t="str">
        <f t="shared" si="1"/>
        <v>enemy_skill_triggers_week_hump.tmp</v>
      </c>
      <c r="F8" s="36" t="s">
        <v>94</v>
      </c>
      <c r="G8" s="38" t="s">
        <v>83</v>
      </c>
      <c r="H8" s="38" t="s">
        <v>95</v>
      </c>
      <c r="I8" s="38" t="s">
        <v>96</v>
      </c>
      <c r="J8" s="38" t="s">
        <v>97</v>
      </c>
      <c r="K8" s="38" t="s">
        <v>98</v>
      </c>
      <c r="L8" s="38" t="s">
        <v>99</v>
      </c>
      <c r="M8" s="38" t="s">
        <v>100</v>
      </c>
      <c r="N8" s="38" t="s">
        <v>101</v>
      </c>
      <c r="O8" s="38" t="s">
        <v>102</v>
      </c>
      <c r="P8" s="38" t="s">
        <v>103</v>
      </c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</row>
    <row r="9" spans="1:30" x14ac:dyDescent="0.15">
      <c r="A9" s="35" t="s">
        <v>220</v>
      </c>
      <c r="B9" s="40" t="s">
        <v>104</v>
      </c>
      <c r="C9" s="37" t="str">
        <f t="shared" si="0"/>
        <v>week_hump</v>
      </c>
      <c r="D9" s="40" t="s">
        <v>105</v>
      </c>
      <c r="E9" s="41" t="str">
        <f t="shared" si="1"/>
        <v>stage_bug_bonuses_week_hump.tmp</v>
      </c>
      <c r="F9" s="40" t="s">
        <v>106</v>
      </c>
      <c r="G9" s="42" t="s">
        <v>107</v>
      </c>
      <c r="H9" s="42" t="s">
        <v>108</v>
      </c>
      <c r="I9" s="42" t="s">
        <v>109</v>
      </c>
      <c r="J9" s="43" t="s">
        <v>110</v>
      </c>
      <c r="K9" s="42" t="s">
        <v>111</v>
      </c>
      <c r="L9" s="42" t="s">
        <v>112</v>
      </c>
      <c r="M9" s="42" t="s">
        <v>113</v>
      </c>
      <c r="N9" s="42" t="s">
        <v>114</v>
      </c>
      <c r="O9" s="42" t="s">
        <v>115</v>
      </c>
      <c r="P9" s="42" t="s">
        <v>116</v>
      </c>
      <c r="Q9" s="42" t="s">
        <v>117</v>
      </c>
      <c r="R9" s="42" t="s">
        <v>118</v>
      </c>
      <c r="S9" s="42" t="s">
        <v>119</v>
      </c>
      <c r="T9" s="42" t="s">
        <v>120</v>
      </c>
      <c r="U9" s="42" t="s">
        <v>121</v>
      </c>
      <c r="V9" s="42" t="s">
        <v>122</v>
      </c>
      <c r="W9" s="42" t="s">
        <v>123</v>
      </c>
    </row>
    <row r="10" spans="1:30" s="129" customFormat="1" x14ac:dyDescent="0.15">
      <c r="A10" s="125" t="s">
        <v>411</v>
      </c>
      <c r="B10" s="40" t="s">
        <v>412</v>
      </c>
      <c r="C10" s="37" t="str">
        <f t="shared" si="0"/>
        <v>week_hump</v>
      </c>
      <c r="D10" s="40" t="s">
        <v>413</v>
      </c>
      <c r="E10" s="41" t="str">
        <f t="shared" si="1"/>
        <v>stage_hints_data_week_hump.tmp</v>
      </c>
      <c r="F10" s="126" t="s">
        <v>414</v>
      </c>
      <c r="G10" s="109" t="s">
        <v>173</v>
      </c>
      <c r="H10" s="109" t="s">
        <v>174</v>
      </c>
      <c r="I10" s="127" t="s">
        <v>415</v>
      </c>
      <c r="J10" s="43" t="s">
        <v>19</v>
      </c>
      <c r="K10" s="128" t="s">
        <v>416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0"/>
  <sheetViews>
    <sheetView showGridLines="0" workbookViewId="0">
      <pane ySplit="1" topLeftCell="A27" activePane="bottomLeft" state="frozen"/>
      <selection activeCell="V2" sqref="V2:X34"/>
      <selection pane="bottomLeft" activeCell="A22" sqref="A22:XFD31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83203125" style="4" bestFit="1" customWidth="1" outlineLevel="1"/>
    <col min="5" max="5" width="10.33203125" style="4" customWidth="1" outlineLevel="1"/>
    <col min="6" max="6" width="7" style="4" bestFit="1" customWidth="1"/>
    <col min="7" max="7" width="9.1640625" style="23" bestFit="1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30</v>
      </c>
      <c r="B1" s="17" t="s">
        <v>36</v>
      </c>
      <c r="C1" s="1" t="s">
        <v>0</v>
      </c>
      <c r="D1" s="2" t="s">
        <v>18</v>
      </c>
      <c r="E1" s="16" t="s">
        <v>33</v>
      </c>
      <c r="F1" s="1" t="s">
        <v>1</v>
      </c>
      <c r="G1" s="26" t="s">
        <v>32</v>
      </c>
      <c r="H1" s="16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21" si="0">G2&amp;"-"&amp;I2</f>
        <v>11001_4-1</v>
      </c>
      <c r="B2" s="17" t="str">
        <f>IF(COUNTIF(enemy_habitats!$H:$H,A2),"OK","NG")</f>
        <v>OK</v>
      </c>
      <c r="C2" s="8">
        <v>11001</v>
      </c>
      <c r="D2" s="12" t="str">
        <f ca="1">VLOOKUP($C2,OFFSET([2]quests!$A$1,0,0,COUNTA([2]quests!$A:$A),MATCH(D$1,[2]quests!$1:$1,0)-MATCH($C$1,[2]quests!$1:$1,0)+1),MATCH(D$1,[2]quests!$1:$1,0)-MATCH($C$1,[2]quests!$1:$1,0)+1,FALSE)</f>
        <v>【月曜限定】 黄の素材</v>
      </c>
      <c r="E2" s="22" t="str">
        <f ca="1">VLOOKUP($C2,OFFSET([2]quests!$A$1,0,0,COUNTA([2]quests!$A:$A),MATCH(E$1,[2]quests!$1:$1,0)-MATCH($C$1,[2]quests!$1:$1,0)+1),MATCH(E$1,[2]quests!$1:$1,0)-MATCH($C$1,[2]quests!$1:$1,0)+1,FALSE)</f>
        <v>月曜クエスト</v>
      </c>
      <c r="F2" s="25">
        <v>4</v>
      </c>
      <c r="G2" s="26" t="str">
        <f t="shared" ref="G2:G21" si="1">C2&amp;"_"&amp;F2</f>
        <v>11001_4</v>
      </c>
      <c r="H2" s="16" t="str">
        <f ca="1">VLOOKUP($G2,OFFSET([2]stages!$A$1,0,0,COUNTA([2]stages!$A:$A),MATCH(H$1,[2]stages!$2:$2,0)-MATCH($G$1,[2]stages!$2:$2,0)+1),MATCH(H$1,[2]stages!$2:$2,0)-MATCH($G$1,[2]stages!$2:$2,0)+1,FALSE)</f>
        <v>【上級】雷のイモムシ</v>
      </c>
      <c r="I2" s="25">
        <v>1</v>
      </c>
      <c r="J2" s="13">
        <v>30</v>
      </c>
      <c r="K2" s="13">
        <v>45</v>
      </c>
    </row>
    <row r="3" spans="1:11" ht="21" customHeight="1" x14ac:dyDescent="0.15">
      <c r="A3" s="17" t="str">
        <f t="shared" si="0"/>
        <v>11001_4-2</v>
      </c>
      <c r="B3" s="17" t="str">
        <f>IF(COUNTIF(enemy_habitats!$H:$H,A3),"OK","NG")</f>
        <v>OK</v>
      </c>
      <c r="C3" s="8">
        <v>11001</v>
      </c>
      <c r="D3" s="12" t="str">
        <f ca="1">VLOOKUP($C3,OFFSET([2]quests!$A$1,0,0,COUNTA([2]quests!$A:$A),MATCH(D$1,[2]quests!$1:$1,0)-MATCH($C$1,[2]quests!$1:$1,0)+1),MATCH(D$1,[2]quests!$1:$1,0)-MATCH($C$1,[2]quests!$1:$1,0)+1,FALSE)</f>
        <v>【月曜限定】 黄の素材</v>
      </c>
      <c r="E3" s="22" t="str">
        <f ca="1">VLOOKUP($C3,OFFSET([2]quests!$A$1,0,0,COUNTA([2]quests!$A:$A),MATCH(E$1,[2]quests!$1:$1,0)-MATCH($C$1,[2]quests!$1:$1,0)+1),MATCH(E$1,[2]quests!$1:$1,0)-MATCH($C$1,[2]quests!$1:$1,0)+1,FALSE)</f>
        <v>月曜クエスト</v>
      </c>
      <c r="F3" s="25">
        <v>4</v>
      </c>
      <c r="G3" s="26" t="str">
        <f t="shared" si="1"/>
        <v>11001_4</v>
      </c>
      <c r="H3" s="16" t="str">
        <f ca="1">VLOOKUP($G3,OFFSET([2]stages!$A$1,0,0,COUNTA([2]stages!$A:$A),MATCH(H$1,[2]stages!$2:$2,0)-MATCH($G$1,[2]stages!$2:$2,0)+1),MATCH(H$1,[2]stages!$2:$2,0)-MATCH($G$1,[2]stages!$2:$2,0)+1,FALSE)</f>
        <v>【上級】雷のイモムシ</v>
      </c>
      <c r="I3" s="25">
        <v>2</v>
      </c>
      <c r="J3" s="13">
        <v>30</v>
      </c>
      <c r="K3" s="13">
        <v>45</v>
      </c>
    </row>
    <row r="4" spans="1:11" ht="21" customHeight="1" x14ac:dyDescent="0.15">
      <c r="A4" s="17" t="str">
        <f t="shared" si="0"/>
        <v>11001_4-3</v>
      </c>
      <c r="B4" s="17" t="str">
        <f>IF(COUNTIF(enemy_habitats!$H:$H,A4),"OK","NG")</f>
        <v>OK</v>
      </c>
      <c r="C4" s="8">
        <v>11001</v>
      </c>
      <c r="D4" s="12" t="str">
        <f ca="1">VLOOKUP($C4,OFFSET([2]quests!$A$1,0,0,COUNTA([2]quests!$A:$A),MATCH(D$1,[2]quests!$1:$1,0)-MATCH($C$1,[2]quests!$1:$1,0)+1),MATCH(D$1,[2]quests!$1:$1,0)-MATCH($C$1,[2]quests!$1:$1,0)+1,FALSE)</f>
        <v>【月曜限定】 黄の素材</v>
      </c>
      <c r="E4" s="22" t="str">
        <f ca="1">VLOOKUP($C4,OFFSET([2]quests!$A$1,0,0,COUNTA([2]quests!$A:$A),MATCH(E$1,[2]quests!$1:$1,0)-MATCH($C$1,[2]quests!$1:$1,0)+1),MATCH(E$1,[2]quests!$1:$1,0)-MATCH($C$1,[2]quests!$1:$1,0)+1,FALSE)</f>
        <v>月曜クエスト</v>
      </c>
      <c r="F4" s="25">
        <v>4</v>
      </c>
      <c r="G4" s="26" t="str">
        <f t="shared" si="1"/>
        <v>11001_4</v>
      </c>
      <c r="H4" s="16" t="str">
        <f ca="1">VLOOKUP($G4,OFFSET([2]stages!$A$1,0,0,COUNTA([2]stages!$A:$A),MATCH(H$1,[2]stages!$2:$2,0)-MATCH($G$1,[2]stages!$2:$2,0)+1),MATCH(H$1,[2]stages!$2:$2,0)-MATCH($G$1,[2]stages!$2:$2,0)+1,FALSE)</f>
        <v>【上級】雷のイモムシ</v>
      </c>
      <c r="I4" s="25">
        <v>3</v>
      </c>
      <c r="J4" s="13">
        <v>45</v>
      </c>
      <c r="K4" s="13">
        <v>45</v>
      </c>
    </row>
    <row r="5" spans="1:11" ht="21" customHeight="1" x14ac:dyDescent="0.15">
      <c r="A5" s="17" t="str">
        <f t="shared" si="0"/>
        <v>11001_4-4</v>
      </c>
      <c r="B5" s="17" t="str">
        <f>IF(COUNTIF(enemy_habitats!$H:$H,A5),"OK","NG")</f>
        <v>OK</v>
      </c>
      <c r="C5" s="8">
        <v>11001</v>
      </c>
      <c r="D5" s="12" t="str">
        <f ca="1">VLOOKUP($C5,OFFSET([2]quests!$A$1,0,0,COUNTA([2]quests!$A:$A),MATCH(D$1,[2]quests!$1:$1,0)-MATCH($C$1,[2]quests!$1:$1,0)+1),MATCH(D$1,[2]quests!$1:$1,0)-MATCH($C$1,[2]quests!$1:$1,0)+1,FALSE)</f>
        <v>【月曜限定】 黄の素材</v>
      </c>
      <c r="E5" s="22" t="str">
        <f ca="1">VLOOKUP($C5,OFFSET([2]quests!$A$1,0,0,COUNTA([2]quests!$A:$A),MATCH(E$1,[2]quests!$1:$1,0)-MATCH($C$1,[2]quests!$1:$1,0)+1),MATCH(E$1,[2]quests!$1:$1,0)-MATCH($C$1,[2]quests!$1:$1,0)+1,FALSE)</f>
        <v>月曜クエスト</v>
      </c>
      <c r="F5" s="25">
        <v>4</v>
      </c>
      <c r="G5" s="26" t="str">
        <f t="shared" si="1"/>
        <v>11001_4</v>
      </c>
      <c r="H5" s="16" t="str">
        <f ca="1">VLOOKUP($G5,OFFSET([2]stages!$A$1,0,0,COUNTA([2]stages!$A:$A),MATCH(H$1,[2]stages!$2:$2,0)-MATCH($G$1,[2]stages!$2:$2,0)+1),MATCH(H$1,[2]stages!$2:$2,0)-MATCH($G$1,[2]stages!$2:$2,0)+1,FALSE)</f>
        <v>【上級】雷のイモムシ</v>
      </c>
      <c r="I5" s="25">
        <v>4</v>
      </c>
      <c r="J5" s="13">
        <v>45</v>
      </c>
      <c r="K5" s="13">
        <v>60</v>
      </c>
    </row>
    <row r="6" spans="1:11" ht="21" customHeight="1" thickBot="1" x14ac:dyDescent="0.2">
      <c r="A6" s="86" t="str">
        <f t="shared" si="0"/>
        <v>11001_4-5</v>
      </c>
      <c r="B6" s="86" t="str">
        <f>IF(COUNTIF(enemy_habitats!$H:$H,A6),"OK","NG")</f>
        <v>OK</v>
      </c>
      <c r="C6" s="87">
        <v>11001</v>
      </c>
      <c r="D6" s="88" t="str">
        <f ca="1">VLOOKUP($C6,OFFSET([2]quests!$A$1,0,0,COUNTA([2]quests!$A:$A),MATCH(D$1,[2]quests!$1:$1,0)-MATCH($C$1,[2]quests!$1:$1,0)+1),MATCH(D$1,[2]quests!$1:$1,0)-MATCH($C$1,[2]quests!$1:$1,0)+1,FALSE)</f>
        <v>【月曜限定】 黄の素材</v>
      </c>
      <c r="E6" s="88" t="str">
        <f ca="1">VLOOKUP($C6,OFFSET([2]quests!$A$1,0,0,COUNTA([2]quests!$A:$A),MATCH(E$1,[2]quests!$1:$1,0)-MATCH($C$1,[2]quests!$1:$1,0)+1),MATCH(E$1,[2]quests!$1:$1,0)-MATCH($C$1,[2]quests!$1:$1,0)+1,FALSE)</f>
        <v>月曜クエスト</v>
      </c>
      <c r="F6" s="89">
        <v>4</v>
      </c>
      <c r="G6" s="90" t="str">
        <f t="shared" si="1"/>
        <v>11001_4</v>
      </c>
      <c r="H6" s="91" t="str">
        <f ca="1">VLOOKUP($G6,OFFSET([2]stages!$A$1,0,0,COUNTA([2]stages!$A:$A),MATCH(H$1,[2]stages!$2:$2,0)-MATCH($G$1,[2]stages!$2:$2,0)+1),MATCH(H$1,[2]stages!$2:$2,0)-MATCH($G$1,[2]stages!$2:$2,0)+1,FALSE)</f>
        <v>【上級】雷のイモムシ</v>
      </c>
      <c r="I6" s="89">
        <v>5</v>
      </c>
      <c r="J6" s="92">
        <v>60</v>
      </c>
      <c r="K6" s="92">
        <v>60</v>
      </c>
    </row>
    <row r="7" spans="1:11" ht="21" customHeight="1" x14ac:dyDescent="0.15">
      <c r="A7" s="93" t="str">
        <f t="shared" si="0"/>
        <v>11002_4-1</v>
      </c>
      <c r="B7" s="93" t="str">
        <f>IF(COUNTIF(enemy_habitats!$H:$H,A7),"OK","NG")</f>
        <v>OK</v>
      </c>
      <c r="C7" s="94">
        <v>11002</v>
      </c>
      <c r="D7" s="95" t="str">
        <f ca="1">VLOOKUP($C7,OFFSET([2]quests!$A$1,0,0,COUNTA([2]quests!$A:$A),MATCH(D$1,[2]quests!$1:$1,0)-MATCH($C$1,[2]quests!$1:$1,0)+1),MATCH(D$1,[2]quests!$1:$1,0)-MATCH($C$1,[2]quests!$1:$1,0)+1,FALSE)</f>
        <v>【火曜限定】 赤の素材</v>
      </c>
      <c r="E7" s="95" t="str">
        <f ca="1">VLOOKUP($C7,OFFSET([2]quests!$A$1,0,0,COUNTA([2]quests!$A:$A),MATCH(E$1,[2]quests!$1:$1,0)-MATCH($C$1,[2]quests!$1:$1,0)+1),MATCH(E$1,[2]quests!$1:$1,0)-MATCH($C$1,[2]quests!$1:$1,0)+1,FALSE)</f>
        <v>火曜クエスト</v>
      </c>
      <c r="F7" s="96">
        <v>4</v>
      </c>
      <c r="G7" s="97" t="str">
        <f t="shared" si="1"/>
        <v>11002_4</v>
      </c>
      <c r="H7" s="98" t="str">
        <f ca="1">VLOOKUP($G7,OFFSET([2]stages!$A$1,0,0,COUNTA([2]stages!$A:$A),MATCH(H$1,[2]stages!$2:$2,0)-MATCH($G$1,[2]stages!$2:$2,0)+1),MATCH(H$1,[2]stages!$2:$2,0)-MATCH($G$1,[2]stages!$2:$2,0)+1,FALSE)</f>
        <v xml:space="preserve">【上級】火のイモムシ </v>
      </c>
      <c r="I7" s="96">
        <v>1</v>
      </c>
      <c r="J7" s="99">
        <v>30</v>
      </c>
      <c r="K7" s="99">
        <v>45</v>
      </c>
    </row>
    <row r="8" spans="1:11" ht="21" customHeight="1" x14ac:dyDescent="0.15">
      <c r="A8" s="17" t="str">
        <f t="shared" si="0"/>
        <v>11002_4-2</v>
      </c>
      <c r="B8" s="17" t="str">
        <f>IF(COUNTIF(enemy_habitats!$H:$H,A8),"OK","NG")</f>
        <v>OK</v>
      </c>
      <c r="C8" s="8">
        <v>11002</v>
      </c>
      <c r="D8" s="12" t="str">
        <f ca="1">VLOOKUP($C8,OFFSET([2]quests!$A$1,0,0,COUNTA([2]quests!$A:$A),MATCH(D$1,[2]quests!$1:$1,0)-MATCH($C$1,[2]quests!$1:$1,0)+1),MATCH(D$1,[2]quests!$1:$1,0)-MATCH($C$1,[2]quests!$1:$1,0)+1,FALSE)</f>
        <v>【火曜限定】 赤の素材</v>
      </c>
      <c r="E8" s="22" t="str">
        <f ca="1">VLOOKUP($C8,OFFSET([2]quests!$A$1,0,0,COUNTA([2]quests!$A:$A),MATCH(E$1,[2]quests!$1:$1,0)-MATCH($C$1,[2]quests!$1:$1,0)+1),MATCH(E$1,[2]quests!$1:$1,0)-MATCH($C$1,[2]quests!$1:$1,0)+1,FALSE)</f>
        <v>火曜クエスト</v>
      </c>
      <c r="F8" s="25">
        <v>4</v>
      </c>
      <c r="G8" s="26" t="str">
        <f t="shared" si="1"/>
        <v>11002_4</v>
      </c>
      <c r="H8" s="16" t="str">
        <f ca="1">VLOOKUP($G8,OFFSET([2]stages!$A$1,0,0,COUNTA([2]stages!$A:$A),MATCH(H$1,[2]stages!$2:$2,0)-MATCH($G$1,[2]stages!$2:$2,0)+1),MATCH(H$1,[2]stages!$2:$2,0)-MATCH($G$1,[2]stages!$2:$2,0)+1,FALSE)</f>
        <v xml:space="preserve">【上級】火のイモムシ </v>
      </c>
      <c r="I8" s="25">
        <v>2</v>
      </c>
      <c r="J8" s="13">
        <v>30</v>
      </c>
      <c r="K8" s="13">
        <v>45</v>
      </c>
    </row>
    <row r="9" spans="1:11" ht="21" customHeight="1" x14ac:dyDescent="0.15">
      <c r="A9" s="17" t="str">
        <f t="shared" si="0"/>
        <v>11002_4-3</v>
      </c>
      <c r="B9" s="17" t="str">
        <f>IF(COUNTIF(enemy_habitats!$H:$H,A9),"OK","NG")</f>
        <v>OK</v>
      </c>
      <c r="C9" s="8">
        <v>11002</v>
      </c>
      <c r="D9" s="12" t="str">
        <f ca="1">VLOOKUP($C9,OFFSET([2]quests!$A$1,0,0,COUNTA([2]quests!$A:$A),MATCH(D$1,[2]quests!$1:$1,0)-MATCH($C$1,[2]quests!$1:$1,0)+1),MATCH(D$1,[2]quests!$1:$1,0)-MATCH($C$1,[2]quests!$1:$1,0)+1,FALSE)</f>
        <v>【火曜限定】 赤の素材</v>
      </c>
      <c r="E9" s="22" t="str">
        <f ca="1">VLOOKUP($C9,OFFSET([2]quests!$A$1,0,0,COUNTA([2]quests!$A:$A),MATCH(E$1,[2]quests!$1:$1,0)-MATCH($C$1,[2]quests!$1:$1,0)+1),MATCH(E$1,[2]quests!$1:$1,0)-MATCH($C$1,[2]quests!$1:$1,0)+1,FALSE)</f>
        <v>火曜クエスト</v>
      </c>
      <c r="F9" s="25">
        <v>4</v>
      </c>
      <c r="G9" s="26" t="str">
        <f t="shared" si="1"/>
        <v>11002_4</v>
      </c>
      <c r="H9" s="16" t="str">
        <f ca="1">VLOOKUP($G9,OFFSET([2]stages!$A$1,0,0,COUNTA([2]stages!$A:$A),MATCH(H$1,[2]stages!$2:$2,0)-MATCH($G$1,[2]stages!$2:$2,0)+1),MATCH(H$1,[2]stages!$2:$2,0)-MATCH($G$1,[2]stages!$2:$2,0)+1,FALSE)</f>
        <v xml:space="preserve">【上級】火のイモムシ </v>
      </c>
      <c r="I9" s="25">
        <v>3</v>
      </c>
      <c r="J9" s="13">
        <v>45</v>
      </c>
      <c r="K9" s="13">
        <v>45</v>
      </c>
    </row>
    <row r="10" spans="1:11" ht="21" customHeight="1" x14ac:dyDescent="0.15">
      <c r="A10" s="17" t="str">
        <f t="shared" si="0"/>
        <v>11002_4-4</v>
      </c>
      <c r="B10" s="17" t="str">
        <f>IF(COUNTIF(enemy_habitats!$H:$H,A10),"OK","NG")</f>
        <v>OK</v>
      </c>
      <c r="C10" s="8">
        <v>11002</v>
      </c>
      <c r="D10" s="12" t="str">
        <f ca="1">VLOOKUP($C10,OFFSET([2]quests!$A$1,0,0,COUNTA([2]quests!$A:$A),MATCH(D$1,[2]quests!$1:$1,0)-MATCH($C$1,[2]quests!$1:$1,0)+1),MATCH(D$1,[2]quests!$1:$1,0)-MATCH($C$1,[2]quests!$1:$1,0)+1,FALSE)</f>
        <v>【火曜限定】 赤の素材</v>
      </c>
      <c r="E10" s="22" t="str">
        <f ca="1">VLOOKUP($C10,OFFSET([2]quests!$A$1,0,0,COUNTA([2]quests!$A:$A),MATCH(E$1,[2]quests!$1:$1,0)-MATCH($C$1,[2]quests!$1:$1,0)+1),MATCH(E$1,[2]quests!$1:$1,0)-MATCH($C$1,[2]quests!$1:$1,0)+1,FALSE)</f>
        <v>火曜クエスト</v>
      </c>
      <c r="F10" s="25">
        <v>4</v>
      </c>
      <c r="G10" s="26" t="str">
        <f t="shared" si="1"/>
        <v>11002_4</v>
      </c>
      <c r="H10" s="16" t="str">
        <f ca="1">VLOOKUP($G10,OFFSET([2]stages!$A$1,0,0,COUNTA([2]stages!$A:$A),MATCH(H$1,[2]stages!$2:$2,0)-MATCH($G$1,[2]stages!$2:$2,0)+1),MATCH(H$1,[2]stages!$2:$2,0)-MATCH($G$1,[2]stages!$2:$2,0)+1,FALSE)</f>
        <v xml:space="preserve">【上級】火のイモムシ </v>
      </c>
      <c r="I10" s="25">
        <v>4</v>
      </c>
      <c r="J10" s="13">
        <v>45</v>
      </c>
      <c r="K10" s="13">
        <v>60</v>
      </c>
    </row>
    <row r="11" spans="1:11" ht="21" customHeight="1" thickBot="1" x14ac:dyDescent="0.2">
      <c r="A11" s="86" t="str">
        <f t="shared" si="0"/>
        <v>11002_4-5</v>
      </c>
      <c r="B11" s="86" t="str">
        <f>IF(COUNTIF(enemy_habitats!$H:$H,A11),"OK","NG")</f>
        <v>OK</v>
      </c>
      <c r="C11" s="87">
        <v>11002</v>
      </c>
      <c r="D11" s="88" t="str">
        <f ca="1">VLOOKUP($C11,OFFSET([2]quests!$A$1,0,0,COUNTA([2]quests!$A:$A),MATCH(D$1,[2]quests!$1:$1,0)-MATCH($C$1,[2]quests!$1:$1,0)+1),MATCH(D$1,[2]quests!$1:$1,0)-MATCH($C$1,[2]quests!$1:$1,0)+1,FALSE)</f>
        <v>【火曜限定】 赤の素材</v>
      </c>
      <c r="E11" s="88" t="str">
        <f ca="1">VLOOKUP($C11,OFFSET([2]quests!$A$1,0,0,COUNTA([2]quests!$A:$A),MATCH(E$1,[2]quests!$1:$1,0)-MATCH($C$1,[2]quests!$1:$1,0)+1),MATCH(E$1,[2]quests!$1:$1,0)-MATCH($C$1,[2]quests!$1:$1,0)+1,FALSE)</f>
        <v>火曜クエスト</v>
      </c>
      <c r="F11" s="89">
        <v>4</v>
      </c>
      <c r="G11" s="90" t="str">
        <f t="shared" si="1"/>
        <v>11002_4</v>
      </c>
      <c r="H11" s="91" t="str">
        <f ca="1">VLOOKUP($G11,OFFSET([2]stages!$A$1,0,0,COUNTA([2]stages!$A:$A),MATCH(H$1,[2]stages!$2:$2,0)-MATCH($G$1,[2]stages!$2:$2,0)+1),MATCH(H$1,[2]stages!$2:$2,0)-MATCH($G$1,[2]stages!$2:$2,0)+1,FALSE)</f>
        <v xml:space="preserve">【上級】火のイモムシ </v>
      </c>
      <c r="I11" s="89">
        <v>5</v>
      </c>
      <c r="J11" s="92">
        <v>60</v>
      </c>
      <c r="K11" s="92">
        <v>60</v>
      </c>
    </row>
    <row r="12" spans="1:11" ht="21" customHeight="1" x14ac:dyDescent="0.15">
      <c r="A12" s="93" t="str">
        <f t="shared" si="0"/>
        <v>11003_4-1</v>
      </c>
      <c r="B12" s="93" t="str">
        <f>IF(COUNTIF(enemy_habitats!$H:$H,A12),"OK","NG")</f>
        <v>OK</v>
      </c>
      <c r="C12" s="94">
        <v>11003</v>
      </c>
      <c r="D12" s="95" t="str">
        <f ca="1">VLOOKUP($C12,OFFSET([2]quests!$A$1,0,0,COUNTA([2]quests!$A:$A),MATCH(D$1,[2]quests!$1:$1,0)-MATCH($C$1,[2]quests!$1:$1,0)+1),MATCH(D$1,[2]quests!$1:$1,0)-MATCH($C$1,[2]quests!$1:$1,0)+1,FALSE)</f>
        <v>【水曜限定】 青の素材</v>
      </c>
      <c r="E12" s="95" t="str">
        <f ca="1">VLOOKUP($C12,OFFSET([2]quests!$A$1,0,0,COUNTA([2]quests!$A:$A),MATCH(E$1,[2]quests!$1:$1,0)-MATCH($C$1,[2]quests!$1:$1,0)+1),MATCH(E$1,[2]quests!$1:$1,0)-MATCH($C$1,[2]quests!$1:$1,0)+1,FALSE)</f>
        <v>水曜クエスト</v>
      </c>
      <c r="F12" s="96">
        <v>4</v>
      </c>
      <c r="G12" s="97" t="str">
        <f t="shared" si="1"/>
        <v>11003_4</v>
      </c>
      <c r="H12" s="98" t="str">
        <f ca="1">VLOOKUP($G12,OFFSET([2]stages!$A$1,0,0,COUNTA([2]stages!$A:$A),MATCH(H$1,[2]stages!$2:$2,0)-MATCH($G$1,[2]stages!$2:$2,0)+1),MATCH(H$1,[2]stages!$2:$2,0)-MATCH($G$1,[2]stages!$2:$2,0)+1,FALSE)</f>
        <v>【上級】水のイモムシ</v>
      </c>
      <c r="I12" s="96">
        <v>1</v>
      </c>
      <c r="J12" s="99">
        <v>30</v>
      </c>
      <c r="K12" s="99">
        <v>45</v>
      </c>
    </row>
    <row r="13" spans="1:11" ht="21" customHeight="1" x14ac:dyDescent="0.15">
      <c r="A13" s="17" t="str">
        <f t="shared" si="0"/>
        <v>11003_4-2</v>
      </c>
      <c r="B13" s="17" t="str">
        <f>IF(COUNTIF(enemy_habitats!$H:$H,A13),"OK","NG")</f>
        <v>OK</v>
      </c>
      <c r="C13" s="8">
        <v>11003</v>
      </c>
      <c r="D13" s="12" t="str">
        <f ca="1">VLOOKUP($C13,OFFSET([2]quests!$A$1,0,0,COUNTA([2]quests!$A:$A),MATCH(D$1,[2]quests!$1:$1,0)-MATCH($C$1,[2]quests!$1:$1,0)+1),MATCH(D$1,[2]quests!$1:$1,0)-MATCH($C$1,[2]quests!$1:$1,0)+1,FALSE)</f>
        <v>【水曜限定】 青の素材</v>
      </c>
      <c r="E13" s="22" t="str">
        <f ca="1">VLOOKUP($C13,OFFSET([2]quests!$A$1,0,0,COUNTA([2]quests!$A:$A),MATCH(E$1,[2]quests!$1:$1,0)-MATCH($C$1,[2]quests!$1:$1,0)+1),MATCH(E$1,[2]quests!$1:$1,0)-MATCH($C$1,[2]quests!$1:$1,0)+1,FALSE)</f>
        <v>水曜クエスト</v>
      </c>
      <c r="F13" s="25">
        <v>4</v>
      </c>
      <c r="G13" s="26" t="str">
        <f t="shared" si="1"/>
        <v>11003_4</v>
      </c>
      <c r="H13" s="16" t="str">
        <f ca="1">VLOOKUP($G13,OFFSET([2]stages!$A$1,0,0,COUNTA([2]stages!$A:$A),MATCH(H$1,[2]stages!$2:$2,0)-MATCH($G$1,[2]stages!$2:$2,0)+1),MATCH(H$1,[2]stages!$2:$2,0)-MATCH($G$1,[2]stages!$2:$2,0)+1,FALSE)</f>
        <v>【上級】水のイモムシ</v>
      </c>
      <c r="I13" s="25">
        <v>2</v>
      </c>
      <c r="J13" s="13">
        <v>30</v>
      </c>
      <c r="K13" s="13">
        <v>45</v>
      </c>
    </row>
    <row r="14" spans="1:11" ht="21" customHeight="1" x14ac:dyDescent="0.15">
      <c r="A14" s="17" t="str">
        <f t="shared" si="0"/>
        <v>11003_4-3</v>
      </c>
      <c r="B14" s="17" t="str">
        <f>IF(COUNTIF(enemy_habitats!$H:$H,A14),"OK","NG")</f>
        <v>OK</v>
      </c>
      <c r="C14" s="8">
        <v>11003</v>
      </c>
      <c r="D14" s="12" t="str">
        <f ca="1">VLOOKUP($C14,OFFSET([2]quests!$A$1,0,0,COUNTA([2]quests!$A:$A),MATCH(D$1,[2]quests!$1:$1,0)-MATCH($C$1,[2]quests!$1:$1,0)+1),MATCH(D$1,[2]quests!$1:$1,0)-MATCH($C$1,[2]quests!$1:$1,0)+1,FALSE)</f>
        <v>【水曜限定】 青の素材</v>
      </c>
      <c r="E14" s="22" t="str">
        <f ca="1">VLOOKUP($C14,OFFSET([2]quests!$A$1,0,0,COUNTA([2]quests!$A:$A),MATCH(E$1,[2]quests!$1:$1,0)-MATCH($C$1,[2]quests!$1:$1,0)+1),MATCH(E$1,[2]quests!$1:$1,0)-MATCH($C$1,[2]quests!$1:$1,0)+1,FALSE)</f>
        <v>水曜クエスト</v>
      </c>
      <c r="F14" s="25">
        <v>4</v>
      </c>
      <c r="G14" s="26" t="str">
        <f t="shared" si="1"/>
        <v>11003_4</v>
      </c>
      <c r="H14" s="16" t="str">
        <f ca="1">VLOOKUP($G14,OFFSET([2]stages!$A$1,0,0,COUNTA([2]stages!$A:$A),MATCH(H$1,[2]stages!$2:$2,0)-MATCH($G$1,[2]stages!$2:$2,0)+1),MATCH(H$1,[2]stages!$2:$2,0)-MATCH($G$1,[2]stages!$2:$2,0)+1,FALSE)</f>
        <v>【上級】水のイモムシ</v>
      </c>
      <c r="I14" s="25">
        <v>3</v>
      </c>
      <c r="J14" s="13">
        <v>45</v>
      </c>
      <c r="K14" s="13">
        <v>45</v>
      </c>
    </row>
    <row r="15" spans="1:11" ht="21" customHeight="1" x14ac:dyDescent="0.15">
      <c r="A15" s="17" t="str">
        <f t="shared" si="0"/>
        <v>11003_4-4</v>
      </c>
      <c r="B15" s="17" t="str">
        <f>IF(COUNTIF(enemy_habitats!$H:$H,A15),"OK","NG")</f>
        <v>OK</v>
      </c>
      <c r="C15" s="8">
        <v>11003</v>
      </c>
      <c r="D15" s="12" t="str">
        <f ca="1">VLOOKUP($C15,OFFSET([2]quests!$A$1,0,0,COUNTA([2]quests!$A:$A),MATCH(D$1,[2]quests!$1:$1,0)-MATCH($C$1,[2]quests!$1:$1,0)+1),MATCH(D$1,[2]quests!$1:$1,0)-MATCH($C$1,[2]quests!$1:$1,0)+1,FALSE)</f>
        <v>【水曜限定】 青の素材</v>
      </c>
      <c r="E15" s="22" t="str">
        <f ca="1">VLOOKUP($C15,OFFSET([2]quests!$A$1,0,0,COUNTA([2]quests!$A:$A),MATCH(E$1,[2]quests!$1:$1,0)-MATCH($C$1,[2]quests!$1:$1,0)+1),MATCH(E$1,[2]quests!$1:$1,0)-MATCH($C$1,[2]quests!$1:$1,0)+1,FALSE)</f>
        <v>水曜クエスト</v>
      </c>
      <c r="F15" s="25">
        <v>4</v>
      </c>
      <c r="G15" s="26" t="str">
        <f t="shared" si="1"/>
        <v>11003_4</v>
      </c>
      <c r="H15" s="16" t="str">
        <f ca="1">VLOOKUP($G15,OFFSET([2]stages!$A$1,0,0,COUNTA([2]stages!$A:$A),MATCH(H$1,[2]stages!$2:$2,0)-MATCH($G$1,[2]stages!$2:$2,0)+1),MATCH(H$1,[2]stages!$2:$2,0)-MATCH($G$1,[2]stages!$2:$2,0)+1,FALSE)</f>
        <v>【上級】水のイモムシ</v>
      </c>
      <c r="I15" s="25">
        <v>4</v>
      </c>
      <c r="J15" s="13">
        <v>45</v>
      </c>
      <c r="K15" s="13">
        <v>60</v>
      </c>
    </row>
    <row r="16" spans="1:11" ht="21" customHeight="1" thickBot="1" x14ac:dyDescent="0.2">
      <c r="A16" s="86" t="str">
        <f t="shared" si="0"/>
        <v>11003_4-5</v>
      </c>
      <c r="B16" s="86" t="str">
        <f>IF(COUNTIF(enemy_habitats!$H:$H,A16),"OK","NG")</f>
        <v>OK</v>
      </c>
      <c r="C16" s="87">
        <v>11003</v>
      </c>
      <c r="D16" s="88" t="str">
        <f ca="1">VLOOKUP($C16,OFFSET([2]quests!$A$1,0,0,COUNTA([2]quests!$A:$A),MATCH(D$1,[2]quests!$1:$1,0)-MATCH($C$1,[2]quests!$1:$1,0)+1),MATCH(D$1,[2]quests!$1:$1,0)-MATCH($C$1,[2]quests!$1:$1,0)+1,FALSE)</f>
        <v>【水曜限定】 青の素材</v>
      </c>
      <c r="E16" s="88" t="str">
        <f ca="1">VLOOKUP($C16,OFFSET([2]quests!$A$1,0,0,COUNTA([2]quests!$A:$A),MATCH(E$1,[2]quests!$1:$1,0)-MATCH($C$1,[2]quests!$1:$1,0)+1),MATCH(E$1,[2]quests!$1:$1,0)-MATCH($C$1,[2]quests!$1:$1,0)+1,FALSE)</f>
        <v>水曜クエスト</v>
      </c>
      <c r="F16" s="89">
        <v>4</v>
      </c>
      <c r="G16" s="90" t="str">
        <f t="shared" si="1"/>
        <v>11003_4</v>
      </c>
      <c r="H16" s="91" t="str">
        <f ca="1">VLOOKUP($G16,OFFSET([2]stages!$A$1,0,0,COUNTA([2]stages!$A:$A),MATCH(H$1,[2]stages!$2:$2,0)-MATCH($G$1,[2]stages!$2:$2,0)+1),MATCH(H$1,[2]stages!$2:$2,0)-MATCH($G$1,[2]stages!$2:$2,0)+1,FALSE)</f>
        <v>【上級】水のイモムシ</v>
      </c>
      <c r="I16" s="89">
        <v>5</v>
      </c>
      <c r="J16" s="92">
        <v>60</v>
      </c>
      <c r="K16" s="92">
        <v>60</v>
      </c>
    </row>
    <row r="17" spans="1:11" ht="21" customHeight="1" x14ac:dyDescent="0.15">
      <c r="A17" s="93" t="str">
        <f t="shared" si="0"/>
        <v>11004_4-1</v>
      </c>
      <c r="B17" s="93" t="str">
        <f>IF(COUNTIF(enemy_habitats!$H:$H,A17),"OK","NG")</f>
        <v>OK</v>
      </c>
      <c r="C17" s="94">
        <v>11004</v>
      </c>
      <c r="D17" s="95" t="str">
        <f ca="1">VLOOKUP($C17,OFFSET([2]quests!$A$1,0,0,COUNTA([2]quests!$A:$A),MATCH(D$1,[2]quests!$1:$1,0)-MATCH($C$1,[2]quests!$1:$1,0)+1),MATCH(D$1,[2]quests!$1:$1,0)-MATCH($C$1,[2]quests!$1:$1,0)+1,FALSE)</f>
        <v>【木曜限定】 緑の素材</v>
      </c>
      <c r="E17" s="95" t="str">
        <f ca="1">VLOOKUP($C17,OFFSET([2]quests!$A$1,0,0,COUNTA([2]quests!$A:$A),MATCH(E$1,[2]quests!$1:$1,0)-MATCH($C$1,[2]quests!$1:$1,0)+1),MATCH(E$1,[2]quests!$1:$1,0)-MATCH($C$1,[2]quests!$1:$1,0)+1,FALSE)</f>
        <v>木曜クエスト</v>
      </c>
      <c r="F17" s="96">
        <v>4</v>
      </c>
      <c r="G17" s="97" t="str">
        <f t="shared" si="1"/>
        <v>11004_4</v>
      </c>
      <c r="H17" s="98" t="str">
        <f ca="1">VLOOKUP($G17,OFFSET([2]stages!$A$1,0,0,COUNTA([2]stages!$A:$A),MATCH(H$1,[2]stages!$2:$2,0)-MATCH($G$1,[2]stages!$2:$2,0)+1),MATCH(H$1,[2]stages!$2:$2,0)-MATCH($G$1,[2]stages!$2:$2,0)+1,FALSE)</f>
        <v xml:space="preserve">【上級】樹のイモムシ </v>
      </c>
      <c r="I17" s="96">
        <v>1</v>
      </c>
      <c r="J17" s="99">
        <v>30</v>
      </c>
      <c r="K17" s="99">
        <v>45</v>
      </c>
    </row>
    <row r="18" spans="1:11" ht="21" customHeight="1" x14ac:dyDescent="0.15">
      <c r="A18" s="17" t="str">
        <f t="shared" si="0"/>
        <v>11004_4-2</v>
      </c>
      <c r="B18" s="17" t="str">
        <f>IF(COUNTIF(enemy_habitats!$H:$H,A18),"OK","NG")</f>
        <v>OK</v>
      </c>
      <c r="C18" s="8">
        <v>11004</v>
      </c>
      <c r="D18" s="12" t="str">
        <f ca="1">VLOOKUP($C18,OFFSET([2]quests!$A$1,0,0,COUNTA([2]quests!$A:$A),MATCH(D$1,[2]quests!$1:$1,0)-MATCH($C$1,[2]quests!$1:$1,0)+1),MATCH(D$1,[2]quests!$1:$1,0)-MATCH($C$1,[2]quests!$1:$1,0)+1,FALSE)</f>
        <v>【木曜限定】 緑の素材</v>
      </c>
      <c r="E18" s="22" t="str">
        <f ca="1">VLOOKUP($C18,OFFSET([2]quests!$A$1,0,0,COUNTA([2]quests!$A:$A),MATCH(E$1,[2]quests!$1:$1,0)-MATCH($C$1,[2]quests!$1:$1,0)+1),MATCH(E$1,[2]quests!$1:$1,0)-MATCH($C$1,[2]quests!$1:$1,0)+1,FALSE)</f>
        <v>木曜クエスト</v>
      </c>
      <c r="F18" s="25">
        <v>4</v>
      </c>
      <c r="G18" s="26" t="str">
        <f t="shared" si="1"/>
        <v>11004_4</v>
      </c>
      <c r="H18" s="16" t="str">
        <f ca="1">VLOOKUP($G18,OFFSET([2]stages!$A$1,0,0,COUNTA([2]stages!$A:$A),MATCH(H$1,[2]stages!$2:$2,0)-MATCH($G$1,[2]stages!$2:$2,0)+1),MATCH(H$1,[2]stages!$2:$2,0)-MATCH($G$1,[2]stages!$2:$2,0)+1,FALSE)</f>
        <v xml:space="preserve">【上級】樹のイモムシ </v>
      </c>
      <c r="I18" s="25">
        <v>2</v>
      </c>
      <c r="J18" s="13">
        <v>30</v>
      </c>
      <c r="K18" s="13">
        <v>45</v>
      </c>
    </row>
    <row r="19" spans="1:11" ht="21" customHeight="1" x14ac:dyDescent="0.15">
      <c r="A19" s="17" t="str">
        <f t="shared" si="0"/>
        <v>11004_4-3</v>
      </c>
      <c r="B19" s="17" t="str">
        <f>IF(COUNTIF(enemy_habitats!$H:$H,A19),"OK","NG")</f>
        <v>OK</v>
      </c>
      <c r="C19" s="8">
        <v>11004</v>
      </c>
      <c r="D19" s="12" t="str">
        <f ca="1">VLOOKUP($C19,OFFSET([2]quests!$A$1,0,0,COUNTA([2]quests!$A:$A),MATCH(D$1,[2]quests!$1:$1,0)-MATCH($C$1,[2]quests!$1:$1,0)+1),MATCH(D$1,[2]quests!$1:$1,0)-MATCH($C$1,[2]quests!$1:$1,0)+1,FALSE)</f>
        <v>【木曜限定】 緑の素材</v>
      </c>
      <c r="E19" s="22" t="str">
        <f ca="1">VLOOKUP($C19,OFFSET([2]quests!$A$1,0,0,COUNTA([2]quests!$A:$A),MATCH(E$1,[2]quests!$1:$1,0)-MATCH($C$1,[2]quests!$1:$1,0)+1),MATCH(E$1,[2]quests!$1:$1,0)-MATCH($C$1,[2]quests!$1:$1,0)+1,FALSE)</f>
        <v>木曜クエスト</v>
      </c>
      <c r="F19" s="25">
        <v>4</v>
      </c>
      <c r="G19" s="26" t="str">
        <f t="shared" si="1"/>
        <v>11004_4</v>
      </c>
      <c r="H19" s="16" t="str">
        <f ca="1">VLOOKUP($G19,OFFSET([2]stages!$A$1,0,0,COUNTA([2]stages!$A:$A),MATCH(H$1,[2]stages!$2:$2,0)-MATCH($G$1,[2]stages!$2:$2,0)+1),MATCH(H$1,[2]stages!$2:$2,0)-MATCH($G$1,[2]stages!$2:$2,0)+1,FALSE)</f>
        <v xml:space="preserve">【上級】樹のイモムシ </v>
      </c>
      <c r="I19" s="25">
        <v>3</v>
      </c>
      <c r="J19" s="13">
        <v>45</v>
      </c>
      <c r="K19" s="13">
        <v>45</v>
      </c>
    </row>
    <row r="20" spans="1:11" ht="21" customHeight="1" x14ac:dyDescent="0.15">
      <c r="A20" s="17" t="str">
        <f t="shared" si="0"/>
        <v>11004_4-4</v>
      </c>
      <c r="B20" s="17" t="str">
        <f>IF(COUNTIF(enemy_habitats!$H:$H,A20),"OK","NG")</f>
        <v>OK</v>
      </c>
      <c r="C20" s="8">
        <v>11004</v>
      </c>
      <c r="D20" s="12" t="str">
        <f ca="1">VLOOKUP($C20,OFFSET([2]quests!$A$1,0,0,COUNTA([2]quests!$A:$A),MATCH(D$1,[2]quests!$1:$1,0)-MATCH($C$1,[2]quests!$1:$1,0)+1),MATCH(D$1,[2]quests!$1:$1,0)-MATCH($C$1,[2]quests!$1:$1,0)+1,FALSE)</f>
        <v>【木曜限定】 緑の素材</v>
      </c>
      <c r="E20" s="22" t="str">
        <f ca="1">VLOOKUP($C20,OFFSET([2]quests!$A$1,0,0,COUNTA([2]quests!$A:$A),MATCH(E$1,[2]quests!$1:$1,0)-MATCH($C$1,[2]quests!$1:$1,0)+1),MATCH(E$1,[2]quests!$1:$1,0)-MATCH($C$1,[2]quests!$1:$1,0)+1,FALSE)</f>
        <v>木曜クエスト</v>
      </c>
      <c r="F20" s="25">
        <v>4</v>
      </c>
      <c r="G20" s="26" t="str">
        <f t="shared" si="1"/>
        <v>11004_4</v>
      </c>
      <c r="H20" s="16" t="str">
        <f ca="1">VLOOKUP($G20,OFFSET([2]stages!$A$1,0,0,COUNTA([2]stages!$A:$A),MATCH(H$1,[2]stages!$2:$2,0)-MATCH($G$1,[2]stages!$2:$2,0)+1),MATCH(H$1,[2]stages!$2:$2,0)-MATCH($G$1,[2]stages!$2:$2,0)+1,FALSE)</f>
        <v xml:space="preserve">【上級】樹のイモムシ </v>
      </c>
      <c r="I20" s="25">
        <v>4</v>
      </c>
      <c r="J20" s="13">
        <v>45</v>
      </c>
      <c r="K20" s="13">
        <v>60</v>
      </c>
    </row>
    <row r="21" spans="1:11" ht="21" customHeight="1" thickBot="1" x14ac:dyDescent="0.2">
      <c r="A21" s="86" t="str">
        <f t="shared" si="0"/>
        <v>11004_4-5</v>
      </c>
      <c r="B21" s="86" t="str">
        <f>IF(COUNTIF(enemy_habitats!$H:$H,A21),"OK","NG")</f>
        <v>OK</v>
      </c>
      <c r="C21" s="87">
        <v>11004</v>
      </c>
      <c r="D21" s="88" t="str">
        <f ca="1">VLOOKUP($C21,OFFSET([2]quests!$A$1,0,0,COUNTA([2]quests!$A:$A),MATCH(D$1,[2]quests!$1:$1,0)-MATCH($C$1,[2]quests!$1:$1,0)+1),MATCH(D$1,[2]quests!$1:$1,0)-MATCH($C$1,[2]quests!$1:$1,0)+1,FALSE)</f>
        <v>【木曜限定】 緑の素材</v>
      </c>
      <c r="E21" s="88" t="str">
        <f ca="1">VLOOKUP($C21,OFFSET([2]quests!$A$1,0,0,COUNTA([2]quests!$A:$A),MATCH(E$1,[2]quests!$1:$1,0)-MATCH($C$1,[2]quests!$1:$1,0)+1),MATCH(E$1,[2]quests!$1:$1,0)-MATCH($C$1,[2]quests!$1:$1,0)+1,FALSE)</f>
        <v>木曜クエスト</v>
      </c>
      <c r="F21" s="89">
        <v>4</v>
      </c>
      <c r="G21" s="90" t="str">
        <f t="shared" si="1"/>
        <v>11004_4</v>
      </c>
      <c r="H21" s="91" t="str">
        <f ca="1">VLOOKUP($G21,OFFSET([2]stages!$A$1,0,0,COUNTA([2]stages!$A:$A),MATCH(H$1,[2]stages!$2:$2,0)-MATCH($G$1,[2]stages!$2:$2,0)+1),MATCH(H$1,[2]stages!$2:$2,0)-MATCH($G$1,[2]stages!$2:$2,0)+1,FALSE)</f>
        <v xml:space="preserve">【上級】樹のイモムシ </v>
      </c>
      <c r="I21" s="89">
        <v>5</v>
      </c>
      <c r="J21" s="92">
        <v>60</v>
      </c>
      <c r="K21" s="92">
        <v>60</v>
      </c>
    </row>
    <row r="22" spans="1:11" ht="21" customHeight="1" x14ac:dyDescent="0.15">
      <c r="A22" s="93" t="str">
        <f t="shared" ref="A22:A26" si="2">G22&amp;"-"&amp;I22</f>
        <v>11007_3-1</v>
      </c>
      <c r="B22" s="93" t="str">
        <f>IF(COUNTIF(enemy_habitats!$H:$H,A22),"OK","NG")</f>
        <v>OK</v>
      </c>
      <c r="C22" s="94">
        <v>11007</v>
      </c>
      <c r="D22" s="95" t="str">
        <f ca="1">VLOOKUP($C22,OFFSET([2]quests!$A$1,0,0,COUNTA([2]quests!$A:$A),MATCH(D$1,[2]quests!$1:$1,0)-MATCH($C$1,[2]quests!$1:$1,0)+1),MATCH(D$1,[2]quests!$1:$1,0)-MATCH($C$1,[2]quests!$1:$1,0)+1,FALSE)</f>
        <v>【土曜限定】 赤と緑の素材</v>
      </c>
      <c r="E22" s="95" t="str">
        <f ca="1">VLOOKUP($C22,OFFSET([2]quests!$A$1,0,0,COUNTA([2]quests!$A:$A),MATCH(E$1,[2]quests!$1:$1,0)-MATCH($C$1,[2]quests!$1:$1,0)+1),MATCH(E$1,[2]quests!$1:$1,0)-MATCH($C$1,[2]quests!$1:$1,0)+1,FALSE)</f>
        <v>土曜クエスト</v>
      </c>
      <c r="F22" s="96">
        <v>3</v>
      </c>
      <c r="G22" s="97" t="str">
        <f t="shared" ref="G22:G26" si="3">C22&amp;"_"&amp;F22</f>
        <v>11007_3</v>
      </c>
      <c r="H22" s="98" t="str">
        <f ca="1">VLOOKUP($G22,OFFSET([2]stages!$A$1,0,0,COUNTA([2]stages!$A:$A),MATCH(H$1,[2]stages!$2:$2,0)-MATCH($G$1,[2]stages!$2:$2,0)+1),MATCH(H$1,[2]stages!$2:$2,0)-MATCH($G$1,[2]stages!$2:$2,0)+1,FALSE)</f>
        <v xml:space="preserve">【上級】火と樹のイモムシ </v>
      </c>
      <c r="I22" s="96">
        <v>1</v>
      </c>
      <c r="J22" s="99">
        <v>30</v>
      </c>
      <c r="K22" s="99">
        <v>45</v>
      </c>
    </row>
    <row r="23" spans="1:11" ht="21" customHeight="1" x14ac:dyDescent="0.15">
      <c r="A23" s="17" t="str">
        <f t="shared" si="2"/>
        <v>11007_3-2</v>
      </c>
      <c r="B23" s="17" t="str">
        <f>IF(COUNTIF(enemy_habitats!$H:$H,A23),"OK","NG")</f>
        <v>OK</v>
      </c>
      <c r="C23" s="8">
        <v>11007</v>
      </c>
      <c r="D23" s="12" t="str">
        <f ca="1">VLOOKUP($C23,OFFSET([2]quests!$A$1,0,0,COUNTA([2]quests!$A:$A),MATCH(D$1,[2]quests!$1:$1,0)-MATCH($C$1,[2]quests!$1:$1,0)+1),MATCH(D$1,[2]quests!$1:$1,0)-MATCH($C$1,[2]quests!$1:$1,0)+1,FALSE)</f>
        <v>【土曜限定】 赤と緑の素材</v>
      </c>
      <c r="E23" s="22" t="str">
        <f ca="1">VLOOKUP($C23,OFFSET([2]quests!$A$1,0,0,COUNTA([2]quests!$A:$A),MATCH(E$1,[2]quests!$1:$1,0)-MATCH($C$1,[2]quests!$1:$1,0)+1),MATCH(E$1,[2]quests!$1:$1,0)-MATCH($C$1,[2]quests!$1:$1,0)+1,FALSE)</f>
        <v>土曜クエスト</v>
      </c>
      <c r="F23" s="25">
        <v>3</v>
      </c>
      <c r="G23" s="26" t="str">
        <f t="shared" si="3"/>
        <v>11007_3</v>
      </c>
      <c r="H23" s="16" t="str">
        <f ca="1">VLOOKUP($G23,OFFSET([2]stages!$A$1,0,0,COUNTA([2]stages!$A:$A),MATCH(H$1,[2]stages!$2:$2,0)-MATCH($G$1,[2]stages!$2:$2,0)+1),MATCH(H$1,[2]stages!$2:$2,0)-MATCH($G$1,[2]stages!$2:$2,0)+1,FALSE)</f>
        <v xml:space="preserve">【上級】火と樹のイモムシ </v>
      </c>
      <c r="I23" s="25">
        <v>2</v>
      </c>
      <c r="J23" s="13">
        <v>30</v>
      </c>
      <c r="K23" s="13">
        <v>45</v>
      </c>
    </row>
    <row r="24" spans="1:11" ht="21" customHeight="1" x14ac:dyDescent="0.15">
      <c r="A24" s="17" t="str">
        <f t="shared" si="2"/>
        <v>11007_3-3</v>
      </c>
      <c r="B24" s="17" t="str">
        <f>IF(COUNTIF(enemy_habitats!$H:$H,A24),"OK","NG")</f>
        <v>OK</v>
      </c>
      <c r="C24" s="8">
        <v>11007</v>
      </c>
      <c r="D24" s="12" t="str">
        <f ca="1">VLOOKUP($C24,OFFSET([2]quests!$A$1,0,0,COUNTA([2]quests!$A:$A),MATCH(D$1,[2]quests!$1:$1,0)-MATCH($C$1,[2]quests!$1:$1,0)+1),MATCH(D$1,[2]quests!$1:$1,0)-MATCH($C$1,[2]quests!$1:$1,0)+1,FALSE)</f>
        <v>【土曜限定】 赤と緑の素材</v>
      </c>
      <c r="E24" s="22" t="str">
        <f ca="1">VLOOKUP($C24,OFFSET([2]quests!$A$1,0,0,COUNTA([2]quests!$A:$A),MATCH(E$1,[2]quests!$1:$1,0)-MATCH($C$1,[2]quests!$1:$1,0)+1),MATCH(E$1,[2]quests!$1:$1,0)-MATCH($C$1,[2]quests!$1:$1,0)+1,FALSE)</f>
        <v>土曜クエスト</v>
      </c>
      <c r="F24" s="25">
        <v>3</v>
      </c>
      <c r="G24" s="26" t="str">
        <f t="shared" si="3"/>
        <v>11007_3</v>
      </c>
      <c r="H24" s="16" t="str">
        <f ca="1">VLOOKUP($G24,OFFSET([2]stages!$A$1,0,0,COUNTA([2]stages!$A:$A),MATCH(H$1,[2]stages!$2:$2,0)-MATCH($G$1,[2]stages!$2:$2,0)+1),MATCH(H$1,[2]stages!$2:$2,0)-MATCH($G$1,[2]stages!$2:$2,0)+1,FALSE)</f>
        <v xml:space="preserve">【上級】火と樹のイモムシ </v>
      </c>
      <c r="I24" s="25">
        <v>3</v>
      </c>
      <c r="J24" s="13">
        <v>45</v>
      </c>
      <c r="K24" s="13">
        <v>45</v>
      </c>
    </row>
    <row r="25" spans="1:11" ht="21" customHeight="1" x14ac:dyDescent="0.15">
      <c r="A25" s="17" t="str">
        <f t="shared" si="2"/>
        <v>11007_3-4</v>
      </c>
      <c r="B25" s="17" t="str">
        <f>IF(COUNTIF(enemy_habitats!$H:$H,A25),"OK","NG")</f>
        <v>OK</v>
      </c>
      <c r="C25" s="8">
        <v>11007</v>
      </c>
      <c r="D25" s="12" t="str">
        <f ca="1">VLOOKUP($C25,OFFSET([2]quests!$A$1,0,0,COUNTA([2]quests!$A:$A),MATCH(D$1,[2]quests!$1:$1,0)-MATCH($C$1,[2]quests!$1:$1,0)+1),MATCH(D$1,[2]quests!$1:$1,0)-MATCH($C$1,[2]quests!$1:$1,0)+1,FALSE)</f>
        <v>【土曜限定】 赤と緑の素材</v>
      </c>
      <c r="E25" s="22" t="str">
        <f ca="1">VLOOKUP($C25,OFFSET([2]quests!$A$1,0,0,COUNTA([2]quests!$A:$A),MATCH(E$1,[2]quests!$1:$1,0)-MATCH($C$1,[2]quests!$1:$1,0)+1),MATCH(E$1,[2]quests!$1:$1,0)-MATCH($C$1,[2]quests!$1:$1,0)+1,FALSE)</f>
        <v>土曜クエスト</v>
      </c>
      <c r="F25" s="25">
        <v>3</v>
      </c>
      <c r="G25" s="26" t="str">
        <f t="shared" si="3"/>
        <v>11007_3</v>
      </c>
      <c r="H25" s="16" t="str">
        <f ca="1">VLOOKUP($G25,OFFSET([2]stages!$A$1,0,0,COUNTA([2]stages!$A:$A),MATCH(H$1,[2]stages!$2:$2,0)-MATCH($G$1,[2]stages!$2:$2,0)+1),MATCH(H$1,[2]stages!$2:$2,0)-MATCH($G$1,[2]stages!$2:$2,0)+1,FALSE)</f>
        <v xml:space="preserve">【上級】火と樹のイモムシ </v>
      </c>
      <c r="I25" s="25">
        <v>4</v>
      </c>
      <c r="J25" s="13">
        <v>45</v>
      </c>
      <c r="K25" s="13">
        <v>60</v>
      </c>
    </row>
    <row r="26" spans="1:11" ht="21" customHeight="1" thickBot="1" x14ac:dyDescent="0.2">
      <c r="A26" s="86" t="str">
        <f t="shared" si="2"/>
        <v>11007_3-5</v>
      </c>
      <c r="B26" s="86" t="str">
        <f>IF(COUNTIF(enemy_habitats!$H:$H,A26),"OK","NG")</f>
        <v>OK</v>
      </c>
      <c r="C26" s="87">
        <v>11007</v>
      </c>
      <c r="D26" s="88" t="str">
        <f ca="1">VLOOKUP($C26,OFFSET([2]quests!$A$1,0,0,COUNTA([2]quests!$A:$A),MATCH(D$1,[2]quests!$1:$1,0)-MATCH($C$1,[2]quests!$1:$1,0)+1),MATCH(D$1,[2]quests!$1:$1,0)-MATCH($C$1,[2]quests!$1:$1,0)+1,FALSE)</f>
        <v>【土曜限定】 赤と緑の素材</v>
      </c>
      <c r="E26" s="88" t="str">
        <f ca="1">VLOOKUP($C26,OFFSET([2]quests!$A$1,0,0,COUNTA([2]quests!$A:$A),MATCH(E$1,[2]quests!$1:$1,0)-MATCH($C$1,[2]quests!$1:$1,0)+1),MATCH(E$1,[2]quests!$1:$1,0)-MATCH($C$1,[2]quests!$1:$1,0)+1,FALSE)</f>
        <v>土曜クエスト</v>
      </c>
      <c r="F26" s="89">
        <v>3</v>
      </c>
      <c r="G26" s="90" t="str">
        <f t="shared" si="3"/>
        <v>11007_3</v>
      </c>
      <c r="H26" s="91" t="str">
        <f ca="1">VLOOKUP($G26,OFFSET([2]stages!$A$1,0,0,COUNTA([2]stages!$A:$A),MATCH(H$1,[2]stages!$2:$2,0)-MATCH($G$1,[2]stages!$2:$2,0)+1),MATCH(H$1,[2]stages!$2:$2,0)-MATCH($G$1,[2]stages!$2:$2,0)+1,FALSE)</f>
        <v xml:space="preserve">【上級】火と樹のイモムシ </v>
      </c>
      <c r="I26" s="89">
        <v>5</v>
      </c>
      <c r="J26" s="92">
        <v>60</v>
      </c>
      <c r="K26" s="92">
        <v>60</v>
      </c>
    </row>
    <row r="27" spans="1:11" ht="21" customHeight="1" x14ac:dyDescent="0.15">
      <c r="A27" s="93" t="str">
        <f t="shared" ref="A27:A31" si="4">G27&amp;"-"&amp;I27</f>
        <v>11008_3-1</v>
      </c>
      <c r="B27" s="93" t="str">
        <f>IF(COUNTIF(enemy_habitats!$H:$H,A27),"OK","NG")</f>
        <v>OK</v>
      </c>
      <c r="C27" s="94">
        <v>11008</v>
      </c>
      <c r="D27" s="95" t="str">
        <f ca="1">VLOOKUP($C27,OFFSET([2]quests!$A$1,0,0,COUNTA([2]quests!$A:$A),MATCH(D$1,[2]quests!$1:$1,0)-MATCH($C$1,[2]quests!$1:$1,0)+1),MATCH(D$1,[2]quests!$1:$1,0)-MATCH($C$1,[2]quests!$1:$1,0)+1,FALSE)</f>
        <v>【日曜限定】 青と黄の素材</v>
      </c>
      <c r="E27" s="95" t="str">
        <f ca="1">VLOOKUP($C27,OFFSET([2]quests!$A$1,0,0,COUNTA([2]quests!$A:$A),MATCH(E$1,[2]quests!$1:$1,0)-MATCH($C$1,[2]quests!$1:$1,0)+1),MATCH(E$1,[2]quests!$1:$1,0)-MATCH($C$1,[2]quests!$1:$1,0)+1,FALSE)</f>
        <v>日曜クエスト</v>
      </c>
      <c r="F27" s="96">
        <v>3</v>
      </c>
      <c r="G27" s="97" t="str">
        <f t="shared" ref="G27:G31" si="5">C27&amp;"_"&amp;F27</f>
        <v>11008_3</v>
      </c>
      <c r="H27" s="98" t="str">
        <f ca="1">VLOOKUP($G27,OFFSET([2]stages!$A$1,0,0,COUNTA([2]stages!$A:$A),MATCH(H$1,[2]stages!$2:$2,0)-MATCH($G$1,[2]stages!$2:$2,0)+1),MATCH(H$1,[2]stages!$2:$2,0)-MATCH($G$1,[2]stages!$2:$2,0)+1,FALSE)</f>
        <v xml:space="preserve">【上級】水と雷のイモムシ </v>
      </c>
      <c r="I27" s="96">
        <v>1</v>
      </c>
      <c r="J27" s="99">
        <v>30</v>
      </c>
      <c r="K27" s="99">
        <v>45</v>
      </c>
    </row>
    <row r="28" spans="1:11" ht="21" customHeight="1" x14ac:dyDescent="0.15">
      <c r="A28" s="17" t="str">
        <f t="shared" si="4"/>
        <v>11008_3-2</v>
      </c>
      <c r="B28" s="17" t="str">
        <f>IF(COUNTIF(enemy_habitats!$H:$H,A28),"OK","NG")</f>
        <v>OK</v>
      </c>
      <c r="C28" s="8">
        <v>11008</v>
      </c>
      <c r="D28" s="12" t="str">
        <f ca="1">VLOOKUP($C28,OFFSET([2]quests!$A$1,0,0,COUNTA([2]quests!$A:$A),MATCH(D$1,[2]quests!$1:$1,0)-MATCH($C$1,[2]quests!$1:$1,0)+1),MATCH(D$1,[2]quests!$1:$1,0)-MATCH($C$1,[2]quests!$1:$1,0)+1,FALSE)</f>
        <v>【日曜限定】 青と黄の素材</v>
      </c>
      <c r="E28" s="22" t="str">
        <f ca="1">VLOOKUP($C28,OFFSET([2]quests!$A$1,0,0,COUNTA([2]quests!$A:$A),MATCH(E$1,[2]quests!$1:$1,0)-MATCH($C$1,[2]quests!$1:$1,0)+1),MATCH(E$1,[2]quests!$1:$1,0)-MATCH($C$1,[2]quests!$1:$1,0)+1,FALSE)</f>
        <v>日曜クエスト</v>
      </c>
      <c r="F28" s="25">
        <v>3</v>
      </c>
      <c r="G28" s="26" t="str">
        <f t="shared" si="5"/>
        <v>11008_3</v>
      </c>
      <c r="H28" s="16" t="str">
        <f ca="1">VLOOKUP($G28,OFFSET([2]stages!$A$1,0,0,COUNTA([2]stages!$A:$A),MATCH(H$1,[2]stages!$2:$2,0)-MATCH($G$1,[2]stages!$2:$2,0)+1),MATCH(H$1,[2]stages!$2:$2,0)-MATCH($G$1,[2]stages!$2:$2,0)+1,FALSE)</f>
        <v xml:space="preserve">【上級】水と雷のイモムシ </v>
      </c>
      <c r="I28" s="25">
        <v>2</v>
      </c>
      <c r="J28" s="13">
        <v>30</v>
      </c>
      <c r="K28" s="13">
        <v>45</v>
      </c>
    </row>
    <row r="29" spans="1:11" ht="21" customHeight="1" x14ac:dyDescent="0.15">
      <c r="A29" s="17" t="str">
        <f t="shared" si="4"/>
        <v>11008_3-3</v>
      </c>
      <c r="B29" s="17" t="str">
        <f>IF(COUNTIF(enemy_habitats!$H:$H,A29),"OK","NG")</f>
        <v>OK</v>
      </c>
      <c r="C29" s="8">
        <v>11008</v>
      </c>
      <c r="D29" s="12" t="str">
        <f ca="1">VLOOKUP($C29,OFFSET([2]quests!$A$1,0,0,COUNTA([2]quests!$A:$A),MATCH(D$1,[2]quests!$1:$1,0)-MATCH($C$1,[2]quests!$1:$1,0)+1),MATCH(D$1,[2]quests!$1:$1,0)-MATCH($C$1,[2]quests!$1:$1,0)+1,FALSE)</f>
        <v>【日曜限定】 青と黄の素材</v>
      </c>
      <c r="E29" s="22" t="str">
        <f ca="1">VLOOKUP($C29,OFFSET([2]quests!$A$1,0,0,COUNTA([2]quests!$A:$A),MATCH(E$1,[2]quests!$1:$1,0)-MATCH($C$1,[2]quests!$1:$1,0)+1),MATCH(E$1,[2]quests!$1:$1,0)-MATCH($C$1,[2]quests!$1:$1,0)+1,FALSE)</f>
        <v>日曜クエスト</v>
      </c>
      <c r="F29" s="25">
        <v>3</v>
      </c>
      <c r="G29" s="26" t="str">
        <f t="shared" si="5"/>
        <v>11008_3</v>
      </c>
      <c r="H29" s="16" t="str">
        <f ca="1">VLOOKUP($G29,OFFSET([2]stages!$A$1,0,0,COUNTA([2]stages!$A:$A),MATCH(H$1,[2]stages!$2:$2,0)-MATCH($G$1,[2]stages!$2:$2,0)+1),MATCH(H$1,[2]stages!$2:$2,0)-MATCH($G$1,[2]stages!$2:$2,0)+1,FALSE)</f>
        <v xml:space="preserve">【上級】水と雷のイモムシ </v>
      </c>
      <c r="I29" s="25">
        <v>3</v>
      </c>
      <c r="J29" s="13">
        <v>45</v>
      </c>
      <c r="K29" s="13">
        <v>45</v>
      </c>
    </row>
    <row r="30" spans="1:11" ht="21" customHeight="1" x14ac:dyDescent="0.15">
      <c r="A30" s="17" t="str">
        <f t="shared" si="4"/>
        <v>11008_3-4</v>
      </c>
      <c r="B30" s="17" t="str">
        <f>IF(COUNTIF(enemy_habitats!$H:$H,A30),"OK","NG")</f>
        <v>OK</v>
      </c>
      <c r="C30" s="8">
        <v>11008</v>
      </c>
      <c r="D30" s="12" t="str">
        <f ca="1">VLOOKUP($C30,OFFSET([2]quests!$A$1,0,0,COUNTA([2]quests!$A:$A),MATCH(D$1,[2]quests!$1:$1,0)-MATCH($C$1,[2]quests!$1:$1,0)+1),MATCH(D$1,[2]quests!$1:$1,0)-MATCH($C$1,[2]quests!$1:$1,0)+1,FALSE)</f>
        <v>【日曜限定】 青と黄の素材</v>
      </c>
      <c r="E30" s="22" t="str">
        <f ca="1">VLOOKUP($C30,OFFSET([2]quests!$A$1,0,0,COUNTA([2]quests!$A:$A),MATCH(E$1,[2]quests!$1:$1,0)-MATCH($C$1,[2]quests!$1:$1,0)+1),MATCH(E$1,[2]quests!$1:$1,0)-MATCH($C$1,[2]quests!$1:$1,0)+1,FALSE)</f>
        <v>日曜クエスト</v>
      </c>
      <c r="F30" s="25">
        <v>3</v>
      </c>
      <c r="G30" s="26" t="str">
        <f t="shared" si="5"/>
        <v>11008_3</v>
      </c>
      <c r="H30" s="16" t="str">
        <f ca="1">VLOOKUP($G30,OFFSET([2]stages!$A$1,0,0,COUNTA([2]stages!$A:$A),MATCH(H$1,[2]stages!$2:$2,0)-MATCH($G$1,[2]stages!$2:$2,0)+1),MATCH(H$1,[2]stages!$2:$2,0)-MATCH($G$1,[2]stages!$2:$2,0)+1,FALSE)</f>
        <v xml:space="preserve">【上級】水と雷のイモムシ </v>
      </c>
      <c r="I30" s="25">
        <v>4</v>
      </c>
      <c r="J30" s="13">
        <v>45</v>
      </c>
      <c r="K30" s="13">
        <v>60</v>
      </c>
    </row>
    <row r="31" spans="1:11" ht="21" customHeight="1" thickBot="1" x14ac:dyDescent="0.2">
      <c r="A31" s="86" t="str">
        <f t="shared" si="4"/>
        <v>11008_3-5</v>
      </c>
      <c r="B31" s="86" t="str">
        <f>IF(COUNTIF(enemy_habitats!$H:$H,A31),"OK","NG")</f>
        <v>OK</v>
      </c>
      <c r="C31" s="87">
        <v>11008</v>
      </c>
      <c r="D31" s="88" t="str">
        <f ca="1">VLOOKUP($C31,OFFSET([2]quests!$A$1,0,0,COUNTA([2]quests!$A:$A),MATCH(D$1,[2]quests!$1:$1,0)-MATCH($C$1,[2]quests!$1:$1,0)+1),MATCH(D$1,[2]quests!$1:$1,0)-MATCH($C$1,[2]quests!$1:$1,0)+1,FALSE)</f>
        <v>【日曜限定】 青と黄の素材</v>
      </c>
      <c r="E31" s="88" t="str">
        <f ca="1">VLOOKUP($C31,OFFSET([2]quests!$A$1,0,0,COUNTA([2]quests!$A:$A),MATCH(E$1,[2]quests!$1:$1,0)-MATCH($C$1,[2]quests!$1:$1,0)+1),MATCH(E$1,[2]quests!$1:$1,0)-MATCH($C$1,[2]quests!$1:$1,0)+1,FALSE)</f>
        <v>日曜クエスト</v>
      </c>
      <c r="F31" s="89">
        <v>3</v>
      </c>
      <c r="G31" s="90" t="str">
        <f t="shared" si="5"/>
        <v>11008_3</v>
      </c>
      <c r="H31" s="91" t="str">
        <f ca="1">VLOOKUP($G31,OFFSET([2]stages!$A$1,0,0,COUNTA([2]stages!$A:$A),MATCH(H$1,[2]stages!$2:$2,0)-MATCH($G$1,[2]stages!$2:$2,0)+1),MATCH(H$1,[2]stages!$2:$2,0)-MATCH($G$1,[2]stages!$2:$2,0)+1,FALSE)</f>
        <v xml:space="preserve">【上級】水と雷のイモムシ </v>
      </c>
      <c r="I31" s="89">
        <v>5</v>
      </c>
      <c r="J31" s="92">
        <v>60</v>
      </c>
      <c r="K31" s="92">
        <v>60</v>
      </c>
    </row>
    <row r="32" spans="1:11" ht="21" customHeight="1" x14ac:dyDescent="0.15">
      <c r="A32" s="93" t="str">
        <f t="shared" ref="A32:A51" si="6">G32&amp;"-"&amp;I32</f>
        <v>11101_4-1</v>
      </c>
      <c r="B32" s="93" t="str">
        <f>IF(COUNTIF(enemy_habitats!$H:$H,A32),"OK","NG")</f>
        <v>OK</v>
      </c>
      <c r="C32" s="94">
        <v>11101</v>
      </c>
      <c r="D32" s="95" t="str">
        <f ca="1">VLOOKUP($C32,OFFSET([2]quests!$A$1,0,0,COUNTA([2]quests!$A:$A),MATCH(D$1,[2]quests!$1:$1,0)-MATCH($C$1,[2]quests!$1:$1,0)+1),MATCH(D$1,[2]quests!$1:$1,0)-MATCH($C$1,[2]quests!$1:$1,0)+1,FALSE)</f>
        <v>【期間限定】 黄の素材</v>
      </c>
      <c r="E32" s="95" t="str">
        <f ca="1">VLOOKUP($C32,OFFSET([2]quests!$A$1,0,0,COUNTA([2]quests!$A:$A),MATCH(E$1,[2]quests!$1:$1,0)-MATCH($C$1,[2]quests!$1:$1,0)+1),MATCH(E$1,[2]quests!$1:$1,0)-MATCH($C$1,[2]quests!$1:$1,0)+1,FALSE)</f>
        <v>月曜クエスト</v>
      </c>
      <c r="F32" s="96">
        <v>4</v>
      </c>
      <c r="G32" s="97" t="str">
        <f t="shared" ref="G32:G51" si="7">C32&amp;"_"&amp;F32</f>
        <v>11101_4</v>
      </c>
      <c r="H32" s="98" t="str">
        <f ca="1">VLOOKUP($G32,OFFSET([2]stages!$A$1,0,0,COUNTA([2]stages!$A:$A),MATCH(H$1,[2]stages!$2:$2,0)-MATCH($G$1,[2]stages!$2:$2,0)+1),MATCH(H$1,[2]stages!$2:$2,0)-MATCH($G$1,[2]stages!$2:$2,0)+1,FALSE)</f>
        <v>【上級】雷のイモムシ</v>
      </c>
      <c r="I32" s="96">
        <v>1</v>
      </c>
      <c r="J32" s="99">
        <v>30</v>
      </c>
      <c r="K32" s="99">
        <v>45</v>
      </c>
    </row>
    <row r="33" spans="1:11" ht="21" customHeight="1" x14ac:dyDescent="0.15">
      <c r="A33" s="17" t="str">
        <f t="shared" si="6"/>
        <v>11101_4-2</v>
      </c>
      <c r="B33" s="17" t="str">
        <f>IF(COUNTIF(enemy_habitats!$H:$H,A33),"OK","NG")</f>
        <v>OK</v>
      </c>
      <c r="C33" s="8">
        <v>11101</v>
      </c>
      <c r="D33" s="12" t="str">
        <f ca="1">VLOOKUP($C33,OFFSET([2]quests!$A$1,0,0,COUNTA([2]quests!$A:$A),MATCH(D$1,[2]quests!$1:$1,0)-MATCH($C$1,[2]quests!$1:$1,0)+1),MATCH(D$1,[2]quests!$1:$1,0)-MATCH($C$1,[2]quests!$1:$1,0)+1,FALSE)</f>
        <v>【期間限定】 黄の素材</v>
      </c>
      <c r="E33" s="22" t="str">
        <f ca="1">VLOOKUP($C33,OFFSET([2]quests!$A$1,0,0,COUNTA([2]quests!$A:$A),MATCH(E$1,[2]quests!$1:$1,0)-MATCH($C$1,[2]quests!$1:$1,0)+1),MATCH(E$1,[2]quests!$1:$1,0)-MATCH($C$1,[2]quests!$1:$1,0)+1,FALSE)</f>
        <v>月曜クエスト</v>
      </c>
      <c r="F33" s="25">
        <v>4</v>
      </c>
      <c r="G33" s="26" t="str">
        <f t="shared" si="7"/>
        <v>11101_4</v>
      </c>
      <c r="H33" s="16" t="str">
        <f ca="1">VLOOKUP($G33,OFFSET([2]stages!$A$1,0,0,COUNTA([2]stages!$A:$A),MATCH(H$1,[2]stages!$2:$2,0)-MATCH($G$1,[2]stages!$2:$2,0)+1),MATCH(H$1,[2]stages!$2:$2,0)-MATCH($G$1,[2]stages!$2:$2,0)+1,FALSE)</f>
        <v>【上級】雷のイモムシ</v>
      </c>
      <c r="I33" s="25">
        <v>2</v>
      </c>
      <c r="J33" s="13">
        <v>30</v>
      </c>
      <c r="K33" s="13">
        <v>45</v>
      </c>
    </row>
    <row r="34" spans="1:11" ht="21" customHeight="1" x14ac:dyDescent="0.15">
      <c r="A34" s="17" t="str">
        <f t="shared" si="6"/>
        <v>11101_4-3</v>
      </c>
      <c r="B34" s="17" t="str">
        <f>IF(COUNTIF(enemy_habitats!$H:$H,A34),"OK","NG")</f>
        <v>OK</v>
      </c>
      <c r="C34" s="8">
        <v>11101</v>
      </c>
      <c r="D34" s="12" t="str">
        <f ca="1">VLOOKUP($C34,OFFSET([2]quests!$A$1,0,0,COUNTA([2]quests!$A:$A),MATCH(D$1,[2]quests!$1:$1,0)-MATCH($C$1,[2]quests!$1:$1,0)+1),MATCH(D$1,[2]quests!$1:$1,0)-MATCH($C$1,[2]quests!$1:$1,0)+1,FALSE)</f>
        <v>【期間限定】 黄の素材</v>
      </c>
      <c r="E34" s="22" t="str">
        <f ca="1">VLOOKUP($C34,OFFSET([2]quests!$A$1,0,0,COUNTA([2]quests!$A:$A),MATCH(E$1,[2]quests!$1:$1,0)-MATCH($C$1,[2]quests!$1:$1,0)+1),MATCH(E$1,[2]quests!$1:$1,0)-MATCH($C$1,[2]quests!$1:$1,0)+1,FALSE)</f>
        <v>月曜クエスト</v>
      </c>
      <c r="F34" s="25">
        <v>4</v>
      </c>
      <c r="G34" s="26" t="str">
        <f t="shared" si="7"/>
        <v>11101_4</v>
      </c>
      <c r="H34" s="16" t="str">
        <f ca="1">VLOOKUP($G34,OFFSET([2]stages!$A$1,0,0,COUNTA([2]stages!$A:$A),MATCH(H$1,[2]stages!$2:$2,0)-MATCH($G$1,[2]stages!$2:$2,0)+1),MATCH(H$1,[2]stages!$2:$2,0)-MATCH($G$1,[2]stages!$2:$2,0)+1,FALSE)</f>
        <v>【上級】雷のイモムシ</v>
      </c>
      <c r="I34" s="25">
        <v>3</v>
      </c>
      <c r="J34" s="13">
        <v>45</v>
      </c>
      <c r="K34" s="13">
        <v>45</v>
      </c>
    </row>
    <row r="35" spans="1:11" ht="21" customHeight="1" x14ac:dyDescent="0.15">
      <c r="A35" s="17" t="str">
        <f t="shared" si="6"/>
        <v>11101_4-4</v>
      </c>
      <c r="B35" s="17" t="str">
        <f>IF(COUNTIF(enemy_habitats!$H:$H,A35),"OK","NG")</f>
        <v>OK</v>
      </c>
      <c r="C35" s="8">
        <v>11101</v>
      </c>
      <c r="D35" s="12" t="str">
        <f ca="1">VLOOKUP($C35,OFFSET([2]quests!$A$1,0,0,COUNTA([2]quests!$A:$A),MATCH(D$1,[2]quests!$1:$1,0)-MATCH($C$1,[2]quests!$1:$1,0)+1),MATCH(D$1,[2]quests!$1:$1,0)-MATCH($C$1,[2]quests!$1:$1,0)+1,FALSE)</f>
        <v>【期間限定】 黄の素材</v>
      </c>
      <c r="E35" s="22" t="str">
        <f ca="1">VLOOKUP($C35,OFFSET([2]quests!$A$1,0,0,COUNTA([2]quests!$A:$A),MATCH(E$1,[2]quests!$1:$1,0)-MATCH($C$1,[2]quests!$1:$1,0)+1),MATCH(E$1,[2]quests!$1:$1,0)-MATCH($C$1,[2]quests!$1:$1,0)+1,FALSE)</f>
        <v>月曜クエスト</v>
      </c>
      <c r="F35" s="25">
        <v>4</v>
      </c>
      <c r="G35" s="26" t="str">
        <f t="shared" si="7"/>
        <v>11101_4</v>
      </c>
      <c r="H35" s="16" t="str">
        <f ca="1">VLOOKUP($G35,OFFSET([2]stages!$A$1,0,0,COUNTA([2]stages!$A:$A),MATCH(H$1,[2]stages!$2:$2,0)-MATCH($G$1,[2]stages!$2:$2,0)+1),MATCH(H$1,[2]stages!$2:$2,0)-MATCH($G$1,[2]stages!$2:$2,0)+1,FALSE)</f>
        <v>【上級】雷のイモムシ</v>
      </c>
      <c r="I35" s="25">
        <v>4</v>
      </c>
      <c r="J35" s="13">
        <v>45</v>
      </c>
      <c r="K35" s="13">
        <v>60</v>
      </c>
    </row>
    <row r="36" spans="1:11" ht="21" customHeight="1" thickBot="1" x14ac:dyDescent="0.2">
      <c r="A36" s="86" t="str">
        <f t="shared" si="6"/>
        <v>11101_4-5</v>
      </c>
      <c r="B36" s="86" t="str">
        <f>IF(COUNTIF(enemy_habitats!$H:$H,A36),"OK","NG")</f>
        <v>OK</v>
      </c>
      <c r="C36" s="87">
        <v>11101</v>
      </c>
      <c r="D36" s="88" t="str">
        <f ca="1">VLOOKUP($C36,OFFSET([2]quests!$A$1,0,0,COUNTA([2]quests!$A:$A),MATCH(D$1,[2]quests!$1:$1,0)-MATCH($C$1,[2]quests!$1:$1,0)+1),MATCH(D$1,[2]quests!$1:$1,0)-MATCH($C$1,[2]quests!$1:$1,0)+1,FALSE)</f>
        <v>【期間限定】 黄の素材</v>
      </c>
      <c r="E36" s="88" t="str">
        <f ca="1">VLOOKUP($C36,OFFSET([2]quests!$A$1,0,0,COUNTA([2]quests!$A:$A),MATCH(E$1,[2]quests!$1:$1,0)-MATCH($C$1,[2]quests!$1:$1,0)+1),MATCH(E$1,[2]quests!$1:$1,0)-MATCH($C$1,[2]quests!$1:$1,0)+1,FALSE)</f>
        <v>月曜クエスト</v>
      </c>
      <c r="F36" s="89">
        <v>4</v>
      </c>
      <c r="G36" s="90" t="str">
        <f t="shared" si="7"/>
        <v>11101_4</v>
      </c>
      <c r="H36" s="91" t="str">
        <f ca="1">VLOOKUP($G36,OFFSET([2]stages!$A$1,0,0,COUNTA([2]stages!$A:$A),MATCH(H$1,[2]stages!$2:$2,0)-MATCH($G$1,[2]stages!$2:$2,0)+1),MATCH(H$1,[2]stages!$2:$2,0)-MATCH($G$1,[2]stages!$2:$2,0)+1,FALSE)</f>
        <v>【上級】雷のイモムシ</v>
      </c>
      <c r="I36" s="89">
        <v>5</v>
      </c>
      <c r="J36" s="92">
        <v>60</v>
      </c>
      <c r="K36" s="92">
        <v>60</v>
      </c>
    </row>
    <row r="37" spans="1:11" ht="21" customHeight="1" x14ac:dyDescent="0.15">
      <c r="A37" s="93" t="str">
        <f t="shared" si="6"/>
        <v>11102_4-1</v>
      </c>
      <c r="B37" s="93" t="str">
        <f>IF(COUNTIF(enemy_habitats!$H:$H,A37),"OK","NG")</f>
        <v>OK</v>
      </c>
      <c r="C37" s="94">
        <v>11102</v>
      </c>
      <c r="D37" s="95" t="str">
        <f ca="1">VLOOKUP($C37,OFFSET([2]quests!$A$1,0,0,COUNTA([2]quests!$A:$A),MATCH(D$1,[2]quests!$1:$1,0)-MATCH($C$1,[2]quests!$1:$1,0)+1),MATCH(D$1,[2]quests!$1:$1,0)-MATCH($C$1,[2]quests!$1:$1,0)+1,FALSE)</f>
        <v>【期間限定】 赤の素材</v>
      </c>
      <c r="E37" s="95" t="str">
        <f ca="1">VLOOKUP($C37,OFFSET([2]quests!$A$1,0,0,COUNTA([2]quests!$A:$A),MATCH(E$1,[2]quests!$1:$1,0)-MATCH($C$1,[2]quests!$1:$1,0)+1),MATCH(E$1,[2]quests!$1:$1,0)-MATCH($C$1,[2]quests!$1:$1,0)+1,FALSE)</f>
        <v>火曜クエスト</v>
      </c>
      <c r="F37" s="96">
        <v>4</v>
      </c>
      <c r="G37" s="97" t="str">
        <f t="shared" si="7"/>
        <v>11102_4</v>
      </c>
      <c r="H37" s="98" t="str">
        <f ca="1">VLOOKUP($G37,OFFSET([2]stages!$A$1,0,0,COUNTA([2]stages!$A:$A),MATCH(H$1,[2]stages!$2:$2,0)-MATCH($G$1,[2]stages!$2:$2,0)+1),MATCH(H$1,[2]stages!$2:$2,0)-MATCH($G$1,[2]stages!$2:$2,0)+1,FALSE)</f>
        <v xml:space="preserve">【上級】火のイモムシ </v>
      </c>
      <c r="I37" s="96">
        <v>1</v>
      </c>
      <c r="J37" s="99">
        <v>30</v>
      </c>
      <c r="K37" s="99">
        <v>45</v>
      </c>
    </row>
    <row r="38" spans="1:11" ht="21" customHeight="1" x14ac:dyDescent="0.15">
      <c r="A38" s="17" t="str">
        <f t="shared" si="6"/>
        <v>11102_4-2</v>
      </c>
      <c r="B38" s="17" t="str">
        <f>IF(COUNTIF(enemy_habitats!$H:$H,A38),"OK","NG")</f>
        <v>OK</v>
      </c>
      <c r="C38" s="8">
        <v>11102</v>
      </c>
      <c r="D38" s="12" t="str">
        <f ca="1">VLOOKUP($C38,OFFSET([2]quests!$A$1,0,0,COUNTA([2]quests!$A:$A),MATCH(D$1,[2]quests!$1:$1,0)-MATCH($C$1,[2]quests!$1:$1,0)+1),MATCH(D$1,[2]quests!$1:$1,0)-MATCH($C$1,[2]quests!$1:$1,0)+1,FALSE)</f>
        <v>【期間限定】 赤の素材</v>
      </c>
      <c r="E38" s="22" t="str">
        <f ca="1">VLOOKUP($C38,OFFSET([2]quests!$A$1,0,0,COUNTA([2]quests!$A:$A),MATCH(E$1,[2]quests!$1:$1,0)-MATCH($C$1,[2]quests!$1:$1,0)+1),MATCH(E$1,[2]quests!$1:$1,0)-MATCH($C$1,[2]quests!$1:$1,0)+1,FALSE)</f>
        <v>火曜クエスト</v>
      </c>
      <c r="F38" s="25">
        <v>4</v>
      </c>
      <c r="G38" s="26" t="str">
        <f t="shared" si="7"/>
        <v>11102_4</v>
      </c>
      <c r="H38" s="16" t="str">
        <f ca="1">VLOOKUP($G38,OFFSET([2]stages!$A$1,0,0,COUNTA([2]stages!$A:$A),MATCH(H$1,[2]stages!$2:$2,0)-MATCH($G$1,[2]stages!$2:$2,0)+1),MATCH(H$1,[2]stages!$2:$2,0)-MATCH($G$1,[2]stages!$2:$2,0)+1,FALSE)</f>
        <v xml:space="preserve">【上級】火のイモムシ </v>
      </c>
      <c r="I38" s="25">
        <v>2</v>
      </c>
      <c r="J38" s="13">
        <v>30</v>
      </c>
      <c r="K38" s="13">
        <v>45</v>
      </c>
    </row>
    <row r="39" spans="1:11" ht="21" customHeight="1" x14ac:dyDescent="0.15">
      <c r="A39" s="17" t="str">
        <f t="shared" si="6"/>
        <v>11102_4-3</v>
      </c>
      <c r="B39" s="17" t="str">
        <f>IF(COUNTIF(enemy_habitats!$H:$H,A39),"OK","NG")</f>
        <v>OK</v>
      </c>
      <c r="C39" s="8">
        <v>11102</v>
      </c>
      <c r="D39" s="12" t="str">
        <f ca="1">VLOOKUP($C39,OFFSET([2]quests!$A$1,0,0,COUNTA([2]quests!$A:$A),MATCH(D$1,[2]quests!$1:$1,0)-MATCH($C$1,[2]quests!$1:$1,0)+1),MATCH(D$1,[2]quests!$1:$1,0)-MATCH($C$1,[2]quests!$1:$1,0)+1,FALSE)</f>
        <v>【期間限定】 赤の素材</v>
      </c>
      <c r="E39" s="22" t="str">
        <f ca="1">VLOOKUP($C39,OFFSET([2]quests!$A$1,0,0,COUNTA([2]quests!$A:$A),MATCH(E$1,[2]quests!$1:$1,0)-MATCH($C$1,[2]quests!$1:$1,0)+1),MATCH(E$1,[2]quests!$1:$1,0)-MATCH($C$1,[2]quests!$1:$1,0)+1,FALSE)</f>
        <v>火曜クエスト</v>
      </c>
      <c r="F39" s="25">
        <v>4</v>
      </c>
      <c r="G39" s="26" t="str">
        <f t="shared" si="7"/>
        <v>11102_4</v>
      </c>
      <c r="H39" s="16" t="str">
        <f ca="1">VLOOKUP($G39,OFFSET([2]stages!$A$1,0,0,COUNTA([2]stages!$A:$A),MATCH(H$1,[2]stages!$2:$2,0)-MATCH($G$1,[2]stages!$2:$2,0)+1),MATCH(H$1,[2]stages!$2:$2,0)-MATCH($G$1,[2]stages!$2:$2,0)+1,FALSE)</f>
        <v xml:space="preserve">【上級】火のイモムシ </v>
      </c>
      <c r="I39" s="25">
        <v>3</v>
      </c>
      <c r="J39" s="13">
        <v>45</v>
      </c>
      <c r="K39" s="13">
        <v>45</v>
      </c>
    </row>
    <row r="40" spans="1:11" ht="21" customHeight="1" x14ac:dyDescent="0.15">
      <c r="A40" s="17" t="str">
        <f t="shared" si="6"/>
        <v>11102_4-4</v>
      </c>
      <c r="B40" s="17" t="str">
        <f>IF(COUNTIF(enemy_habitats!$H:$H,A40),"OK","NG")</f>
        <v>OK</v>
      </c>
      <c r="C40" s="8">
        <v>11102</v>
      </c>
      <c r="D40" s="12" t="str">
        <f ca="1">VLOOKUP($C40,OFFSET([2]quests!$A$1,0,0,COUNTA([2]quests!$A:$A),MATCH(D$1,[2]quests!$1:$1,0)-MATCH($C$1,[2]quests!$1:$1,0)+1),MATCH(D$1,[2]quests!$1:$1,0)-MATCH($C$1,[2]quests!$1:$1,0)+1,FALSE)</f>
        <v>【期間限定】 赤の素材</v>
      </c>
      <c r="E40" s="22" t="str">
        <f ca="1">VLOOKUP($C40,OFFSET([2]quests!$A$1,0,0,COUNTA([2]quests!$A:$A),MATCH(E$1,[2]quests!$1:$1,0)-MATCH($C$1,[2]quests!$1:$1,0)+1),MATCH(E$1,[2]quests!$1:$1,0)-MATCH($C$1,[2]quests!$1:$1,0)+1,FALSE)</f>
        <v>火曜クエスト</v>
      </c>
      <c r="F40" s="25">
        <v>4</v>
      </c>
      <c r="G40" s="26" t="str">
        <f t="shared" si="7"/>
        <v>11102_4</v>
      </c>
      <c r="H40" s="16" t="str">
        <f ca="1">VLOOKUP($G40,OFFSET([2]stages!$A$1,0,0,COUNTA([2]stages!$A:$A),MATCH(H$1,[2]stages!$2:$2,0)-MATCH($G$1,[2]stages!$2:$2,0)+1),MATCH(H$1,[2]stages!$2:$2,0)-MATCH($G$1,[2]stages!$2:$2,0)+1,FALSE)</f>
        <v xml:space="preserve">【上級】火のイモムシ </v>
      </c>
      <c r="I40" s="25">
        <v>4</v>
      </c>
      <c r="J40" s="13">
        <v>45</v>
      </c>
      <c r="K40" s="13">
        <v>60</v>
      </c>
    </row>
    <row r="41" spans="1:11" ht="21" customHeight="1" thickBot="1" x14ac:dyDescent="0.2">
      <c r="A41" s="86" t="str">
        <f t="shared" si="6"/>
        <v>11102_4-5</v>
      </c>
      <c r="B41" s="86" t="str">
        <f>IF(COUNTIF(enemy_habitats!$H:$H,A41),"OK","NG")</f>
        <v>OK</v>
      </c>
      <c r="C41" s="87">
        <v>11102</v>
      </c>
      <c r="D41" s="88" t="str">
        <f ca="1">VLOOKUP($C41,OFFSET([2]quests!$A$1,0,0,COUNTA([2]quests!$A:$A),MATCH(D$1,[2]quests!$1:$1,0)-MATCH($C$1,[2]quests!$1:$1,0)+1),MATCH(D$1,[2]quests!$1:$1,0)-MATCH($C$1,[2]quests!$1:$1,0)+1,FALSE)</f>
        <v>【期間限定】 赤の素材</v>
      </c>
      <c r="E41" s="88" t="str">
        <f ca="1">VLOOKUP($C41,OFFSET([2]quests!$A$1,0,0,COUNTA([2]quests!$A:$A),MATCH(E$1,[2]quests!$1:$1,0)-MATCH($C$1,[2]quests!$1:$1,0)+1),MATCH(E$1,[2]quests!$1:$1,0)-MATCH($C$1,[2]quests!$1:$1,0)+1,FALSE)</f>
        <v>火曜クエスト</v>
      </c>
      <c r="F41" s="89">
        <v>4</v>
      </c>
      <c r="G41" s="90" t="str">
        <f t="shared" si="7"/>
        <v>11102_4</v>
      </c>
      <c r="H41" s="91" t="str">
        <f ca="1">VLOOKUP($G41,OFFSET([2]stages!$A$1,0,0,COUNTA([2]stages!$A:$A),MATCH(H$1,[2]stages!$2:$2,0)-MATCH($G$1,[2]stages!$2:$2,0)+1),MATCH(H$1,[2]stages!$2:$2,0)-MATCH($G$1,[2]stages!$2:$2,0)+1,FALSE)</f>
        <v xml:space="preserve">【上級】火のイモムシ </v>
      </c>
      <c r="I41" s="89">
        <v>5</v>
      </c>
      <c r="J41" s="92">
        <v>60</v>
      </c>
      <c r="K41" s="92">
        <v>60</v>
      </c>
    </row>
    <row r="42" spans="1:11" ht="21" customHeight="1" x14ac:dyDescent="0.15">
      <c r="A42" s="93" t="str">
        <f t="shared" si="6"/>
        <v>11103_4-1</v>
      </c>
      <c r="B42" s="93" t="str">
        <f>IF(COUNTIF(enemy_habitats!$H:$H,A42),"OK","NG")</f>
        <v>OK</v>
      </c>
      <c r="C42" s="94">
        <v>11103</v>
      </c>
      <c r="D42" s="95" t="str">
        <f ca="1">VLOOKUP($C42,OFFSET([2]quests!$A$1,0,0,COUNTA([2]quests!$A:$A),MATCH(D$1,[2]quests!$1:$1,0)-MATCH($C$1,[2]quests!$1:$1,0)+1),MATCH(D$1,[2]quests!$1:$1,0)-MATCH($C$1,[2]quests!$1:$1,0)+1,FALSE)</f>
        <v>【期間限定】 青の素材</v>
      </c>
      <c r="E42" s="95" t="str">
        <f ca="1">VLOOKUP($C42,OFFSET([2]quests!$A$1,0,0,COUNTA([2]quests!$A:$A),MATCH(E$1,[2]quests!$1:$1,0)-MATCH($C$1,[2]quests!$1:$1,0)+1),MATCH(E$1,[2]quests!$1:$1,0)-MATCH($C$1,[2]quests!$1:$1,0)+1,FALSE)</f>
        <v>水曜クエスト</v>
      </c>
      <c r="F42" s="96">
        <v>4</v>
      </c>
      <c r="G42" s="97" t="str">
        <f t="shared" si="7"/>
        <v>11103_4</v>
      </c>
      <c r="H42" s="98" t="str">
        <f ca="1">VLOOKUP($G42,OFFSET([2]stages!$A$1,0,0,COUNTA([2]stages!$A:$A),MATCH(H$1,[2]stages!$2:$2,0)-MATCH($G$1,[2]stages!$2:$2,0)+1),MATCH(H$1,[2]stages!$2:$2,0)-MATCH($G$1,[2]stages!$2:$2,0)+1,FALSE)</f>
        <v xml:space="preserve">【上級】水のイモムシ </v>
      </c>
      <c r="I42" s="96">
        <v>1</v>
      </c>
      <c r="J42" s="99">
        <v>30</v>
      </c>
      <c r="K42" s="99">
        <v>45</v>
      </c>
    </row>
    <row r="43" spans="1:11" ht="21" customHeight="1" x14ac:dyDescent="0.15">
      <c r="A43" s="17" t="str">
        <f t="shared" si="6"/>
        <v>11103_4-2</v>
      </c>
      <c r="B43" s="17" t="str">
        <f>IF(COUNTIF(enemy_habitats!$H:$H,A43),"OK","NG")</f>
        <v>OK</v>
      </c>
      <c r="C43" s="8">
        <v>11103</v>
      </c>
      <c r="D43" s="12" t="str">
        <f ca="1">VLOOKUP($C43,OFFSET([2]quests!$A$1,0,0,COUNTA([2]quests!$A:$A),MATCH(D$1,[2]quests!$1:$1,0)-MATCH($C$1,[2]quests!$1:$1,0)+1),MATCH(D$1,[2]quests!$1:$1,0)-MATCH($C$1,[2]quests!$1:$1,0)+1,FALSE)</f>
        <v>【期間限定】 青の素材</v>
      </c>
      <c r="E43" s="22" t="str">
        <f ca="1">VLOOKUP($C43,OFFSET([2]quests!$A$1,0,0,COUNTA([2]quests!$A:$A),MATCH(E$1,[2]quests!$1:$1,0)-MATCH($C$1,[2]quests!$1:$1,0)+1),MATCH(E$1,[2]quests!$1:$1,0)-MATCH($C$1,[2]quests!$1:$1,0)+1,FALSE)</f>
        <v>水曜クエスト</v>
      </c>
      <c r="F43" s="25">
        <v>4</v>
      </c>
      <c r="G43" s="26" t="str">
        <f t="shared" si="7"/>
        <v>11103_4</v>
      </c>
      <c r="H43" s="16" t="str">
        <f ca="1">VLOOKUP($G43,OFFSET([2]stages!$A$1,0,0,COUNTA([2]stages!$A:$A),MATCH(H$1,[2]stages!$2:$2,0)-MATCH($G$1,[2]stages!$2:$2,0)+1),MATCH(H$1,[2]stages!$2:$2,0)-MATCH($G$1,[2]stages!$2:$2,0)+1,FALSE)</f>
        <v xml:space="preserve">【上級】水のイモムシ </v>
      </c>
      <c r="I43" s="25">
        <v>2</v>
      </c>
      <c r="J43" s="13">
        <v>30</v>
      </c>
      <c r="K43" s="13">
        <v>45</v>
      </c>
    </row>
    <row r="44" spans="1:11" ht="21" customHeight="1" x14ac:dyDescent="0.15">
      <c r="A44" s="17" t="str">
        <f t="shared" si="6"/>
        <v>11103_4-3</v>
      </c>
      <c r="B44" s="17" t="str">
        <f>IF(COUNTIF(enemy_habitats!$H:$H,A44),"OK","NG")</f>
        <v>OK</v>
      </c>
      <c r="C44" s="8">
        <v>11103</v>
      </c>
      <c r="D44" s="12" t="str">
        <f ca="1">VLOOKUP($C44,OFFSET([2]quests!$A$1,0,0,COUNTA([2]quests!$A:$A),MATCH(D$1,[2]quests!$1:$1,0)-MATCH($C$1,[2]quests!$1:$1,0)+1),MATCH(D$1,[2]quests!$1:$1,0)-MATCH($C$1,[2]quests!$1:$1,0)+1,FALSE)</f>
        <v>【期間限定】 青の素材</v>
      </c>
      <c r="E44" s="22" t="str">
        <f ca="1">VLOOKUP($C44,OFFSET([2]quests!$A$1,0,0,COUNTA([2]quests!$A:$A),MATCH(E$1,[2]quests!$1:$1,0)-MATCH($C$1,[2]quests!$1:$1,0)+1),MATCH(E$1,[2]quests!$1:$1,0)-MATCH($C$1,[2]quests!$1:$1,0)+1,FALSE)</f>
        <v>水曜クエスト</v>
      </c>
      <c r="F44" s="25">
        <v>4</v>
      </c>
      <c r="G44" s="26" t="str">
        <f t="shared" si="7"/>
        <v>11103_4</v>
      </c>
      <c r="H44" s="16" t="str">
        <f ca="1">VLOOKUP($G44,OFFSET([2]stages!$A$1,0,0,COUNTA([2]stages!$A:$A),MATCH(H$1,[2]stages!$2:$2,0)-MATCH($G$1,[2]stages!$2:$2,0)+1),MATCH(H$1,[2]stages!$2:$2,0)-MATCH($G$1,[2]stages!$2:$2,0)+1,FALSE)</f>
        <v xml:space="preserve">【上級】水のイモムシ </v>
      </c>
      <c r="I44" s="25">
        <v>3</v>
      </c>
      <c r="J44" s="13">
        <v>45</v>
      </c>
      <c r="K44" s="13">
        <v>45</v>
      </c>
    </row>
    <row r="45" spans="1:11" ht="21" customHeight="1" x14ac:dyDescent="0.15">
      <c r="A45" s="17" t="str">
        <f t="shared" si="6"/>
        <v>11103_4-4</v>
      </c>
      <c r="B45" s="17" t="str">
        <f>IF(COUNTIF(enemy_habitats!$H:$H,A45),"OK","NG")</f>
        <v>OK</v>
      </c>
      <c r="C45" s="8">
        <v>11103</v>
      </c>
      <c r="D45" s="12" t="str">
        <f ca="1">VLOOKUP($C45,OFFSET([2]quests!$A$1,0,0,COUNTA([2]quests!$A:$A),MATCH(D$1,[2]quests!$1:$1,0)-MATCH($C$1,[2]quests!$1:$1,0)+1),MATCH(D$1,[2]quests!$1:$1,0)-MATCH($C$1,[2]quests!$1:$1,0)+1,FALSE)</f>
        <v>【期間限定】 青の素材</v>
      </c>
      <c r="E45" s="22" t="str">
        <f ca="1">VLOOKUP($C45,OFFSET([2]quests!$A$1,0,0,COUNTA([2]quests!$A:$A),MATCH(E$1,[2]quests!$1:$1,0)-MATCH($C$1,[2]quests!$1:$1,0)+1),MATCH(E$1,[2]quests!$1:$1,0)-MATCH($C$1,[2]quests!$1:$1,0)+1,FALSE)</f>
        <v>水曜クエスト</v>
      </c>
      <c r="F45" s="25">
        <v>4</v>
      </c>
      <c r="G45" s="26" t="str">
        <f t="shared" si="7"/>
        <v>11103_4</v>
      </c>
      <c r="H45" s="16" t="str">
        <f ca="1">VLOOKUP($G45,OFFSET([2]stages!$A$1,0,0,COUNTA([2]stages!$A:$A),MATCH(H$1,[2]stages!$2:$2,0)-MATCH($G$1,[2]stages!$2:$2,0)+1),MATCH(H$1,[2]stages!$2:$2,0)-MATCH($G$1,[2]stages!$2:$2,0)+1,FALSE)</f>
        <v xml:space="preserve">【上級】水のイモムシ </v>
      </c>
      <c r="I45" s="25">
        <v>4</v>
      </c>
      <c r="J45" s="13">
        <v>45</v>
      </c>
      <c r="K45" s="13">
        <v>60</v>
      </c>
    </row>
    <row r="46" spans="1:11" ht="21" customHeight="1" thickBot="1" x14ac:dyDescent="0.2">
      <c r="A46" s="86" t="str">
        <f t="shared" si="6"/>
        <v>11103_4-5</v>
      </c>
      <c r="B46" s="86" t="str">
        <f>IF(COUNTIF(enemy_habitats!$H:$H,A46),"OK","NG")</f>
        <v>OK</v>
      </c>
      <c r="C46" s="87">
        <v>11103</v>
      </c>
      <c r="D46" s="88" t="str">
        <f ca="1">VLOOKUP($C46,OFFSET([2]quests!$A$1,0,0,COUNTA([2]quests!$A:$A),MATCH(D$1,[2]quests!$1:$1,0)-MATCH($C$1,[2]quests!$1:$1,0)+1),MATCH(D$1,[2]quests!$1:$1,0)-MATCH($C$1,[2]quests!$1:$1,0)+1,FALSE)</f>
        <v>【期間限定】 青の素材</v>
      </c>
      <c r="E46" s="88" t="str">
        <f ca="1">VLOOKUP($C46,OFFSET([2]quests!$A$1,0,0,COUNTA([2]quests!$A:$A),MATCH(E$1,[2]quests!$1:$1,0)-MATCH($C$1,[2]quests!$1:$1,0)+1),MATCH(E$1,[2]quests!$1:$1,0)-MATCH($C$1,[2]quests!$1:$1,0)+1,FALSE)</f>
        <v>水曜クエスト</v>
      </c>
      <c r="F46" s="89">
        <v>4</v>
      </c>
      <c r="G46" s="90" t="str">
        <f t="shared" si="7"/>
        <v>11103_4</v>
      </c>
      <c r="H46" s="91" t="str">
        <f ca="1">VLOOKUP($G46,OFFSET([2]stages!$A$1,0,0,COUNTA([2]stages!$A:$A),MATCH(H$1,[2]stages!$2:$2,0)-MATCH($G$1,[2]stages!$2:$2,0)+1),MATCH(H$1,[2]stages!$2:$2,0)-MATCH($G$1,[2]stages!$2:$2,0)+1,FALSE)</f>
        <v xml:space="preserve">【上級】水のイモムシ </v>
      </c>
      <c r="I46" s="89">
        <v>5</v>
      </c>
      <c r="J46" s="92">
        <v>60</v>
      </c>
      <c r="K46" s="92">
        <v>60</v>
      </c>
    </row>
    <row r="47" spans="1:11" ht="23" customHeight="1" x14ac:dyDescent="0.15">
      <c r="A47" s="93" t="str">
        <f t="shared" si="6"/>
        <v>11104_4-1</v>
      </c>
      <c r="B47" s="93" t="str">
        <f>IF(COUNTIF(enemy_habitats!$H:$H,A47),"OK","NG")</f>
        <v>OK</v>
      </c>
      <c r="C47" s="94">
        <v>11104</v>
      </c>
      <c r="D47" s="95" t="str">
        <f ca="1">VLOOKUP($C47,OFFSET([2]quests!$A$1,0,0,COUNTA([2]quests!$A:$A),MATCH(D$1,[2]quests!$1:$1,0)-MATCH($C$1,[2]quests!$1:$1,0)+1),MATCH(D$1,[2]quests!$1:$1,0)-MATCH($C$1,[2]quests!$1:$1,0)+1,FALSE)</f>
        <v>【期間限定】 緑の素材</v>
      </c>
      <c r="E47" s="95" t="str">
        <f ca="1">VLOOKUP($C47,OFFSET([2]quests!$A$1,0,0,COUNTA([2]quests!$A:$A),MATCH(E$1,[2]quests!$1:$1,0)-MATCH($C$1,[2]quests!$1:$1,0)+1),MATCH(E$1,[2]quests!$1:$1,0)-MATCH($C$1,[2]quests!$1:$1,0)+1,FALSE)</f>
        <v>木曜クエスト</v>
      </c>
      <c r="F47" s="96">
        <v>4</v>
      </c>
      <c r="G47" s="97" t="str">
        <f t="shared" si="7"/>
        <v>11104_4</v>
      </c>
      <c r="H47" s="98" t="str">
        <f ca="1">VLOOKUP($G47,OFFSET([2]stages!$A$1,0,0,COUNTA([2]stages!$A:$A),MATCH(H$1,[2]stages!$2:$2,0)-MATCH($G$1,[2]stages!$2:$2,0)+1),MATCH(H$1,[2]stages!$2:$2,0)-MATCH($G$1,[2]stages!$2:$2,0)+1,FALSE)</f>
        <v>【上級】樹のイモムシ</v>
      </c>
      <c r="I47" s="96">
        <v>1</v>
      </c>
      <c r="J47" s="99">
        <v>30</v>
      </c>
      <c r="K47" s="99">
        <v>45</v>
      </c>
    </row>
    <row r="48" spans="1:11" ht="21" customHeight="1" x14ac:dyDescent="0.15">
      <c r="A48" s="17" t="str">
        <f t="shared" si="6"/>
        <v>11104_4-2</v>
      </c>
      <c r="B48" s="17" t="str">
        <f>IF(COUNTIF(enemy_habitats!$H:$H,A48),"OK","NG")</f>
        <v>OK</v>
      </c>
      <c r="C48" s="8">
        <v>11104</v>
      </c>
      <c r="D48" s="12" t="str">
        <f ca="1">VLOOKUP($C48,OFFSET([2]quests!$A$1,0,0,COUNTA([2]quests!$A:$A),MATCH(D$1,[2]quests!$1:$1,0)-MATCH($C$1,[2]quests!$1:$1,0)+1),MATCH(D$1,[2]quests!$1:$1,0)-MATCH($C$1,[2]quests!$1:$1,0)+1,FALSE)</f>
        <v>【期間限定】 緑の素材</v>
      </c>
      <c r="E48" s="22" t="str">
        <f ca="1">VLOOKUP($C48,OFFSET([2]quests!$A$1,0,0,COUNTA([2]quests!$A:$A),MATCH(E$1,[2]quests!$1:$1,0)-MATCH($C$1,[2]quests!$1:$1,0)+1),MATCH(E$1,[2]quests!$1:$1,0)-MATCH($C$1,[2]quests!$1:$1,0)+1,FALSE)</f>
        <v>木曜クエスト</v>
      </c>
      <c r="F48" s="25">
        <v>4</v>
      </c>
      <c r="G48" s="26" t="str">
        <f t="shared" si="7"/>
        <v>11104_4</v>
      </c>
      <c r="H48" s="16" t="str">
        <f ca="1">VLOOKUP($G48,OFFSET([2]stages!$A$1,0,0,COUNTA([2]stages!$A:$A),MATCH(H$1,[2]stages!$2:$2,0)-MATCH($G$1,[2]stages!$2:$2,0)+1),MATCH(H$1,[2]stages!$2:$2,0)-MATCH($G$1,[2]stages!$2:$2,0)+1,FALSE)</f>
        <v>【上級】樹のイモムシ</v>
      </c>
      <c r="I48" s="25">
        <v>2</v>
      </c>
      <c r="J48" s="13">
        <v>30</v>
      </c>
      <c r="K48" s="13">
        <v>45</v>
      </c>
    </row>
    <row r="49" spans="1:11" ht="23" customHeight="1" x14ac:dyDescent="0.15">
      <c r="A49" s="17" t="str">
        <f t="shared" si="6"/>
        <v>11104_4-3</v>
      </c>
      <c r="B49" s="17" t="str">
        <f>IF(COUNTIF(enemy_habitats!$H:$H,A49),"OK","NG")</f>
        <v>OK</v>
      </c>
      <c r="C49" s="8">
        <v>11104</v>
      </c>
      <c r="D49" s="12" t="str">
        <f ca="1">VLOOKUP($C49,OFFSET([2]quests!$A$1,0,0,COUNTA([2]quests!$A:$A),MATCH(D$1,[2]quests!$1:$1,0)-MATCH($C$1,[2]quests!$1:$1,0)+1),MATCH(D$1,[2]quests!$1:$1,0)-MATCH($C$1,[2]quests!$1:$1,0)+1,FALSE)</f>
        <v>【期間限定】 緑の素材</v>
      </c>
      <c r="E49" s="22" t="str">
        <f ca="1">VLOOKUP($C49,OFFSET([2]quests!$A$1,0,0,COUNTA([2]quests!$A:$A),MATCH(E$1,[2]quests!$1:$1,0)-MATCH($C$1,[2]quests!$1:$1,0)+1),MATCH(E$1,[2]quests!$1:$1,0)-MATCH($C$1,[2]quests!$1:$1,0)+1,FALSE)</f>
        <v>木曜クエスト</v>
      </c>
      <c r="F49" s="25">
        <v>4</v>
      </c>
      <c r="G49" s="26" t="str">
        <f t="shared" si="7"/>
        <v>11104_4</v>
      </c>
      <c r="H49" s="16" t="str">
        <f ca="1">VLOOKUP($G49,OFFSET([2]stages!$A$1,0,0,COUNTA([2]stages!$A:$A),MATCH(H$1,[2]stages!$2:$2,0)-MATCH($G$1,[2]stages!$2:$2,0)+1),MATCH(H$1,[2]stages!$2:$2,0)-MATCH($G$1,[2]stages!$2:$2,0)+1,FALSE)</f>
        <v>【上級】樹のイモムシ</v>
      </c>
      <c r="I49" s="25">
        <v>3</v>
      </c>
      <c r="J49" s="13">
        <v>45</v>
      </c>
      <c r="K49" s="13">
        <v>45</v>
      </c>
    </row>
    <row r="50" spans="1:11" ht="21" customHeight="1" x14ac:dyDescent="0.15">
      <c r="A50" s="17" t="str">
        <f t="shared" si="6"/>
        <v>11104_4-4</v>
      </c>
      <c r="B50" s="17" t="str">
        <f>IF(COUNTIF(enemy_habitats!$H:$H,A50),"OK","NG")</f>
        <v>OK</v>
      </c>
      <c r="C50" s="8">
        <v>11104</v>
      </c>
      <c r="D50" s="12" t="str">
        <f ca="1">VLOOKUP($C50,OFFSET([2]quests!$A$1,0,0,COUNTA([2]quests!$A:$A),MATCH(D$1,[2]quests!$1:$1,0)-MATCH($C$1,[2]quests!$1:$1,0)+1),MATCH(D$1,[2]quests!$1:$1,0)-MATCH($C$1,[2]quests!$1:$1,0)+1,FALSE)</f>
        <v>【期間限定】 緑の素材</v>
      </c>
      <c r="E50" s="22" t="str">
        <f ca="1">VLOOKUP($C50,OFFSET([2]quests!$A$1,0,0,COUNTA([2]quests!$A:$A),MATCH(E$1,[2]quests!$1:$1,0)-MATCH($C$1,[2]quests!$1:$1,0)+1),MATCH(E$1,[2]quests!$1:$1,0)-MATCH($C$1,[2]quests!$1:$1,0)+1,FALSE)</f>
        <v>木曜クエスト</v>
      </c>
      <c r="F50" s="25">
        <v>4</v>
      </c>
      <c r="G50" s="26" t="str">
        <f t="shared" si="7"/>
        <v>11104_4</v>
      </c>
      <c r="H50" s="16" t="str">
        <f ca="1">VLOOKUP($G50,OFFSET([2]stages!$A$1,0,0,COUNTA([2]stages!$A:$A),MATCH(H$1,[2]stages!$2:$2,0)-MATCH($G$1,[2]stages!$2:$2,0)+1),MATCH(H$1,[2]stages!$2:$2,0)-MATCH($G$1,[2]stages!$2:$2,0)+1,FALSE)</f>
        <v>【上級】樹のイモムシ</v>
      </c>
      <c r="I50" s="25">
        <v>4</v>
      </c>
      <c r="J50" s="13">
        <v>45</v>
      </c>
      <c r="K50" s="13">
        <v>60</v>
      </c>
    </row>
    <row r="51" spans="1:11" ht="21" customHeight="1" x14ac:dyDescent="0.15">
      <c r="A51" s="17" t="str">
        <f t="shared" si="6"/>
        <v>11104_4-5</v>
      </c>
      <c r="B51" s="17" t="str">
        <f>IF(COUNTIF(enemy_habitats!$H:$H,A51),"OK","NG")</f>
        <v>OK</v>
      </c>
      <c r="C51" s="8">
        <v>11104</v>
      </c>
      <c r="D51" s="12" t="str">
        <f ca="1">VLOOKUP($C51,OFFSET([2]quests!$A$1,0,0,COUNTA([2]quests!$A:$A),MATCH(D$1,[2]quests!$1:$1,0)-MATCH($C$1,[2]quests!$1:$1,0)+1),MATCH(D$1,[2]quests!$1:$1,0)-MATCH($C$1,[2]quests!$1:$1,0)+1,FALSE)</f>
        <v>【期間限定】 緑の素材</v>
      </c>
      <c r="E51" s="22" t="str">
        <f ca="1">VLOOKUP($C51,OFFSET([2]quests!$A$1,0,0,COUNTA([2]quests!$A:$A),MATCH(E$1,[2]quests!$1:$1,0)-MATCH($C$1,[2]quests!$1:$1,0)+1),MATCH(E$1,[2]quests!$1:$1,0)-MATCH($C$1,[2]quests!$1:$1,0)+1,FALSE)</f>
        <v>木曜クエスト</v>
      </c>
      <c r="F51" s="25">
        <v>4</v>
      </c>
      <c r="G51" s="26" t="str">
        <f t="shared" si="7"/>
        <v>11104_4</v>
      </c>
      <c r="H51" s="16" t="str">
        <f ca="1">VLOOKUP($G51,OFFSET([2]stages!$A$1,0,0,COUNTA([2]stages!$A:$A),MATCH(H$1,[2]stages!$2:$2,0)-MATCH($G$1,[2]stages!$2:$2,0)+1),MATCH(H$1,[2]stages!$2:$2,0)-MATCH($G$1,[2]stages!$2:$2,0)+1,FALSE)</f>
        <v>【上級】樹のイモムシ</v>
      </c>
      <c r="I51" s="25">
        <v>5</v>
      </c>
      <c r="J51" s="13">
        <v>60</v>
      </c>
      <c r="K51" s="13">
        <v>60</v>
      </c>
    </row>
    <row r="52" spans="1:11" ht="21" customHeight="1" x14ac:dyDescent="0.15">
      <c r="A52" s="17"/>
      <c r="B52" s="17"/>
      <c r="C52" s="8"/>
      <c r="D52" s="12"/>
      <c r="E52" s="22"/>
      <c r="F52" s="25"/>
      <c r="G52" s="26"/>
      <c r="H52" s="16"/>
      <c r="I52" s="25"/>
      <c r="J52" s="13"/>
      <c r="K52" s="13"/>
    </row>
    <row r="53" spans="1:11" ht="21" customHeight="1" x14ac:dyDescent="0.15">
      <c r="A53" s="17"/>
      <c r="B53" s="17"/>
      <c r="C53" s="8"/>
      <c r="D53" s="12"/>
      <c r="E53" s="22"/>
      <c r="F53" s="25"/>
      <c r="G53" s="26"/>
      <c r="H53" s="16"/>
      <c r="I53" s="25"/>
      <c r="J53" s="13"/>
      <c r="K53" s="13"/>
    </row>
    <row r="54" spans="1:11" ht="21" customHeight="1" x14ac:dyDescent="0.15">
      <c r="A54" s="17"/>
      <c r="B54" s="17"/>
      <c r="C54" s="8"/>
      <c r="D54" s="12"/>
      <c r="E54" s="22"/>
      <c r="F54" s="25"/>
      <c r="G54" s="26"/>
      <c r="H54" s="16"/>
      <c r="I54" s="25"/>
      <c r="J54" s="13"/>
      <c r="K54" s="13"/>
    </row>
    <row r="55" spans="1:11" ht="21" customHeight="1" x14ac:dyDescent="0.15">
      <c r="A55" s="17"/>
      <c r="B55" s="17"/>
      <c r="C55" s="8"/>
      <c r="D55" s="12"/>
      <c r="E55" s="22"/>
      <c r="F55" s="25"/>
      <c r="G55" s="26"/>
      <c r="H55" s="16"/>
      <c r="I55" s="25"/>
      <c r="J55" s="13"/>
      <c r="K55" s="13"/>
    </row>
    <row r="56" spans="1:11" ht="21" customHeight="1" x14ac:dyDescent="0.15">
      <c r="A56" s="17"/>
      <c r="B56" s="17"/>
      <c r="C56" s="8"/>
      <c r="D56" s="12"/>
      <c r="E56" s="22"/>
      <c r="F56" s="25"/>
      <c r="G56" s="26"/>
      <c r="H56" s="16"/>
      <c r="I56" s="25"/>
      <c r="J56" s="13"/>
      <c r="K56" s="13"/>
    </row>
    <row r="57" spans="1:11" ht="21" customHeight="1" x14ac:dyDescent="0.15">
      <c r="A57" s="17"/>
      <c r="B57" s="17"/>
      <c r="C57" s="8"/>
      <c r="D57" s="12"/>
      <c r="E57" s="22"/>
      <c r="F57" s="25"/>
      <c r="G57" s="26"/>
      <c r="H57" s="16"/>
      <c r="I57" s="25"/>
      <c r="J57" s="13"/>
      <c r="K57" s="13"/>
    </row>
    <row r="58" spans="1:11" ht="21" customHeight="1" x14ac:dyDescent="0.15">
      <c r="A58" s="17"/>
      <c r="B58" s="17"/>
      <c r="C58" s="8"/>
      <c r="D58" s="12"/>
      <c r="E58" s="22"/>
      <c r="F58" s="25"/>
      <c r="G58" s="26"/>
      <c r="H58" s="16"/>
      <c r="I58" s="25"/>
      <c r="J58" s="13"/>
      <c r="K58" s="13"/>
    </row>
    <row r="59" spans="1:11" ht="21" customHeight="1" x14ac:dyDescent="0.15">
      <c r="A59" s="17"/>
      <c r="B59" s="17"/>
      <c r="C59" s="8"/>
      <c r="D59" s="12"/>
      <c r="E59" s="22"/>
      <c r="F59" s="25"/>
      <c r="G59" s="26"/>
      <c r="H59" s="16"/>
      <c r="I59" s="25"/>
      <c r="J59" s="13"/>
      <c r="K59" s="13"/>
    </row>
    <row r="60" spans="1:11" ht="21" customHeight="1" x14ac:dyDescent="0.15">
      <c r="A60" s="17"/>
      <c r="B60" s="17"/>
      <c r="C60" s="8"/>
      <c r="D60" s="12"/>
      <c r="E60" s="22"/>
      <c r="F60" s="25"/>
      <c r="G60" s="26"/>
      <c r="H60" s="16"/>
      <c r="I60" s="25"/>
      <c r="J60" s="13"/>
      <c r="K60" s="13"/>
    </row>
    <row r="61" spans="1:11" ht="21" customHeight="1" x14ac:dyDescent="0.15">
      <c r="A61" s="17"/>
      <c r="B61" s="17"/>
      <c r="C61" s="8"/>
      <c r="D61" s="12"/>
      <c r="E61" s="22"/>
      <c r="F61" s="25"/>
      <c r="G61" s="26"/>
      <c r="H61" s="16"/>
      <c r="I61" s="25"/>
      <c r="J61" s="13"/>
      <c r="K61" s="13"/>
    </row>
    <row r="62" spans="1:11" ht="21" customHeight="1" x14ac:dyDescent="0.15">
      <c r="A62" s="17"/>
      <c r="B62" s="17"/>
      <c r="C62" s="8"/>
      <c r="D62" s="12"/>
      <c r="E62" s="22"/>
      <c r="F62" s="25"/>
      <c r="G62" s="26"/>
      <c r="H62" s="16"/>
      <c r="I62" s="25"/>
      <c r="J62" s="13"/>
      <c r="K62" s="13"/>
    </row>
    <row r="63" spans="1:11" ht="21" customHeight="1" x14ac:dyDescent="0.15">
      <c r="A63" s="17"/>
      <c r="B63" s="17"/>
      <c r="C63" s="8"/>
      <c r="D63" s="12"/>
      <c r="E63" s="22"/>
      <c r="F63" s="25"/>
      <c r="G63" s="26"/>
      <c r="H63" s="16"/>
      <c r="I63" s="25"/>
      <c r="J63" s="13"/>
      <c r="K63" s="13"/>
    </row>
    <row r="64" spans="1:11" ht="21" customHeight="1" x14ac:dyDescent="0.15">
      <c r="A64" s="17"/>
      <c r="B64" s="17"/>
      <c r="C64" s="8"/>
      <c r="D64" s="12"/>
      <c r="E64" s="22"/>
      <c r="F64" s="25"/>
      <c r="G64" s="26"/>
      <c r="H64" s="16"/>
      <c r="I64" s="25"/>
      <c r="J64" s="13"/>
      <c r="K64" s="13"/>
    </row>
    <row r="65" spans="1:11" ht="21" customHeight="1" x14ac:dyDescent="0.15">
      <c r="A65" s="17"/>
      <c r="B65" s="17"/>
      <c r="C65" s="8"/>
      <c r="D65" s="12"/>
      <c r="E65" s="22"/>
      <c r="F65" s="25"/>
      <c r="G65" s="26"/>
      <c r="H65" s="16"/>
      <c r="I65" s="25"/>
      <c r="J65" s="13"/>
      <c r="K65" s="13"/>
    </row>
    <row r="66" spans="1:11" ht="21" customHeight="1" x14ac:dyDescent="0.15">
      <c r="A66" s="17"/>
      <c r="B66" s="17"/>
      <c r="C66" s="8"/>
      <c r="D66" s="12"/>
      <c r="E66" s="22"/>
      <c r="F66" s="25"/>
      <c r="G66" s="26"/>
      <c r="H66" s="16"/>
      <c r="I66" s="25"/>
      <c r="J66" s="13"/>
      <c r="K66" s="13"/>
    </row>
    <row r="67" spans="1:11" ht="21" customHeight="1" x14ac:dyDescent="0.15">
      <c r="A67" s="17"/>
      <c r="B67" s="17"/>
      <c r="C67" s="8"/>
      <c r="D67" s="12"/>
      <c r="E67" s="22"/>
      <c r="F67" s="25"/>
      <c r="G67" s="26"/>
      <c r="H67" s="16"/>
      <c r="I67" s="25"/>
      <c r="J67" s="13"/>
      <c r="K67" s="13"/>
    </row>
    <row r="68" spans="1:11" ht="21" customHeight="1" x14ac:dyDescent="0.15">
      <c r="A68" s="17"/>
      <c r="B68" s="17"/>
      <c r="C68" s="8"/>
      <c r="D68" s="12"/>
      <c r="E68" s="22"/>
      <c r="F68" s="25"/>
      <c r="G68" s="26"/>
      <c r="H68" s="16"/>
      <c r="I68" s="25"/>
      <c r="J68" s="13"/>
      <c r="K68" s="13"/>
    </row>
    <row r="69" spans="1:11" ht="21" customHeight="1" x14ac:dyDescent="0.15">
      <c r="A69" s="17"/>
      <c r="B69" s="17"/>
      <c r="C69" s="8"/>
      <c r="D69" s="12"/>
      <c r="E69" s="22"/>
      <c r="F69" s="25"/>
      <c r="G69" s="26"/>
      <c r="H69" s="16"/>
      <c r="I69" s="25"/>
      <c r="J69" s="13"/>
      <c r="K69" s="13"/>
    </row>
    <row r="70" spans="1:11" ht="21" customHeight="1" x14ac:dyDescent="0.15">
      <c r="A70" s="17"/>
      <c r="B70" s="17"/>
      <c r="C70" s="8"/>
      <c r="D70" s="12"/>
      <c r="E70" s="22"/>
      <c r="F70" s="25"/>
      <c r="G70" s="26"/>
      <c r="H70" s="16"/>
      <c r="I70" s="25"/>
      <c r="J70" s="13"/>
      <c r="K70" s="13"/>
    </row>
    <row r="71" spans="1:11" ht="21" customHeight="1" x14ac:dyDescent="0.15">
      <c r="A71" s="17"/>
      <c r="B71" s="17"/>
      <c r="C71" s="8"/>
      <c r="D71" s="12"/>
      <c r="E71" s="22"/>
      <c r="F71" s="25"/>
      <c r="G71" s="26"/>
      <c r="H71" s="16"/>
      <c r="I71" s="25"/>
      <c r="J71" s="13"/>
      <c r="K71" s="13"/>
    </row>
    <row r="72" spans="1:11" ht="21" customHeight="1" x14ac:dyDescent="0.15">
      <c r="A72" s="17"/>
      <c r="B72" s="17"/>
      <c r="C72" s="8"/>
      <c r="D72" s="12"/>
      <c r="E72" s="22"/>
      <c r="F72" s="25"/>
      <c r="G72" s="26"/>
      <c r="H72" s="16"/>
      <c r="I72" s="25"/>
      <c r="J72" s="13"/>
      <c r="K72" s="13"/>
    </row>
    <row r="73" spans="1:11" ht="21" customHeight="1" x14ac:dyDescent="0.15">
      <c r="A73" s="17"/>
      <c r="B73" s="17"/>
      <c r="C73" s="8"/>
      <c r="D73" s="12"/>
      <c r="E73" s="22"/>
      <c r="F73" s="25"/>
      <c r="G73" s="26"/>
      <c r="H73" s="16"/>
      <c r="I73" s="25"/>
      <c r="J73" s="13"/>
      <c r="K73" s="13"/>
    </row>
    <row r="74" spans="1:11" ht="21" customHeight="1" x14ac:dyDescent="0.15">
      <c r="A74" s="17"/>
      <c r="B74" s="17"/>
      <c r="C74" s="8"/>
      <c r="D74" s="12"/>
      <c r="E74" s="22"/>
      <c r="F74" s="25"/>
      <c r="G74" s="26"/>
      <c r="H74" s="16"/>
      <c r="I74" s="25"/>
      <c r="J74" s="13"/>
      <c r="K74" s="13"/>
    </row>
    <row r="75" spans="1:11" ht="21" customHeight="1" x14ac:dyDescent="0.15">
      <c r="A75" s="17"/>
      <c r="B75" s="17"/>
      <c r="C75" s="8"/>
      <c r="D75" s="12"/>
      <c r="E75" s="22"/>
      <c r="F75" s="25"/>
      <c r="G75" s="26"/>
      <c r="H75" s="16"/>
      <c r="I75" s="25"/>
      <c r="J75" s="13"/>
      <c r="K75" s="13"/>
    </row>
    <row r="76" spans="1:11" ht="21" customHeight="1" x14ac:dyDescent="0.15">
      <c r="A76" s="17"/>
      <c r="B76" s="17"/>
      <c r="C76" s="8"/>
      <c r="D76" s="12"/>
      <c r="E76" s="22"/>
      <c r="F76" s="25"/>
      <c r="G76" s="26"/>
      <c r="H76" s="16"/>
      <c r="I76" s="25"/>
      <c r="J76" s="13"/>
      <c r="K76" s="13"/>
    </row>
    <row r="77" spans="1:11" ht="21" customHeight="1" x14ac:dyDescent="0.15">
      <c r="A77" s="17"/>
      <c r="B77" s="17"/>
      <c r="C77" s="8"/>
      <c r="D77" s="12"/>
      <c r="E77" s="22"/>
      <c r="F77" s="25"/>
      <c r="G77" s="26"/>
      <c r="H77" s="16"/>
      <c r="I77" s="25"/>
      <c r="J77" s="13"/>
      <c r="K77" s="13"/>
    </row>
    <row r="78" spans="1:11" ht="21" customHeight="1" x14ac:dyDescent="0.15">
      <c r="A78" s="17"/>
      <c r="B78" s="17"/>
      <c r="C78" s="8"/>
      <c r="D78" s="12"/>
      <c r="E78" s="22"/>
      <c r="F78" s="25"/>
      <c r="G78" s="26"/>
      <c r="H78" s="16"/>
      <c r="I78" s="25"/>
      <c r="J78" s="13"/>
      <c r="K78" s="13"/>
    </row>
    <row r="79" spans="1:11" ht="21" customHeight="1" x14ac:dyDescent="0.15">
      <c r="A79" s="17"/>
      <c r="B79" s="17"/>
      <c r="C79" s="8"/>
      <c r="D79" s="12"/>
      <c r="E79" s="22"/>
      <c r="F79" s="25"/>
      <c r="G79" s="26"/>
      <c r="H79" s="16"/>
      <c r="I79" s="25"/>
      <c r="J79" s="13"/>
      <c r="K79" s="13"/>
    </row>
    <row r="80" spans="1:11" ht="21" customHeight="1" x14ac:dyDescent="0.15">
      <c r="A80" s="17"/>
      <c r="B80" s="17"/>
      <c r="C80" s="8"/>
      <c r="D80" s="12"/>
      <c r="E80" s="22"/>
      <c r="F80" s="25"/>
      <c r="G80" s="26"/>
      <c r="H80" s="16"/>
      <c r="I80" s="25"/>
      <c r="J80" s="13"/>
      <c r="K80" s="13"/>
    </row>
    <row r="81" spans="1:11" ht="21" customHeight="1" x14ac:dyDescent="0.15">
      <c r="A81" s="17"/>
      <c r="B81" s="17"/>
      <c r="C81" s="8"/>
      <c r="D81" s="12"/>
      <c r="E81" s="22"/>
      <c r="F81" s="25"/>
      <c r="G81" s="26"/>
      <c r="H81" s="16"/>
      <c r="I81" s="25"/>
      <c r="J81" s="13"/>
      <c r="K81" s="13"/>
    </row>
    <row r="82" spans="1:11" ht="21" customHeight="1" x14ac:dyDescent="0.15">
      <c r="A82" s="17"/>
      <c r="B82" s="17"/>
      <c r="C82" s="8"/>
      <c r="D82" s="12"/>
      <c r="E82" s="22"/>
      <c r="F82" s="25"/>
      <c r="G82" s="26"/>
      <c r="H82" s="16"/>
      <c r="I82" s="25"/>
      <c r="J82" s="13"/>
      <c r="K82" s="13"/>
    </row>
    <row r="83" spans="1:11" ht="21" customHeight="1" x14ac:dyDescent="0.15">
      <c r="A83" s="17"/>
      <c r="B83" s="17"/>
      <c r="C83" s="8"/>
      <c r="D83" s="12"/>
      <c r="E83" s="22"/>
      <c r="F83" s="25"/>
      <c r="G83" s="26"/>
      <c r="H83" s="16"/>
      <c r="I83" s="25"/>
      <c r="J83" s="13"/>
      <c r="K83" s="13"/>
    </row>
    <row r="84" spans="1:11" ht="21" customHeight="1" x14ac:dyDescent="0.15">
      <c r="A84" s="17"/>
      <c r="B84" s="17"/>
      <c r="C84" s="8"/>
      <c r="D84" s="12"/>
      <c r="E84" s="22"/>
      <c r="F84" s="25"/>
      <c r="G84" s="26"/>
      <c r="H84" s="16"/>
      <c r="I84" s="25"/>
      <c r="J84" s="13"/>
      <c r="K84" s="13"/>
    </row>
    <row r="85" spans="1:11" ht="21" customHeight="1" x14ac:dyDescent="0.15">
      <c r="A85" s="17"/>
      <c r="B85" s="17"/>
      <c r="C85" s="8"/>
      <c r="D85" s="12"/>
      <c r="E85" s="22"/>
      <c r="F85" s="25"/>
      <c r="G85" s="26"/>
      <c r="H85" s="16"/>
      <c r="I85" s="25"/>
      <c r="J85" s="13"/>
      <c r="K85" s="13"/>
    </row>
    <row r="86" spans="1:11" ht="21" customHeight="1" x14ac:dyDescent="0.15">
      <c r="A86" s="17"/>
      <c r="B86" s="17"/>
      <c r="C86" s="8"/>
      <c r="D86" s="12"/>
      <c r="E86" s="22"/>
      <c r="F86" s="25"/>
      <c r="G86" s="26"/>
      <c r="H86" s="16"/>
      <c r="I86" s="25"/>
      <c r="J86" s="13"/>
      <c r="K86" s="13"/>
    </row>
    <row r="87" spans="1:11" ht="21" customHeight="1" x14ac:dyDescent="0.15">
      <c r="A87" s="17"/>
      <c r="B87" s="17"/>
      <c r="C87" s="8"/>
      <c r="D87" s="12"/>
      <c r="E87" s="22"/>
      <c r="F87" s="25"/>
      <c r="G87" s="26"/>
      <c r="H87" s="16"/>
      <c r="I87" s="25"/>
      <c r="J87" s="13"/>
      <c r="K87" s="13"/>
    </row>
    <row r="88" spans="1:11" ht="21" customHeight="1" x14ac:dyDescent="0.15">
      <c r="A88" s="17"/>
      <c r="B88" s="17"/>
      <c r="C88" s="8"/>
      <c r="D88" s="12"/>
      <c r="E88" s="22"/>
      <c r="F88" s="25"/>
      <c r="G88" s="26"/>
      <c r="H88" s="16"/>
      <c r="I88" s="25"/>
      <c r="J88" s="13"/>
      <c r="K88" s="13"/>
    </row>
    <row r="89" spans="1:11" ht="21" customHeight="1" x14ac:dyDescent="0.15">
      <c r="A89" s="17"/>
      <c r="B89" s="17"/>
      <c r="C89" s="8"/>
      <c r="D89" s="12"/>
      <c r="E89" s="22"/>
      <c r="F89" s="25"/>
      <c r="G89" s="26"/>
      <c r="H89" s="16"/>
      <c r="I89" s="25"/>
      <c r="J89" s="13"/>
      <c r="K89" s="13"/>
    </row>
    <row r="90" spans="1:11" ht="21" customHeight="1" x14ac:dyDescent="0.15">
      <c r="A90" s="17"/>
      <c r="B90" s="17"/>
      <c r="C90" s="8"/>
      <c r="D90" s="12"/>
      <c r="E90" s="22"/>
      <c r="F90" s="25"/>
      <c r="G90" s="26"/>
      <c r="H90" s="16"/>
      <c r="I90" s="25"/>
      <c r="J90" s="13"/>
      <c r="K90" s="13"/>
    </row>
    <row r="91" spans="1:11" ht="21" customHeight="1" x14ac:dyDescent="0.15">
      <c r="A91" s="17"/>
      <c r="B91" s="17"/>
      <c r="C91" s="8"/>
      <c r="D91" s="12"/>
      <c r="E91" s="22"/>
      <c r="F91" s="25"/>
      <c r="G91" s="26"/>
      <c r="H91" s="16"/>
      <c r="I91" s="25"/>
      <c r="J91" s="13"/>
      <c r="K91" s="13"/>
    </row>
    <row r="92" spans="1:11" ht="21" customHeight="1" x14ac:dyDescent="0.15">
      <c r="A92" s="17"/>
      <c r="B92" s="17"/>
      <c r="C92" s="8"/>
      <c r="D92" s="12"/>
      <c r="E92" s="22"/>
      <c r="F92" s="25"/>
      <c r="G92" s="26"/>
      <c r="H92" s="16"/>
      <c r="I92" s="25"/>
      <c r="J92" s="13"/>
      <c r="K92" s="13"/>
    </row>
    <row r="93" spans="1:11" ht="21" customHeight="1" x14ac:dyDescent="0.15">
      <c r="A93" s="17"/>
      <c r="B93" s="17"/>
      <c r="C93" s="8"/>
      <c r="D93" s="12"/>
      <c r="E93" s="22"/>
      <c r="F93" s="25"/>
      <c r="G93" s="26"/>
      <c r="H93" s="16"/>
      <c r="I93" s="25"/>
      <c r="J93" s="13"/>
      <c r="K93" s="13"/>
    </row>
    <row r="94" spans="1:11" ht="21" customHeight="1" x14ac:dyDescent="0.15">
      <c r="A94" s="17"/>
      <c r="B94" s="17"/>
      <c r="C94" s="8"/>
      <c r="D94" s="12"/>
      <c r="E94" s="22"/>
      <c r="F94" s="25"/>
      <c r="G94" s="26"/>
      <c r="H94" s="16"/>
      <c r="I94" s="25"/>
      <c r="J94" s="13"/>
      <c r="K94" s="13"/>
    </row>
    <row r="95" spans="1:11" ht="21" customHeight="1" x14ac:dyDescent="0.15">
      <c r="A95" s="17"/>
      <c r="B95" s="17"/>
      <c r="C95" s="8"/>
      <c r="D95" s="12"/>
      <c r="E95" s="22"/>
      <c r="F95" s="25"/>
      <c r="G95" s="26"/>
      <c r="H95" s="16"/>
      <c r="I95" s="25"/>
      <c r="J95" s="13"/>
      <c r="K95" s="13"/>
    </row>
    <row r="96" spans="1:11" ht="21" customHeight="1" x14ac:dyDescent="0.15">
      <c r="A96" s="17"/>
      <c r="B96" s="17"/>
      <c r="C96" s="8"/>
      <c r="D96" s="12"/>
      <c r="E96" s="22"/>
      <c r="F96" s="25"/>
      <c r="G96" s="26"/>
      <c r="H96" s="16"/>
      <c r="I96" s="25"/>
      <c r="J96" s="13"/>
      <c r="K96" s="13"/>
    </row>
    <row r="97" spans="1:11" ht="21" customHeight="1" x14ac:dyDescent="0.15">
      <c r="A97" s="17"/>
      <c r="B97" s="17"/>
      <c r="C97" s="8"/>
      <c r="D97" s="12"/>
      <c r="E97" s="22"/>
      <c r="F97" s="25"/>
      <c r="G97" s="26"/>
      <c r="H97" s="16"/>
      <c r="I97" s="25"/>
      <c r="J97" s="13"/>
      <c r="K97" s="13"/>
    </row>
    <row r="98" spans="1:11" ht="21" customHeight="1" x14ac:dyDescent="0.15">
      <c r="A98" s="17"/>
      <c r="B98" s="17"/>
      <c r="C98" s="8"/>
      <c r="D98" s="12"/>
      <c r="E98" s="22"/>
      <c r="F98" s="25"/>
      <c r="G98" s="26"/>
      <c r="H98" s="16"/>
      <c r="I98" s="25"/>
      <c r="J98" s="13"/>
      <c r="K98" s="13"/>
    </row>
    <row r="99" spans="1:11" ht="21" customHeight="1" x14ac:dyDescent="0.15">
      <c r="A99" s="17"/>
      <c r="B99" s="17"/>
      <c r="C99" s="8"/>
      <c r="D99" s="12"/>
      <c r="E99" s="22"/>
      <c r="F99" s="25"/>
      <c r="G99" s="26"/>
      <c r="H99" s="16"/>
      <c r="I99" s="25"/>
      <c r="J99" s="13"/>
      <c r="K99" s="13"/>
    </row>
    <row r="100" spans="1:11" ht="21" customHeight="1" x14ac:dyDescent="0.15">
      <c r="A100" s="17"/>
      <c r="B100" s="17"/>
      <c r="C100" s="8"/>
      <c r="D100" s="12"/>
      <c r="E100" s="22"/>
      <c r="F100" s="25"/>
      <c r="G100" s="26"/>
      <c r="H100" s="16"/>
      <c r="I100" s="25"/>
      <c r="J100" s="13"/>
      <c r="K100" s="13"/>
    </row>
    <row r="101" spans="1:11" ht="21" customHeight="1" x14ac:dyDescent="0.15">
      <c r="A101" s="17"/>
      <c r="B101" s="17"/>
      <c r="C101" s="8"/>
      <c r="D101" s="12"/>
      <c r="E101" s="22"/>
      <c r="F101" s="25"/>
      <c r="G101" s="26"/>
      <c r="H101" s="16"/>
      <c r="I101" s="25"/>
      <c r="J101" s="13"/>
      <c r="K101" s="13"/>
    </row>
    <row r="102" spans="1:11" ht="21" customHeight="1" x14ac:dyDescent="0.15">
      <c r="A102" s="17"/>
      <c r="B102" s="17"/>
      <c r="C102" s="8"/>
      <c r="D102" s="12"/>
      <c r="E102" s="22"/>
      <c r="F102" s="25"/>
      <c r="G102" s="26"/>
      <c r="H102" s="16"/>
      <c r="I102" s="25"/>
      <c r="J102" s="13"/>
      <c r="K102" s="13"/>
    </row>
    <row r="103" spans="1:11" ht="21" customHeight="1" x14ac:dyDescent="0.15">
      <c r="A103" s="17"/>
      <c r="B103" s="17"/>
      <c r="C103" s="8"/>
      <c r="D103" s="12"/>
      <c r="E103" s="22"/>
      <c r="F103" s="25"/>
      <c r="G103" s="26"/>
      <c r="H103" s="16"/>
      <c r="I103" s="25"/>
      <c r="J103" s="13"/>
      <c r="K103" s="13"/>
    </row>
    <row r="104" spans="1:11" ht="21" customHeight="1" x14ac:dyDescent="0.15">
      <c r="A104" s="17"/>
      <c r="B104" s="17"/>
      <c r="C104" s="8"/>
      <c r="D104" s="12"/>
      <c r="E104" s="22"/>
      <c r="F104" s="25"/>
      <c r="G104" s="26"/>
      <c r="H104" s="16"/>
      <c r="I104" s="25"/>
      <c r="J104" s="13"/>
      <c r="K104" s="13"/>
    </row>
    <row r="105" spans="1:11" ht="21" customHeight="1" x14ac:dyDescent="0.15">
      <c r="A105" s="17"/>
      <c r="B105" s="17"/>
      <c r="C105" s="8"/>
      <c r="D105" s="12"/>
      <c r="E105" s="22"/>
      <c r="F105" s="25"/>
      <c r="G105" s="26"/>
      <c r="H105" s="16"/>
      <c r="I105" s="25"/>
      <c r="J105" s="13"/>
      <c r="K105" s="13"/>
    </row>
    <row r="106" spans="1:11" ht="21" customHeight="1" x14ac:dyDescent="0.15">
      <c r="A106" s="17"/>
      <c r="B106" s="17"/>
      <c r="C106" s="8"/>
      <c r="D106" s="12"/>
      <c r="E106" s="22"/>
      <c r="F106" s="25"/>
      <c r="G106" s="26"/>
      <c r="H106" s="16"/>
      <c r="I106" s="25"/>
      <c r="J106" s="13"/>
      <c r="K106" s="13"/>
    </row>
    <row r="107" spans="1:11" ht="21" customHeight="1" x14ac:dyDescent="0.15">
      <c r="A107" s="17"/>
      <c r="B107" s="17"/>
      <c r="C107" s="8"/>
      <c r="D107" s="12"/>
      <c r="E107" s="22"/>
      <c r="F107" s="25"/>
      <c r="G107" s="26"/>
      <c r="H107" s="16"/>
      <c r="I107" s="25"/>
      <c r="J107" s="13"/>
      <c r="K107" s="13"/>
    </row>
    <row r="108" spans="1:11" ht="21" customHeight="1" x14ac:dyDescent="0.15">
      <c r="A108" s="17"/>
      <c r="B108" s="17"/>
      <c r="C108" s="8"/>
      <c r="D108" s="12"/>
      <c r="E108" s="22"/>
      <c r="F108" s="25"/>
      <c r="G108" s="26"/>
      <c r="H108" s="16"/>
      <c r="I108" s="25"/>
      <c r="J108" s="13"/>
      <c r="K108" s="13"/>
    </row>
    <row r="109" spans="1:11" ht="21" customHeight="1" x14ac:dyDescent="0.15">
      <c r="A109" s="17"/>
      <c r="B109" s="17"/>
      <c r="C109" s="8"/>
      <c r="D109" s="12"/>
      <c r="E109" s="22"/>
      <c r="F109" s="25"/>
      <c r="G109" s="26"/>
      <c r="H109" s="16"/>
      <c r="I109" s="25"/>
      <c r="J109" s="13"/>
      <c r="K109" s="13"/>
    </row>
    <row r="110" spans="1:11" ht="21" customHeight="1" x14ac:dyDescent="0.15">
      <c r="A110" s="17"/>
      <c r="B110" s="17"/>
      <c r="C110" s="8"/>
      <c r="D110" s="12"/>
      <c r="E110" s="22"/>
      <c r="F110" s="25"/>
      <c r="G110" s="26"/>
      <c r="H110" s="16"/>
      <c r="I110" s="25"/>
      <c r="J110" s="13"/>
      <c r="K110" s="13"/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87"/>
  <sheetViews>
    <sheetView showGridLines="0" zoomScale="75" zoomScaleNormal="75" zoomScalePageLayoutView="75" workbookViewId="0">
      <pane xSplit="17" ySplit="1" topLeftCell="AH68" activePane="bottomRight" state="frozen"/>
      <selection pane="topRight" activeCell="N1" sqref="N1"/>
      <selection pane="bottomLeft" activeCell="A2" sqref="A2"/>
      <selection pane="bottomRight" activeCell="AH292" sqref="AH292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5" width="15.6640625" style="4" customWidth="1" outlineLevel="1"/>
    <col min="6" max="6" width="27.5" style="4" customWidth="1" outlineLevel="1"/>
    <col min="7" max="7" width="11.83203125" style="4" bestFit="1" customWidth="1" collapsed="1"/>
    <col min="8" max="10" width="11.83203125" style="4" hidden="1" customWidth="1" outlineLevel="1"/>
    <col min="11" max="12" width="15.33203125" style="10" bestFit="1" customWidth="1"/>
    <col min="13" max="13" width="17.6640625" style="4" customWidth="1" outlineLevel="1"/>
    <col min="14" max="14" width="10.33203125" style="4" customWidth="1" outlineLevel="1"/>
    <col min="15" max="15" width="13.6640625" style="4" customWidth="1" outlineLevel="1"/>
    <col min="16" max="16" width="22.83203125" style="4" customWidth="1" outlineLevel="1"/>
    <col min="17" max="17" width="11.6640625" style="4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40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35</v>
      </c>
      <c r="I1" s="31" t="s">
        <v>14</v>
      </c>
      <c r="J1" s="31" t="s">
        <v>15</v>
      </c>
      <c r="K1" s="1" t="s">
        <v>210</v>
      </c>
      <c r="L1" s="1" t="s">
        <v>2</v>
      </c>
      <c r="M1" s="19" t="s">
        <v>21</v>
      </c>
      <c r="N1" s="16" t="s">
        <v>24</v>
      </c>
      <c r="O1" s="16" t="s">
        <v>23</v>
      </c>
      <c r="P1" s="21" t="s">
        <v>26</v>
      </c>
      <c r="Q1" s="2" t="s">
        <v>25</v>
      </c>
      <c r="R1" s="1" t="s">
        <v>3</v>
      </c>
      <c r="S1" s="29" t="s">
        <v>48</v>
      </c>
      <c r="T1" s="29" t="s">
        <v>49</v>
      </c>
      <c r="U1" s="29" t="s">
        <v>50</v>
      </c>
      <c r="V1" s="16" t="s">
        <v>31</v>
      </c>
      <c r="W1" s="1" t="s">
        <v>4</v>
      </c>
      <c r="X1" s="1" t="s">
        <v>5</v>
      </c>
      <c r="Y1" s="1" t="s">
        <v>47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27</v>
      </c>
      <c r="AF1" s="3" t="s">
        <v>10</v>
      </c>
      <c r="AG1" s="1" t="s">
        <v>11</v>
      </c>
      <c r="AH1" s="1" t="s">
        <v>12</v>
      </c>
      <c r="AI1" s="1" t="s">
        <v>38</v>
      </c>
      <c r="AJ1" s="1" t="s">
        <v>40</v>
      </c>
      <c r="AK1" s="1" t="s">
        <v>42</v>
      </c>
      <c r="AL1" s="1" t="s">
        <v>44</v>
      </c>
      <c r="AM1" s="1" t="s">
        <v>46</v>
      </c>
      <c r="AN1" s="1" t="s">
        <v>208</v>
      </c>
    </row>
    <row r="2" spans="1:40" ht="21" customHeight="1" x14ac:dyDescent="0.15">
      <c r="A2" s="17" t="str">
        <f ca="1">B2&amp;"_"&amp;C2&amp;"-"&amp;G2&amp;"/"&amp;L2&amp;"&lt;lv"&amp;R2&amp;"&gt;s"&amp;AA2</f>
        <v>11001_4-1/115&lt;lv30&gt;s2</v>
      </c>
      <c r="B2" s="73">
        <v>11001</v>
      </c>
      <c r="C2" s="74">
        <v>4</v>
      </c>
      <c r="D2" s="2" t="str">
        <f>B2&amp;"_"&amp;C2</f>
        <v>11001_4</v>
      </c>
      <c r="E2" s="5" t="str">
        <f ca="1">VLOOKUP($B2,OFFSET([2]quests!$A$1,0,0,COUNTA([2]quests!$A:$A),MATCH(E$1,[2]quests!$1:$1,0)-MATCH($B$1,[2]quests!$1:$1,0)+1),MATCH(E$1,[2]quests!$1:$1,0)-MATCH($B$1,[2]quests!$1:$1,0)+1,FALSE)</f>
        <v>【月曜限定】 黄の素材</v>
      </c>
      <c r="F2" s="5" t="str">
        <f ca="1">VLOOKUP($D2,OFFSET([2]stages!$A$1,0,0,COUNTA([2]stages!$A:$A),MATCH(F$1,[2]stages!$2:$2,0)-MATCH($D$1,[2]stages!$2:$2,0)+1),MATCH(F$1,[2]stages!$2:$2,0)-MATCH($D$1,[2]stages!$2:$2,0)+1,FALSE)</f>
        <v>【上級】雷のイモムシ</v>
      </c>
      <c r="G2" s="25">
        <v>1</v>
      </c>
      <c r="H2" s="16" t="str">
        <f t="shared" ref="H2:H23" si="0">B2&amp;"_"&amp;C2&amp;"-"&amp;G2</f>
        <v>11001_4-1</v>
      </c>
      <c r="I2" s="5">
        <f ca="1">VLOOKUP($H2,OFFSET(floors!$A$1,0,0,COUNTA(floors!$A:$A),MATCH(I$1,floors!$1:$1,0)-MATCH($H$1,floors!$1:$1,0)+1),MATCH(I$1,floors!$1:$1,0)-MATCH($H$1,floors!$1:$1,0)+1,FALSE)</f>
        <v>30</v>
      </c>
      <c r="J2" s="5">
        <f ca="1">VLOOKUP($H2,OFFSET(floors!$A$1,0,0,COUNTA(floors!$A:$A),MATCH(J$1,floors!$1:$1,0)-MATCH($H$1,floors!$1:$1,0)+1),MATCH(J$1,floors!$1:$1,0)-MATCH($H$1,floors!$1:$1,0)+1,FALSE)</f>
        <v>45</v>
      </c>
      <c r="K2" s="24" t="s">
        <v>209</v>
      </c>
      <c r="L2" s="24">
        <v>115</v>
      </c>
      <c r="M2" s="20" t="str">
        <f ca="1">VLOOKUP($L2,OFFSET([3]enemies!$A$1,0,0,COUNTA([3]enemies!$A:$A),MATCH(M$1,[3]enemies!$1:$1,0)-MATCH($L$1,[3]enemies!$1:$1,0)+1),MATCH(M$1,[3]enemies!$1:$1,0)-MATCH($L$1,[3]enemies!$1:$1,0)+1,FALSE)</f>
        <v>イエローキャタップ</v>
      </c>
      <c r="N2" s="20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22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15</v>
      </c>
      <c r="R2" s="6">
        <v>30</v>
      </c>
      <c r="S2" s="30">
        <v>2</v>
      </c>
      <c r="T2" s="30">
        <v>1</v>
      </c>
      <c r="U2" s="6">
        <v>0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1</v>
      </c>
      <c r="Y2" s="7">
        <v>100</v>
      </c>
      <c r="Z2" s="7">
        <v>1</v>
      </c>
      <c r="AA2" s="20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v>115</v>
      </c>
      <c r="AC2" s="5" t="str">
        <f ca="1">IFERROR(VLOOKUP($AB2,OFFSET([4]characters!$A$1,0,0,COUNTA([4]characters!$A:$A),MATCH(AC$1,[4]characters!$1:$1,0)-MATCH("character_id",[4]characters!$1:$1,0)+1),MATCH(AC$1,[4]characters!$1:$1,0)-MATCH("character_id",[4]characters!$1:$1,0)+1,FALSE),"")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" s="5">
        <f ca="1">IFERROR(VLOOKUP($AB2,OFFSET([4]characters!$A$1,0,0,COUNTA([4]characters!$A:$A),MATCH(AD$1,[4]characters!$1:$1,0)-MATCH("character_id",[4]characters!$1:$1,0)+1),MATCH(AD$1,[4]characters!$1:$1,0)-MATCH("character_id",[4]characters!$1:$1,0)+1,FALSE),"")</f>
        <v>4</v>
      </c>
      <c r="AE2" s="5" t="str">
        <f ca="1">IFERROR(VLOOKUP($AB2,OFFSET([4]characters!$A$1,0,0,COUNTA([4]characters!$A:$A),MATCH(AE$1,[4]characters!$1:$1,0)-MATCH("character_id",[4]characters!$1:$1,0)+1),MATCH(AE$1,[4]characters!$1:$1,0)-MATCH("character_id",[4]characters!$1:$1,0)+1,FALSE),"")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" s="8">
        <v>1</v>
      </c>
      <c r="AG2" s="27">
        <f ca="1">AD2</f>
        <v>4</v>
      </c>
      <c r="AH2" s="130">
        <v>50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  <c r="AN2" s="8">
        <v>1</v>
      </c>
    </row>
    <row r="3" spans="1:40" ht="21" customHeight="1" x14ac:dyDescent="0.15">
      <c r="A3" s="17" t="str">
        <f t="shared" ref="A3:A7" ca="1" si="1">B3&amp;"_"&amp;C3&amp;"-"&amp;G3&amp;"/"&amp;L3&amp;"&lt;lv"&amp;R3&amp;"&gt;s"&amp;AA3</f>
        <v>11001_4-1/39&lt;lv35&gt;s3</v>
      </c>
      <c r="B3" s="73">
        <v>11001</v>
      </c>
      <c r="C3" s="74">
        <v>4</v>
      </c>
      <c r="D3" s="2" t="str">
        <f t="shared" ref="D3:D7" si="2">B3&amp;"_"&amp;C3</f>
        <v>11001_4</v>
      </c>
      <c r="E3" s="5" t="str">
        <f ca="1">VLOOKUP($B3,OFFSET([2]quests!$A$1,0,0,COUNTA([2]quests!$A:$A),MATCH(E$1,[2]quests!$1:$1,0)-MATCH($B$1,[2]quests!$1:$1,0)+1),MATCH(E$1,[2]quests!$1:$1,0)-MATCH($B$1,[2]quests!$1:$1,0)+1,FALSE)</f>
        <v>【月曜限定】 黄の素材</v>
      </c>
      <c r="F3" s="5" t="str">
        <f ca="1">VLOOKUP($D3,OFFSET([2]stages!$A$1,0,0,COUNTA([2]stages!$A:$A),MATCH(F$1,[2]stages!$2:$2,0)-MATCH($D$1,[2]stages!$2:$2,0)+1),MATCH(F$1,[2]stages!$2:$2,0)-MATCH($D$1,[2]stages!$2:$2,0)+1,FALSE)</f>
        <v>【上級】雷のイモムシ</v>
      </c>
      <c r="G3" s="25">
        <v>1</v>
      </c>
      <c r="H3" s="16" t="str">
        <f t="shared" si="0"/>
        <v>11001_4-1</v>
      </c>
      <c r="I3" s="5">
        <f ca="1">VLOOKUP($H3,OFFSET(floors!$A$1,0,0,COUNTA(floors!$A:$A),MATCH(I$1,floors!$1:$1,0)-MATCH($H$1,floors!$1:$1,0)+1),MATCH(I$1,floors!$1:$1,0)-MATCH($H$1,floors!$1:$1,0)+1,FALSE)</f>
        <v>30</v>
      </c>
      <c r="J3" s="5">
        <f ca="1">VLOOKUP($H3,OFFSET(floors!$A$1,0,0,COUNTA(floors!$A:$A),MATCH(J$1,floors!$1:$1,0)-MATCH($H$1,floors!$1:$1,0)+1),MATCH(J$1,floors!$1:$1,0)-MATCH($H$1,floors!$1:$1,0)+1,FALSE)</f>
        <v>45</v>
      </c>
      <c r="K3" s="24" t="s">
        <v>209</v>
      </c>
      <c r="L3" s="24">
        <v>39</v>
      </c>
      <c r="M3" s="20" t="str">
        <f ca="1">VLOOKUP($L3,OFFSET([3]enemies!$A$1,0,0,COUNTA([3]enemies!$A:$A),MATCH(M$1,[3]enemies!$1:$1,0)-MATCH($L$1,[3]enemies!$1:$1,0)+1),MATCH(M$1,[3]enemies!$1:$1,0)-MATCH($L$1,[3]enemies!$1:$1,0)+1,FALSE)</f>
        <v>マーロン</v>
      </c>
      <c r="N3" s="20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22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20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6">
        <v>35</v>
      </c>
      <c r="S3" s="30">
        <v>1</v>
      </c>
      <c r="T3" s="30">
        <v>1</v>
      </c>
      <c r="U3" s="6">
        <v>0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3" s="5">
        <f ca="1">VLOOKUP($L3,OFFSET([3]enemies!$A$1,0,0,COUNTA([3]enemies!$A:$A),MATCH(W$1,[3]enemies!$1:$1,0)-MATCH($L$1,[3]enemies!$1:$1,0)+1),MATCH(W$1,[3]enemies!$1:$1,0)-MATCH($L$1,[3]enemies!$1:$1,0)+1,FALSE)</f>
        <v>39</v>
      </c>
      <c r="X3" s="7">
        <v>0</v>
      </c>
      <c r="Y3" s="7">
        <v>100</v>
      </c>
      <c r="Z3" s="7">
        <v>0</v>
      </c>
      <c r="AA3" s="20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v>39</v>
      </c>
      <c r="AC3" s="5" t="str">
        <f ca="1">IFERROR(VLOOKUP($AB3,OFFSET([4]characters!$A$1,0,0,COUNTA([4]characters!$A:$A),MATCH(AC$1,[4]characters!$1:$1,0)-MATCH("character_id",[4]characters!$1:$1,0)+1),MATCH(AC$1,[4]characters!$1:$1,0)-MATCH("character_id",[4]characters!$1:$1,0)+1,FALSE),"")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3" s="5">
        <f ca="1">IFERROR(VLOOKUP($AB3,OFFSET([4]characters!$A$1,0,0,COUNTA([4]characters!$A:$A),MATCH(AD$1,[4]characters!$1:$1,0)-MATCH("character_id",[4]characters!$1:$1,0)+1),MATCH(AD$1,[4]characters!$1:$1,0)-MATCH("character_id",[4]characters!$1:$1,0)+1,FALSE),"")</f>
        <v>2</v>
      </c>
      <c r="AE3" s="5" t="str">
        <f ca="1">IFERROR(VLOOKUP($AB3,OFFSET([4]characters!$A$1,0,0,COUNTA([4]characters!$A:$A),MATCH(AE$1,[4]characters!$1:$1,0)-MATCH("character_id",[4]characters!$1:$1,0)+1),MATCH(AE$1,[4]characters!$1:$1,0)-MATCH("character_id",[4]characters!$1:$1,0)+1,FALSE),"")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3" s="8">
        <v>1</v>
      </c>
      <c r="AG3" s="27">
        <f t="shared" ref="AG3:AG7" ca="1" si="3">AD3</f>
        <v>2</v>
      </c>
      <c r="AH3" s="9">
        <v>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  <c r="AN3" s="8">
        <v>1</v>
      </c>
    </row>
    <row r="4" spans="1:40" ht="21" customHeight="1" x14ac:dyDescent="0.15">
      <c r="A4" s="17" t="str">
        <f t="shared" ref="A4" ca="1" si="4">B4&amp;"_"&amp;C4&amp;"-"&amp;G4&amp;"/"&amp;L4&amp;"&lt;lv"&amp;R4&amp;"&gt;s"&amp;AA4</f>
        <v>11001_4-1/31&lt;lv35&gt;s2</v>
      </c>
      <c r="B4" s="73">
        <v>11001</v>
      </c>
      <c r="C4" s="74">
        <v>4</v>
      </c>
      <c r="D4" s="2" t="str">
        <f t="shared" ref="D4" si="5">B4&amp;"_"&amp;C4</f>
        <v>11001_4</v>
      </c>
      <c r="E4" s="5" t="str">
        <f ca="1">VLOOKUP($B4,OFFSET([2]quests!$A$1,0,0,COUNTA([2]quests!$A:$A),MATCH(E$1,[2]quests!$1:$1,0)-MATCH($B$1,[2]quests!$1:$1,0)+1),MATCH(E$1,[2]quests!$1:$1,0)-MATCH($B$1,[2]quests!$1:$1,0)+1,FALSE)</f>
        <v>【月曜限定】 黄の素材</v>
      </c>
      <c r="F4" s="5" t="str">
        <f ca="1">VLOOKUP($D4,OFFSET([2]stages!$A$1,0,0,COUNTA([2]stages!$A:$A),MATCH(F$1,[2]stages!$2:$2,0)-MATCH($D$1,[2]stages!$2:$2,0)+1),MATCH(F$1,[2]stages!$2:$2,0)-MATCH($D$1,[2]stages!$2:$2,0)+1,FALSE)</f>
        <v>【上級】雷のイモムシ</v>
      </c>
      <c r="G4" s="25">
        <v>1</v>
      </c>
      <c r="H4" s="16" t="str">
        <f t="shared" si="0"/>
        <v>11001_4-1</v>
      </c>
      <c r="I4" s="5">
        <f ca="1">VLOOKUP($H4,OFFSET(floors!$A$1,0,0,COUNTA(floors!$A:$A),MATCH(I$1,floors!$1:$1,0)-MATCH($H$1,floors!$1:$1,0)+1),MATCH(I$1,floors!$1:$1,0)-MATCH($H$1,floors!$1:$1,0)+1,FALSE)</f>
        <v>30</v>
      </c>
      <c r="J4" s="5">
        <f ca="1">VLOOKUP($H4,OFFSET(floors!$A$1,0,0,COUNTA(floors!$A:$A),MATCH(J$1,floors!$1:$1,0)-MATCH($H$1,floors!$1:$1,0)+1),MATCH(J$1,floors!$1:$1,0)-MATCH($H$1,floors!$1:$1,0)+1,FALSE)</f>
        <v>45</v>
      </c>
      <c r="K4" s="24" t="s">
        <v>209</v>
      </c>
      <c r="L4" s="24">
        <v>31</v>
      </c>
      <c r="M4" s="20" t="str">
        <f ca="1">VLOOKUP($L4,OFFSET([3]enemies!$A$1,0,0,COUNTA([3]enemies!$A:$A),MATCH(M$1,[3]enemies!$1:$1,0)-MATCH($L$1,[3]enemies!$1:$1,0)+1),MATCH(M$1,[3]enemies!$1:$1,0)-MATCH($L$1,[3]enemies!$1:$1,0)+1,FALSE)</f>
        <v>マービー</v>
      </c>
      <c r="N4" s="20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22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20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20">
        <f ca="1">VLOOKUP($L4,OFFSET([3]enemies!$A$1,0,0,COUNTA([3]enemies!$A:$A),MATCH(Q$1,[3]enemies!$1:$1,0)-MATCH($L$1,[3]enemies!$1:$1,0)+1),MATCH(Q$1,[3]enemies!$1:$1,0)-MATCH($L$1,[3]enemies!$1:$1,0)+1,FALSE)</f>
        <v>15</v>
      </c>
      <c r="R4" s="6">
        <v>35</v>
      </c>
      <c r="S4" s="30">
        <v>1</v>
      </c>
      <c r="T4" s="30">
        <v>1</v>
      </c>
      <c r="U4" s="6">
        <v>0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0</v>
      </c>
      <c r="Y4" s="7">
        <v>100</v>
      </c>
      <c r="Z4" s="7">
        <v>0</v>
      </c>
      <c r="AA4" s="20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v>31</v>
      </c>
      <c r="AC4" s="5" t="str">
        <f ca="1">IFERROR(VLOOKUP($AB4,OFFSET([4]characters!$A$1,0,0,COUNTA([4]characters!$A:$A),MATCH(AC$1,[4]characters!$1:$1,0)-MATCH("character_id",[4]characters!$1:$1,0)+1),MATCH(AC$1,[4]characters!$1:$1,0)-MATCH("character_id",[4]characters!$1:$1,0)+1,FALSE),"")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4" s="5">
        <f ca="1">IFERROR(VLOOKUP($AB4,OFFSET([4]characters!$A$1,0,0,COUNTA([4]characters!$A:$A),MATCH(AD$1,[4]characters!$1:$1,0)-MATCH("character_id",[4]characters!$1:$1,0)+1),MATCH(AD$1,[4]characters!$1:$1,0)-MATCH("character_id",[4]characters!$1:$1,0)+1,FALSE),"")</f>
        <v>1</v>
      </c>
      <c r="AE4" s="5" t="str">
        <f ca="1">IFERROR(VLOOKUP($AB4,OFFSET([4]characters!$A$1,0,0,COUNTA([4]characters!$A:$A),MATCH(AE$1,[4]characters!$1:$1,0)-MATCH("character_id",[4]characters!$1:$1,0)+1),MATCH(AE$1,[4]characters!$1:$1,0)-MATCH("character_id",[4]characters!$1:$1,0)+1,FALSE),"")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4" s="8">
        <v>1</v>
      </c>
      <c r="AG4" s="27">
        <f t="shared" ref="AG4" ca="1" si="6">AD4</f>
        <v>1</v>
      </c>
      <c r="AH4" s="9">
        <v>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  <c r="AN4" s="8">
        <v>1</v>
      </c>
    </row>
    <row r="5" spans="1:40" ht="21" customHeight="1" x14ac:dyDescent="0.15">
      <c r="A5" s="17" t="str">
        <f t="shared" ca="1" si="1"/>
        <v>11001_4-1/344&lt;lv1&gt;s1</v>
      </c>
      <c r="B5" s="73">
        <v>11001</v>
      </c>
      <c r="C5" s="74">
        <v>4</v>
      </c>
      <c r="D5" s="2" t="str">
        <f t="shared" si="2"/>
        <v>11001_4</v>
      </c>
      <c r="E5" s="5" t="str">
        <f ca="1">VLOOKUP($B5,OFFSET([2]quests!$A$1,0,0,COUNTA([2]quests!$A:$A),MATCH(E$1,[2]quests!$1:$1,0)-MATCH($B$1,[2]quests!$1:$1,0)+1),MATCH(E$1,[2]quests!$1:$1,0)-MATCH($B$1,[2]quests!$1:$1,0)+1,FALSE)</f>
        <v>【月曜限定】 黄の素材</v>
      </c>
      <c r="F5" s="5" t="str">
        <f ca="1">VLOOKUP($D5,OFFSET([2]stages!$A$1,0,0,COUNTA([2]stages!$A:$A),MATCH(F$1,[2]stages!$2:$2,0)-MATCH($D$1,[2]stages!$2:$2,0)+1),MATCH(F$1,[2]stages!$2:$2,0)-MATCH($D$1,[2]stages!$2:$2,0)+1,FALSE)</f>
        <v>【上級】雷のイモムシ</v>
      </c>
      <c r="G5" s="25">
        <v>1</v>
      </c>
      <c r="H5" s="16" t="str">
        <f t="shared" si="0"/>
        <v>11001_4-1</v>
      </c>
      <c r="I5" s="5">
        <f ca="1">VLOOKUP($H5,OFFSET(floors!$A$1,0,0,COUNTA(floors!$A:$A),MATCH(I$1,floors!$1:$1,0)-MATCH($H$1,floors!$1:$1,0)+1),MATCH(I$1,floors!$1:$1,0)-MATCH($H$1,floors!$1:$1,0)+1,FALSE)</f>
        <v>30</v>
      </c>
      <c r="J5" s="5">
        <f ca="1">VLOOKUP($H5,OFFSET(floors!$A$1,0,0,COUNTA(floors!$A:$A),MATCH(J$1,floors!$1:$1,0)-MATCH($H$1,floors!$1:$1,0)+1),MATCH(J$1,floors!$1:$1,0)-MATCH($H$1,floors!$1:$1,0)+1,FALSE)</f>
        <v>45</v>
      </c>
      <c r="K5" s="24" t="s">
        <v>209</v>
      </c>
      <c r="L5" s="24">
        <v>344</v>
      </c>
      <c r="M5" s="20" t="str">
        <f ca="1">VLOOKUP($L5,OFFSET([3]enemies!$A$1,0,0,COUNTA([3]enemies!$A:$A),MATCH(M$1,[3]enemies!$1:$1,0)-MATCH($L$1,[3]enemies!$1:$1,0)+1),MATCH(M$1,[3]enemies!$1:$1,0)-MATCH($L$1,[3]enemies!$1:$1,0)+1,FALSE)</f>
        <v>雷のメタルピヨピヨ</v>
      </c>
      <c r="N5" s="20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22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15</v>
      </c>
      <c r="R5" s="6">
        <v>1</v>
      </c>
      <c r="S5" s="30">
        <v>1</v>
      </c>
      <c r="T5" s="30">
        <v>1</v>
      </c>
      <c r="U5" s="6">
        <v>0</v>
      </c>
      <c r="V5" s="5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5">
        <f ca="1">VLOOKUP($L5,OFFSET([3]enemies!$A$1,0,0,COUNTA([3]enemies!$A:$A),MATCH(W$1,[3]enemies!$1:$1,0)-MATCH($L$1,[3]enemies!$1:$1,0)+1),MATCH(W$1,[3]enemies!$1:$1,0)-MATCH($L$1,[3]enemies!$1:$1,0)+1,FALSE)</f>
        <v>0</v>
      </c>
      <c r="X5" s="7">
        <v>0</v>
      </c>
      <c r="Y5" s="7">
        <v>30</v>
      </c>
      <c r="Z5" s="7">
        <v>0</v>
      </c>
      <c r="AA5" s="20">
        <f ca="1">VLOOKUP($L5,OFFSET([3]enemies!$A$1,0,0,COUNTA([3]enemies!$A:$A),MATCH(AA$1,[3]enemies!$1:$1,0)-MATCH($L$1,[3]enemies!$1:$1,0)+1),MATCH(AA$1,[3]enemies!$1:$1,0)-MATCH($L$1,[3]enemies!$1:$1,0)+1,FALSE)</f>
        <v>1</v>
      </c>
      <c r="AB5" s="24">
        <v>344</v>
      </c>
      <c r="AC5" s="5" t="str">
        <f ca="1">IFERROR(VLOOKUP($AB5,OFFSET([4]characters!$A$1,0,0,COUNTA([4]characters!$A:$A),MATCH(AC$1,[4]characters!$1:$1,0)-MATCH("character_id",[4]characters!$1:$1,0)+1),MATCH(AC$1,[4]characters!$1:$1,0)-MATCH("character_id",[4]characters!$1:$1,0)+1,FALSE),"")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5" s="5">
        <f ca="1">IFERROR(VLOOKUP($AB5,OFFSET([4]characters!$A$1,0,0,COUNTA([4]characters!$A:$A),MATCH(AD$1,[4]characters!$1:$1,0)-MATCH("character_id",[4]characters!$1:$1,0)+1),MATCH(AD$1,[4]characters!$1:$1,0)-MATCH("character_id",[4]characters!$1:$1,0)+1,FALSE),"")</f>
        <v>3</v>
      </c>
      <c r="AE5" s="5" t="str">
        <f ca="1">IFERROR(VLOOKUP($AB5,OFFSET([4]characters!$A$1,0,0,COUNTA([4]characters!$A:$A),MATCH(AE$1,[4]characters!$1:$1,0)-MATCH("character_id",[4]characters!$1:$1,0)+1),MATCH(AE$1,[4]characters!$1:$1,0)-MATCH("character_id",[4]characters!$1:$1,0)+1,FALSE),"")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" s="8">
        <v>1</v>
      </c>
      <c r="AG5" s="27">
        <f t="shared" ca="1" si="3"/>
        <v>3</v>
      </c>
      <c r="AH5" s="9">
        <v>10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  <c r="AN5" s="8">
        <v>1</v>
      </c>
    </row>
    <row r="6" spans="1:40" ht="21" customHeight="1" x14ac:dyDescent="0.15">
      <c r="A6" s="17" t="str">
        <f t="shared" ref="A6" ca="1" si="7">B6&amp;"_"&amp;C6&amp;"-"&amp;G6&amp;"/"&amp;L6&amp;"&lt;lv"&amp;R6&amp;"&gt;s"&amp;AA6</f>
        <v>11001_4-1/345&lt;lv1&gt;s2</v>
      </c>
      <c r="B6" s="73">
        <v>11001</v>
      </c>
      <c r="C6" s="74">
        <v>4</v>
      </c>
      <c r="D6" s="2" t="str">
        <f t="shared" ref="D6" si="8">B6&amp;"_"&amp;C6</f>
        <v>11001_4</v>
      </c>
      <c r="E6" s="5" t="str">
        <f ca="1">VLOOKUP($B6,OFFSET([2]quests!$A$1,0,0,COUNTA([2]quests!$A:$A),MATCH(E$1,[2]quests!$1:$1,0)-MATCH($B$1,[2]quests!$1:$1,0)+1),MATCH(E$1,[2]quests!$1:$1,0)-MATCH($B$1,[2]quests!$1:$1,0)+1,FALSE)</f>
        <v>【月曜限定】 黄の素材</v>
      </c>
      <c r="F6" s="5" t="str">
        <f ca="1">VLOOKUP($D6,OFFSET([2]stages!$A$1,0,0,COUNTA([2]stages!$A:$A),MATCH(F$1,[2]stages!$2:$2,0)-MATCH($D$1,[2]stages!$2:$2,0)+1),MATCH(F$1,[2]stages!$2:$2,0)-MATCH($D$1,[2]stages!$2:$2,0)+1,FALSE)</f>
        <v>【上級】雷のイモムシ</v>
      </c>
      <c r="G6" s="25">
        <v>1</v>
      </c>
      <c r="H6" s="16" t="str">
        <f t="shared" si="0"/>
        <v>11001_4-1</v>
      </c>
      <c r="I6" s="5">
        <f ca="1">VLOOKUP($H6,OFFSET(floors!$A$1,0,0,COUNTA(floors!$A:$A),MATCH(I$1,floors!$1:$1,0)-MATCH($H$1,floors!$1:$1,0)+1),MATCH(I$1,floors!$1:$1,0)-MATCH($H$1,floors!$1:$1,0)+1,FALSE)</f>
        <v>30</v>
      </c>
      <c r="J6" s="5">
        <f ca="1">VLOOKUP($H6,OFFSET(floors!$A$1,0,0,COUNTA(floors!$A:$A),MATCH(J$1,floors!$1:$1,0)-MATCH($H$1,floors!$1:$1,0)+1),MATCH(J$1,floors!$1:$1,0)-MATCH($H$1,floors!$1:$1,0)+1,FALSE)</f>
        <v>45</v>
      </c>
      <c r="K6" s="24" t="s">
        <v>209</v>
      </c>
      <c r="L6" s="24">
        <v>345</v>
      </c>
      <c r="M6" s="20" t="str">
        <f ca="1">VLOOKUP($L6,OFFSET([3]enemies!$A$1,0,0,COUNTA([3]enemies!$A:$A),MATCH(M$1,[3]enemies!$1:$1,0)-MATCH($L$1,[3]enemies!$1:$1,0)+1),MATCH(M$1,[3]enemies!$1:$1,0)-MATCH($L$1,[3]enemies!$1:$1,0)+1,FALSE)</f>
        <v>雷のメタルチック</v>
      </c>
      <c r="N6" s="20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22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15</v>
      </c>
      <c r="R6" s="6">
        <v>1</v>
      </c>
      <c r="S6" s="30">
        <v>1</v>
      </c>
      <c r="T6" s="30">
        <v>1</v>
      </c>
      <c r="U6" s="6">
        <v>0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0</v>
      </c>
      <c r="Y6" s="7">
        <v>30</v>
      </c>
      <c r="Z6" s="7">
        <v>0</v>
      </c>
      <c r="AA6" s="20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v>345</v>
      </c>
      <c r="AC6" s="5" t="str">
        <f ca="1">IFERROR(VLOOKUP($AB6,OFFSET([4]characters!$A$1,0,0,COUNTA([4]characters!$A:$A),MATCH(AC$1,[4]characters!$1:$1,0)-MATCH("character_id",[4]characters!$1:$1,0)+1),MATCH(AC$1,[4]characters!$1:$1,0)-MATCH("character_id",[4]characters!$1:$1,0)+1,FALSE),"")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6" s="5">
        <f ca="1">IFERROR(VLOOKUP($AB6,OFFSET([4]characters!$A$1,0,0,COUNTA([4]characters!$A:$A),MATCH(AD$1,[4]characters!$1:$1,0)-MATCH("character_id",[4]characters!$1:$1,0)+1),MATCH(AD$1,[4]characters!$1:$1,0)-MATCH("character_id",[4]characters!$1:$1,0)+1,FALSE),"")</f>
        <v>4</v>
      </c>
      <c r="AE6" s="5" t="str">
        <f ca="1">IFERROR(VLOOKUP($AB6,OFFSET([4]characters!$A$1,0,0,COUNTA([4]characters!$A:$A),MATCH(AE$1,[4]characters!$1:$1,0)-MATCH("character_id",[4]characters!$1:$1,0)+1),MATCH(AE$1,[4]characters!$1:$1,0)-MATCH("character_id",[4]characters!$1:$1,0)+1,FALSE),"")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" s="8">
        <v>1</v>
      </c>
      <c r="AG6" s="27">
        <f t="shared" ref="AG6" ca="1" si="9">AD6</f>
        <v>4</v>
      </c>
      <c r="AH6" s="9">
        <v>5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  <c r="AN6" s="8">
        <v>1</v>
      </c>
    </row>
    <row r="7" spans="1:40" ht="21" customHeight="1" x14ac:dyDescent="0.15">
      <c r="A7" s="17" t="str">
        <f t="shared" ca="1" si="1"/>
        <v>11001_4-2/115&lt;lv30&gt;s2</v>
      </c>
      <c r="B7" s="73">
        <v>11001</v>
      </c>
      <c r="C7" s="74">
        <v>4</v>
      </c>
      <c r="D7" s="2" t="str">
        <f t="shared" si="2"/>
        <v>11001_4</v>
      </c>
      <c r="E7" s="5" t="str">
        <f ca="1">VLOOKUP($B7,OFFSET([2]quests!$A$1,0,0,COUNTA([2]quests!$A:$A),MATCH(E$1,[2]quests!$1:$1,0)-MATCH($B$1,[2]quests!$1:$1,0)+1),MATCH(E$1,[2]quests!$1:$1,0)-MATCH($B$1,[2]quests!$1:$1,0)+1,FALSE)</f>
        <v>【月曜限定】 黄の素材</v>
      </c>
      <c r="F7" s="5" t="str">
        <f ca="1">VLOOKUP($D7,OFFSET([2]stages!$A$1,0,0,COUNTA([2]stages!$A:$A),MATCH(F$1,[2]stages!$2:$2,0)-MATCH($D$1,[2]stages!$2:$2,0)+1),MATCH(F$1,[2]stages!$2:$2,0)-MATCH($D$1,[2]stages!$2:$2,0)+1,FALSE)</f>
        <v>【上級】雷のイモムシ</v>
      </c>
      <c r="G7" s="25">
        <v>2</v>
      </c>
      <c r="H7" s="16" t="str">
        <f t="shared" si="0"/>
        <v>11001_4-2</v>
      </c>
      <c r="I7" s="5">
        <f ca="1">VLOOKUP($H7,OFFSET(floors!$A$1,0,0,COUNTA(floors!$A:$A),MATCH(I$1,floors!$1:$1,0)-MATCH($H$1,floors!$1:$1,0)+1),MATCH(I$1,floors!$1:$1,0)-MATCH($H$1,floors!$1:$1,0)+1,FALSE)</f>
        <v>30</v>
      </c>
      <c r="J7" s="5">
        <f ca="1">VLOOKUP($H7,OFFSET(floors!$A$1,0,0,COUNTA(floors!$A:$A),MATCH(J$1,floors!$1:$1,0)-MATCH($H$1,floors!$1:$1,0)+1),MATCH(J$1,floors!$1:$1,0)-MATCH($H$1,floors!$1:$1,0)+1,FALSE)</f>
        <v>45</v>
      </c>
      <c r="K7" s="24" t="s">
        <v>209</v>
      </c>
      <c r="L7" s="24">
        <v>115</v>
      </c>
      <c r="M7" s="20" t="str">
        <f ca="1">VLOOKUP($L7,OFFSET([3]enemies!$A$1,0,0,COUNTA([3]enemies!$A:$A),MATCH(M$1,[3]enemies!$1:$1,0)-MATCH($L$1,[3]enemies!$1:$1,0)+1),MATCH(M$1,[3]enemies!$1:$1,0)-MATCH($L$1,[3]enemies!$1:$1,0)+1,FALSE)</f>
        <v>イエローキャタップ</v>
      </c>
      <c r="N7" s="20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22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15</v>
      </c>
      <c r="R7" s="6">
        <v>30</v>
      </c>
      <c r="S7" s="30">
        <v>2</v>
      </c>
      <c r="T7" s="30">
        <v>1</v>
      </c>
      <c r="U7" s="6">
        <v>0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1</v>
      </c>
      <c r="Y7" s="7">
        <v>100</v>
      </c>
      <c r="Z7" s="7">
        <v>1</v>
      </c>
      <c r="AA7" s="20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v>115</v>
      </c>
      <c r="AC7" s="5" t="str">
        <f ca="1">IFERROR(VLOOKUP($AB7,OFFSET([4]characters!$A$1,0,0,COUNTA([4]characters!$A:$A),MATCH(AC$1,[4]characters!$1:$1,0)-MATCH("character_id",[4]characters!$1:$1,0)+1),MATCH(AC$1,[4]characters!$1:$1,0)-MATCH("character_id",[4]characters!$1:$1,0)+1,FALSE),"")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7" s="5">
        <f ca="1">IFERROR(VLOOKUP($AB7,OFFSET([4]characters!$A$1,0,0,COUNTA([4]characters!$A:$A),MATCH(AD$1,[4]characters!$1:$1,0)-MATCH("character_id",[4]characters!$1:$1,0)+1),MATCH(AD$1,[4]characters!$1:$1,0)-MATCH("character_id",[4]characters!$1:$1,0)+1,FALSE),"")</f>
        <v>4</v>
      </c>
      <c r="AE7" s="5" t="str">
        <f ca="1">IFERROR(VLOOKUP($AB7,OFFSET([4]characters!$A$1,0,0,COUNTA([4]characters!$A:$A),MATCH(AE$1,[4]characters!$1:$1,0)-MATCH("character_id",[4]characters!$1:$1,0)+1),MATCH(AE$1,[4]characters!$1:$1,0)-MATCH("character_id",[4]characters!$1:$1,0)+1,FALSE),"")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" s="8">
        <v>1</v>
      </c>
      <c r="AG7" s="27">
        <f t="shared" ca="1" si="3"/>
        <v>4</v>
      </c>
      <c r="AH7" s="130">
        <v>50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  <c r="AN7" s="8">
        <v>1</v>
      </c>
    </row>
    <row r="8" spans="1:40" ht="21" customHeight="1" x14ac:dyDescent="0.15">
      <c r="A8" s="17" t="str">
        <f t="shared" ref="A8:A12" ca="1" si="10">B8&amp;"_"&amp;C8&amp;"-"&amp;G8&amp;"/"&amp;L8&amp;"&lt;lv"&amp;R8&amp;"&gt;s"&amp;AA8</f>
        <v>11001_4-2/39&lt;lv35&gt;s3</v>
      </c>
      <c r="B8" s="73">
        <v>11001</v>
      </c>
      <c r="C8" s="74">
        <v>4</v>
      </c>
      <c r="D8" s="2" t="str">
        <f t="shared" ref="D8:D12" si="11">B8&amp;"_"&amp;C8</f>
        <v>11001_4</v>
      </c>
      <c r="E8" s="5" t="str">
        <f ca="1">VLOOKUP($B8,OFFSET([2]quests!$A$1,0,0,COUNTA([2]quests!$A:$A),MATCH(E$1,[2]quests!$1:$1,0)-MATCH($B$1,[2]quests!$1:$1,0)+1),MATCH(E$1,[2]quests!$1:$1,0)-MATCH($B$1,[2]quests!$1:$1,0)+1,FALSE)</f>
        <v>【月曜限定】 黄の素材</v>
      </c>
      <c r="F8" s="5" t="str">
        <f ca="1">VLOOKUP($D8,OFFSET([2]stages!$A$1,0,0,COUNTA([2]stages!$A:$A),MATCH(F$1,[2]stages!$2:$2,0)-MATCH($D$1,[2]stages!$2:$2,0)+1),MATCH(F$1,[2]stages!$2:$2,0)-MATCH($D$1,[2]stages!$2:$2,0)+1,FALSE)</f>
        <v>【上級】雷のイモムシ</v>
      </c>
      <c r="G8" s="25">
        <v>2</v>
      </c>
      <c r="H8" s="16" t="str">
        <f t="shared" si="0"/>
        <v>11001_4-2</v>
      </c>
      <c r="I8" s="5">
        <f ca="1">VLOOKUP($H8,OFFSET(floors!$A$1,0,0,COUNTA(floors!$A:$A),MATCH(I$1,floors!$1:$1,0)-MATCH($H$1,floors!$1:$1,0)+1),MATCH(I$1,floors!$1:$1,0)-MATCH($H$1,floors!$1:$1,0)+1,FALSE)</f>
        <v>30</v>
      </c>
      <c r="J8" s="5">
        <f ca="1">VLOOKUP($H8,OFFSET(floors!$A$1,0,0,COUNTA(floors!$A:$A),MATCH(J$1,floors!$1:$1,0)-MATCH($H$1,floors!$1:$1,0)+1),MATCH(J$1,floors!$1:$1,0)-MATCH($H$1,floors!$1:$1,0)+1,FALSE)</f>
        <v>45</v>
      </c>
      <c r="K8" s="24" t="s">
        <v>209</v>
      </c>
      <c r="L8" s="24">
        <v>39</v>
      </c>
      <c r="M8" s="20" t="str">
        <f ca="1">VLOOKUP($L8,OFFSET([3]enemies!$A$1,0,0,COUNTA([3]enemies!$A:$A),MATCH(M$1,[3]enemies!$1:$1,0)-MATCH($L$1,[3]enemies!$1:$1,0)+1),MATCH(M$1,[3]enemies!$1:$1,0)-MATCH($L$1,[3]enemies!$1:$1,0)+1,FALSE)</f>
        <v>マーロン</v>
      </c>
      <c r="N8" s="20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22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20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20">
        <f ca="1">VLOOKUP($L8,OFFSET([3]enemies!$A$1,0,0,COUNTA([3]enemies!$A:$A),MATCH(Q$1,[3]enemies!$1:$1,0)-MATCH($L$1,[3]enemies!$1:$1,0)+1),MATCH(Q$1,[3]enemies!$1:$1,0)-MATCH($L$1,[3]enemies!$1:$1,0)+1,FALSE)</f>
        <v>15</v>
      </c>
      <c r="R8" s="6">
        <v>35</v>
      </c>
      <c r="S8" s="30">
        <v>1</v>
      </c>
      <c r="T8" s="30">
        <v>1</v>
      </c>
      <c r="U8" s="6">
        <v>0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8" s="5">
        <f ca="1">VLOOKUP($L8,OFFSET([3]enemies!$A$1,0,0,COUNTA([3]enemies!$A:$A),MATCH(W$1,[3]enemies!$1:$1,0)-MATCH($L$1,[3]enemies!$1:$1,0)+1),MATCH(W$1,[3]enemies!$1:$1,0)-MATCH($L$1,[3]enemies!$1:$1,0)+1,FALSE)</f>
        <v>39</v>
      </c>
      <c r="X8" s="7">
        <v>0</v>
      </c>
      <c r="Y8" s="7">
        <v>100</v>
      </c>
      <c r="Z8" s="7">
        <v>0</v>
      </c>
      <c r="AA8" s="20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v>39</v>
      </c>
      <c r="AC8" s="5" t="str">
        <f ca="1">IFERROR(VLOOKUP($AB8,OFFSET([4]characters!$A$1,0,0,COUNTA([4]characters!$A:$A),MATCH(AC$1,[4]characters!$1:$1,0)-MATCH("character_id",[4]characters!$1:$1,0)+1),MATCH(AC$1,[4]characters!$1:$1,0)-MATCH("character_id",[4]characters!$1:$1,0)+1,FALSE),"")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8" s="5">
        <f ca="1">IFERROR(VLOOKUP($AB8,OFFSET([4]characters!$A$1,0,0,COUNTA([4]characters!$A:$A),MATCH(AD$1,[4]characters!$1:$1,0)-MATCH("character_id",[4]characters!$1:$1,0)+1),MATCH(AD$1,[4]characters!$1:$1,0)-MATCH("character_id",[4]characters!$1:$1,0)+1,FALSE),"")</f>
        <v>2</v>
      </c>
      <c r="AE8" s="5" t="str">
        <f ca="1">IFERROR(VLOOKUP($AB8,OFFSET([4]characters!$A$1,0,0,COUNTA([4]characters!$A:$A),MATCH(AE$1,[4]characters!$1:$1,0)-MATCH("character_id",[4]characters!$1:$1,0)+1),MATCH(AE$1,[4]characters!$1:$1,0)-MATCH("character_id",[4]characters!$1:$1,0)+1,FALSE),"")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8" s="8">
        <v>1</v>
      </c>
      <c r="AG8" s="27">
        <f t="shared" ref="AG8:AG12" ca="1" si="12">AD8</f>
        <v>2</v>
      </c>
      <c r="AH8" s="9">
        <v>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  <c r="AN8" s="8">
        <v>1</v>
      </c>
    </row>
    <row r="9" spans="1:40" ht="23" customHeight="1" x14ac:dyDescent="0.15">
      <c r="A9" s="17" t="str">
        <f t="shared" ref="A9:A11" ca="1" si="13">B9&amp;"_"&amp;C9&amp;"-"&amp;G9&amp;"/"&amp;L9&amp;"&lt;lv"&amp;R9&amp;"&gt;s"&amp;AA9</f>
        <v>11001_4-2/31&lt;lv35&gt;s2</v>
      </c>
      <c r="B9" s="73">
        <v>11001</v>
      </c>
      <c r="C9" s="74">
        <v>4</v>
      </c>
      <c r="D9" s="2" t="str">
        <f t="shared" ref="D9:D11" si="14">B9&amp;"_"&amp;C9</f>
        <v>11001_4</v>
      </c>
      <c r="E9" s="5" t="str">
        <f ca="1">VLOOKUP($B9,OFFSET([2]quests!$A$1,0,0,COUNTA([2]quests!$A:$A),MATCH(E$1,[2]quests!$1:$1,0)-MATCH($B$1,[2]quests!$1:$1,0)+1),MATCH(E$1,[2]quests!$1:$1,0)-MATCH($B$1,[2]quests!$1:$1,0)+1,FALSE)</f>
        <v>【月曜限定】 黄の素材</v>
      </c>
      <c r="F9" s="5" t="str">
        <f ca="1">VLOOKUP($D9,OFFSET([2]stages!$A$1,0,0,COUNTA([2]stages!$A:$A),MATCH(F$1,[2]stages!$2:$2,0)-MATCH($D$1,[2]stages!$2:$2,0)+1),MATCH(F$1,[2]stages!$2:$2,0)-MATCH($D$1,[2]stages!$2:$2,0)+1,FALSE)</f>
        <v>【上級】雷のイモムシ</v>
      </c>
      <c r="G9" s="25">
        <v>2</v>
      </c>
      <c r="H9" s="16" t="str">
        <f t="shared" si="0"/>
        <v>11001_4-2</v>
      </c>
      <c r="I9" s="5">
        <f ca="1">VLOOKUP($H9,OFFSET(floors!$A$1,0,0,COUNTA(floors!$A:$A),MATCH(I$1,floors!$1:$1,0)-MATCH($H$1,floors!$1:$1,0)+1),MATCH(I$1,floors!$1:$1,0)-MATCH($H$1,floors!$1:$1,0)+1,FALSE)</f>
        <v>30</v>
      </c>
      <c r="J9" s="5">
        <f ca="1">VLOOKUP($H9,OFFSET(floors!$A$1,0,0,COUNTA(floors!$A:$A),MATCH(J$1,floors!$1:$1,0)-MATCH($H$1,floors!$1:$1,0)+1),MATCH(J$1,floors!$1:$1,0)-MATCH($H$1,floors!$1:$1,0)+1,FALSE)</f>
        <v>45</v>
      </c>
      <c r="K9" s="24" t="s">
        <v>209</v>
      </c>
      <c r="L9" s="24">
        <v>31</v>
      </c>
      <c r="M9" s="20" t="str">
        <f ca="1">VLOOKUP($L9,OFFSET([3]enemies!$A$1,0,0,COUNTA([3]enemies!$A:$A),MATCH(M$1,[3]enemies!$1:$1,0)-MATCH($L$1,[3]enemies!$1:$1,0)+1),MATCH(M$1,[3]enemies!$1:$1,0)-MATCH($L$1,[3]enemies!$1:$1,0)+1,FALSE)</f>
        <v>マービー</v>
      </c>
      <c r="N9" s="20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22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20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20">
        <f ca="1">VLOOKUP($L9,OFFSET([3]enemies!$A$1,0,0,COUNTA([3]enemies!$A:$A),MATCH(Q$1,[3]enemies!$1:$1,0)-MATCH($L$1,[3]enemies!$1:$1,0)+1),MATCH(Q$1,[3]enemies!$1:$1,0)-MATCH($L$1,[3]enemies!$1:$1,0)+1,FALSE)</f>
        <v>15</v>
      </c>
      <c r="R9" s="6">
        <v>35</v>
      </c>
      <c r="S9" s="30">
        <v>1</v>
      </c>
      <c r="T9" s="30">
        <v>1</v>
      </c>
      <c r="U9" s="6">
        <v>0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0</v>
      </c>
      <c r="Y9" s="7">
        <v>100</v>
      </c>
      <c r="Z9" s="7">
        <v>0</v>
      </c>
      <c r="AA9" s="20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v>31</v>
      </c>
      <c r="AC9" s="5" t="str">
        <f ca="1">IFERROR(VLOOKUP($AB9,OFFSET([4]characters!$A$1,0,0,COUNTA([4]characters!$A:$A),MATCH(AC$1,[4]characters!$1:$1,0)-MATCH("character_id",[4]characters!$1:$1,0)+1),MATCH(AC$1,[4]characters!$1:$1,0)-MATCH("character_id",[4]characters!$1:$1,0)+1,FALSE),"")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9" s="5">
        <f ca="1">IFERROR(VLOOKUP($AB9,OFFSET([4]characters!$A$1,0,0,COUNTA([4]characters!$A:$A),MATCH(AD$1,[4]characters!$1:$1,0)-MATCH("character_id",[4]characters!$1:$1,0)+1),MATCH(AD$1,[4]characters!$1:$1,0)-MATCH("character_id",[4]characters!$1:$1,0)+1,FALSE),"")</f>
        <v>1</v>
      </c>
      <c r="AE9" s="5" t="str">
        <f ca="1">IFERROR(VLOOKUP($AB9,OFFSET([4]characters!$A$1,0,0,COUNTA([4]characters!$A:$A),MATCH(AE$1,[4]characters!$1:$1,0)-MATCH("character_id",[4]characters!$1:$1,0)+1),MATCH(AE$1,[4]characters!$1:$1,0)-MATCH("character_id",[4]characters!$1:$1,0)+1,FALSE),"")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9" s="8">
        <v>1</v>
      </c>
      <c r="AG9" s="27">
        <f t="shared" ref="AG9:AG11" ca="1" si="15">AD9</f>
        <v>1</v>
      </c>
      <c r="AH9" s="9">
        <v>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  <c r="AN9" s="8">
        <v>1</v>
      </c>
    </row>
    <row r="10" spans="1:40" ht="21" customHeight="1" x14ac:dyDescent="0.15">
      <c r="A10" s="17" t="str">
        <f t="shared" ca="1" si="13"/>
        <v>11001_4-2/344&lt;lv1&gt;s1</v>
      </c>
      <c r="B10" s="73">
        <v>11001</v>
      </c>
      <c r="C10" s="74">
        <v>4</v>
      </c>
      <c r="D10" s="2" t="str">
        <f t="shared" si="14"/>
        <v>11001_4</v>
      </c>
      <c r="E10" s="5" t="str">
        <f ca="1">VLOOKUP($B10,OFFSET([2]quests!$A$1,0,0,COUNTA([2]quests!$A:$A),MATCH(E$1,[2]quests!$1:$1,0)-MATCH($B$1,[2]quests!$1:$1,0)+1),MATCH(E$1,[2]quests!$1:$1,0)-MATCH($B$1,[2]quests!$1:$1,0)+1,FALSE)</f>
        <v>【月曜限定】 黄の素材</v>
      </c>
      <c r="F10" s="5" t="str">
        <f ca="1">VLOOKUP($D10,OFFSET([2]stages!$A$1,0,0,COUNTA([2]stages!$A:$A),MATCH(F$1,[2]stages!$2:$2,0)-MATCH($D$1,[2]stages!$2:$2,0)+1),MATCH(F$1,[2]stages!$2:$2,0)-MATCH($D$1,[2]stages!$2:$2,0)+1,FALSE)</f>
        <v>【上級】雷のイモムシ</v>
      </c>
      <c r="G10" s="25">
        <v>2</v>
      </c>
      <c r="H10" s="16" t="str">
        <f t="shared" si="0"/>
        <v>11001_4-2</v>
      </c>
      <c r="I10" s="5">
        <f ca="1">VLOOKUP($H10,OFFSET(floors!$A$1,0,0,COUNTA(floors!$A:$A),MATCH(I$1,floors!$1:$1,0)-MATCH($H$1,floors!$1:$1,0)+1),MATCH(I$1,floors!$1:$1,0)-MATCH($H$1,floors!$1:$1,0)+1,FALSE)</f>
        <v>30</v>
      </c>
      <c r="J10" s="5">
        <f ca="1">VLOOKUP($H10,OFFSET(floors!$A$1,0,0,COUNTA(floors!$A:$A),MATCH(J$1,floors!$1:$1,0)-MATCH($H$1,floors!$1:$1,0)+1),MATCH(J$1,floors!$1:$1,0)-MATCH($H$1,floors!$1:$1,0)+1,FALSE)</f>
        <v>45</v>
      </c>
      <c r="K10" s="24" t="s">
        <v>209</v>
      </c>
      <c r="L10" s="24">
        <v>344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雷のメタルピヨピヨ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22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15</v>
      </c>
      <c r="R10" s="6">
        <v>1</v>
      </c>
      <c r="S10" s="30">
        <v>1</v>
      </c>
      <c r="T10" s="30">
        <v>1</v>
      </c>
      <c r="U10" s="6">
        <v>0</v>
      </c>
      <c r="V10" s="5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5">
        <f ca="1">VLOOKUP($L10,OFFSET([3]enemies!$A$1,0,0,COUNTA([3]enemies!$A:$A),MATCH(W$1,[3]enemies!$1:$1,0)-MATCH($L$1,[3]enemies!$1:$1,0)+1),MATCH(W$1,[3]enemies!$1:$1,0)-MATCH($L$1,[3]enemies!$1:$1,0)+1,FALSE)</f>
        <v>0</v>
      </c>
      <c r="X10" s="7">
        <v>0</v>
      </c>
      <c r="Y10" s="7">
        <v>30</v>
      </c>
      <c r="Z10" s="7">
        <v>0</v>
      </c>
      <c r="AA10" s="20">
        <f ca="1">VLOOKUP($L10,OFFSET([3]enemies!$A$1,0,0,COUNTA([3]enemies!$A:$A),MATCH(AA$1,[3]enemies!$1:$1,0)-MATCH($L$1,[3]enemies!$1:$1,0)+1),MATCH(AA$1,[3]enemies!$1:$1,0)-MATCH($L$1,[3]enemies!$1:$1,0)+1,FALSE)</f>
        <v>1</v>
      </c>
      <c r="AB10" s="24">
        <v>344</v>
      </c>
      <c r="AC10" s="5" t="str">
        <f ca="1">IFERROR(VLOOKUP($AB10,OFFSET([4]characters!$A$1,0,0,COUNTA([4]characters!$A:$A),MATCH(AC$1,[4]characters!$1:$1,0)-MATCH("character_id",[4]characters!$1:$1,0)+1),MATCH(AC$1,[4]characters!$1:$1,0)-MATCH("character_id",[4]characters!$1:$1,0)+1,FALSE),"")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0" s="5">
        <f ca="1">IFERROR(VLOOKUP($AB10,OFFSET([4]characters!$A$1,0,0,COUNTA([4]characters!$A:$A),MATCH(AD$1,[4]characters!$1:$1,0)-MATCH("character_id",[4]characters!$1:$1,0)+1),MATCH(AD$1,[4]characters!$1:$1,0)-MATCH("character_id",[4]characters!$1:$1,0)+1,FALSE),"")</f>
        <v>3</v>
      </c>
      <c r="AE10" s="5" t="str">
        <f ca="1">IFERROR(VLOOKUP($AB10,OFFSET([4]characters!$A$1,0,0,COUNTA([4]characters!$A:$A),MATCH(AE$1,[4]characters!$1:$1,0)-MATCH("character_id",[4]characters!$1:$1,0)+1),MATCH(AE$1,[4]characters!$1:$1,0)-MATCH("character_id",[4]characters!$1:$1,0)+1,FALSE),"")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" s="8">
        <v>1</v>
      </c>
      <c r="AG10" s="27">
        <f t="shared" ca="1" si="15"/>
        <v>3</v>
      </c>
      <c r="AH10" s="9">
        <v>10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  <c r="AN10" s="8">
        <v>1</v>
      </c>
    </row>
    <row r="11" spans="1:40" ht="21" customHeight="1" x14ac:dyDescent="0.15">
      <c r="A11" s="17" t="str">
        <f t="shared" ca="1" si="13"/>
        <v>11001_4-2/345&lt;lv1&gt;s2</v>
      </c>
      <c r="B11" s="73">
        <v>11001</v>
      </c>
      <c r="C11" s="74">
        <v>4</v>
      </c>
      <c r="D11" s="2" t="str">
        <f t="shared" si="14"/>
        <v>11001_4</v>
      </c>
      <c r="E11" s="5" t="str">
        <f ca="1">VLOOKUP($B11,OFFSET([2]quests!$A$1,0,0,COUNTA([2]quests!$A:$A),MATCH(E$1,[2]quests!$1:$1,0)-MATCH($B$1,[2]quests!$1:$1,0)+1),MATCH(E$1,[2]quests!$1:$1,0)-MATCH($B$1,[2]quests!$1:$1,0)+1,FALSE)</f>
        <v>【月曜限定】 黄の素材</v>
      </c>
      <c r="F11" s="5" t="str">
        <f ca="1">VLOOKUP($D11,OFFSET([2]stages!$A$1,0,0,COUNTA([2]stages!$A:$A),MATCH(F$1,[2]stages!$2:$2,0)-MATCH($D$1,[2]stages!$2:$2,0)+1),MATCH(F$1,[2]stages!$2:$2,0)-MATCH($D$1,[2]stages!$2:$2,0)+1,FALSE)</f>
        <v>【上級】雷のイモムシ</v>
      </c>
      <c r="G11" s="25">
        <v>2</v>
      </c>
      <c r="H11" s="16" t="str">
        <f t="shared" si="0"/>
        <v>11001_4-2</v>
      </c>
      <c r="I11" s="5">
        <f ca="1">VLOOKUP($H11,OFFSET(floors!$A$1,0,0,COUNTA(floors!$A:$A),MATCH(I$1,floors!$1:$1,0)-MATCH($H$1,floors!$1:$1,0)+1),MATCH(I$1,floors!$1:$1,0)-MATCH($H$1,floors!$1:$1,0)+1,FALSE)</f>
        <v>30</v>
      </c>
      <c r="J11" s="5">
        <f ca="1">VLOOKUP($H11,OFFSET(floors!$A$1,0,0,COUNTA(floors!$A:$A),MATCH(J$1,floors!$1:$1,0)-MATCH($H$1,floors!$1:$1,0)+1),MATCH(J$1,floors!$1:$1,0)-MATCH($H$1,floors!$1:$1,0)+1,FALSE)</f>
        <v>45</v>
      </c>
      <c r="K11" s="24" t="s">
        <v>209</v>
      </c>
      <c r="L11" s="24">
        <v>345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雷のメタルチック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22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15</v>
      </c>
      <c r="R11" s="6">
        <v>1</v>
      </c>
      <c r="S11" s="30">
        <v>1</v>
      </c>
      <c r="T11" s="30">
        <v>1</v>
      </c>
      <c r="U11" s="6">
        <v>0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30</v>
      </c>
      <c r="Z11" s="7">
        <v>0</v>
      </c>
      <c r="AA11" s="20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v>345</v>
      </c>
      <c r="AC11" s="5" t="str">
        <f ca="1">IFERROR(VLOOKUP($AB11,OFFSET([4]characters!$A$1,0,0,COUNTA([4]characters!$A:$A),MATCH(AC$1,[4]characters!$1:$1,0)-MATCH("character_id",[4]characters!$1:$1,0)+1),MATCH(AC$1,[4]characters!$1:$1,0)-MATCH("character_id",[4]characters!$1:$1,0)+1,FALSE),"")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1" s="5">
        <f ca="1">IFERROR(VLOOKUP($AB11,OFFSET([4]characters!$A$1,0,0,COUNTA([4]characters!$A:$A),MATCH(AD$1,[4]characters!$1:$1,0)-MATCH("character_id",[4]characters!$1:$1,0)+1),MATCH(AD$1,[4]characters!$1:$1,0)-MATCH("character_id",[4]characters!$1:$1,0)+1,FALSE),"")</f>
        <v>4</v>
      </c>
      <c r="AE11" s="5" t="str">
        <f ca="1">IFERROR(VLOOKUP($AB11,OFFSET([4]characters!$A$1,0,0,COUNTA([4]characters!$A:$A),MATCH(AE$1,[4]characters!$1:$1,0)-MATCH("character_id",[4]characters!$1:$1,0)+1),MATCH(AE$1,[4]characters!$1:$1,0)-MATCH("character_id",[4]characters!$1:$1,0)+1,FALSE),"")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" s="8">
        <v>1</v>
      </c>
      <c r="AG11" s="27">
        <f t="shared" ca="1" si="15"/>
        <v>4</v>
      </c>
      <c r="AH11" s="9">
        <v>5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  <c r="AN11" s="8">
        <v>1</v>
      </c>
    </row>
    <row r="12" spans="1:40" ht="21" customHeight="1" x14ac:dyDescent="0.15">
      <c r="A12" s="17" t="str">
        <f t="shared" ca="1" si="10"/>
        <v>11001_4-3/115&lt;lv30&gt;s2</v>
      </c>
      <c r="B12" s="73">
        <v>11001</v>
      </c>
      <c r="C12" s="74">
        <v>4</v>
      </c>
      <c r="D12" s="2" t="str">
        <f t="shared" si="11"/>
        <v>11001_4</v>
      </c>
      <c r="E12" s="5" t="str">
        <f ca="1">VLOOKUP($B12,OFFSET([2]quests!$A$1,0,0,COUNTA([2]quests!$A:$A),MATCH(E$1,[2]quests!$1:$1,0)-MATCH($B$1,[2]quests!$1:$1,0)+1),MATCH(E$1,[2]quests!$1:$1,0)-MATCH($B$1,[2]quests!$1:$1,0)+1,FALSE)</f>
        <v>【月曜限定】 黄の素材</v>
      </c>
      <c r="F12" s="5" t="str">
        <f ca="1">VLOOKUP($D12,OFFSET([2]stages!$A$1,0,0,COUNTA([2]stages!$A:$A),MATCH(F$1,[2]stages!$2:$2,0)-MATCH($D$1,[2]stages!$2:$2,0)+1),MATCH(F$1,[2]stages!$2:$2,0)-MATCH($D$1,[2]stages!$2:$2,0)+1,FALSE)</f>
        <v>【上級】雷のイモムシ</v>
      </c>
      <c r="G12" s="25">
        <v>3</v>
      </c>
      <c r="H12" s="16" t="str">
        <f t="shared" si="0"/>
        <v>11001_4-3</v>
      </c>
      <c r="I12" s="5">
        <f ca="1">VLOOKUP($H12,OFFSET(floors!$A$1,0,0,COUNTA(floors!$A:$A),MATCH(I$1,floors!$1:$1,0)-MATCH($H$1,floors!$1:$1,0)+1),MATCH(I$1,floors!$1:$1,0)-MATCH($H$1,floors!$1:$1,0)+1,FALSE)</f>
        <v>45</v>
      </c>
      <c r="J12" s="5">
        <f ca="1">VLOOKUP($H12,OFFSET(floors!$A$1,0,0,COUNTA(floors!$A:$A),MATCH(J$1,floors!$1:$1,0)-MATCH($H$1,floors!$1:$1,0)+1),MATCH(J$1,floors!$1:$1,0)-MATCH($H$1,floors!$1:$1,0)+1,FALSE)</f>
        <v>45</v>
      </c>
      <c r="K12" s="24" t="s">
        <v>209</v>
      </c>
      <c r="L12" s="24">
        <v>115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イエローキャタップ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22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6">
        <v>30</v>
      </c>
      <c r="S12" s="30">
        <v>2</v>
      </c>
      <c r="T12" s="30">
        <v>1</v>
      </c>
      <c r="U12" s="6">
        <v>0</v>
      </c>
      <c r="V12" s="5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5">
        <f ca="1">VLOOKUP($L12,OFFSET([3]enemies!$A$1,0,0,COUNTA([3]enemies!$A:$A),MATCH(W$1,[3]enemies!$1:$1,0)-MATCH($L$1,[3]enemies!$1:$1,0)+1),MATCH(W$1,[3]enemies!$1:$1,0)-MATCH($L$1,[3]enemies!$1:$1,0)+1,FALSE)</f>
        <v>0</v>
      </c>
      <c r="X12" s="7">
        <v>1</v>
      </c>
      <c r="Y12" s="7">
        <v>100</v>
      </c>
      <c r="Z12" s="7">
        <v>1</v>
      </c>
      <c r="AA12" s="20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v>115</v>
      </c>
      <c r="AC12" s="5" t="str">
        <f ca="1">IFERROR(VLOOKUP($AB12,OFFSET([4]characters!$A$1,0,0,COUNTA([4]characters!$A:$A),MATCH(AC$1,[4]characters!$1:$1,0)-MATCH("character_id",[4]characters!$1:$1,0)+1),MATCH(AC$1,[4]characters!$1:$1,0)-MATCH("character_id",[4]characters!$1:$1,0)+1,FALSE),"")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2" s="5">
        <f ca="1">IFERROR(VLOOKUP($AB12,OFFSET([4]characters!$A$1,0,0,COUNTA([4]characters!$A:$A),MATCH(AD$1,[4]characters!$1:$1,0)-MATCH("character_id",[4]characters!$1:$1,0)+1),MATCH(AD$1,[4]characters!$1:$1,0)-MATCH("character_id",[4]characters!$1:$1,0)+1,FALSE),"")</f>
        <v>4</v>
      </c>
      <c r="AE12" s="5" t="str">
        <f ca="1">IFERROR(VLOOKUP($AB12,OFFSET([4]characters!$A$1,0,0,COUNTA([4]characters!$A:$A),MATCH(AE$1,[4]characters!$1:$1,0)-MATCH("character_id",[4]characters!$1:$1,0)+1),MATCH(AE$1,[4]characters!$1:$1,0)-MATCH("character_id",[4]characters!$1:$1,0)+1,FALSE),"")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" s="8">
        <v>1</v>
      </c>
      <c r="AG12" s="27">
        <f t="shared" ca="1" si="12"/>
        <v>4</v>
      </c>
      <c r="AH12" s="9">
        <v>50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  <c r="AN12" s="8">
        <v>1</v>
      </c>
    </row>
    <row r="13" spans="1:40" ht="21" customHeight="1" x14ac:dyDescent="0.15">
      <c r="A13" s="17" t="str">
        <f t="shared" ref="A13:A17" ca="1" si="16">B13&amp;"_"&amp;C13&amp;"-"&amp;G13&amp;"/"&amp;L13&amp;"&lt;lv"&amp;R13&amp;"&gt;s"&amp;AA13</f>
        <v>11001_4-3/39&lt;lv35&gt;s3</v>
      </c>
      <c r="B13" s="73">
        <v>11001</v>
      </c>
      <c r="C13" s="74">
        <v>4</v>
      </c>
      <c r="D13" s="2" t="str">
        <f t="shared" ref="D13:D17" si="17">B13&amp;"_"&amp;C13</f>
        <v>11001_4</v>
      </c>
      <c r="E13" s="5" t="str">
        <f ca="1">VLOOKUP($B13,OFFSET([2]quests!$A$1,0,0,COUNTA([2]quests!$A:$A),MATCH(E$1,[2]quests!$1:$1,0)-MATCH($B$1,[2]quests!$1:$1,0)+1),MATCH(E$1,[2]quests!$1:$1,0)-MATCH($B$1,[2]quests!$1:$1,0)+1,FALSE)</f>
        <v>【月曜限定】 黄の素材</v>
      </c>
      <c r="F13" s="5" t="str">
        <f ca="1">VLOOKUP($D13,OFFSET([2]stages!$A$1,0,0,COUNTA([2]stages!$A:$A),MATCH(F$1,[2]stages!$2:$2,0)-MATCH($D$1,[2]stages!$2:$2,0)+1),MATCH(F$1,[2]stages!$2:$2,0)-MATCH($D$1,[2]stages!$2:$2,0)+1,FALSE)</f>
        <v>【上級】雷のイモムシ</v>
      </c>
      <c r="G13" s="25">
        <v>3</v>
      </c>
      <c r="H13" s="16" t="str">
        <f t="shared" si="0"/>
        <v>11001_4-3</v>
      </c>
      <c r="I13" s="5">
        <f ca="1">VLOOKUP($H13,OFFSET(floors!$A$1,0,0,COUNTA(floors!$A:$A),MATCH(I$1,floors!$1:$1,0)-MATCH($H$1,floors!$1:$1,0)+1),MATCH(I$1,floors!$1:$1,0)-MATCH($H$1,floors!$1:$1,0)+1,FALSE)</f>
        <v>45</v>
      </c>
      <c r="J13" s="5">
        <f ca="1">VLOOKUP($H13,OFFSET(floors!$A$1,0,0,COUNTA(floors!$A:$A),MATCH(J$1,floors!$1:$1,0)-MATCH($H$1,floors!$1:$1,0)+1),MATCH(J$1,floors!$1:$1,0)-MATCH($H$1,floors!$1:$1,0)+1,FALSE)</f>
        <v>45</v>
      </c>
      <c r="K13" s="24" t="s">
        <v>209</v>
      </c>
      <c r="L13" s="24">
        <v>39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マーロン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22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20">
        <f ca="1">VLOOKUP($L13,OFFSET([3]enemies!$A$1,0,0,COUNTA([3]enemies!$A:$A),MATCH(Q$1,[3]enemies!$1:$1,0)-MATCH($L$1,[3]enemies!$1:$1,0)+1),MATCH(Q$1,[3]enemies!$1:$1,0)-MATCH($L$1,[3]enemies!$1:$1,0)+1,FALSE)</f>
        <v>15</v>
      </c>
      <c r="R13" s="6">
        <v>35</v>
      </c>
      <c r="S13" s="30">
        <v>1</v>
      </c>
      <c r="T13" s="30">
        <v>1</v>
      </c>
      <c r="U13" s="6">
        <v>0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3" s="5">
        <f ca="1">VLOOKUP($L13,OFFSET([3]enemies!$A$1,0,0,COUNTA([3]enemies!$A:$A),MATCH(W$1,[3]enemies!$1:$1,0)-MATCH($L$1,[3]enemies!$1:$1,0)+1),MATCH(W$1,[3]enemies!$1:$1,0)-MATCH($L$1,[3]enemies!$1:$1,0)+1,FALSE)</f>
        <v>39</v>
      </c>
      <c r="X13" s="7">
        <v>0</v>
      </c>
      <c r="Y13" s="7">
        <v>100</v>
      </c>
      <c r="Z13" s="7">
        <v>0</v>
      </c>
      <c r="AA13" s="20">
        <f ca="1">VLOOKUP($L13,OFFSET([3]enemies!$A$1,0,0,COUNTA([3]enemies!$A:$A),MATCH(AA$1,[3]enemies!$1:$1,0)-MATCH($L$1,[3]enemies!$1:$1,0)+1),MATCH(AA$1,[3]enemies!$1:$1,0)-MATCH($L$1,[3]enemies!$1:$1,0)+1,FALSE)</f>
        <v>3</v>
      </c>
      <c r="AB13" s="24">
        <v>39</v>
      </c>
      <c r="AC13" s="5" t="str">
        <f ca="1">IFERROR(VLOOKUP($AB13,OFFSET([4]characters!$A$1,0,0,COUNTA([4]characters!$A:$A),MATCH(AC$1,[4]characters!$1:$1,0)-MATCH("character_id",[4]characters!$1:$1,0)+1),MATCH(AC$1,[4]characters!$1:$1,0)-MATCH("character_id",[4]characters!$1:$1,0)+1,FALSE),"")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3" s="5">
        <f ca="1">IFERROR(VLOOKUP($AB13,OFFSET([4]characters!$A$1,0,0,COUNTA([4]characters!$A:$A),MATCH(AD$1,[4]characters!$1:$1,0)-MATCH("character_id",[4]characters!$1:$1,0)+1),MATCH(AD$1,[4]characters!$1:$1,0)-MATCH("character_id",[4]characters!$1:$1,0)+1,FALSE),"")</f>
        <v>2</v>
      </c>
      <c r="AE13" s="5" t="str">
        <f ca="1">IFERROR(VLOOKUP($AB13,OFFSET([4]characters!$A$1,0,0,COUNTA([4]characters!$A:$A),MATCH(AE$1,[4]characters!$1:$1,0)-MATCH("character_id",[4]characters!$1:$1,0)+1),MATCH(AE$1,[4]characters!$1:$1,0)-MATCH("character_id",[4]characters!$1:$1,0)+1,FALSE),"")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3" s="8">
        <v>1</v>
      </c>
      <c r="AG13" s="27">
        <f t="shared" ref="AG13:AG17" ca="1" si="18">AD13</f>
        <v>2</v>
      </c>
      <c r="AH13" s="9">
        <v>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  <c r="AN13" s="8">
        <v>1</v>
      </c>
    </row>
    <row r="14" spans="1:40" ht="21" customHeight="1" x14ac:dyDescent="0.15">
      <c r="A14" s="17" t="str">
        <f t="shared" ca="1" si="16"/>
        <v>11001_4-3/31&lt;lv35&gt;s2</v>
      </c>
      <c r="B14" s="73">
        <v>11001</v>
      </c>
      <c r="C14" s="74">
        <v>4</v>
      </c>
      <c r="D14" s="2" t="str">
        <f t="shared" si="17"/>
        <v>11001_4</v>
      </c>
      <c r="E14" s="5" t="str">
        <f ca="1">VLOOKUP($B14,OFFSET([2]quests!$A$1,0,0,COUNTA([2]quests!$A:$A),MATCH(E$1,[2]quests!$1:$1,0)-MATCH($B$1,[2]quests!$1:$1,0)+1),MATCH(E$1,[2]quests!$1:$1,0)-MATCH($B$1,[2]quests!$1:$1,0)+1,FALSE)</f>
        <v>【月曜限定】 黄の素材</v>
      </c>
      <c r="F14" s="5" t="str">
        <f ca="1">VLOOKUP($D14,OFFSET([2]stages!$A$1,0,0,COUNTA([2]stages!$A:$A),MATCH(F$1,[2]stages!$2:$2,0)-MATCH($D$1,[2]stages!$2:$2,0)+1),MATCH(F$1,[2]stages!$2:$2,0)-MATCH($D$1,[2]stages!$2:$2,0)+1,FALSE)</f>
        <v>【上級】雷のイモムシ</v>
      </c>
      <c r="G14" s="25">
        <v>3</v>
      </c>
      <c r="H14" s="16" t="str">
        <f t="shared" si="0"/>
        <v>11001_4-3</v>
      </c>
      <c r="I14" s="5">
        <f ca="1">VLOOKUP($H14,OFFSET(floors!$A$1,0,0,COUNTA(floors!$A:$A),MATCH(I$1,floors!$1:$1,0)-MATCH($H$1,floors!$1:$1,0)+1),MATCH(I$1,floors!$1:$1,0)-MATCH($H$1,floors!$1:$1,0)+1,FALSE)</f>
        <v>45</v>
      </c>
      <c r="J14" s="5">
        <f ca="1">VLOOKUP($H14,OFFSET(floors!$A$1,0,0,COUNTA(floors!$A:$A),MATCH(J$1,floors!$1:$1,0)-MATCH($H$1,floors!$1:$1,0)+1),MATCH(J$1,floors!$1:$1,0)-MATCH($H$1,floors!$1:$1,0)+1,FALSE)</f>
        <v>45</v>
      </c>
      <c r="K14" s="24" t="s">
        <v>209</v>
      </c>
      <c r="L14" s="24">
        <v>31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マービー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22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20">
        <f ca="1">VLOOKUP($L14,OFFSET([3]enemies!$A$1,0,0,COUNTA([3]enemies!$A:$A),MATCH(Q$1,[3]enemies!$1:$1,0)-MATCH($L$1,[3]enemies!$1:$1,0)+1),MATCH(Q$1,[3]enemies!$1:$1,0)-MATCH($L$1,[3]enemies!$1:$1,0)+1,FALSE)</f>
        <v>15</v>
      </c>
      <c r="R14" s="6">
        <v>35</v>
      </c>
      <c r="S14" s="30">
        <v>1</v>
      </c>
      <c r="T14" s="30">
        <v>1</v>
      </c>
      <c r="U14" s="6">
        <v>0</v>
      </c>
      <c r="V14" s="5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5">
        <f ca="1">VLOOKUP($L14,OFFSET([3]enemies!$A$1,0,0,COUNTA([3]enemies!$A:$A),MATCH(W$1,[3]enemies!$1:$1,0)-MATCH($L$1,[3]enemies!$1:$1,0)+1),MATCH(W$1,[3]enemies!$1:$1,0)-MATCH($L$1,[3]enemies!$1:$1,0)+1,FALSE)</f>
        <v>0</v>
      </c>
      <c r="X14" s="7">
        <v>0</v>
      </c>
      <c r="Y14" s="7">
        <v>100</v>
      </c>
      <c r="Z14" s="7">
        <v>0</v>
      </c>
      <c r="AA14" s="20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v>31</v>
      </c>
      <c r="AC14" s="5" t="str">
        <f ca="1">IFERROR(VLOOKUP($AB14,OFFSET([4]characters!$A$1,0,0,COUNTA([4]characters!$A:$A),MATCH(AC$1,[4]characters!$1:$1,0)-MATCH("character_id",[4]characters!$1:$1,0)+1),MATCH(AC$1,[4]characters!$1:$1,0)-MATCH("character_id",[4]characters!$1:$1,0)+1,FALSE),"")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4" s="5">
        <f ca="1">IFERROR(VLOOKUP($AB14,OFFSET([4]characters!$A$1,0,0,COUNTA([4]characters!$A:$A),MATCH(AD$1,[4]characters!$1:$1,0)-MATCH("character_id",[4]characters!$1:$1,0)+1),MATCH(AD$1,[4]characters!$1:$1,0)-MATCH("character_id",[4]characters!$1:$1,0)+1,FALSE),"")</f>
        <v>1</v>
      </c>
      <c r="AE14" s="5" t="str">
        <f ca="1">IFERROR(VLOOKUP($AB14,OFFSET([4]characters!$A$1,0,0,COUNTA([4]characters!$A:$A),MATCH(AE$1,[4]characters!$1:$1,0)-MATCH("character_id",[4]characters!$1:$1,0)+1),MATCH(AE$1,[4]characters!$1:$1,0)-MATCH("character_id",[4]characters!$1:$1,0)+1,FALSE),"")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4" s="8">
        <v>1</v>
      </c>
      <c r="AG14" s="27">
        <f t="shared" ca="1" si="18"/>
        <v>1</v>
      </c>
      <c r="AH14" s="9">
        <v>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  <c r="AN14" s="8">
        <v>1</v>
      </c>
    </row>
    <row r="15" spans="1:40" ht="21" customHeight="1" x14ac:dyDescent="0.15">
      <c r="A15" s="17" t="str">
        <f t="shared" ref="A15" ca="1" si="19">B15&amp;"_"&amp;C15&amp;"-"&amp;G15&amp;"/"&amp;L15&amp;"&lt;lv"&amp;R15&amp;"&gt;s"&amp;AA15</f>
        <v>11001_4-3/344&lt;lv1&gt;s1</v>
      </c>
      <c r="B15" s="73">
        <v>11001</v>
      </c>
      <c r="C15" s="74">
        <v>4</v>
      </c>
      <c r="D15" s="2" t="str">
        <f t="shared" ref="D15" si="20">B15&amp;"_"&amp;C15</f>
        <v>11001_4</v>
      </c>
      <c r="E15" s="5" t="str">
        <f ca="1">VLOOKUP($B15,OFFSET([2]quests!$A$1,0,0,COUNTA([2]quests!$A:$A),MATCH(E$1,[2]quests!$1:$1,0)-MATCH($B$1,[2]quests!$1:$1,0)+1),MATCH(E$1,[2]quests!$1:$1,0)-MATCH($B$1,[2]quests!$1:$1,0)+1,FALSE)</f>
        <v>【月曜限定】 黄の素材</v>
      </c>
      <c r="F15" s="5" t="str">
        <f ca="1">VLOOKUP($D15,OFFSET([2]stages!$A$1,0,0,COUNTA([2]stages!$A:$A),MATCH(F$1,[2]stages!$2:$2,0)-MATCH($D$1,[2]stages!$2:$2,0)+1),MATCH(F$1,[2]stages!$2:$2,0)-MATCH($D$1,[2]stages!$2:$2,0)+1,FALSE)</f>
        <v>【上級】雷のイモムシ</v>
      </c>
      <c r="G15" s="25">
        <v>3</v>
      </c>
      <c r="H15" s="16" t="str">
        <f t="shared" si="0"/>
        <v>11001_4-3</v>
      </c>
      <c r="I15" s="5">
        <f ca="1">VLOOKUP($H15,OFFSET(floors!$A$1,0,0,COUNTA(floors!$A:$A),MATCH(I$1,floors!$1:$1,0)-MATCH($H$1,floors!$1:$1,0)+1),MATCH(I$1,floors!$1:$1,0)-MATCH($H$1,floors!$1:$1,0)+1,FALSE)</f>
        <v>45</v>
      </c>
      <c r="J15" s="5">
        <f ca="1">VLOOKUP($H15,OFFSET(floors!$A$1,0,0,COUNTA(floors!$A:$A),MATCH(J$1,floors!$1:$1,0)-MATCH($H$1,floors!$1:$1,0)+1),MATCH(J$1,floors!$1:$1,0)-MATCH($H$1,floors!$1:$1,0)+1,FALSE)</f>
        <v>45</v>
      </c>
      <c r="K15" s="24" t="s">
        <v>209</v>
      </c>
      <c r="L15" s="24">
        <v>344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雷のメタルピヨピヨ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22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15</v>
      </c>
      <c r="R15" s="6">
        <v>1</v>
      </c>
      <c r="S15" s="30">
        <v>1</v>
      </c>
      <c r="T15" s="30">
        <v>1</v>
      </c>
      <c r="U15" s="6">
        <v>0</v>
      </c>
      <c r="V15" s="5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5">
        <f ca="1">VLOOKUP($L15,OFFSET([3]enemies!$A$1,0,0,COUNTA([3]enemies!$A:$A),MATCH(W$1,[3]enemies!$1:$1,0)-MATCH($L$1,[3]enemies!$1:$1,0)+1),MATCH(W$1,[3]enemies!$1:$1,0)-MATCH($L$1,[3]enemies!$1:$1,0)+1,FALSE)</f>
        <v>0</v>
      </c>
      <c r="X15" s="7">
        <v>0</v>
      </c>
      <c r="Y15" s="7">
        <v>30</v>
      </c>
      <c r="Z15" s="7">
        <v>0</v>
      </c>
      <c r="AA15" s="20">
        <f ca="1">VLOOKUP($L15,OFFSET([3]enemies!$A$1,0,0,COUNTA([3]enemies!$A:$A),MATCH(AA$1,[3]enemies!$1:$1,0)-MATCH($L$1,[3]enemies!$1:$1,0)+1),MATCH(AA$1,[3]enemies!$1:$1,0)-MATCH($L$1,[3]enemies!$1:$1,0)+1,FALSE)</f>
        <v>1</v>
      </c>
      <c r="AB15" s="24">
        <v>344</v>
      </c>
      <c r="AC15" s="5" t="str">
        <f ca="1">IFERROR(VLOOKUP($AB15,OFFSET([4]characters!$A$1,0,0,COUNTA([4]characters!$A:$A),MATCH(AC$1,[4]characters!$1:$1,0)-MATCH("character_id",[4]characters!$1:$1,0)+1),MATCH(AC$1,[4]characters!$1:$1,0)-MATCH("character_id",[4]characters!$1:$1,0)+1,FALSE),"")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5" s="5">
        <f ca="1">IFERROR(VLOOKUP($AB15,OFFSET([4]characters!$A$1,0,0,COUNTA([4]characters!$A:$A),MATCH(AD$1,[4]characters!$1:$1,0)-MATCH("character_id",[4]characters!$1:$1,0)+1),MATCH(AD$1,[4]characters!$1:$1,0)-MATCH("character_id",[4]characters!$1:$1,0)+1,FALSE),"")</f>
        <v>3</v>
      </c>
      <c r="AE15" s="5" t="str">
        <f ca="1">IFERROR(VLOOKUP($AB15,OFFSET([4]characters!$A$1,0,0,COUNTA([4]characters!$A:$A),MATCH(AE$1,[4]characters!$1:$1,0)-MATCH("character_id",[4]characters!$1:$1,0)+1),MATCH(AE$1,[4]characters!$1:$1,0)-MATCH("character_id",[4]characters!$1:$1,0)+1,FALSE),"")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" s="8">
        <v>1</v>
      </c>
      <c r="AG15" s="27">
        <f t="shared" ref="AG15" ca="1" si="21">AD15</f>
        <v>3</v>
      </c>
      <c r="AH15" s="9">
        <v>10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  <c r="AN15" s="8">
        <v>1</v>
      </c>
    </row>
    <row r="16" spans="1:40" ht="21" customHeight="1" x14ac:dyDescent="0.15">
      <c r="A16" s="17" t="str">
        <f t="shared" ref="A16" ca="1" si="22">B16&amp;"_"&amp;C16&amp;"-"&amp;G16&amp;"/"&amp;L16&amp;"&lt;lv"&amp;R16&amp;"&gt;s"&amp;AA16</f>
        <v>11001_4-3/345&lt;lv1&gt;s2</v>
      </c>
      <c r="B16" s="73">
        <v>11001</v>
      </c>
      <c r="C16" s="74">
        <v>4</v>
      </c>
      <c r="D16" s="2" t="str">
        <f t="shared" ref="D16" si="23">B16&amp;"_"&amp;C16</f>
        <v>11001_4</v>
      </c>
      <c r="E16" s="5" t="str">
        <f ca="1">VLOOKUP($B16,OFFSET([2]quests!$A$1,0,0,COUNTA([2]quests!$A:$A),MATCH(E$1,[2]quests!$1:$1,0)-MATCH($B$1,[2]quests!$1:$1,0)+1),MATCH(E$1,[2]quests!$1:$1,0)-MATCH($B$1,[2]quests!$1:$1,0)+1,FALSE)</f>
        <v>【月曜限定】 黄の素材</v>
      </c>
      <c r="F16" s="5" t="str">
        <f ca="1">VLOOKUP($D16,OFFSET([2]stages!$A$1,0,0,COUNTA([2]stages!$A:$A),MATCH(F$1,[2]stages!$2:$2,0)-MATCH($D$1,[2]stages!$2:$2,0)+1),MATCH(F$1,[2]stages!$2:$2,0)-MATCH($D$1,[2]stages!$2:$2,0)+1,FALSE)</f>
        <v>【上級】雷のイモムシ</v>
      </c>
      <c r="G16" s="25">
        <v>3</v>
      </c>
      <c r="H16" s="16" t="str">
        <f t="shared" si="0"/>
        <v>11001_4-3</v>
      </c>
      <c r="I16" s="5">
        <f ca="1">VLOOKUP($H16,OFFSET(floors!$A$1,0,0,COUNTA(floors!$A:$A),MATCH(I$1,floors!$1:$1,0)-MATCH($H$1,floors!$1:$1,0)+1),MATCH(I$1,floors!$1:$1,0)-MATCH($H$1,floors!$1:$1,0)+1,FALSE)</f>
        <v>45</v>
      </c>
      <c r="J16" s="5">
        <f ca="1">VLOOKUP($H16,OFFSET(floors!$A$1,0,0,COUNTA(floors!$A:$A),MATCH(J$1,floors!$1:$1,0)-MATCH($H$1,floors!$1:$1,0)+1),MATCH(J$1,floors!$1:$1,0)-MATCH($H$1,floors!$1:$1,0)+1,FALSE)</f>
        <v>45</v>
      </c>
      <c r="K16" s="24" t="s">
        <v>209</v>
      </c>
      <c r="L16" s="24">
        <v>345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雷のメタルチック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22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15</v>
      </c>
      <c r="R16" s="6">
        <v>1</v>
      </c>
      <c r="S16" s="30">
        <v>1</v>
      </c>
      <c r="T16" s="30">
        <v>1</v>
      </c>
      <c r="U16" s="6">
        <v>0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5">
        <f ca="1">VLOOKUP($L16,OFFSET([3]enemies!$A$1,0,0,COUNTA([3]enemies!$A:$A),MATCH(W$1,[3]enemies!$1:$1,0)-MATCH($L$1,[3]enemies!$1:$1,0)+1),MATCH(W$1,[3]enemies!$1:$1,0)-MATCH($L$1,[3]enemies!$1:$1,0)+1,FALSE)</f>
        <v>0</v>
      </c>
      <c r="X16" s="7">
        <v>0</v>
      </c>
      <c r="Y16" s="7">
        <v>30</v>
      </c>
      <c r="Z16" s="7">
        <v>0</v>
      </c>
      <c r="AA16" s="20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v>345</v>
      </c>
      <c r="AC16" s="5" t="str">
        <f ca="1">IFERROR(VLOOKUP($AB16,OFFSET([4]characters!$A$1,0,0,COUNTA([4]characters!$A:$A),MATCH(AC$1,[4]characters!$1:$1,0)-MATCH("character_id",[4]characters!$1:$1,0)+1),MATCH(AC$1,[4]characters!$1:$1,0)-MATCH("character_id",[4]characters!$1:$1,0)+1,FALSE),"")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6" s="5">
        <f ca="1">IFERROR(VLOOKUP($AB16,OFFSET([4]characters!$A$1,0,0,COUNTA([4]characters!$A:$A),MATCH(AD$1,[4]characters!$1:$1,0)-MATCH("character_id",[4]characters!$1:$1,0)+1),MATCH(AD$1,[4]characters!$1:$1,0)-MATCH("character_id",[4]characters!$1:$1,0)+1,FALSE),"")</f>
        <v>4</v>
      </c>
      <c r="AE16" s="5" t="str">
        <f ca="1">IFERROR(VLOOKUP($AB16,OFFSET([4]characters!$A$1,0,0,COUNTA([4]characters!$A:$A),MATCH(AE$1,[4]characters!$1:$1,0)-MATCH("character_id",[4]characters!$1:$1,0)+1),MATCH(AE$1,[4]characters!$1:$1,0)-MATCH("character_id",[4]characters!$1:$1,0)+1,FALSE),"")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" s="8">
        <v>1</v>
      </c>
      <c r="AG16" s="27">
        <f t="shared" ref="AG16" ca="1" si="24">AD16</f>
        <v>4</v>
      </c>
      <c r="AH16" s="9">
        <v>5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  <c r="AN16" s="8">
        <v>1</v>
      </c>
    </row>
    <row r="17" spans="1:40" ht="21" customHeight="1" x14ac:dyDescent="0.15">
      <c r="A17" s="17" t="str">
        <f t="shared" ca="1" si="16"/>
        <v>11001_4-4/115&lt;lv30&gt;s2</v>
      </c>
      <c r="B17" s="73">
        <v>11001</v>
      </c>
      <c r="C17" s="74">
        <v>4</v>
      </c>
      <c r="D17" s="2" t="str">
        <f t="shared" si="17"/>
        <v>11001_4</v>
      </c>
      <c r="E17" s="5" t="str">
        <f ca="1">VLOOKUP($B17,OFFSET([2]quests!$A$1,0,0,COUNTA([2]quests!$A:$A),MATCH(E$1,[2]quests!$1:$1,0)-MATCH($B$1,[2]quests!$1:$1,0)+1),MATCH(E$1,[2]quests!$1:$1,0)-MATCH($B$1,[2]quests!$1:$1,0)+1,FALSE)</f>
        <v>【月曜限定】 黄の素材</v>
      </c>
      <c r="F17" s="5" t="str">
        <f ca="1">VLOOKUP($D17,OFFSET([2]stages!$A$1,0,0,COUNTA([2]stages!$A:$A),MATCH(F$1,[2]stages!$2:$2,0)-MATCH($D$1,[2]stages!$2:$2,0)+1),MATCH(F$1,[2]stages!$2:$2,0)-MATCH($D$1,[2]stages!$2:$2,0)+1,FALSE)</f>
        <v>【上級】雷のイモムシ</v>
      </c>
      <c r="G17" s="25">
        <v>4</v>
      </c>
      <c r="H17" s="16" t="str">
        <f t="shared" si="0"/>
        <v>11001_4-4</v>
      </c>
      <c r="I17" s="5">
        <f ca="1">VLOOKUP($H17,OFFSET(floors!$A$1,0,0,COUNTA(floors!$A:$A),MATCH(I$1,floors!$1:$1,0)-MATCH($H$1,floors!$1:$1,0)+1),MATCH(I$1,floors!$1:$1,0)-MATCH($H$1,floors!$1:$1,0)+1,FALSE)</f>
        <v>45</v>
      </c>
      <c r="J17" s="5">
        <f ca="1">VLOOKUP($H17,OFFSET(floors!$A$1,0,0,COUNTA(floors!$A:$A),MATCH(J$1,floors!$1:$1,0)-MATCH($H$1,floors!$1:$1,0)+1),MATCH(J$1,floors!$1:$1,0)-MATCH($H$1,floors!$1:$1,0)+1,FALSE)</f>
        <v>60</v>
      </c>
      <c r="K17" s="24" t="s">
        <v>209</v>
      </c>
      <c r="L17" s="24">
        <v>115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イエローキャタップ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22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15</v>
      </c>
      <c r="R17" s="6">
        <v>30</v>
      </c>
      <c r="S17" s="30">
        <v>2</v>
      </c>
      <c r="T17" s="30">
        <v>1</v>
      </c>
      <c r="U17" s="6">
        <v>0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5">
        <f ca="1">VLOOKUP($L17,OFFSET([3]enemies!$A$1,0,0,COUNTA([3]enemies!$A:$A),MATCH(W$1,[3]enemies!$1:$1,0)-MATCH($L$1,[3]enemies!$1:$1,0)+1),MATCH(W$1,[3]enemies!$1:$1,0)-MATCH($L$1,[3]enemies!$1:$1,0)+1,FALSE)</f>
        <v>0</v>
      </c>
      <c r="X17" s="7">
        <v>1</v>
      </c>
      <c r="Y17" s="7">
        <v>100</v>
      </c>
      <c r="Z17" s="7">
        <v>1</v>
      </c>
      <c r="AA17" s="20">
        <f ca="1">VLOOKUP($L17,OFFSET([3]enemies!$A$1,0,0,COUNTA([3]enemies!$A:$A),MATCH(AA$1,[3]enemies!$1:$1,0)-MATCH($L$1,[3]enemies!$1:$1,0)+1),MATCH(AA$1,[3]enemies!$1:$1,0)-MATCH($L$1,[3]enemies!$1:$1,0)+1,FALSE)</f>
        <v>2</v>
      </c>
      <c r="AB17" s="24">
        <v>115</v>
      </c>
      <c r="AC17" s="5" t="str">
        <f ca="1">IFERROR(VLOOKUP($AB17,OFFSET([4]characters!$A$1,0,0,COUNTA([4]characters!$A:$A),MATCH(AC$1,[4]characters!$1:$1,0)-MATCH("character_id",[4]characters!$1:$1,0)+1),MATCH(AC$1,[4]characters!$1:$1,0)-MATCH("character_id",[4]characters!$1:$1,0)+1,FALSE),"")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7" s="5">
        <f ca="1">IFERROR(VLOOKUP($AB17,OFFSET([4]characters!$A$1,0,0,COUNTA([4]characters!$A:$A),MATCH(AD$1,[4]characters!$1:$1,0)-MATCH("character_id",[4]characters!$1:$1,0)+1),MATCH(AD$1,[4]characters!$1:$1,0)-MATCH("character_id",[4]characters!$1:$1,0)+1,FALSE),"")</f>
        <v>4</v>
      </c>
      <c r="AE17" s="5" t="str">
        <f ca="1">IFERROR(VLOOKUP($AB17,OFFSET([4]characters!$A$1,0,0,COUNTA([4]characters!$A:$A),MATCH(AE$1,[4]characters!$1:$1,0)-MATCH("character_id",[4]characters!$1:$1,0)+1),MATCH(AE$1,[4]characters!$1:$1,0)-MATCH("character_id",[4]characters!$1:$1,0)+1,FALSE),"")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" s="8">
        <v>1</v>
      </c>
      <c r="AG17" s="27">
        <f t="shared" ca="1" si="18"/>
        <v>4</v>
      </c>
      <c r="AH17" s="9">
        <v>100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  <c r="AN17" s="8">
        <v>1</v>
      </c>
    </row>
    <row r="18" spans="1:40" ht="21" customHeight="1" x14ac:dyDescent="0.15">
      <c r="A18" s="17" t="str">
        <f t="shared" ref="A18:A19" ca="1" si="25">B18&amp;"_"&amp;C18&amp;"-"&amp;G18&amp;"/"&amp;L18&amp;"&lt;lv"&amp;R18&amp;"&gt;s"&amp;AA18</f>
        <v>11001_4-4/39&lt;lv35&gt;s3</v>
      </c>
      <c r="B18" s="73">
        <v>11001</v>
      </c>
      <c r="C18" s="74">
        <v>4</v>
      </c>
      <c r="D18" s="2" t="str">
        <f t="shared" ref="D18:D24" si="26">B18&amp;"_"&amp;C18</f>
        <v>11001_4</v>
      </c>
      <c r="E18" s="5" t="str">
        <f ca="1">VLOOKUP($B18,OFFSET([2]quests!$A$1,0,0,COUNTA([2]quests!$A:$A),MATCH(E$1,[2]quests!$1:$1,0)-MATCH($B$1,[2]quests!$1:$1,0)+1),MATCH(E$1,[2]quests!$1:$1,0)-MATCH($B$1,[2]quests!$1:$1,0)+1,FALSE)</f>
        <v>【月曜限定】 黄の素材</v>
      </c>
      <c r="F18" s="5" t="str">
        <f ca="1">VLOOKUP($D18,OFFSET([2]stages!$A$1,0,0,COUNTA([2]stages!$A:$A),MATCH(F$1,[2]stages!$2:$2,0)-MATCH($D$1,[2]stages!$2:$2,0)+1),MATCH(F$1,[2]stages!$2:$2,0)-MATCH($D$1,[2]stages!$2:$2,0)+1,FALSE)</f>
        <v>【上級】雷のイモムシ</v>
      </c>
      <c r="G18" s="25">
        <v>4</v>
      </c>
      <c r="H18" s="16" t="str">
        <f t="shared" si="0"/>
        <v>11001_4-4</v>
      </c>
      <c r="I18" s="5">
        <f ca="1">VLOOKUP($H18,OFFSET(floors!$A$1,0,0,COUNTA(floors!$A:$A),MATCH(I$1,floors!$1:$1,0)-MATCH($H$1,floors!$1:$1,0)+1),MATCH(I$1,floors!$1:$1,0)-MATCH($H$1,floors!$1:$1,0)+1,FALSE)</f>
        <v>45</v>
      </c>
      <c r="J18" s="5">
        <f ca="1">VLOOKUP($H18,OFFSET(floors!$A$1,0,0,COUNTA(floors!$A:$A),MATCH(J$1,floors!$1:$1,0)-MATCH($H$1,floors!$1:$1,0)+1),MATCH(J$1,floors!$1:$1,0)-MATCH($H$1,floors!$1:$1,0)+1,FALSE)</f>
        <v>60</v>
      </c>
      <c r="K18" s="24" t="s">
        <v>209</v>
      </c>
      <c r="L18" s="24">
        <v>39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マーロン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22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20">
        <f ca="1">VLOOKUP($L18,OFFSET([3]enemies!$A$1,0,0,COUNTA([3]enemies!$A:$A),MATCH(Q$1,[3]enemies!$1:$1,0)-MATCH($L$1,[3]enemies!$1:$1,0)+1),MATCH(Q$1,[3]enemies!$1:$1,0)-MATCH($L$1,[3]enemies!$1:$1,0)+1,FALSE)</f>
        <v>15</v>
      </c>
      <c r="R18" s="6">
        <v>35</v>
      </c>
      <c r="S18" s="30">
        <v>1</v>
      </c>
      <c r="T18" s="30">
        <v>1</v>
      </c>
      <c r="U18" s="6">
        <v>0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8" s="5">
        <f ca="1">VLOOKUP($L18,OFFSET([3]enemies!$A$1,0,0,COUNTA([3]enemies!$A:$A),MATCH(W$1,[3]enemies!$1:$1,0)-MATCH($L$1,[3]enemies!$1:$1,0)+1),MATCH(W$1,[3]enemies!$1:$1,0)-MATCH($L$1,[3]enemies!$1:$1,0)+1,FALSE)</f>
        <v>39</v>
      </c>
      <c r="X18" s="7">
        <v>0</v>
      </c>
      <c r="Y18" s="7">
        <v>100</v>
      </c>
      <c r="Z18" s="7">
        <v>0</v>
      </c>
      <c r="AA18" s="20">
        <f ca="1">VLOOKUP($L18,OFFSET([3]enemies!$A$1,0,0,COUNTA([3]enemies!$A:$A),MATCH(AA$1,[3]enemies!$1:$1,0)-MATCH($L$1,[3]enemies!$1:$1,0)+1),MATCH(AA$1,[3]enemies!$1:$1,0)-MATCH($L$1,[3]enemies!$1:$1,0)+1,FALSE)</f>
        <v>3</v>
      </c>
      <c r="AB18" s="24">
        <v>39</v>
      </c>
      <c r="AC18" s="5" t="str">
        <f ca="1">IFERROR(VLOOKUP($AB18,OFFSET([4]characters!$A$1,0,0,COUNTA([4]characters!$A:$A),MATCH(AC$1,[4]characters!$1:$1,0)-MATCH("character_id",[4]characters!$1:$1,0)+1),MATCH(AC$1,[4]characters!$1:$1,0)-MATCH("character_id",[4]characters!$1:$1,0)+1,FALSE),"")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8" s="5">
        <f ca="1">IFERROR(VLOOKUP($AB18,OFFSET([4]characters!$A$1,0,0,COUNTA([4]characters!$A:$A),MATCH(AD$1,[4]characters!$1:$1,0)-MATCH("character_id",[4]characters!$1:$1,0)+1),MATCH(AD$1,[4]characters!$1:$1,0)-MATCH("character_id",[4]characters!$1:$1,0)+1,FALSE),"")</f>
        <v>2</v>
      </c>
      <c r="AE18" s="5" t="str">
        <f ca="1">IFERROR(VLOOKUP($AB18,OFFSET([4]characters!$A$1,0,0,COUNTA([4]characters!$A:$A),MATCH(AE$1,[4]characters!$1:$1,0)-MATCH("character_id",[4]characters!$1:$1,0)+1),MATCH(AE$1,[4]characters!$1:$1,0)-MATCH("character_id",[4]characters!$1:$1,0)+1,FALSE),"")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8" s="8">
        <v>1</v>
      </c>
      <c r="AG18" s="27">
        <f t="shared" ref="AG18:AG24" ca="1" si="27">AD18</f>
        <v>2</v>
      </c>
      <c r="AH18" s="9">
        <v>0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  <c r="AN18" s="8">
        <v>1</v>
      </c>
    </row>
    <row r="19" spans="1:40" ht="21" customHeight="1" x14ac:dyDescent="0.15">
      <c r="A19" s="17" t="str">
        <f t="shared" ca="1" si="25"/>
        <v>11001_4-4/31&lt;lv35&gt;s2</v>
      </c>
      <c r="B19" s="73">
        <v>11001</v>
      </c>
      <c r="C19" s="74">
        <v>4</v>
      </c>
      <c r="D19" s="2" t="str">
        <f t="shared" si="26"/>
        <v>11001_4</v>
      </c>
      <c r="E19" s="5" t="str">
        <f ca="1">VLOOKUP($B19,OFFSET([2]quests!$A$1,0,0,COUNTA([2]quests!$A:$A),MATCH(E$1,[2]quests!$1:$1,0)-MATCH($B$1,[2]quests!$1:$1,0)+1),MATCH(E$1,[2]quests!$1:$1,0)-MATCH($B$1,[2]quests!$1:$1,0)+1,FALSE)</f>
        <v>【月曜限定】 黄の素材</v>
      </c>
      <c r="F19" s="5" t="str">
        <f ca="1">VLOOKUP($D19,OFFSET([2]stages!$A$1,0,0,COUNTA([2]stages!$A:$A),MATCH(F$1,[2]stages!$2:$2,0)-MATCH($D$1,[2]stages!$2:$2,0)+1),MATCH(F$1,[2]stages!$2:$2,0)-MATCH($D$1,[2]stages!$2:$2,0)+1,FALSE)</f>
        <v>【上級】雷のイモムシ</v>
      </c>
      <c r="G19" s="25">
        <v>4</v>
      </c>
      <c r="H19" s="16" t="str">
        <f t="shared" si="0"/>
        <v>11001_4-4</v>
      </c>
      <c r="I19" s="5">
        <f ca="1">VLOOKUP($H19,OFFSET(floors!$A$1,0,0,COUNTA(floors!$A:$A),MATCH(I$1,floors!$1:$1,0)-MATCH($H$1,floors!$1:$1,0)+1),MATCH(I$1,floors!$1:$1,0)-MATCH($H$1,floors!$1:$1,0)+1,FALSE)</f>
        <v>45</v>
      </c>
      <c r="J19" s="5">
        <f ca="1">VLOOKUP($H19,OFFSET(floors!$A$1,0,0,COUNTA(floors!$A:$A),MATCH(J$1,floors!$1:$1,0)-MATCH($H$1,floors!$1:$1,0)+1),MATCH(J$1,floors!$1:$1,0)-MATCH($H$1,floors!$1:$1,0)+1,FALSE)</f>
        <v>60</v>
      </c>
      <c r="K19" s="24" t="s">
        <v>209</v>
      </c>
      <c r="L19" s="24">
        <v>31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マービー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22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machine</v>
      </c>
      <c r="Q19" s="20">
        <f ca="1">VLOOKUP($L19,OFFSET([3]enemies!$A$1,0,0,COUNTA([3]enemies!$A:$A),MATCH(Q$1,[3]enemies!$1:$1,0)-MATCH($L$1,[3]enemies!$1:$1,0)+1),MATCH(Q$1,[3]enemies!$1:$1,0)-MATCH($L$1,[3]enemies!$1:$1,0)+1,FALSE)</f>
        <v>15</v>
      </c>
      <c r="R19" s="6">
        <v>35</v>
      </c>
      <c r="S19" s="30">
        <v>1</v>
      </c>
      <c r="T19" s="30">
        <v>1</v>
      </c>
      <c r="U19" s="6">
        <v>0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5">
        <f ca="1">VLOOKUP($L19,OFFSET([3]enemies!$A$1,0,0,COUNTA([3]enemies!$A:$A),MATCH(W$1,[3]enemies!$1:$1,0)-MATCH($L$1,[3]enemies!$1:$1,0)+1),MATCH(W$1,[3]enemies!$1:$1,0)-MATCH($L$1,[3]enemies!$1:$1,0)+1,FALSE)</f>
        <v>0</v>
      </c>
      <c r="X19" s="7">
        <v>0</v>
      </c>
      <c r="Y19" s="7">
        <v>100</v>
      </c>
      <c r="Z19" s="7">
        <v>0</v>
      </c>
      <c r="AA19" s="20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v>31</v>
      </c>
      <c r="AC19" s="5" t="str">
        <f ca="1">IFERROR(VLOOKUP($AB19,OFFSET([4]characters!$A$1,0,0,COUNTA([4]characters!$A:$A),MATCH(AC$1,[4]characters!$1:$1,0)-MATCH("character_id",[4]characters!$1:$1,0)+1),MATCH(AC$1,[4]characters!$1:$1,0)-MATCH("character_id",[4]characters!$1:$1,0)+1,FALSE),"")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9" s="5">
        <f ca="1">IFERROR(VLOOKUP($AB19,OFFSET([4]characters!$A$1,0,0,COUNTA([4]characters!$A:$A),MATCH(AD$1,[4]characters!$1:$1,0)-MATCH("character_id",[4]characters!$1:$1,0)+1),MATCH(AD$1,[4]characters!$1:$1,0)-MATCH("character_id",[4]characters!$1:$1,0)+1,FALSE),"")</f>
        <v>1</v>
      </c>
      <c r="AE19" s="5" t="str">
        <f ca="1">IFERROR(VLOOKUP($AB19,OFFSET([4]characters!$A$1,0,0,COUNTA([4]characters!$A:$A),MATCH(AE$1,[4]characters!$1:$1,0)-MATCH("character_id",[4]characters!$1:$1,0)+1),MATCH(AE$1,[4]characters!$1:$1,0)-MATCH("character_id",[4]characters!$1:$1,0)+1,FALSE),"")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" s="8">
        <v>1</v>
      </c>
      <c r="AG19" s="27">
        <f t="shared" ca="1" si="27"/>
        <v>1</v>
      </c>
      <c r="AH19" s="9">
        <v>0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  <c r="AN19" s="8">
        <v>1</v>
      </c>
    </row>
    <row r="20" spans="1:40" ht="21" customHeight="1" x14ac:dyDescent="0.15">
      <c r="A20" s="17" t="str">
        <f t="shared" ref="A20:A25" ca="1" si="28">B20&amp;"_"&amp;C20&amp;"-"&amp;G20&amp;"/"&amp;L20&amp;"&lt;lv"&amp;R20&amp;"&gt;s"&amp;AA20</f>
        <v>11001_4-5/115&lt;lv30&gt;s2</v>
      </c>
      <c r="B20" s="73">
        <v>11001</v>
      </c>
      <c r="C20" s="74">
        <v>4</v>
      </c>
      <c r="D20" s="2" t="str">
        <f t="shared" si="26"/>
        <v>11001_4</v>
      </c>
      <c r="E20" s="5" t="str">
        <f ca="1">VLOOKUP($B20,OFFSET([2]quests!$A$1,0,0,COUNTA([2]quests!$A:$A),MATCH(E$1,[2]quests!$1:$1,0)-MATCH($B$1,[2]quests!$1:$1,0)+1),MATCH(E$1,[2]quests!$1:$1,0)-MATCH($B$1,[2]quests!$1:$1,0)+1,FALSE)</f>
        <v>【月曜限定】 黄の素材</v>
      </c>
      <c r="F20" s="5" t="str">
        <f ca="1">VLOOKUP($D20,OFFSET([2]stages!$A$1,0,0,COUNTA([2]stages!$A:$A),MATCH(F$1,[2]stages!$2:$2,0)-MATCH($D$1,[2]stages!$2:$2,0)+1),MATCH(F$1,[2]stages!$2:$2,0)-MATCH($D$1,[2]stages!$2:$2,0)+1,FALSE)</f>
        <v>【上級】雷のイモムシ</v>
      </c>
      <c r="G20" s="25">
        <v>5</v>
      </c>
      <c r="H20" s="16" t="str">
        <f t="shared" si="0"/>
        <v>11001_4-5</v>
      </c>
      <c r="I20" s="5">
        <f ca="1">VLOOKUP($H20,OFFSET(floors!$A$1,0,0,COUNTA(floors!$A:$A),MATCH(I$1,floors!$1:$1,0)-MATCH($H$1,floors!$1:$1,0)+1),MATCH(I$1,floors!$1:$1,0)-MATCH($H$1,floors!$1:$1,0)+1,FALSE)</f>
        <v>60</v>
      </c>
      <c r="J20" s="5">
        <f ca="1">VLOOKUP($H20,OFFSET(floors!$A$1,0,0,COUNTA(floors!$A:$A),MATCH(J$1,floors!$1:$1,0)-MATCH($H$1,floors!$1:$1,0)+1),MATCH(J$1,floors!$1:$1,0)-MATCH($H$1,floors!$1:$1,0)+1,FALSE)</f>
        <v>60</v>
      </c>
      <c r="K20" s="24" t="s">
        <v>209</v>
      </c>
      <c r="L20" s="24">
        <v>115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イエローキャタップ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22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15</v>
      </c>
      <c r="R20" s="6">
        <v>30</v>
      </c>
      <c r="S20" s="30">
        <v>2</v>
      </c>
      <c r="T20" s="30">
        <v>1</v>
      </c>
      <c r="U20" s="6">
        <v>0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0</v>
      </c>
      <c r="Y20" s="7">
        <v>100</v>
      </c>
      <c r="Z20" s="7">
        <v>2</v>
      </c>
      <c r="AA20" s="20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v>115</v>
      </c>
      <c r="AC20" s="5" t="str">
        <f ca="1">IFERROR(VLOOKUP($AB20,OFFSET([4]characters!$A$1,0,0,COUNTA([4]characters!$A:$A),MATCH(AC$1,[4]characters!$1:$1,0)-MATCH("character_id",[4]characters!$1:$1,0)+1),MATCH(AC$1,[4]characters!$1:$1,0)-MATCH("character_id",[4]characters!$1:$1,0)+1,FALSE),"")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0" s="5">
        <f ca="1">IFERROR(VLOOKUP($AB20,OFFSET([4]characters!$A$1,0,0,COUNTA([4]characters!$A:$A),MATCH(AD$1,[4]characters!$1:$1,0)-MATCH("character_id",[4]characters!$1:$1,0)+1),MATCH(AD$1,[4]characters!$1:$1,0)-MATCH("character_id",[4]characters!$1:$1,0)+1,FALSE),"")</f>
        <v>4</v>
      </c>
      <c r="AE20" s="5" t="str">
        <f ca="1">IFERROR(VLOOKUP($AB20,OFFSET([4]characters!$A$1,0,0,COUNTA([4]characters!$A:$A),MATCH(AE$1,[4]characters!$1:$1,0)-MATCH("character_id",[4]characters!$1:$1,0)+1),MATCH(AE$1,[4]characters!$1:$1,0)-MATCH("character_id",[4]characters!$1:$1,0)+1,FALSE),"")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" s="8">
        <v>1</v>
      </c>
      <c r="AG20" s="27">
        <f t="shared" ca="1" si="27"/>
        <v>4</v>
      </c>
      <c r="AH20" s="130">
        <v>50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  <c r="AN20" s="8">
        <v>1</v>
      </c>
    </row>
    <row r="21" spans="1:40" ht="21" customHeight="1" x14ac:dyDescent="0.15">
      <c r="A21" s="17" t="str">
        <f t="shared" ca="1" si="28"/>
        <v>11001_4-5/132&lt;lv30&gt;s3</v>
      </c>
      <c r="B21" s="73">
        <v>11001</v>
      </c>
      <c r="C21" s="74">
        <v>4</v>
      </c>
      <c r="D21" s="2" t="str">
        <f t="shared" ref="D21:D22" si="29">B21&amp;"_"&amp;C21</f>
        <v>11001_4</v>
      </c>
      <c r="E21" s="5" t="str">
        <f ca="1">VLOOKUP($B21,OFFSET([2]quests!$A$1,0,0,COUNTA([2]quests!$A:$A),MATCH(E$1,[2]quests!$1:$1,0)-MATCH($B$1,[2]quests!$1:$1,0)+1),MATCH(E$1,[2]quests!$1:$1,0)-MATCH($B$1,[2]quests!$1:$1,0)+1,FALSE)</f>
        <v>【月曜限定】 黄の素材</v>
      </c>
      <c r="F21" s="5" t="str">
        <f ca="1">VLOOKUP($D21,OFFSET([2]stages!$A$1,0,0,COUNTA([2]stages!$A:$A),MATCH(F$1,[2]stages!$2:$2,0)-MATCH($D$1,[2]stages!$2:$2,0)+1),MATCH(F$1,[2]stages!$2:$2,0)-MATCH($D$1,[2]stages!$2:$2,0)+1,FALSE)</f>
        <v>【上級】雷のイモムシ</v>
      </c>
      <c r="G21" s="25">
        <v>5</v>
      </c>
      <c r="H21" s="16" t="str">
        <f t="shared" si="0"/>
        <v>11001_4-5</v>
      </c>
      <c r="I21" s="5">
        <f ca="1">VLOOKUP($H21,OFFSET(floors!$A$1,0,0,COUNTA(floors!$A:$A),MATCH(I$1,floors!$1:$1,0)-MATCH($H$1,floors!$1:$1,0)+1),MATCH(I$1,floors!$1:$1,0)-MATCH($H$1,floors!$1:$1,0)+1,FALSE)</f>
        <v>60</v>
      </c>
      <c r="J21" s="5">
        <f ca="1">VLOOKUP($H21,OFFSET(floors!$A$1,0,0,COUNTA(floors!$A:$A),MATCH(J$1,floors!$1:$1,0)-MATCH($H$1,floors!$1:$1,0)+1),MATCH(J$1,floors!$1:$1,0)-MATCH($H$1,floors!$1:$1,0)+1,FALSE)</f>
        <v>60</v>
      </c>
      <c r="K21" s="24" t="s">
        <v>209</v>
      </c>
      <c r="L21" s="24">
        <v>132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鳥人ハヤト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22" t="str">
        <f ca="1">VLOOKUP($L21,OFFSET([4]characters!$A$1,0,0,COUNTA([4]characters!$A:$A),MATCH(O$1,[4]characters!$1:$1,0)-MATCH($L$1,[4]characters!$1:$1,0)+1),MATCH(O$1,[4]characters!$1:$1,0)-MATCH($L$1,[4]characters!$1:$1,0)+1,FALSE)</f>
        <v>PremiumW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20">
        <f ca="1">VLOOKUP($L21,OFFSET([3]enemies!$A$1,0,0,COUNTA([3]enemies!$A:$A),MATCH(Q$1,[3]enemies!$1:$1,0)-MATCH($L$1,[3]enemies!$1:$1,0)+1),MATCH(Q$1,[3]enemies!$1:$1,0)-MATCH($L$1,[3]enemies!$1:$1,0)+1,FALSE)</f>
        <v>20</v>
      </c>
      <c r="R21" s="6">
        <v>30</v>
      </c>
      <c r="S21" s="30">
        <v>1</v>
      </c>
      <c r="T21" s="30">
        <v>1</v>
      </c>
      <c r="U21" s="6">
        <v>0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5">
        <f ca="1">VLOOKUP($L21,OFFSET([3]enemies!$A$1,0,0,COUNTA([3]enemies!$A:$A),MATCH(W$1,[3]enemies!$1:$1,0)-MATCH($L$1,[3]enemies!$1:$1,0)+1),MATCH(W$1,[3]enemies!$1:$1,0)-MATCH($L$1,[3]enemies!$1:$1,0)+1,FALSE)</f>
        <v>0</v>
      </c>
      <c r="X21" s="7">
        <v>0</v>
      </c>
      <c r="Y21" s="7">
        <v>100</v>
      </c>
      <c r="Z21" s="7">
        <v>0</v>
      </c>
      <c r="AA21" s="20">
        <f ca="1">VLOOKUP($L21,OFFSET([3]enemies!$A$1,0,0,COUNTA([3]enemies!$A:$A),MATCH(AA$1,[3]enemies!$1:$1,0)-MATCH($L$1,[3]enemies!$1:$1,0)+1),MATCH(AA$1,[3]enemies!$1:$1,0)-MATCH($L$1,[3]enemies!$1:$1,0)+1,FALSE)</f>
        <v>3</v>
      </c>
      <c r="AB21" s="24">
        <v>132</v>
      </c>
      <c r="AC21" s="5" t="str">
        <f ca="1">IFERROR(VLOOKUP($AB21,OFFSET([4]characters!$A$1,0,0,COUNTA([4]characters!$A:$A),MATCH(AC$1,[4]characters!$1:$1,0)-MATCH("character_id",[4]characters!$1:$1,0)+1),MATCH(AC$1,[4]characters!$1:$1,0)-MATCH("character_id",[4]characters!$1:$1,0)+1,FALSE),"")</f>
        <v>鳥人ハヤト</v>
      </c>
      <c r="AD21" s="5">
        <f ca="1">IFERROR(VLOOKUP($AB21,OFFSET([4]characters!$A$1,0,0,COUNTA([4]characters!$A:$A),MATCH(AD$1,[4]characters!$1:$1,0)-MATCH("character_id",[4]characters!$1:$1,0)+1),MATCH(AD$1,[4]characters!$1:$1,0)-MATCH("character_id",[4]characters!$1:$1,0)+1,FALSE),"")</f>
        <v>3</v>
      </c>
      <c r="AE21" s="5" t="str">
        <f ca="1">IFERROR(VLOOKUP($AB21,OFFSET([4]characters!$A$1,0,0,COUNTA([4]characters!$A:$A),MATCH(AE$1,[4]characters!$1:$1,0)-MATCH("character_id",[4]characters!$1:$1,0)+1),MATCH(AE$1,[4]characters!$1:$1,0)-MATCH("character_id",[4]characters!$1:$1,0)+1,FALSE),"")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1" s="8">
        <v>1</v>
      </c>
      <c r="AG21" s="27">
        <f t="shared" ref="AG21:AG22" ca="1" si="30">AD21</f>
        <v>3</v>
      </c>
      <c r="AH21" s="9">
        <v>0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  <c r="AN21" s="8">
        <v>1</v>
      </c>
    </row>
    <row r="22" spans="1:40" ht="21" customHeight="1" x14ac:dyDescent="0.15">
      <c r="A22" s="17" t="str">
        <f t="shared" ca="1" si="28"/>
        <v>11001_4-5/140&lt;lv30&gt;s2</v>
      </c>
      <c r="B22" s="73">
        <v>11001</v>
      </c>
      <c r="C22" s="74">
        <v>4</v>
      </c>
      <c r="D22" s="2" t="str">
        <f t="shared" si="29"/>
        <v>11001_4</v>
      </c>
      <c r="E22" s="5" t="str">
        <f ca="1">VLOOKUP($B22,OFFSET([2]quests!$A$1,0,0,COUNTA([2]quests!$A:$A),MATCH(E$1,[2]quests!$1:$1,0)-MATCH($B$1,[2]quests!$1:$1,0)+1),MATCH(E$1,[2]quests!$1:$1,0)-MATCH($B$1,[2]quests!$1:$1,0)+1,FALSE)</f>
        <v>【月曜限定】 黄の素材</v>
      </c>
      <c r="F22" s="5" t="str">
        <f ca="1">VLOOKUP($D22,OFFSET([2]stages!$A$1,0,0,COUNTA([2]stages!$A:$A),MATCH(F$1,[2]stages!$2:$2,0)-MATCH($D$1,[2]stages!$2:$2,0)+1),MATCH(F$1,[2]stages!$2:$2,0)-MATCH($D$1,[2]stages!$2:$2,0)+1,FALSE)</f>
        <v>【上級】雷のイモムシ</v>
      </c>
      <c r="G22" s="25">
        <v>5</v>
      </c>
      <c r="H22" s="16" t="str">
        <f t="shared" si="0"/>
        <v>11001_4-5</v>
      </c>
      <c r="I22" s="5">
        <f ca="1">VLOOKUP($H22,OFFSET(floors!$A$1,0,0,COUNTA(floors!$A:$A),MATCH(I$1,floors!$1:$1,0)-MATCH($H$1,floors!$1:$1,0)+1),MATCH(I$1,floors!$1:$1,0)-MATCH($H$1,floors!$1:$1,0)+1,FALSE)</f>
        <v>60</v>
      </c>
      <c r="J22" s="5">
        <f ca="1">VLOOKUP($H22,OFFSET(floors!$A$1,0,0,COUNTA(floors!$A:$A),MATCH(J$1,floors!$1:$1,0)-MATCH($H$1,floors!$1:$1,0)+1),MATCH(J$1,floors!$1:$1,0)-MATCH($H$1,floors!$1:$1,0)+1,FALSE)</f>
        <v>60</v>
      </c>
      <c r="K22" s="24" t="s">
        <v>209</v>
      </c>
      <c r="L22" s="24">
        <v>140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秋祭のタマモ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22" t="str">
        <f ca="1">VLOOKUP($L22,OFFSET([4]characters!$A$1,0,0,COUNTA([4]characters!$A:$A),MATCH(O$1,[4]characters!$1:$1,0)-MATCH($L$1,[4]characters!$1:$1,0)+1),MATCH(O$1,[4]characters!$1:$1,0)-MATCH($L$1,[4]characters!$1:$1,0)+1,FALSE)</f>
        <v>PremiumW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20">
        <f ca="1">VLOOKUP($L22,OFFSET([3]enemies!$A$1,0,0,COUNTA([3]enemies!$A:$A),MATCH(Q$1,[3]enemies!$1:$1,0)-MATCH($L$1,[3]enemies!$1:$1,0)+1),MATCH(Q$1,[3]enemies!$1:$1,0)-MATCH($L$1,[3]enemies!$1:$1,0)+1,FALSE)</f>
        <v>20</v>
      </c>
      <c r="R22" s="6">
        <v>30</v>
      </c>
      <c r="S22" s="30">
        <v>1</v>
      </c>
      <c r="T22" s="30">
        <v>1</v>
      </c>
      <c r="U22" s="6">
        <v>0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5">
        <f ca="1">VLOOKUP($L22,OFFSET([3]enemies!$A$1,0,0,COUNTA([3]enemies!$A:$A),MATCH(W$1,[3]enemies!$1:$1,0)-MATCH($L$1,[3]enemies!$1:$1,0)+1),MATCH(W$1,[3]enemies!$1:$1,0)-MATCH($L$1,[3]enemies!$1:$1,0)+1,FALSE)</f>
        <v>0</v>
      </c>
      <c r="X22" s="7">
        <v>0</v>
      </c>
      <c r="Y22" s="7">
        <v>100</v>
      </c>
      <c r="Z22" s="7">
        <v>0</v>
      </c>
      <c r="AA22" s="20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v>140</v>
      </c>
      <c r="AC22" s="5" t="str">
        <f ca="1">IFERROR(VLOOKUP($AB22,OFFSET([4]characters!$A$1,0,0,COUNTA([4]characters!$A:$A),MATCH(AC$1,[4]characters!$1:$1,0)-MATCH("character_id",[4]characters!$1:$1,0)+1),MATCH(AC$1,[4]characters!$1:$1,0)-MATCH("character_id",[4]characters!$1:$1,0)+1,FALSE),"")</f>
        <v>秋祭のタマモ</v>
      </c>
      <c r="AD22" s="5">
        <f ca="1">IFERROR(VLOOKUP($AB22,OFFSET([4]characters!$A$1,0,0,COUNTA([4]characters!$A:$A),MATCH(AD$1,[4]characters!$1:$1,0)-MATCH("character_id",[4]characters!$1:$1,0)+1),MATCH(AD$1,[4]characters!$1:$1,0)-MATCH("character_id",[4]characters!$1:$1,0)+1,FALSE),"")</f>
        <v>3</v>
      </c>
      <c r="AE22" s="5" t="str">
        <f ca="1">IFERROR(VLOOKUP($AB22,OFFSET([4]characters!$A$1,0,0,COUNTA([4]characters!$A:$A),MATCH(AE$1,[4]characters!$1:$1,0)-MATCH("character_id",[4]characters!$1:$1,0)+1),MATCH(AE$1,[4]characters!$1:$1,0)-MATCH("character_id",[4]characters!$1:$1,0)+1,FALSE),"")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2" s="8">
        <v>1</v>
      </c>
      <c r="AG22" s="27">
        <f t="shared" ca="1" si="30"/>
        <v>3</v>
      </c>
      <c r="AH22" s="9">
        <v>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  <c r="AN22" s="8">
        <v>1</v>
      </c>
    </row>
    <row r="23" spans="1:40" ht="21" customHeight="1" x14ac:dyDescent="0.15">
      <c r="A23" s="17" t="str">
        <f t="shared" ca="1" si="28"/>
        <v>11001_4-5/148&lt;lv30&gt;s2</v>
      </c>
      <c r="B23" s="73">
        <v>11001</v>
      </c>
      <c r="C23" s="74">
        <v>4</v>
      </c>
      <c r="D23" s="2" t="str">
        <f t="shared" si="26"/>
        <v>11001_4</v>
      </c>
      <c r="E23" s="5" t="str">
        <f ca="1">VLOOKUP($B23,OFFSET([2]quests!$A$1,0,0,COUNTA([2]quests!$A:$A),MATCH(E$1,[2]quests!$1:$1,0)-MATCH($B$1,[2]quests!$1:$1,0)+1),MATCH(E$1,[2]quests!$1:$1,0)-MATCH($B$1,[2]quests!$1:$1,0)+1,FALSE)</f>
        <v>【月曜限定】 黄の素材</v>
      </c>
      <c r="F23" s="5" t="str">
        <f ca="1">VLOOKUP($D23,OFFSET([2]stages!$A$1,0,0,COUNTA([2]stages!$A:$A),MATCH(F$1,[2]stages!$2:$2,0)-MATCH($D$1,[2]stages!$2:$2,0)+1),MATCH(F$1,[2]stages!$2:$2,0)-MATCH($D$1,[2]stages!$2:$2,0)+1,FALSE)</f>
        <v>【上級】雷のイモムシ</v>
      </c>
      <c r="G23" s="25">
        <v>5</v>
      </c>
      <c r="H23" s="16" t="str">
        <f t="shared" si="0"/>
        <v>11001_4-5</v>
      </c>
      <c r="I23" s="5">
        <f ca="1">VLOOKUP($H23,OFFSET(floors!$A$1,0,0,COUNTA(floors!$A:$A),MATCH(I$1,floors!$1:$1,0)-MATCH($H$1,floors!$1:$1,0)+1),MATCH(I$1,floors!$1:$1,0)-MATCH($H$1,floors!$1:$1,0)+1,FALSE)</f>
        <v>60</v>
      </c>
      <c r="J23" s="5">
        <f ca="1">VLOOKUP($H23,OFFSET(floors!$A$1,0,0,COUNTA(floors!$A:$A),MATCH(J$1,floors!$1:$1,0)-MATCH($H$1,floors!$1:$1,0)+1),MATCH(J$1,floors!$1:$1,0)-MATCH($H$1,floors!$1:$1,0)+1,FALSE)</f>
        <v>60</v>
      </c>
      <c r="K23" s="24" t="s">
        <v>209</v>
      </c>
      <c r="L23" s="24">
        <v>148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シンデレラ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22" t="str">
        <f ca="1">VLOOKUP($L23,OFFSET([4]characters!$A$1,0,0,COUNTA([4]characters!$A:$A),MATCH(O$1,[4]characters!$1:$1,0)-MATCH($L$1,[4]characters!$1:$1,0)+1),MATCH(O$1,[4]characters!$1:$1,0)-MATCH($L$1,[4]characters!$1:$1,0)+1,FALSE)</f>
        <v>PremiumW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20">
        <f ca="1">VLOOKUP($L23,OFFSET([3]enemies!$A$1,0,0,COUNTA([3]enemies!$A:$A),MATCH(Q$1,[3]enemies!$1:$1,0)-MATCH($L$1,[3]enemies!$1:$1,0)+1),MATCH(Q$1,[3]enemies!$1:$1,0)-MATCH($L$1,[3]enemies!$1:$1,0)+1,FALSE)</f>
        <v>20</v>
      </c>
      <c r="R23" s="6">
        <v>30</v>
      </c>
      <c r="S23" s="30">
        <v>1</v>
      </c>
      <c r="T23" s="30">
        <v>1</v>
      </c>
      <c r="U23" s="6">
        <v>0</v>
      </c>
      <c r="V23" s="5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舞踏会に想いを馳せている</v>
      </c>
      <c r="W23" s="5">
        <f ca="1">VLOOKUP($L23,OFFSET([3]enemies!$A$1,0,0,COUNTA([3]enemies!$A:$A),MATCH(W$1,[3]enemies!$1:$1,0)-MATCH($L$1,[3]enemies!$1:$1,0)+1),MATCH(W$1,[3]enemies!$1:$1,0)-MATCH($L$1,[3]enemies!$1:$1,0)+1,FALSE)</f>
        <v>148</v>
      </c>
      <c r="X23" s="7">
        <v>0</v>
      </c>
      <c r="Y23" s="7">
        <v>100</v>
      </c>
      <c r="Z23" s="7">
        <v>0</v>
      </c>
      <c r="AA23" s="20">
        <f ca="1">VLOOKUP($L23,OFFSET([3]enemies!$A$1,0,0,COUNTA([3]enemies!$A:$A),MATCH(AA$1,[3]enemies!$1:$1,0)-MATCH($L$1,[3]enemies!$1:$1,0)+1),MATCH(AA$1,[3]enemies!$1:$1,0)-MATCH($L$1,[3]enemies!$1:$1,0)+1,FALSE)</f>
        <v>2</v>
      </c>
      <c r="AB23" s="24">
        <v>148</v>
      </c>
      <c r="AC23" s="5" t="str">
        <f ca="1">IFERROR(VLOOKUP($AB23,OFFSET([4]characters!$A$1,0,0,COUNTA([4]characters!$A:$A),MATCH(AC$1,[4]characters!$1:$1,0)-MATCH("character_id",[4]characters!$1:$1,0)+1),MATCH(AC$1,[4]characters!$1:$1,0)-MATCH("character_id",[4]characters!$1:$1,0)+1,FALSE),"")</f>
        <v>シンデレラ</v>
      </c>
      <c r="AD23" s="5">
        <f ca="1">IFERROR(VLOOKUP($AB23,OFFSET([4]characters!$A$1,0,0,COUNTA([4]characters!$A:$A),MATCH(AD$1,[4]characters!$1:$1,0)-MATCH("character_id",[4]characters!$1:$1,0)+1),MATCH(AD$1,[4]characters!$1:$1,0)-MATCH("character_id",[4]characters!$1:$1,0)+1,FALSE),"")</f>
        <v>3</v>
      </c>
      <c r="AE23" s="5" t="str">
        <f ca="1">IFERROR(VLOOKUP($AB23,OFFSET([4]characters!$A$1,0,0,COUNTA([4]characters!$A:$A),MATCH(AE$1,[4]characters!$1:$1,0)-MATCH("character_id",[4]characters!$1:$1,0)+1),MATCH(AE$1,[4]characters!$1:$1,0)-MATCH("character_id",[4]characters!$1:$1,0)+1,FALSE),"")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3" s="8">
        <v>1</v>
      </c>
      <c r="AG23" s="27">
        <f t="shared" ca="1" si="27"/>
        <v>3</v>
      </c>
      <c r="AH23" s="9">
        <v>0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  <c r="AN23" s="8">
        <v>1</v>
      </c>
    </row>
    <row r="24" spans="1:40" ht="21" customHeight="1" x14ac:dyDescent="0.15">
      <c r="A24" s="17" t="str">
        <f t="shared" ca="1" si="28"/>
        <v>11001_4-5/156&lt;lv30&gt;s2</v>
      </c>
      <c r="B24" s="73">
        <v>11001</v>
      </c>
      <c r="C24" s="74">
        <v>4</v>
      </c>
      <c r="D24" s="2" t="str">
        <f t="shared" si="26"/>
        <v>11001_4</v>
      </c>
      <c r="E24" s="5" t="str">
        <f ca="1">VLOOKUP($B24,OFFSET([2]quests!$A$1,0,0,COUNTA([2]quests!$A:$A),MATCH(E$1,[2]quests!$1:$1,0)-MATCH($B$1,[2]quests!$1:$1,0)+1),MATCH(E$1,[2]quests!$1:$1,0)-MATCH($B$1,[2]quests!$1:$1,0)+1,FALSE)</f>
        <v>【月曜限定】 黄の素材</v>
      </c>
      <c r="F24" s="5" t="str">
        <f ca="1">VLOOKUP($D24,OFFSET([2]stages!$A$1,0,0,COUNTA([2]stages!$A:$A),MATCH(F$1,[2]stages!$2:$2,0)-MATCH($D$1,[2]stages!$2:$2,0)+1),MATCH(F$1,[2]stages!$2:$2,0)-MATCH($D$1,[2]stages!$2:$2,0)+1,FALSE)</f>
        <v>【上級】雷のイモムシ</v>
      </c>
      <c r="G24" s="25">
        <v>5</v>
      </c>
      <c r="H24" s="16" t="str">
        <f t="shared" ref="H24" si="31">B24&amp;"_"&amp;C24&amp;"-"&amp;G24</f>
        <v>11001_4-5</v>
      </c>
      <c r="I24" s="5">
        <f ca="1">VLOOKUP($H24,OFFSET(floors!$A$1,0,0,COUNTA(floors!$A:$A),MATCH(I$1,floors!$1:$1,0)-MATCH($H$1,floors!$1:$1,0)+1),MATCH(I$1,floors!$1:$1,0)-MATCH($H$1,floors!$1:$1,0)+1,FALSE)</f>
        <v>60</v>
      </c>
      <c r="J24" s="5">
        <f ca="1">VLOOKUP($H24,OFFSET(floors!$A$1,0,0,COUNTA(floors!$A:$A),MATCH(J$1,floors!$1:$1,0)-MATCH($H$1,floors!$1:$1,0)+1),MATCH(J$1,floors!$1:$1,0)-MATCH($H$1,floors!$1:$1,0)+1,FALSE)</f>
        <v>60</v>
      </c>
      <c r="K24" s="24" t="s">
        <v>172</v>
      </c>
      <c r="L24" s="24">
        <v>156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踊り子 エレナ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22" t="str">
        <f ca="1">VLOOKUP($L24,OFFSET([4]characters!$A$1,0,0,COUNTA([4]characters!$A:$A),MATCH(O$1,[4]characters!$1:$1,0)-MATCH($L$1,[4]characters!$1:$1,0)+1),MATCH(O$1,[4]characters!$1:$1,0)-MATCH($L$1,[4]characters!$1:$1,0)+1,FALSE)</f>
        <v>PremiumW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20">
        <f ca="1">VLOOKUP($L24,OFFSET([3]enemies!$A$1,0,0,COUNTA([3]enemies!$A:$A),MATCH(Q$1,[3]enemies!$1:$1,0)-MATCH($L$1,[3]enemies!$1:$1,0)+1),MATCH(Q$1,[3]enemies!$1:$1,0)-MATCH($L$1,[3]enemies!$1:$1,0)+1,FALSE)</f>
        <v>20</v>
      </c>
      <c r="R24" s="6">
        <v>30</v>
      </c>
      <c r="S24" s="30">
        <v>1</v>
      </c>
      <c r="T24" s="30">
        <v>1</v>
      </c>
      <c r="U24" s="6">
        <v>0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4" s="5">
        <f ca="1">VLOOKUP($L24,OFFSET([3]enemies!$A$1,0,0,COUNTA([3]enemies!$A:$A),MATCH(W$1,[3]enemies!$1:$1,0)-MATCH($L$1,[3]enemies!$1:$1,0)+1),MATCH(W$1,[3]enemies!$1:$1,0)-MATCH($L$1,[3]enemies!$1:$1,0)+1,FALSE)</f>
        <v>156</v>
      </c>
      <c r="X24" s="7">
        <v>0</v>
      </c>
      <c r="Y24" s="7">
        <v>100</v>
      </c>
      <c r="Z24" s="7">
        <v>0</v>
      </c>
      <c r="AA24" s="20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v>156</v>
      </c>
      <c r="AC24" s="5" t="str">
        <f ca="1">IFERROR(VLOOKUP($AB24,OFFSET([4]characters!$A$1,0,0,COUNTA([4]characters!$A:$A),MATCH(AC$1,[4]characters!$1:$1,0)-MATCH("character_id",[4]characters!$1:$1,0)+1),MATCH(AC$1,[4]characters!$1:$1,0)-MATCH("character_id",[4]characters!$1:$1,0)+1,FALSE),"")</f>
        <v>踊り子 エレナ</v>
      </c>
      <c r="AD24" s="5">
        <f ca="1">IFERROR(VLOOKUP($AB24,OFFSET([4]characters!$A$1,0,0,COUNTA([4]characters!$A:$A),MATCH(AD$1,[4]characters!$1:$1,0)-MATCH("character_id",[4]characters!$1:$1,0)+1),MATCH(AD$1,[4]characters!$1:$1,0)-MATCH("character_id",[4]characters!$1:$1,0)+1,FALSE),"")</f>
        <v>3</v>
      </c>
      <c r="AE24" s="5" t="str">
        <f ca="1">IFERROR(VLOOKUP($AB24,OFFSET([4]characters!$A$1,0,0,COUNTA([4]characters!$A:$A),MATCH(AE$1,[4]characters!$1:$1,0)-MATCH("character_id",[4]characters!$1:$1,0)+1),MATCH(AE$1,[4]characters!$1:$1,0)-MATCH("character_id",[4]characters!$1:$1,0)+1,FALSE),"")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4" s="8">
        <v>1</v>
      </c>
      <c r="AG24" s="27">
        <f t="shared" ca="1" si="27"/>
        <v>3</v>
      </c>
      <c r="AH24" s="9">
        <v>0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  <c r="AN24" s="8">
        <v>1</v>
      </c>
    </row>
    <row r="25" spans="1:40" ht="21" customHeight="1" x14ac:dyDescent="0.15">
      <c r="A25" s="17" t="str">
        <f t="shared" ca="1" si="28"/>
        <v>11001_4-5/837&lt;lv30&gt;s3</v>
      </c>
      <c r="B25" s="73">
        <v>11001</v>
      </c>
      <c r="C25" s="74">
        <v>4</v>
      </c>
      <c r="D25" s="2" t="str">
        <f>B25&amp;"_"&amp;C25</f>
        <v>11001_4</v>
      </c>
      <c r="E25" s="5" t="str">
        <f ca="1">VLOOKUP($B25,OFFSET([2]quests!$A$1,0,0,COUNTA([2]quests!$A:$A),MATCH(E$1,[2]quests!$1:$1,0)-MATCH($B$1,[2]quests!$1:$1,0)+1),MATCH(E$1,[2]quests!$1:$1,0)-MATCH($B$1,[2]quests!$1:$1,0)+1,FALSE)</f>
        <v>【月曜限定】 黄の素材</v>
      </c>
      <c r="F25" s="5" t="str">
        <f ca="1">VLOOKUP($D25,OFFSET([2]stages!$A$1,0,0,COUNTA([2]stages!$A:$A),MATCH(F$1,[2]stages!$2:$2,0)-MATCH($D$1,[2]stages!$2:$2,0)+1),MATCH(F$1,[2]stages!$2:$2,0)-MATCH($D$1,[2]stages!$2:$2,0)+1,FALSE)</f>
        <v>【上級】雷のイモムシ</v>
      </c>
      <c r="G25" s="25">
        <v>5</v>
      </c>
      <c r="H25" s="16" t="str">
        <f>B25&amp;"_"&amp;C25&amp;"-"&amp;G25</f>
        <v>11001_4-5</v>
      </c>
      <c r="I25" s="5">
        <f ca="1">VLOOKUP($H25,OFFSET(floors!$A$1,0,0,COUNTA(floors!$A:$A),MATCH(I$1,floors!$1:$1,0)-MATCH($H$1,floors!$1:$1,0)+1),MATCH(I$1,floors!$1:$1,0)-MATCH($H$1,floors!$1:$1,0)+1,FALSE)</f>
        <v>60</v>
      </c>
      <c r="J25" s="5">
        <f ca="1">VLOOKUP($H25,OFFSET(floors!$A$1,0,0,COUNTA(floors!$A:$A),MATCH(J$1,floors!$1:$1,0)-MATCH($H$1,floors!$1:$1,0)+1),MATCH(J$1,floors!$1:$1,0)-MATCH($H$1,floors!$1:$1,0)+1,FALSE)</f>
        <v>60</v>
      </c>
      <c r="K25" s="24" t="s">
        <v>209</v>
      </c>
      <c r="L25" s="24">
        <v>837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リトルハンプティ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22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60</v>
      </c>
      <c r="R25" s="6">
        <v>30</v>
      </c>
      <c r="S25" s="30">
        <v>10</v>
      </c>
      <c r="T25" s="30">
        <v>30</v>
      </c>
      <c r="U25" s="6">
        <v>0</v>
      </c>
      <c r="V25" s="5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5">
        <f ca="1">VLOOKUP($L25,OFFSET([3]enemies!$A$1,0,0,COUNTA([3]enemies!$A:$A),MATCH(W$1,[3]enemies!$1:$1,0)-MATCH($L$1,[3]enemies!$1:$1,0)+1),MATCH(W$1,[3]enemies!$1:$1,0)-MATCH($L$1,[3]enemies!$1:$1,0)+1,FALSE)</f>
        <v>0</v>
      </c>
      <c r="X25" s="7">
        <v>0</v>
      </c>
      <c r="Y25" s="7">
        <v>10</v>
      </c>
      <c r="Z25" s="7">
        <v>1</v>
      </c>
      <c r="AA25" s="20">
        <f ca="1">VLOOKUP($L25,OFFSET([3]enemies!$A$1,0,0,COUNTA([3]enemies!$A:$A),MATCH(AA$1,[3]enemies!$1:$1,0)-MATCH($L$1,[3]enemies!$1:$1,0)+1),MATCH(AA$1,[3]enemies!$1:$1,0)-MATCH($L$1,[3]enemies!$1:$1,0)+1,FALSE)</f>
        <v>3</v>
      </c>
      <c r="AB25" s="24">
        <v>837</v>
      </c>
      <c r="AC25" s="5" t="str">
        <f ca="1">IFERROR(VLOOKUP($AB25,OFFSET([4]characters!$A$1,0,0,COUNTA([4]characters!$A:$A),MATCH(AC$1,[4]characters!$1:$1,0)-MATCH("character_id",[4]characters!$1:$1,0)+1),MATCH(AC$1,[4]characters!$1:$1,0)-MATCH("character_id",[4]characters!$1:$1,0)+1,FALSE),"")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25" s="5">
        <f ca="1">IFERROR(VLOOKUP($AB25,OFFSET([4]characters!$A$1,0,0,COUNTA([4]characters!$A:$A),MATCH(AD$1,[4]characters!$1:$1,0)-MATCH("character_id",[4]characters!$1:$1,0)+1),MATCH(AD$1,[4]characters!$1:$1,0)-MATCH("character_id",[4]characters!$1:$1,0)+1,FALSE),"")</f>
        <v>6</v>
      </c>
      <c r="AE25" s="5" t="str">
        <f ca="1">IFERROR(VLOOKUP($AB25,OFFSET([4]characters!$A$1,0,0,COUNTA([4]characters!$A:$A),MATCH(AE$1,[4]characters!$1:$1,0)-MATCH("character_id",[4]characters!$1:$1,0)+1),MATCH(AE$1,[4]characters!$1:$1,0)-MATCH("character_id",[4]characters!$1:$1,0)+1,FALSE),"")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" s="8">
        <v>1</v>
      </c>
      <c r="AG25" s="27">
        <f ca="1">AD25</f>
        <v>6</v>
      </c>
      <c r="AH25" s="9">
        <v>33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  <c r="AN25" s="8">
        <v>1</v>
      </c>
    </row>
    <row r="26" spans="1:40" ht="21" customHeight="1" x14ac:dyDescent="0.15">
      <c r="A26" s="78" t="str">
        <f t="shared" ref="A26:A44" ca="1" si="32">B26&amp;"_"&amp;C26&amp;"-"&amp;G26&amp;"/"&amp;L26&amp;"&lt;lv"&amp;R26&amp;"&gt;s"&amp;AA26</f>
        <v>11002_4-1/103&lt;lv30&gt;s3</v>
      </c>
      <c r="B26" s="76">
        <v>11002</v>
      </c>
      <c r="C26" s="77">
        <v>4</v>
      </c>
      <c r="D26" s="16" t="str">
        <f t="shared" ref="D26:D48" si="33">B26&amp;"_"&amp;C26</f>
        <v>11002_4</v>
      </c>
      <c r="E26" s="22" t="str">
        <f ca="1">VLOOKUP($B26,OFFSET([2]quests!$A$1,0,0,COUNTA([2]quests!$A:$A),MATCH(E$1,[2]quests!$1:$1,0)-MATCH($B$1,[2]quests!$1:$1,0)+1),MATCH(E$1,[2]quests!$1:$1,0)-MATCH($B$1,[2]quests!$1:$1,0)+1,FALSE)</f>
        <v>【火曜限定】 赤の素材</v>
      </c>
      <c r="F26" s="22" t="str">
        <f ca="1">VLOOKUP($D26,OFFSET([2]stages!$A$1,0,0,COUNTA([2]stages!$A:$A),MATCH(F$1,[2]stages!$2:$2,0)-MATCH($D$1,[2]stages!$2:$2,0)+1),MATCH(F$1,[2]stages!$2:$2,0)-MATCH($D$1,[2]stages!$2:$2,0)+1,FALSE)</f>
        <v xml:space="preserve">【上級】火のイモムシ </v>
      </c>
      <c r="G26" s="68">
        <v>1</v>
      </c>
      <c r="H26" s="16" t="str">
        <f t="shared" ref="H26:H48" si="34">B26&amp;"_"&amp;C26&amp;"-"&amp;G26</f>
        <v>11002_4-1</v>
      </c>
      <c r="I26" s="22" t="e">
        <v>#N/A</v>
      </c>
      <c r="J26" s="22" t="e">
        <v>#N/A</v>
      </c>
      <c r="K26" s="70" t="s">
        <v>217</v>
      </c>
      <c r="L26" s="70">
        <v>103</v>
      </c>
      <c r="M26" s="22" t="str">
        <f ca="1">VLOOKUP($L26,OFFSET([3]enemies!$A$1,0,0,COUNTA([3]enemies!$A:$A),MATCH(M$1,[3]enemies!$1:$1,0)-MATCH($L$1,[3]enemies!$1:$1,0)+1),MATCH(M$1,[3]enemies!$1:$1,0)-MATCH($L$1,[3]enemies!$1:$1,0)+1,FALSE)</f>
        <v>レッドキャタップ</v>
      </c>
      <c r="N26" s="22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22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22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22">
        <f ca="1">VLOOKUP($L26,OFFSET([3]enemies!$A$1,0,0,COUNTA([3]enemies!$A:$A),MATCH(Q$1,[3]enemies!$1:$1,0)-MATCH($L$1,[3]enemies!$1:$1,0)+1),MATCH(Q$1,[3]enemies!$1:$1,0)-MATCH($L$1,[3]enemies!$1:$1,0)+1,FALSE)</f>
        <v>15</v>
      </c>
      <c r="R26" s="79">
        <v>30</v>
      </c>
      <c r="S26" s="80">
        <v>2</v>
      </c>
      <c r="T26" s="80">
        <v>1</v>
      </c>
      <c r="U26" s="79">
        <v>0</v>
      </c>
      <c r="V26" s="22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22">
        <f ca="1">VLOOKUP($L26,OFFSET([3]enemies!$A$1,0,0,COUNTA([3]enemies!$A:$A),MATCH(W$1,[3]enemies!$1:$1,0)-MATCH($L$1,[3]enemies!$1:$1,0)+1),MATCH(W$1,[3]enemies!$1:$1,0)-MATCH($L$1,[3]enemies!$1:$1,0)+1,FALSE)</f>
        <v>0</v>
      </c>
      <c r="X26" s="81">
        <v>1</v>
      </c>
      <c r="Y26" s="81">
        <v>100</v>
      </c>
      <c r="Z26" s="81">
        <v>1</v>
      </c>
      <c r="AA26" s="22">
        <f ca="1">VLOOKUP($L26,OFFSET([3]enemies!$A$1,0,0,COUNTA([3]enemies!$A:$A),MATCH(AA$1,[3]enemies!$1:$1,0)-MATCH($L$1,[3]enemies!$1:$1,0)+1),MATCH(AA$1,[3]enemies!$1:$1,0)-MATCH($L$1,[3]enemies!$1:$1,0)+1,FALSE)</f>
        <v>3</v>
      </c>
      <c r="AB26" s="70">
        <v>103</v>
      </c>
      <c r="AC26" s="22" t="str">
        <f ca="1">IFERROR(VLOOKUP($AB26,OFFSET([4]characters!$A$1,0,0,COUNTA([4]characters!$A:$A),MATCH(AC$1,[4]characters!$1:$1,0)-MATCH("character_id",[4]characters!$1:$1,0)+1),MATCH(AC$1,[4]characters!$1:$1,0)-MATCH("character_id",[4]characters!$1:$1,0)+1,FALSE),"")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6" s="22">
        <f ca="1">IFERROR(VLOOKUP($AB26,OFFSET([4]characters!$A$1,0,0,COUNTA([4]characters!$A:$A),MATCH(AD$1,[4]characters!$1:$1,0)-MATCH("character_id",[4]characters!$1:$1,0)+1),MATCH(AD$1,[4]characters!$1:$1,0)-MATCH("character_id",[4]characters!$1:$1,0)+1,FALSE),"")</f>
        <v>4</v>
      </c>
      <c r="AE26" s="22" t="str">
        <f ca="1">IFERROR(VLOOKUP($AB26,OFFSET([4]characters!$A$1,0,0,COUNTA([4]characters!$A:$A),MATCH(AE$1,[4]characters!$1:$1,0)-MATCH("character_id",[4]characters!$1:$1,0)+1),MATCH(AE$1,[4]characters!$1:$1,0)-MATCH("character_id",[4]characters!$1:$1,0)+1,FALSE),"")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" s="28">
        <v>1</v>
      </c>
      <c r="AG26" s="75">
        <f t="shared" ref="AG26:AG48" ca="1" si="35">AD26</f>
        <v>4</v>
      </c>
      <c r="AH26" s="131">
        <v>50</v>
      </c>
      <c r="AI26" s="28">
        <v>0</v>
      </c>
      <c r="AJ26" s="28">
        <v>0</v>
      </c>
      <c r="AK26" s="28">
        <v>0</v>
      </c>
      <c r="AL26" s="28">
        <v>0</v>
      </c>
      <c r="AM26" s="28">
        <v>1</v>
      </c>
      <c r="AN26" s="28">
        <v>1</v>
      </c>
    </row>
    <row r="27" spans="1:40" ht="21" customHeight="1" x14ac:dyDescent="0.15">
      <c r="A27" s="78" t="str">
        <f t="shared" ca="1" si="32"/>
        <v>11002_4-1/33&lt;lv35&gt;s2</v>
      </c>
      <c r="B27" s="76">
        <v>11002</v>
      </c>
      <c r="C27" s="77">
        <v>4</v>
      </c>
      <c r="D27" s="16" t="str">
        <f t="shared" si="33"/>
        <v>11002_4</v>
      </c>
      <c r="E27" s="22" t="str">
        <f ca="1">VLOOKUP($B27,OFFSET([2]quests!$A$1,0,0,COUNTA([2]quests!$A:$A),MATCH(E$1,[2]quests!$1:$1,0)-MATCH($B$1,[2]quests!$1:$1,0)+1),MATCH(E$1,[2]quests!$1:$1,0)-MATCH($B$1,[2]quests!$1:$1,0)+1,FALSE)</f>
        <v>【火曜限定】 赤の素材</v>
      </c>
      <c r="F27" s="22" t="str">
        <f ca="1">VLOOKUP($D27,OFFSET([2]stages!$A$1,0,0,COUNTA([2]stages!$A:$A),MATCH(F$1,[2]stages!$2:$2,0)-MATCH($D$1,[2]stages!$2:$2,0)+1),MATCH(F$1,[2]stages!$2:$2,0)-MATCH($D$1,[2]stages!$2:$2,0)+1,FALSE)</f>
        <v xml:space="preserve">【上級】火のイモムシ </v>
      </c>
      <c r="G27" s="68">
        <v>1</v>
      </c>
      <c r="H27" s="16" t="str">
        <f t="shared" si="34"/>
        <v>11002_4-1</v>
      </c>
      <c r="I27" s="22" t="e">
        <v>#N/A</v>
      </c>
      <c r="J27" s="22" t="e">
        <v>#N/A</v>
      </c>
      <c r="K27" s="70" t="s">
        <v>217</v>
      </c>
      <c r="L27" s="70">
        <v>33</v>
      </c>
      <c r="M27" s="22" t="str">
        <f ca="1">VLOOKUP($L27,OFFSET([3]enemies!$A$1,0,0,COUNTA([3]enemies!$A:$A),MATCH(M$1,[3]enemies!$1:$1,0)-MATCH($L$1,[3]enemies!$1:$1,0)+1),MATCH(M$1,[3]enemies!$1:$1,0)-MATCH($L$1,[3]enemies!$1:$1,0)+1,FALSE)</f>
        <v>ゴクウ</v>
      </c>
      <c r="N27" s="22" t="str">
        <f ca="1">VLOOKUP($L27,OFFSET([3]enemies!$A$1,0,0,COUNTA([3]enemies!$A:$A),MATCH(N$1,[3]enemies!$1:$1,0)-MATCH($L$1,[3]enemies!$1:$1,0)+1),MATCH(N$1,[3]enemies!$1:$1,0)-MATCH($L$1,[3]enemies!$1:$1,0)+1,FALSE)</f>
        <v>red</v>
      </c>
      <c r="O27" s="22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22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22">
        <f ca="1">VLOOKUP($L27,OFFSET([3]enemies!$A$1,0,0,COUNTA([3]enemies!$A:$A),MATCH(Q$1,[3]enemies!$1:$1,0)-MATCH($L$1,[3]enemies!$1:$1,0)+1),MATCH(Q$1,[3]enemies!$1:$1,0)-MATCH($L$1,[3]enemies!$1:$1,0)+1,FALSE)</f>
        <v>15</v>
      </c>
      <c r="R27" s="79">
        <v>35</v>
      </c>
      <c r="S27" s="80">
        <v>1</v>
      </c>
      <c r="T27" s="80">
        <v>1</v>
      </c>
      <c r="U27" s="79">
        <v>0</v>
      </c>
      <c r="V27" s="22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27" s="22">
        <f ca="1">VLOOKUP($L27,OFFSET([3]enemies!$A$1,0,0,COUNTA([3]enemies!$A:$A),MATCH(W$1,[3]enemies!$1:$1,0)-MATCH($L$1,[3]enemies!$1:$1,0)+1),MATCH(W$1,[3]enemies!$1:$1,0)-MATCH($L$1,[3]enemies!$1:$1,0)+1,FALSE)</f>
        <v>33</v>
      </c>
      <c r="X27" s="81">
        <v>0</v>
      </c>
      <c r="Y27" s="81">
        <v>100</v>
      </c>
      <c r="Z27" s="81">
        <v>0</v>
      </c>
      <c r="AA27" s="22">
        <f ca="1">VLOOKUP($L27,OFFSET([3]enemies!$A$1,0,0,COUNTA([3]enemies!$A:$A),MATCH(AA$1,[3]enemies!$1:$1,0)-MATCH($L$1,[3]enemies!$1:$1,0)+1),MATCH(AA$1,[3]enemies!$1:$1,0)-MATCH($L$1,[3]enemies!$1:$1,0)+1,FALSE)</f>
        <v>2</v>
      </c>
      <c r="AB27" s="70">
        <v>33</v>
      </c>
      <c r="AC27" s="22" t="str">
        <f ca="1">IFERROR(VLOOKUP($AB27,OFFSET([4]characters!$A$1,0,0,COUNTA([4]characters!$A:$A),MATCH(AC$1,[4]characters!$1:$1,0)-MATCH("character_id",[4]characters!$1:$1,0)+1),MATCH(AC$1,[4]characters!$1:$1,0)-MATCH("character_id",[4]characters!$1:$1,0)+1,FALSE),"")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27" s="22">
        <f ca="1">IFERROR(VLOOKUP($AB27,OFFSET([4]characters!$A$1,0,0,COUNTA([4]characters!$A:$A),MATCH(AD$1,[4]characters!$1:$1,0)-MATCH("character_id",[4]characters!$1:$1,0)+1),MATCH(AD$1,[4]characters!$1:$1,0)-MATCH("character_id",[4]characters!$1:$1,0)+1,FALSE),"")</f>
        <v>2</v>
      </c>
      <c r="AE27" s="22" t="str">
        <f ca="1">IFERROR(VLOOKUP($AB27,OFFSET([4]characters!$A$1,0,0,COUNTA([4]characters!$A:$A),MATCH(AE$1,[4]characters!$1:$1,0)-MATCH("character_id",[4]characters!$1:$1,0)+1),MATCH(AE$1,[4]characters!$1:$1,0)-MATCH("character_id",[4]characters!$1:$1,0)+1,FALSE),"")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7" s="28">
        <v>1</v>
      </c>
      <c r="AG27" s="75">
        <f t="shared" ca="1" si="35"/>
        <v>2</v>
      </c>
      <c r="AH27" s="81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1</v>
      </c>
      <c r="AN27" s="28">
        <v>1</v>
      </c>
    </row>
    <row r="28" spans="1:40" ht="21" customHeight="1" x14ac:dyDescent="0.15">
      <c r="A28" s="78" t="str">
        <f t="shared" ca="1" si="32"/>
        <v>11002_4-1/21&lt;lv35&gt;s2</v>
      </c>
      <c r="B28" s="76">
        <v>11002</v>
      </c>
      <c r="C28" s="77">
        <v>4</v>
      </c>
      <c r="D28" s="16" t="str">
        <f t="shared" si="33"/>
        <v>11002_4</v>
      </c>
      <c r="E28" s="22" t="str">
        <f ca="1">VLOOKUP($B28,OFFSET([2]quests!$A$1,0,0,COUNTA([2]quests!$A:$A),MATCH(E$1,[2]quests!$1:$1,0)-MATCH($B$1,[2]quests!$1:$1,0)+1),MATCH(E$1,[2]quests!$1:$1,0)-MATCH($B$1,[2]quests!$1:$1,0)+1,FALSE)</f>
        <v>【火曜限定】 赤の素材</v>
      </c>
      <c r="F28" s="22" t="str">
        <f ca="1">VLOOKUP($D28,OFFSET([2]stages!$A$1,0,0,COUNTA([2]stages!$A:$A),MATCH(F$1,[2]stages!$2:$2,0)-MATCH($D$1,[2]stages!$2:$2,0)+1),MATCH(F$1,[2]stages!$2:$2,0)-MATCH($D$1,[2]stages!$2:$2,0)+1,FALSE)</f>
        <v xml:space="preserve">【上級】火のイモムシ </v>
      </c>
      <c r="G28" s="68">
        <v>1</v>
      </c>
      <c r="H28" s="16" t="str">
        <f t="shared" si="34"/>
        <v>11002_4-1</v>
      </c>
      <c r="I28" s="22" t="e">
        <v>#N/A</v>
      </c>
      <c r="J28" s="22" t="e">
        <v>#N/A</v>
      </c>
      <c r="K28" s="70" t="s">
        <v>217</v>
      </c>
      <c r="L28" s="70">
        <v>21</v>
      </c>
      <c r="M28" s="22" t="str">
        <f ca="1">VLOOKUP($L28,OFFSET([3]enemies!$A$1,0,0,COUNTA([3]enemies!$A:$A),MATCH(M$1,[3]enemies!$1:$1,0)-MATCH($L$1,[3]enemies!$1:$1,0)+1),MATCH(M$1,[3]enemies!$1:$1,0)-MATCH($L$1,[3]enemies!$1:$1,0)+1,FALSE)</f>
        <v>ヴェロキー</v>
      </c>
      <c r="N28" s="22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22" t="str">
        <f ca="1">VLOOKUP($L28,OFFSET([4]characters!$A$1,0,0,COUNTA([4]characters!$A:$A),MATCH(O$1,[4]characters!$1:$1,0)-MATCH($L$1,[4]characters!$1:$1,0)+1),MATCH(O$1,[4]characters!$1:$1,0)-MATCH($L$1,[4]characters!$1:$1,0)+1,FALSE)</f>
        <v>Drop1N</v>
      </c>
      <c r="P28" s="22" t="str">
        <f ca="1">VLOOKUP($L28,OFFSET([3]enemies!$A$1,0,0,COUNTA([3]enemies!$A:$A),MATCH(P$1,[3]enemies!$1:$1,0)-MATCH($L$1,[3]enemies!$1:$1,0)+1),MATCH(P$1,[3]enemies!$1:$1,0)-MATCH($L$1,[3]enemies!$1:$1,0)+1,FALSE)</f>
        <v>dragon</v>
      </c>
      <c r="Q28" s="22">
        <f ca="1">VLOOKUP($L28,OFFSET([3]enemies!$A$1,0,0,COUNTA([3]enemies!$A:$A),MATCH(Q$1,[3]enemies!$1:$1,0)-MATCH($L$1,[3]enemies!$1:$1,0)+1),MATCH(Q$1,[3]enemies!$1:$1,0)-MATCH($L$1,[3]enemies!$1:$1,0)+1,FALSE)</f>
        <v>15</v>
      </c>
      <c r="R28" s="79">
        <v>35</v>
      </c>
      <c r="S28" s="80">
        <v>1</v>
      </c>
      <c r="T28" s="80">
        <v>1</v>
      </c>
      <c r="U28" s="79">
        <v>0</v>
      </c>
      <c r="V28" s="22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22">
        <f ca="1">VLOOKUP($L28,OFFSET([3]enemies!$A$1,0,0,COUNTA([3]enemies!$A:$A),MATCH(W$1,[3]enemies!$1:$1,0)-MATCH($L$1,[3]enemies!$1:$1,0)+1),MATCH(W$1,[3]enemies!$1:$1,0)-MATCH($L$1,[3]enemies!$1:$1,0)+1,FALSE)</f>
        <v>0</v>
      </c>
      <c r="X28" s="81">
        <v>0</v>
      </c>
      <c r="Y28" s="81">
        <v>100</v>
      </c>
      <c r="Z28" s="81">
        <v>0</v>
      </c>
      <c r="AA28" s="22">
        <f ca="1">VLOOKUP($L28,OFFSET([3]enemies!$A$1,0,0,COUNTA([3]enemies!$A:$A),MATCH(AA$1,[3]enemies!$1:$1,0)-MATCH($L$1,[3]enemies!$1:$1,0)+1),MATCH(AA$1,[3]enemies!$1:$1,0)-MATCH($L$1,[3]enemies!$1:$1,0)+1,FALSE)</f>
        <v>2</v>
      </c>
      <c r="AB28" s="70">
        <v>21</v>
      </c>
      <c r="AC28" s="22" t="str">
        <f ca="1">IFERROR(VLOOKUP($AB28,OFFSET([4]characters!$A$1,0,0,COUNTA([4]characters!$A:$A),MATCH(AC$1,[4]characters!$1:$1,0)-MATCH("character_id",[4]characters!$1:$1,0)+1),MATCH(AC$1,[4]characters!$1:$1,0)-MATCH("character_id",[4]characters!$1:$1,0)+1,FALSE),"")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28" s="22">
        <f ca="1">IFERROR(VLOOKUP($AB28,OFFSET([4]characters!$A$1,0,0,COUNTA([4]characters!$A:$A),MATCH(AD$1,[4]characters!$1:$1,0)-MATCH("character_id",[4]characters!$1:$1,0)+1),MATCH(AD$1,[4]characters!$1:$1,0)-MATCH("character_id",[4]characters!$1:$1,0)+1,FALSE),"")</f>
        <v>1</v>
      </c>
      <c r="AE28" s="22" t="str">
        <f ca="1">IFERROR(VLOOKUP($AB28,OFFSET([4]characters!$A$1,0,0,COUNTA([4]characters!$A:$A),MATCH(AE$1,[4]characters!$1:$1,0)-MATCH("character_id",[4]characters!$1:$1,0)+1),MATCH(AE$1,[4]characters!$1:$1,0)-MATCH("character_id",[4]characters!$1:$1,0)+1,FALSE),"")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8" s="28">
        <v>1</v>
      </c>
      <c r="AG28" s="75">
        <f t="shared" ca="1" si="35"/>
        <v>1</v>
      </c>
      <c r="AH28" s="81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1</v>
      </c>
      <c r="AN28" s="28">
        <v>1</v>
      </c>
    </row>
    <row r="29" spans="1:40" ht="21" customHeight="1" x14ac:dyDescent="0.15">
      <c r="A29" s="78" t="str">
        <f t="shared" ca="1" si="32"/>
        <v>11002_4-1/332&lt;lv1&gt;s1</v>
      </c>
      <c r="B29" s="76">
        <v>11002</v>
      </c>
      <c r="C29" s="77">
        <v>4</v>
      </c>
      <c r="D29" s="16" t="str">
        <f t="shared" si="33"/>
        <v>11002_4</v>
      </c>
      <c r="E29" s="22" t="str">
        <f ca="1">VLOOKUP($B29,OFFSET([2]quests!$A$1,0,0,COUNTA([2]quests!$A:$A),MATCH(E$1,[2]quests!$1:$1,0)-MATCH($B$1,[2]quests!$1:$1,0)+1),MATCH(E$1,[2]quests!$1:$1,0)-MATCH($B$1,[2]quests!$1:$1,0)+1,FALSE)</f>
        <v>【火曜限定】 赤の素材</v>
      </c>
      <c r="F29" s="22" t="str">
        <f ca="1">VLOOKUP($D29,OFFSET([2]stages!$A$1,0,0,COUNTA([2]stages!$A:$A),MATCH(F$1,[2]stages!$2:$2,0)-MATCH($D$1,[2]stages!$2:$2,0)+1),MATCH(F$1,[2]stages!$2:$2,0)-MATCH($D$1,[2]stages!$2:$2,0)+1,FALSE)</f>
        <v xml:space="preserve">【上級】火のイモムシ </v>
      </c>
      <c r="G29" s="68">
        <v>1</v>
      </c>
      <c r="H29" s="16" t="str">
        <f t="shared" si="34"/>
        <v>11002_4-1</v>
      </c>
      <c r="I29" s="22" t="e">
        <v>#N/A</v>
      </c>
      <c r="J29" s="22" t="e">
        <v>#N/A</v>
      </c>
      <c r="K29" s="70" t="s">
        <v>218</v>
      </c>
      <c r="L29" s="70">
        <v>332</v>
      </c>
      <c r="M29" s="22" t="str">
        <f ca="1">VLOOKUP($L29,OFFSET([3]enemies!$A$1,0,0,COUNTA([3]enemies!$A:$A),MATCH(M$1,[3]enemies!$1:$1,0)-MATCH($L$1,[3]enemies!$1:$1,0)+1),MATCH(M$1,[3]enemies!$1:$1,0)-MATCH($L$1,[3]enemies!$1:$1,0)+1,FALSE)</f>
        <v>炎のメタルピヨピヨ</v>
      </c>
      <c r="N29" s="22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22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2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2">
        <f ca="1">VLOOKUP($L29,OFFSET([3]enemies!$A$1,0,0,COUNTA([3]enemies!$A:$A),MATCH(Q$1,[3]enemies!$1:$1,0)-MATCH($L$1,[3]enemies!$1:$1,0)+1),MATCH(Q$1,[3]enemies!$1:$1,0)-MATCH($L$1,[3]enemies!$1:$1,0)+1,FALSE)</f>
        <v>15</v>
      </c>
      <c r="R29" s="79">
        <v>1</v>
      </c>
      <c r="S29" s="80">
        <v>1</v>
      </c>
      <c r="T29" s="80">
        <v>1</v>
      </c>
      <c r="U29" s="79">
        <v>0</v>
      </c>
      <c r="V29" s="22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22">
        <f ca="1">VLOOKUP($L29,OFFSET([3]enemies!$A$1,0,0,COUNTA([3]enemies!$A:$A),MATCH(W$1,[3]enemies!$1:$1,0)-MATCH($L$1,[3]enemies!$1:$1,0)+1),MATCH(W$1,[3]enemies!$1:$1,0)-MATCH($L$1,[3]enemies!$1:$1,0)+1,FALSE)</f>
        <v>0</v>
      </c>
      <c r="X29" s="81">
        <v>0</v>
      </c>
      <c r="Y29" s="81">
        <v>30</v>
      </c>
      <c r="Z29" s="81">
        <v>0</v>
      </c>
      <c r="AA29" s="22">
        <f ca="1">VLOOKUP($L29,OFFSET([3]enemies!$A$1,0,0,COUNTA([3]enemies!$A:$A),MATCH(AA$1,[3]enemies!$1:$1,0)-MATCH($L$1,[3]enemies!$1:$1,0)+1),MATCH(AA$1,[3]enemies!$1:$1,0)-MATCH($L$1,[3]enemies!$1:$1,0)+1,FALSE)</f>
        <v>1</v>
      </c>
      <c r="AB29" s="70">
        <v>332</v>
      </c>
      <c r="AC29" s="22" t="str">
        <f ca="1">IFERROR(VLOOKUP($AB29,OFFSET([4]characters!$A$1,0,0,COUNTA([4]characters!$A:$A),MATCH(AC$1,[4]characters!$1:$1,0)-MATCH("character_id",[4]characters!$1:$1,0)+1),MATCH(AC$1,[4]characters!$1:$1,0)-MATCH("character_id",[4]characters!$1:$1,0)+1,FALSE),"")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29" s="22">
        <f ca="1">IFERROR(VLOOKUP($AB29,OFFSET([4]characters!$A$1,0,0,COUNTA([4]characters!$A:$A),MATCH(AD$1,[4]characters!$1:$1,0)-MATCH("character_id",[4]characters!$1:$1,0)+1),MATCH(AD$1,[4]characters!$1:$1,0)-MATCH("character_id",[4]characters!$1:$1,0)+1,FALSE),"")</f>
        <v>3</v>
      </c>
      <c r="AE29" s="22" t="str">
        <f ca="1">IFERROR(VLOOKUP($AB29,OFFSET([4]characters!$A$1,0,0,COUNTA([4]characters!$A:$A),MATCH(AE$1,[4]characters!$1:$1,0)-MATCH("character_id",[4]characters!$1:$1,0)+1),MATCH(AE$1,[4]characters!$1:$1,0)-MATCH("character_id",[4]characters!$1:$1,0)+1,FALSE),"")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" s="28">
        <v>1</v>
      </c>
      <c r="AG29" s="75">
        <f t="shared" ca="1" si="35"/>
        <v>3</v>
      </c>
      <c r="AH29" s="81">
        <v>10</v>
      </c>
      <c r="AI29" s="28">
        <v>0</v>
      </c>
      <c r="AJ29" s="28">
        <v>0</v>
      </c>
      <c r="AK29" s="28">
        <v>0</v>
      </c>
      <c r="AL29" s="28">
        <v>0</v>
      </c>
      <c r="AM29" s="28">
        <v>1</v>
      </c>
      <c r="AN29" s="28">
        <v>1</v>
      </c>
    </row>
    <row r="30" spans="1:40" ht="21" customHeight="1" x14ac:dyDescent="0.15">
      <c r="A30" s="78" t="str">
        <f t="shared" ca="1" si="32"/>
        <v>11002_4-1/333&lt;lv1&gt;s2</v>
      </c>
      <c r="B30" s="76">
        <v>11002</v>
      </c>
      <c r="C30" s="77">
        <v>4</v>
      </c>
      <c r="D30" s="16" t="str">
        <f t="shared" si="33"/>
        <v>11002_4</v>
      </c>
      <c r="E30" s="22" t="str">
        <f ca="1">VLOOKUP($B30,OFFSET([2]quests!$A$1,0,0,COUNTA([2]quests!$A:$A),MATCH(E$1,[2]quests!$1:$1,0)-MATCH($B$1,[2]quests!$1:$1,0)+1),MATCH(E$1,[2]quests!$1:$1,0)-MATCH($B$1,[2]quests!$1:$1,0)+1,FALSE)</f>
        <v>【火曜限定】 赤の素材</v>
      </c>
      <c r="F30" s="22" t="str">
        <f ca="1">VLOOKUP($D30,OFFSET([2]stages!$A$1,0,0,COUNTA([2]stages!$A:$A),MATCH(F$1,[2]stages!$2:$2,0)-MATCH($D$1,[2]stages!$2:$2,0)+1),MATCH(F$1,[2]stages!$2:$2,0)-MATCH($D$1,[2]stages!$2:$2,0)+1,FALSE)</f>
        <v xml:space="preserve">【上級】火のイモムシ </v>
      </c>
      <c r="G30" s="68">
        <v>1</v>
      </c>
      <c r="H30" s="16" t="str">
        <f t="shared" si="34"/>
        <v>11002_4-1</v>
      </c>
      <c r="I30" s="22" t="e">
        <v>#N/A</v>
      </c>
      <c r="J30" s="22" t="e">
        <v>#N/A</v>
      </c>
      <c r="K30" s="70" t="s">
        <v>218</v>
      </c>
      <c r="L30" s="70">
        <v>333</v>
      </c>
      <c r="M30" s="22" t="str">
        <f ca="1">VLOOKUP($L30,OFFSET([3]enemies!$A$1,0,0,COUNTA([3]enemies!$A:$A),MATCH(M$1,[3]enemies!$1:$1,0)-MATCH($L$1,[3]enemies!$1:$1,0)+1),MATCH(M$1,[3]enemies!$1:$1,0)-MATCH($L$1,[3]enemies!$1:$1,0)+1,FALSE)</f>
        <v>炎のメタルチック</v>
      </c>
      <c r="N30" s="22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22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2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2">
        <f ca="1">VLOOKUP($L30,OFFSET([3]enemies!$A$1,0,0,COUNTA([3]enemies!$A:$A),MATCH(Q$1,[3]enemies!$1:$1,0)-MATCH($L$1,[3]enemies!$1:$1,0)+1),MATCH(Q$1,[3]enemies!$1:$1,0)-MATCH($L$1,[3]enemies!$1:$1,0)+1,FALSE)</f>
        <v>15</v>
      </c>
      <c r="R30" s="79">
        <v>1</v>
      </c>
      <c r="S30" s="80">
        <v>1</v>
      </c>
      <c r="T30" s="80">
        <v>1</v>
      </c>
      <c r="U30" s="79">
        <v>0</v>
      </c>
      <c r="V30" s="22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22">
        <f ca="1">VLOOKUP($L30,OFFSET([3]enemies!$A$1,0,0,COUNTA([3]enemies!$A:$A),MATCH(W$1,[3]enemies!$1:$1,0)-MATCH($L$1,[3]enemies!$1:$1,0)+1),MATCH(W$1,[3]enemies!$1:$1,0)-MATCH($L$1,[3]enemies!$1:$1,0)+1,FALSE)</f>
        <v>0</v>
      </c>
      <c r="X30" s="81">
        <v>0</v>
      </c>
      <c r="Y30" s="81">
        <v>30</v>
      </c>
      <c r="Z30" s="81">
        <v>0</v>
      </c>
      <c r="AA30" s="22">
        <f ca="1">VLOOKUP($L30,OFFSET([3]enemies!$A$1,0,0,COUNTA([3]enemies!$A:$A),MATCH(AA$1,[3]enemies!$1:$1,0)-MATCH($L$1,[3]enemies!$1:$1,0)+1),MATCH(AA$1,[3]enemies!$1:$1,0)-MATCH($L$1,[3]enemies!$1:$1,0)+1,FALSE)</f>
        <v>2</v>
      </c>
      <c r="AB30" s="70">
        <v>333</v>
      </c>
      <c r="AC30" s="22" t="str">
        <f ca="1">IFERROR(VLOOKUP($AB30,OFFSET([4]characters!$A$1,0,0,COUNTA([4]characters!$A:$A),MATCH(AC$1,[4]characters!$1:$1,0)-MATCH("character_id",[4]characters!$1:$1,0)+1),MATCH(AC$1,[4]characters!$1:$1,0)-MATCH("character_id",[4]characters!$1:$1,0)+1,FALSE),"")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30" s="22">
        <f ca="1">IFERROR(VLOOKUP($AB30,OFFSET([4]characters!$A$1,0,0,COUNTA([4]characters!$A:$A),MATCH(AD$1,[4]characters!$1:$1,0)-MATCH("character_id",[4]characters!$1:$1,0)+1),MATCH(AD$1,[4]characters!$1:$1,0)-MATCH("character_id",[4]characters!$1:$1,0)+1,FALSE),"")</f>
        <v>4</v>
      </c>
      <c r="AE30" s="22" t="str">
        <f ca="1">IFERROR(VLOOKUP($AB30,OFFSET([4]characters!$A$1,0,0,COUNTA([4]characters!$A:$A),MATCH(AE$1,[4]characters!$1:$1,0)-MATCH("character_id",[4]characters!$1:$1,0)+1),MATCH(AE$1,[4]characters!$1:$1,0)-MATCH("character_id",[4]characters!$1:$1,0)+1,FALSE),"")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" s="28">
        <v>1</v>
      </c>
      <c r="AG30" s="75">
        <f t="shared" ca="1" si="35"/>
        <v>4</v>
      </c>
      <c r="AH30" s="81">
        <v>5</v>
      </c>
      <c r="AI30" s="28">
        <v>0</v>
      </c>
      <c r="AJ30" s="28">
        <v>0</v>
      </c>
      <c r="AK30" s="28">
        <v>0</v>
      </c>
      <c r="AL30" s="28">
        <v>0</v>
      </c>
      <c r="AM30" s="28">
        <v>1</v>
      </c>
      <c r="AN30" s="28">
        <v>1</v>
      </c>
    </row>
    <row r="31" spans="1:40" ht="18" customHeight="1" x14ac:dyDescent="0.15">
      <c r="A31" s="78" t="str">
        <f t="shared" ca="1" si="32"/>
        <v>11002_4-2/103&lt;lv30&gt;s3</v>
      </c>
      <c r="B31" s="76">
        <v>11002</v>
      </c>
      <c r="C31" s="77">
        <v>4</v>
      </c>
      <c r="D31" s="16" t="str">
        <f t="shared" si="33"/>
        <v>11002_4</v>
      </c>
      <c r="E31" s="22" t="str">
        <f ca="1">VLOOKUP($B31,OFFSET([2]quests!$A$1,0,0,COUNTA([2]quests!$A:$A),MATCH(E$1,[2]quests!$1:$1,0)-MATCH($B$1,[2]quests!$1:$1,0)+1),MATCH(E$1,[2]quests!$1:$1,0)-MATCH($B$1,[2]quests!$1:$1,0)+1,FALSE)</f>
        <v>【火曜限定】 赤の素材</v>
      </c>
      <c r="F31" s="22" t="str">
        <f ca="1">VLOOKUP($D31,OFFSET([2]stages!$A$1,0,0,COUNTA([2]stages!$A:$A),MATCH(F$1,[2]stages!$2:$2,0)-MATCH($D$1,[2]stages!$2:$2,0)+1),MATCH(F$1,[2]stages!$2:$2,0)-MATCH($D$1,[2]stages!$2:$2,0)+1,FALSE)</f>
        <v xml:space="preserve">【上級】火のイモムシ </v>
      </c>
      <c r="G31" s="68">
        <v>2</v>
      </c>
      <c r="H31" s="16" t="str">
        <f t="shared" si="34"/>
        <v>11002_4-2</v>
      </c>
      <c r="I31" s="22" t="e">
        <v>#N/A</v>
      </c>
      <c r="J31" s="22" t="e">
        <v>#N/A</v>
      </c>
      <c r="K31" s="70" t="s">
        <v>218</v>
      </c>
      <c r="L31" s="70">
        <v>103</v>
      </c>
      <c r="M31" s="22" t="str">
        <f ca="1">VLOOKUP($L31,OFFSET([3]enemies!$A$1,0,0,COUNTA([3]enemies!$A:$A),MATCH(M$1,[3]enemies!$1:$1,0)-MATCH($L$1,[3]enemies!$1:$1,0)+1),MATCH(M$1,[3]enemies!$1:$1,0)-MATCH($L$1,[3]enemies!$1:$1,0)+1,FALSE)</f>
        <v>レッドキャタップ</v>
      </c>
      <c r="N31" s="22" t="str">
        <f ca="1">VLOOKUP($L31,OFFSET([3]enemies!$A$1,0,0,COUNTA([3]enemies!$A:$A),MATCH(N$1,[3]enemies!$1:$1,0)-MATCH($L$1,[3]enemies!$1:$1,0)+1),MATCH(N$1,[3]enemies!$1:$1,0)-MATCH($L$1,[3]enemies!$1:$1,0)+1,FALSE)</f>
        <v>red</v>
      </c>
      <c r="O31" s="22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22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22">
        <f ca="1">VLOOKUP($L31,OFFSET([3]enemies!$A$1,0,0,COUNTA([3]enemies!$A:$A),MATCH(Q$1,[3]enemies!$1:$1,0)-MATCH($L$1,[3]enemies!$1:$1,0)+1),MATCH(Q$1,[3]enemies!$1:$1,0)-MATCH($L$1,[3]enemies!$1:$1,0)+1,FALSE)</f>
        <v>15</v>
      </c>
      <c r="R31" s="79">
        <v>30</v>
      </c>
      <c r="S31" s="80">
        <v>2</v>
      </c>
      <c r="T31" s="80">
        <v>1</v>
      </c>
      <c r="U31" s="79">
        <v>0</v>
      </c>
      <c r="V31" s="22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22">
        <f ca="1">VLOOKUP($L31,OFFSET([3]enemies!$A$1,0,0,COUNTA([3]enemies!$A:$A),MATCH(W$1,[3]enemies!$1:$1,0)-MATCH($L$1,[3]enemies!$1:$1,0)+1),MATCH(W$1,[3]enemies!$1:$1,0)-MATCH($L$1,[3]enemies!$1:$1,0)+1,FALSE)</f>
        <v>0</v>
      </c>
      <c r="X31" s="81">
        <v>1</v>
      </c>
      <c r="Y31" s="81">
        <v>100</v>
      </c>
      <c r="Z31" s="81">
        <v>1</v>
      </c>
      <c r="AA31" s="22">
        <f ca="1">VLOOKUP($L31,OFFSET([3]enemies!$A$1,0,0,COUNTA([3]enemies!$A:$A),MATCH(AA$1,[3]enemies!$1:$1,0)-MATCH($L$1,[3]enemies!$1:$1,0)+1),MATCH(AA$1,[3]enemies!$1:$1,0)-MATCH($L$1,[3]enemies!$1:$1,0)+1,FALSE)</f>
        <v>3</v>
      </c>
      <c r="AB31" s="70">
        <v>103</v>
      </c>
      <c r="AC31" s="22" t="str">
        <f ca="1">IFERROR(VLOOKUP($AB31,OFFSET([4]characters!$A$1,0,0,COUNTA([4]characters!$A:$A),MATCH(AC$1,[4]characters!$1:$1,0)-MATCH("character_id",[4]characters!$1:$1,0)+1),MATCH(AC$1,[4]characters!$1:$1,0)-MATCH("character_id",[4]characters!$1:$1,0)+1,FALSE),"")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31" s="22">
        <f ca="1">IFERROR(VLOOKUP($AB31,OFFSET([4]characters!$A$1,0,0,COUNTA([4]characters!$A:$A),MATCH(AD$1,[4]characters!$1:$1,0)-MATCH("character_id",[4]characters!$1:$1,0)+1),MATCH(AD$1,[4]characters!$1:$1,0)-MATCH("character_id",[4]characters!$1:$1,0)+1,FALSE),"")</f>
        <v>4</v>
      </c>
      <c r="AE31" s="22" t="str">
        <f ca="1">IFERROR(VLOOKUP($AB31,OFFSET([4]characters!$A$1,0,0,COUNTA([4]characters!$A:$A),MATCH(AE$1,[4]characters!$1:$1,0)-MATCH("character_id",[4]characters!$1:$1,0)+1),MATCH(AE$1,[4]characters!$1:$1,0)-MATCH("character_id",[4]characters!$1:$1,0)+1,FALSE),"")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" s="28">
        <v>1</v>
      </c>
      <c r="AG31" s="75">
        <f t="shared" ca="1" si="35"/>
        <v>4</v>
      </c>
      <c r="AH31" s="131">
        <v>50</v>
      </c>
      <c r="AI31" s="28">
        <v>0</v>
      </c>
      <c r="AJ31" s="28">
        <v>0</v>
      </c>
      <c r="AK31" s="28">
        <v>0</v>
      </c>
      <c r="AL31" s="28">
        <v>0</v>
      </c>
      <c r="AM31" s="28">
        <v>1</v>
      </c>
      <c r="AN31" s="28">
        <v>1</v>
      </c>
    </row>
    <row r="32" spans="1:40" ht="21" customHeight="1" x14ac:dyDescent="0.15">
      <c r="A32" s="78" t="str">
        <f t="shared" ca="1" si="32"/>
        <v>11002_4-2/33&lt;lv35&gt;s2</v>
      </c>
      <c r="B32" s="76">
        <v>11002</v>
      </c>
      <c r="C32" s="77">
        <v>4</v>
      </c>
      <c r="D32" s="16" t="str">
        <f t="shared" si="33"/>
        <v>11002_4</v>
      </c>
      <c r="E32" s="22" t="str">
        <f ca="1">VLOOKUP($B32,OFFSET([2]quests!$A$1,0,0,COUNTA([2]quests!$A:$A),MATCH(E$1,[2]quests!$1:$1,0)-MATCH($B$1,[2]quests!$1:$1,0)+1),MATCH(E$1,[2]quests!$1:$1,0)-MATCH($B$1,[2]quests!$1:$1,0)+1,FALSE)</f>
        <v>【火曜限定】 赤の素材</v>
      </c>
      <c r="F32" s="22" t="str">
        <f ca="1">VLOOKUP($D32,OFFSET([2]stages!$A$1,0,0,COUNTA([2]stages!$A:$A),MATCH(F$1,[2]stages!$2:$2,0)-MATCH($D$1,[2]stages!$2:$2,0)+1),MATCH(F$1,[2]stages!$2:$2,0)-MATCH($D$1,[2]stages!$2:$2,0)+1,FALSE)</f>
        <v xml:space="preserve">【上級】火のイモムシ </v>
      </c>
      <c r="G32" s="68">
        <v>2</v>
      </c>
      <c r="H32" s="16" t="str">
        <f t="shared" si="34"/>
        <v>11002_4-2</v>
      </c>
      <c r="I32" s="22" t="e">
        <v>#N/A</v>
      </c>
      <c r="J32" s="22" t="e">
        <v>#N/A</v>
      </c>
      <c r="K32" s="70" t="s">
        <v>218</v>
      </c>
      <c r="L32" s="70">
        <v>33</v>
      </c>
      <c r="M32" s="22" t="str">
        <f ca="1">VLOOKUP($L32,OFFSET([3]enemies!$A$1,0,0,COUNTA([3]enemies!$A:$A),MATCH(M$1,[3]enemies!$1:$1,0)-MATCH($L$1,[3]enemies!$1:$1,0)+1),MATCH(M$1,[3]enemies!$1:$1,0)-MATCH($L$1,[3]enemies!$1:$1,0)+1,FALSE)</f>
        <v>ゴクウ</v>
      </c>
      <c r="N32" s="22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22" t="str">
        <f ca="1">VLOOKUP($L32,OFFSET([4]characters!$A$1,0,0,COUNTA([4]characters!$A:$A),MATCH(O$1,[4]characters!$1:$1,0)-MATCH($L$1,[4]characters!$1:$1,0)+1),MATCH(O$1,[4]characters!$1:$1,0)-MATCH($L$1,[4]characters!$1:$1,0)+1,FALSE)</f>
        <v>Drop1S</v>
      </c>
      <c r="P32" s="22" t="str">
        <f ca="1">VLOOKUP($L32,OFFSET([3]enemies!$A$1,0,0,COUNTA([3]enemies!$A:$A),MATCH(P$1,[3]enemies!$1:$1,0)-MATCH($L$1,[3]enemies!$1:$1,0)+1),MATCH(P$1,[3]enemies!$1:$1,0)-MATCH($L$1,[3]enemies!$1:$1,0)+1,FALSE)</f>
        <v>animal</v>
      </c>
      <c r="Q32" s="22">
        <f ca="1">VLOOKUP($L32,OFFSET([3]enemies!$A$1,0,0,COUNTA([3]enemies!$A:$A),MATCH(Q$1,[3]enemies!$1:$1,0)-MATCH($L$1,[3]enemies!$1:$1,0)+1),MATCH(Q$1,[3]enemies!$1:$1,0)-MATCH($L$1,[3]enemies!$1:$1,0)+1,FALSE)</f>
        <v>15</v>
      </c>
      <c r="R32" s="79">
        <v>35</v>
      </c>
      <c r="S32" s="80">
        <v>1</v>
      </c>
      <c r="T32" s="80">
        <v>1</v>
      </c>
      <c r="U32" s="79">
        <v>0</v>
      </c>
      <c r="V32" s="22" t="str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32" s="22">
        <f ca="1">VLOOKUP($L32,OFFSET([3]enemies!$A$1,0,0,COUNTA([3]enemies!$A:$A),MATCH(W$1,[3]enemies!$1:$1,0)-MATCH($L$1,[3]enemies!$1:$1,0)+1),MATCH(W$1,[3]enemies!$1:$1,0)-MATCH($L$1,[3]enemies!$1:$1,0)+1,FALSE)</f>
        <v>33</v>
      </c>
      <c r="X32" s="81">
        <v>0</v>
      </c>
      <c r="Y32" s="81">
        <v>100</v>
      </c>
      <c r="Z32" s="81">
        <v>0</v>
      </c>
      <c r="AA32" s="22">
        <f ca="1">VLOOKUP($L32,OFFSET([3]enemies!$A$1,0,0,COUNTA([3]enemies!$A:$A),MATCH(AA$1,[3]enemies!$1:$1,0)-MATCH($L$1,[3]enemies!$1:$1,0)+1),MATCH(AA$1,[3]enemies!$1:$1,0)-MATCH($L$1,[3]enemies!$1:$1,0)+1,FALSE)</f>
        <v>2</v>
      </c>
      <c r="AB32" s="70">
        <v>33</v>
      </c>
      <c r="AC32" s="22" t="str">
        <f ca="1">IFERROR(VLOOKUP($AB32,OFFSET([4]characters!$A$1,0,0,COUNTA([4]characters!$A:$A),MATCH(AC$1,[4]characters!$1:$1,0)-MATCH("character_id",[4]characters!$1:$1,0)+1),MATCH(AC$1,[4]characters!$1:$1,0)-MATCH("character_id",[4]characters!$1:$1,0)+1,FALSE),"")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32" s="22">
        <f ca="1">IFERROR(VLOOKUP($AB32,OFFSET([4]characters!$A$1,0,0,COUNTA([4]characters!$A:$A),MATCH(AD$1,[4]characters!$1:$1,0)-MATCH("character_id",[4]characters!$1:$1,0)+1),MATCH(AD$1,[4]characters!$1:$1,0)-MATCH("character_id",[4]characters!$1:$1,0)+1,FALSE),"")</f>
        <v>2</v>
      </c>
      <c r="AE32" s="22" t="str">
        <f ca="1">IFERROR(VLOOKUP($AB32,OFFSET([4]characters!$A$1,0,0,COUNTA([4]characters!$A:$A),MATCH(AE$1,[4]characters!$1:$1,0)-MATCH("character_id",[4]characters!$1:$1,0)+1),MATCH(AE$1,[4]characters!$1:$1,0)-MATCH("character_id",[4]characters!$1:$1,0)+1,FALSE),"")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32" s="28">
        <v>1</v>
      </c>
      <c r="AG32" s="75">
        <f t="shared" ca="1" si="35"/>
        <v>2</v>
      </c>
      <c r="AH32" s="81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1</v>
      </c>
      <c r="AN32" s="28">
        <v>1</v>
      </c>
    </row>
    <row r="33" spans="1:40" ht="21" customHeight="1" x14ac:dyDescent="0.15">
      <c r="A33" s="78" t="str">
        <f t="shared" ca="1" si="32"/>
        <v>11002_4-2/21&lt;lv35&gt;s2</v>
      </c>
      <c r="B33" s="76">
        <v>11002</v>
      </c>
      <c r="C33" s="77">
        <v>4</v>
      </c>
      <c r="D33" s="16" t="str">
        <f t="shared" si="33"/>
        <v>11002_4</v>
      </c>
      <c r="E33" s="22" t="str">
        <f ca="1">VLOOKUP($B33,OFFSET([2]quests!$A$1,0,0,COUNTA([2]quests!$A:$A),MATCH(E$1,[2]quests!$1:$1,0)-MATCH($B$1,[2]quests!$1:$1,0)+1),MATCH(E$1,[2]quests!$1:$1,0)-MATCH($B$1,[2]quests!$1:$1,0)+1,FALSE)</f>
        <v>【火曜限定】 赤の素材</v>
      </c>
      <c r="F33" s="22" t="str">
        <f ca="1">VLOOKUP($D33,OFFSET([2]stages!$A$1,0,0,COUNTA([2]stages!$A:$A),MATCH(F$1,[2]stages!$2:$2,0)-MATCH($D$1,[2]stages!$2:$2,0)+1),MATCH(F$1,[2]stages!$2:$2,0)-MATCH($D$1,[2]stages!$2:$2,0)+1,FALSE)</f>
        <v xml:space="preserve">【上級】火のイモムシ </v>
      </c>
      <c r="G33" s="68">
        <v>2</v>
      </c>
      <c r="H33" s="16" t="str">
        <f t="shared" si="34"/>
        <v>11002_4-2</v>
      </c>
      <c r="I33" s="22" t="e">
        <v>#N/A</v>
      </c>
      <c r="J33" s="22" t="e">
        <v>#N/A</v>
      </c>
      <c r="K33" s="70" t="s">
        <v>217</v>
      </c>
      <c r="L33" s="70">
        <v>21</v>
      </c>
      <c r="M33" s="22" t="str">
        <f ca="1">VLOOKUP($L33,OFFSET([3]enemies!$A$1,0,0,COUNTA([3]enemies!$A:$A),MATCH(M$1,[3]enemies!$1:$1,0)-MATCH($L$1,[3]enemies!$1:$1,0)+1),MATCH(M$1,[3]enemies!$1:$1,0)-MATCH($L$1,[3]enemies!$1:$1,0)+1,FALSE)</f>
        <v>ヴェロキー</v>
      </c>
      <c r="N33" s="22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22" t="str">
        <f ca="1">VLOOKUP($L33,OFFSET([4]characters!$A$1,0,0,COUNTA([4]characters!$A:$A),MATCH(O$1,[4]characters!$1:$1,0)-MATCH($L$1,[4]characters!$1:$1,0)+1),MATCH(O$1,[4]characters!$1:$1,0)-MATCH($L$1,[4]characters!$1:$1,0)+1,FALSE)</f>
        <v>Drop1N</v>
      </c>
      <c r="P33" s="22" t="str">
        <f ca="1">VLOOKUP($L33,OFFSET([3]enemies!$A$1,0,0,COUNTA([3]enemies!$A:$A),MATCH(P$1,[3]enemies!$1:$1,0)-MATCH($L$1,[3]enemies!$1:$1,0)+1),MATCH(P$1,[3]enemies!$1:$1,0)-MATCH($L$1,[3]enemies!$1:$1,0)+1,FALSE)</f>
        <v>dragon</v>
      </c>
      <c r="Q33" s="22">
        <f ca="1">VLOOKUP($L33,OFFSET([3]enemies!$A$1,0,0,COUNTA([3]enemies!$A:$A),MATCH(Q$1,[3]enemies!$1:$1,0)-MATCH($L$1,[3]enemies!$1:$1,0)+1),MATCH(Q$1,[3]enemies!$1:$1,0)-MATCH($L$1,[3]enemies!$1:$1,0)+1,FALSE)</f>
        <v>15</v>
      </c>
      <c r="R33" s="79">
        <v>35</v>
      </c>
      <c r="S33" s="80">
        <v>1</v>
      </c>
      <c r="T33" s="80">
        <v>1</v>
      </c>
      <c r="U33" s="79">
        <v>0</v>
      </c>
      <c r="V33" s="22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22">
        <f ca="1">VLOOKUP($L33,OFFSET([3]enemies!$A$1,0,0,COUNTA([3]enemies!$A:$A),MATCH(W$1,[3]enemies!$1:$1,0)-MATCH($L$1,[3]enemies!$1:$1,0)+1),MATCH(W$1,[3]enemies!$1:$1,0)-MATCH($L$1,[3]enemies!$1:$1,0)+1,FALSE)</f>
        <v>0</v>
      </c>
      <c r="X33" s="81">
        <v>0</v>
      </c>
      <c r="Y33" s="81">
        <v>100</v>
      </c>
      <c r="Z33" s="81">
        <v>0</v>
      </c>
      <c r="AA33" s="22">
        <f ca="1">VLOOKUP($L33,OFFSET([3]enemies!$A$1,0,0,COUNTA([3]enemies!$A:$A),MATCH(AA$1,[3]enemies!$1:$1,0)-MATCH($L$1,[3]enemies!$1:$1,0)+1),MATCH(AA$1,[3]enemies!$1:$1,0)-MATCH($L$1,[3]enemies!$1:$1,0)+1,FALSE)</f>
        <v>2</v>
      </c>
      <c r="AB33" s="70">
        <v>21</v>
      </c>
      <c r="AC33" s="22" t="str">
        <f ca="1">IFERROR(VLOOKUP($AB33,OFFSET([4]characters!$A$1,0,0,COUNTA([4]characters!$A:$A),MATCH(AC$1,[4]characters!$1:$1,0)-MATCH("character_id",[4]characters!$1:$1,0)+1),MATCH(AC$1,[4]characters!$1:$1,0)-MATCH("character_id",[4]characters!$1:$1,0)+1,FALSE),"")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33" s="22">
        <f ca="1">IFERROR(VLOOKUP($AB33,OFFSET([4]characters!$A$1,0,0,COUNTA([4]characters!$A:$A),MATCH(AD$1,[4]characters!$1:$1,0)-MATCH("character_id",[4]characters!$1:$1,0)+1),MATCH(AD$1,[4]characters!$1:$1,0)-MATCH("character_id",[4]characters!$1:$1,0)+1,FALSE),"")</f>
        <v>1</v>
      </c>
      <c r="AE33" s="22" t="str">
        <f ca="1">IFERROR(VLOOKUP($AB33,OFFSET([4]characters!$A$1,0,0,COUNTA([4]characters!$A:$A),MATCH(AE$1,[4]characters!$1:$1,0)-MATCH("character_id",[4]characters!$1:$1,0)+1),MATCH(AE$1,[4]characters!$1:$1,0)-MATCH("character_id",[4]characters!$1:$1,0)+1,FALSE),"")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3" s="28">
        <v>1</v>
      </c>
      <c r="AG33" s="75">
        <f t="shared" ca="1" si="35"/>
        <v>1</v>
      </c>
      <c r="AH33" s="81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1</v>
      </c>
      <c r="AN33" s="28">
        <v>1</v>
      </c>
    </row>
    <row r="34" spans="1:40" ht="21" customHeight="1" x14ac:dyDescent="0.15">
      <c r="A34" s="78" t="str">
        <f t="shared" ca="1" si="32"/>
        <v>11002_4-2/332&lt;lv1&gt;s1</v>
      </c>
      <c r="B34" s="76">
        <v>11002</v>
      </c>
      <c r="C34" s="77">
        <v>4</v>
      </c>
      <c r="D34" s="16" t="str">
        <f t="shared" si="33"/>
        <v>11002_4</v>
      </c>
      <c r="E34" s="22" t="str">
        <f ca="1">VLOOKUP($B34,OFFSET([2]quests!$A$1,0,0,COUNTA([2]quests!$A:$A),MATCH(E$1,[2]quests!$1:$1,0)-MATCH($B$1,[2]quests!$1:$1,0)+1),MATCH(E$1,[2]quests!$1:$1,0)-MATCH($B$1,[2]quests!$1:$1,0)+1,FALSE)</f>
        <v>【火曜限定】 赤の素材</v>
      </c>
      <c r="F34" s="22" t="str">
        <f ca="1">VLOOKUP($D34,OFFSET([2]stages!$A$1,0,0,COUNTA([2]stages!$A:$A),MATCH(F$1,[2]stages!$2:$2,0)-MATCH($D$1,[2]stages!$2:$2,0)+1),MATCH(F$1,[2]stages!$2:$2,0)-MATCH($D$1,[2]stages!$2:$2,0)+1,FALSE)</f>
        <v xml:space="preserve">【上級】火のイモムシ </v>
      </c>
      <c r="G34" s="68">
        <v>2</v>
      </c>
      <c r="H34" s="16" t="str">
        <f t="shared" si="34"/>
        <v>11002_4-2</v>
      </c>
      <c r="I34" s="22" t="e">
        <v>#N/A</v>
      </c>
      <c r="J34" s="22" t="e">
        <v>#N/A</v>
      </c>
      <c r="K34" s="70" t="s">
        <v>218</v>
      </c>
      <c r="L34" s="70">
        <v>332</v>
      </c>
      <c r="M34" s="22" t="str">
        <f ca="1">VLOOKUP($L34,OFFSET([3]enemies!$A$1,0,0,COUNTA([3]enemies!$A:$A),MATCH(M$1,[3]enemies!$1:$1,0)-MATCH($L$1,[3]enemies!$1:$1,0)+1),MATCH(M$1,[3]enemies!$1:$1,0)-MATCH($L$1,[3]enemies!$1:$1,0)+1,FALSE)</f>
        <v>炎のメタルピヨピヨ</v>
      </c>
      <c r="N34" s="22" t="str">
        <f ca="1">VLOOKUP($L34,OFFSET([3]enemies!$A$1,0,0,COUNTA([3]enemies!$A:$A),MATCH(N$1,[3]enemies!$1:$1,0)-MATCH($L$1,[3]enemies!$1:$1,0)+1),MATCH(N$1,[3]enemies!$1:$1,0)-MATCH($L$1,[3]enemies!$1:$1,0)+1,FALSE)</f>
        <v>red</v>
      </c>
      <c r="O34" s="22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2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2">
        <f ca="1">VLOOKUP($L34,OFFSET([3]enemies!$A$1,0,0,COUNTA([3]enemies!$A:$A),MATCH(Q$1,[3]enemies!$1:$1,0)-MATCH($L$1,[3]enemies!$1:$1,0)+1),MATCH(Q$1,[3]enemies!$1:$1,0)-MATCH($L$1,[3]enemies!$1:$1,0)+1,FALSE)</f>
        <v>15</v>
      </c>
      <c r="R34" s="79">
        <v>1</v>
      </c>
      <c r="S34" s="80">
        <v>1</v>
      </c>
      <c r="T34" s="80">
        <v>1</v>
      </c>
      <c r="U34" s="79">
        <v>0</v>
      </c>
      <c r="V34" s="22" t="str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4" s="22">
        <f ca="1">VLOOKUP($L34,OFFSET([3]enemies!$A$1,0,0,COUNTA([3]enemies!$A:$A),MATCH(W$1,[3]enemies!$1:$1,0)-MATCH($L$1,[3]enemies!$1:$1,0)+1),MATCH(W$1,[3]enemies!$1:$1,0)-MATCH($L$1,[3]enemies!$1:$1,0)+1,FALSE)</f>
        <v>0</v>
      </c>
      <c r="X34" s="81">
        <v>0</v>
      </c>
      <c r="Y34" s="81">
        <v>30</v>
      </c>
      <c r="Z34" s="81">
        <v>0</v>
      </c>
      <c r="AA34" s="22">
        <f ca="1">VLOOKUP($L34,OFFSET([3]enemies!$A$1,0,0,COUNTA([3]enemies!$A:$A),MATCH(AA$1,[3]enemies!$1:$1,0)-MATCH($L$1,[3]enemies!$1:$1,0)+1),MATCH(AA$1,[3]enemies!$1:$1,0)-MATCH($L$1,[3]enemies!$1:$1,0)+1,FALSE)</f>
        <v>1</v>
      </c>
      <c r="AB34" s="70">
        <v>332</v>
      </c>
      <c r="AC34" s="22" t="str">
        <f ca="1">IFERROR(VLOOKUP($AB34,OFFSET([4]characters!$A$1,0,0,COUNTA([4]characters!$A:$A),MATCH(AC$1,[4]characters!$1:$1,0)-MATCH("character_id",[4]characters!$1:$1,0)+1),MATCH(AC$1,[4]characters!$1:$1,0)-MATCH("character_id",[4]characters!$1:$1,0)+1,FALSE),"")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34" s="22">
        <f ca="1">IFERROR(VLOOKUP($AB34,OFFSET([4]characters!$A$1,0,0,COUNTA([4]characters!$A:$A),MATCH(AD$1,[4]characters!$1:$1,0)-MATCH("character_id",[4]characters!$1:$1,0)+1),MATCH(AD$1,[4]characters!$1:$1,0)-MATCH("character_id",[4]characters!$1:$1,0)+1,FALSE),"")</f>
        <v>3</v>
      </c>
      <c r="AE34" s="22" t="str">
        <f ca="1">IFERROR(VLOOKUP($AB34,OFFSET([4]characters!$A$1,0,0,COUNTA([4]characters!$A:$A),MATCH(AE$1,[4]characters!$1:$1,0)-MATCH("character_id",[4]characters!$1:$1,0)+1),MATCH(AE$1,[4]characters!$1:$1,0)-MATCH("character_id",[4]characters!$1:$1,0)+1,FALSE),"")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4" s="28">
        <v>1</v>
      </c>
      <c r="AG34" s="75">
        <f t="shared" ca="1" si="35"/>
        <v>3</v>
      </c>
      <c r="AH34" s="81">
        <v>10</v>
      </c>
      <c r="AI34" s="28">
        <v>0</v>
      </c>
      <c r="AJ34" s="28">
        <v>0</v>
      </c>
      <c r="AK34" s="28">
        <v>0</v>
      </c>
      <c r="AL34" s="28">
        <v>0</v>
      </c>
      <c r="AM34" s="28">
        <v>1</v>
      </c>
      <c r="AN34" s="28">
        <v>1</v>
      </c>
    </row>
    <row r="35" spans="1:40" ht="21" customHeight="1" x14ac:dyDescent="0.15">
      <c r="A35" s="78" t="str">
        <f t="shared" ca="1" si="32"/>
        <v>11002_4-2/333&lt;lv1&gt;s2</v>
      </c>
      <c r="B35" s="76">
        <v>11002</v>
      </c>
      <c r="C35" s="77">
        <v>4</v>
      </c>
      <c r="D35" s="16" t="str">
        <f t="shared" si="33"/>
        <v>11002_4</v>
      </c>
      <c r="E35" s="22" t="str">
        <f ca="1">VLOOKUP($B35,OFFSET([2]quests!$A$1,0,0,COUNTA([2]quests!$A:$A),MATCH(E$1,[2]quests!$1:$1,0)-MATCH($B$1,[2]quests!$1:$1,0)+1),MATCH(E$1,[2]quests!$1:$1,0)-MATCH($B$1,[2]quests!$1:$1,0)+1,FALSE)</f>
        <v>【火曜限定】 赤の素材</v>
      </c>
      <c r="F35" s="22" t="str">
        <f ca="1">VLOOKUP($D35,OFFSET([2]stages!$A$1,0,0,COUNTA([2]stages!$A:$A),MATCH(F$1,[2]stages!$2:$2,0)-MATCH($D$1,[2]stages!$2:$2,0)+1),MATCH(F$1,[2]stages!$2:$2,0)-MATCH($D$1,[2]stages!$2:$2,0)+1,FALSE)</f>
        <v xml:space="preserve">【上級】火のイモムシ </v>
      </c>
      <c r="G35" s="68">
        <v>2</v>
      </c>
      <c r="H35" s="16" t="str">
        <f t="shared" si="34"/>
        <v>11002_4-2</v>
      </c>
      <c r="I35" s="22" t="e">
        <v>#N/A</v>
      </c>
      <c r="J35" s="22" t="e">
        <v>#N/A</v>
      </c>
      <c r="K35" s="70" t="s">
        <v>218</v>
      </c>
      <c r="L35" s="70">
        <v>333</v>
      </c>
      <c r="M35" s="22" t="str">
        <f ca="1">VLOOKUP($L35,OFFSET([3]enemies!$A$1,0,0,COUNTA([3]enemies!$A:$A),MATCH(M$1,[3]enemies!$1:$1,0)-MATCH($L$1,[3]enemies!$1:$1,0)+1),MATCH(M$1,[3]enemies!$1:$1,0)-MATCH($L$1,[3]enemies!$1:$1,0)+1,FALSE)</f>
        <v>炎のメタルチック</v>
      </c>
      <c r="N35" s="22" t="str">
        <f ca="1">VLOOKUP($L35,OFFSET([3]enemies!$A$1,0,0,COUNTA([3]enemies!$A:$A),MATCH(N$1,[3]enemies!$1:$1,0)-MATCH($L$1,[3]enemies!$1:$1,0)+1),MATCH(N$1,[3]enemies!$1:$1,0)-MATCH($L$1,[3]enemies!$1:$1,0)+1,FALSE)</f>
        <v>red</v>
      </c>
      <c r="O35" s="22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22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22">
        <f ca="1">VLOOKUP($L35,OFFSET([3]enemies!$A$1,0,0,COUNTA([3]enemies!$A:$A),MATCH(Q$1,[3]enemies!$1:$1,0)-MATCH($L$1,[3]enemies!$1:$1,0)+1),MATCH(Q$1,[3]enemies!$1:$1,0)-MATCH($L$1,[3]enemies!$1:$1,0)+1,FALSE)</f>
        <v>15</v>
      </c>
      <c r="R35" s="79">
        <v>1</v>
      </c>
      <c r="S35" s="80">
        <v>1</v>
      </c>
      <c r="T35" s="80">
        <v>1</v>
      </c>
      <c r="U35" s="79">
        <v>0</v>
      </c>
      <c r="V35" s="22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22">
        <f ca="1">VLOOKUP($L35,OFFSET([3]enemies!$A$1,0,0,COUNTA([3]enemies!$A:$A),MATCH(W$1,[3]enemies!$1:$1,0)-MATCH($L$1,[3]enemies!$1:$1,0)+1),MATCH(W$1,[3]enemies!$1:$1,0)-MATCH($L$1,[3]enemies!$1:$1,0)+1,FALSE)</f>
        <v>0</v>
      </c>
      <c r="X35" s="81">
        <v>0</v>
      </c>
      <c r="Y35" s="81">
        <v>30</v>
      </c>
      <c r="Z35" s="81">
        <v>0</v>
      </c>
      <c r="AA35" s="22">
        <f ca="1">VLOOKUP($L35,OFFSET([3]enemies!$A$1,0,0,COUNTA([3]enemies!$A:$A),MATCH(AA$1,[3]enemies!$1:$1,0)-MATCH($L$1,[3]enemies!$1:$1,0)+1),MATCH(AA$1,[3]enemies!$1:$1,0)-MATCH($L$1,[3]enemies!$1:$1,0)+1,FALSE)</f>
        <v>2</v>
      </c>
      <c r="AB35" s="70">
        <v>333</v>
      </c>
      <c r="AC35" s="22" t="str">
        <f ca="1">IFERROR(VLOOKUP($AB35,OFFSET([4]characters!$A$1,0,0,COUNTA([4]characters!$A:$A),MATCH(AC$1,[4]characters!$1:$1,0)-MATCH("character_id",[4]characters!$1:$1,0)+1),MATCH(AC$1,[4]characters!$1:$1,0)-MATCH("character_id",[4]characters!$1:$1,0)+1,FALSE),"")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35" s="22">
        <f ca="1">IFERROR(VLOOKUP($AB35,OFFSET([4]characters!$A$1,0,0,COUNTA([4]characters!$A:$A),MATCH(AD$1,[4]characters!$1:$1,0)-MATCH("character_id",[4]characters!$1:$1,0)+1),MATCH(AD$1,[4]characters!$1:$1,0)-MATCH("character_id",[4]characters!$1:$1,0)+1,FALSE),"")</f>
        <v>4</v>
      </c>
      <c r="AE35" s="22" t="str">
        <f ca="1">IFERROR(VLOOKUP($AB35,OFFSET([4]characters!$A$1,0,0,COUNTA([4]characters!$A:$A),MATCH(AE$1,[4]characters!$1:$1,0)-MATCH("character_id",[4]characters!$1:$1,0)+1),MATCH(AE$1,[4]characters!$1:$1,0)-MATCH("character_id",[4]characters!$1:$1,0)+1,FALSE),"")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5" s="28">
        <v>1</v>
      </c>
      <c r="AG35" s="75">
        <f t="shared" ca="1" si="35"/>
        <v>4</v>
      </c>
      <c r="AH35" s="81">
        <v>5</v>
      </c>
      <c r="AI35" s="28">
        <v>0</v>
      </c>
      <c r="AJ35" s="28">
        <v>0</v>
      </c>
      <c r="AK35" s="28">
        <v>0</v>
      </c>
      <c r="AL35" s="28">
        <v>0</v>
      </c>
      <c r="AM35" s="28">
        <v>1</v>
      </c>
      <c r="AN35" s="28">
        <v>1</v>
      </c>
    </row>
    <row r="36" spans="1:40" ht="21" customHeight="1" x14ac:dyDescent="0.15">
      <c r="A36" s="78" t="str">
        <f t="shared" ca="1" si="32"/>
        <v>11002_4-3/103&lt;lv30&gt;s3</v>
      </c>
      <c r="B36" s="76">
        <v>11002</v>
      </c>
      <c r="C36" s="77">
        <v>4</v>
      </c>
      <c r="D36" s="16" t="str">
        <f t="shared" si="33"/>
        <v>11002_4</v>
      </c>
      <c r="E36" s="22" t="str">
        <f ca="1">VLOOKUP($B36,OFFSET([2]quests!$A$1,0,0,COUNTA([2]quests!$A:$A),MATCH(E$1,[2]quests!$1:$1,0)-MATCH($B$1,[2]quests!$1:$1,0)+1),MATCH(E$1,[2]quests!$1:$1,0)-MATCH($B$1,[2]quests!$1:$1,0)+1,FALSE)</f>
        <v>【火曜限定】 赤の素材</v>
      </c>
      <c r="F36" s="22" t="str">
        <f ca="1">VLOOKUP($D36,OFFSET([2]stages!$A$1,0,0,COUNTA([2]stages!$A:$A),MATCH(F$1,[2]stages!$2:$2,0)-MATCH($D$1,[2]stages!$2:$2,0)+1),MATCH(F$1,[2]stages!$2:$2,0)-MATCH($D$1,[2]stages!$2:$2,0)+1,FALSE)</f>
        <v xml:space="preserve">【上級】火のイモムシ </v>
      </c>
      <c r="G36" s="68">
        <v>3</v>
      </c>
      <c r="H36" s="16" t="str">
        <f t="shared" si="34"/>
        <v>11002_4-3</v>
      </c>
      <c r="I36" s="22" t="e">
        <v>#N/A</v>
      </c>
      <c r="J36" s="22" t="e">
        <v>#N/A</v>
      </c>
      <c r="K36" s="70" t="s">
        <v>218</v>
      </c>
      <c r="L36" s="70">
        <v>103</v>
      </c>
      <c r="M36" s="22" t="str">
        <f ca="1">VLOOKUP($L36,OFFSET([3]enemies!$A$1,0,0,COUNTA([3]enemies!$A:$A),MATCH(M$1,[3]enemies!$1:$1,0)-MATCH($L$1,[3]enemies!$1:$1,0)+1),MATCH(M$1,[3]enemies!$1:$1,0)-MATCH($L$1,[3]enemies!$1:$1,0)+1,FALSE)</f>
        <v>レッドキャタップ</v>
      </c>
      <c r="N36" s="22" t="str">
        <f ca="1">VLOOKUP($L36,OFFSET([3]enemies!$A$1,0,0,COUNTA([3]enemies!$A:$A),MATCH(N$1,[3]enemies!$1:$1,0)-MATCH($L$1,[3]enemies!$1:$1,0)+1),MATCH(N$1,[3]enemies!$1:$1,0)-MATCH($L$1,[3]enemies!$1:$1,0)+1,FALSE)</f>
        <v>red</v>
      </c>
      <c r="O36" s="22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22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22">
        <f ca="1">VLOOKUP($L36,OFFSET([3]enemies!$A$1,0,0,COUNTA([3]enemies!$A:$A),MATCH(Q$1,[3]enemies!$1:$1,0)-MATCH($L$1,[3]enemies!$1:$1,0)+1),MATCH(Q$1,[3]enemies!$1:$1,0)-MATCH($L$1,[3]enemies!$1:$1,0)+1,FALSE)</f>
        <v>15</v>
      </c>
      <c r="R36" s="79">
        <v>30</v>
      </c>
      <c r="S36" s="80">
        <v>2</v>
      </c>
      <c r="T36" s="80">
        <v>1</v>
      </c>
      <c r="U36" s="79">
        <v>0</v>
      </c>
      <c r="V36" s="22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6" s="22">
        <f ca="1">VLOOKUP($L36,OFFSET([3]enemies!$A$1,0,0,COUNTA([3]enemies!$A:$A),MATCH(W$1,[3]enemies!$1:$1,0)-MATCH($L$1,[3]enemies!$1:$1,0)+1),MATCH(W$1,[3]enemies!$1:$1,0)-MATCH($L$1,[3]enemies!$1:$1,0)+1,FALSE)</f>
        <v>0</v>
      </c>
      <c r="X36" s="81">
        <v>1</v>
      </c>
      <c r="Y36" s="81">
        <v>100</v>
      </c>
      <c r="Z36" s="81">
        <v>1</v>
      </c>
      <c r="AA36" s="22">
        <f ca="1">VLOOKUP($L36,OFFSET([3]enemies!$A$1,0,0,COUNTA([3]enemies!$A:$A),MATCH(AA$1,[3]enemies!$1:$1,0)-MATCH($L$1,[3]enemies!$1:$1,0)+1),MATCH(AA$1,[3]enemies!$1:$1,0)-MATCH($L$1,[3]enemies!$1:$1,0)+1,FALSE)</f>
        <v>3</v>
      </c>
      <c r="AB36" s="70">
        <v>103</v>
      </c>
      <c r="AC36" s="22" t="str">
        <f ca="1">IFERROR(VLOOKUP($AB36,OFFSET([4]characters!$A$1,0,0,COUNTA([4]characters!$A:$A),MATCH(AC$1,[4]characters!$1:$1,0)-MATCH("character_id",[4]characters!$1:$1,0)+1),MATCH(AC$1,[4]characters!$1:$1,0)-MATCH("character_id",[4]characters!$1:$1,0)+1,FALSE),"")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36" s="22">
        <f ca="1">IFERROR(VLOOKUP($AB36,OFFSET([4]characters!$A$1,0,0,COUNTA([4]characters!$A:$A),MATCH(AD$1,[4]characters!$1:$1,0)-MATCH("character_id",[4]characters!$1:$1,0)+1),MATCH(AD$1,[4]characters!$1:$1,0)-MATCH("character_id",[4]characters!$1:$1,0)+1,FALSE),"")</f>
        <v>4</v>
      </c>
      <c r="AE36" s="22" t="str">
        <f ca="1">IFERROR(VLOOKUP($AB36,OFFSET([4]characters!$A$1,0,0,COUNTA([4]characters!$A:$A),MATCH(AE$1,[4]characters!$1:$1,0)-MATCH("character_id",[4]characters!$1:$1,0)+1),MATCH(AE$1,[4]characters!$1:$1,0)-MATCH("character_id",[4]characters!$1:$1,0)+1,FALSE),"")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6" s="28">
        <v>1</v>
      </c>
      <c r="AG36" s="75">
        <f t="shared" ca="1" si="35"/>
        <v>4</v>
      </c>
      <c r="AH36" s="81">
        <v>50</v>
      </c>
      <c r="AI36" s="28">
        <v>0</v>
      </c>
      <c r="AJ36" s="28">
        <v>0</v>
      </c>
      <c r="AK36" s="28">
        <v>0</v>
      </c>
      <c r="AL36" s="28">
        <v>0</v>
      </c>
      <c r="AM36" s="28">
        <v>1</v>
      </c>
      <c r="AN36" s="28">
        <v>1</v>
      </c>
    </row>
    <row r="37" spans="1:40" ht="21" customHeight="1" x14ac:dyDescent="0.15">
      <c r="A37" s="78" t="str">
        <f t="shared" ca="1" si="32"/>
        <v>11002_4-3/33&lt;lv35&gt;s2</v>
      </c>
      <c r="B37" s="76">
        <v>11002</v>
      </c>
      <c r="C37" s="77">
        <v>4</v>
      </c>
      <c r="D37" s="16" t="str">
        <f t="shared" si="33"/>
        <v>11002_4</v>
      </c>
      <c r="E37" s="22" t="str">
        <f ca="1">VLOOKUP($B37,OFFSET([2]quests!$A$1,0,0,COUNTA([2]quests!$A:$A),MATCH(E$1,[2]quests!$1:$1,0)-MATCH($B$1,[2]quests!$1:$1,0)+1),MATCH(E$1,[2]quests!$1:$1,0)-MATCH($B$1,[2]quests!$1:$1,0)+1,FALSE)</f>
        <v>【火曜限定】 赤の素材</v>
      </c>
      <c r="F37" s="22" t="str">
        <f ca="1">VLOOKUP($D37,OFFSET([2]stages!$A$1,0,0,COUNTA([2]stages!$A:$A),MATCH(F$1,[2]stages!$2:$2,0)-MATCH($D$1,[2]stages!$2:$2,0)+1),MATCH(F$1,[2]stages!$2:$2,0)-MATCH($D$1,[2]stages!$2:$2,0)+1,FALSE)</f>
        <v xml:space="preserve">【上級】火のイモムシ </v>
      </c>
      <c r="G37" s="68">
        <v>3</v>
      </c>
      <c r="H37" s="16" t="str">
        <f t="shared" si="34"/>
        <v>11002_4-3</v>
      </c>
      <c r="I37" s="22" t="e">
        <v>#N/A</v>
      </c>
      <c r="J37" s="22" t="e">
        <v>#N/A</v>
      </c>
      <c r="K37" s="70" t="s">
        <v>217</v>
      </c>
      <c r="L37" s="70">
        <v>33</v>
      </c>
      <c r="M37" s="22" t="str">
        <f ca="1">VLOOKUP($L37,OFFSET([3]enemies!$A$1,0,0,COUNTA([3]enemies!$A:$A),MATCH(M$1,[3]enemies!$1:$1,0)-MATCH($L$1,[3]enemies!$1:$1,0)+1),MATCH(M$1,[3]enemies!$1:$1,0)-MATCH($L$1,[3]enemies!$1:$1,0)+1,FALSE)</f>
        <v>ゴクウ</v>
      </c>
      <c r="N37" s="22" t="str">
        <f ca="1">VLOOKUP($L37,OFFSET([3]enemies!$A$1,0,0,COUNTA([3]enemies!$A:$A),MATCH(N$1,[3]enemies!$1:$1,0)-MATCH($L$1,[3]enemies!$1:$1,0)+1),MATCH(N$1,[3]enemies!$1:$1,0)-MATCH($L$1,[3]enemies!$1:$1,0)+1,FALSE)</f>
        <v>red</v>
      </c>
      <c r="O37" s="22" t="str">
        <f ca="1">VLOOKUP($L37,OFFSET([4]characters!$A$1,0,0,COUNTA([4]characters!$A:$A),MATCH(O$1,[4]characters!$1:$1,0)-MATCH($L$1,[4]characters!$1:$1,0)+1),MATCH(O$1,[4]characters!$1:$1,0)-MATCH($L$1,[4]characters!$1:$1,0)+1,FALSE)</f>
        <v>Drop1S</v>
      </c>
      <c r="P37" s="22" t="str">
        <f ca="1">VLOOKUP($L37,OFFSET([3]enemies!$A$1,0,0,COUNTA([3]enemies!$A:$A),MATCH(P$1,[3]enemies!$1:$1,0)-MATCH($L$1,[3]enemies!$1:$1,0)+1),MATCH(P$1,[3]enemies!$1:$1,0)-MATCH($L$1,[3]enemies!$1:$1,0)+1,FALSE)</f>
        <v>animal</v>
      </c>
      <c r="Q37" s="22">
        <f ca="1">VLOOKUP($L37,OFFSET([3]enemies!$A$1,0,0,COUNTA([3]enemies!$A:$A),MATCH(Q$1,[3]enemies!$1:$1,0)-MATCH($L$1,[3]enemies!$1:$1,0)+1),MATCH(Q$1,[3]enemies!$1:$1,0)-MATCH($L$1,[3]enemies!$1:$1,0)+1,FALSE)</f>
        <v>15</v>
      </c>
      <c r="R37" s="79">
        <v>35</v>
      </c>
      <c r="S37" s="80">
        <v>1</v>
      </c>
      <c r="T37" s="80">
        <v>1</v>
      </c>
      <c r="U37" s="79">
        <v>0</v>
      </c>
      <c r="V37" s="22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37" s="22">
        <f ca="1">VLOOKUP($L37,OFFSET([3]enemies!$A$1,0,0,COUNTA([3]enemies!$A:$A),MATCH(W$1,[3]enemies!$1:$1,0)-MATCH($L$1,[3]enemies!$1:$1,0)+1),MATCH(W$1,[3]enemies!$1:$1,0)-MATCH($L$1,[3]enemies!$1:$1,0)+1,FALSE)</f>
        <v>33</v>
      </c>
      <c r="X37" s="81">
        <v>0</v>
      </c>
      <c r="Y37" s="81">
        <v>100</v>
      </c>
      <c r="Z37" s="81">
        <v>0</v>
      </c>
      <c r="AA37" s="22">
        <f ca="1">VLOOKUP($L37,OFFSET([3]enemies!$A$1,0,0,COUNTA([3]enemies!$A:$A),MATCH(AA$1,[3]enemies!$1:$1,0)-MATCH($L$1,[3]enemies!$1:$1,0)+1),MATCH(AA$1,[3]enemies!$1:$1,0)-MATCH($L$1,[3]enemies!$1:$1,0)+1,FALSE)</f>
        <v>2</v>
      </c>
      <c r="AB37" s="70">
        <v>33</v>
      </c>
      <c r="AC37" s="22" t="str">
        <f ca="1">IFERROR(VLOOKUP($AB37,OFFSET([4]characters!$A$1,0,0,COUNTA([4]characters!$A:$A),MATCH(AC$1,[4]characters!$1:$1,0)-MATCH("character_id",[4]characters!$1:$1,0)+1),MATCH(AC$1,[4]characters!$1:$1,0)-MATCH("character_id",[4]characters!$1:$1,0)+1,FALSE),"")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37" s="22">
        <f ca="1">IFERROR(VLOOKUP($AB37,OFFSET([4]characters!$A$1,0,0,COUNTA([4]characters!$A:$A),MATCH(AD$1,[4]characters!$1:$1,0)-MATCH("character_id",[4]characters!$1:$1,0)+1),MATCH(AD$1,[4]characters!$1:$1,0)-MATCH("character_id",[4]characters!$1:$1,0)+1,FALSE),"")</f>
        <v>2</v>
      </c>
      <c r="AE37" s="22" t="str">
        <f ca="1">IFERROR(VLOOKUP($AB37,OFFSET([4]characters!$A$1,0,0,COUNTA([4]characters!$A:$A),MATCH(AE$1,[4]characters!$1:$1,0)-MATCH("character_id",[4]characters!$1:$1,0)+1),MATCH(AE$1,[4]characters!$1:$1,0)-MATCH("character_id",[4]characters!$1:$1,0)+1,FALSE),"")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37" s="28">
        <v>1</v>
      </c>
      <c r="AG37" s="75">
        <f t="shared" ca="1" si="35"/>
        <v>2</v>
      </c>
      <c r="AH37" s="81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1</v>
      </c>
      <c r="AN37" s="28">
        <v>1</v>
      </c>
    </row>
    <row r="38" spans="1:40" ht="21" customHeight="1" x14ac:dyDescent="0.15">
      <c r="A38" s="78" t="str">
        <f t="shared" ca="1" si="32"/>
        <v>11002_4-3/21&lt;lv35&gt;s2</v>
      </c>
      <c r="B38" s="76">
        <v>11002</v>
      </c>
      <c r="C38" s="77">
        <v>4</v>
      </c>
      <c r="D38" s="16" t="str">
        <f t="shared" si="33"/>
        <v>11002_4</v>
      </c>
      <c r="E38" s="22" t="str">
        <f ca="1">VLOOKUP($B38,OFFSET([2]quests!$A$1,0,0,COUNTA([2]quests!$A:$A),MATCH(E$1,[2]quests!$1:$1,0)-MATCH($B$1,[2]quests!$1:$1,0)+1),MATCH(E$1,[2]quests!$1:$1,0)-MATCH($B$1,[2]quests!$1:$1,0)+1,FALSE)</f>
        <v>【火曜限定】 赤の素材</v>
      </c>
      <c r="F38" s="22" t="str">
        <f ca="1">VLOOKUP($D38,OFFSET([2]stages!$A$1,0,0,COUNTA([2]stages!$A:$A),MATCH(F$1,[2]stages!$2:$2,0)-MATCH($D$1,[2]stages!$2:$2,0)+1),MATCH(F$1,[2]stages!$2:$2,0)-MATCH($D$1,[2]stages!$2:$2,0)+1,FALSE)</f>
        <v xml:space="preserve">【上級】火のイモムシ </v>
      </c>
      <c r="G38" s="68">
        <v>3</v>
      </c>
      <c r="H38" s="16" t="str">
        <f t="shared" si="34"/>
        <v>11002_4-3</v>
      </c>
      <c r="I38" s="22" t="e">
        <v>#N/A</v>
      </c>
      <c r="J38" s="22" t="e">
        <v>#N/A</v>
      </c>
      <c r="K38" s="70" t="s">
        <v>217</v>
      </c>
      <c r="L38" s="70">
        <v>21</v>
      </c>
      <c r="M38" s="22" t="str">
        <f ca="1">VLOOKUP($L38,OFFSET([3]enemies!$A$1,0,0,COUNTA([3]enemies!$A:$A),MATCH(M$1,[3]enemies!$1:$1,0)-MATCH($L$1,[3]enemies!$1:$1,0)+1),MATCH(M$1,[3]enemies!$1:$1,0)-MATCH($L$1,[3]enemies!$1:$1,0)+1,FALSE)</f>
        <v>ヴェロキー</v>
      </c>
      <c r="N38" s="22" t="str">
        <f ca="1">VLOOKUP($L38,OFFSET([3]enemies!$A$1,0,0,COUNTA([3]enemies!$A:$A),MATCH(N$1,[3]enemies!$1:$1,0)-MATCH($L$1,[3]enemies!$1:$1,0)+1),MATCH(N$1,[3]enemies!$1:$1,0)-MATCH($L$1,[3]enemies!$1:$1,0)+1,FALSE)</f>
        <v>red</v>
      </c>
      <c r="O38" s="22" t="str">
        <f ca="1">VLOOKUP($L38,OFFSET([4]characters!$A$1,0,0,COUNTA([4]characters!$A:$A),MATCH(O$1,[4]characters!$1:$1,0)-MATCH($L$1,[4]characters!$1:$1,0)+1),MATCH(O$1,[4]characters!$1:$1,0)-MATCH($L$1,[4]characters!$1:$1,0)+1,FALSE)</f>
        <v>Drop1N</v>
      </c>
      <c r="P38" s="22" t="str">
        <f ca="1">VLOOKUP($L38,OFFSET([3]enemies!$A$1,0,0,COUNTA([3]enemies!$A:$A),MATCH(P$1,[3]enemies!$1:$1,0)-MATCH($L$1,[3]enemies!$1:$1,0)+1),MATCH(P$1,[3]enemies!$1:$1,0)-MATCH($L$1,[3]enemies!$1:$1,0)+1,FALSE)</f>
        <v>dragon</v>
      </c>
      <c r="Q38" s="22">
        <f ca="1">VLOOKUP($L38,OFFSET([3]enemies!$A$1,0,0,COUNTA([3]enemies!$A:$A),MATCH(Q$1,[3]enemies!$1:$1,0)-MATCH($L$1,[3]enemies!$1:$1,0)+1),MATCH(Q$1,[3]enemies!$1:$1,0)-MATCH($L$1,[3]enemies!$1:$1,0)+1,FALSE)</f>
        <v>15</v>
      </c>
      <c r="R38" s="79">
        <v>35</v>
      </c>
      <c r="S38" s="80">
        <v>1</v>
      </c>
      <c r="T38" s="80">
        <v>1</v>
      </c>
      <c r="U38" s="79">
        <v>0</v>
      </c>
      <c r="V38" s="22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8" s="22">
        <f ca="1">VLOOKUP($L38,OFFSET([3]enemies!$A$1,0,0,COUNTA([3]enemies!$A:$A),MATCH(W$1,[3]enemies!$1:$1,0)-MATCH($L$1,[3]enemies!$1:$1,0)+1),MATCH(W$1,[3]enemies!$1:$1,0)-MATCH($L$1,[3]enemies!$1:$1,0)+1,FALSE)</f>
        <v>0</v>
      </c>
      <c r="X38" s="81">
        <v>0</v>
      </c>
      <c r="Y38" s="81">
        <v>100</v>
      </c>
      <c r="Z38" s="81">
        <v>0</v>
      </c>
      <c r="AA38" s="22">
        <f ca="1">VLOOKUP($L38,OFFSET([3]enemies!$A$1,0,0,COUNTA([3]enemies!$A:$A),MATCH(AA$1,[3]enemies!$1:$1,0)-MATCH($L$1,[3]enemies!$1:$1,0)+1),MATCH(AA$1,[3]enemies!$1:$1,0)-MATCH($L$1,[3]enemies!$1:$1,0)+1,FALSE)</f>
        <v>2</v>
      </c>
      <c r="AB38" s="70">
        <v>21</v>
      </c>
      <c r="AC38" s="22" t="str">
        <f ca="1">IFERROR(VLOOKUP($AB38,OFFSET([4]characters!$A$1,0,0,COUNTA([4]characters!$A:$A),MATCH(AC$1,[4]characters!$1:$1,0)-MATCH("character_id",[4]characters!$1:$1,0)+1),MATCH(AC$1,[4]characters!$1:$1,0)-MATCH("character_id",[4]characters!$1:$1,0)+1,FALSE),"")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38" s="22">
        <f ca="1">IFERROR(VLOOKUP($AB38,OFFSET([4]characters!$A$1,0,0,COUNTA([4]characters!$A:$A),MATCH(AD$1,[4]characters!$1:$1,0)-MATCH("character_id",[4]characters!$1:$1,0)+1),MATCH(AD$1,[4]characters!$1:$1,0)-MATCH("character_id",[4]characters!$1:$1,0)+1,FALSE),"")</f>
        <v>1</v>
      </c>
      <c r="AE38" s="22" t="str">
        <f ca="1">IFERROR(VLOOKUP($AB38,OFFSET([4]characters!$A$1,0,0,COUNTA([4]characters!$A:$A),MATCH(AE$1,[4]characters!$1:$1,0)-MATCH("character_id",[4]characters!$1:$1,0)+1),MATCH(AE$1,[4]characters!$1:$1,0)-MATCH("character_id",[4]characters!$1:$1,0)+1,FALSE),"")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8" s="28">
        <v>1</v>
      </c>
      <c r="AG38" s="75">
        <f t="shared" ca="1" si="35"/>
        <v>1</v>
      </c>
      <c r="AH38" s="81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1</v>
      </c>
      <c r="AN38" s="28">
        <v>1</v>
      </c>
    </row>
    <row r="39" spans="1:40" ht="21" customHeight="1" x14ac:dyDescent="0.15">
      <c r="A39" s="78" t="str">
        <f t="shared" ca="1" si="32"/>
        <v>11002_4-3/332&lt;lv1&gt;s1</v>
      </c>
      <c r="B39" s="76">
        <v>11002</v>
      </c>
      <c r="C39" s="77">
        <v>4</v>
      </c>
      <c r="D39" s="16" t="str">
        <f t="shared" si="33"/>
        <v>11002_4</v>
      </c>
      <c r="E39" s="22" t="str">
        <f ca="1">VLOOKUP($B39,OFFSET([2]quests!$A$1,0,0,COUNTA([2]quests!$A:$A),MATCH(E$1,[2]quests!$1:$1,0)-MATCH($B$1,[2]quests!$1:$1,0)+1),MATCH(E$1,[2]quests!$1:$1,0)-MATCH($B$1,[2]quests!$1:$1,0)+1,FALSE)</f>
        <v>【火曜限定】 赤の素材</v>
      </c>
      <c r="F39" s="22" t="str">
        <f ca="1">VLOOKUP($D39,OFFSET([2]stages!$A$1,0,0,COUNTA([2]stages!$A:$A),MATCH(F$1,[2]stages!$2:$2,0)-MATCH($D$1,[2]stages!$2:$2,0)+1),MATCH(F$1,[2]stages!$2:$2,0)-MATCH($D$1,[2]stages!$2:$2,0)+1,FALSE)</f>
        <v xml:space="preserve">【上級】火のイモムシ </v>
      </c>
      <c r="G39" s="68">
        <v>3</v>
      </c>
      <c r="H39" s="16" t="str">
        <f t="shared" si="34"/>
        <v>11002_4-3</v>
      </c>
      <c r="I39" s="22" t="e">
        <v>#N/A</v>
      </c>
      <c r="J39" s="22" t="e">
        <v>#N/A</v>
      </c>
      <c r="K39" s="70" t="s">
        <v>218</v>
      </c>
      <c r="L39" s="70">
        <v>332</v>
      </c>
      <c r="M39" s="22" t="str">
        <f ca="1">VLOOKUP($L39,OFFSET([3]enemies!$A$1,0,0,COUNTA([3]enemies!$A:$A),MATCH(M$1,[3]enemies!$1:$1,0)-MATCH($L$1,[3]enemies!$1:$1,0)+1),MATCH(M$1,[3]enemies!$1:$1,0)-MATCH($L$1,[3]enemies!$1:$1,0)+1,FALSE)</f>
        <v>炎のメタルピヨピヨ</v>
      </c>
      <c r="N39" s="22" t="str">
        <f ca="1">VLOOKUP($L39,OFFSET([3]enemies!$A$1,0,0,COUNTA([3]enemies!$A:$A),MATCH(N$1,[3]enemies!$1:$1,0)-MATCH($L$1,[3]enemies!$1:$1,0)+1),MATCH(N$1,[3]enemies!$1:$1,0)-MATCH($L$1,[3]enemies!$1:$1,0)+1,FALSE)</f>
        <v>red</v>
      </c>
      <c r="O39" s="22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22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22">
        <f ca="1">VLOOKUP($L39,OFFSET([3]enemies!$A$1,0,0,COUNTA([3]enemies!$A:$A),MATCH(Q$1,[3]enemies!$1:$1,0)-MATCH($L$1,[3]enemies!$1:$1,0)+1),MATCH(Q$1,[3]enemies!$1:$1,0)-MATCH($L$1,[3]enemies!$1:$1,0)+1,FALSE)</f>
        <v>15</v>
      </c>
      <c r="R39" s="79">
        <v>1</v>
      </c>
      <c r="S39" s="80">
        <v>1</v>
      </c>
      <c r="T39" s="80">
        <v>1</v>
      </c>
      <c r="U39" s="79">
        <v>0</v>
      </c>
      <c r="V39" s="22" t="str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9" s="22">
        <f ca="1">VLOOKUP($L39,OFFSET([3]enemies!$A$1,0,0,COUNTA([3]enemies!$A:$A),MATCH(W$1,[3]enemies!$1:$1,0)-MATCH($L$1,[3]enemies!$1:$1,0)+1),MATCH(W$1,[3]enemies!$1:$1,0)-MATCH($L$1,[3]enemies!$1:$1,0)+1,FALSE)</f>
        <v>0</v>
      </c>
      <c r="X39" s="81">
        <v>0</v>
      </c>
      <c r="Y39" s="81">
        <v>30</v>
      </c>
      <c r="Z39" s="81">
        <v>0</v>
      </c>
      <c r="AA39" s="22">
        <f ca="1">VLOOKUP($L39,OFFSET([3]enemies!$A$1,0,0,COUNTA([3]enemies!$A:$A),MATCH(AA$1,[3]enemies!$1:$1,0)-MATCH($L$1,[3]enemies!$1:$1,0)+1),MATCH(AA$1,[3]enemies!$1:$1,0)-MATCH($L$1,[3]enemies!$1:$1,0)+1,FALSE)</f>
        <v>1</v>
      </c>
      <c r="AB39" s="70">
        <v>332</v>
      </c>
      <c r="AC39" s="22" t="str">
        <f ca="1">IFERROR(VLOOKUP($AB39,OFFSET([4]characters!$A$1,0,0,COUNTA([4]characters!$A:$A),MATCH(AC$1,[4]characters!$1:$1,0)-MATCH("character_id",[4]characters!$1:$1,0)+1),MATCH(AC$1,[4]characters!$1:$1,0)-MATCH("character_id",[4]characters!$1:$1,0)+1,FALSE),"")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39" s="22">
        <f ca="1">IFERROR(VLOOKUP($AB39,OFFSET([4]characters!$A$1,0,0,COUNTA([4]characters!$A:$A),MATCH(AD$1,[4]characters!$1:$1,0)-MATCH("character_id",[4]characters!$1:$1,0)+1),MATCH(AD$1,[4]characters!$1:$1,0)-MATCH("character_id",[4]characters!$1:$1,0)+1,FALSE),"")</f>
        <v>3</v>
      </c>
      <c r="AE39" s="22" t="str">
        <f ca="1">IFERROR(VLOOKUP($AB39,OFFSET([4]characters!$A$1,0,0,COUNTA([4]characters!$A:$A),MATCH(AE$1,[4]characters!$1:$1,0)-MATCH("character_id",[4]characters!$1:$1,0)+1),MATCH(AE$1,[4]characters!$1:$1,0)-MATCH("character_id",[4]characters!$1:$1,0)+1,FALSE),"")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9" s="28">
        <v>1</v>
      </c>
      <c r="AG39" s="75">
        <f t="shared" ca="1" si="35"/>
        <v>3</v>
      </c>
      <c r="AH39" s="81">
        <v>10</v>
      </c>
      <c r="AI39" s="28">
        <v>0</v>
      </c>
      <c r="AJ39" s="28">
        <v>0</v>
      </c>
      <c r="AK39" s="28">
        <v>0</v>
      </c>
      <c r="AL39" s="28">
        <v>0</v>
      </c>
      <c r="AM39" s="28">
        <v>1</v>
      </c>
      <c r="AN39" s="28">
        <v>1</v>
      </c>
    </row>
    <row r="40" spans="1:40" ht="21" customHeight="1" x14ac:dyDescent="0.15">
      <c r="A40" s="78" t="str">
        <f t="shared" ca="1" si="32"/>
        <v>11002_4-3/333&lt;lv1&gt;s2</v>
      </c>
      <c r="B40" s="76">
        <v>11002</v>
      </c>
      <c r="C40" s="77">
        <v>4</v>
      </c>
      <c r="D40" s="16" t="str">
        <f t="shared" si="33"/>
        <v>11002_4</v>
      </c>
      <c r="E40" s="22" t="str">
        <f ca="1">VLOOKUP($B40,OFFSET([2]quests!$A$1,0,0,COUNTA([2]quests!$A:$A),MATCH(E$1,[2]quests!$1:$1,0)-MATCH($B$1,[2]quests!$1:$1,0)+1),MATCH(E$1,[2]quests!$1:$1,0)-MATCH($B$1,[2]quests!$1:$1,0)+1,FALSE)</f>
        <v>【火曜限定】 赤の素材</v>
      </c>
      <c r="F40" s="22" t="str">
        <f ca="1">VLOOKUP($D40,OFFSET([2]stages!$A$1,0,0,COUNTA([2]stages!$A:$A),MATCH(F$1,[2]stages!$2:$2,0)-MATCH($D$1,[2]stages!$2:$2,0)+1),MATCH(F$1,[2]stages!$2:$2,0)-MATCH($D$1,[2]stages!$2:$2,0)+1,FALSE)</f>
        <v xml:space="preserve">【上級】火のイモムシ </v>
      </c>
      <c r="G40" s="68">
        <v>3</v>
      </c>
      <c r="H40" s="16" t="str">
        <f t="shared" si="34"/>
        <v>11002_4-3</v>
      </c>
      <c r="I40" s="22" t="e">
        <v>#N/A</v>
      </c>
      <c r="J40" s="22" t="e">
        <v>#N/A</v>
      </c>
      <c r="K40" s="70" t="s">
        <v>218</v>
      </c>
      <c r="L40" s="70">
        <v>333</v>
      </c>
      <c r="M40" s="22" t="str">
        <f ca="1">VLOOKUP($L40,OFFSET([3]enemies!$A$1,0,0,COUNTA([3]enemies!$A:$A),MATCH(M$1,[3]enemies!$1:$1,0)-MATCH($L$1,[3]enemies!$1:$1,0)+1),MATCH(M$1,[3]enemies!$1:$1,0)-MATCH($L$1,[3]enemies!$1:$1,0)+1,FALSE)</f>
        <v>炎のメタルチック</v>
      </c>
      <c r="N40" s="22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22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22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22">
        <f ca="1">VLOOKUP($L40,OFFSET([3]enemies!$A$1,0,0,COUNTA([3]enemies!$A:$A),MATCH(Q$1,[3]enemies!$1:$1,0)-MATCH($L$1,[3]enemies!$1:$1,0)+1),MATCH(Q$1,[3]enemies!$1:$1,0)-MATCH($L$1,[3]enemies!$1:$1,0)+1,FALSE)</f>
        <v>15</v>
      </c>
      <c r="R40" s="79">
        <v>1</v>
      </c>
      <c r="S40" s="80">
        <v>1</v>
      </c>
      <c r="T40" s="80">
        <v>1</v>
      </c>
      <c r="U40" s="79">
        <v>0</v>
      </c>
      <c r="V40" s="22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0" s="22">
        <f ca="1">VLOOKUP($L40,OFFSET([3]enemies!$A$1,0,0,COUNTA([3]enemies!$A:$A),MATCH(W$1,[3]enemies!$1:$1,0)-MATCH($L$1,[3]enemies!$1:$1,0)+1),MATCH(W$1,[3]enemies!$1:$1,0)-MATCH($L$1,[3]enemies!$1:$1,0)+1,FALSE)</f>
        <v>0</v>
      </c>
      <c r="X40" s="81">
        <v>0</v>
      </c>
      <c r="Y40" s="81">
        <v>30</v>
      </c>
      <c r="Z40" s="81">
        <v>0</v>
      </c>
      <c r="AA40" s="22">
        <f ca="1">VLOOKUP($L40,OFFSET([3]enemies!$A$1,0,0,COUNTA([3]enemies!$A:$A),MATCH(AA$1,[3]enemies!$1:$1,0)-MATCH($L$1,[3]enemies!$1:$1,0)+1),MATCH(AA$1,[3]enemies!$1:$1,0)-MATCH($L$1,[3]enemies!$1:$1,0)+1,FALSE)</f>
        <v>2</v>
      </c>
      <c r="AB40" s="70">
        <v>333</v>
      </c>
      <c r="AC40" s="22" t="str">
        <f ca="1">IFERROR(VLOOKUP($AB40,OFFSET([4]characters!$A$1,0,0,COUNTA([4]characters!$A:$A),MATCH(AC$1,[4]characters!$1:$1,0)-MATCH("character_id",[4]characters!$1:$1,0)+1),MATCH(AC$1,[4]characters!$1:$1,0)-MATCH("character_id",[4]characters!$1:$1,0)+1,FALSE),"")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40" s="22">
        <f ca="1">IFERROR(VLOOKUP($AB40,OFFSET([4]characters!$A$1,0,0,COUNTA([4]characters!$A:$A),MATCH(AD$1,[4]characters!$1:$1,0)-MATCH("character_id",[4]characters!$1:$1,0)+1),MATCH(AD$1,[4]characters!$1:$1,0)-MATCH("character_id",[4]characters!$1:$1,0)+1,FALSE),"")</f>
        <v>4</v>
      </c>
      <c r="AE40" s="22" t="str">
        <f ca="1">IFERROR(VLOOKUP($AB40,OFFSET([4]characters!$A$1,0,0,COUNTA([4]characters!$A:$A),MATCH(AE$1,[4]characters!$1:$1,0)-MATCH("character_id",[4]characters!$1:$1,0)+1),MATCH(AE$1,[4]characters!$1:$1,0)-MATCH("character_id",[4]characters!$1:$1,0)+1,FALSE),"")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0" s="28">
        <v>1</v>
      </c>
      <c r="AG40" s="75">
        <f t="shared" ca="1" si="35"/>
        <v>4</v>
      </c>
      <c r="AH40" s="81">
        <v>5</v>
      </c>
      <c r="AI40" s="28">
        <v>0</v>
      </c>
      <c r="AJ40" s="28">
        <v>0</v>
      </c>
      <c r="AK40" s="28">
        <v>0</v>
      </c>
      <c r="AL40" s="28">
        <v>0</v>
      </c>
      <c r="AM40" s="28">
        <v>1</v>
      </c>
      <c r="AN40" s="28">
        <v>1</v>
      </c>
    </row>
    <row r="41" spans="1:40" ht="21" customHeight="1" x14ac:dyDescent="0.15">
      <c r="A41" s="78" t="str">
        <f t="shared" ca="1" si="32"/>
        <v>11002_4-4/103&lt;lv30&gt;s3</v>
      </c>
      <c r="B41" s="76">
        <v>11002</v>
      </c>
      <c r="C41" s="77">
        <v>4</v>
      </c>
      <c r="D41" s="16" t="str">
        <f t="shared" si="33"/>
        <v>11002_4</v>
      </c>
      <c r="E41" s="22" t="str">
        <f ca="1">VLOOKUP($B41,OFFSET([2]quests!$A$1,0,0,COUNTA([2]quests!$A:$A),MATCH(E$1,[2]quests!$1:$1,0)-MATCH($B$1,[2]quests!$1:$1,0)+1),MATCH(E$1,[2]quests!$1:$1,0)-MATCH($B$1,[2]quests!$1:$1,0)+1,FALSE)</f>
        <v>【火曜限定】 赤の素材</v>
      </c>
      <c r="F41" s="22" t="str">
        <f ca="1">VLOOKUP($D41,OFFSET([2]stages!$A$1,0,0,COUNTA([2]stages!$A:$A),MATCH(F$1,[2]stages!$2:$2,0)-MATCH($D$1,[2]stages!$2:$2,0)+1),MATCH(F$1,[2]stages!$2:$2,0)-MATCH($D$1,[2]stages!$2:$2,0)+1,FALSE)</f>
        <v xml:space="preserve">【上級】火のイモムシ </v>
      </c>
      <c r="G41" s="68">
        <v>4</v>
      </c>
      <c r="H41" s="16" t="str">
        <f t="shared" si="34"/>
        <v>11002_4-4</v>
      </c>
      <c r="I41" s="22" t="e">
        <v>#N/A</v>
      </c>
      <c r="J41" s="22" t="e">
        <v>#N/A</v>
      </c>
      <c r="K41" s="70" t="s">
        <v>217</v>
      </c>
      <c r="L41" s="70">
        <v>103</v>
      </c>
      <c r="M41" s="22" t="str">
        <f ca="1">VLOOKUP($L41,OFFSET([3]enemies!$A$1,0,0,COUNTA([3]enemies!$A:$A),MATCH(M$1,[3]enemies!$1:$1,0)-MATCH($L$1,[3]enemies!$1:$1,0)+1),MATCH(M$1,[3]enemies!$1:$1,0)-MATCH($L$1,[3]enemies!$1:$1,0)+1,FALSE)</f>
        <v>レッドキャタップ</v>
      </c>
      <c r="N41" s="22" t="str">
        <f ca="1">VLOOKUP($L41,OFFSET([3]enemies!$A$1,0,0,COUNTA([3]enemies!$A:$A),MATCH(N$1,[3]enemies!$1:$1,0)-MATCH($L$1,[3]enemies!$1:$1,0)+1),MATCH(N$1,[3]enemies!$1:$1,0)-MATCH($L$1,[3]enemies!$1:$1,0)+1,FALSE)</f>
        <v>red</v>
      </c>
      <c r="O41" s="22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22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22">
        <f ca="1">VLOOKUP($L41,OFFSET([3]enemies!$A$1,0,0,COUNTA([3]enemies!$A:$A),MATCH(Q$1,[3]enemies!$1:$1,0)-MATCH($L$1,[3]enemies!$1:$1,0)+1),MATCH(Q$1,[3]enemies!$1:$1,0)-MATCH($L$1,[3]enemies!$1:$1,0)+1,FALSE)</f>
        <v>15</v>
      </c>
      <c r="R41" s="79">
        <v>30</v>
      </c>
      <c r="S41" s="80">
        <v>2</v>
      </c>
      <c r="T41" s="80">
        <v>1</v>
      </c>
      <c r="U41" s="79">
        <v>0</v>
      </c>
      <c r="V41" s="22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22">
        <f ca="1">VLOOKUP($L41,OFFSET([3]enemies!$A$1,0,0,COUNTA([3]enemies!$A:$A),MATCH(W$1,[3]enemies!$1:$1,0)-MATCH($L$1,[3]enemies!$1:$1,0)+1),MATCH(W$1,[3]enemies!$1:$1,0)-MATCH($L$1,[3]enemies!$1:$1,0)+1,FALSE)</f>
        <v>0</v>
      </c>
      <c r="X41" s="81">
        <v>1</v>
      </c>
      <c r="Y41" s="81">
        <v>100</v>
      </c>
      <c r="Z41" s="81">
        <v>1</v>
      </c>
      <c r="AA41" s="22">
        <f ca="1">VLOOKUP($L41,OFFSET([3]enemies!$A$1,0,0,COUNTA([3]enemies!$A:$A),MATCH(AA$1,[3]enemies!$1:$1,0)-MATCH($L$1,[3]enemies!$1:$1,0)+1),MATCH(AA$1,[3]enemies!$1:$1,0)-MATCH($L$1,[3]enemies!$1:$1,0)+1,FALSE)</f>
        <v>3</v>
      </c>
      <c r="AB41" s="70">
        <v>103</v>
      </c>
      <c r="AC41" s="22" t="str">
        <f ca="1">IFERROR(VLOOKUP($AB41,OFFSET([4]characters!$A$1,0,0,COUNTA([4]characters!$A:$A),MATCH(AC$1,[4]characters!$1:$1,0)-MATCH("character_id",[4]characters!$1:$1,0)+1),MATCH(AC$1,[4]characters!$1:$1,0)-MATCH("character_id",[4]characters!$1:$1,0)+1,FALSE),"")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41" s="22">
        <f ca="1">IFERROR(VLOOKUP($AB41,OFFSET([4]characters!$A$1,0,0,COUNTA([4]characters!$A:$A),MATCH(AD$1,[4]characters!$1:$1,0)-MATCH("character_id",[4]characters!$1:$1,0)+1),MATCH(AD$1,[4]characters!$1:$1,0)-MATCH("character_id",[4]characters!$1:$1,0)+1,FALSE),"")</f>
        <v>4</v>
      </c>
      <c r="AE41" s="22" t="str">
        <f ca="1">IFERROR(VLOOKUP($AB41,OFFSET([4]characters!$A$1,0,0,COUNTA([4]characters!$A:$A),MATCH(AE$1,[4]characters!$1:$1,0)-MATCH("character_id",[4]characters!$1:$1,0)+1),MATCH(AE$1,[4]characters!$1:$1,0)-MATCH("character_id",[4]characters!$1:$1,0)+1,FALSE),"")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1" s="28">
        <v>1</v>
      </c>
      <c r="AG41" s="75">
        <f t="shared" ca="1" si="35"/>
        <v>4</v>
      </c>
      <c r="AH41" s="81">
        <v>100</v>
      </c>
      <c r="AI41" s="28">
        <v>0</v>
      </c>
      <c r="AJ41" s="28">
        <v>0</v>
      </c>
      <c r="AK41" s="28">
        <v>0</v>
      </c>
      <c r="AL41" s="28">
        <v>0</v>
      </c>
      <c r="AM41" s="28">
        <v>1</v>
      </c>
      <c r="AN41" s="28">
        <v>1</v>
      </c>
    </row>
    <row r="42" spans="1:40" ht="21" customHeight="1" x14ac:dyDescent="0.15">
      <c r="A42" s="78" t="str">
        <f t="shared" ca="1" si="32"/>
        <v>11002_4-4/33&lt;lv35&gt;s2</v>
      </c>
      <c r="B42" s="76">
        <v>11002</v>
      </c>
      <c r="C42" s="77">
        <v>4</v>
      </c>
      <c r="D42" s="16" t="str">
        <f t="shared" si="33"/>
        <v>11002_4</v>
      </c>
      <c r="E42" s="22" t="str">
        <f ca="1">VLOOKUP($B42,OFFSET([2]quests!$A$1,0,0,COUNTA([2]quests!$A:$A),MATCH(E$1,[2]quests!$1:$1,0)-MATCH($B$1,[2]quests!$1:$1,0)+1),MATCH(E$1,[2]quests!$1:$1,0)-MATCH($B$1,[2]quests!$1:$1,0)+1,FALSE)</f>
        <v>【火曜限定】 赤の素材</v>
      </c>
      <c r="F42" s="22" t="str">
        <f ca="1">VLOOKUP($D42,OFFSET([2]stages!$A$1,0,0,COUNTA([2]stages!$A:$A),MATCH(F$1,[2]stages!$2:$2,0)-MATCH($D$1,[2]stages!$2:$2,0)+1),MATCH(F$1,[2]stages!$2:$2,0)-MATCH($D$1,[2]stages!$2:$2,0)+1,FALSE)</f>
        <v xml:space="preserve">【上級】火のイモムシ </v>
      </c>
      <c r="G42" s="68">
        <v>4</v>
      </c>
      <c r="H42" s="16" t="str">
        <f t="shared" si="34"/>
        <v>11002_4-4</v>
      </c>
      <c r="I42" s="22" t="e">
        <v>#N/A</v>
      </c>
      <c r="J42" s="22" t="e">
        <v>#N/A</v>
      </c>
      <c r="K42" s="70" t="s">
        <v>218</v>
      </c>
      <c r="L42" s="70">
        <v>33</v>
      </c>
      <c r="M42" s="22" t="str">
        <f ca="1">VLOOKUP($L42,OFFSET([3]enemies!$A$1,0,0,COUNTA([3]enemies!$A:$A),MATCH(M$1,[3]enemies!$1:$1,0)-MATCH($L$1,[3]enemies!$1:$1,0)+1),MATCH(M$1,[3]enemies!$1:$1,0)-MATCH($L$1,[3]enemies!$1:$1,0)+1,FALSE)</f>
        <v>ゴクウ</v>
      </c>
      <c r="N42" s="22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22" t="str">
        <f ca="1">VLOOKUP($L42,OFFSET([4]characters!$A$1,0,0,COUNTA([4]characters!$A:$A),MATCH(O$1,[4]characters!$1:$1,0)-MATCH($L$1,[4]characters!$1:$1,0)+1),MATCH(O$1,[4]characters!$1:$1,0)-MATCH($L$1,[4]characters!$1:$1,0)+1,FALSE)</f>
        <v>Drop1S</v>
      </c>
      <c r="P42" s="22" t="str">
        <f ca="1">VLOOKUP($L42,OFFSET([3]enemies!$A$1,0,0,COUNTA([3]enemies!$A:$A),MATCH(P$1,[3]enemies!$1:$1,0)-MATCH($L$1,[3]enemies!$1:$1,0)+1),MATCH(P$1,[3]enemies!$1:$1,0)-MATCH($L$1,[3]enemies!$1:$1,0)+1,FALSE)</f>
        <v>animal</v>
      </c>
      <c r="Q42" s="22">
        <f ca="1">VLOOKUP($L42,OFFSET([3]enemies!$A$1,0,0,COUNTA([3]enemies!$A:$A),MATCH(Q$1,[3]enemies!$1:$1,0)-MATCH($L$1,[3]enemies!$1:$1,0)+1),MATCH(Q$1,[3]enemies!$1:$1,0)-MATCH($L$1,[3]enemies!$1:$1,0)+1,FALSE)</f>
        <v>15</v>
      </c>
      <c r="R42" s="79">
        <v>35</v>
      </c>
      <c r="S42" s="80">
        <v>1</v>
      </c>
      <c r="T42" s="80">
        <v>1</v>
      </c>
      <c r="U42" s="79">
        <v>0</v>
      </c>
      <c r="V42" s="22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42" s="22">
        <f ca="1">VLOOKUP($L42,OFFSET([3]enemies!$A$1,0,0,COUNTA([3]enemies!$A:$A),MATCH(W$1,[3]enemies!$1:$1,0)-MATCH($L$1,[3]enemies!$1:$1,0)+1),MATCH(W$1,[3]enemies!$1:$1,0)-MATCH($L$1,[3]enemies!$1:$1,0)+1,FALSE)</f>
        <v>33</v>
      </c>
      <c r="X42" s="81">
        <v>0</v>
      </c>
      <c r="Y42" s="81">
        <v>100</v>
      </c>
      <c r="Z42" s="81">
        <v>0</v>
      </c>
      <c r="AA42" s="22">
        <f ca="1">VLOOKUP($L42,OFFSET([3]enemies!$A$1,0,0,COUNTA([3]enemies!$A:$A),MATCH(AA$1,[3]enemies!$1:$1,0)-MATCH($L$1,[3]enemies!$1:$1,0)+1),MATCH(AA$1,[3]enemies!$1:$1,0)-MATCH($L$1,[3]enemies!$1:$1,0)+1,FALSE)</f>
        <v>2</v>
      </c>
      <c r="AB42" s="70">
        <v>33</v>
      </c>
      <c r="AC42" s="22" t="str">
        <f ca="1">IFERROR(VLOOKUP($AB42,OFFSET([4]characters!$A$1,0,0,COUNTA([4]characters!$A:$A),MATCH(AC$1,[4]characters!$1:$1,0)-MATCH("character_id",[4]characters!$1:$1,0)+1),MATCH(AC$1,[4]characters!$1:$1,0)-MATCH("character_id",[4]characters!$1:$1,0)+1,FALSE),"")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42" s="22">
        <f ca="1">IFERROR(VLOOKUP($AB42,OFFSET([4]characters!$A$1,0,0,COUNTA([4]characters!$A:$A),MATCH(AD$1,[4]characters!$1:$1,0)-MATCH("character_id",[4]characters!$1:$1,0)+1),MATCH(AD$1,[4]characters!$1:$1,0)-MATCH("character_id",[4]characters!$1:$1,0)+1,FALSE),"")</f>
        <v>2</v>
      </c>
      <c r="AE42" s="22" t="str">
        <f ca="1">IFERROR(VLOOKUP($AB42,OFFSET([4]characters!$A$1,0,0,COUNTA([4]characters!$A:$A),MATCH(AE$1,[4]characters!$1:$1,0)-MATCH("character_id",[4]characters!$1:$1,0)+1),MATCH(AE$1,[4]characters!$1:$1,0)-MATCH("character_id",[4]characters!$1:$1,0)+1,FALSE),"")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42" s="28">
        <v>1</v>
      </c>
      <c r="AG42" s="75">
        <f t="shared" ca="1" si="35"/>
        <v>2</v>
      </c>
      <c r="AH42" s="81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1</v>
      </c>
      <c r="AN42" s="28">
        <v>1</v>
      </c>
    </row>
    <row r="43" spans="1:40" ht="21" customHeight="1" x14ac:dyDescent="0.15">
      <c r="A43" s="78" t="str">
        <f t="shared" ca="1" si="32"/>
        <v>11002_4-4/21&lt;lv35&gt;s2</v>
      </c>
      <c r="B43" s="76">
        <v>11002</v>
      </c>
      <c r="C43" s="77">
        <v>4</v>
      </c>
      <c r="D43" s="16" t="str">
        <f t="shared" si="33"/>
        <v>11002_4</v>
      </c>
      <c r="E43" s="22" t="str">
        <f ca="1">VLOOKUP($B43,OFFSET([2]quests!$A$1,0,0,COUNTA([2]quests!$A:$A),MATCH(E$1,[2]quests!$1:$1,0)-MATCH($B$1,[2]quests!$1:$1,0)+1),MATCH(E$1,[2]quests!$1:$1,0)-MATCH($B$1,[2]quests!$1:$1,0)+1,FALSE)</f>
        <v>【火曜限定】 赤の素材</v>
      </c>
      <c r="F43" s="22" t="str">
        <f ca="1">VLOOKUP($D43,OFFSET([2]stages!$A$1,0,0,COUNTA([2]stages!$A:$A),MATCH(F$1,[2]stages!$2:$2,0)-MATCH($D$1,[2]stages!$2:$2,0)+1),MATCH(F$1,[2]stages!$2:$2,0)-MATCH($D$1,[2]stages!$2:$2,0)+1,FALSE)</f>
        <v xml:space="preserve">【上級】火のイモムシ </v>
      </c>
      <c r="G43" s="68">
        <v>4</v>
      </c>
      <c r="H43" s="16" t="str">
        <f t="shared" si="34"/>
        <v>11002_4-4</v>
      </c>
      <c r="I43" s="22" t="e">
        <v>#N/A</v>
      </c>
      <c r="J43" s="22" t="e">
        <v>#N/A</v>
      </c>
      <c r="K43" s="70" t="s">
        <v>218</v>
      </c>
      <c r="L43" s="70">
        <v>21</v>
      </c>
      <c r="M43" s="22" t="str">
        <f ca="1">VLOOKUP($L43,OFFSET([3]enemies!$A$1,0,0,COUNTA([3]enemies!$A:$A),MATCH(M$1,[3]enemies!$1:$1,0)-MATCH($L$1,[3]enemies!$1:$1,0)+1),MATCH(M$1,[3]enemies!$1:$1,0)-MATCH($L$1,[3]enemies!$1:$1,0)+1,FALSE)</f>
        <v>ヴェロキー</v>
      </c>
      <c r="N43" s="22" t="str">
        <f ca="1">VLOOKUP($L43,OFFSET([3]enemies!$A$1,0,0,COUNTA([3]enemies!$A:$A),MATCH(N$1,[3]enemies!$1:$1,0)-MATCH($L$1,[3]enemies!$1:$1,0)+1),MATCH(N$1,[3]enemies!$1:$1,0)-MATCH($L$1,[3]enemies!$1:$1,0)+1,FALSE)</f>
        <v>red</v>
      </c>
      <c r="O43" s="22" t="str">
        <f ca="1">VLOOKUP($L43,OFFSET([4]characters!$A$1,0,0,COUNTA([4]characters!$A:$A),MATCH(O$1,[4]characters!$1:$1,0)-MATCH($L$1,[4]characters!$1:$1,0)+1),MATCH(O$1,[4]characters!$1:$1,0)-MATCH($L$1,[4]characters!$1:$1,0)+1,FALSE)</f>
        <v>Drop1N</v>
      </c>
      <c r="P43" s="22" t="str">
        <f ca="1">VLOOKUP($L43,OFFSET([3]enemies!$A$1,0,0,COUNTA([3]enemies!$A:$A),MATCH(P$1,[3]enemies!$1:$1,0)-MATCH($L$1,[3]enemies!$1:$1,0)+1),MATCH(P$1,[3]enemies!$1:$1,0)-MATCH($L$1,[3]enemies!$1:$1,0)+1,FALSE)</f>
        <v>dragon</v>
      </c>
      <c r="Q43" s="22">
        <f ca="1">VLOOKUP($L43,OFFSET([3]enemies!$A$1,0,0,COUNTA([3]enemies!$A:$A),MATCH(Q$1,[3]enemies!$1:$1,0)-MATCH($L$1,[3]enemies!$1:$1,0)+1),MATCH(Q$1,[3]enemies!$1:$1,0)-MATCH($L$1,[3]enemies!$1:$1,0)+1,FALSE)</f>
        <v>15</v>
      </c>
      <c r="R43" s="79">
        <v>35</v>
      </c>
      <c r="S43" s="80">
        <v>1</v>
      </c>
      <c r="T43" s="80">
        <v>1</v>
      </c>
      <c r="U43" s="79">
        <v>0</v>
      </c>
      <c r="V43" s="22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22">
        <f ca="1">VLOOKUP($L43,OFFSET([3]enemies!$A$1,0,0,COUNTA([3]enemies!$A:$A),MATCH(W$1,[3]enemies!$1:$1,0)-MATCH($L$1,[3]enemies!$1:$1,0)+1),MATCH(W$1,[3]enemies!$1:$1,0)-MATCH($L$1,[3]enemies!$1:$1,0)+1,FALSE)</f>
        <v>0</v>
      </c>
      <c r="X43" s="81">
        <v>0</v>
      </c>
      <c r="Y43" s="81">
        <v>100</v>
      </c>
      <c r="Z43" s="81">
        <v>0</v>
      </c>
      <c r="AA43" s="22">
        <f ca="1">VLOOKUP($L43,OFFSET([3]enemies!$A$1,0,0,COUNTA([3]enemies!$A:$A),MATCH(AA$1,[3]enemies!$1:$1,0)-MATCH($L$1,[3]enemies!$1:$1,0)+1),MATCH(AA$1,[3]enemies!$1:$1,0)-MATCH($L$1,[3]enemies!$1:$1,0)+1,FALSE)</f>
        <v>2</v>
      </c>
      <c r="AB43" s="70">
        <v>21</v>
      </c>
      <c r="AC43" s="22" t="str">
        <f ca="1">IFERROR(VLOOKUP($AB43,OFFSET([4]characters!$A$1,0,0,COUNTA([4]characters!$A:$A),MATCH(AC$1,[4]characters!$1:$1,0)-MATCH("character_id",[4]characters!$1:$1,0)+1),MATCH(AC$1,[4]characters!$1:$1,0)-MATCH("character_id",[4]characters!$1:$1,0)+1,FALSE),"")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43" s="22">
        <f ca="1">IFERROR(VLOOKUP($AB43,OFFSET([4]characters!$A$1,0,0,COUNTA([4]characters!$A:$A),MATCH(AD$1,[4]characters!$1:$1,0)-MATCH("character_id",[4]characters!$1:$1,0)+1),MATCH(AD$1,[4]characters!$1:$1,0)-MATCH("character_id",[4]characters!$1:$1,0)+1,FALSE),"")</f>
        <v>1</v>
      </c>
      <c r="AE43" s="22" t="str">
        <f ca="1">IFERROR(VLOOKUP($AB43,OFFSET([4]characters!$A$1,0,0,COUNTA([4]characters!$A:$A),MATCH(AE$1,[4]characters!$1:$1,0)-MATCH("character_id",[4]characters!$1:$1,0)+1),MATCH(AE$1,[4]characters!$1:$1,0)-MATCH("character_id",[4]characters!$1:$1,0)+1,FALSE),"")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43" s="28">
        <v>1</v>
      </c>
      <c r="AG43" s="75">
        <f t="shared" ca="1" si="35"/>
        <v>1</v>
      </c>
      <c r="AH43" s="81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1</v>
      </c>
      <c r="AN43" s="28">
        <v>1</v>
      </c>
    </row>
    <row r="44" spans="1:40" ht="21" customHeight="1" x14ac:dyDescent="0.15">
      <c r="A44" s="78" t="str">
        <f t="shared" ca="1" si="32"/>
        <v>11002_4-5/103&lt;lv30&gt;s3</v>
      </c>
      <c r="B44" s="76">
        <v>11002</v>
      </c>
      <c r="C44" s="77">
        <v>4</v>
      </c>
      <c r="D44" s="16" t="str">
        <f t="shared" si="33"/>
        <v>11002_4</v>
      </c>
      <c r="E44" s="22" t="str">
        <f ca="1">VLOOKUP($B44,OFFSET([2]quests!$A$1,0,0,COUNTA([2]quests!$A:$A),MATCH(E$1,[2]quests!$1:$1,0)-MATCH($B$1,[2]quests!$1:$1,0)+1),MATCH(E$1,[2]quests!$1:$1,0)-MATCH($B$1,[2]quests!$1:$1,0)+1,FALSE)</f>
        <v>【火曜限定】 赤の素材</v>
      </c>
      <c r="F44" s="22" t="str">
        <f ca="1">VLOOKUP($D44,OFFSET([2]stages!$A$1,0,0,COUNTA([2]stages!$A:$A),MATCH(F$1,[2]stages!$2:$2,0)-MATCH($D$1,[2]stages!$2:$2,0)+1),MATCH(F$1,[2]stages!$2:$2,0)-MATCH($D$1,[2]stages!$2:$2,0)+1,FALSE)</f>
        <v xml:space="preserve">【上級】火のイモムシ </v>
      </c>
      <c r="G44" s="68">
        <v>5</v>
      </c>
      <c r="H44" s="16" t="str">
        <f t="shared" si="34"/>
        <v>11002_4-5</v>
      </c>
      <c r="I44" s="22" t="e">
        <v>#N/A</v>
      </c>
      <c r="J44" s="22" t="e">
        <v>#N/A</v>
      </c>
      <c r="K44" s="70" t="s">
        <v>217</v>
      </c>
      <c r="L44" s="70">
        <v>103</v>
      </c>
      <c r="M44" s="22" t="str">
        <f ca="1">VLOOKUP($L44,OFFSET([3]enemies!$A$1,0,0,COUNTA([3]enemies!$A:$A),MATCH(M$1,[3]enemies!$1:$1,0)-MATCH($L$1,[3]enemies!$1:$1,0)+1),MATCH(M$1,[3]enemies!$1:$1,0)-MATCH($L$1,[3]enemies!$1:$1,0)+1,FALSE)</f>
        <v>レッドキャタップ</v>
      </c>
      <c r="N44" s="22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22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22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22">
        <f ca="1">VLOOKUP($L44,OFFSET([3]enemies!$A$1,0,0,COUNTA([3]enemies!$A:$A),MATCH(Q$1,[3]enemies!$1:$1,0)-MATCH($L$1,[3]enemies!$1:$1,0)+1),MATCH(Q$1,[3]enemies!$1:$1,0)-MATCH($L$1,[3]enemies!$1:$1,0)+1,FALSE)</f>
        <v>15</v>
      </c>
      <c r="R44" s="79">
        <v>30</v>
      </c>
      <c r="S44" s="80">
        <v>2</v>
      </c>
      <c r="T44" s="80">
        <v>1</v>
      </c>
      <c r="U44" s="79">
        <v>0</v>
      </c>
      <c r="V44" s="22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4" s="22">
        <f ca="1">VLOOKUP($L44,OFFSET([3]enemies!$A$1,0,0,COUNTA([3]enemies!$A:$A),MATCH(W$1,[3]enemies!$1:$1,0)-MATCH($L$1,[3]enemies!$1:$1,0)+1),MATCH(W$1,[3]enemies!$1:$1,0)-MATCH($L$1,[3]enemies!$1:$1,0)+1,FALSE)</f>
        <v>0</v>
      </c>
      <c r="X44" s="81">
        <v>0</v>
      </c>
      <c r="Y44" s="81">
        <v>100</v>
      </c>
      <c r="Z44" s="81">
        <v>2</v>
      </c>
      <c r="AA44" s="22">
        <f ca="1">VLOOKUP($L44,OFFSET([3]enemies!$A$1,0,0,COUNTA([3]enemies!$A:$A),MATCH(AA$1,[3]enemies!$1:$1,0)-MATCH($L$1,[3]enemies!$1:$1,0)+1),MATCH(AA$1,[3]enemies!$1:$1,0)-MATCH($L$1,[3]enemies!$1:$1,0)+1,FALSE)</f>
        <v>3</v>
      </c>
      <c r="AB44" s="70">
        <v>103</v>
      </c>
      <c r="AC44" s="22" t="str">
        <f ca="1">IFERROR(VLOOKUP($AB44,OFFSET([4]characters!$A$1,0,0,COUNTA([4]characters!$A:$A),MATCH(AC$1,[4]characters!$1:$1,0)-MATCH("character_id",[4]characters!$1:$1,0)+1),MATCH(AC$1,[4]characters!$1:$1,0)-MATCH("character_id",[4]characters!$1:$1,0)+1,FALSE),"")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44" s="22">
        <f ca="1">IFERROR(VLOOKUP($AB44,OFFSET([4]characters!$A$1,0,0,COUNTA([4]characters!$A:$A),MATCH(AD$1,[4]characters!$1:$1,0)-MATCH("character_id",[4]characters!$1:$1,0)+1),MATCH(AD$1,[4]characters!$1:$1,0)-MATCH("character_id",[4]characters!$1:$1,0)+1,FALSE),"")</f>
        <v>4</v>
      </c>
      <c r="AE44" s="22" t="str">
        <f ca="1">IFERROR(VLOOKUP($AB44,OFFSET([4]characters!$A$1,0,0,COUNTA([4]characters!$A:$A),MATCH(AE$1,[4]characters!$1:$1,0)-MATCH("character_id",[4]characters!$1:$1,0)+1),MATCH(AE$1,[4]characters!$1:$1,0)-MATCH("character_id",[4]characters!$1:$1,0)+1,FALSE),"")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4" s="28">
        <v>1</v>
      </c>
      <c r="AG44" s="75">
        <f t="shared" ca="1" si="35"/>
        <v>4</v>
      </c>
      <c r="AH44" s="131">
        <v>50</v>
      </c>
      <c r="AI44" s="28">
        <v>0</v>
      </c>
      <c r="AJ44" s="28">
        <v>0</v>
      </c>
      <c r="AK44" s="28">
        <v>0</v>
      </c>
      <c r="AL44" s="28">
        <v>0</v>
      </c>
      <c r="AM44" s="28">
        <v>1</v>
      </c>
      <c r="AN44" s="28">
        <v>1</v>
      </c>
    </row>
    <row r="45" spans="1:40" ht="21" customHeight="1" x14ac:dyDescent="0.15">
      <c r="A45" s="78" t="str">
        <f ca="1">B45&amp;"_"&amp;C45&amp;"-"&amp;G45&amp;"/"&amp;L45&amp;"&lt;lv"&amp;R45&amp;"&gt;s"&amp;AA45</f>
        <v>11002_4-5/126&lt;lv30&gt;s1</v>
      </c>
      <c r="B45" s="76">
        <v>11002</v>
      </c>
      <c r="C45" s="77">
        <v>4</v>
      </c>
      <c r="D45" s="16" t="str">
        <f t="shared" si="33"/>
        <v>11002_4</v>
      </c>
      <c r="E45" s="22" t="str">
        <f ca="1">VLOOKUP($B45,OFFSET([2]quests!$A$1,0,0,COUNTA([2]quests!$A:$A),MATCH(E$1,[2]quests!$1:$1,0)-MATCH($B$1,[2]quests!$1:$1,0)+1),MATCH(E$1,[2]quests!$1:$1,0)-MATCH($B$1,[2]quests!$1:$1,0)+1,FALSE)</f>
        <v>【火曜限定】 赤の素材</v>
      </c>
      <c r="F45" s="22" t="str">
        <f ca="1">VLOOKUP($D45,OFFSET([2]stages!$A$1,0,0,COUNTA([2]stages!$A:$A),MATCH(F$1,[2]stages!$2:$2,0)-MATCH($D$1,[2]stages!$2:$2,0)+1),MATCH(F$1,[2]stages!$2:$2,0)-MATCH($D$1,[2]stages!$2:$2,0)+1,FALSE)</f>
        <v xml:space="preserve">【上級】火のイモムシ </v>
      </c>
      <c r="G45" s="68">
        <v>5</v>
      </c>
      <c r="H45" s="16" t="str">
        <f t="shared" si="34"/>
        <v>11002_4-5</v>
      </c>
      <c r="I45" s="22" t="e">
        <v>#N/A</v>
      </c>
      <c r="J45" s="22" t="e">
        <v>#N/A</v>
      </c>
      <c r="K45" s="70" t="s">
        <v>218</v>
      </c>
      <c r="L45" s="70">
        <v>126</v>
      </c>
      <c r="M45" s="22" t="str">
        <f ca="1">VLOOKUP($L45,OFFSET([3]enemies!$A$1,0,0,COUNTA([3]enemies!$A:$A),MATCH(M$1,[3]enemies!$1:$1,0)-MATCH($L$1,[3]enemies!$1:$1,0)+1),MATCH(M$1,[3]enemies!$1:$1,0)-MATCH($L$1,[3]enemies!$1:$1,0)+1,FALSE)</f>
        <v>骨器使い ユノ</v>
      </c>
      <c r="N45" s="22" t="str">
        <f ca="1">VLOOKUP($L45,OFFSET([3]enemies!$A$1,0,0,COUNTA([3]enemies!$A:$A),MATCH(N$1,[3]enemies!$1:$1,0)-MATCH($L$1,[3]enemies!$1:$1,0)+1),MATCH(N$1,[3]enemies!$1:$1,0)-MATCH($L$1,[3]enemies!$1:$1,0)+1,FALSE)</f>
        <v>red</v>
      </c>
      <c r="O45" s="22" t="str">
        <f ca="1">VLOOKUP($L45,OFFSET([4]characters!$A$1,0,0,COUNTA([4]characters!$A:$A),MATCH(O$1,[4]characters!$1:$1,0)-MATCH($L$1,[4]characters!$1:$1,0)+1),MATCH(O$1,[4]characters!$1:$1,0)-MATCH($L$1,[4]characters!$1:$1,0)+1,FALSE)</f>
        <v>PremiumW</v>
      </c>
      <c r="P45" s="22" t="str">
        <f ca="1">VLOOKUP($L45,OFFSET([3]enemies!$A$1,0,0,COUNTA([3]enemies!$A:$A),MATCH(P$1,[3]enemies!$1:$1,0)-MATCH($L$1,[3]enemies!$1:$1,0)+1),MATCH(P$1,[3]enemies!$1:$1,0)-MATCH($L$1,[3]enemies!$1:$1,0)+1,FALSE)</f>
        <v>human</v>
      </c>
      <c r="Q45" s="22">
        <f ca="1">VLOOKUP($L45,OFFSET([3]enemies!$A$1,0,0,COUNTA([3]enemies!$A:$A),MATCH(Q$1,[3]enemies!$1:$1,0)-MATCH($L$1,[3]enemies!$1:$1,0)+1),MATCH(Q$1,[3]enemies!$1:$1,0)-MATCH($L$1,[3]enemies!$1:$1,0)+1,FALSE)</f>
        <v>20</v>
      </c>
      <c r="R45" s="79">
        <v>30</v>
      </c>
      <c r="S45" s="80">
        <v>1</v>
      </c>
      <c r="T45" s="80">
        <v>1</v>
      </c>
      <c r="U45" s="79">
        <v>0</v>
      </c>
      <c r="V45" s="22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45" s="22">
        <f ca="1">VLOOKUP($L45,OFFSET([3]enemies!$A$1,0,0,COUNTA([3]enemies!$A:$A),MATCH(W$1,[3]enemies!$1:$1,0)-MATCH($L$1,[3]enemies!$1:$1,0)+1),MATCH(W$1,[3]enemies!$1:$1,0)-MATCH($L$1,[3]enemies!$1:$1,0)+1,FALSE)</f>
        <v>126</v>
      </c>
      <c r="X45" s="81">
        <v>0</v>
      </c>
      <c r="Y45" s="81">
        <v>100</v>
      </c>
      <c r="Z45" s="81">
        <v>0</v>
      </c>
      <c r="AA45" s="22">
        <f ca="1">VLOOKUP($L45,OFFSET([3]enemies!$A$1,0,0,COUNTA([3]enemies!$A:$A),MATCH(AA$1,[3]enemies!$1:$1,0)-MATCH($L$1,[3]enemies!$1:$1,0)+1),MATCH(AA$1,[3]enemies!$1:$1,0)-MATCH($L$1,[3]enemies!$1:$1,0)+1,FALSE)</f>
        <v>1</v>
      </c>
      <c r="AB45" s="70">
        <v>126</v>
      </c>
      <c r="AC45" s="22" t="str">
        <f ca="1">IFERROR(VLOOKUP($AB45,OFFSET([4]characters!$A$1,0,0,COUNTA([4]characters!$A:$A),MATCH(AC$1,[4]characters!$1:$1,0)-MATCH("character_id",[4]characters!$1:$1,0)+1),MATCH(AC$1,[4]characters!$1:$1,0)-MATCH("character_id",[4]characters!$1:$1,0)+1,FALSE),"")</f>
        <v>骨器使い ユノ</v>
      </c>
      <c r="AD45" s="22">
        <f ca="1">IFERROR(VLOOKUP($AB45,OFFSET([4]characters!$A$1,0,0,COUNTA([4]characters!$A:$A),MATCH(AD$1,[4]characters!$1:$1,0)-MATCH("character_id",[4]characters!$1:$1,0)+1),MATCH(AD$1,[4]characters!$1:$1,0)-MATCH("character_id",[4]characters!$1:$1,0)+1,FALSE),"")</f>
        <v>3</v>
      </c>
      <c r="AE45" s="22" t="str">
        <f ca="1">IFERROR(VLOOKUP($AB45,OFFSET([4]characters!$A$1,0,0,COUNTA([4]characters!$A:$A),MATCH(AE$1,[4]characters!$1:$1,0)-MATCH("character_id",[4]characters!$1:$1,0)+1),MATCH(AE$1,[4]characters!$1:$1,0)-MATCH("character_id",[4]characters!$1:$1,0)+1,FALSE),"")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5" s="28">
        <v>1</v>
      </c>
      <c r="AG45" s="75">
        <f t="shared" ca="1" si="35"/>
        <v>3</v>
      </c>
      <c r="AH45" s="81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1</v>
      </c>
      <c r="AN45" s="28">
        <v>1</v>
      </c>
    </row>
    <row r="46" spans="1:40" ht="21" customHeight="1" x14ac:dyDescent="0.15">
      <c r="A46" s="78" t="str">
        <f ca="1">B46&amp;"_"&amp;C46&amp;"-"&amp;G46&amp;"/"&amp;L46&amp;"&lt;lv"&amp;R46&amp;"&gt;s"&amp;AA46</f>
        <v>11002_4-5/134&lt;lv30&gt;s3</v>
      </c>
      <c r="B46" s="76">
        <v>11002</v>
      </c>
      <c r="C46" s="77">
        <v>4</v>
      </c>
      <c r="D46" s="16" t="str">
        <f t="shared" si="33"/>
        <v>11002_4</v>
      </c>
      <c r="E46" s="22" t="str">
        <f ca="1">VLOOKUP($B46,OFFSET([2]quests!$A$1,0,0,COUNTA([2]quests!$A:$A),MATCH(E$1,[2]quests!$1:$1,0)-MATCH($B$1,[2]quests!$1:$1,0)+1),MATCH(E$1,[2]quests!$1:$1,0)-MATCH($B$1,[2]quests!$1:$1,0)+1,FALSE)</f>
        <v>【火曜限定】 赤の素材</v>
      </c>
      <c r="F46" s="22" t="str">
        <f ca="1">VLOOKUP($D46,OFFSET([2]stages!$A$1,0,0,COUNTA([2]stages!$A:$A),MATCH(F$1,[2]stages!$2:$2,0)-MATCH($D$1,[2]stages!$2:$2,0)+1),MATCH(F$1,[2]stages!$2:$2,0)-MATCH($D$1,[2]stages!$2:$2,0)+1,FALSE)</f>
        <v xml:space="preserve">【上級】火のイモムシ </v>
      </c>
      <c r="G46" s="68">
        <v>5</v>
      </c>
      <c r="H46" s="16" t="str">
        <f t="shared" si="34"/>
        <v>11002_4-5</v>
      </c>
      <c r="I46" s="22" t="e">
        <v>#N/A</v>
      </c>
      <c r="J46" s="22" t="e">
        <v>#N/A</v>
      </c>
      <c r="K46" s="70" t="s">
        <v>219</v>
      </c>
      <c r="L46" s="70">
        <v>134</v>
      </c>
      <c r="M46" s="22" t="str">
        <f ca="1">VLOOKUP($L46,OFFSET([3]enemies!$A$1,0,0,COUNTA([3]enemies!$A:$A),MATCH(M$1,[3]enemies!$1:$1,0)-MATCH($L$1,[3]enemies!$1:$1,0)+1),MATCH(M$1,[3]enemies!$1:$1,0)-MATCH($L$1,[3]enemies!$1:$1,0)+1,FALSE)</f>
        <v>妖炎の夕霧</v>
      </c>
      <c r="N46" s="22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22" t="str">
        <f ca="1">VLOOKUP($L46,OFFSET([4]characters!$A$1,0,0,COUNTA([4]characters!$A:$A),MATCH(O$1,[4]characters!$1:$1,0)-MATCH($L$1,[4]characters!$1:$1,0)+1),MATCH(O$1,[4]characters!$1:$1,0)-MATCH($L$1,[4]characters!$1:$1,0)+1,FALSE)</f>
        <v>PremiumW</v>
      </c>
      <c r="P46" s="22" t="str">
        <f ca="1">VLOOKUP($L46,OFFSET([3]enemies!$A$1,0,0,COUNTA([3]enemies!$A:$A),MATCH(P$1,[3]enemies!$1:$1,0)-MATCH($L$1,[3]enemies!$1:$1,0)+1),MATCH(P$1,[3]enemies!$1:$1,0)-MATCH($L$1,[3]enemies!$1:$1,0)+1,FALSE)</f>
        <v>human</v>
      </c>
      <c r="Q46" s="22">
        <f ca="1">VLOOKUP($L46,OFFSET([3]enemies!$A$1,0,0,COUNTA([3]enemies!$A:$A),MATCH(Q$1,[3]enemies!$1:$1,0)-MATCH($L$1,[3]enemies!$1:$1,0)+1),MATCH(Q$1,[3]enemies!$1:$1,0)-MATCH($L$1,[3]enemies!$1:$1,0)+1,FALSE)</f>
        <v>20</v>
      </c>
      <c r="R46" s="79">
        <v>30</v>
      </c>
      <c r="S46" s="80">
        <v>1</v>
      </c>
      <c r="T46" s="80">
        <v>1</v>
      </c>
      <c r="U46" s="79">
        <v>0</v>
      </c>
      <c r="V46" s="22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46" s="22">
        <f ca="1">VLOOKUP($L46,OFFSET([3]enemies!$A$1,0,0,COUNTA([3]enemies!$A:$A),MATCH(W$1,[3]enemies!$1:$1,0)-MATCH($L$1,[3]enemies!$1:$1,0)+1),MATCH(W$1,[3]enemies!$1:$1,0)-MATCH($L$1,[3]enemies!$1:$1,0)+1,FALSE)</f>
        <v>134</v>
      </c>
      <c r="X46" s="81">
        <v>0</v>
      </c>
      <c r="Y46" s="81">
        <v>100</v>
      </c>
      <c r="Z46" s="81">
        <v>0</v>
      </c>
      <c r="AA46" s="22">
        <f ca="1">VLOOKUP($L46,OFFSET([3]enemies!$A$1,0,0,COUNTA([3]enemies!$A:$A),MATCH(AA$1,[3]enemies!$1:$1,0)-MATCH($L$1,[3]enemies!$1:$1,0)+1),MATCH(AA$1,[3]enemies!$1:$1,0)-MATCH($L$1,[3]enemies!$1:$1,0)+1,FALSE)</f>
        <v>3</v>
      </c>
      <c r="AB46" s="70">
        <v>134</v>
      </c>
      <c r="AC46" s="22" t="str">
        <f ca="1">IFERROR(VLOOKUP($AB46,OFFSET([4]characters!$A$1,0,0,COUNTA([4]characters!$A:$A),MATCH(AC$1,[4]characters!$1:$1,0)-MATCH("character_id",[4]characters!$1:$1,0)+1),MATCH(AC$1,[4]characters!$1:$1,0)-MATCH("character_id",[4]characters!$1:$1,0)+1,FALSE),"")</f>
        <v>妖炎の夕霧</v>
      </c>
      <c r="AD46" s="22">
        <f ca="1">IFERROR(VLOOKUP($AB46,OFFSET([4]characters!$A$1,0,0,COUNTA([4]characters!$A:$A),MATCH(AD$1,[4]characters!$1:$1,0)-MATCH("character_id",[4]characters!$1:$1,0)+1),MATCH(AD$1,[4]characters!$1:$1,0)-MATCH("character_id",[4]characters!$1:$1,0)+1,FALSE),"")</f>
        <v>3</v>
      </c>
      <c r="AE46" s="22" t="str">
        <f ca="1">IFERROR(VLOOKUP($AB46,OFFSET([4]characters!$A$1,0,0,COUNTA([4]characters!$A:$A),MATCH(AE$1,[4]characters!$1:$1,0)-MATCH("character_id",[4]characters!$1:$1,0)+1),MATCH(AE$1,[4]characters!$1:$1,0)-MATCH("character_id",[4]characters!$1:$1,0)+1,FALSE),"")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6" s="28">
        <v>1</v>
      </c>
      <c r="AG46" s="75">
        <f t="shared" ca="1" si="35"/>
        <v>3</v>
      </c>
      <c r="AH46" s="81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1</v>
      </c>
      <c r="AN46" s="28">
        <v>1</v>
      </c>
    </row>
    <row r="47" spans="1:40" ht="21" customHeight="1" x14ac:dyDescent="0.15">
      <c r="A47" s="78" t="str">
        <f ca="1">B47&amp;"_"&amp;C47&amp;"-"&amp;G47&amp;"/"&amp;L47&amp;"&lt;lv"&amp;R47&amp;"&gt;s"&amp;AA47</f>
        <v>11002_4-5/142&lt;lv30&gt;s2</v>
      </c>
      <c r="B47" s="76">
        <v>11002</v>
      </c>
      <c r="C47" s="77">
        <v>4</v>
      </c>
      <c r="D47" s="16" t="str">
        <f t="shared" si="33"/>
        <v>11002_4</v>
      </c>
      <c r="E47" s="22" t="str">
        <f ca="1">VLOOKUP($B47,OFFSET([2]quests!$A$1,0,0,COUNTA([2]quests!$A:$A),MATCH(E$1,[2]quests!$1:$1,0)-MATCH($B$1,[2]quests!$1:$1,0)+1),MATCH(E$1,[2]quests!$1:$1,0)-MATCH($B$1,[2]quests!$1:$1,0)+1,FALSE)</f>
        <v>【火曜限定】 赤の素材</v>
      </c>
      <c r="F47" s="22" t="str">
        <f ca="1">VLOOKUP($D47,OFFSET([2]stages!$A$1,0,0,COUNTA([2]stages!$A:$A),MATCH(F$1,[2]stages!$2:$2,0)-MATCH($D$1,[2]stages!$2:$2,0)+1),MATCH(F$1,[2]stages!$2:$2,0)-MATCH($D$1,[2]stages!$2:$2,0)+1,FALSE)</f>
        <v xml:space="preserve">【上級】火のイモムシ </v>
      </c>
      <c r="G47" s="68">
        <v>5</v>
      </c>
      <c r="H47" s="16" t="str">
        <f t="shared" si="34"/>
        <v>11002_4-5</v>
      </c>
      <c r="I47" s="22" t="e">
        <v>#N/A</v>
      </c>
      <c r="J47" s="22" t="e">
        <v>#N/A</v>
      </c>
      <c r="K47" s="70" t="s">
        <v>218</v>
      </c>
      <c r="L47" s="70">
        <v>142</v>
      </c>
      <c r="M47" s="22" t="str">
        <f ca="1">VLOOKUP($L47,OFFSET([3]enemies!$A$1,0,0,COUNTA([3]enemies!$A:$A),MATCH(M$1,[3]enemies!$1:$1,0)-MATCH($L$1,[3]enemies!$1:$1,0)+1),MATCH(M$1,[3]enemies!$1:$1,0)-MATCH($L$1,[3]enemies!$1:$1,0)+1,FALSE)</f>
        <v>赤ずきん</v>
      </c>
      <c r="N47" s="22" t="str">
        <f ca="1">VLOOKUP($L47,OFFSET([3]enemies!$A$1,0,0,COUNTA([3]enemies!$A:$A),MATCH(N$1,[3]enemies!$1:$1,0)-MATCH($L$1,[3]enemies!$1:$1,0)+1),MATCH(N$1,[3]enemies!$1:$1,0)-MATCH($L$1,[3]enemies!$1:$1,0)+1,FALSE)</f>
        <v>red</v>
      </c>
      <c r="O47" s="22" t="str">
        <f ca="1">VLOOKUP($L47,OFFSET([4]characters!$A$1,0,0,COUNTA([4]characters!$A:$A),MATCH(O$1,[4]characters!$1:$1,0)-MATCH($L$1,[4]characters!$1:$1,0)+1),MATCH(O$1,[4]characters!$1:$1,0)-MATCH($L$1,[4]characters!$1:$1,0)+1,FALSE)</f>
        <v>PremiumW</v>
      </c>
      <c r="P47" s="22" t="str">
        <f ca="1">VLOOKUP($L47,OFFSET([3]enemies!$A$1,0,0,COUNTA([3]enemies!$A:$A),MATCH(P$1,[3]enemies!$1:$1,0)-MATCH($L$1,[3]enemies!$1:$1,0)+1),MATCH(P$1,[3]enemies!$1:$1,0)-MATCH($L$1,[3]enemies!$1:$1,0)+1,FALSE)</f>
        <v>human</v>
      </c>
      <c r="Q47" s="22">
        <f ca="1">VLOOKUP($L47,OFFSET([3]enemies!$A$1,0,0,COUNTA([3]enemies!$A:$A),MATCH(Q$1,[3]enemies!$1:$1,0)-MATCH($L$1,[3]enemies!$1:$1,0)+1),MATCH(Q$1,[3]enemies!$1:$1,0)-MATCH($L$1,[3]enemies!$1:$1,0)+1,FALSE)</f>
        <v>20</v>
      </c>
      <c r="R47" s="79">
        <v>30</v>
      </c>
      <c r="S47" s="80">
        <v>1</v>
      </c>
      <c r="T47" s="80">
        <v>1</v>
      </c>
      <c r="U47" s="79">
        <v>0</v>
      </c>
      <c r="V47" s="22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22">
        <f ca="1">VLOOKUP($L47,OFFSET([3]enemies!$A$1,0,0,COUNTA([3]enemies!$A:$A),MATCH(W$1,[3]enemies!$1:$1,0)-MATCH($L$1,[3]enemies!$1:$1,0)+1),MATCH(W$1,[3]enemies!$1:$1,0)-MATCH($L$1,[3]enemies!$1:$1,0)+1,FALSE)</f>
        <v>0</v>
      </c>
      <c r="X47" s="81">
        <v>0</v>
      </c>
      <c r="Y47" s="81">
        <v>100</v>
      </c>
      <c r="Z47" s="81">
        <v>0</v>
      </c>
      <c r="AA47" s="22">
        <f ca="1">VLOOKUP($L47,OFFSET([3]enemies!$A$1,0,0,COUNTA([3]enemies!$A:$A),MATCH(AA$1,[3]enemies!$1:$1,0)-MATCH($L$1,[3]enemies!$1:$1,0)+1),MATCH(AA$1,[3]enemies!$1:$1,0)-MATCH($L$1,[3]enemies!$1:$1,0)+1,FALSE)</f>
        <v>2</v>
      </c>
      <c r="AB47" s="70">
        <v>142</v>
      </c>
      <c r="AC47" s="22" t="str">
        <f ca="1">IFERROR(VLOOKUP($AB47,OFFSET([4]characters!$A$1,0,0,COUNTA([4]characters!$A:$A),MATCH(AC$1,[4]characters!$1:$1,0)-MATCH("character_id",[4]characters!$1:$1,0)+1),MATCH(AC$1,[4]characters!$1:$1,0)-MATCH("character_id",[4]characters!$1:$1,0)+1,FALSE),"")</f>
        <v>赤ずきん</v>
      </c>
      <c r="AD47" s="22">
        <f ca="1">IFERROR(VLOOKUP($AB47,OFFSET([4]characters!$A$1,0,0,COUNTA([4]characters!$A:$A),MATCH(AD$1,[4]characters!$1:$1,0)-MATCH("character_id",[4]characters!$1:$1,0)+1),MATCH(AD$1,[4]characters!$1:$1,0)-MATCH("character_id",[4]characters!$1:$1,0)+1,FALSE),"")</f>
        <v>3</v>
      </c>
      <c r="AE47" s="22" t="str">
        <f ca="1">IFERROR(VLOOKUP($AB47,OFFSET([4]characters!$A$1,0,0,COUNTA([4]characters!$A:$A),MATCH(AE$1,[4]characters!$1:$1,0)-MATCH("character_id",[4]characters!$1:$1,0)+1),MATCH(AE$1,[4]characters!$1:$1,0)-MATCH("character_id",[4]characters!$1:$1,0)+1,FALSE),"")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7" s="28">
        <v>1</v>
      </c>
      <c r="AG47" s="75">
        <f t="shared" ca="1" si="35"/>
        <v>3</v>
      </c>
      <c r="AH47" s="81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1</v>
      </c>
      <c r="AN47" s="28">
        <v>1</v>
      </c>
    </row>
    <row r="48" spans="1:40" ht="21" customHeight="1" x14ac:dyDescent="0.15">
      <c r="A48" s="78" t="str">
        <f ca="1">B48&amp;"_"&amp;C48&amp;"-"&amp;G48&amp;"/"&amp;L48&amp;"&lt;lv"&amp;R48&amp;"&gt;s"&amp;AA48</f>
        <v>11002_4-5/150&lt;lv30&gt;s2</v>
      </c>
      <c r="B48" s="76">
        <v>11002</v>
      </c>
      <c r="C48" s="77">
        <v>4</v>
      </c>
      <c r="D48" s="16" t="str">
        <f t="shared" si="33"/>
        <v>11002_4</v>
      </c>
      <c r="E48" s="22" t="str">
        <f ca="1">VLOOKUP($B48,OFFSET([2]quests!$A$1,0,0,COUNTA([2]quests!$A:$A),MATCH(E$1,[2]quests!$1:$1,0)-MATCH($B$1,[2]quests!$1:$1,0)+1),MATCH(E$1,[2]quests!$1:$1,0)-MATCH($B$1,[2]quests!$1:$1,0)+1,FALSE)</f>
        <v>【火曜限定】 赤の素材</v>
      </c>
      <c r="F48" s="22" t="str">
        <f ca="1">VLOOKUP($D48,OFFSET([2]stages!$A$1,0,0,COUNTA([2]stages!$A:$A),MATCH(F$1,[2]stages!$2:$2,0)-MATCH($D$1,[2]stages!$2:$2,0)+1),MATCH(F$1,[2]stages!$2:$2,0)-MATCH($D$1,[2]stages!$2:$2,0)+1,FALSE)</f>
        <v xml:space="preserve">【上級】火のイモムシ </v>
      </c>
      <c r="G48" s="68">
        <v>5</v>
      </c>
      <c r="H48" s="16" t="str">
        <f t="shared" si="34"/>
        <v>11002_4-5</v>
      </c>
      <c r="I48" s="22" t="e">
        <v>#N/A</v>
      </c>
      <c r="J48" s="22" t="e">
        <v>#N/A</v>
      </c>
      <c r="K48" s="70" t="s">
        <v>218</v>
      </c>
      <c r="L48" s="70">
        <v>150</v>
      </c>
      <c r="M48" s="22" t="str">
        <f ca="1">VLOOKUP($L48,OFFSET([3]enemies!$A$1,0,0,COUNTA([3]enemies!$A:$A),MATCH(M$1,[3]enemies!$1:$1,0)-MATCH($L$1,[3]enemies!$1:$1,0)+1),MATCH(M$1,[3]enemies!$1:$1,0)-MATCH($L$1,[3]enemies!$1:$1,0)+1,FALSE)</f>
        <v>ポイズンマスターサキ</v>
      </c>
      <c r="N48" s="22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22" t="str">
        <f ca="1">VLOOKUP($L48,OFFSET([4]characters!$A$1,0,0,COUNTA([4]characters!$A:$A),MATCH(O$1,[4]characters!$1:$1,0)-MATCH($L$1,[4]characters!$1:$1,0)+1),MATCH(O$1,[4]characters!$1:$1,0)-MATCH($L$1,[4]characters!$1:$1,0)+1,FALSE)</f>
        <v>PremiumW</v>
      </c>
      <c r="P48" s="22" t="str">
        <f ca="1">VLOOKUP($L48,OFFSET([3]enemies!$A$1,0,0,COUNTA([3]enemies!$A:$A),MATCH(P$1,[3]enemies!$1:$1,0)-MATCH($L$1,[3]enemies!$1:$1,0)+1),MATCH(P$1,[3]enemies!$1:$1,0)-MATCH($L$1,[3]enemies!$1:$1,0)+1,FALSE)</f>
        <v>human</v>
      </c>
      <c r="Q48" s="22">
        <f ca="1">VLOOKUP($L48,OFFSET([3]enemies!$A$1,0,0,COUNTA([3]enemies!$A:$A),MATCH(Q$1,[3]enemies!$1:$1,0)-MATCH($L$1,[3]enemies!$1:$1,0)+1),MATCH(Q$1,[3]enemies!$1:$1,0)-MATCH($L$1,[3]enemies!$1:$1,0)+1,FALSE)</f>
        <v>20</v>
      </c>
      <c r="R48" s="79">
        <v>30</v>
      </c>
      <c r="S48" s="80">
        <v>1</v>
      </c>
      <c r="T48" s="80">
        <v>1</v>
      </c>
      <c r="U48" s="79">
        <v>0</v>
      </c>
      <c r="V48" s="22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8" s="22">
        <f ca="1">VLOOKUP($L48,OFFSET([3]enemies!$A$1,0,0,COUNTA([3]enemies!$A:$A),MATCH(W$1,[3]enemies!$1:$1,0)-MATCH($L$1,[3]enemies!$1:$1,0)+1),MATCH(W$1,[3]enemies!$1:$1,0)-MATCH($L$1,[3]enemies!$1:$1,0)+1,FALSE)</f>
        <v>0</v>
      </c>
      <c r="X48" s="81">
        <v>0</v>
      </c>
      <c r="Y48" s="81">
        <v>100</v>
      </c>
      <c r="Z48" s="81">
        <v>0</v>
      </c>
      <c r="AA48" s="22">
        <f ca="1">VLOOKUP($L48,OFFSET([3]enemies!$A$1,0,0,COUNTA([3]enemies!$A:$A),MATCH(AA$1,[3]enemies!$1:$1,0)-MATCH($L$1,[3]enemies!$1:$1,0)+1),MATCH(AA$1,[3]enemies!$1:$1,0)-MATCH($L$1,[3]enemies!$1:$1,0)+1,FALSE)</f>
        <v>2</v>
      </c>
      <c r="AB48" s="70">
        <v>150</v>
      </c>
      <c r="AC48" s="22" t="str">
        <f ca="1">IFERROR(VLOOKUP($AB48,OFFSET([4]characters!$A$1,0,0,COUNTA([4]characters!$A:$A),MATCH(AC$1,[4]characters!$1:$1,0)-MATCH("character_id",[4]characters!$1:$1,0)+1),MATCH(AC$1,[4]characters!$1:$1,0)-MATCH("character_id",[4]characters!$1:$1,0)+1,FALSE),"")</f>
        <v>ポイズンマスターサキ</v>
      </c>
      <c r="AD48" s="22">
        <f ca="1">IFERROR(VLOOKUP($AB48,OFFSET([4]characters!$A$1,0,0,COUNTA([4]characters!$A:$A),MATCH(AD$1,[4]characters!$1:$1,0)-MATCH("character_id",[4]characters!$1:$1,0)+1),MATCH(AD$1,[4]characters!$1:$1,0)-MATCH("character_id",[4]characters!$1:$1,0)+1,FALSE),"")</f>
        <v>3</v>
      </c>
      <c r="AE48" s="22" t="str">
        <f ca="1">IFERROR(VLOOKUP($AB48,OFFSET([4]characters!$A$1,0,0,COUNTA([4]characters!$A:$A),MATCH(AE$1,[4]characters!$1:$1,0)-MATCH("character_id",[4]characters!$1:$1,0)+1),MATCH(AE$1,[4]characters!$1:$1,0)-MATCH("character_id",[4]characters!$1:$1,0)+1,FALSE),"")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8" s="28">
        <v>1</v>
      </c>
      <c r="AG48" s="75">
        <f t="shared" ca="1" si="35"/>
        <v>3</v>
      </c>
      <c r="AH48" s="81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1</v>
      </c>
      <c r="AN48" s="28">
        <v>1</v>
      </c>
    </row>
    <row r="49" spans="1:40" ht="21" customHeight="1" x14ac:dyDescent="0.15">
      <c r="A49" s="78" t="str">
        <f ca="1">B49&amp;"_"&amp;C49&amp;"-"&amp;G49&amp;"/"&amp;L49&amp;"&lt;lv"&amp;R49&amp;"&gt;s"&amp;AA49</f>
        <v>11002_4-5/837&lt;lv30&gt;s3</v>
      </c>
      <c r="B49" s="76">
        <v>11002</v>
      </c>
      <c r="C49" s="77">
        <v>4</v>
      </c>
      <c r="D49" s="16" t="str">
        <f t="shared" ref="D49" si="36">B49&amp;"_"&amp;C49</f>
        <v>11002_4</v>
      </c>
      <c r="E49" s="22" t="str">
        <f ca="1">VLOOKUP($B49,OFFSET([2]quests!$A$1,0,0,COUNTA([2]quests!$A:$A),MATCH(E$1,[2]quests!$1:$1,0)-MATCH($B$1,[2]quests!$1:$1,0)+1),MATCH(E$1,[2]quests!$1:$1,0)-MATCH($B$1,[2]quests!$1:$1,0)+1,FALSE)</f>
        <v>【火曜限定】 赤の素材</v>
      </c>
      <c r="F49" s="22" t="str">
        <f ca="1">VLOOKUP($D49,OFFSET([2]stages!$A$1,0,0,COUNTA([2]stages!$A:$A),MATCH(F$1,[2]stages!$2:$2,0)-MATCH($D$1,[2]stages!$2:$2,0)+1),MATCH(F$1,[2]stages!$2:$2,0)-MATCH($D$1,[2]stages!$2:$2,0)+1,FALSE)</f>
        <v xml:space="preserve">【上級】火のイモムシ </v>
      </c>
      <c r="G49" s="68">
        <v>5</v>
      </c>
      <c r="H49" s="16" t="str">
        <f t="shared" ref="H49" si="37">B49&amp;"_"&amp;C49&amp;"-"&amp;G49</f>
        <v>11002_4-5</v>
      </c>
      <c r="I49" s="22" t="e">
        <v>#N/A</v>
      </c>
      <c r="J49" s="22" t="e">
        <v>#N/A</v>
      </c>
      <c r="K49" s="70" t="s">
        <v>218</v>
      </c>
      <c r="L49" s="70">
        <v>837</v>
      </c>
      <c r="M49" s="22" t="str">
        <f ca="1">VLOOKUP($L49,OFFSET([3]enemies!$A$1,0,0,COUNTA([3]enemies!$A:$A),MATCH(M$1,[3]enemies!$1:$1,0)-MATCH($L$1,[3]enemies!$1:$1,0)+1),MATCH(M$1,[3]enemies!$1:$1,0)-MATCH($L$1,[3]enemies!$1:$1,0)+1,FALSE)</f>
        <v>リトルハンプティ</v>
      </c>
      <c r="N49" s="22" t="str">
        <f ca="1">VLOOKUP($L49,OFFSET([3]enemies!$A$1,0,0,COUNTA([3]enemies!$A:$A),MATCH(N$1,[3]enemies!$1:$1,0)-MATCH($L$1,[3]enemies!$1:$1,0)+1),MATCH(N$1,[3]enemies!$1:$1,0)-MATCH($L$1,[3]enemies!$1:$1,0)+1,FALSE)</f>
        <v>yellow</v>
      </c>
      <c r="O49" s="22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22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22">
        <f ca="1">VLOOKUP($L49,OFFSET([3]enemies!$A$1,0,0,COUNTA([3]enemies!$A:$A),MATCH(Q$1,[3]enemies!$1:$1,0)-MATCH($L$1,[3]enemies!$1:$1,0)+1),MATCH(Q$1,[3]enemies!$1:$1,0)-MATCH($L$1,[3]enemies!$1:$1,0)+1,FALSE)</f>
        <v>60</v>
      </c>
      <c r="R49" s="6">
        <v>30</v>
      </c>
      <c r="S49" s="30">
        <v>10</v>
      </c>
      <c r="T49" s="30">
        <v>30</v>
      </c>
      <c r="U49" s="6">
        <v>0</v>
      </c>
      <c r="V49" s="22" t="str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9" s="22">
        <f ca="1">VLOOKUP($L49,OFFSET([3]enemies!$A$1,0,0,COUNTA([3]enemies!$A:$A),MATCH(W$1,[3]enemies!$1:$1,0)-MATCH($L$1,[3]enemies!$1:$1,0)+1),MATCH(W$1,[3]enemies!$1:$1,0)-MATCH($L$1,[3]enemies!$1:$1,0)+1,FALSE)</f>
        <v>0</v>
      </c>
      <c r="X49" s="81">
        <v>0</v>
      </c>
      <c r="Y49" s="81">
        <v>10</v>
      </c>
      <c r="Z49" s="81">
        <v>1</v>
      </c>
      <c r="AA49" s="22">
        <f ca="1">VLOOKUP($L49,OFFSET([3]enemies!$A$1,0,0,COUNTA([3]enemies!$A:$A),MATCH(AA$1,[3]enemies!$1:$1,0)-MATCH($L$1,[3]enemies!$1:$1,0)+1),MATCH(AA$1,[3]enemies!$1:$1,0)-MATCH($L$1,[3]enemies!$1:$1,0)+1,FALSE)</f>
        <v>3</v>
      </c>
      <c r="AB49" s="70">
        <v>837</v>
      </c>
      <c r="AC49" s="22" t="str">
        <f ca="1">IFERROR(VLOOKUP($AB49,OFFSET([4]characters!$A$1,0,0,COUNTA([4]characters!$A:$A),MATCH(AC$1,[4]characters!$1:$1,0)-MATCH("character_id",[4]characters!$1:$1,0)+1),MATCH(AC$1,[4]characters!$1:$1,0)-MATCH("character_id",[4]characters!$1:$1,0)+1,FALSE),"")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49" s="22">
        <f ca="1">IFERROR(VLOOKUP($AB49,OFFSET([4]characters!$A$1,0,0,COUNTA([4]characters!$A:$A),MATCH(AD$1,[4]characters!$1:$1,0)-MATCH("character_id",[4]characters!$1:$1,0)+1),MATCH(AD$1,[4]characters!$1:$1,0)-MATCH("character_id",[4]characters!$1:$1,0)+1,FALSE),"")</f>
        <v>6</v>
      </c>
      <c r="AE49" s="22" t="str">
        <f ca="1">IFERROR(VLOOKUP($AB49,OFFSET([4]characters!$A$1,0,0,COUNTA([4]characters!$A:$A),MATCH(AE$1,[4]characters!$1:$1,0)-MATCH("character_id",[4]characters!$1:$1,0)+1),MATCH(AE$1,[4]characters!$1:$1,0)-MATCH("character_id",[4]characters!$1:$1,0)+1,FALSE),"")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9" s="28">
        <v>1</v>
      </c>
      <c r="AG49" s="75">
        <f ca="1">AD49</f>
        <v>6</v>
      </c>
      <c r="AH49" s="81">
        <v>33</v>
      </c>
      <c r="AI49" s="28">
        <v>0</v>
      </c>
      <c r="AJ49" s="28">
        <v>0</v>
      </c>
      <c r="AK49" s="28">
        <v>0</v>
      </c>
      <c r="AL49" s="28">
        <v>0</v>
      </c>
      <c r="AM49" s="28">
        <v>1</v>
      </c>
      <c r="AN49" s="28">
        <v>1</v>
      </c>
    </row>
    <row r="50" spans="1:40" ht="21" customHeight="1" x14ac:dyDescent="0.15">
      <c r="A50" s="78" t="str">
        <f t="shared" ref="A50:A68" ca="1" si="38">B50&amp;"_"&amp;C50&amp;"-"&amp;G50&amp;"/"&amp;L50&amp;"&lt;lv"&amp;R50&amp;"&gt;s"&amp;AA50</f>
        <v>11003_4-1/111&lt;lv30&gt;s1</v>
      </c>
      <c r="B50" s="82">
        <v>11003</v>
      </c>
      <c r="C50" s="83">
        <v>4</v>
      </c>
      <c r="D50" s="16" t="str">
        <f t="shared" ref="D50:D73" si="39">B50&amp;"_"&amp;C50</f>
        <v>11003_4</v>
      </c>
      <c r="E50" s="22" t="str">
        <f ca="1">VLOOKUP($B50,OFFSET([2]quests!$A$1,0,0,COUNTA([2]quests!$A:$A),MATCH(E$1,[2]quests!$1:$1,0)-MATCH($B$1,[2]quests!$1:$1,0)+1),MATCH(E$1,[2]quests!$1:$1,0)-MATCH($B$1,[2]quests!$1:$1,0)+1,FALSE)</f>
        <v>【水曜限定】 青の素材</v>
      </c>
      <c r="F50" s="22" t="str">
        <f ca="1">VLOOKUP($D50,OFFSET([2]stages!$A$1,0,0,COUNTA([2]stages!$A:$A),MATCH(F$1,[2]stages!$2:$2,0)-MATCH($D$1,[2]stages!$2:$2,0)+1),MATCH(F$1,[2]stages!$2:$2,0)-MATCH($D$1,[2]stages!$2:$2,0)+1,FALSE)</f>
        <v>【上級】水のイモムシ</v>
      </c>
      <c r="G50" s="68">
        <v>1</v>
      </c>
      <c r="H50" s="16" t="str">
        <f t="shared" ref="H50:H73" si="40">B50&amp;"_"&amp;C50&amp;"-"&amp;G50</f>
        <v>11003_4-1</v>
      </c>
      <c r="I50" s="22" t="e">
        <v>#N/A</v>
      </c>
      <c r="J50" s="22" t="e">
        <v>#N/A</v>
      </c>
      <c r="K50" s="70" t="s">
        <v>218</v>
      </c>
      <c r="L50" s="70">
        <v>111</v>
      </c>
      <c r="M50" s="22" t="str">
        <f ca="1">VLOOKUP($L50,OFFSET([3]enemies!$A$1,0,0,COUNTA([3]enemies!$A:$A),MATCH(M$1,[3]enemies!$1:$1,0)-MATCH($L$1,[3]enemies!$1:$1,0)+1),MATCH(M$1,[3]enemies!$1:$1,0)-MATCH($L$1,[3]enemies!$1:$1,0)+1,FALSE)</f>
        <v>ブルーキャタップ</v>
      </c>
      <c r="N50" s="22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22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22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22">
        <f ca="1">VLOOKUP($L50,OFFSET([3]enemies!$A$1,0,0,COUNTA([3]enemies!$A:$A),MATCH(Q$1,[3]enemies!$1:$1,0)-MATCH($L$1,[3]enemies!$1:$1,0)+1),MATCH(Q$1,[3]enemies!$1:$1,0)-MATCH($L$1,[3]enemies!$1:$1,0)+1,FALSE)</f>
        <v>15</v>
      </c>
      <c r="R50" s="79">
        <v>30</v>
      </c>
      <c r="S50" s="80">
        <v>2</v>
      </c>
      <c r="T50" s="80">
        <v>1</v>
      </c>
      <c r="U50" s="79">
        <v>0</v>
      </c>
      <c r="V50" s="22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22">
        <f ca="1">VLOOKUP($L50,OFFSET([3]enemies!$A$1,0,0,COUNTA([3]enemies!$A:$A),MATCH(W$1,[3]enemies!$1:$1,0)-MATCH($L$1,[3]enemies!$1:$1,0)+1),MATCH(W$1,[3]enemies!$1:$1,0)-MATCH($L$1,[3]enemies!$1:$1,0)+1,FALSE)</f>
        <v>0</v>
      </c>
      <c r="X50" s="81">
        <v>1</v>
      </c>
      <c r="Y50" s="81">
        <v>100</v>
      </c>
      <c r="Z50" s="81">
        <v>1</v>
      </c>
      <c r="AA50" s="22">
        <f ca="1">VLOOKUP($L50,OFFSET([3]enemies!$A$1,0,0,COUNTA([3]enemies!$A:$A),MATCH(AA$1,[3]enemies!$1:$1,0)-MATCH($L$1,[3]enemies!$1:$1,0)+1),MATCH(AA$1,[3]enemies!$1:$1,0)-MATCH($L$1,[3]enemies!$1:$1,0)+1,FALSE)</f>
        <v>1</v>
      </c>
      <c r="AB50" s="70">
        <v>111</v>
      </c>
      <c r="AC50" s="22" t="str">
        <f ca="1">IFERROR(VLOOKUP($AB50,OFFSET([4]characters!$A$1,0,0,COUNTA([4]characters!$A:$A),MATCH(AC$1,[4]characters!$1:$1,0)-MATCH("character_id",[4]characters!$1:$1,0)+1),MATCH(AC$1,[4]characters!$1:$1,0)-MATCH("character_id",[4]characters!$1:$1,0)+1,FALSE),"")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50" s="22">
        <f ca="1">IFERROR(VLOOKUP($AB50,OFFSET([4]characters!$A$1,0,0,COUNTA([4]characters!$A:$A),MATCH(AD$1,[4]characters!$1:$1,0)-MATCH("character_id",[4]characters!$1:$1,0)+1),MATCH(AD$1,[4]characters!$1:$1,0)-MATCH("character_id",[4]characters!$1:$1,0)+1,FALSE),"")</f>
        <v>4</v>
      </c>
      <c r="AE50" s="22" t="str">
        <f ca="1">IFERROR(VLOOKUP($AB50,OFFSET([4]characters!$A$1,0,0,COUNTA([4]characters!$A:$A),MATCH(AE$1,[4]characters!$1:$1,0)-MATCH("character_id",[4]characters!$1:$1,0)+1),MATCH(AE$1,[4]characters!$1:$1,0)-MATCH("character_id",[4]characters!$1:$1,0)+1,FALSE),"")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0" s="28">
        <v>1</v>
      </c>
      <c r="AG50" s="75">
        <f t="shared" ref="AG50:AG73" ca="1" si="41">AD50</f>
        <v>4</v>
      </c>
      <c r="AH50" s="131">
        <v>50</v>
      </c>
      <c r="AI50" s="28">
        <v>0</v>
      </c>
      <c r="AJ50" s="28">
        <v>0</v>
      </c>
      <c r="AK50" s="28">
        <v>0</v>
      </c>
      <c r="AL50" s="28">
        <v>0</v>
      </c>
      <c r="AM50" s="28">
        <v>1</v>
      </c>
      <c r="AN50" s="28">
        <v>1</v>
      </c>
    </row>
    <row r="51" spans="1:40" ht="21" customHeight="1" x14ac:dyDescent="0.15">
      <c r="A51" s="78" t="str">
        <f t="shared" ca="1" si="38"/>
        <v>11003_4-1/37&lt;lv35&gt;s3</v>
      </c>
      <c r="B51" s="82">
        <v>11003</v>
      </c>
      <c r="C51" s="83">
        <v>4</v>
      </c>
      <c r="D51" s="16" t="str">
        <f t="shared" si="39"/>
        <v>11003_4</v>
      </c>
      <c r="E51" s="22" t="str">
        <f ca="1">VLOOKUP($B51,OFFSET([2]quests!$A$1,0,0,COUNTA([2]quests!$A:$A),MATCH(E$1,[2]quests!$1:$1,0)-MATCH($B$1,[2]quests!$1:$1,0)+1),MATCH(E$1,[2]quests!$1:$1,0)-MATCH($B$1,[2]quests!$1:$1,0)+1,FALSE)</f>
        <v>【水曜限定】 青の素材</v>
      </c>
      <c r="F51" s="22" t="str">
        <f ca="1">VLOOKUP($D51,OFFSET([2]stages!$A$1,0,0,COUNTA([2]stages!$A:$A),MATCH(F$1,[2]stages!$2:$2,0)-MATCH($D$1,[2]stages!$2:$2,0)+1),MATCH(F$1,[2]stages!$2:$2,0)-MATCH($D$1,[2]stages!$2:$2,0)+1,FALSE)</f>
        <v>【上級】水のイモムシ</v>
      </c>
      <c r="G51" s="68">
        <v>1</v>
      </c>
      <c r="H51" s="16" t="str">
        <f t="shared" si="40"/>
        <v>11003_4-1</v>
      </c>
      <c r="I51" s="22" t="e">
        <v>#N/A</v>
      </c>
      <c r="J51" s="22" t="e">
        <v>#N/A</v>
      </c>
      <c r="K51" s="70" t="s">
        <v>218</v>
      </c>
      <c r="L51" s="70">
        <v>37</v>
      </c>
      <c r="M51" s="22" t="str">
        <f ca="1">VLOOKUP($L51,OFFSET([3]enemies!$A$1,0,0,COUNTA([3]enemies!$A:$A),MATCH(M$1,[3]enemies!$1:$1,0)-MATCH($L$1,[3]enemies!$1:$1,0)+1),MATCH(M$1,[3]enemies!$1:$1,0)-MATCH($L$1,[3]enemies!$1:$1,0)+1,FALSE)</f>
        <v>ガイル</v>
      </c>
      <c r="N51" s="22" t="str">
        <f ca="1">VLOOKUP($L51,OFFSET([3]enemies!$A$1,0,0,COUNTA([3]enemies!$A:$A),MATCH(N$1,[3]enemies!$1:$1,0)-MATCH($L$1,[3]enemies!$1:$1,0)+1),MATCH(N$1,[3]enemies!$1:$1,0)-MATCH($L$1,[3]enemies!$1:$1,0)+1,FALSE)</f>
        <v>blue</v>
      </c>
      <c r="O51" s="22" t="str">
        <f ca="1">VLOOKUP($L51,OFFSET([4]characters!$A$1,0,0,COUNTA([4]characters!$A:$A),MATCH(O$1,[4]characters!$1:$1,0)-MATCH($L$1,[4]characters!$1:$1,0)+1),MATCH(O$1,[4]characters!$1:$1,0)-MATCH($L$1,[4]characters!$1:$1,0)+1,FALSE)</f>
        <v>Drop1S</v>
      </c>
      <c r="P51" s="22" t="str">
        <f ca="1">VLOOKUP($L51,OFFSET([3]enemies!$A$1,0,0,COUNTA([3]enemies!$A:$A),MATCH(P$1,[3]enemies!$1:$1,0)-MATCH($L$1,[3]enemies!$1:$1,0)+1),MATCH(P$1,[3]enemies!$1:$1,0)-MATCH($L$1,[3]enemies!$1:$1,0)+1,FALSE)</f>
        <v>animal</v>
      </c>
      <c r="Q51" s="22">
        <f ca="1">VLOOKUP($L51,OFFSET([3]enemies!$A$1,0,0,COUNTA([3]enemies!$A:$A),MATCH(Q$1,[3]enemies!$1:$1,0)-MATCH($L$1,[3]enemies!$1:$1,0)+1),MATCH(Q$1,[3]enemies!$1:$1,0)-MATCH($L$1,[3]enemies!$1:$1,0)+1,FALSE)</f>
        <v>15</v>
      </c>
      <c r="R51" s="79">
        <v>35</v>
      </c>
      <c r="S51" s="80">
        <v>1</v>
      </c>
      <c r="T51" s="80">
        <v>1</v>
      </c>
      <c r="U51" s="79">
        <v>0</v>
      </c>
      <c r="V51" s="22" t="str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51" s="22">
        <f ca="1">VLOOKUP($L51,OFFSET([3]enemies!$A$1,0,0,COUNTA([3]enemies!$A:$A),MATCH(W$1,[3]enemies!$1:$1,0)-MATCH($L$1,[3]enemies!$1:$1,0)+1),MATCH(W$1,[3]enemies!$1:$1,0)-MATCH($L$1,[3]enemies!$1:$1,0)+1,FALSE)</f>
        <v>37</v>
      </c>
      <c r="X51" s="81">
        <v>0</v>
      </c>
      <c r="Y51" s="81">
        <v>100</v>
      </c>
      <c r="Z51" s="81">
        <v>0</v>
      </c>
      <c r="AA51" s="22">
        <f ca="1">VLOOKUP($L51,OFFSET([3]enemies!$A$1,0,0,COUNTA([3]enemies!$A:$A),MATCH(AA$1,[3]enemies!$1:$1,0)-MATCH($L$1,[3]enemies!$1:$1,0)+1),MATCH(AA$1,[3]enemies!$1:$1,0)-MATCH($L$1,[3]enemies!$1:$1,0)+1,FALSE)</f>
        <v>3</v>
      </c>
      <c r="AB51" s="70">
        <v>37</v>
      </c>
      <c r="AC51" s="22" t="str">
        <f ca="1">IFERROR(VLOOKUP($AB51,OFFSET([4]characters!$A$1,0,0,COUNTA([4]characters!$A:$A),MATCH(AC$1,[4]characters!$1:$1,0)-MATCH("character_id",[4]characters!$1:$1,0)+1),MATCH(AC$1,[4]characters!$1:$1,0)-MATCH("character_id",[4]characters!$1:$1,0)+1,FALSE),"")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51" s="22">
        <f ca="1">IFERROR(VLOOKUP($AB51,OFFSET([4]characters!$A$1,0,0,COUNTA([4]characters!$A:$A),MATCH(AD$1,[4]characters!$1:$1,0)-MATCH("character_id",[4]characters!$1:$1,0)+1),MATCH(AD$1,[4]characters!$1:$1,0)-MATCH("character_id",[4]characters!$1:$1,0)+1,FALSE),"")</f>
        <v>2</v>
      </c>
      <c r="AE51" s="22" t="str">
        <f ca="1">IFERROR(VLOOKUP($AB51,OFFSET([4]characters!$A$1,0,0,COUNTA([4]characters!$A:$A),MATCH(AE$1,[4]characters!$1:$1,0)-MATCH("character_id",[4]characters!$1:$1,0)+1),MATCH(AE$1,[4]characters!$1:$1,0)-MATCH("character_id",[4]characters!$1:$1,0)+1,FALSE),"")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51" s="28">
        <v>1</v>
      </c>
      <c r="AG51" s="75">
        <f t="shared" ca="1" si="41"/>
        <v>2</v>
      </c>
      <c r="AH51" s="81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1</v>
      </c>
      <c r="AN51" s="28">
        <v>1</v>
      </c>
    </row>
    <row r="52" spans="1:40" ht="21" customHeight="1" x14ac:dyDescent="0.15">
      <c r="A52" s="78" t="str">
        <f t="shared" ca="1" si="38"/>
        <v>11003_4-1/29&lt;lv35&gt;s2</v>
      </c>
      <c r="B52" s="82">
        <v>11003</v>
      </c>
      <c r="C52" s="83">
        <v>4</v>
      </c>
      <c r="D52" s="16" t="str">
        <f t="shared" si="39"/>
        <v>11003_4</v>
      </c>
      <c r="E52" s="22" t="str">
        <f ca="1">VLOOKUP($B52,OFFSET([2]quests!$A$1,0,0,COUNTA([2]quests!$A:$A),MATCH(E$1,[2]quests!$1:$1,0)-MATCH($B$1,[2]quests!$1:$1,0)+1),MATCH(E$1,[2]quests!$1:$1,0)-MATCH($B$1,[2]quests!$1:$1,0)+1,FALSE)</f>
        <v>【水曜限定】 青の素材</v>
      </c>
      <c r="F52" s="22" t="str">
        <f ca="1">VLOOKUP($D52,OFFSET([2]stages!$A$1,0,0,COUNTA([2]stages!$A:$A),MATCH(F$1,[2]stages!$2:$2,0)-MATCH($D$1,[2]stages!$2:$2,0)+1),MATCH(F$1,[2]stages!$2:$2,0)-MATCH($D$1,[2]stages!$2:$2,0)+1,FALSE)</f>
        <v>【上級】水のイモムシ</v>
      </c>
      <c r="G52" s="68">
        <v>1</v>
      </c>
      <c r="H52" s="16" t="str">
        <f t="shared" si="40"/>
        <v>11003_4-1</v>
      </c>
      <c r="I52" s="22" t="e">
        <v>#N/A</v>
      </c>
      <c r="J52" s="22" t="e">
        <v>#N/A</v>
      </c>
      <c r="K52" s="70" t="s">
        <v>217</v>
      </c>
      <c r="L52" s="70">
        <v>29</v>
      </c>
      <c r="M52" s="22" t="str">
        <f ca="1">VLOOKUP($L52,OFFSET([3]enemies!$A$1,0,0,COUNTA([3]enemies!$A:$A),MATCH(M$1,[3]enemies!$1:$1,0)-MATCH($L$1,[3]enemies!$1:$1,0)+1),MATCH(M$1,[3]enemies!$1:$1,0)-MATCH($L$1,[3]enemies!$1:$1,0)+1,FALSE)</f>
        <v>スケアクロウ</v>
      </c>
      <c r="N52" s="22" t="str">
        <f ca="1">VLOOKUP($L52,OFFSET([3]enemies!$A$1,0,0,COUNTA([3]enemies!$A:$A),MATCH(N$1,[3]enemies!$1:$1,0)-MATCH($L$1,[3]enemies!$1:$1,0)+1),MATCH(N$1,[3]enemies!$1:$1,0)-MATCH($L$1,[3]enemies!$1:$1,0)+1,FALSE)</f>
        <v>blue</v>
      </c>
      <c r="O52" s="22" t="str">
        <f ca="1">VLOOKUP($L52,OFFSET([4]characters!$A$1,0,0,COUNTA([4]characters!$A:$A),MATCH(O$1,[4]characters!$1:$1,0)-MATCH($L$1,[4]characters!$1:$1,0)+1),MATCH(O$1,[4]characters!$1:$1,0)-MATCH($L$1,[4]characters!$1:$1,0)+1,FALSE)</f>
        <v>Drop1N</v>
      </c>
      <c r="P52" s="22" t="str">
        <f ca="1">VLOOKUP($L52,OFFSET([3]enemies!$A$1,0,0,COUNTA([3]enemies!$A:$A),MATCH(P$1,[3]enemies!$1:$1,0)-MATCH($L$1,[3]enemies!$1:$1,0)+1),MATCH(P$1,[3]enemies!$1:$1,0)-MATCH($L$1,[3]enemies!$1:$1,0)+1,FALSE)</f>
        <v>machine</v>
      </c>
      <c r="Q52" s="22">
        <f ca="1">VLOOKUP($L52,OFFSET([3]enemies!$A$1,0,0,COUNTA([3]enemies!$A:$A),MATCH(Q$1,[3]enemies!$1:$1,0)-MATCH($L$1,[3]enemies!$1:$1,0)+1),MATCH(Q$1,[3]enemies!$1:$1,0)-MATCH($L$1,[3]enemies!$1:$1,0)+1,FALSE)</f>
        <v>15</v>
      </c>
      <c r="R52" s="79">
        <v>35</v>
      </c>
      <c r="S52" s="80">
        <v>1</v>
      </c>
      <c r="T52" s="80">
        <v>1</v>
      </c>
      <c r="U52" s="79">
        <v>0</v>
      </c>
      <c r="V52" s="22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22">
        <f ca="1">VLOOKUP($L52,OFFSET([3]enemies!$A$1,0,0,COUNTA([3]enemies!$A:$A),MATCH(W$1,[3]enemies!$1:$1,0)-MATCH($L$1,[3]enemies!$1:$1,0)+1),MATCH(W$1,[3]enemies!$1:$1,0)-MATCH($L$1,[3]enemies!$1:$1,0)+1,FALSE)</f>
        <v>0</v>
      </c>
      <c r="X52" s="81">
        <v>0</v>
      </c>
      <c r="Y52" s="81">
        <v>100</v>
      </c>
      <c r="Z52" s="81">
        <v>0</v>
      </c>
      <c r="AA52" s="22">
        <f ca="1">VLOOKUP($L52,OFFSET([3]enemies!$A$1,0,0,COUNTA([3]enemies!$A:$A),MATCH(AA$1,[3]enemies!$1:$1,0)-MATCH($L$1,[3]enemies!$1:$1,0)+1),MATCH(AA$1,[3]enemies!$1:$1,0)-MATCH($L$1,[3]enemies!$1:$1,0)+1,FALSE)</f>
        <v>2</v>
      </c>
      <c r="AB52" s="70">
        <v>29</v>
      </c>
      <c r="AC52" s="22" t="str">
        <f ca="1">IFERROR(VLOOKUP($AB52,OFFSET([4]characters!$A$1,0,0,COUNTA([4]characters!$A:$A),MATCH(AC$1,[4]characters!$1:$1,0)-MATCH("character_id",[4]characters!$1:$1,0)+1),MATCH(AC$1,[4]characters!$1:$1,0)-MATCH("character_id",[4]characters!$1:$1,0)+1,FALSE),"")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52" s="22">
        <f ca="1">IFERROR(VLOOKUP($AB52,OFFSET([4]characters!$A$1,0,0,COUNTA([4]characters!$A:$A),MATCH(AD$1,[4]characters!$1:$1,0)-MATCH("character_id",[4]characters!$1:$1,0)+1),MATCH(AD$1,[4]characters!$1:$1,0)-MATCH("character_id",[4]characters!$1:$1,0)+1,FALSE),"")</f>
        <v>1</v>
      </c>
      <c r="AE52" s="22" t="str">
        <f ca="1">IFERROR(VLOOKUP($AB52,OFFSET([4]characters!$A$1,0,0,COUNTA([4]characters!$A:$A),MATCH(AE$1,[4]characters!$1:$1,0)-MATCH("character_id",[4]characters!$1:$1,0)+1),MATCH(AE$1,[4]characters!$1:$1,0)-MATCH("character_id",[4]characters!$1:$1,0)+1,FALSE),"")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52" s="28">
        <v>1</v>
      </c>
      <c r="AG52" s="75">
        <f t="shared" ca="1" si="41"/>
        <v>1</v>
      </c>
      <c r="AH52" s="81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1</v>
      </c>
      <c r="AN52" s="28">
        <v>1</v>
      </c>
    </row>
    <row r="53" spans="1:40" ht="21" customHeight="1" x14ac:dyDescent="0.15">
      <c r="A53" s="78" t="str">
        <f t="shared" ca="1" si="38"/>
        <v>11003_4-1/340&lt;lv1&gt;s1</v>
      </c>
      <c r="B53" s="82">
        <v>11003</v>
      </c>
      <c r="C53" s="83">
        <v>4</v>
      </c>
      <c r="D53" s="16" t="str">
        <f t="shared" si="39"/>
        <v>11003_4</v>
      </c>
      <c r="E53" s="22" t="str">
        <f ca="1">VLOOKUP($B53,OFFSET([2]quests!$A$1,0,0,COUNTA([2]quests!$A:$A),MATCH(E$1,[2]quests!$1:$1,0)-MATCH($B$1,[2]quests!$1:$1,0)+1),MATCH(E$1,[2]quests!$1:$1,0)-MATCH($B$1,[2]quests!$1:$1,0)+1,FALSE)</f>
        <v>【水曜限定】 青の素材</v>
      </c>
      <c r="F53" s="22" t="str">
        <f ca="1">VLOOKUP($D53,OFFSET([2]stages!$A$1,0,0,COUNTA([2]stages!$A:$A),MATCH(F$1,[2]stages!$2:$2,0)-MATCH($D$1,[2]stages!$2:$2,0)+1),MATCH(F$1,[2]stages!$2:$2,0)-MATCH($D$1,[2]stages!$2:$2,0)+1,FALSE)</f>
        <v>【上級】水のイモムシ</v>
      </c>
      <c r="G53" s="68">
        <v>1</v>
      </c>
      <c r="H53" s="16" t="str">
        <f t="shared" si="40"/>
        <v>11003_4-1</v>
      </c>
      <c r="I53" s="22" t="e">
        <v>#N/A</v>
      </c>
      <c r="J53" s="22" t="e">
        <v>#N/A</v>
      </c>
      <c r="K53" s="70" t="s">
        <v>217</v>
      </c>
      <c r="L53" s="70">
        <v>340</v>
      </c>
      <c r="M53" s="22" t="str">
        <f ca="1">VLOOKUP($L53,OFFSET([3]enemies!$A$1,0,0,COUNTA([3]enemies!$A:$A),MATCH(M$1,[3]enemies!$1:$1,0)-MATCH($L$1,[3]enemies!$1:$1,0)+1),MATCH(M$1,[3]enemies!$1:$1,0)-MATCH($L$1,[3]enemies!$1:$1,0)+1,FALSE)</f>
        <v>水のメタルピヨピヨ</v>
      </c>
      <c r="N53" s="22" t="str">
        <f ca="1">VLOOKUP($L53,OFFSET([3]enemies!$A$1,0,0,COUNTA([3]enemies!$A:$A),MATCH(N$1,[3]enemies!$1:$1,0)-MATCH($L$1,[3]enemies!$1:$1,0)+1),MATCH(N$1,[3]enemies!$1:$1,0)-MATCH($L$1,[3]enemies!$1:$1,0)+1,FALSE)</f>
        <v>blue</v>
      </c>
      <c r="O53" s="22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22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22">
        <f ca="1">VLOOKUP($L53,OFFSET([3]enemies!$A$1,0,0,COUNTA([3]enemies!$A:$A),MATCH(Q$1,[3]enemies!$1:$1,0)-MATCH($L$1,[3]enemies!$1:$1,0)+1),MATCH(Q$1,[3]enemies!$1:$1,0)-MATCH($L$1,[3]enemies!$1:$1,0)+1,FALSE)</f>
        <v>15</v>
      </c>
      <c r="R53" s="79">
        <v>1</v>
      </c>
      <c r="S53" s="80">
        <v>1</v>
      </c>
      <c r="T53" s="80">
        <v>1</v>
      </c>
      <c r="U53" s="79">
        <v>0</v>
      </c>
      <c r="V53" s="22" t="str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3" s="22">
        <f ca="1">VLOOKUP($L53,OFFSET([3]enemies!$A$1,0,0,COUNTA([3]enemies!$A:$A),MATCH(W$1,[3]enemies!$1:$1,0)-MATCH($L$1,[3]enemies!$1:$1,0)+1),MATCH(W$1,[3]enemies!$1:$1,0)-MATCH($L$1,[3]enemies!$1:$1,0)+1,FALSE)</f>
        <v>0</v>
      </c>
      <c r="X53" s="81">
        <v>0</v>
      </c>
      <c r="Y53" s="81">
        <v>30</v>
      </c>
      <c r="Z53" s="81">
        <v>0</v>
      </c>
      <c r="AA53" s="22">
        <f ca="1">VLOOKUP($L53,OFFSET([3]enemies!$A$1,0,0,COUNTA([3]enemies!$A:$A),MATCH(AA$1,[3]enemies!$1:$1,0)-MATCH($L$1,[3]enemies!$1:$1,0)+1),MATCH(AA$1,[3]enemies!$1:$1,0)-MATCH($L$1,[3]enemies!$1:$1,0)+1,FALSE)</f>
        <v>1</v>
      </c>
      <c r="AB53" s="70">
        <v>340</v>
      </c>
      <c r="AC53" s="22" t="str">
        <f ca="1">IFERROR(VLOOKUP($AB53,OFFSET([4]characters!$A$1,0,0,COUNTA([4]characters!$A:$A),MATCH(AC$1,[4]characters!$1:$1,0)-MATCH("character_id",[4]characters!$1:$1,0)+1),MATCH(AC$1,[4]characters!$1:$1,0)-MATCH("character_id",[4]characters!$1:$1,0)+1,FALSE),"")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53" s="22">
        <f ca="1">IFERROR(VLOOKUP($AB53,OFFSET([4]characters!$A$1,0,0,COUNTA([4]characters!$A:$A),MATCH(AD$1,[4]characters!$1:$1,0)-MATCH("character_id",[4]characters!$1:$1,0)+1),MATCH(AD$1,[4]characters!$1:$1,0)-MATCH("character_id",[4]characters!$1:$1,0)+1,FALSE),"")</f>
        <v>3</v>
      </c>
      <c r="AE53" s="22" t="str">
        <f ca="1">IFERROR(VLOOKUP($AB53,OFFSET([4]characters!$A$1,0,0,COUNTA([4]characters!$A:$A),MATCH(AE$1,[4]characters!$1:$1,0)-MATCH("character_id",[4]characters!$1:$1,0)+1),MATCH(AE$1,[4]characters!$1:$1,0)-MATCH("character_id",[4]characters!$1:$1,0)+1,FALSE),"")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3" s="28">
        <v>1</v>
      </c>
      <c r="AG53" s="75">
        <f t="shared" ca="1" si="41"/>
        <v>3</v>
      </c>
      <c r="AH53" s="81">
        <v>10</v>
      </c>
      <c r="AI53" s="28">
        <v>0</v>
      </c>
      <c r="AJ53" s="28">
        <v>0</v>
      </c>
      <c r="AK53" s="28">
        <v>0</v>
      </c>
      <c r="AL53" s="28">
        <v>0</v>
      </c>
      <c r="AM53" s="28">
        <v>1</v>
      </c>
      <c r="AN53" s="28">
        <v>1</v>
      </c>
    </row>
    <row r="54" spans="1:40" ht="21" customHeight="1" x14ac:dyDescent="0.15">
      <c r="A54" s="78" t="str">
        <f t="shared" ca="1" si="38"/>
        <v>11003_4-1/341&lt;lv1&gt;s2</v>
      </c>
      <c r="B54" s="82">
        <v>11003</v>
      </c>
      <c r="C54" s="83">
        <v>4</v>
      </c>
      <c r="D54" s="16" t="str">
        <f t="shared" si="39"/>
        <v>11003_4</v>
      </c>
      <c r="E54" s="22" t="str">
        <f ca="1">VLOOKUP($B54,OFFSET([2]quests!$A$1,0,0,COUNTA([2]quests!$A:$A),MATCH(E$1,[2]quests!$1:$1,0)-MATCH($B$1,[2]quests!$1:$1,0)+1),MATCH(E$1,[2]quests!$1:$1,0)-MATCH($B$1,[2]quests!$1:$1,0)+1,FALSE)</f>
        <v>【水曜限定】 青の素材</v>
      </c>
      <c r="F54" s="22" t="str">
        <f ca="1">VLOOKUP($D54,OFFSET([2]stages!$A$1,0,0,COUNTA([2]stages!$A:$A),MATCH(F$1,[2]stages!$2:$2,0)-MATCH($D$1,[2]stages!$2:$2,0)+1),MATCH(F$1,[2]stages!$2:$2,0)-MATCH($D$1,[2]stages!$2:$2,0)+1,FALSE)</f>
        <v>【上級】水のイモムシ</v>
      </c>
      <c r="G54" s="68">
        <v>1</v>
      </c>
      <c r="H54" s="16" t="str">
        <f t="shared" si="40"/>
        <v>11003_4-1</v>
      </c>
      <c r="I54" s="22" t="e">
        <v>#N/A</v>
      </c>
      <c r="J54" s="22" t="e">
        <v>#N/A</v>
      </c>
      <c r="K54" s="70" t="s">
        <v>217</v>
      </c>
      <c r="L54" s="70">
        <v>341</v>
      </c>
      <c r="M54" s="22" t="str">
        <f ca="1">VLOOKUP($L54,OFFSET([3]enemies!$A$1,0,0,COUNTA([3]enemies!$A:$A),MATCH(M$1,[3]enemies!$1:$1,0)-MATCH($L$1,[3]enemies!$1:$1,0)+1),MATCH(M$1,[3]enemies!$1:$1,0)-MATCH($L$1,[3]enemies!$1:$1,0)+1,FALSE)</f>
        <v>水のメタルチック</v>
      </c>
      <c r="N54" s="22" t="str">
        <f ca="1">VLOOKUP($L54,OFFSET([3]enemies!$A$1,0,0,COUNTA([3]enemies!$A:$A),MATCH(N$1,[3]enemies!$1:$1,0)-MATCH($L$1,[3]enemies!$1:$1,0)+1),MATCH(N$1,[3]enemies!$1:$1,0)-MATCH($L$1,[3]enemies!$1:$1,0)+1,FALSE)</f>
        <v>blue</v>
      </c>
      <c r="O54" s="22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22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22">
        <f ca="1">VLOOKUP($L54,OFFSET([3]enemies!$A$1,0,0,COUNTA([3]enemies!$A:$A),MATCH(Q$1,[3]enemies!$1:$1,0)-MATCH($L$1,[3]enemies!$1:$1,0)+1),MATCH(Q$1,[3]enemies!$1:$1,0)-MATCH($L$1,[3]enemies!$1:$1,0)+1,FALSE)</f>
        <v>15</v>
      </c>
      <c r="R54" s="79">
        <v>1</v>
      </c>
      <c r="S54" s="80">
        <v>1</v>
      </c>
      <c r="T54" s="80">
        <v>1</v>
      </c>
      <c r="U54" s="79">
        <v>0</v>
      </c>
      <c r="V54" s="22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22">
        <f ca="1">VLOOKUP($L54,OFFSET([3]enemies!$A$1,0,0,COUNTA([3]enemies!$A:$A),MATCH(W$1,[3]enemies!$1:$1,0)-MATCH($L$1,[3]enemies!$1:$1,0)+1),MATCH(W$1,[3]enemies!$1:$1,0)-MATCH($L$1,[3]enemies!$1:$1,0)+1,FALSE)</f>
        <v>0</v>
      </c>
      <c r="X54" s="81">
        <v>0</v>
      </c>
      <c r="Y54" s="81">
        <v>30</v>
      </c>
      <c r="Z54" s="81">
        <v>0</v>
      </c>
      <c r="AA54" s="22">
        <f ca="1">VLOOKUP($L54,OFFSET([3]enemies!$A$1,0,0,COUNTA([3]enemies!$A:$A),MATCH(AA$1,[3]enemies!$1:$1,0)-MATCH($L$1,[3]enemies!$1:$1,0)+1),MATCH(AA$1,[3]enemies!$1:$1,0)-MATCH($L$1,[3]enemies!$1:$1,0)+1,FALSE)</f>
        <v>2</v>
      </c>
      <c r="AB54" s="70">
        <v>341</v>
      </c>
      <c r="AC54" s="22" t="str">
        <f ca="1">IFERROR(VLOOKUP($AB54,OFFSET([4]characters!$A$1,0,0,COUNTA([4]characters!$A:$A),MATCH(AC$1,[4]characters!$1:$1,0)-MATCH("character_id",[4]characters!$1:$1,0)+1),MATCH(AC$1,[4]characters!$1:$1,0)-MATCH("character_id",[4]characters!$1:$1,0)+1,FALSE),"")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54" s="22">
        <f ca="1">IFERROR(VLOOKUP($AB54,OFFSET([4]characters!$A$1,0,0,COUNTA([4]characters!$A:$A),MATCH(AD$1,[4]characters!$1:$1,0)-MATCH("character_id",[4]characters!$1:$1,0)+1),MATCH(AD$1,[4]characters!$1:$1,0)-MATCH("character_id",[4]characters!$1:$1,0)+1,FALSE),"")</f>
        <v>4</v>
      </c>
      <c r="AE54" s="22" t="str">
        <f ca="1">IFERROR(VLOOKUP($AB54,OFFSET([4]characters!$A$1,0,0,COUNTA([4]characters!$A:$A),MATCH(AE$1,[4]characters!$1:$1,0)-MATCH("character_id",[4]characters!$1:$1,0)+1),MATCH(AE$1,[4]characters!$1:$1,0)-MATCH("character_id",[4]characters!$1:$1,0)+1,FALSE),"")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4" s="28">
        <v>1</v>
      </c>
      <c r="AG54" s="75">
        <f t="shared" ca="1" si="41"/>
        <v>4</v>
      </c>
      <c r="AH54" s="81">
        <v>5</v>
      </c>
      <c r="AI54" s="28">
        <v>0</v>
      </c>
      <c r="AJ54" s="28">
        <v>0</v>
      </c>
      <c r="AK54" s="28">
        <v>0</v>
      </c>
      <c r="AL54" s="28">
        <v>0</v>
      </c>
      <c r="AM54" s="28">
        <v>1</v>
      </c>
      <c r="AN54" s="28">
        <v>1</v>
      </c>
    </row>
    <row r="55" spans="1:40" ht="21" customHeight="1" x14ac:dyDescent="0.15">
      <c r="A55" s="78" t="str">
        <f t="shared" ca="1" si="38"/>
        <v>11003_4-2/111&lt;lv30&gt;s1</v>
      </c>
      <c r="B55" s="82">
        <v>11003</v>
      </c>
      <c r="C55" s="83">
        <v>4</v>
      </c>
      <c r="D55" s="16" t="str">
        <f t="shared" si="39"/>
        <v>11003_4</v>
      </c>
      <c r="E55" s="22" t="str">
        <f ca="1">VLOOKUP($B55,OFFSET([2]quests!$A$1,0,0,COUNTA([2]quests!$A:$A),MATCH(E$1,[2]quests!$1:$1,0)-MATCH($B$1,[2]quests!$1:$1,0)+1),MATCH(E$1,[2]quests!$1:$1,0)-MATCH($B$1,[2]quests!$1:$1,0)+1,FALSE)</f>
        <v>【水曜限定】 青の素材</v>
      </c>
      <c r="F55" s="22" t="str">
        <f ca="1">VLOOKUP($D55,OFFSET([2]stages!$A$1,0,0,COUNTA([2]stages!$A:$A),MATCH(F$1,[2]stages!$2:$2,0)-MATCH($D$1,[2]stages!$2:$2,0)+1),MATCH(F$1,[2]stages!$2:$2,0)-MATCH($D$1,[2]stages!$2:$2,0)+1,FALSE)</f>
        <v>【上級】水のイモムシ</v>
      </c>
      <c r="G55" s="68">
        <v>2</v>
      </c>
      <c r="H55" s="16" t="str">
        <f t="shared" si="40"/>
        <v>11003_4-2</v>
      </c>
      <c r="I55" s="22" t="e">
        <v>#N/A</v>
      </c>
      <c r="J55" s="22" t="e">
        <v>#N/A</v>
      </c>
      <c r="K55" s="70" t="s">
        <v>217</v>
      </c>
      <c r="L55" s="70">
        <v>111</v>
      </c>
      <c r="M55" s="22" t="str">
        <f ca="1">VLOOKUP($L55,OFFSET([3]enemies!$A$1,0,0,COUNTA([3]enemies!$A:$A),MATCH(M$1,[3]enemies!$1:$1,0)-MATCH($L$1,[3]enemies!$1:$1,0)+1),MATCH(M$1,[3]enemies!$1:$1,0)-MATCH($L$1,[3]enemies!$1:$1,0)+1,FALSE)</f>
        <v>ブルーキャタップ</v>
      </c>
      <c r="N55" s="22" t="str">
        <f ca="1">VLOOKUP($L55,OFFSET([3]enemies!$A$1,0,0,COUNTA([3]enemies!$A:$A),MATCH(N$1,[3]enemies!$1:$1,0)-MATCH($L$1,[3]enemies!$1:$1,0)+1),MATCH(N$1,[3]enemies!$1:$1,0)-MATCH($L$1,[3]enemies!$1:$1,0)+1,FALSE)</f>
        <v>blue</v>
      </c>
      <c r="O55" s="22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22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22">
        <f ca="1">VLOOKUP($L55,OFFSET([3]enemies!$A$1,0,0,COUNTA([3]enemies!$A:$A),MATCH(Q$1,[3]enemies!$1:$1,0)-MATCH($L$1,[3]enemies!$1:$1,0)+1),MATCH(Q$1,[3]enemies!$1:$1,0)-MATCH($L$1,[3]enemies!$1:$1,0)+1,FALSE)</f>
        <v>15</v>
      </c>
      <c r="R55" s="79">
        <v>30</v>
      </c>
      <c r="S55" s="80">
        <v>2</v>
      </c>
      <c r="T55" s="80">
        <v>1</v>
      </c>
      <c r="U55" s="79">
        <v>0</v>
      </c>
      <c r="V55" s="22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5" s="22">
        <f ca="1">VLOOKUP($L55,OFFSET([3]enemies!$A$1,0,0,COUNTA([3]enemies!$A:$A),MATCH(W$1,[3]enemies!$1:$1,0)-MATCH($L$1,[3]enemies!$1:$1,0)+1),MATCH(W$1,[3]enemies!$1:$1,0)-MATCH($L$1,[3]enemies!$1:$1,0)+1,FALSE)</f>
        <v>0</v>
      </c>
      <c r="X55" s="81">
        <v>1</v>
      </c>
      <c r="Y55" s="81">
        <v>100</v>
      </c>
      <c r="Z55" s="81">
        <v>1</v>
      </c>
      <c r="AA55" s="22">
        <f ca="1">VLOOKUP($L55,OFFSET([3]enemies!$A$1,0,0,COUNTA([3]enemies!$A:$A),MATCH(AA$1,[3]enemies!$1:$1,0)-MATCH($L$1,[3]enemies!$1:$1,0)+1),MATCH(AA$1,[3]enemies!$1:$1,0)-MATCH($L$1,[3]enemies!$1:$1,0)+1,FALSE)</f>
        <v>1</v>
      </c>
      <c r="AB55" s="70">
        <v>111</v>
      </c>
      <c r="AC55" s="22" t="str">
        <f ca="1">IFERROR(VLOOKUP($AB55,OFFSET([4]characters!$A$1,0,0,COUNTA([4]characters!$A:$A),MATCH(AC$1,[4]characters!$1:$1,0)-MATCH("character_id",[4]characters!$1:$1,0)+1),MATCH(AC$1,[4]characters!$1:$1,0)-MATCH("character_id",[4]characters!$1:$1,0)+1,FALSE),"")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55" s="22">
        <f ca="1">IFERROR(VLOOKUP($AB55,OFFSET([4]characters!$A$1,0,0,COUNTA([4]characters!$A:$A),MATCH(AD$1,[4]characters!$1:$1,0)-MATCH("character_id",[4]characters!$1:$1,0)+1),MATCH(AD$1,[4]characters!$1:$1,0)-MATCH("character_id",[4]characters!$1:$1,0)+1,FALSE),"")</f>
        <v>4</v>
      </c>
      <c r="AE55" s="22" t="str">
        <f ca="1">IFERROR(VLOOKUP($AB55,OFFSET([4]characters!$A$1,0,0,COUNTA([4]characters!$A:$A),MATCH(AE$1,[4]characters!$1:$1,0)-MATCH("character_id",[4]characters!$1:$1,0)+1),MATCH(AE$1,[4]characters!$1:$1,0)-MATCH("character_id",[4]characters!$1:$1,0)+1,FALSE),"")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5" s="28">
        <v>1</v>
      </c>
      <c r="AG55" s="75">
        <f t="shared" ca="1" si="41"/>
        <v>4</v>
      </c>
      <c r="AH55" s="131">
        <v>50</v>
      </c>
      <c r="AI55" s="28">
        <v>0</v>
      </c>
      <c r="AJ55" s="28">
        <v>0</v>
      </c>
      <c r="AK55" s="28">
        <v>0</v>
      </c>
      <c r="AL55" s="28">
        <v>0</v>
      </c>
      <c r="AM55" s="28">
        <v>1</v>
      </c>
      <c r="AN55" s="28">
        <v>1</v>
      </c>
    </row>
    <row r="56" spans="1:40" ht="21" customHeight="1" x14ac:dyDescent="0.15">
      <c r="A56" s="78" t="str">
        <f t="shared" ca="1" si="38"/>
        <v>11003_4-2/37&lt;lv35&gt;s3</v>
      </c>
      <c r="B56" s="82">
        <v>11003</v>
      </c>
      <c r="C56" s="83">
        <v>4</v>
      </c>
      <c r="D56" s="16" t="str">
        <f t="shared" si="39"/>
        <v>11003_4</v>
      </c>
      <c r="E56" s="22" t="str">
        <f ca="1">VLOOKUP($B56,OFFSET([2]quests!$A$1,0,0,COUNTA([2]quests!$A:$A),MATCH(E$1,[2]quests!$1:$1,0)-MATCH($B$1,[2]quests!$1:$1,0)+1),MATCH(E$1,[2]quests!$1:$1,0)-MATCH($B$1,[2]quests!$1:$1,0)+1,FALSE)</f>
        <v>【水曜限定】 青の素材</v>
      </c>
      <c r="F56" s="22" t="str">
        <f ca="1">VLOOKUP($D56,OFFSET([2]stages!$A$1,0,0,COUNTA([2]stages!$A:$A),MATCH(F$1,[2]stages!$2:$2,0)-MATCH($D$1,[2]stages!$2:$2,0)+1),MATCH(F$1,[2]stages!$2:$2,0)-MATCH($D$1,[2]stages!$2:$2,0)+1,FALSE)</f>
        <v>【上級】水のイモムシ</v>
      </c>
      <c r="G56" s="68">
        <v>2</v>
      </c>
      <c r="H56" s="16" t="str">
        <f t="shared" si="40"/>
        <v>11003_4-2</v>
      </c>
      <c r="I56" s="22" t="e">
        <v>#N/A</v>
      </c>
      <c r="J56" s="22" t="e">
        <v>#N/A</v>
      </c>
      <c r="K56" s="70" t="s">
        <v>217</v>
      </c>
      <c r="L56" s="70">
        <v>37</v>
      </c>
      <c r="M56" s="22" t="str">
        <f ca="1">VLOOKUP($L56,OFFSET([3]enemies!$A$1,0,0,COUNTA([3]enemies!$A:$A),MATCH(M$1,[3]enemies!$1:$1,0)-MATCH($L$1,[3]enemies!$1:$1,0)+1),MATCH(M$1,[3]enemies!$1:$1,0)-MATCH($L$1,[3]enemies!$1:$1,0)+1,FALSE)</f>
        <v>ガイル</v>
      </c>
      <c r="N56" s="22" t="str">
        <f ca="1">VLOOKUP($L56,OFFSET([3]enemies!$A$1,0,0,COUNTA([3]enemies!$A:$A),MATCH(N$1,[3]enemies!$1:$1,0)-MATCH($L$1,[3]enemies!$1:$1,0)+1),MATCH(N$1,[3]enemies!$1:$1,0)-MATCH($L$1,[3]enemies!$1:$1,0)+1,FALSE)</f>
        <v>blue</v>
      </c>
      <c r="O56" s="22" t="str">
        <f ca="1">VLOOKUP($L56,OFFSET([4]characters!$A$1,0,0,COUNTA([4]characters!$A:$A),MATCH(O$1,[4]characters!$1:$1,0)-MATCH($L$1,[4]characters!$1:$1,0)+1),MATCH(O$1,[4]characters!$1:$1,0)-MATCH($L$1,[4]characters!$1:$1,0)+1,FALSE)</f>
        <v>Drop1S</v>
      </c>
      <c r="P56" s="22" t="str">
        <f ca="1">VLOOKUP($L56,OFFSET([3]enemies!$A$1,0,0,COUNTA([3]enemies!$A:$A),MATCH(P$1,[3]enemies!$1:$1,0)-MATCH($L$1,[3]enemies!$1:$1,0)+1),MATCH(P$1,[3]enemies!$1:$1,0)-MATCH($L$1,[3]enemies!$1:$1,0)+1,FALSE)</f>
        <v>animal</v>
      </c>
      <c r="Q56" s="22">
        <f ca="1">VLOOKUP($L56,OFFSET([3]enemies!$A$1,0,0,COUNTA([3]enemies!$A:$A),MATCH(Q$1,[3]enemies!$1:$1,0)-MATCH($L$1,[3]enemies!$1:$1,0)+1),MATCH(Q$1,[3]enemies!$1:$1,0)-MATCH($L$1,[3]enemies!$1:$1,0)+1,FALSE)</f>
        <v>15</v>
      </c>
      <c r="R56" s="79">
        <v>35</v>
      </c>
      <c r="S56" s="80">
        <v>1</v>
      </c>
      <c r="T56" s="80">
        <v>1</v>
      </c>
      <c r="U56" s="79">
        <v>0</v>
      </c>
      <c r="V56" s="22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56" s="22">
        <f ca="1">VLOOKUP($L56,OFFSET([3]enemies!$A$1,0,0,COUNTA([3]enemies!$A:$A),MATCH(W$1,[3]enemies!$1:$1,0)-MATCH($L$1,[3]enemies!$1:$1,0)+1),MATCH(W$1,[3]enemies!$1:$1,0)-MATCH($L$1,[3]enemies!$1:$1,0)+1,FALSE)</f>
        <v>37</v>
      </c>
      <c r="X56" s="81">
        <v>0</v>
      </c>
      <c r="Y56" s="81">
        <v>100</v>
      </c>
      <c r="Z56" s="81">
        <v>0</v>
      </c>
      <c r="AA56" s="22">
        <f ca="1">VLOOKUP($L56,OFFSET([3]enemies!$A$1,0,0,COUNTA([3]enemies!$A:$A),MATCH(AA$1,[3]enemies!$1:$1,0)-MATCH($L$1,[3]enemies!$1:$1,0)+1),MATCH(AA$1,[3]enemies!$1:$1,0)-MATCH($L$1,[3]enemies!$1:$1,0)+1,FALSE)</f>
        <v>3</v>
      </c>
      <c r="AB56" s="70">
        <v>37</v>
      </c>
      <c r="AC56" s="22" t="str">
        <f ca="1">IFERROR(VLOOKUP($AB56,OFFSET([4]characters!$A$1,0,0,COUNTA([4]characters!$A:$A),MATCH(AC$1,[4]characters!$1:$1,0)-MATCH("character_id",[4]characters!$1:$1,0)+1),MATCH(AC$1,[4]characters!$1:$1,0)-MATCH("character_id",[4]characters!$1:$1,0)+1,FALSE),"")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56" s="22">
        <f ca="1">IFERROR(VLOOKUP($AB56,OFFSET([4]characters!$A$1,0,0,COUNTA([4]characters!$A:$A),MATCH(AD$1,[4]characters!$1:$1,0)-MATCH("character_id",[4]characters!$1:$1,0)+1),MATCH(AD$1,[4]characters!$1:$1,0)-MATCH("character_id",[4]characters!$1:$1,0)+1,FALSE),"")</f>
        <v>2</v>
      </c>
      <c r="AE56" s="22" t="str">
        <f ca="1">IFERROR(VLOOKUP($AB56,OFFSET([4]characters!$A$1,0,0,COUNTA([4]characters!$A:$A),MATCH(AE$1,[4]characters!$1:$1,0)-MATCH("character_id",[4]characters!$1:$1,0)+1),MATCH(AE$1,[4]characters!$1:$1,0)-MATCH("character_id",[4]characters!$1:$1,0)+1,FALSE),"")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56" s="28">
        <v>1</v>
      </c>
      <c r="AG56" s="75">
        <f t="shared" ca="1" si="41"/>
        <v>2</v>
      </c>
      <c r="AH56" s="81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1</v>
      </c>
      <c r="AN56" s="28">
        <v>1</v>
      </c>
    </row>
    <row r="57" spans="1:40" ht="21" customHeight="1" x14ac:dyDescent="0.15">
      <c r="A57" s="78" t="str">
        <f t="shared" ca="1" si="38"/>
        <v>11003_4-2/29&lt;lv35&gt;s2</v>
      </c>
      <c r="B57" s="82">
        <v>11003</v>
      </c>
      <c r="C57" s="83">
        <v>4</v>
      </c>
      <c r="D57" s="16" t="str">
        <f t="shared" si="39"/>
        <v>11003_4</v>
      </c>
      <c r="E57" s="22" t="str">
        <f ca="1">VLOOKUP($B57,OFFSET([2]quests!$A$1,0,0,COUNTA([2]quests!$A:$A),MATCH(E$1,[2]quests!$1:$1,0)-MATCH($B$1,[2]quests!$1:$1,0)+1),MATCH(E$1,[2]quests!$1:$1,0)-MATCH($B$1,[2]quests!$1:$1,0)+1,FALSE)</f>
        <v>【水曜限定】 青の素材</v>
      </c>
      <c r="F57" s="22" t="str">
        <f ca="1">VLOOKUP($D57,OFFSET([2]stages!$A$1,0,0,COUNTA([2]stages!$A:$A),MATCH(F$1,[2]stages!$2:$2,0)-MATCH($D$1,[2]stages!$2:$2,0)+1),MATCH(F$1,[2]stages!$2:$2,0)-MATCH($D$1,[2]stages!$2:$2,0)+1,FALSE)</f>
        <v>【上級】水のイモムシ</v>
      </c>
      <c r="G57" s="68">
        <v>2</v>
      </c>
      <c r="H57" s="16" t="str">
        <f t="shared" si="40"/>
        <v>11003_4-2</v>
      </c>
      <c r="I57" s="22" t="e">
        <v>#N/A</v>
      </c>
      <c r="J57" s="22" t="e">
        <v>#N/A</v>
      </c>
      <c r="K57" s="70" t="s">
        <v>217</v>
      </c>
      <c r="L57" s="70">
        <v>29</v>
      </c>
      <c r="M57" s="22" t="str">
        <f ca="1">VLOOKUP($L57,OFFSET([3]enemies!$A$1,0,0,COUNTA([3]enemies!$A:$A),MATCH(M$1,[3]enemies!$1:$1,0)-MATCH($L$1,[3]enemies!$1:$1,0)+1),MATCH(M$1,[3]enemies!$1:$1,0)-MATCH($L$1,[3]enemies!$1:$1,0)+1,FALSE)</f>
        <v>スケアクロウ</v>
      </c>
      <c r="N57" s="22" t="str">
        <f ca="1">VLOOKUP($L57,OFFSET([3]enemies!$A$1,0,0,COUNTA([3]enemies!$A:$A),MATCH(N$1,[3]enemies!$1:$1,0)-MATCH($L$1,[3]enemies!$1:$1,0)+1),MATCH(N$1,[3]enemies!$1:$1,0)-MATCH($L$1,[3]enemies!$1:$1,0)+1,FALSE)</f>
        <v>blue</v>
      </c>
      <c r="O57" s="22" t="str">
        <f ca="1">VLOOKUP($L57,OFFSET([4]characters!$A$1,0,0,COUNTA([4]characters!$A:$A),MATCH(O$1,[4]characters!$1:$1,0)-MATCH($L$1,[4]characters!$1:$1,0)+1),MATCH(O$1,[4]characters!$1:$1,0)-MATCH($L$1,[4]characters!$1:$1,0)+1,FALSE)</f>
        <v>Drop1N</v>
      </c>
      <c r="P57" s="22" t="str">
        <f ca="1">VLOOKUP($L57,OFFSET([3]enemies!$A$1,0,0,COUNTA([3]enemies!$A:$A),MATCH(P$1,[3]enemies!$1:$1,0)-MATCH($L$1,[3]enemies!$1:$1,0)+1),MATCH(P$1,[3]enemies!$1:$1,0)-MATCH($L$1,[3]enemies!$1:$1,0)+1,FALSE)</f>
        <v>machine</v>
      </c>
      <c r="Q57" s="22">
        <f ca="1">VLOOKUP($L57,OFFSET([3]enemies!$A$1,0,0,COUNTA([3]enemies!$A:$A),MATCH(Q$1,[3]enemies!$1:$1,0)-MATCH($L$1,[3]enemies!$1:$1,0)+1),MATCH(Q$1,[3]enemies!$1:$1,0)-MATCH($L$1,[3]enemies!$1:$1,0)+1,FALSE)</f>
        <v>15</v>
      </c>
      <c r="R57" s="79">
        <v>35</v>
      </c>
      <c r="S57" s="80">
        <v>1</v>
      </c>
      <c r="T57" s="80">
        <v>1</v>
      </c>
      <c r="U57" s="79">
        <v>0</v>
      </c>
      <c r="V57" s="22" t="str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7" s="22">
        <f ca="1">VLOOKUP($L57,OFFSET([3]enemies!$A$1,0,0,COUNTA([3]enemies!$A:$A),MATCH(W$1,[3]enemies!$1:$1,0)-MATCH($L$1,[3]enemies!$1:$1,0)+1),MATCH(W$1,[3]enemies!$1:$1,0)-MATCH($L$1,[3]enemies!$1:$1,0)+1,FALSE)</f>
        <v>0</v>
      </c>
      <c r="X57" s="81">
        <v>0</v>
      </c>
      <c r="Y57" s="81">
        <v>100</v>
      </c>
      <c r="Z57" s="81">
        <v>0</v>
      </c>
      <c r="AA57" s="22">
        <f ca="1">VLOOKUP($L57,OFFSET([3]enemies!$A$1,0,0,COUNTA([3]enemies!$A:$A),MATCH(AA$1,[3]enemies!$1:$1,0)-MATCH($L$1,[3]enemies!$1:$1,0)+1),MATCH(AA$1,[3]enemies!$1:$1,0)-MATCH($L$1,[3]enemies!$1:$1,0)+1,FALSE)</f>
        <v>2</v>
      </c>
      <c r="AB57" s="70">
        <v>29</v>
      </c>
      <c r="AC57" s="22" t="str">
        <f ca="1">IFERROR(VLOOKUP($AB57,OFFSET([4]characters!$A$1,0,0,COUNTA([4]characters!$A:$A),MATCH(AC$1,[4]characters!$1:$1,0)-MATCH("character_id",[4]characters!$1:$1,0)+1),MATCH(AC$1,[4]characters!$1:$1,0)-MATCH("character_id",[4]characters!$1:$1,0)+1,FALSE),"")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57" s="22">
        <f ca="1">IFERROR(VLOOKUP($AB57,OFFSET([4]characters!$A$1,0,0,COUNTA([4]characters!$A:$A),MATCH(AD$1,[4]characters!$1:$1,0)-MATCH("character_id",[4]characters!$1:$1,0)+1),MATCH(AD$1,[4]characters!$1:$1,0)-MATCH("character_id",[4]characters!$1:$1,0)+1,FALSE),"")</f>
        <v>1</v>
      </c>
      <c r="AE57" s="22" t="str">
        <f ca="1">IFERROR(VLOOKUP($AB57,OFFSET([4]characters!$A$1,0,0,COUNTA([4]characters!$A:$A),MATCH(AE$1,[4]characters!$1:$1,0)-MATCH("character_id",[4]characters!$1:$1,0)+1),MATCH(AE$1,[4]characters!$1:$1,0)-MATCH("character_id",[4]characters!$1:$1,0)+1,FALSE),"")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57" s="28">
        <v>1</v>
      </c>
      <c r="AG57" s="75">
        <f t="shared" ca="1" si="41"/>
        <v>1</v>
      </c>
      <c r="AH57" s="81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1</v>
      </c>
      <c r="AN57" s="28">
        <v>1</v>
      </c>
    </row>
    <row r="58" spans="1:40" ht="21" customHeight="1" x14ac:dyDescent="0.15">
      <c r="A58" s="78" t="str">
        <f t="shared" ca="1" si="38"/>
        <v>11003_4-2/340&lt;lv1&gt;s1</v>
      </c>
      <c r="B58" s="82">
        <v>11003</v>
      </c>
      <c r="C58" s="83">
        <v>4</v>
      </c>
      <c r="D58" s="16" t="str">
        <f t="shared" si="39"/>
        <v>11003_4</v>
      </c>
      <c r="E58" s="22" t="str">
        <f ca="1">VLOOKUP($B58,OFFSET([2]quests!$A$1,0,0,COUNTA([2]quests!$A:$A),MATCH(E$1,[2]quests!$1:$1,0)-MATCH($B$1,[2]quests!$1:$1,0)+1),MATCH(E$1,[2]quests!$1:$1,0)-MATCH($B$1,[2]quests!$1:$1,0)+1,FALSE)</f>
        <v>【水曜限定】 青の素材</v>
      </c>
      <c r="F58" s="22" t="str">
        <f ca="1">VLOOKUP($D58,OFFSET([2]stages!$A$1,0,0,COUNTA([2]stages!$A:$A),MATCH(F$1,[2]stages!$2:$2,0)-MATCH($D$1,[2]stages!$2:$2,0)+1),MATCH(F$1,[2]stages!$2:$2,0)-MATCH($D$1,[2]stages!$2:$2,0)+1,FALSE)</f>
        <v>【上級】水のイモムシ</v>
      </c>
      <c r="G58" s="68">
        <v>2</v>
      </c>
      <c r="H58" s="16" t="str">
        <f t="shared" si="40"/>
        <v>11003_4-2</v>
      </c>
      <c r="I58" s="22" t="e">
        <v>#N/A</v>
      </c>
      <c r="J58" s="22" t="e">
        <v>#N/A</v>
      </c>
      <c r="K58" s="70" t="s">
        <v>217</v>
      </c>
      <c r="L58" s="70">
        <v>340</v>
      </c>
      <c r="M58" s="22" t="str">
        <f ca="1">VLOOKUP($L58,OFFSET([3]enemies!$A$1,0,0,COUNTA([3]enemies!$A:$A),MATCH(M$1,[3]enemies!$1:$1,0)-MATCH($L$1,[3]enemies!$1:$1,0)+1),MATCH(M$1,[3]enemies!$1:$1,0)-MATCH($L$1,[3]enemies!$1:$1,0)+1,FALSE)</f>
        <v>水のメタルピヨピヨ</v>
      </c>
      <c r="N58" s="22" t="str">
        <f ca="1">VLOOKUP($L58,OFFSET([3]enemies!$A$1,0,0,COUNTA([3]enemies!$A:$A),MATCH(N$1,[3]enemies!$1:$1,0)-MATCH($L$1,[3]enemies!$1:$1,0)+1),MATCH(N$1,[3]enemies!$1:$1,0)-MATCH($L$1,[3]enemies!$1:$1,0)+1,FALSE)</f>
        <v>blue</v>
      </c>
      <c r="O58" s="22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22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22">
        <f ca="1">VLOOKUP($L58,OFFSET([3]enemies!$A$1,0,0,COUNTA([3]enemies!$A:$A),MATCH(Q$1,[3]enemies!$1:$1,0)-MATCH($L$1,[3]enemies!$1:$1,0)+1),MATCH(Q$1,[3]enemies!$1:$1,0)-MATCH($L$1,[3]enemies!$1:$1,0)+1,FALSE)</f>
        <v>15</v>
      </c>
      <c r="R58" s="79">
        <v>1</v>
      </c>
      <c r="S58" s="80">
        <v>1</v>
      </c>
      <c r="T58" s="80">
        <v>1</v>
      </c>
      <c r="U58" s="79">
        <v>0</v>
      </c>
      <c r="V58" s="22" t="str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8" s="22">
        <f ca="1">VLOOKUP($L58,OFFSET([3]enemies!$A$1,0,0,COUNTA([3]enemies!$A:$A),MATCH(W$1,[3]enemies!$1:$1,0)-MATCH($L$1,[3]enemies!$1:$1,0)+1),MATCH(W$1,[3]enemies!$1:$1,0)-MATCH($L$1,[3]enemies!$1:$1,0)+1,FALSE)</f>
        <v>0</v>
      </c>
      <c r="X58" s="81">
        <v>0</v>
      </c>
      <c r="Y58" s="81">
        <v>30</v>
      </c>
      <c r="Z58" s="81">
        <v>0</v>
      </c>
      <c r="AA58" s="22">
        <f ca="1">VLOOKUP($L58,OFFSET([3]enemies!$A$1,0,0,COUNTA([3]enemies!$A:$A),MATCH(AA$1,[3]enemies!$1:$1,0)-MATCH($L$1,[3]enemies!$1:$1,0)+1),MATCH(AA$1,[3]enemies!$1:$1,0)-MATCH($L$1,[3]enemies!$1:$1,0)+1,FALSE)</f>
        <v>1</v>
      </c>
      <c r="AB58" s="70">
        <v>340</v>
      </c>
      <c r="AC58" s="22" t="str">
        <f ca="1">IFERROR(VLOOKUP($AB58,OFFSET([4]characters!$A$1,0,0,COUNTA([4]characters!$A:$A),MATCH(AC$1,[4]characters!$1:$1,0)-MATCH("character_id",[4]characters!$1:$1,0)+1),MATCH(AC$1,[4]characters!$1:$1,0)-MATCH("character_id",[4]characters!$1:$1,0)+1,FALSE),"")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58" s="22">
        <f ca="1">IFERROR(VLOOKUP($AB58,OFFSET([4]characters!$A$1,0,0,COUNTA([4]characters!$A:$A),MATCH(AD$1,[4]characters!$1:$1,0)-MATCH("character_id",[4]characters!$1:$1,0)+1),MATCH(AD$1,[4]characters!$1:$1,0)-MATCH("character_id",[4]characters!$1:$1,0)+1,FALSE),"")</f>
        <v>3</v>
      </c>
      <c r="AE58" s="22" t="str">
        <f ca="1">IFERROR(VLOOKUP($AB58,OFFSET([4]characters!$A$1,0,0,COUNTA([4]characters!$A:$A),MATCH(AE$1,[4]characters!$1:$1,0)-MATCH("character_id",[4]characters!$1:$1,0)+1),MATCH(AE$1,[4]characters!$1:$1,0)-MATCH("character_id",[4]characters!$1:$1,0)+1,FALSE),"")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8" s="28">
        <v>1</v>
      </c>
      <c r="AG58" s="75">
        <f t="shared" ca="1" si="41"/>
        <v>3</v>
      </c>
      <c r="AH58" s="81">
        <v>10</v>
      </c>
      <c r="AI58" s="28">
        <v>0</v>
      </c>
      <c r="AJ58" s="28">
        <v>0</v>
      </c>
      <c r="AK58" s="28">
        <v>0</v>
      </c>
      <c r="AL58" s="28">
        <v>0</v>
      </c>
      <c r="AM58" s="28">
        <v>1</v>
      </c>
      <c r="AN58" s="28">
        <v>1</v>
      </c>
    </row>
    <row r="59" spans="1:40" ht="21" customHeight="1" x14ac:dyDescent="0.15">
      <c r="A59" s="78" t="str">
        <f t="shared" ca="1" si="38"/>
        <v>11003_4-2/341&lt;lv1&gt;s2</v>
      </c>
      <c r="B59" s="82">
        <v>11003</v>
      </c>
      <c r="C59" s="83">
        <v>4</v>
      </c>
      <c r="D59" s="16" t="str">
        <f t="shared" si="39"/>
        <v>11003_4</v>
      </c>
      <c r="E59" s="22" t="str">
        <f ca="1">VLOOKUP($B59,OFFSET([2]quests!$A$1,0,0,COUNTA([2]quests!$A:$A),MATCH(E$1,[2]quests!$1:$1,0)-MATCH($B$1,[2]quests!$1:$1,0)+1),MATCH(E$1,[2]quests!$1:$1,0)-MATCH($B$1,[2]quests!$1:$1,0)+1,FALSE)</f>
        <v>【水曜限定】 青の素材</v>
      </c>
      <c r="F59" s="22" t="str">
        <f ca="1">VLOOKUP($D59,OFFSET([2]stages!$A$1,0,0,COUNTA([2]stages!$A:$A),MATCH(F$1,[2]stages!$2:$2,0)-MATCH($D$1,[2]stages!$2:$2,0)+1),MATCH(F$1,[2]stages!$2:$2,0)-MATCH($D$1,[2]stages!$2:$2,0)+1,FALSE)</f>
        <v>【上級】水のイモムシ</v>
      </c>
      <c r="G59" s="68">
        <v>2</v>
      </c>
      <c r="H59" s="16" t="str">
        <f t="shared" si="40"/>
        <v>11003_4-2</v>
      </c>
      <c r="I59" s="22" t="e">
        <v>#N/A</v>
      </c>
      <c r="J59" s="22" t="e">
        <v>#N/A</v>
      </c>
      <c r="K59" s="70" t="s">
        <v>217</v>
      </c>
      <c r="L59" s="70">
        <v>341</v>
      </c>
      <c r="M59" s="22" t="str">
        <f ca="1">VLOOKUP($L59,OFFSET([3]enemies!$A$1,0,0,COUNTA([3]enemies!$A:$A),MATCH(M$1,[3]enemies!$1:$1,0)-MATCH($L$1,[3]enemies!$1:$1,0)+1),MATCH(M$1,[3]enemies!$1:$1,0)-MATCH($L$1,[3]enemies!$1:$1,0)+1,FALSE)</f>
        <v>水のメタルチック</v>
      </c>
      <c r="N59" s="22" t="str">
        <f ca="1">VLOOKUP($L59,OFFSET([3]enemies!$A$1,0,0,COUNTA([3]enemies!$A:$A),MATCH(N$1,[3]enemies!$1:$1,0)-MATCH($L$1,[3]enemies!$1:$1,0)+1),MATCH(N$1,[3]enemies!$1:$1,0)-MATCH($L$1,[3]enemies!$1:$1,0)+1,FALSE)</f>
        <v>blue</v>
      </c>
      <c r="O59" s="22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22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22">
        <f ca="1">VLOOKUP($L59,OFFSET([3]enemies!$A$1,0,0,COUNTA([3]enemies!$A:$A),MATCH(Q$1,[3]enemies!$1:$1,0)-MATCH($L$1,[3]enemies!$1:$1,0)+1),MATCH(Q$1,[3]enemies!$1:$1,0)-MATCH($L$1,[3]enemies!$1:$1,0)+1,FALSE)</f>
        <v>15</v>
      </c>
      <c r="R59" s="79">
        <v>1</v>
      </c>
      <c r="S59" s="80">
        <v>1</v>
      </c>
      <c r="T59" s="80">
        <v>1</v>
      </c>
      <c r="U59" s="79">
        <v>0</v>
      </c>
      <c r="V59" s="22" t="str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9" s="22">
        <f ca="1">VLOOKUP($L59,OFFSET([3]enemies!$A$1,0,0,COUNTA([3]enemies!$A:$A),MATCH(W$1,[3]enemies!$1:$1,0)-MATCH($L$1,[3]enemies!$1:$1,0)+1),MATCH(W$1,[3]enemies!$1:$1,0)-MATCH($L$1,[3]enemies!$1:$1,0)+1,FALSE)</f>
        <v>0</v>
      </c>
      <c r="X59" s="81">
        <v>0</v>
      </c>
      <c r="Y59" s="81">
        <v>30</v>
      </c>
      <c r="Z59" s="81">
        <v>0</v>
      </c>
      <c r="AA59" s="22">
        <f ca="1">VLOOKUP($L59,OFFSET([3]enemies!$A$1,0,0,COUNTA([3]enemies!$A:$A),MATCH(AA$1,[3]enemies!$1:$1,0)-MATCH($L$1,[3]enemies!$1:$1,0)+1),MATCH(AA$1,[3]enemies!$1:$1,0)-MATCH($L$1,[3]enemies!$1:$1,0)+1,FALSE)</f>
        <v>2</v>
      </c>
      <c r="AB59" s="70">
        <v>341</v>
      </c>
      <c r="AC59" s="22" t="str">
        <f ca="1">IFERROR(VLOOKUP($AB59,OFFSET([4]characters!$A$1,0,0,COUNTA([4]characters!$A:$A),MATCH(AC$1,[4]characters!$1:$1,0)-MATCH("character_id",[4]characters!$1:$1,0)+1),MATCH(AC$1,[4]characters!$1:$1,0)-MATCH("character_id",[4]characters!$1:$1,0)+1,FALSE),"")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59" s="22">
        <f ca="1">IFERROR(VLOOKUP($AB59,OFFSET([4]characters!$A$1,0,0,COUNTA([4]characters!$A:$A),MATCH(AD$1,[4]characters!$1:$1,0)-MATCH("character_id",[4]characters!$1:$1,0)+1),MATCH(AD$1,[4]characters!$1:$1,0)-MATCH("character_id",[4]characters!$1:$1,0)+1,FALSE),"")</f>
        <v>4</v>
      </c>
      <c r="AE59" s="22" t="str">
        <f ca="1">IFERROR(VLOOKUP($AB59,OFFSET([4]characters!$A$1,0,0,COUNTA([4]characters!$A:$A),MATCH(AE$1,[4]characters!$1:$1,0)-MATCH("character_id",[4]characters!$1:$1,0)+1),MATCH(AE$1,[4]characters!$1:$1,0)-MATCH("character_id",[4]characters!$1:$1,0)+1,FALSE),"")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9" s="28">
        <v>1</v>
      </c>
      <c r="AG59" s="75">
        <f t="shared" ca="1" si="41"/>
        <v>4</v>
      </c>
      <c r="AH59" s="81">
        <v>5</v>
      </c>
      <c r="AI59" s="28">
        <v>0</v>
      </c>
      <c r="AJ59" s="28">
        <v>0</v>
      </c>
      <c r="AK59" s="28">
        <v>0</v>
      </c>
      <c r="AL59" s="28">
        <v>0</v>
      </c>
      <c r="AM59" s="28">
        <v>1</v>
      </c>
      <c r="AN59" s="28">
        <v>1</v>
      </c>
    </row>
    <row r="60" spans="1:40" ht="21" customHeight="1" x14ac:dyDescent="0.15">
      <c r="A60" s="78" t="str">
        <f t="shared" ca="1" si="38"/>
        <v>11003_4-3/111&lt;lv30&gt;s1</v>
      </c>
      <c r="B60" s="82">
        <v>11003</v>
      </c>
      <c r="C60" s="83">
        <v>4</v>
      </c>
      <c r="D60" s="16" t="str">
        <f t="shared" si="39"/>
        <v>11003_4</v>
      </c>
      <c r="E60" s="22" t="str">
        <f ca="1">VLOOKUP($B60,OFFSET([2]quests!$A$1,0,0,COUNTA([2]quests!$A:$A),MATCH(E$1,[2]quests!$1:$1,0)-MATCH($B$1,[2]quests!$1:$1,0)+1),MATCH(E$1,[2]quests!$1:$1,0)-MATCH($B$1,[2]quests!$1:$1,0)+1,FALSE)</f>
        <v>【水曜限定】 青の素材</v>
      </c>
      <c r="F60" s="22" t="str">
        <f ca="1">VLOOKUP($D60,OFFSET([2]stages!$A$1,0,0,COUNTA([2]stages!$A:$A),MATCH(F$1,[2]stages!$2:$2,0)-MATCH($D$1,[2]stages!$2:$2,0)+1),MATCH(F$1,[2]stages!$2:$2,0)-MATCH($D$1,[2]stages!$2:$2,0)+1,FALSE)</f>
        <v>【上級】水のイモムシ</v>
      </c>
      <c r="G60" s="68">
        <v>3</v>
      </c>
      <c r="H60" s="16" t="str">
        <f t="shared" si="40"/>
        <v>11003_4-3</v>
      </c>
      <c r="I60" s="22" t="e">
        <v>#N/A</v>
      </c>
      <c r="J60" s="22" t="e">
        <v>#N/A</v>
      </c>
      <c r="K60" s="70" t="s">
        <v>217</v>
      </c>
      <c r="L60" s="70">
        <v>111</v>
      </c>
      <c r="M60" s="22" t="str">
        <f ca="1">VLOOKUP($L60,OFFSET([3]enemies!$A$1,0,0,COUNTA([3]enemies!$A:$A),MATCH(M$1,[3]enemies!$1:$1,0)-MATCH($L$1,[3]enemies!$1:$1,0)+1),MATCH(M$1,[3]enemies!$1:$1,0)-MATCH($L$1,[3]enemies!$1:$1,0)+1,FALSE)</f>
        <v>ブルーキャタップ</v>
      </c>
      <c r="N60" s="22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22" t="str">
        <f ca="1">VLOOKUP($L60,OFFSET([4]characters!$A$1,0,0,COUNTA([4]characters!$A:$A),MATCH(O$1,[4]characters!$1:$1,0)-MATCH($L$1,[4]characters!$1:$1,0)+1),MATCH(O$1,[4]characters!$1:$1,0)-MATCH($L$1,[4]characters!$1:$1,0)+1,FALSE)</f>
        <v>Material</v>
      </c>
      <c r="P60" s="22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22">
        <f ca="1">VLOOKUP($L60,OFFSET([3]enemies!$A$1,0,0,COUNTA([3]enemies!$A:$A),MATCH(Q$1,[3]enemies!$1:$1,0)-MATCH($L$1,[3]enemies!$1:$1,0)+1),MATCH(Q$1,[3]enemies!$1:$1,0)-MATCH($L$1,[3]enemies!$1:$1,0)+1,FALSE)</f>
        <v>15</v>
      </c>
      <c r="R60" s="79">
        <v>30</v>
      </c>
      <c r="S60" s="80">
        <v>2</v>
      </c>
      <c r="T60" s="80">
        <v>1</v>
      </c>
      <c r="U60" s="79">
        <v>0</v>
      </c>
      <c r="V60" s="22" t="str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0" s="22">
        <f ca="1">VLOOKUP($L60,OFFSET([3]enemies!$A$1,0,0,COUNTA([3]enemies!$A:$A),MATCH(W$1,[3]enemies!$1:$1,0)-MATCH($L$1,[3]enemies!$1:$1,0)+1),MATCH(W$1,[3]enemies!$1:$1,0)-MATCH($L$1,[3]enemies!$1:$1,0)+1,FALSE)</f>
        <v>0</v>
      </c>
      <c r="X60" s="81">
        <v>1</v>
      </c>
      <c r="Y60" s="81">
        <v>100</v>
      </c>
      <c r="Z60" s="81">
        <v>1</v>
      </c>
      <c r="AA60" s="22">
        <f ca="1">VLOOKUP($L60,OFFSET([3]enemies!$A$1,0,0,COUNTA([3]enemies!$A:$A),MATCH(AA$1,[3]enemies!$1:$1,0)-MATCH($L$1,[3]enemies!$1:$1,0)+1),MATCH(AA$1,[3]enemies!$1:$1,0)-MATCH($L$1,[3]enemies!$1:$1,0)+1,FALSE)</f>
        <v>1</v>
      </c>
      <c r="AB60" s="70">
        <v>111</v>
      </c>
      <c r="AC60" s="22" t="str">
        <f ca="1">IFERROR(VLOOKUP($AB60,OFFSET([4]characters!$A$1,0,0,COUNTA([4]characters!$A:$A),MATCH(AC$1,[4]characters!$1:$1,0)-MATCH("character_id",[4]characters!$1:$1,0)+1),MATCH(AC$1,[4]characters!$1:$1,0)-MATCH("character_id",[4]characters!$1:$1,0)+1,FALSE),"")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60" s="22">
        <f ca="1">IFERROR(VLOOKUP($AB60,OFFSET([4]characters!$A$1,0,0,COUNTA([4]characters!$A:$A),MATCH(AD$1,[4]characters!$1:$1,0)-MATCH("character_id",[4]characters!$1:$1,0)+1),MATCH(AD$1,[4]characters!$1:$1,0)-MATCH("character_id",[4]characters!$1:$1,0)+1,FALSE),"")</f>
        <v>4</v>
      </c>
      <c r="AE60" s="22" t="str">
        <f ca="1">IFERROR(VLOOKUP($AB60,OFFSET([4]characters!$A$1,0,0,COUNTA([4]characters!$A:$A),MATCH(AE$1,[4]characters!$1:$1,0)-MATCH("character_id",[4]characters!$1:$1,0)+1),MATCH(AE$1,[4]characters!$1:$1,0)-MATCH("character_id",[4]characters!$1:$1,0)+1,FALSE),"")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0" s="28">
        <v>1</v>
      </c>
      <c r="AG60" s="75">
        <f t="shared" ca="1" si="41"/>
        <v>4</v>
      </c>
      <c r="AH60" s="81">
        <v>50</v>
      </c>
      <c r="AI60" s="28">
        <v>0</v>
      </c>
      <c r="AJ60" s="28">
        <v>0</v>
      </c>
      <c r="AK60" s="28">
        <v>0</v>
      </c>
      <c r="AL60" s="28">
        <v>0</v>
      </c>
      <c r="AM60" s="28">
        <v>1</v>
      </c>
      <c r="AN60" s="28">
        <v>1</v>
      </c>
    </row>
    <row r="61" spans="1:40" ht="21" customHeight="1" x14ac:dyDescent="0.15">
      <c r="A61" s="78" t="str">
        <f t="shared" ca="1" si="38"/>
        <v>11003_4-3/37&lt;lv35&gt;s3</v>
      </c>
      <c r="B61" s="82">
        <v>11003</v>
      </c>
      <c r="C61" s="83">
        <v>4</v>
      </c>
      <c r="D61" s="16" t="str">
        <f t="shared" si="39"/>
        <v>11003_4</v>
      </c>
      <c r="E61" s="22" t="str">
        <f ca="1">VLOOKUP($B61,OFFSET([2]quests!$A$1,0,0,COUNTA([2]quests!$A:$A),MATCH(E$1,[2]quests!$1:$1,0)-MATCH($B$1,[2]quests!$1:$1,0)+1),MATCH(E$1,[2]quests!$1:$1,0)-MATCH($B$1,[2]quests!$1:$1,0)+1,FALSE)</f>
        <v>【水曜限定】 青の素材</v>
      </c>
      <c r="F61" s="22" t="str">
        <f ca="1">VLOOKUP($D61,OFFSET([2]stages!$A$1,0,0,COUNTA([2]stages!$A:$A),MATCH(F$1,[2]stages!$2:$2,0)-MATCH($D$1,[2]stages!$2:$2,0)+1),MATCH(F$1,[2]stages!$2:$2,0)-MATCH($D$1,[2]stages!$2:$2,0)+1,FALSE)</f>
        <v>【上級】水のイモムシ</v>
      </c>
      <c r="G61" s="68">
        <v>3</v>
      </c>
      <c r="H61" s="16" t="str">
        <f t="shared" si="40"/>
        <v>11003_4-3</v>
      </c>
      <c r="I61" s="22" t="e">
        <v>#N/A</v>
      </c>
      <c r="J61" s="22" t="e">
        <v>#N/A</v>
      </c>
      <c r="K61" s="70" t="s">
        <v>217</v>
      </c>
      <c r="L61" s="70">
        <v>37</v>
      </c>
      <c r="M61" s="22" t="str">
        <f ca="1">VLOOKUP($L61,OFFSET([3]enemies!$A$1,0,0,COUNTA([3]enemies!$A:$A),MATCH(M$1,[3]enemies!$1:$1,0)-MATCH($L$1,[3]enemies!$1:$1,0)+1),MATCH(M$1,[3]enemies!$1:$1,0)-MATCH($L$1,[3]enemies!$1:$1,0)+1,FALSE)</f>
        <v>ガイル</v>
      </c>
      <c r="N61" s="22" t="str">
        <f ca="1">VLOOKUP($L61,OFFSET([3]enemies!$A$1,0,0,COUNTA([3]enemies!$A:$A),MATCH(N$1,[3]enemies!$1:$1,0)-MATCH($L$1,[3]enemies!$1:$1,0)+1),MATCH(N$1,[3]enemies!$1:$1,0)-MATCH($L$1,[3]enemies!$1:$1,0)+1,FALSE)</f>
        <v>blue</v>
      </c>
      <c r="O61" s="22" t="str">
        <f ca="1">VLOOKUP($L61,OFFSET([4]characters!$A$1,0,0,COUNTA([4]characters!$A:$A),MATCH(O$1,[4]characters!$1:$1,0)-MATCH($L$1,[4]characters!$1:$1,0)+1),MATCH(O$1,[4]characters!$1:$1,0)-MATCH($L$1,[4]characters!$1:$1,0)+1,FALSE)</f>
        <v>Drop1S</v>
      </c>
      <c r="P61" s="22" t="str">
        <f ca="1">VLOOKUP($L61,OFFSET([3]enemies!$A$1,0,0,COUNTA([3]enemies!$A:$A),MATCH(P$1,[3]enemies!$1:$1,0)-MATCH($L$1,[3]enemies!$1:$1,0)+1),MATCH(P$1,[3]enemies!$1:$1,0)-MATCH($L$1,[3]enemies!$1:$1,0)+1,FALSE)</f>
        <v>animal</v>
      </c>
      <c r="Q61" s="22">
        <f ca="1">VLOOKUP($L61,OFFSET([3]enemies!$A$1,0,0,COUNTA([3]enemies!$A:$A),MATCH(Q$1,[3]enemies!$1:$1,0)-MATCH($L$1,[3]enemies!$1:$1,0)+1),MATCH(Q$1,[3]enemies!$1:$1,0)-MATCH($L$1,[3]enemies!$1:$1,0)+1,FALSE)</f>
        <v>15</v>
      </c>
      <c r="R61" s="79">
        <v>35</v>
      </c>
      <c r="S61" s="80">
        <v>1</v>
      </c>
      <c r="T61" s="80">
        <v>1</v>
      </c>
      <c r="U61" s="79">
        <v>0</v>
      </c>
      <c r="V61" s="22" t="str">
        <f ca="1">VLOOKUP($W61,OFFSET([5]enemy_skill_sets!$B$1,0,0,COUNTA([5]enemy_skill_sets!$B:$B),MATCH(M$1,[5]enemy_skill_sets!$1:$1,0)-MATCH($W$1,[5]enemy_skill_sets!$1:$1,0)+2),MATCH(M$1,[5]enemy_skill_sets!$1:$1,0)-MATCH($W$1,[5]enemy_skill_sets!$1:$1,0)+2,FALSE)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61" s="22">
        <f ca="1">VLOOKUP($L61,OFFSET([3]enemies!$A$1,0,0,COUNTA([3]enemies!$A:$A),MATCH(W$1,[3]enemies!$1:$1,0)-MATCH($L$1,[3]enemies!$1:$1,0)+1),MATCH(W$1,[3]enemies!$1:$1,0)-MATCH($L$1,[3]enemies!$1:$1,0)+1,FALSE)</f>
        <v>37</v>
      </c>
      <c r="X61" s="81">
        <v>0</v>
      </c>
      <c r="Y61" s="81">
        <v>100</v>
      </c>
      <c r="Z61" s="81">
        <v>0</v>
      </c>
      <c r="AA61" s="22">
        <f ca="1">VLOOKUP($L61,OFFSET([3]enemies!$A$1,0,0,COUNTA([3]enemies!$A:$A),MATCH(AA$1,[3]enemies!$1:$1,0)-MATCH($L$1,[3]enemies!$1:$1,0)+1),MATCH(AA$1,[3]enemies!$1:$1,0)-MATCH($L$1,[3]enemies!$1:$1,0)+1,FALSE)</f>
        <v>3</v>
      </c>
      <c r="AB61" s="70">
        <v>37</v>
      </c>
      <c r="AC61" s="22" t="str">
        <f ca="1">IFERROR(VLOOKUP($AB61,OFFSET([4]characters!$A$1,0,0,COUNTA([4]characters!$A:$A),MATCH(AC$1,[4]characters!$1:$1,0)-MATCH("character_id",[4]characters!$1:$1,0)+1),MATCH(AC$1,[4]characters!$1:$1,0)-MATCH("character_id",[4]characters!$1:$1,0)+1,FALSE),"")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61" s="22">
        <f ca="1">IFERROR(VLOOKUP($AB61,OFFSET([4]characters!$A$1,0,0,COUNTA([4]characters!$A:$A),MATCH(AD$1,[4]characters!$1:$1,0)-MATCH("character_id",[4]characters!$1:$1,0)+1),MATCH(AD$1,[4]characters!$1:$1,0)-MATCH("character_id",[4]characters!$1:$1,0)+1,FALSE),"")</f>
        <v>2</v>
      </c>
      <c r="AE61" s="22" t="str">
        <f ca="1">IFERROR(VLOOKUP($AB61,OFFSET([4]characters!$A$1,0,0,COUNTA([4]characters!$A:$A),MATCH(AE$1,[4]characters!$1:$1,0)-MATCH("character_id",[4]characters!$1:$1,0)+1),MATCH(AE$1,[4]characters!$1:$1,0)-MATCH("character_id",[4]characters!$1:$1,0)+1,FALSE),"")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61" s="28">
        <v>1</v>
      </c>
      <c r="AG61" s="75">
        <f t="shared" ca="1" si="41"/>
        <v>2</v>
      </c>
      <c r="AH61" s="81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1</v>
      </c>
      <c r="AN61" s="28">
        <v>1</v>
      </c>
    </row>
    <row r="62" spans="1:40" ht="21" customHeight="1" x14ac:dyDescent="0.15">
      <c r="A62" s="78" t="str">
        <f t="shared" ca="1" si="38"/>
        <v>11003_4-3/29&lt;lv35&gt;s2</v>
      </c>
      <c r="B62" s="82">
        <v>11003</v>
      </c>
      <c r="C62" s="83">
        <v>4</v>
      </c>
      <c r="D62" s="16" t="str">
        <f t="shared" si="39"/>
        <v>11003_4</v>
      </c>
      <c r="E62" s="22" t="str">
        <f ca="1">VLOOKUP($B62,OFFSET([2]quests!$A$1,0,0,COUNTA([2]quests!$A:$A),MATCH(E$1,[2]quests!$1:$1,0)-MATCH($B$1,[2]quests!$1:$1,0)+1),MATCH(E$1,[2]quests!$1:$1,0)-MATCH($B$1,[2]quests!$1:$1,0)+1,FALSE)</f>
        <v>【水曜限定】 青の素材</v>
      </c>
      <c r="F62" s="22" t="str">
        <f ca="1">VLOOKUP($D62,OFFSET([2]stages!$A$1,0,0,COUNTA([2]stages!$A:$A),MATCH(F$1,[2]stages!$2:$2,0)-MATCH($D$1,[2]stages!$2:$2,0)+1),MATCH(F$1,[2]stages!$2:$2,0)-MATCH($D$1,[2]stages!$2:$2,0)+1,FALSE)</f>
        <v>【上級】水のイモムシ</v>
      </c>
      <c r="G62" s="68">
        <v>3</v>
      </c>
      <c r="H62" s="16" t="str">
        <f t="shared" si="40"/>
        <v>11003_4-3</v>
      </c>
      <c r="I62" s="22" t="e">
        <v>#N/A</v>
      </c>
      <c r="J62" s="22" t="e">
        <v>#N/A</v>
      </c>
      <c r="K62" s="70" t="s">
        <v>217</v>
      </c>
      <c r="L62" s="70">
        <v>29</v>
      </c>
      <c r="M62" s="22" t="str">
        <f ca="1">VLOOKUP($L62,OFFSET([3]enemies!$A$1,0,0,COUNTA([3]enemies!$A:$A),MATCH(M$1,[3]enemies!$1:$1,0)-MATCH($L$1,[3]enemies!$1:$1,0)+1),MATCH(M$1,[3]enemies!$1:$1,0)-MATCH($L$1,[3]enemies!$1:$1,0)+1,FALSE)</f>
        <v>スケアクロウ</v>
      </c>
      <c r="N62" s="22" t="str">
        <f ca="1">VLOOKUP($L62,OFFSET([3]enemies!$A$1,0,0,COUNTA([3]enemies!$A:$A),MATCH(N$1,[3]enemies!$1:$1,0)-MATCH($L$1,[3]enemies!$1:$1,0)+1),MATCH(N$1,[3]enemies!$1:$1,0)-MATCH($L$1,[3]enemies!$1:$1,0)+1,FALSE)</f>
        <v>blue</v>
      </c>
      <c r="O62" s="22" t="str">
        <f ca="1">VLOOKUP($L62,OFFSET([4]characters!$A$1,0,0,COUNTA([4]characters!$A:$A),MATCH(O$1,[4]characters!$1:$1,0)-MATCH($L$1,[4]characters!$1:$1,0)+1),MATCH(O$1,[4]characters!$1:$1,0)-MATCH($L$1,[4]characters!$1:$1,0)+1,FALSE)</f>
        <v>Drop1N</v>
      </c>
      <c r="P62" s="22" t="str">
        <f ca="1">VLOOKUP($L62,OFFSET([3]enemies!$A$1,0,0,COUNTA([3]enemies!$A:$A),MATCH(P$1,[3]enemies!$1:$1,0)-MATCH($L$1,[3]enemies!$1:$1,0)+1),MATCH(P$1,[3]enemies!$1:$1,0)-MATCH($L$1,[3]enemies!$1:$1,0)+1,FALSE)</f>
        <v>machine</v>
      </c>
      <c r="Q62" s="22">
        <f ca="1">VLOOKUP($L62,OFFSET([3]enemies!$A$1,0,0,COUNTA([3]enemies!$A:$A),MATCH(Q$1,[3]enemies!$1:$1,0)-MATCH($L$1,[3]enemies!$1:$1,0)+1),MATCH(Q$1,[3]enemies!$1:$1,0)-MATCH($L$1,[3]enemies!$1:$1,0)+1,FALSE)</f>
        <v>15</v>
      </c>
      <c r="R62" s="79">
        <v>35</v>
      </c>
      <c r="S62" s="80">
        <v>1</v>
      </c>
      <c r="T62" s="80">
        <v>1</v>
      </c>
      <c r="U62" s="79">
        <v>0</v>
      </c>
      <c r="V62" s="22" t="str">
        <f ca="1">VLOOKUP($W62,OFFSET([5]enemy_skill_sets!$B$1,0,0,COUNTA([5]enemy_skill_sets!$B:$B),MATCH(M$1,[5]enemy_skill_sets!$1:$1,0)-MATCH($W$1,[5]enemy_skill_sets!$1:$1,0)+2),MATCH(M$1,[5]enemy_skill_sets!$1:$1,0)-MATCH($W$1,[5]enemy_skill_sets!$1:$1,0)+2,FALSE)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2" s="22">
        <f ca="1">VLOOKUP($L62,OFFSET([3]enemies!$A$1,0,0,COUNTA([3]enemies!$A:$A),MATCH(W$1,[3]enemies!$1:$1,0)-MATCH($L$1,[3]enemies!$1:$1,0)+1),MATCH(W$1,[3]enemies!$1:$1,0)-MATCH($L$1,[3]enemies!$1:$1,0)+1,FALSE)</f>
        <v>0</v>
      </c>
      <c r="X62" s="81">
        <v>0</v>
      </c>
      <c r="Y62" s="81">
        <v>100</v>
      </c>
      <c r="Z62" s="81">
        <v>0</v>
      </c>
      <c r="AA62" s="22">
        <f ca="1">VLOOKUP($L62,OFFSET([3]enemies!$A$1,0,0,COUNTA([3]enemies!$A:$A),MATCH(AA$1,[3]enemies!$1:$1,0)-MATCH($L$1,[3]enemies!$1:$1,0)+1),MATCH(AA$1,[3]enemies!$1:$1,0)-MATCH($L$1,[3]enemies!$1:$1,0)+1,FALSE)</f>
        <v>2</v>
      </c>
      <c r="AB62" s="70">
        <v>29</v>
      </c>
      <c r="AC62" s="22" t="str">
        <f ca="1">IFERROR(VLOOKUP($AB62,OFFSET([4]characters!$A$1,0,0,COUNTA([4]characters!$A:$A),MATCH(AC$1,[4]characters!$1:$1,0)-MATCH("character_id",[4]characters!$1:$1,0)+1),MATCH(AC$1,[4]characters!$1:$1,0)-MATCH("character_id",[4]characters!$1:$1,0)+1,FALSE),"")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62" s="22">
        <f ca="1">IFERROR(VLOOKUP($AB62,OFFSET([4]characters!$A$1,0,0,COUNTA([4]characters!$A:$A),MATCH(AD$1,[4]characters!$1:$1,0)-MATCH("character_id",[4]characters!$1:$1,0)+1),MATCH(AD$1,[4]characters!$1:$1,0)-MATCH("character_id",[4]characters!$1:$1,0)+1,FALSE),"")</f>
        <v>1</v>
      </c>
      <c r="AE62" s="22" t="str">
        <f ca="1">IFERROR(VLOOKUP($AB62,OFFSET([4]characters!$A$1,0,0,COUNTA([4]characters!$A:$A),MATCH(AE$1,[4]characters!$1:$1,0)-MATCH("character_id",[4]characters!$1:$1,0)+1),MATCH(AE$1,[4]characters!$1:$1,0)-MATCH("character_id",[4]characters!$1:$1,0)+1,FALSE),"")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2" s="28">
        <v>1</v>
      </c>
      <c r="AG62" s="75">
        <f t="shared" ca="1" si="41"/>
        <v>1</v>
      </c>
      <c r="AH62" s="81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1</v>
      </c>
      <c r="AN62" s="28">
        <v>1</v>
      </c>
    </row>
    <row r="63" spans="1:40" ht="21" customHeight="1" x14ac:dyDescent="0.15">
      <c r="A63" s="78" t="str">
        <f t="shared" ca="1" si="38"/>
        <v>11003_4-3/340&lt;lv1&gt;s1</v>
      </c>
      <c r="B63" s="82">
        <v>11003</v>
      </c>
      <c r="C63" s="83">
        <v>4</v>
      </c>
      <c r="D63" s="16" t="str">
        <f t="shared" si="39"/>
        <v>11003_4</v>
      </c>
      <c r="E63" s="22" t="str">
        <f ca="1">VLOOKUP($B63,OFFSET([2]quests!$A$1,0,0,COUNTA([2]quests!$A:$A),MATCH(E$1,[2]quests!$1:$1,0)-MATCH($B$1,[2]quests!$1:$1,0)+1),MATCH(E$1,[2]quests!$1:$1,0)-MATCH($B$1,[2]quests!$1:$1,0)+1,FALSE)</f>
        <v>【水曜限定】 青の素材</v>
      </c>
      <c r="F63" s="22" t="str">
        <f ca="1">VLOOKUP($D63,OFFSET([2]stages!$A$1,0,0,COUNTA([2]stages!$A:$A),MATCH(F$1,[2]stages!$2:$2,0)-MATCH($D$1,[2]stages!$2:$2,0)+1),MATCH(F$1,[2]stages!$2:$2,0)-MATCH($D$1,[2]stages!$2:$2,0)+1,FALSE)</f>
        <v>【上級】水のイモムシ</v>
      </c>
      <c r="G63" s="68">
        <v>3</v>
      </c>
      <c r="H63" s="16" t="str">
        <f t="shared" si="40"/>
        <v>11003_4-3</v>
      </c>
      <c r="I63" s="22" t="e">
        <v>#N/A</v>
      </c>
      <c r="J63" s="22" t="e">
        <v>#N/A</v>
      </c>
      <c r="K63" s="70" t="s">
        <v>217</v>
      </c>
      <c r="L63" s="70">
        <v>340</v>
      </c>
      <c r="M63" s="22" t="str">
        <f ca="1">VLOOKUP($L63,OFFSET([3]enemies!$A$1,0,0,COUNTA([3]enemies!$A:$A),MATCH(M$1,[3]enemies!$1:$1,0)-MATCH($L$1,[3]enemies!$1:$1,0)+1),MATCH(M$1,[3]enemies!$1:$1,0)-MATCH($L$1,[3]enemies!$1:$1,0)+1,FALSE)</f>
        <v>水のメタルピヨピヨ</v>
      </c>
      <c r="N63" s="22" t="str">
        <f ca="1">VLOOKUP($L63,OFFSET([3]enemies!$A$1,0,0,COUNTA([3]enemies!$A:$A),MATCH(N$1,[3]enemies!$1:$1,0)-MATCH($L$1,[3]enemies!$1:$1,0)+1),MATCH(N$1,[3]enemies!$1:$1,0)-MATCH($L$1,[3]enemies!$1:$1,0)+1,FALSE)</f>
        <v>blue</v>
      </c>
      <c r="O63" s="22" t="str">
        <f ca="1">VLOOKUP($L63,OFFSET([4]characters!$A$1,0,0,COUNTA([4]characters!$A:$A),MATCH(O$1,[4]characters!$1:$1,0)-MATCH($L$1,[4]characters!$1:$1,0)+1),MATCH(O$1,[4]characters!$1:$1,0)-MATCH($L$1,[4]characters!$1:$1,0)+1,FALSE)</f>
        <v>Material</v>
      </c>
      <c r="P63" s="22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22">
        <f ca="1">VLOOKUP($L63,OFFSET([3]enemies!$A$1,0,0,COUNTA([3]enemies!$A:$A),MATCH(Q$1,[3]enemies!$1:$1,0)-MATCH($L$1,[3]enemies!$1:$1,0)+1),MATCH(Q$1,[3]enemies!$1:$1,0)-MATCH($L$1,[3]enemies!$1:$1,0)+1,FALSE)</f>
        <v>15</v>
      </c>
      <c r="R63" s="79">
        <v>1</v>
      </c>
      <c r="S63" s="80">
        <v>1</v>
      </c>
      <c r="T63" s="80">
        <v>1</v>
      </c>
      <c r="U63" s="79">
        <v>0</v>
      </c>
      <c r="V63" s="22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3" s="22">
        <f ca="1">VLOOKUP($L63,OFFSET([3]enemies!$A$1,0,0,COUNTA([3]enemies!$A:$A),MATCH(W$1,[3]enemies!$1:$1,0)-MATCH($L$1,[3]enemies!$1:$1,0)+1),MATCH(W$1,[3]enemies!$1:$1,0)-MATCH($L$1,[3]enemies!$1:$1,0)+1,FALSE)</f>
        <v>0</v>
      </c>
      <c r="X63" s="81">
        <v>0</v>
      </c>
      <c r="Y63" s="81">
        <v>30</v>
      </c>
      <c r="Z63" s="81">
        <v>0</v>
      </c>
      <c r="AA63" s="22">
        <f ca="1">VLOOKUP($L63,OFFSET([3]enemies!$A$1,0,0,COUNTA([3]enemies!$A:$A),MATCH(AA$1,[3]enemies!$1:$1,0)-MATCH($L$1,[3]enemies!$1:$1,0)+1),MATCH(AA$1,[3]enemies!$1:$1,0)-MATCH($L$1,[3]enemies!$1:$1,0)+1,FALSE)</f>
        <v>1</v>
      </c>
      <c r="AB63" s="70">
        <v>340</v>
      </c>
      <c r="AC63" s="22" t="str">
        <f ca="1">IFERROR(VLOOKUP($AB63,OFFSET([4]characters!$A$1,0,0,COUNTA([4]characters!$A:$A),MATCH(AC$1,[4]characters!$1:$1,0)-MATCH("character_id",[4]characters!$1:$1,0)+1),MATCH(AC$1,[4]characters!$1:$1,0)-MATCH("character_id",[4]characters!$1:$1,0)+1,FALSE),"")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63" s="22">
        <f ca="1">IFERROR(VLOOKUP($AB63,OFFSET([4]characters!$A$1,0,0,COUNTA([4]characters!$A:$A),MATCH(AD$1,[4]characters!$1:$1,0)-MATCH("character_id",[4]characters!$1:$1,0)+1),MATCH(AD$1,[4]characters!$1:$1,0)-MATCH("character_id",[4]characters!$1:$1,0)+1,FALSE),"")</f>
        <v>3</v>
      </c>
      <c r="AE63" s="22" t="str">
        <f ca="1">IFERROR(VLOOKUP($AB63,OFFSET([4]characters!$A$1,0,0,COUNTA([4]characters!$A:$A),MATCH(AE$1,[4]characters!$1:$1,0)-MATCH("character_id",[4]characters!$1:$1,0)+1),MATCH(AE$1,[4]characters!$1:$1,0)-MATCH("character_id",[4]characters!$1:$1,0)+1,FALSE),"")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3" s="28">
        <v>1</v>
      </c>
      <c r="AG63" s="75">
        <f t="shared" ca="1" si="41"/>
        <v>3</v>
      </c>
      <c r="AH63" s="81">
        <v>10</v>
      </c>
      <c r="AI63" s="28">
        <v>0</v>
      </c>
      <c r="AJ63" s="28">
        <v>0</v>
      </c>
      <c r="AK63" s="28">
        <v>0</v>
      </c>
      <c r="AL63" s="28">
        <v>0</v>
      </c>
      <c r="AM63" s="28">
        <v>1</v>
      </c>
      <c r="AN63" s="28">
        <v>1</v>
      </c>
    </row>
    <row r="64" spans="1:40" ht="21" customHeight="1" x14ac:dyDescent="0.15">
      <c r="A64" s="78" t="str">
        <f t="shared" ca="1" si="38"/>
        <v>11003_4-3/341&lt;lv1&gt;s2</v>
      </c>
      <c r="B64" s="82">
        <v>11003</v>
      </c>
      <c r="C64" s="83">
        <v>4</v>
      </c>
      <c r="D64" s="16" t="str">
        <f t="shared" si="39"/>
        <v>11003_4</v>
      </c>
      <c r="E64" s="22" t="str">
        <f ca="1">VLOOKUP($B64,OFFSET([2]quests!$A$1,0,0,COUNTA([2]quests!$A:$A),MATCH(E$1,[2]quests!$1:$1,0)-MATCH($B$1,[2]quests!$1:$1,0)+1),MATCH(E$1,[2]quests!$1:$1,0)-MATCH($B$1,[2]quests!$1:$1,0)+1,FALSE)</f>
        <v>【水曜限定】 青の素材</v>
      </c>
      <c r="F64" s="22" t="str">
        <f ca="1">VLOOKUP($D64,OFFSET([2]stages!$A$1,0,0,COUNTA([2]stages!$A:$A),MATCH(F$1,[2]stages!$2:$2,0)-MATCH($D$1,[2]stages!$2:$2,0)+1),MATCH(F$1,[2]stages!$2:$2,0)-MATCH($D$1,[2]stages!$2:$2,0)+1,FALSE)</f>
        <v>【上級】水のイモムシ</v>
      </c>
      <c r="G64" s="68">
        <v>3</v>
      </c>
      <c r="H64" s="16" t="str">
        <f t="shared" si="40"/>
        <v>11003_4-3</v>
      </c>
      <c r="I64" s="22" t="e">
        <v>#N/A</v>
      </c>
      <c r="J64" s="22" t="e">
        <v>#N/A</v>
      </c>
      <c r="K64" s="70" t="s">
        <v>217</v>
      </c>
      <c r="L64" s="70">
        <v>341</v>
      </c>
      <c r="M64" s="22" t="str">
        <f ca="1">VLOOKUP($L64,OFFSET([3]enemies!$A$1,0,0,COUNTA([3]enemies!$A:$A),MATCH(M$1,[3]enemies!$1:$1,0)-MATCH($L$1,[3]enemies!$1:$1,0)+1),MATCH(M$1,[3]enemies!$1:$1,0)-MATCH($L$1,[3]enemies!$1:$1,0)+1,FALSE)</f>
        <v>水のメタルチック</v>
      </c>
      <c r="N64" s="22" t="str">
        <f ca="1">VLOOKUP($L64,OFFSET([3]enemies!$A$1,0,0,COUNTA([3]enemies!$A:$A),MATCH(N$1,[3]enemies!$1:$1,0)-MATCH($L$1,[3]enemies!$1:$1,0)+1),MATCH(N$1,[3]enemies!$1:$1,0)-MATCH($L$1,[3]enemies!$1:$1,0)+1,FALSE)</f>
        <v>blue</v>
      </c>
      <c r="O64" s="22" t="str">
        <f ca="1">VLOOKUP($L64,OFFSET([4]characters!$A$1,0,0,COUNTA([4]characters!$A:$A),MATCH(O$1,[4]characters!$1:$1,0)-MATCH($L$1,[4]characters!$1:$1,0)+1),MATCH(O$1,[4]characters!$1:$1,0)-MATCH($L$1,[4]characters!$1:$1,0)+1,FALSE)</f>
        <v>Material</v>
      </c>
      <c r="P64" s="22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22">
        <f ca="1">VLOOKUP($L64,OFFSET([3]enemies!$A$1,0,0,COUNTA([3]enemies!$A:$A),MATCH(Q$1,[3]enemies!$1:$1,0)-MATCH($L$1,[3]enemies!$1:$1,0)+1),MATCH(Q$1,[3]enemies!$1:$1,0)-MATCH($L$1,[3]enemies!$1:$1,0)+1,FALSE)</f>
        <v>15</v>
      </c>
      <c r="R64" s="79">
        <v>1</v>
      </c>
      <c r="S64" s="80">
        <v>1</v>
      </c>
      <c r="T64" s="80">
        <v>1</v>
      </c>
      <c r="U64" s="79">
        <v>0</v>
      </c>
      <c r="V64" s="22" t="str">
        <f ca="1">VLOOKUP($W64,OFFSET([5]enemy_skill_sets!$B$1,0,0,COUNTA([5]enemy_skill_sets!$B:$B),MATCH(M$1,[5]enemy_skill_sets!$1:$1,0)-MATCH($W$1,[5]enemy_skill_sets!$1:$1,0)+2),MATCH(M$1,[5]enemy_skill_sets!$1:$1,0)-MATCH($W$1,[5]enemy_skill_sets!$1:$1,0)+2,FALSE)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4" s="22">
        <f ca="1">VLOOKUP($L64,OFFSET([3]enemies!$A$1,0,0,COUNTA([3]enemies!$A:$A),MATCH(W$1,[3]enemies!$1:$1,0)-MATCH($L$1,[3]enemies!$1:$1,0)+1),MATCH(W$1,[3]enemies!$1:$1,0)-MATCH($L$1,[3]enemies!$1:$1,0)+1,FALSE)</f>
        <v>0</v>
      </c>
      <c r="X64" s="81">
        <v>0</v>
      </c>
      <c r="Y64" s="81">
        <v>30</v>
      </c>
      <c r="Z64" s="81">
        <v>0</v>
      </c>
      <c r="AA64" s="22">
        <f ca="1">VLOOKUP($L64,OFFSET([3]enemies!$A$1,0,0,COUNTA([3]enemies!$A:$A),MATCH(AA$1,[3]enemies!$1:$1,0)-MATCH($L$1,[3]enemies!$1:$1,0)+1),MATCH(AA$1,[3]enemies!$1:$1,0)-MATCH($L$1,[3]enemies!$1:$1,0)+1,FALSE)</f>
        <v>2</v>
      </c>
      <c r="AB64" s="70">
        <v>341</v>
      </c>
      <c r="AC64" s="22" t="str">
        <f ca="1">IFERROR(VLOOKUP($AB64,OFFSET([4]characters!$A$1,0,0,COUNTA([4]characters!$A:$A),MATCH(AC$1,[4]characters!$1:$1,0)-MATCH("character_id",[4]characters!$1:$1,0)+1),MATCH(AC$1,[4]characters!$1:$1,0)-MATCH("character_id",[4]characters!$1:$1,0)+1,FALSE),"")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64" s="22">
        <f ca="1">IFERROR(VLOOKUP($AB64,OFFSET([4]characters!$A$1,0,0,COUNTA([4]characters!$A:$A),MATCH(AD$1,[4]characters!$1:$1,0)-MATCH("character_id",[4]characters!$1:$1,0)+1),MATCH(AD$1,[4]characters!$1:$1,0)-MATCH("character_id",[4]characters!$1:$1,0)+1,FALSE),"")</f>
        <v>4</v>
      </c>
      <c r="AE64" s="22" t="str">
        <f ca="1">IFERROR(VLOOKUP($AB64,OFFSET([4]characters!$A$1,0,0,COUNTA([4]characters!$A:$A),MATCH(AE$1,[4]characters!$1:$1,0)-MATCH("character_id",[4]characters!$1:$1,0)+1),MATCH(AE$1,[4]characters!$1:$1,0)-MATCH("character_id",[4]characters!$1:$1,0)+1,FALSE),"")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4" s="28">
        <v>1</v>
      </c>
      <c r="AG64" s="75">
        <f t="shared" ca="1" si="41"/>
        <v>4</v>
      </c>
      <c r="AH64" s="81">
        <v>5</v>
      </c>
      <c r="AI64" s="28">
        <v>0</v>
      </c>
      <c r="AJ64" s="28">
        <v>0</v>
      </c>
      <c r="AK64" s="28">
        <v>0</v>
      </c>
      <c r="AL64" s="28">
        <v>0</v>
      </c>
      <c r="AM64" s="28">
        <v>1</v>
      </c>
      <c r="AN64" s="28">
        <v>1</v>
      </c>
    </row>
    <row r="65" spans="1:40" ht="21" customHeight="1" x14ac:dyDescent="0.15">
      <c r="A65" s="78" t="str">
        <f t="shared" ca="1" si="38"/>
        <v>11003_4-4/111&lt;lv30&gt;s1</v>
      </c>
      <c r="B65" s="82">
        <v>11003</v>
      </c>
      <c r="C65" s="83">
        <v>4</v>
      </c>
      <c r="D65" s="16" t="str">
        <f t="shared" si="39"/>
        <v>11003_4</v>
      </c>
      <c r="E65" s="22" t="str">
        <f ca="1">VLOOKUP($B65,OFFSET([2]quests!$A$1,0,0,COUNTA([2]quests!$A:$A),MATCH(E$1,[2]quests!$1:$1,0)-MATCH($B$1,[2]quests!$1:$1,0)+1),MATCH(E$1,[2]quests!$1:$1,0)-MATCH($B$1,[2]quests!$1:$1,0)+1,FALSE)</f>
        <v>【水曜限定】 青の素材</v>
      </c>
      <c r="F65" s="22" t="str">
        <f ca="1">VLOOKUP($D65,OFFSET([2]stages!$A$1,0,0,COUNTA([2]stages!$A:$A),MATCH(F$1,[2]stages!$2:$2,0)-MATCH($D$1,[2]stages!$2:$2,0)+1),MATCH(F$1,[2]stages!$2:$2,0)-MATCH($D$1,[2]stages!$2:$2,0)+1,FALSE)</f>
        <v>【上級】水のイモムシ</v>
      </c>
      <c r="G65" s="68">
        <v>4</v>
      </c>
      <c r="H65" s="16" t="str">
        <f t="shared" si="40"/>
        <v>11003_4-4</v>
      </c>
      <c r="I65" s="22" t="e">
        <v>#N/A</v>
      </c>
      <c r="J65" s="22" t="e">
        <v>#N/A</v>
      </c>
      <c r="K65" s="70" t="s">
        <v>217</v>
      </c>
      <c r="L65" s="70">
        <v>111</v>
      </c>
      <c r="M65" s="22" t="str">
        <f ca="1">VLOOKUP($L65,OFFSET([3]enemies!$A$1,0,0,COUNTA([3]enemies!$A:$A),MATCH(M$1,[3]enemies!$1:$1,0)-MATCH($L$1,[3]enemies!$1:$1,0)+1),MATCH(M$1,[3]enemies!$1:$1,0)-MATCH($L$1,[3]enemies!$1:$1,0)+1,FALSE)</f>
        <v>ブルーキャタップ</v>
      </c>
      <c r="N65" s="22" t="str">
        <f ca="1">VLOOKUP($L65,OFFSET([3]enemies!$A$1,0,0,COUNTA([3]enemies!$A:$A),MATCH(N$1,[3]enemies!$1:$1,0)-MATCH($L$1,[3]enemies!$1:$1,0)+1),MATCH(N$1,[3]enemies!$1:$1,0)-MATCH($L$1,[3]enemies!$1:$1,0)+1,FALSE)</f>
        <v>blue</v>
      </c>
      <c r="O65" s="22" t="str">
        <f ca="1">VLOOKUP($L65,OFFSET([4]characters!$A$1,0,0,COUNTA([4]characters!$A:$A),MATCH(O$1,[4]characters!$1:$1,0)-MATCH($L$1,[4]characters!$1:$1,0)+1),MATCH(O$1,[4]characters!$1:$1,0)-MATCH($L$1,[4]characters!$1:$1,0)+1,FALSE)</f>
        <v>Material</v>
      </c>
      <c r="P65" s="22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22">
        <f ca="1">VLOOKUP($L65,OFFSET([3]enemies!$A$1,0,0,COUNTA([3]enemies!$A:$A),MATCH(Q$1,[3]enemies!$1:$1,0)-MATCH($L$1,[3]enemies!$1:$1,0)+1),MATCH(Q$1,[3]enemies!$1:$1,0)-MATCH($L$1,[3]enemies!$1:$1,0)+1,FALSE)</f>
        <v>15</v>
      </c>
      <c r="R65" s="79">
        <v>30</v>
      </c>
      <c r="S65" s="80">
        <v>2</v>
      </c>
      <c r="T65" s="80">
        <v>1</v>
      </c>
      <c r="U65" s="79">
        <v>0</v>
      </c>
      <c r="V65" s="22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22">
        <f ca="1">VLOOKUP($L65,OFFSET([3]enemies!$A$1,0,0,COUNTA([3]enemies!$A:$A),MATCH(W$1,[3]enemies!$1:$1,0)-MATCH($L$1,[3]enemies!$1:$1,0)+1),MATCH(W$1,[3]enemies!$1:$1,0)-MATCH($L$1,[3]enemies!$1:$1,0)+1,FALSE)</f>
        <v>0</v>
      </c>
      <c r="X65" s="81">
        <v>1</v>
      </c>
      <c r="Y65" s="81">
        <v>100</v>
      </c>
      <c r="Z65" s="81">
        <v>1</v>
      </c>
      <c r="AA65" s="22">
        <f ca="1">VLOOKUP($L65,OFFSET([3]enemies!$A$1,0,0,COUNTA([3]enemies!$A:$A),MATCH(AA$1,[3]enemies!$1:$1,0)-MATCH($L$1,[3]enemies!$1:$1,0)+1),MATCH(AA$1,[3]enemies!$1:$1,0)-MATCH($L$1,[3]enemies!$1:$1,0)+1,FALSE)</f>
        <v>1</v>
      </c>
      <c r="AB65" s="70">
        <v>111</v>
      </c>
      <c r="AC65" s="22" t="str">
        <f ca="1">IFERROR(VLOOKUP($AB65,OFFSET([4]characters!$A$1,0,0,COUNTA([4]characters!$A:$A),MATCH(AC$1,[4]characters!$1:$1,0)-MATCH("character_id",[4]characters!$1:$1,0)+1),MATCH(AC$1,[4]characters!$1:$1,0)-MATCH("character_id",[4]characters!$1:$1,0)+1,FALSE),"")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65" s="22">
        <f ca="1">IFERROR(VLOOKUP($AB65,OFFSET([4]characters!$A$1,0,0,COUNTA([4]characters!$A:$A),MATCH(AD$1,[4]characters!$1:$1,0)-MATCH("character_id",[4]characters!$1:$1,0)+1),MATCH(AD$1,[4]characters!$1:$1,0)-MATCH("character_id",[4]characters!$1:$1,0)+1,FALSE),"")</f>
        <v>4</v>
      </c>
      <c r="AE65" s="22" t="str">
        <f ca="1">IFERROR(VLOOKUP($AB65,OFFSET([4]characters!$A$1,0,0,COUNTA([4]characters!$A:$A),MATCH(AE$1,[4]characters!$1:$1,0)-MATCH("character_id",[4]characters!$1:$1,0)+1),MATCH(AE$1,[4]characters!$1:$1,0)-MATCH("character_id",[4]characters!$1:$1,0)+1,FALSE),"")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5" s="28">
        <v>1</v>
      </c>
      <c r="AG65" s="75">
        <f t="shared" ca="1" si="41"/>
        <v>4</v>
      </c>
      <c r="AH65" s="81">
        <v>100</v>
      </c>
      <c r="AI65" s="28">
        <v>0</v>
      </c>
      <c r="AJ65" s="28">
        <v>0</v>
      </c>
      <c r="AK65" s="28">
        <v>0</v>
      </c>
      <c r="AL65" s="28">
        <v>0</v>
      </c>
      <c r="AM65" s="28">
        <v>1</v>
      </c>
      <c r="AN65" s="28">
        <v>1</v>
      </c>
    </row>
    <row r="66" spans="1:40" ht="21" customHeight="1" x14ac:dyDescent="0.15">
      <c r="A66" s="78" t="str">
        <f t="shared" ca="1" si="38"/>
        <v>11003_4-4/37&lt;lv35&gt;s3</v>
      </c>
      <c r="B66" s="82">
        <v>11003</v>
      </c>
      <c r="C66" s="83">
        <v>4</v>
      </c>
      <c r="D66" s="16" t="str">
        <f t="shared" si="39"/>
        <v>11003_4</v>
      </c>
      <c r="E66" s="22" t="str">
        <f ca="1">VLOOKUP($B66,OFFSET([2]quests!$A$1,0,0,COUNTA([2]quests!$A:$A),MATCH(E$1,[2]quests!$1:$1,0)-MATCH($B$1,[2]quests!$1:$1,0)+1),MATCH(E$1,[2]quests!$1:$1,0)-MATCH($B$1,[2]quests!$1:$1,0)+1,FALSE)</f>
        <v>【水曜限定】 青の素材</v>
      </c>
      <c r="F66" s="22" t="str">
        <f ca="1">VLOOKUP($D66,OFFSET([2]stages!$A$1,0,0,COUNTA([2]stages!$A:$A),MATCH(F$1,[2]stages!$2:$2,0)-MATCH($D$1,[2]stages!$2:$2,0)+1),MATCH(F$1,[2]stages!$2:$2,0)-MATCH($D$1,[2]stages!$2:$2,0)+1,FALSE)</f>
        <v>【上級】水のイモムシ</v>
      </c>
      <c r="G66" s="68">
        <v>4</v>
      </c>
      <c r="H66" s="16" t="str">
        <f t="shared" si="40"/>
        <v>11003_4-4</v>
      </c>
      <c r="I66" s="22" t="e">
        <v>#N/A</v>
      </c>
      <c r="J66" s="22" t="e">
        <v>#N/A</v>
      </c>
      <c r="K66" s="70" t="s">
        <v>217</v>
      </c>
      <c r="L66" s="70">
        <v>37</v>
      </c>
      <c r="M66" s="22" t="str">
        <f ca="1">VLOOKUP($L66,OFFSET([3]enemies!$A$1,0,0,COUNTA([3]enemies!$A:$A),MATCH(M$1,[3]enemies!$1:$1,0)-MATCH($L$1,[3]enemies!$1:$1,0)+1),MATCH(M$1,[3]enemies!$1:$1,0)-MATCH($L$1,[3]enemies!$1:$1,0)+1,FALSE)</f>
        <v>ガイル</v>
      </c>
      <c r="N66" s="22" t="str">
        <f ca="1">VLOOKUP($L66,OFFSET([3]enemies!$A$1,0,0,COUNTA([3]enemies!$A:$A),MATCH(N$1,[3]enemies!$1:$1,0)-MATCH($L$1,[3]enemies!$1:$1,0)+1),MATCH(N$1,[3]enemies!$1:$1,0)-MATCH($L$1,[3]enemies!$1:$1,0)+1,FALSE)</f>
        <v>blue</v>
      </c>
      <c r="O66" s="22" t="str">
        <f ca="1">VLOOKUP($L66,OFFSET([4]characters!$A$1,0,0,COUNTA([4]characters!$A:$A),MATCH(O$1,[4]characters!$1:$1,0)-MATCH($L$1,[4]characters!$1:$1,0)+1),MATCH(O$1,[4]characters!$1:$1,0)-MATCH($L$1,[4]characters!$1:$1,0)+1,FALSE)</f>
        <v>Drop1S</v>
      </c>
      <c r="P66" s="22" t="str">
        <f ca="1">VLOOKUP($L66,OFFSET([3]enemies!$A$1,0,0,COUNTA([3]enemies!$A:$A),MATCH(P$1,[3]enemies!$1:$1,0)-MATCH($L$1,[3]enemies!$1:$1,0)+1),MATCH(P$1,[3]enemies!$1:$1,0)-MATCH($L$1,[3]enemies!$1:$1,0)+1,FALSE)</f>
        <v>animal</v>
      </c>
      <c r="Q66" s="22">
        <f ca="1">VLOOKUP($L66,OFFSET([3]enemies!$A$1,0,0,COUNTA([3]enemies!$A:$A),MATCH(Q$1,[3]enemies!$1:$1,0)-MATCH($L$1,[3]enemies!$1:$1,0)+1),MATCH(Q$1,[3]enemies!$1:$1,0)-MATCH($L$1,[3]enemies!$1:$1,0)+1,FALSE)</f>
        <v>15</v>
      </c>
      <c r="R66" s="79">
        <v>35</v>
      </c>
      <c r="S66" s="80">
        <v>1</v>
      </c>
      <c r="T66" s="80">
        <v>1</v>
      </c>
      <c r="U66" s="79">
        <v>0</v>
      </c>
      <c r="V66" s="22" t="str">
        <f ca="1">VLOOKUP($W66,OFFSET([5]enemy_skill_sets!$B$1,0,0,COUNTA([5]enemy_skill_sets!$B:$B),MATCH(M$1,[5]enemy_skill_sets!$1:$1,0)-MATCH($W$1,[5]enemy_skill_sets!$1:$1,0)+2),MATCH(M$1,[5]enemy_skill_sets!$1:$1,0)-MATCH($W$1,[5]enemy_skill_sets!$1:$1,0)+2,FALSE)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66" s="22">
        <f ca="1">VLOOKUP($L66,OFFSET([3]enemies!$A$1,0,0,COUNTA([3]enemies!$A:$A),MATCH(W$1,[3]enemies!$1:$1,0)-MATCH($L$1,[3]enemies!$1:$1,0)+1),MATCH(W$1,[3]enemies!$1:$1,0)-MATCH($L$1,[3]enemies!$1:$1,0)+1,FALSE)</f>
        <v>37</v>
      </c>
      <c r="X66" s="81">
        <v>0</v>
      </c>
      <c r="Y66" s="81">
        <v>100</v>
      </c>
      <c r="Z66" s="81">
        <v>0</v>
      </c>
      <c r="AA66" s="22">
        <f ca="1">VLOOKUP($L66,OFFSET([3]enemies!$A$1,0,0,COUNTA([3]enemies!$A:$A),MATCH(AA$1,[3]enemies!$1:$1,0)-MATCH($L$1,[3]enemies!$1:$1,0)+1),MATCH(AA$1,[3]enemies!$1:$1,0)-MATCH($L$1,[3]enemies!$1:$1,0)+1,FALSE)</f>
        <v>3</v>
      </c>
      <c r="AB66" s="70">
        <v>37</v>
      </c>
      <c r="AC66" s="22" t="str">
        <f ca="1">IFERROR(VLOOKUP($AB66,OFFSET([4]characters!$A$1,0,0,COUNTA([4]characters!$A:$A),MATCH(AC$1,[4]characters!$1:$1,0)-MATCH("character_id",[4]characters!$1:$1,0)+1),MATCH(AC$1,[4]characters!$1:$1,0)-MATCH("character_id",[4]characters!$1:$1,0)+1,FALSE),"")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66" s="22">
        <f ca="1">IFERROR(VLOOKUP($AB66,OFFSET([4]characters!$A$1,0,0,COUNTA([4]characters!$A:$A),MATCH(AD$1,[4]characters!$1:$1,0)-MATCH("character_id",[4]characters!$1:$1,0)+1),MATCH(AD$1,[4]characters!$1:$1,0)-MATCH("character_id",[4]characters!$1:$1,0)+1,FALSE),"")</f>
        <v>2</v>
      </c>
      <c r="AE66" s="22" t="str">
        <f ca="1">IFERROR(VLOOKUP($AB66,OFFSET([4]characters!$A$1,0,0,COUNTA([4]characters!$A:$A),MATCH(AE$1,[4]characters!$1:$1,0)-MATCH("character_id",[4]characters!$1:$1,0)+1),MATCH(AE$1,[4]characters!$1:$1,0)-MATCH("character_id",[4]characters!$1:$1,0)+1,FALSE),"")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66" s="28">
        <v>1</v>
      </c>
      <c r="AG66" s="75">
        <f t="shared" ca="1" si="41"/>
        <v>2</v>
      </c>
      <c r="AH66" s="81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1</v>
      </c>
      <c r="AN66" s="28">
        <v>1</v>
      </c>
    </row>
    <row r="67" spans="1:40" ht="21" customHeight="1" x14ac:dyDescent="0.15">
      <c r="A67" s="78" t="str">
        <f t="shared" ca="1" si="38"/>
        <v>11003_4-4/29&lt;lv35&gt;s2</v>
      </c>
      <c r="B67" s="82">
        <v>11003</v>
      </c>
      <c r="C67" s="83">
        <v>4</v>
      </c>
      <c r="D67" s="16" t="str">
        <f t="shared" si="39"/>
        <v>11003_4</v>
      </c>
      <c r="E67" s="22" t="str">
        <f ca="1">VLOOKUP($B67,OFFSET([2]quests!$A$1,0,0,COUNTA([2]quests!$A:$A),MATCH(E$1,[2]quests!$1:$1,0)-MATCH($B$1,[2]quests!$1:$1,0)+1),MATCH(E$1,[2]quests!$1:$1,0)-MATCH($B$1,[2]quests!$1:$1,0)+1,FALSE)</f>
        <v>【水曜限定】 青の素材</v>
      </c>
      <c r="F67" s="22" t="str">
        <f ca="1">VLOOKUP($D67,OFFSET([2]stages!$A$1,0,0,COUNTA([2]stages!$A:$A),MATCH(F$1,[2]stages!$2:$2,0)-MATCH($D$1,[2]stages!$2:$2,0)+1),MATCH(F$1,[2]stages!$2:$2,0)-MATCH($D$1,[2]stages!$2:$2,0)+1,FALSE)</f>
        <v>【上級】水のイモムシ</v>
      </c>
      <c r="G67" s="68">
        <v>4</v>
      </c>
      <c r="H67" s="16" t="str">
        <f t="shared" si="40"/>
        <v>11003_4-4</v>
      </c>
      <c r="I67" s="22" t="e">
        <v>#N/A</v>
      </c>
      <c r="J67" s="22" t="e">
        <v>#N/A</v>
      </c>
      <c r="K67" s="70" t="s">
        <v>217</v>
      </c>
      <c r="L67" s="70">
        <v>29</v>
      </c>
      <c r="M67" s="22" t="str">
        <f ca="1">VLOOKUP($L67,OFFSET([3]enemies!$A$1,0,0,COUNTA([3]enemies!$A:$A),MATCH(M$1,[3]enemies!$1:$1,0)-MATCH($L$1,[3]enemies!$1:$1,0)+1),MATCH(M$1,[3]enemies!$1:$1,0)-MATCH($L$1,[3]enemies!$1:$1,0)+1,FALSE)</f>
        <v>スケアクロウ</v>
      </c>
      <c r="N67" s="22" t="str">
        <f ca="1">VLOOKUP($L67,OFFSET([3]enemies!$A$1,0,0,COUNTA([3]enemies!$A:$A),MATCH(N$1,[3]enemies!$1:$1,0)-MATCH($L$1,[3]enemies!$1:$1,0)+1),MATCH(N$1,[3]enemies!$1:$1,0)-MATCH($L$1,[3]enemies!$1:$1,0)+1,FALSE)</f>
        <v>blue</v>
      </c>
      <c r="O67" s="22" t="str">
        <f ca="1">VLOOKUP($L67,OFFSET([4]characters!$A$1,0,0,COUNTA([4]characters!$A:$A),MATCH(O$1,[4]characters!$1:$1,0)-MATCH($L$1,[4]characters!$1:$1,0)+1),MATCH(O$1,[4]characters!$1:$1,0)-MATCH($L$1,[4]characters!$1:$1,0)+1,FALSE)</f>
        <v>Drop1N</v>
      </c>
      <c r="P67" s="22" t="str">
        <f ca="1">VLOOKUP($L67,OFFSET([3]enemies!$A$1,0,0,COUNTA([3]enemies!$A:$A),MATCH(P$1,[3]enemies!$1:$1,0)-MATCH($L$1,[3]enemies!$1:$1,0)+1),MATCH(P$1,[3]enemies!$1:$1,0)-MATCH($L$1,[3]enemies!$1:$1,0)+1,FALSE)</f>
        <v>machine</v>
      </c>
      <c r="Q67" s="22">
        <f ca="1">VLOOKUP($L67,OFFSET([3]enemies!$A$1,0,0,COUNTA([3]enemies!$A:$A),MATCH(Q$1,[3]enemies!$1:$1,0)-MATCH($L$1,[3]enemies!$1:$1,0)+1),MATCH(Q$1,[3]enemies!$1:$1,0)-MATCH($L$1,[3]enemies!$1:$1,0)+1,FALSE)</f>
        <v>15</v>
      </c>
      <c r="R67" s="79">
        <v>35</v>
      </c>
      <c r="S67" s="80">
        <v>1</v>
      </c>
      <c r="T67" s="80">
        <v>1</v>
      </c>
      <c r="U67" s="79">
        <v>0</v>
      </c>
      <c r="V67" s="22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22">
        <f ca="1">VLOOKUP($L67,OFFSET([3]enemies!$A$1,0,0,COUNTA([3]enemies!$A:$A),MATCH(W$1,[3]enemies!$1:$1,0)-MATCH($L$1,[3]enemies!$1:$1,0)+1),MATCH(W$1,[3]enemies!$1:$1,0)-MATCH($L$1,[3]enemies!$1:$1,0)+1,FALSE)</f>
        <v>0</v>
      </c>
      <c r="X67" s="81">
        <v>0</v>
      </c>
      <c r="Y67" s="81">
        <v>100</v>
      </c>
      <c r="Z67" s="81">
        <v>0</v>
      </c>
      <c r="AA67" s="22">
        <f ca="1">VLOOKUP($L67,OFFSET([3]enemies!$A$1,0,0,COUNTA([3]enemies!$A:$A),MATCH(AA$1,[3]enemies!$1:$1,0)-MATCH($L$1,[3]enemies!$1:$1,0)+1),MATCH(AA$1,[3]enemies!$1:$1,0)-MATCH($L$1,[3]enemies!$1:$1,0)+1,FALSE)</f>
        <v>2</v>
      </c>
      <c r="AB67" s="70">
        <v>29</v>
      </c>
      <c r="AC67" s="22" t="str">
        <f ca="1">IFERROR(VLOOKUP($AB67,OFFSET([4]characters!$A$1,0,0,COUNTA([4]characters!$A:$A),MATCH(AC$1,[4]characters!$1:$1,0)-MATCH("character_id",[4]characters!$1:$1,0)+1),MATCH(AC$1,[4]characters!$1:$1,0)-MATCH("character_id",[4]characters!$1:$1,0)+1,FALSE),"")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67" s="22">
        <f ca="1">IFERROR(VLOOKUP($AB67,OFFSET([4]characters!$A$1,0,0,COUNTA([4]characters!$A:$A),MATCH(AD$1,[4]characters!$1:$1,0)-MATCH("character_id",[4]characters!$1:$1,0)+1),MATCH(AD$1,[4]characters!$1:$1,0)-MATCH("character_id",[4]characters!$1:$1,0)+1,FALSE),"")</f>
        <v>1</v>
      </c>
      <c r="AE67" s="22" t="str">
        <f ca="1">IFERROR(VLOOKUP($AB67,OFFSET([4]characters!$A$1,0,0,COUNTA([4]characters!$A:$A),MATCH(AE$1,[4]characters!$1:$1,0)-MATCH("character_id",[4]characters!$1:$1,0)+1),MATCH(AE$1,[4]characters!$1:$1,0)-MATCH("character_id",[4]characters!$1:$1,0)+1,FALSE),"")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7" s="28">
        <v>1</v>
      </c>
      <c r="AG67" s="75">
        <f t="shared" ca="1" si="41"/>
        <v>1</v>
      </c>
      <c r="AH67" s="81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1</v>
      </c>
      <c r="AN67" s="28">
        <v>1</v>
      </c>
    </row>
    <row r="68" spans="1:40" ht="21" customHeight="1" x14ac:dyDescent="0.15">
      <c r="A68" s="78" t="str">
        <f t="shared" ca="1" si="38"/>
        <v>11003_4-5/111&lt;lv30&gt;s1</v>
      </c>
      <c r="B68" s="82">
        <v>11003</v>
      </c>
      <c r="C68" s="83">
        <v>4</v>
      </c>
      <c r="D68" s="16" t="str">
        <f t="shared" si="39"/>
        <v>11003_4</v>
      </c>
      <c r="E68" s="22" t="str">
        <f ca="1">VLOOKUP($B68,OFFSET([2]quests!$A$1,0,0,COUNTA([2]quests!$A:$A),MATCH(E$1,[2]quests!$1:$1,0)-MATCH($B$1,[2]quests!$1:$1,0)+1),MATCH(E$1,[2]quests!$1:$1,0)-MATCH($B$1,[2]quests!$1:$1,0)+1,FALSE)</f>
        <v>【水曜限定】 青の素材</v>
      </c>
      <c r="F68" s="22" t="str">
        <f ca="1">VLOOKUP($D68,OFFSET([2]stages!$A$1,0,0,COUNTA([2]stages!$A:$A),MATCH(F$1,[2]stages!$2:$2,0)-MATCH($D$1,[2]stages!$2:$2,0)+1),MATCH(F$1,[2]stages!$2:$2,0)-MATCH($D$1,[2]stages!$2:$2,0)+1,FALSE)</f>
        <v>【上級】水のイモムシ</v>
      </c>
      <c r="G68" s="68">
        <v>5</v>
      </c>
      <c r="H68" s="16" t="str">
        <f t="shared" si="40"/>
        <v>11003_4-5</v>
      </c>
      <c r="I68" s="22" t="e">
        <v>#N/A</v>
      </c>
      <c r="J68" s="22" t="e">
        <v>#N/A</v>
      </c>
      <c r="K68" s="70" t="s">
        <v>217</v>
      </c>
      <c r="L68" s="70">
        <v>111</v>
      </c>
      <c r="M68" s="22" t="str">
        <f ca="1">VLOOKUP($L68,OFFSET([3]enemies!$A$1,0,0,COUNTA([3]enemies!$A:$A),MATCH(M$1,[3]enemies!$1:$1,0)-MATCH($L$1,[3]enemies!$1:$1,0)+1),MATCH(M$1,[3]enemies!$1:$1,0)-MATCH($L$1,[3]enemies!$1:$1,0)+1,FALSE)</f>
        <v>ブルーキャタップ</v>
      </c>
      <c r="N68" s="22" t="str">
        <f ca="1">VLOOKUP($L68,OFFSET([3]enemies!$A$1,0,0,COUNTA([3]enemies!$A:$A),MATCH(N$1,[3]enemies!$1:$1,0)-MATCH($L$1,[3]enemies!$1:$1,0)+1),MATCH(N$1,[3]enemies!$1:$1,0)-MATCH($L$1,[3]enemies!$1:$1,0)+1,FALSE)</f>
        <v>blue</v>
      </c>
      <c r="O68" s="22" t="str">
        <f ca="1">VLOOKUP($L68,OFFSET([4]characters!$A$1,0,0,COUNTA([4]characters!$A:$A),MATCH(O$1,[4]characters!$1:$1,0)-MATCH($L$1,[4]characters!$1:$1,0)+1),MATCH(O$1,[4]characters!$1:$1,0)-MATCH($L$1,[4]characters!$1:$1,0)+1,FALSE)</f>
        <v>Material</v>
      </c>
      <c r="P68" s="22" t="str">
        <f ca="1">VLOOKUP($L68,OFFSET([3]enemies!$A$1,0,0,COUNTA([3]enemies!$A:$A),MATCH(P$1,[3]enemies!$1:$1,0)-MATCH($L$1,[3]enemies!$1:$1,0)+1),MATCH(P$1,[3]enemies!$1:$1,0)-MATCH($L$1,[3]enemies!$1:$1,0)+1,FALSE)</f>
        <v>unknown</v>
      </c>
      <c r="Q68" s="22">
        <f ca="1">VLOOKUP($L68,OFFSET([3]enemies!$A$1,0,0,COUNTA([3]enemies!$A:$A),MATCH(Q$1,[3]enemies!$1:$1,0)-MATCH($L$1,[3]enemies!$1:$1,0)+1),MATCH(Q$1,[3]enemies!$1:$1,0)-MATCH($L$1,[3]enemies!$1:$1,0)+1,FALSE)</f>
        <v>15</v>
      </c>
      <c r="R68" s="79">
        <v>30</v>
      </c>
      <c r="S68" s="80">
        <v>2</v>
      </c>
      <c r="T68" s="80">
        <v>1</v>
      </c>
      <c r="U68" s="79">
        <v>0</v>
      </c>
      <c r="V68" s="22" t="str">
        <f ca="1">VLOOKUP($W68,OFFSET([5]enemy_skill_sets!$B$1,0,0,COUNTA([5]enemy_skill_sets!$B:$B),MATCH(M$1,[5]enemy_skill_sets!$1:$1,0)-MATCH($W$1,[5]enemy_skill_sets!$1:$1,0)+2),MATCH(M$1,[5]enemy_skill_sets!$1:$1,0)-MATCH($W$1,[5]enemy_skill_sets!$1:$1,0)+2,FALSE)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8" s="22">
        <f ca="1">VLOOKUP($L68,OFFSET([3]enemies!$A$1,0,0,COUNTA([3]enemies!$A:$A),MATCH(W$1,[3]enemies!$1:$1,0)-MATCH($L$1,[3]enemies!$1:$1,0)+1),MATCH(W$1,[3]enemies!$1:$1,0)-MATCH($L$1,[3]enemies!$1:$1,0)+1,FALSE)</f>
        <v>0</v>
      </c>
      <c r="X68" s="81">
        <v>0</v>
      </c>
      <c r="Y68" s="81">
        <v>100</v>
      </c>
      <c r="Z68" s="81">
        <v>2</v>
      </c>
      <c r="AA68" s="22">
        <f ca="1">VLOOKUP($L68,OFFSET([3]enemies!$A$1,0,0,COUNTA([3]enemies!$A:$A),MATCH(AA$1,[3]enemies!$1:$1,0)-MATCH($L$1,[3]enemies!$1:$1,0)+1),MATCH(AA$1,[3]enemies!$1:$1,0)-MATCH($L$1,[3]enemies!$1:$1,0)+1,FALSE)</f>
        <v>1</v>
      </c>
      <c r="AB68" s="70">
        <v>111</v>
      </c>
      <c r="AC68" s="22" t="str">
        <f ca="1">IFERROR(VLOOKUP($AB68,OFFSET([4]characters!$A$1,0,0,COUNTA([4]characters!$A:$A),MATCH(AC$1,[4]characters!$1:$1,0)-MATCH("character_id",[4]characters!$1:$1,0)+1),MATCH(AC$1,[4]characters!$1:$1,0)-MATCH("character_id",[4]characters!$1:$1,0)+1,FALSE),"")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68" s="22">
        <f ca="1">IFERROR(VLOOKUP($AB68,OFFSET([4]characters!$A$1,0,0,COUNTA([4]characters!$A:$A),MATCH(AD$1,[4]characters!$1:$1,0)-MATCH("character_id",[4]characters!$1:$1,0)+1),MATCH(AD$1,[4]characters!$1:$1,0)-MATCH("character_id",[4]characters!$1:$1,0)+1,FALSE),"")</f>
        <v>4</v>
      </c>
      <c r="AE68" s="22" t="str">
        <f ca="1">IFERROR(VLOOKUP($AB68,OFFSET([4]characters!$A$1,0,0,COUNTA([4]characters!$A:$A),MATCH(AE$1,[4]characters!$1:$1,0)-MATCH("character_id",[4]characters!$1:$1,0)+1),MATCH(AE$1,[4]characters!$1:$1,0)-MATCH("character_id",[4]characters!$1:$1,0)+1,FALSE),"")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8" s="28">
        <v>1</v>
      </c>
      <c r="AG68" s="75">
        <f t="shared" ca="1" si="41"/>
        <v>4</v>
      </c>
      <c r="AH68" s="131">
        <v>50</v>
      </c>
      <c r="AI68" s="28">
        <v>0</v>
      </c>
      <c r="AJ68" s="28">
        <v>0</v>
      </c>
      <c r="AK68" s="28">
        <v>0</v>
      </c>
      <c r="AL68" s="28">
        <v>0</v>
      </c>
      <c r="AM68" s="28">
        <v>1</v>
      </c>
      <c r="AN68" s="28">
        <v>1</v>
      </c>
    </row>
    <row r="69" spans="1:40" ht="21" customHeight="1" x14ac:dyDescent="0.15">
      <c r="A69" s="78" t="str">
        <f ca="1">B69&amp;"_"&amp;C69&amp;"-"&amp;G69&amp;"/"&amp;L69&amp;"&lt;lv"&amp;R69&amp;"&gt;s"&amp;AA69</f>
        <v>11003_4-5/130&lt;lv30&gt;s3</v>
      </c>
      <c r="B69" s="82">
        <v>11003</v>
      </c>
      <c r="C69" s="83">
        <v>4</v>
      </c>
      <c r="D69" s="16" t="str">
        <f t="shared" si="39"/>
        <v>11003_4</v>
      </c>
      <c r="E69" s="22" t="str">
        <f ca="1">VLOOKUP($B69,OFFSET([2]quests!$A$1,0,0,COUNTA([2]quests!$A:$A),MATCH(E$1,[2]quests!$1:$1,0)-MATCH($B$1,[2]quests!$1:$1,0)+1),MATCH(E$1,[2]quests!$1:$1,0)-MATCH($B$1,[2]quests!$1:$1,0)+1,FALSE)</f>
        <v>【水曜限定】 青の素材</v>
      </c>
      <c r="F69" s="22" t="str">
        <f ca="1">VLOOKUP($D69,OFFSET([2]stages!$A$1,0,0,COUNTA([2]stages!$A:$A),MATCH(F$1,[2]stages!$2:$2,0)-MATCH($D$1,[2]stages!$2:$2,0)+1),MATCH(F$1,[2]stages!$2:$2,0)-MATCH($D$1,[2]stages!$2:$2,0)+1,FALSE)</f>
        <v>【上級】水のイモムシ</v>
      </c>
      <c r="G69" s="68">
        <v>5</v>
      </c>
      <c r="H69" s="16" t="str">
        <f t="shared" si="40"/>
        <v>11003_4-5</v>
      </c>
      <c r="I69" s="22" t="e">
        <v>#N/A</v>
      </c>
      <c r="J69" s="22" t="e">
        <v>#N/A</v>
      </c>
      <c r="K69" s="70" t="s">
        <v>217</v>
      </c>
      <c r="L69" s="70">
        <v>130</v>
      </c>
      <c r="M69" s="22" t="str">
        <f ca="1">VLOOKUP($L69,OFFSET([3]enemies!$A$1,0,0,COUNTA([3]enemies!$A:$A),MATCH(M$1,[3]enemies!$1:$1,0)-MATCH($L$1,[3]enemies!$1:$1,0)+1),MATCH(M$1,[3]enemies!$1:$1,0)-MATCH($L$1,[3]enemies!$1:$1,0)+1,FALSE)</f>
        <v>狼男 ローレンス</v>
      </c>
      <c r="N69" s="22" t="str">
        <f ca="1">VLOOKUP($L69,OFFSET([3]enemies!$A$1,0,0,COUNTA([3]enemies!$A:$A),MATCH(N$1,[3]enemies!$1:$1,0)-MATCH($L$1,[3]enemies!$1:$1,0)+1),MATCH(N$1,[3]enemies!$1:$1,0)-MATCH($L$1,[3]enemies!$1:$1,0)+1,FALSE)</f>
        <v>blue</v>
      </c>
      <c r="O69" s="22" t="str">
        <f ca="1">VLOOKUP($L69,OFFSET([4]characters!$A$1,0,0,COUNTA([4]characters!$A:$A),MATCH(O$1,[4]characters!$1:$1,0)-MATCH($L$1,[4]characters!$1:$1,0)+1),MATCH(O$1,[4]characters!$1:$1,0)-MATCH($L$1,[4]characters!$1:$1,0)+1,FALSE)</f>
        <v>PremiumW</v>
      </c>
      <c r="P69" s="22" t="str">
        <f ca="1">VLOOKUP($L69,OFFSET([3]enemies!$A$1,0,0,COUNTA([3]enemies!$A:$A),MATCH(P$1,[3]enemies!$1:$1,0)-MATCH($L$1,[3]enemies!$1:$1,0)+1),MATCH(P$1,[3]enemies!$1:$1,0)-MATCH($L$1,[3]enemies!$1:$1,0)+1,FALSE)</f>
        <v>animal</v>
      </c>
      <c r="Q69" s="22">
        <f ca="1">VLOOKUP($L69,OFFSET([3]enemies!$A$1,0,0,COUNTA([3]enemies!$A:$A),MATCH(Q$1,[3]enemies!$1:$1,0)-MATCH($L$1,[3]enemies!$1:$1,0)+1),MATCH(Q$1,[3]enemies!$1:$1,0)-MATCH($L$1,[3]enemies!$1:$1,0)+1,FALSE)</f>
        <v>20</v>
      </c>
      <c r="R69" s="79">
        <v>30</v>
      </c>
      <c r="S69" s="80">
        <v>1</v>
      </c>
      <c r="T69" s="80">
        <v>1</v>
      </c>
      <c r="U69" s="79">
        <v>0</v>
      </c>
      <c r="V69" s="22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攻撃力×1.5倍の攻撃</v>
      </c>
      <c r="W69" s="22">
        <f ca="1">VLOOKUP($L69,OFFSET([3]enemies!$A$1,0,0,COUNTA([3]enemies!$A:$A),MATCH(W$1,[3]enemies!$1:$1,0)-MATCH($L$1,[3]enemies!$1:$1,0)+1),MATCH(W$1,[3]enemies!$1:$1,0)-MATCH($L$1,[3]enemies!$1:$1,0)+1,FALSE)</f>
        <v>130</v>
      </c>
      <c r="X69" s="81">
        <v>0</v>
      </c>
      <c r="Y69" s="81">
        <v>100</v>
      </c>
      <c r="Z69" s="81">
        <v>0</v>
      </c>
      <c r="AA69" s="22">
        <f ca="1">VLOOKUP($L69,OFFSET([3]enemies!$A$1,0,0,COUNTA([3]enemies!$A:$A),MATCH(AA$1,[3]enemies!$1:$1,0)-MATCH($L$1,[3]enemies!$1:$1,0)+1),MATCH(AA$1,[3]enemies!$1:$1,0)-MATCH($L$1,[3]enemies!$1:$1,0)+1,FALSE)</f>
        <v>3</v>
      </c>
      <c r="AB69" s="70">
        <v>130</v>
      </c>
      <c r="AC69" s="22" t="str">
        <f ca="1">IFERROR(VLOOKUP($AB69,OFFSET([4]characters!$A$1,0,0,COUNTA([4]characters!$A:$A),MATCH(AC$1,[4]characters!$1:$1,0)-MATCH("character_id",[4]characters!$1:$1,0)+1),MATCH(AC$1,[4]characters!$1:$1,0)-MATCH("character_id",[4]characters!$1:$1,0)+1,FALSE),"")</f>
        <v>狼男 ローレンス</v>
      </c>
      <c r="AD69" s="22">
        <f ca="1">IFERROR(VLOOKUP($AB69,OFFSET([4]characters!$A$1,0,0,COUNTA([4]characters!$A:$A),MATCH(AD$1,[4]characters!$1:$1,0)-MATCH("character_id",[4]characters!$1:$1,0)+1),MATCH(AD$1,[4]characters!$1:$1,0)-MATCH("character_id",[4]characters!$1:$1,0)+1,FALSE),"")</f>
        <v>3</v>
      </c>
      <c r="AE69" s="22" t="str">
        <f ca="1">IFERROR(VLOOKUP($AB69,OFFSET([4]characters!$A$1,0,0,COUNTA([4]characters!$A:$A),MATCH(AE$1,[4]characters!$1:$1,0)-MATCH("character_id",[4]characters!$1:$1,0)+1),MATCH(AE$1,[4]characters!$1:$1,0)-MATCH("character_id",[4]characters!$1:$1,0)+1,FALSE),"")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69" s="28">
        <v>1</v>
      </c>
      <c r="AG69" s="75">
        <f t="shared" ca="1" si="41"/>
        <v>3</v>
      </c>
      <c r="AH69" s="81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1</v>
      </c>
      <c r="AN69" s="28">
        <v>1</v>
      </c>
    </row>
    <row r="70" spans="1:40" ht="21" customHeight="1" x14ac:dyDescent="0.15">
      <c r="A70" s="78" t="str">
        <f ca="1">B70&amp;"_"&amp;C70&amp;"-"&amp;G70&amp;"/"&amp;L70&amp;"&lt;lv"&amp;R70&amp;"&gt;s"&amp;AA70</f>
        <v>11003_4-5/138&lt;lv30&gt;s2</v>
      </c>
      <c r="B70" s="82">
        <v>11003</v>
      </c>
      <c r="C70" s="83">
        <v>4</v>
      </c>
      <c r="D70" s="16" t="str">
        <f t="shared" si="39"/>
        <v>11003_4</v>
      </c>
      <c r="E70" s="22" t="str">
        <f ca="1">VLOOKUP($B70,OFFSET([2]quests!$A$1,0,0,COUNTA([2]quests!$A:$A),MATCH(E$1,[2]quests!$1:$1,0)-MATCH($B$1,[2]quests!$1:$1,0)+1),MATCH(E$1,[2]quests!$1:$1,0)-MATCH($B$1,[2]quests!$1:$1,0)+1,FALSE)</f>
        <v>【水曜限定】 青の素材</v>
      </c>
      <c r="F70" s="22" t="str">
        <f ca="1">VLOOKUP($D70,OFFSET([2]stages!$A$1,0,0,COUNTA([2]stages!$A:$A),MATCH(F$1,[2]stages!$2:$2,0)-MATCH($D$1,[2]stages!$2:$2,0)+1),MATCH(F$1,[2]stages!$2:$2,0)-MATCH($D$1,[2]stages!$2:$2,0)+1,FALSE)</f>
        <v>【上級】水のイモムシ</v>
      </c>
      <c r="G70" s="68">
        <v>5</v>
      </c>
      <c r="H70" s="16" t="str">
        <f t="shared" si="40"/>
        <v>11003_4-5</v>
      </c>
      <c r="I70" s="22" t="e">
        <v>#N/A</v>
      </c>
      <c r="J70" s="22" t="e">
        <v>#N/A</v>
      </c>
      <c r="K70" s="70" t="s">
        <v>217</v>
      </c>
      <c r="L70" s="70">
        <v>138</v>
      </c>
      <c r="M70" s="22" t="str">
        <f ca="1">VLOOKUP($L70,OFFSET([3]enemies!$A$1,0,0,COUNTA([3]enemies!$A:$A),MATCH(M$1,[3]enemies!$1:$1,0)-MATCH($L$1,[3]enemies!$1:$1,0)+1),MATCH(M$1,[3]enemies!$1:$1,0)-MATCH($L$1,[3]enemies!$1:$1,0)+1,FALSE)</f>
        <v>蒼薙のトモエ</v>
      </c>
      <c r="N70" s="22" t="str">
        <f ca="1">VLOOKUP($L70,OFFSET([3]enemies!$A$1,0,0,COUNTA([3]enemies!$A:$A),MATCH(N$1,[3]enemies!$1:$1,0)-MATCH($L$1,[3]enemies!$1:$1,0)+1),MATCH(N$1,[3]enemies!$1:$1,0)-MATCH($L$1,[3]enemies!$1:$1,0)+1,FALSE)</f>
        <v>blue</v>
      </c>
      <c r="O70" s="22" t="str">
        <f ca="1">VLOOKUP($L70,OFFSET([4]characters!$A$1,0,0,COUNTA([4]characters!$A:$A),MATCH(O$1,[4]characters!$1:$1,0)-MATCH($L$1,[4]characters!$1:$1,0)+1),MATCH(O$1,[4]characters!$1:$1,0)-MATCH($L$1,[4]characters!$1:$1,0)+1,FALSE)</f>
        <v>PremiumW</v>
      </c>
      <c r="P70" s="22" t="str">
        <f ca="1">VLOOKUP($L70,OFFSET([3]enemies!$A$1,0,0,COUNTA([3]enemies!$A:$A),MATCH(P$1,[3]enemies!$1:$1,0)-MATCH($L$1,[3]enemies!$1:$1,0)+1),MATCH(P$1,[3]enemies!$1:$1,0)-MATCH($L$1,[3]enemies!$1:$1,0)+1,FALSE)</f>
        <v>human</v>
      </c>
      <c r="Q70" s="22">
        <f ca="1">VLOOKUP($L70,OFFSET([3]enemies!$A$1,0,0,COUNTA([3]enemies!$A:$A),MATCH(Q$1,[3]enemies!$1:$1,0)-MATCH($L$1,[3]enemies!$1:$1,0)+1),MATCH(Q$1,[3]enemies!$1:$1,0)-MATCH($L$1,[3]enemies!$1:$1,0)+1,FALSE)</f>
        <v>20</v>
      </c>
      <c r="R70" s="79">
        <v>30</v>
      </c>
      <c r="S70" s="80">
        <v>1</v>
      </c>
      <c r="T70" s="80">
        <v>1</v>
      </c>
      <c r="U70" s="79">
        <v>0</v>
      </c>
      <c r="V70" s="22" t="str">
        <f ca="1">VLOOKUP($W70,OFFSET([5]enemy_skill_sets!$B$1,0,0,COUNTA([5]enemy_skill_sets!$B:$B),MATCH(M$1,[5]enemy_skill_sets!$1:$1,0)-MATCH($W$1,[5]enemy_skill_sets!$1:$1,0)+2),MATCH(M$1,[5]enemy_skill_sets!$1:$1,0)-MATCH($W$1,[5]enemy_skill_sets!$1:$1,0)+2,FALSE)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0" s="22">
        <f ca="1">VLOOKUP($L70,OFFSET([3]enemies!$A$1,0,0,COUNTA([3]enemies!$A:$A),MATCH(W$1,[3]enemies!$1:$1,0)-MATCH($L$1,[3]enemies!$1:$1,0)+1),MATCH(W$1,[3]enemies!$1:$1,0)-MATCH($L$1,[3]enemies!$1:$1,0)+1,FALSE)</f>
        <v>0</v>
      </c>
      <c r="X70" s="81">
        <v>0</v>
      </c>
      <c r="Y70" s="81">
        <v>100</v>
      </c>
      <c r="Z70" s="81">
        <v>0</v>
      </c>
      <c r="AA70" s="22">
        <f ca="1">VLOOKUP($L70,OFFSET([3]enemies!$A$1,0,0,COUNTA([3]enemies!$A:$A),MATCH(AA$1,[3]enemies!$1:$1,0)-MATCH($L$1,[3]enemies!$1:$1,0)+1),MATCH(AA$1,[3]enemies!$1:$1,0)-MATCH($L$1,[3]enemies!$1:$1,0)+1,FALSE)</f>
        <v>2</v>
      </c>
      <c r="AB70" s="70">
        <v>138</v>
      </c>
      <c r="AC70" s="22" t="str">
        <f ca="1">IFERROR(VLOOKUP($AB70,OFFSET([4]characters!$A$1,0,0,COUNTA([4]characters!$A:$A),MATCH(AC$1,[4]characters!$1:$1,0)-MATCH("character_id",[4]characters!$1:$1,0)+1),MATCH(AC$1,[4]characters!$1:$1,0)-MATCH("character_id",[4]characters!$1:$1,0)+1,FALSE),"")</f>
        <v>蒼薙のトモエ</v>
      </c>
      <c r="AD70" s="22">
        <f ca="1">IFERROR(VLOOKUP($AB70,OFFSET([4]characters!$A$1,0,0,COUNTA([4]characters!$A:$A),MATCH(AD$1,[4]characters!$1:$1,0)-MATCH("character_id",[4]characters!$1:$1,0)+1),MATCH(AD$1,[4]characters!$1:$1,0)-MATCH("character_id",[4]characters!$1:$1,0)+1,FALSE),"")</f>
        <v>3</v>
      </c>
      <c r="AE70" s="22" t="str">
        <f ca="1">IFERROR(VLOOKUP($AB70,OFFSET([4]characters!$A$1,0,0,COUNTA([4]characters!$A:$A),MATCH(AE$1,[4]characters!$1:$1,0)-MATCH("character_id",[4]characters!$1:$1,0)+1),MATCH(AE$1,[4]characters!$1:$1,0)-MATCH("character_id",[4]characters!$1:$1,0)+1,FALSE),"")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70" s="28">
        <v>1</v>
      </c>
      <c r="AG70" s="75">
        <f t="shared" ca="1" si="41"/>
        <v>3</v>
      </c>
      <c r="AH70" s="81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1</v>
      </c>
      <c r="AN70" s="28">
        <v>1</v>
      </c>
    </row>
    <row r="71" spans="1:40" ht="21" customHeight="1" x14ac:dyDescent="0.15">
      <c r="A71" s="78" t="str">
        <f ca="1">B71&amp;"_"&amp;C71&amp;"-"&amp;G71&amp;"/"&amp;L71&amp;"&lt;lv"&amp;R71&amp;"&gt;s"&amp;AA71</f>
        <v>11003_4-5/146&lt;lv30&gt;s3</v>
      </c>
      <c r="B71" s="82">
        <v>11003</v>
      </c>
      <c r="C71" s="83">
        <v>4</v>
      </c>
      <c r="D71" s="16" t="str">
        <f t="shared" si="39"/>
        <v>11003_4</v>
      </c>
      <c r="E71" s="22" t="str">
        <f ca="1">VLOOKUP($B71,OFFSET([2]quests!$A$1,0,0,COUNTA([2]quests!$A:$A),MATCH(E$1,[2]quests!$1:$1,0)-MATCH($B$1,[2]quests!$1:$1,0)+1),MATCH(E$1,[2]quests!$1:$1,0)-MATCH($B$1,[2]quests!$1:$1,0)+1,FALSE)</f>
        <v>【水曜限定】 青の素材</v>
      </c>
      <c r="F71" s="22" t="str">
        <f ca="1">VLOOKUP($D71,OFFSET([2]stages!$A$1,0,0,COUNTA([2]stages!$A:$A),MATCH(F$1,[2]stages!$2:$2,0)-MATCH($D$1,[2]stages!$2:$2,0)+1),MATCH(F$1,[2]stages!$2:$2,0)-MATCH($D$1,[2]stages!$2:$2,0)+1,FALSE)</f>
        <v>【上級】水のイモムシ</v>
      </c>
      <c r="G71" s="68">
        <v>5</v>
      </c>
      <c r="H71" s="16" t="str">
        <f t="shared" si="40"/>
        <v>11003_4-5</v>
      </c>
      <c r="I71" s="22" t="e">
        <v>#N/A</v>
      </c>
      <c r="J71" s="22" t="e">
        <v>#N/A</v>
      </c>
      <c r="K71" s="70" t="s">
        <v>217</v>
      </c>
      <c r="L71" s="70">
        <v>146</v>
      </c>
      <c r="M71" s="22" t="str">
        <f ca="1">VLOOKUP($L71,OFFSET([3]enemies!$A$1,0,0,COUNTA([3]enemies!$A:$A),MATCH(M$1,[3]enemies!$1:$1,0)-MATCH($L$1,[3]enemies!$1:$1,0)+1),MATCH(M$1,[3]enemies!$1:$1,0)-MATCH($L$1,[3]enemies!$1:$1,0)+1,FALSE)</f>
        <v>マーメイド</v>
      </c>
      <c r="N71" s="22" t="str">
        <f ca="1">VLOOKUP($L71,OFFSET([3]enemies!$A$1,0,0,COUNTA([3]enemies!$A:$A),MATCH(N$1,[3]enemies!$1:$1,0)-MATCH($L$1,[3]enemies!$1:$1,0)+1),MATCH(N$1,[3]enemies!$1:$1,0)-MATCH($L$1,[3]enemies!$1:$1,0)+1,FALSE)</f>
        <v>blue</v>
      </c>
      <c r="O71" s="22" t="str">
        <f ca="1">VLOOKUP($L71,OFFSET([4]characters!$A$1,0,0,COUNTA([4]characters!$A:$A),MATCH(O$1,[4]characters!$1:$1,0)-MATCH($L$1,[4]characters!$1:$1,0)+1),MATCH(O$1,[4]characters!$1:$1,0)-MATCH($L$1,[4]characters!$1:$1,0)+1,FALSE)</f>
        <v>PremiumW</v>
      </c>
      <c r="P71" s="22" t="str">
        <f ca="1">VLOOKUP($L71,OFFSET([3]enemies!$A$1,0,0,COUNTA([3]enemies!$A:$A),MATCH(P$1,[3]enemies!$1:$1,0)-MATCH($L$1,[3]enemies!$1:$1,0)+1),MATCH(P$1,[3]enemies!$1:$1,0)-MATCH($L$1,[3]enemies!$1:$1,0)+1,FALSE)</f>
        <v>human</v>
      </c>
      <c r="Q71" s="22">
        <f ca="1">VLOOKUP($L71,OFFSET([3]enemies!$A$1,0,0,COUNTA([3]enemies!$A:$A),MATCH(Q$1,[3]enemies!$1:$1,0)-MATCH($L$1,[3]enemies!$1:$1,0)+1),MATCH(Q$1,[3]enemies!$1:$1,0)-MATCH($L$1,[3]enemies!$1:$1,0)+1,FALSE)</f>
        <v>20</v>
      </c>
      <c r="R71" s="79">
        <v>30</v>
      </c>
      <c r="S71" s="80">
        <v>1</v>
      </c>
      <c r="T71" s="80">
        <v>1</v>
      </c>
      <c r="U71" s="79">
        <v>0</v>
      </c>
      <c r="V71" s="22" t="str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ハートパネルで回復できない</v>
      </c>
      <c r="W71" s="22">
        <f ca="1">VLOOKUP($L71,OFFSET([3]enemies!$A$1,0,0,COUNTA([3]enemies!$A:$A),MATCH(W$1,[3]enemies!$1:$1,0)-MATCH($L$1,[3]enemies!$1:$1,0)+1),MATCH(W$1,[3]enemies!$1:$1,0)-MATCH($L$1,[3]enemies!$1:$1,0)+1,FALSE)</f>
        <v>146</v>
      </c>
      <c r="X71" s="81">
        <v>0</v>
      </c>
      <c r="Y71" s="81">
        <v>100</v>
      </c>
      <c r="Z71" s="81">
        <v>0</v>
      </c>
      <c r="AA71" s="22">
        <f ca="1">VLOOKUP($L71,OFFSET([3]enemies!$A$1,0,0,COUNTA([3]enemies!$A:$A),MATCH(AA$1,[3]enemies!$1:$1,0)-MATCH($L$1,[3]enemies!$1:$1,0)+1),MATCH(AA$1,[3]enemies!$1:$1,0)-MATCH($L$1,[3]enemies!$1:$1,0)+1,FALSE)</f>
        <v>3</v>
      </c>
      <c r="AB71" s="70">
        <v>146</v>
      </c>
      <c r="AC71" s="22" t="str">
        <f ca="1">IFERROR(VLOOKUP($AB71,OFFSET([4]characters!$A$1,0,0,COUNTA([4]characters!$A:$A),MATCH(AC$1,[4]characters!$1:$1,0)-MATCH("character_id",[4]characters!$1:$1,0)+1),MATCH(AC$1,[4]characters!$1:$1,0)-MATCH("character_id",[4]characters!$1:$1,0)+1,FALSE),"")</f>
        <v>マーメイド</v>
      </c>
      <c r="AD71" s="22">
        <f ca="1">IFERROR(VLOOKUP($AB71,OFFSET([4]characters!$A$1,0,0,COUNTA([4]characters!$A:$A),MATCH(AD$1,[4]characters!$1:$1,0)-MATCH("character_id",[4]characters!$1:$1,0)+1),MATCH(AD$1,[4]characters!$1:$1,0)-MATCH("character_id",[4]characters!$1:$1,0)+1,FALSE),"")</f>
        <v>3</v>
      </c>
      <c r="AE71" s="22" t="str">
        <f ca="1">IFERROR(VLOOKUP($AB71,OFFSET([4]characters!$A$1,0,0,COUNTA([4]characters!$A:$A),MATCH(AE$1,[4]characters!$1:$1,0)-MATCH("character_id",[4]characters!$1:$1,0)+1),MATCH(AE$1,[4]characters!$1:$1,0)-MATCH("character_id",[4]characters!$1:$1,0)+1,FALSE),"")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71" s="28">
        <v>1</v>
      </c>
      <c r="AG71" s="75">
        <f t="shared" ca="1" si="41"/>
        <v>3</v>
      </c>
      <c r="AH71" s="81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1</v>
      </c>
      <c r="AN71" s="28">
        <v>1</v>
      </c>
    </row>
    <row r="72" spans="1:40" ht="21" customHeight="1" x14ac:dyDescent="0.15">
      <c r="A72" s="78" t="str">
        <f ca="1">B72&amp;"_"&amp;C72&amp;"-"&amp;G72&amp;"/"&amp;L72&amp;"&lt;lv"&amp;R72&amp;"&gt;s"&amp;AA72</f>
        <v>11003_4-5/154&lt;lv30&gt;s3</v>
      </c>
      <c r="B72" s="82">
        <v>11003</v>
      </c>
      <c r="C72" s="83">
        <v>4</v>
      </c>
      <c r="D72" s="16" t="str">
        <f t="shared" si="39"/>
        <v>11003_4</v>
      </c>
      <c r="E72" s="22" t="str">
        <f ca="1">VLOOKUP($B72,OFFSET([2]quests!$A$1,0,0,COUNTA([2]quests!$A:$A),MATCH(E$1,[2]quests!$1:$1,0)-MATCH($B$1,[2]quests!$1:$1,0)+1),MATCH(E$1,[2]quests!$1:$1,0)-MATCH($B$1,[2]quests!$1:$1,0)+1,FALSE)</f>
        <v>【水曜限定】 青の素材</v>
      </c>
      <c r="F72" s="22" t="str">
        <f ca="1">VLOOKUP($D72,OFFSET([2]stages!$A$1,0,0,COUNTA([2]stages!$A:$A),MATCH(F$1,[2]stages!$2:$2,0)-MATCH($D$1,[2]stages!$2:$2,0)+1),MATCH(F$1,[2]stages!$2:$2,0)-MATCH($D$1,[2]stages!$2:$2,0)+1,FALSE)</f>
        <v>【上級】水のイモムシ</v>
      </c>
      <c r="G72" s="68">
        <v>5</v>
      </c>
      <c r="H72" s="16" t="str">
        <f t="shared" si="40"/>
        <v>11003_4-5</v>
      </c>
      <c r="I72" s="22" t="e">
        <v>#N/A</v>
      </c>
      <c r="J72" s="22" t="e">
        <v>#N/A</v>
      </c>
      <c r="K72" s="70" t="s">
        <v>217</v>
      </c>
      <c r="L72" s="70">
        <v>154</v>
      </c>
      <c r="M72" s="22" t="str">
        <f ca="1">VLOOKUP($L72,OFFSET([3]enemies!$A$1,0,0,COUNTA([3]enemies!$A:$A),MATCH(M$1,[3]enemies!$1:$1,0)-MATCH($L$1,[3]enemies!$1:$1,0)+1),MATCH(M$1,[3]enemies!$1:$1,0)-MATCH($L$1,[3]enemies!$1:$1,0)+1,FALSE)</f>
        <v>始末屋 ハンナ</v>
      </c>
      <c r="N72" s="22" t="str">
        <f ca="1">VLOOKUP($L72,OFFSET([3]enemies!$A$1,0,0,COUNTA([3]enemies!$A:$A),MATCH(N$1,[3]enemies!$1:$1,0)-MATCH($L$1,[3]enemies!$1:$1,0)+1),MATCH(N$1,[3]enemies!$1:$1,0)-MATCH($L$1,[3]enemies!$1:$1,0)+1,FALSE)</f>
        <v>blue</v>
      </c>
      <c r="O72" s="22" t="str">
        <f ca="1">VLOOKUP($L72,OFFSET([4]characters!$A$1,0,0,COUNTA([4]characters!$A:$A),MATCH(O$1,[4]characters!$1:$1,0)-MATCH($L$1,[4]characters!$1:$1,0)+1),MATCH(O$1,[4]characters!$1:$1,0)-MATCH($L$1,[4]characters!$1:$1,0)+1,FALSE)</f>
        <v>PremiumW</v>
      </c>
      <c r="P72" s="22" t="str">
        <f ca="1">VLOOKUP($L72,OFFSET([3]enemies!$A$1,0,0,COUNTA([3]enemies!$A:$A),MATCH(P$1,[3]enemies!$1:$1,0)-MATCH($L$1,[3]enemies!$1:$1,0)+1),MATCH(P$1,[3]enemies!$1:$1,0)-MATCH($L$1,[3]enemies!$1:$1,0)+1,FALSE)</f>
        <v>human</v>
      </c>
      <c r="Q72" s="22">
        <f ca="1">VLOOKUP($L72,OFFSET([3]enemies!$A$1,0,0,COUNTA([3]enemies!$A:$A),MATCH(Q$1,[3]enemies!$1:$1,0)-MATCH($L$1,[3]enemies!$1:$1,0)+1),MATCH(Q$1,[3]enemies!$1:$1,0)-MATCH($L$1,[3]enemies!$1:$1,0)+1,FALSE)</f>
        <v>20</v>
      </c>
      <c r="R72" s="79">
        <v>30</v>
      </c>
      <c r="S72" s="80">
        <v>1</v>
      </c>
      <c r="T72" s="80">
        <v>1</v>
      </c>
      <c r="U72" s="79">
        <v>0</v>
      </c>
      <c r="V72" s="22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72" s="22">
        <f ca="1">VLOOKUP($L72,OFFSET([3]enemies!$A$1,0,0,COUNTA([3]enemies!$A:$A),MATCH(W$1,[3]enemies!$1:$1,0)-MATCH($L$1,[3]enemies!$1:$1,0)+1),MATCH(W$1,[3]enemies!$1:$1,0)-MATCH($L$1,[3]enemies!$1:$1,0)+1,FALSE)</f>
        <v>154</v>
      </c>
      <c r="X72" s="81">
        <v>0</v>
      </c>
      <c r="Y72" s="81">
        <v>100</v>
      </c>
      <c r="Z72" s="81">
        <v>0</v>
      </c>
      <c r="AA72" s="22">
        <f ca="1">VLOOKUP($L72,OFFSET([3]enemies!$A$1,0,0,COUNTA([3]enemies!$A:$A),MATCH(AA$1,[3]enemies!$1:$1,0)-MATCH($L$1,[3]enemies!$1:$1,0)+1),MATCH(AA$1,[3]enemies!$1:$1,0)-MATCH($L$1,[3]enemies!$1:$1,0)+1,FALSE)</f>
        <v>3</v>
      </c>
      <c r="AB72" s="70">
        <v>154</v>
      </c>
      <c r="AC72" s="22" t="str">
        <f ca="1">IFERROR(VLOOKUP($AB72,OFFSET([4]characters!$A$1,0,0,COUNTA([4]characters!$A:$A),MATCH(AC$1,[4]characters!$1:$1,0)-MATCH("character_id",[4]characters!$1:$1,0)+1),MATCH(AC$1,[4]characters!$1:$1,0)-MATCH("character_id",[4]characters!$1:$1,0)+1,FALSE),"")</f>
        <v>始末屋 ハンナ</v>
      </c>
      <c r="AD72" s="22">
        <f ca="1">IFERROR(VLOOKUP($AB72,OFFSET([4]characters!$A$1,0,0,COUNTA([4]characters!$A:$A),MATCH(AD$1,[4]characters!$1:$1,0)-MATCH("character_id",[4]characters!$1:$1,0)+1),MATCH(AD$1,[4]characters!$1:$1,0)-MATCH("character_id",[4]characters!$1:$1,0)+1,FALSE),"")</f>
        <v>3</v>
      </c>
      <c r="AE72" s="22" t="str">
        <f ca="1">IFERROR(VLOOKUP($AB72,OFFSET([4]characters!$A$1,0,0,COUNTA([4]characters!$A:$A),MATCH(AE$1,[4]characters!$1:$1,0)-MATCH("character_id",[4]characters!$1:$1,0)+1),MATCH(AE$1,[4]characters!$1:$1,0)-MATCH("character_id",[4]characters!$1:$1,0)+1,FALSE),"")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72" s="28">
        <v>1</v>
      </c>
      <c r="AG72" s="75">
        <f t="shared" ca="1" si="41"/>
        <v>3</v>
      </c>
      <c r="AH72" s="81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1</v>
      </c>
      <c r="AN72" s="28">
        <v>1</v>
      </c>
    </row>
    <row r="73" spans="1:40" ht="21" customHeight="1" x14ac:dyDescent="0.15">
      <c r="A73" s="78" t="str">
        <f ca="1">B73&amp;"_"&amp;C73&amp;"-"&amp;G73&amp;"/"&amp;L73&amp;"&lt;lv"&amp;R73&amp;"&gt;s"&amp;AA73</f>
        <v>11003_4-5/837&lt;lv30&gt;s3</v>
      </c>
      <c r="B73" s="82">
        <v>11003</v>
      </c>
      <c r="C73" s="83">
        <v>4</v>
      </c>
      <c r="D73" s="16" t="str">
        <f t="shared" si="39"/>
        <v>11003_4</v>
      </c>
      <c r="E73" s="22" t="str">
        <f ca="1">VLOOKUP($B73,OFFSET([2]quests!$A$1,0,0,COUNTA([2]quests!$A:$A),MATCH(E$1,[2]quests!$1:$1,0)-MATCH($B$1,[2]quests!$1:$1,0)+1),MATCH(E$1,[2]quests!$1:$1,0)-MATCH($B$1,[2]quests!$1:$1,0)+1,FALSE)</f>
        <v>【水曜限定】 青の素材</v>
      </c>
      <c r="F73" s="22" t="str">
        <f ca="1">VLOOKUP($D73,OFFSET([2]stages!$A$1,0,0,COUNTA([2]stages!$A:$A),MATCH(F$1,[2]stages!$2:$2,0)-MATCH($D$1,[2]stages!$2:$2,0)+1),MATCH(F$1,[2]stages!$2:$2,0)-MATCH($D$1,[2]stages!$2:$2,0)+1,FALSE)</f>
        <v>【上級】水のイモムシ</v>
      </c>
      <c r="G73" s="68">
        <v>5</v>
      </c>
      <c r="H73" s="16" t="str">
        <f t="shared" si="40"/>
        <v>11003_4-5</v>
      </c>
      <c r="I73" s="22" t="e">
        <v>#N/A</v>
      </c>
      <c r="J73" s="22" t="e">
        <v>#N/A</v>
      </c>
      <c r="K73" s="70" t="s">
        <v>217</v>
      </c>
      <c r="L73" s="70">
        <v>837</v>
      </c>
      <c r="M73" s="22" t="str">
        <f ca="1">VLOOKUP($L73,OFFSET([3]enemies!$A$1,0,0,COUNTA([3]enemies!$A:$A),MATCH(M$1,[3]enemies!$1:$1,0)-MATCH($L$1,[3]enemies!$1:$1,0)+1),MATCH(M$1,[3]enemies!$1:$1,0)-MATCH($L$1,[3]enemies!$1:$1,0)+1,FALSE)</f>
        <v>リトルハンプティ</v>
      </c>
      <c r="N73" s="22" t="str">
        <f ca="1">VLOOKUP($L73,OFFSET([3]enemies!$A$1,0,0,COUNTA([3]enemies!$A:$A),MATCH(N$1,[3]enemies!$1:$1,0)-MATCH($L$1,[3]enemies!$1:$1,0)+1),MATCH(N$1,[3]enemies!$1:$1,0)-MATCH($L$1,[3]enemies!$1:$1,0)+1,FALSE)</f>
        <v>yellow</v>
      </c>
      <c r="O73" s="22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22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22">
        <f ca="1">VLOOKUP($L73,OFFSET([3]enemies!$A$1,0,0,COUNTA([3]enemies!$A:$A),MATCH(Q$1,[3]enemies!$1:$1,0)-MATCH($L$1,[3]enemies!$1:$1,0)+1),MATCH(Q$1,[3]enemies!$1:$1,0)-MATCH($L$1,[3]enemies!$1:$1,0)+1,FALSE)</f>
        <v>60</v>
      </c>
      <c r="R73" s="6">
        <v>30</v>
      </c>
      <c r="S73" s="30">
        <v>10</v>
      </c>
      <c r="T73" s="30">
        <v>30</v>
      </c>
      <c r="U73" s="6">
        <v>0</v>
      </c>
      <c r="V73" s="22" t="str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3" s="22">
        <f ca="1">VLOOKUP($L73,OFFSET([3]enemies!$A$1,0,0,COUNTA([3]enemies!$A:$A),MATCH(W$1,[3]enemies!$1:$1,0)-MATCH($L$1,[3]enemies!$1:$1,0)+1),MATCH(W$1,[3]enemies!$1:$1,0)-MATCH($L$1,[3]enemies!$1:$1,0)+1,FALSE)</f>
        <v>0</v>
      </c>
      <c r="X73" s="81">
        <v>0</v>
      </c>
      <c r="Y73" s="81">
        <v>10</v>
      </c>
      <c r="Z73" s="81">
        <v>1</v>
      </c>
      <c r="AA73" s="22">
        <f ca="1">VLOOKUP($L73,OFFSET([3]enemies!$A$1,0,0,COUNTA([3]enemies!$A:$A),MATCH(AA$1,[3]enemies!$1:$1,0)-MATCH($L$1,[3]enemies!$1:$1,0)+1),MATCH(AA$1,[3]enemies!$1:$1,0)-MATCH($L$1,[3]enemies!$1:$1,0)+1,FALSE)</f>
        <v>3</v>
      </c>
      <c r="AB73" s="70">
        <v>837</v>
      </c>
      <c r="AC73" s="22" t="str">
        <f ca="1">IFERROR(VLOOKUP($AB73,OFFSET([4]characters!$A$1,0,0,COUNTA([4]characters!$A:$A),MATCH(AC$1,[4]characters!$1:$1,0)-MATCH("character_id",[4]characters!$1:$1,0)+1),MATCH(AC$1,[4]characters!$1:$1,0)-MATCH("character_id",[4]characters!$1:$1,0)+1,FALSE),"")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73" s="22">
        <f ca="1">IFERROR(VLOOKUP($AB73,OFFSET([4]characters!$A$1,0,0,COUNTA([4]characters!$A:$A),MATCH(AD$1,[4]characters!$1:$1,0)-MATCH("character_id",[4]characters!$1:$1,0)+1),MATCH(AD$1,[4]characters!$1:$1,0)-MATCH("character_id",[4]characters!$1:$1,0)+1,FALSE),"")</f>
        <v>6</v>
      </c>
      <c r="AE73" s="22" t="str">
        <f ca="1">IFERROR(VLOOKUP($AB73,OFFSET([4]characters!$A$1,0,0,COUNTA([4]characters!$A:$A),MATCH(AE$1,[4]characters!$1:$1,0)-MATCH("character_id",[4]characters!$1:$1,0)+1),MATCH(AE$1,[4]characters!$1:$1,0)-MATCH("character_id",[4]characters!$1:$1,0)+1,FALSE),"")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3" s="28">
        <v>1</v>
      </c>
      <c r="AG73" s="75">
        <f t="shared" ca="1" si="41"/>
        <v>6</v>
      </c>
      <c r="AH73" s="81">
        <v>33</v>
      </c>
      <c r="AI73" s="28">
        <v>0</v>
      </c>
      <c r="AJ73" s="28">
        <v>0</v>
      </c>
      <c r="AK73" s="28">
        <v>0</v>
      </c>
      <c r="AL73" s="28">
        <v>0</v>
      </c>
      <c r="AM73" s="28">
        <v>1</v>
      </c>
      <c r="AN73" s="28">
        <v>1</v>
      </c>
    </row>
    <row r="74" spans="1:40" ht="21" customHeight="1" x14ac:dyDescent="0.15">
      <c r="A74" s="17" t="str">
        <f t="shared" ref="A74:A92" ca="1" si="42">B74&amp;"_"&amp;C74&amp;"-"&amp;G74&amp;"/"&amp;L74&amp;"&lt;lv"&amp;R74&amp;"&gt;s"&amp;AA74</f>
        <v>11004_4-1/107&lt;lv30&gt;s1</v>
      </c>
      <c r="B74" s="84">
        <v>11004</v>
      </c>
      <c r="C74" s="85">
        <v>4</v>
      </c>
      <c r="D74" s="16" t="str">
        <f t="shared" ref="D74:D96" si="43">B74&amp;"_"&amp;C74</f>
        <v>11004_4</v>
      </c>
      <c r="E74" s="5" t="str">
        <f ca="1">VLOOKUP($B74,OFFSET([2]quests!$A$1,0,0,COUNTA([2]quests!$A:$A),MATCH(E$1,[2]quests!$1:$1,0)-MATCH($B$1,[2]quests!$1:$1,0)+1),MATCH(E$1,[2]quests!$1:$1,0)-MATCH($B$1,[2]quests!$1:$1,0)+1,FALSE)</f>
        <v>【木曜限定】 緑の素材</v>
      </c>
      <c r="F74" s="5" t="str">
        <f ca="1">VLOOKUP($D74,OFFSET([2]stages!$A$1,0,0,COUNTA([2]stages!$A:$A),MATCH(F$1,[2]stages!$2:$2,0)-MATCH($D$1,[2]stages!$2:$2,0)+1),MATCH(F$1,[2]stages!$2:$2,0)-MATCH($D$1,[2]stages!$2:$2,0)+1,FALSE)</f>
        <v xml:space="preserve">【上級】樹のイモムシ </v>
      </c>
      <c r="G74" s="68">
        <v>1</v>
      </c>
      <c r="H74" s="16" t="str">
        <f t="shared" ref="H74:H96" si="44">B74&amp;"_"&amp;C74&amp;"-"&amp;G74</f>
        <v>11004_4-1</v>
      </c>
      <c r="I74" s="5" t="e">
        <v>#N/A</v>
      </c>
      <c r="J74" s="5" t="e">
        <v>#N/A</v>
      </c>
      <c r="K74" s="70" t="s">
        <v>217</v>
      </c>
      <c r="L74" s="70">
        <v>107</v>
      </c>
      <c r="M74" s="20" t="str">
        <f ca="1">VLOOKUP($L74,OFFSET([3]enemies!$A$1,0,0,COUNTA([3]enemies!$A:$A),MATCH(M$1,[3]enemies!$1:$1,0)-MATCH($L$1,[3]enemies!$1:$1,0)+1),MATCH(M$1,[3]enemies!$1:$1,0)-MATCH($L$1,[3]enemies!$1:$1,0)+1,FALSE)</f>
        <v>グリーンキャタップ</v>
      </c>
      <c r="N74" s="20" t="str">
        <f ca="1">VLOOKUP($L74,OFFSET([3]enemies!$A$1,0,0,COUNTA([3]enemies!$A:$A),MATCH(N$1,[3]enemies!$1:$1,0)-MATCH($L$1,[3]enemies!$1:$1,0)+1),MATCH(N$1,[3]enemies!$1:$1,0)-MATCH($L$1,[3]enemies!$1:$1,0)+1,FALSE)</f>
        <v>green</v>
      </c>
      <c r="O74" s="22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20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20">
        <f ca="1">VLOOKUP($L74,OFFSET([3]enemies!$A$1,0,0,COUNTA([3]enemies!$A:$A),MATCH(Q$1,[3]enemies!$1:$1,0)-MATCH($L$1,[3]enemies!$1:$1,0)+1),MATCH(Q$1,[3]enemies!$1:$1,0)-MATCH($L$1,[3]enemies!$1:$1,0)+1,FALSE)</f>
        <v>15</v>
      </c>
      <c r="R74" s="6">
        <v>30</v>
      </c>
      <c r="S74" s="30">
        <v>2</v>
      </c>
      <c r="T74" s="30">
        <v>1</v>
      </c>
      <c r="U74" s="6">
        <v>0</v>
      </c>
      <c r="V74" s="5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5">
        <f ca="1">VLOOKUP($L74,OFFSET([3]enemies!$A$1,0,0,COUNTA([3]enemies!$A:$A),MATCH(W$1,[3]enemies!$1:$1,0)-MATCH($L$1,[3]enemies!$1:$1,0)+1),MATCH(W$1,[3]enemies!$1:$1,0)-MATCH($L$1,[3]enemies!$1:$1,0)+1,FALSE)</f>
        <v>0</v>
      </c>
      <c r="X74" s="7">
        <v>1</v>
      </c>
      <c r="Y74" s="7">
        <v>100</v>
      </c>
      <c r="Z74" s="7">
        <v>1</v>
      </c>
      <c r="AA74" s="20">
        <f ca="1">VLOOKUP($L74,OFFSET([3]enemies!$A$1,0,0,COUNTA([3]enemies!$A:$A),MATCH(AA$1,[3]enemies!$1:$1,0)-MATCH($L$1,[3]enemies!$1:$1,0)+1),MATCH(AA$1,[3]enemies!$1:$1,0)-MATCH($L$1,[3]enemies!$1:$1,0)+1,FALSE)</f>
        <v>1</v>
      </c>
      <c r="AB74" s="70">
        <v>107</v>
      </c>
      <c r="AC74" s="5" t="str">
        <f ca="1">IFERROR(VLOOKUP($AB74,OFFSET([4]characters!$A$1,0,0,COUNTA([4]characters!$A:$A),MATCH(AC$1,[4]characters!$1:$1,0)-MATCH("character_id",[4]characters!$1:$1,0)+1),MATCH(AC$1,[4]characters!$1:$1,0)-MATCH("character_id",[4]characters!$1:$1,0)+1,FALSE),"")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74" s="5">
        <f ca="1">IFERROR(VLOOKUP($AB74,OFFSET([4]characters!$A$1,0,0,COUNTA([4]characters!$A:$A),MATCH(AD$1,[4]characters!$1:$1,0)-MATCH("character_id",[4]characters!$1:$1,0)+1),MATCH(AD$1,[4]characters!$1:$1,0)-MATCH("character_id",[4]characters!$1:$1,0)+1,FALSE),"")</f>
        <v>4</v>
      </c>
      <c r="AE74" s="5" t="str">
        <f ca="1">IFERROR(VLOOKUP($AB74,OFFSET([4]characters!$A$1,0,0,COUNTA([4]characters!$A:$A),MATCH(AE$1,[4]characters!$1:$1,0)-MATCH("character_id",[4]characters!$1:$1,0)+1),MATCH(AE$1,[4]characters!$1:$1,0)-MATCH("character_id",[4]characters!$1:$1,0)+1,FALSE),"")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4" s="28">
        <v>1</v>
      </c>
      <c r="AG74" s="75">
        <f t="shared" ref="AG74:AG96" ca="1" si="45">AD74</f>
        <v>4</v>
      </c>
      <c r="AH74" s="130">
        <v>50</v>
      </c>
      <c r="AI74" s="28">
        <v>0</v>
      </c>
      <c r="AJ74" s="28">
        <v>0</v>
      </c>
      <c r="AK74" s="28">
        <v>0</v>
      </c>
      <c r="AL74" s="28">
        <v>0</v>
      </c>
      <c r="AM74" s="28">
        <v>1</v>
      </c>
      <c r="AN74" s="28">
        <v>1</v>
      </c>
    </row>
    <row r="75" spans="1:40" ht="21" customHeight="1" x14ac:dyDescent="0.15">
      <c r="A75" s="17" t="str">
        <f t="shared" ca="1" si="42"/>
        <v>11004_4-1/35&lt;lv35&gt;s4</v>
      </c>
      <c r="B75" s="84">
        <v>11004</v>
      </c>
      <c r="C75" s="85">
        <v>4</v>
      </c>
      <c r="D75" s="16" t="str">
        <f t="shared" si="43"/>
        <v>11004_4</v>
      </c>
      <c r="E75" s="5" t="str">
        <f ca="1">VLOOKUP($B75,OFFSET([2]quests!$A$1,0,0,COUNTA([2]quests!$A:$A),MATCH(E$1,[2]quests!$1:$1,0)-MATCH($B$1,[2]quests!$1:$1,0)+1),MATCH(E$1,[2]quests!$1:$1,0)-MATCH($B$1,[2]quests!$1:$1,0)+1,FALSE)</f>
        <v>【木曜限定】 緑の素材</v>
      </c>
      <c r="F75" s="5" t="str">
        <f ca="1">VLOOKUP($D75,OFFSET([2]stages!$A$1,0,0,COUNTA([2]stages!$A:$A),MATCH(F$1,[2]stages!$2:$2,0)-MATCH($D$1,[2]stages!$2:$2,0)+1),MATCH(F$1,[2]stages!$2:$2,0)-MATCH($D$1,[2]stages!$2:$2,0)+1,FALSE)</f>
        <v xml:space="preserve">【上級】樹のイモムシ </v>
      </c>
      <c r="G75" s="68">
        <v>1</v>
      </c>
      <c r="H75" s="16" t="str">
        <f t="shared" si="44"/>
        <v>11004_4-1</v>
      </c>
      <c r="I75" s="5" t="e">
        <v>#N/A</v>
      </c>
      <c r="J75" s="5" t="e">
        <v>#N/A</v>
      </c>
      <c r="K75" s="70" t="s">
        <v>217</v>
      </c>
      <c r="L75" s="70">
        <v>35</v>
      </c>
      <c r="M75" s="20" t="str">
        <f ca="1">VLOOKUP($L75,OFFSET([3]enemies!$A$1,0,0,COUNTA([3]enemies!$A:$A),MATCH(M$1,[3]enemies!$1:$1,0)-MATCH($L$1,[3]enemies!$1:$1,0)+1),MATCH(M$1,[3]enemies!$1:$1,0)-MATCH($L$1,[3]enemies!$1:$1,0)+1,FALSE)</f>
        <v>F2</v>
      </c>
      <c r="N75" s="20" t="str">
        <f ca="1">VLOOKUP($L75,OFFSET([3]enemies!$A$1,0,0,COUNTA([3]enemies!$A:$A),MATCH(N$1,[3]enemies!$1:$1,0)-MATCH($L$1,[3]enemies!$1:$1,0)+1),MATCH(N$1,[3]enemies!$1:$1,0)-MATCH($L$1,[3]enemies!$1:$1,0)+1,FALSE)</f>
        <v>green</v>
      </c>
      <c r="O75" s="22" t="str">
        <f ca="1">VLOOKUP($L75,OFFSET([4]characters!$A$1,0,0,COUNTA([4]characters!$A:$A),MATCH(O$1,[4]characters!$1:$1,0)-MATCH($L$1,[4]characters!$1:$1,0)+1),MATCH(O$1,[4]characters!$1:$1,0)-MATCH($L$1,[4]characters!$1:$1,0)+1,FALSE)</f>
        <v>Drop1S</v>
      </c>
      <c r="P75" s="20" t="str">
        <f ca="1">VLOOKUP($L75,OFFSET([3]enemies!$A$1,0,0,COUNTA([3]enemies!$A:$A),MATCH(P$1,[3]enemies!$1:$1,0)-MATCH($L$1,[3]enemies!$1:$1,0)+1),MATCH(P$1,[3]enemies!$1:$1,0)-MATCH($L$1,[3]enemies!$1:$1,0)+1,FALSE)</f>
        <v>machine</v>
      </c>
      <c r="Q75" s="20">
        <f ca="1">VLOOKUP($L75,OFFSET([3]enemies!$A$1,0,0,COUNTA([3]enemies!$A:$A),MATCH(Q$1,[3]enemies!$1:$1,0)-MATCH($L$1,[3]enemies!$1:$1,0)+1),MATCH(Q$1,[3]enemies!$1:$1,0)-MATCH($L$1,[3]enemies!$1:$1,0)+1,FALSE)</f>
        <v>15</v>
      </c>
      <c r="R75" s="6">
        <v>35</v>
      </c>
      <c r="S75" s="30">
        <v>1</v>
      </c>
      <c r="T75" s="30">
        <v>1</v>
      </c>
      <c r="U75" s="6">
        <v>0</v>
      </c>
      <c r="V75" s="5" t="str">
        <f ca="1">VLOOKUP($W75,OFFSET([5]enemy_skill_sets!$B$1,0,0,COUNTA([5]enemy_skill_sets!$B:$B),MATCH(M$1,[5]enemy_skill_sets!$1:$1,0)-MATCH($W$1,[5]enemy_skill_sets!$1:$1,0)+2),MATCH(M$1,[5]enemy_skill_sets!$1:$1,0)-MATCH($W$1,[5]enemy_skill_sets!$1:$1,0)+2,FALSE)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75" s="5">
        <f ca="1">VLOOKUP($L75,OFFSET([3]enemies!$A$1,0,0,COUNTA([3]enemies!$A:$A),MATCH(W$1,[3]enemies!$1:$1,0)-MATCH($L$1,[3]enemies!$1:$1,0)+1),MATCH(W$1,[3]enemies!$1:$1,0)-MATCH($L$1,[3]enemies!$1:$1,0)+1,FALSE)</f>
        <v>35</v>
      </c>
      <c r="X75" s="7">
        <v>0</v>
      </c>
      <c r="Y75" s="7">
        <v>100</v>
      </c>
      <c r="Z75" s="7">
        <v>0</v>
      </c>
      <c r="AA75" s="20">
        <f ca="1">VLOOKUP($L75,OFFSET([3]enemies!$A$1,0,0,COUNTA([3]enemies!$A:$A),MATCH(AA$1,[3]enemies!$1:$1,0)-MATCH($L$1,[3]enemies!$1:$1,0)+1),MATCH(AA$1,[3]enemies!$1:$1,0)-MATCH($L$1,[3]enemies!$1:$1,0)+1,FALSE)</f>
        <v>4</v>
      </c>
      <c r="AB75" s="70">
        <v>35</v>
      </c>
      <c r="AC75" s="5" t="str">
        <f ca="1">IFERROR(VLOOKUP($AB75,OFFSET([4]characters!$A$1,0,0,COUNTA([4]characters!$A:$A),MATCH(AC$1,[4]characters!$1:$1,0)-MATCH("character_id",[4]characters!$1:$1,0)+1),MATCH(AC$1,[4]characters!$1:$1,0)-MATCH("character_id",[4]characters!$1:$1,0)+1,FALSE),"")</f>
        <v>F2</v>
      </c>
      <c r="AD75" s="5">
        <f ca="1">IFERROR(VLOOKUP($AB75,OFFSET([4]characters!$A$1,0,0,COUNTA([4]characters!$A:$A),MATCH(AD$1,[4]characters!$1:$1,0)-MATCH("character_id",[4]characters!$1:$1,0)+1),MATCH(AD$1,[4]characters!$1:$1,0)-MATCH("character_id",[4]characters!$1:$1,0)+1,FALSE),"")</f>
        <v>2</v>
      </c>
      <c r="AE75" s="5" t="str">
        <f ca="1">IFERROR(VLOOKUP($AB75,OFFSET([4]characters!$A$1,0,0,COUNTA([4]characters!$A:$A),MATCH(AE$1,[4]characters!$1:$1,0)-MATCH("character_id",[4]characters!$1:$1,0)+1),MATCH(AE$1,[4]characters!$1:$1,0)-MATCH("character_id",[4]characters!$1:$1,0)+1,FALSE),"")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75" s="28">
        <v>1</v>
      </c>
      <c r="AG75" s="75">
        <f t="shared" ca="1" si="45"/>
        <v>2</v>
      </c>
      <c r="AH75" s="9">
        <v>0</v>
      </c>
      <c r="AI75" s="28">
        <v>0</v>
      </c>
      <c r="AJ75" s="28">
        <v>0</v>
      </c>
      <c r="AK75" s="28">
        <v>0</v>
      </c>
      <c r="AL75" s="28">
        <v>0</v>
      </c>
      <c r="AM75" s="28">
        <v>1</v>
      </c>
      <c r="AN75" s="28">
        <v>1</v>
      </c>
    </row>
    <row r="76" spans="1:40" ht="21" customHeight="1" x14ac:dyDescent="0.15">
      <c r="A76" s="17" t="str">
        <f t="shared" ca="1" si="42"/>
        <v>11004_4-1/27&lt;lv35&gt;s1</v>
      </c>
      <c r="B76" s="84">
        <v>11004</v>
      </c>
      <c r="C76" s="85">
        <v>4</v>
      </c>
      <c r="D76" s="16" t="str">
        <f t="shared" si="43"/>
        <v>11004_4</v>
      </c>
      <c r="E76" s="5" t="str">
        <f ca="1">VLOOKUP($B76,OFFSET([2]quests!$A$1,0,0,COUNTA([2]quests!$A:$A),MATCH(E$1,[2]quests!$1:$1,0)-MATCH($B$1,[2]quests!$1:$1,0)+1),MATCH(E$1,[2]quests!$1:$1,0)-MATCH($B$1,[2]quests!$1:$1,0)+1,FALSE)</f>
        <v>【木曜限定】 緑の素材</v>
      </c>
      <c r="F76" s="5" t="str">
        <f ca="1">VLOOKUP($D76,OFFSET([2]stages!$A$1,0,0,COUNTA([2]stages!$A:$A),MATCH(F$1,[2]stages!$2:$2,0)-MATCH($D$1,[2]stages!$2:$2,0)+1),MATCH(F$1,[2]stages!$2:$2,0)-MATCH($D$1,[2]stages!$2:$2,0)+1,FALSE)</f>
        <v xml:space="preserve">【上級】樹のイモムシ </v>
      </c>
      <c r="G76" s="68">
        <v>1</v>
      </c>
      <c r="H76" s="16" t="str">
        <f t="shared" si="44"/>
        <v>11004_4-1</v>
      </c>
      <c r="I76" s="5" t="e">
        <v>#N/A</v>
      </c>
      <c r="J76" s="5" t="e">
        <v>#N/A</v>
      </c>
      <c r="K76" s="70" t="s">
        <v>217</v>
      </c>
      <c r="L76" s="70">
        <v>27</v>
      </c>
      <c r="M76" s="20" t="str">
        <f ca="1">VLOOKUP($L76,OFFSET([3]enemies!$A$1,0,0,COUNTA([3]enemies!$A:$A),MATCH(M$1,[3]enemies!$1:$1,0)-MATCH($L$1,[3]enemies!$1:$1,0)+1),MATCH(M$1,[3]enemies!$1:$1,0)-MATCH($L$1,[3]enemies!$1:$1,0)+1,FALSE)</f>
        <v>パトライン</v>
      </c>
      <c r="N76" s="20" t="str">
        <f ca="1">VLOOKUP($L76,OFFSET([3]enemies!$A$1,0,0,COUNTA([3]enemies!$A:$A),MATCH(N$1,[3]enemies!$1:$1,0)-MATCH($L$1,[3]enemies!$1:$1,0)+1),MATCH(N$1,[3]enemies!$1:$1,0)-MATCH($L$1,[3]enemies!$1:$1,0)+1,FALSE)</f>
        <v>green</v>
      </c>
      <c r="O76" s="22" t="str">
        <f ca="1">VLOOKUP($L76,OFFSET([4]characters!$A$1,0,0,COUNTA([4]characters!$A:$A),MATCH(O$1,[4]characters!$1:$1,0)-MATCH($L$1,[4]characters!$1:$1,0)+1),MATCH(O$1,[4]characters!$1:$1,0)-MATCH($L$1,[4]characters!$1:$1,0)+1,FALSE)</f>
        <v>Drop1N</v>
      </c>
      <c r="P76" s="20" t="str">
        <f ca="1">VLOOKUP($L76,OFFSET([3]enemies!$A$1,0,0,COUNTA([3]enemies!$A:$A),MATCH(P$1,[3]enemies!$1:$1,0)-MATCH($L$1,[3]enemies!$1:$1,0)+1),MATCH(P$1,[3]enemies!$1:$1,0)-MATCH($L$1,[3]enemies!$1:$1,0)+1,FALSE)</f>
        <v>machine</v>
      </c>
      <c r="Q76" s="20">
        <f ca="1">VLOOKUP($L76,OFFSET([3]enemies!$A$1,0,0,COUNTA([3]enemies!$A:$A),MATCH(Q$1,[3]enemies!$1:$1,0)-MATCH($L$1,[3]enemies!$1:$1,0)+1),MATCH(Q$1,[3]enemies!$1:$1,0)-MATCH($L$1,[3]enemies!$1:$1,0)+1,FALSE)</f>
        <v>15</v>
      </c>
      <c r="R76" s="6">
        <v>35</v>
      </c>
      <c r="S76" s="30">
        <v>1</v>
      </c>
      <c r="T76" s="30">
        <v>1</v>
      </c>
      <c r="U76" s="6">
        <v>0</v>
      </c>
      <c r="V76" s="5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5">
        <f ca="1">VLOOKUP($L76,OFFSET([3]enemies!$A$1,0,0,COUNTA([3]enemies!$A:$A),MATCH(W$1,[3]enemies!$1:$1,0)-MATCH($L$1,[3]enemies!$1:$1,0)+1),MATCH(W$1,[3]enemies!$1:$1,0)-MATCH($L$1,[3]enemies!$1:$1,0)+1,FALSE)</f>
        <v>0</v>
      </c>
      <c r="X76" s="7">
        <v>0</v>
      </c>
      <c r="Y76" s="7">
        <v>100</v>
      </c>
      <c r="Z76" s="7">
        <v>0</v>
      </c>
      <c r="AA76" s="20">
        <f ca="1">VLOOKUP($L76,OFFSET([3]enemies!$A$1,0,0,COUNTA([3]enemies!$A:$A),MATCH(AA$1,[3]enemies!$1:$1,0)-MATCH($L$1,[3]enemies!$1:$1,0)+1),MATCH(AA$1,[3]enemies!$1:$1,0)-MATCH($L$1,[3]enemies!$1:$1,0)+1,FALSE)</f>
        <v>1</v>
      </c>
      <c r="AB76" s="70">
        <v>27</v>
      </c>
      <c r="AC76" s="5" t="str">
        <f ca="1">IFERROR(VLOOKUP($AB76,OFFSET([4]characters!$A$1,0,0,COUNTA([4]characters!$A:$A),MATCH(AC$1,[4]characters!$1:$1,0)-MATCH("character_id",[4]characters!$1:$1,0)+1),MATCH(AC$1,[4]characters!$1:$1,0)-MATCH("character_id",[4]characters!$1:$1,0)+1,FALSE),"")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76" s="5">
        <f ca="1">IFERROR(VLOOKUP($AB76,OFFSET([4]characters!$A$1,0,0,COUNTA([4]characters!$A:$A),MATCH(AD$1,[4]characters!$1:$1,0)-MATCH("character_id",[4]characters!$1:$1,0)+1),MATCH(AD$1,[4]characters!$1:$1,0)-MATCH("character_id",[4]characters!$1:$1,0)+1,FALSE),"")</f>
        <v>1</v>
      </c>
      <c r="AE76" s="5" t="str">
        <f ca="1">IFERROR(VLOOKUP($AB76,OFFSET([4]characters!$A$1,0,0,COUNTA([4]characters!$A:$A),MATCH(AE$1,[4]characters!$1:$1,0)-MATCH("character_id",[4]characters!$1:$1,0)+1),MATCH(AE$1,[4]characters!$1:$1,0)-MATCH("character_id",[4]characters!$1:$1,0)+1,FALSE),"")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76" s="28">
        <v>1</v>
      </c>
      <c r="AG76" s="75">
        <f t="shared" ca="1" si="45"/>
        <v>1</v>
      </c>
      <c r="AH76" s="9">
        <v>0</v>
      </c>
      <c r="AI76" s="28">
        <v>0</v>
      </c>
      <c r="AJ76" s="28">
        <v>0</v>
      </c>
      <c r="AK76" s="28">
        <v>0</v>
      </c>
      <c r="AL76" s="28">
        <v>0</v>
      </c>
      <c r="AM76" s="28">
        <v>1</v>
      </c>
      <c r="AN76" s="28">
        <v>1</v>
      </c>
    </row>
    <row r="77" spans="1:40" ht="21" customHeight="1" x14ac:dyDescent="0.15">
      <c r="A77" s="17" t="str">
        <f t="shared" ca="1" si="42"/>
        <v>11004_4-1/336&lt;lv1&gt;s1</v>
      </c>
      <c r="B77" s="84">
        <v>11004</v>
      </c>
      <c r="C77" s="85">
        <v>4</v>
      </c>
      <c r="D77" s="16" t="str">
        <f t="shared" si="43"/>
        <v>11004_4</v>
      </c>
      <c r="E77" s="5" t="str">
        <f ca="1">VLOOKUP($B77,OFFSET([2]quests!$A$1,0,0,COUNTA([2]quests!$A:$A),MATCH(E$1,[2]quests!$1:$1,0)-MATCH($B$1,[2]quests!$1:$1,0)+1),MATCH(E$1,[2]quests!$1:$1,0)-MATCH($B$1,[2]quests!$1:$1,0)+1,FALSE)</f>
        <v>【木曜限定】 緑の素材</v>
      </c>
      <c r="F77" s="5" t="str">
        <f ca="1">VLOOKUP($D77,OFFSET([2]stages!$A$1,0,0,COUNTA([2]stages!$A:$A),MATCH(F$1,[2]stages!$2:$2,0)-MATCH($D$1,[2]stages!$2:$2,0)+1),MATCH(F$1,[2]stages!$2:$2,0)-MATCH($D$1,[2]stages!$2:$2,0)+1,FALSE)</f>
        <v xml:space="preserve">【上級】樹のイモムシ </v>
      </c>
      <c r="G77" s="68">
        <v>1</v>
      </c>
      <c r="H77" s="16" t="str">
        <f t="shared" si="44"/>
        <v>11004_4-1</v>
      </c>
      <c r="I77" s="5" t="e">
        <v>#N/A</v>
      </c>
      <c r="J77" s="5" t="e">
        <v>#N/A</v>
      </c>
      <c r="K77" s="70" t="s">
        <v>217</v>
      </c>
      <c r="L77" s="70">
        <v>336</v>
      </c>
      <c r="M77" s="20" t="str">
        <f ca="1">VLOOKUP($L77,OFFSET([3]enemies!$A$1,0,0,COUNTA([3]enemies!$A:$A),MATCH(M$1,[3]enemies!$1:$1,0)-MATCH($L$1,[3]enemies!$1:$1,0)+1),MATCH(M$1,[3]enemies!$1:$1,0)-MATCH($L$1,[3]enemies!$1:$1,0)+1,FALSE)</f>
        <v>森のメタルピヨピヨ</v>
      </c>
      <c r="N77" s="20" t="str">
        <f ca="1">VLOOKUP($L77,OFFSET([3]enemies!$A$1,0,0,COUNTA([3]enemies!$A:$A),MATCH(N$1,[3]enemies!$1:$1,0)-MATCH($L$1,[3]enemies!$1:$1,0)+1),MATCH(N$1,[3]enemies!$1:$1,0)-MATCH($L$1,[3]enemies!$1:$1,0)+1,FALSE)</f>
        <v>green</v>
      </c>
      <c r="O77" s="22" t="str">
        <f ca="1">VLOOKUP($L77,OFFSET([4]characters!$A$1,0,0,COUNTA([4]characters!$A:$A),MATCH(O$1,[4]characters!$1:$1,0)-MATCH($L$1,[4]characters!$1:$1,0)+1),MATCH(O$1,[4]characters!$1:$1,0)-MATCH($L$1,[4]characters!$1:$1,0)+1,FALSE)</f>
        <v>Material</v>
      </c>
      <c r="P77" s="20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20">
        <f ca="1">VLOOKUP($L77,OFFSET([3]enemies!$A$1,0,0,COUNTA([3]enemies!$A:$A),MATCH(Q$1,[3]enemies!$1:$1,0)-MATCH($L$1,[3]enemies!$1:$1,0)+1),MATCH(Q$1,[3]enemies!$1:$1,0)-MATCH($L$1,[3]enemies!$1:$1,0)+1,FALSE)</f>
        <v>15</v>
      </c>
      <c r="R77" s="6">
        <v>1</v>
      </c>
      <c r="S77" s="30">
        <v>1</v>
      </c>
      <c r="T77" s="30">
        <v>1</v>
      </c>
      <c r="U77" s="6">
        <v>0</v>
      </c>
      <c r="V77" s="5" t="str">
        <f ca="1">VLOOKUP($W77,OFFSET([5]enemy_skill_sets!$B$1,0,0,COUNTA([5]enemy_skill_sets!$B:$B),MATCH(M$1,[5]enemy_skill_sets!$1:$1,0)-MATCH($W$1,[5]enemy_skill_sets!$1:$1,0)+2),MATCH(M$1,[5]enemy_skill_sets!$1:$1,0)-MATCH($W$1,[5]enemy_skill_sets!$1:$1,0)+2,FALSE)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7" s="5">
        <f ca="1">VLOOKUP($L77,OFFSET([3]enemies!$A$1,0,0,COUNTA([3]enemies!$A:$A),MATCH(W$1,[3]enemies!$1:$1,0)-MATCH($L$1,[3]enemies!$1:$1,0)+1),MATCH(W$1,[3]enemies!$1:$1,0)-MATCH($L$1,[3]enemies!$1:$1,0)+1,FALSE)</f>
        <v>0</v>
      </c>
      <c r="X77" s="7">
        <v>0</v>
      </c>
      <c r="Y77" s="7">
        <v>30</v>
      </c>
      <c r="Z77" s="7">
        <v>0</v>
      </c>
      <c r="AA77" s="20">
        <f ca="1">VLOOKUP($L77,OFFSET([3]enemies!$A$1,0,0,COUNTA([3]enemies!$A:$A),MATCH(AA$1,[3]enemies!$1:$1,0)-MATCH($L$1,[3]enemies!$1:$1,0)+1),MATCH(AA$1,[3]enemies!$1:$1,0)-MATCH($L$1,[3]enemies!$1:$1,0)+1,FALSE)</f>
        <v>1</v>
      </c>
      <c r="AB77" s="70">
        <v>336</v>
      </c>
      <c r="AC77" s="5" t="str">
        <f ca="1">IFERROR(VLOOKUP($AB77,OFFSET([4]characters!$A$1,0,0,COUNTA([4]characters!$A:$A),MATCH(AC$1,[4]characters!$1:$1,0)-MATCH("character_id",[4]characters!$1:$1,0)+1),MATCH(AC$1,[4]characters!$1:$1,0)-MATCH("character_id",[4]characters!$1:$1,0)+1,FALSE),"")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77" s="5">
        <f ca="1">IFERROR(VLOOKUP($AB77,OFFSET([4]characters!$A$1,0,0,COUNTA([4]characters!$A:$A),MATCH(AD$1,[4]characters!$1:$1,0)-MATCH("character_id",[4]characters!$1:$1,0)+1),MATCH(AD$1,[4]characters!$1:$1,0)-MATCH("character_id",[4]characters!$1:$1,0)+1,FALSE),"")</f>
        <v>3</v>
      </c>
      <c r="AE77" s="5" t="str">
        <f ca="1">IFERROR(VLOOKUP($AB77,OFFSET([4]characters!$A$1,0,0,COUNTA([4]characters!$A:$A),MATCH(AE$1,[4]characters!$1:$1,0)-MATCH("character_id",[4]characters!$1:$1,0)+1),MATCH(AE$1,[4]characters!$1:$1,0)-MATCH("character_id",[4]characters!$1:$1,0)+1,FALSE),"")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7" s="28">
        <v>1</v>
      </c>
      <c r="AG77" s="75">
        <f t="shared" ca="1" si="45"/>
        <v>3</v>
      </c>
      <c r="AH77" s="9">
        <v>10</v>
      </c>
      <c r="AI77" s="28">
        <v>0</v>
      </c>
      <c r="AJ77" s="28">
        <v>0</v>
      </c>
      <c r="AK77" s="28">
        <v>0</v>
      </c>
      <c r="AL77" s="28">
        <v>0</v>
      </c>
      <c r="AM77" s="28">
        <v>1</v>
      </c>
      <c r="AN77" s="28">
        <v>1</v>
      </c>
    </row>
    <row r="78" spans="1:40" ht="21" customHeight="1" x14ac:dyDescent="0.15">
      <c r="A78" s="17" t="str">
        <f t="shared" ca="1" si="42"/>
        <v>11004_4-1/337&lt;lv1&gt;s2</v>
      </c>
      <c r="B78" s="84">
        <v>11004</v>
      </c>
      <c r="C78" s="85">
        <v>4</v>
      </c>
      <c r="D78" s="16" t="str">
        <f t="shared" si="43"/>
        <v>11004_4</v>
      </c>
      <c r="E78" s="5" t="str">
        <f ca="1">VLOOKUP($B78,OFFSET([2]quests!$A$1,0,0,COUNTA([2]quests!$A:$A),MATCH(E$1,[2]quests!$1:$1,0)-MATCH($B$1,[2]quests!$1:$1,0)+1),MATCH(E$1,[2]quests!$1:$1,0)-MATCH($B$1,[2]quests!$1:$1,0)+1,FALSE)</f>
        <v>【木曜限定】 緑の素材</v>
      </c>
      <c r="F78" s="5" t="str">
        <f ca="1">VLOOKUP($D78,OFFSET([2]stages!$A$1,0,0,COUNTA([2]stages!$A:$A),MATCH(F$1,[2]stages!$2:$2,0)-MATCH($D$1,[2]stages!$2:$2,0)+1),MATCH(F$1,[2]stages!$2:$2,0)-MATCH($D$1,[2]stages!$2:$2,0)+1,FALSE)</f>
        <v xml:space="preserve">【上級】樹のイモムシ </v>
      </c>
      <c r="G78" s="68">
        <v>1</v>
      </c>
      <c r="H78" s="16" t="str">
        <f t="shared" si="44"/>
        <v>11004_4-1</v>
      </c>
      <c r="I78" s="5" t="e">
        <v>#N/A</v>
      </c>
      <c r="J78" s="5" t="e">
        <v>#N/A</v>
      </c>
      <c r="K78" s="70" t="s">
        <v>217</v>
      </c>
      <c r="L78" s="70">
        <v>337</v>
      </c>
      <c r="M78" s="20" t="str">
        <f ca="1">VLOOKUP($L78,OFFSET([3]enemies!$A$1,0,0,COUNTA([3]enemies!$A:$A),MATCH(M$1,[3]enemies!$1:$1,0)-MATCH($L$1,[3]enemies!$1:$1,0)+1),MATCH(M$1,[3]enemies!$1:$1,0)-MATCH($L$1,[3]enemies!$1:$1,0)+1,FALSE)</f>
        <v>森のメタルチック</v>
      </c>
      <c r="N78" s="20" t="str">
        <f ca="1">VLOOKUP($L78,OFFSET([3]enemies!$A$1,0,0,COUNTA([3]enemies!$A:$A),MATCH(N$1,[3]enemies!$1:$1,0)-MATCH($L$1,[3]enemies!$1:$1,0)+1),MATCH(N$1,[3]enemies!$1:$1,0)-MATCH($L$1,[3]enemies!$1:$1,0)+1,FALSE)</f>
        <v>green</v>
      </c>
      <c r="O78" s="22" t="str">
        <f ca="1">VLOOKUP($L78,OFFSET([4]characters!$A$1,0,0,COUNTA([4]characters!$A:$A),MATCH(O$1,[4]characters!$1:$1,0)-MATCH($L$1,[4]characters!$1:$1,0)+1),MATCH(O$1,[4]characters!$1:$1,0)-MATCH($L$1,[4]characters!$1:$1,0)+1,FALSE)</f>
        <v>Material</v>
      </c>
      <c r="P78" s="20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20">
        <f ca="1">VLOOKUP($L78,OFFSET([3]enemies!$A$1,0,0,COUNTA([3]enemies!$A:$A),MATCH(Q$1,[3]enemies!$1:$1,0)-MATCH($L$1,[3]enemies!$1:$1,0)+1),MATCH(Q$1,[3]enemies!$1:$1,0)-MATCH($L$1,[3]enemies!$1:$1,0)+1,FALSE)</f>
        <v>15</v>
      </c>
      <c r="R78" s="6">
        <v>1</v>
      </c>
      <c r="S78" s="30">
        <v>1</v>
      </c>
      <c r="T78" s="30">
        <v>1</v>
      </c>
      <c r="U78" s="6">
        <v>0</v>
      </c>
      <c r="V78" s="5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5">
        <f ca="1">VLOOKUP($L78,OFFSET([3]enemies!$A$1,0,0,COUNTA([3]enemies!$A:$A),MATCH(W$1,[3]enemies!$1:$1,0)-MATCH($L$1,[3]enemies!$1:$1,0)+1),MATCH(W$1,[3]enemies!$1:$1,0)-MATCH($L$1,[3]enemies!$1:$1,0)+1,FALSE)</f>
        <v>0</v>
      </c>
      <c r="X78" s="7">
        <v>0</v>
      </c>
      <c r="Y78" s="7">
        <v>30</v>
      </c>
      <c r="Z78" s="7">
        <v>0</v>
      </c>
      <c r="AA78" s="20">
        <f ca="1">VLOOKUP($L78,OFFSET([3]enemies!$A$1,0,0,COUNTA([3]enemies!$A:$A),MATCH(AA$1,[3]enemies!$1:$1,0)-MATCH($L$1,[3]enemies!$1:$1,0)+1),MATCH(AA$1,[3]enemies!$1:$1,0)-MATCH($L$1,[3]enemies!$1:$1,0)+1,FALSE)</f>
        <v>2</v>
      </c>
      <c r="AB78" s="70">
        <v>337</v>
      </c>
      <c r="AC78" s="5" t="str">
        <f ca="1">IFERROR(VLOOKUP($AB78,OFFSET([4]characters!$A$1,0,0,COUNTA([4]characters!$A:$A),MATCH(AC$1,[4]characters!$1:$1,0)-MATCH("character_id",[4]characters!$1:$1,0)+1),MATCH(AC$1,[4]characters!$1:$1,0)-MATCH("character_id",[4]characters!$1:$1,0)+1,FALSE),"")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78" s="5">
        <f ca="1">IFERROR(VLOOKUP($AB78,OFFSET([4]characters!$A$1,0,0,COUNTA([4]characters!$A:$A),MATCH(AD$1,[4]characters!$1:$1,0)-MATCH("character_id",[4]characters!$1:$1,0)+1),MATCH(AD$1,[4]characters!$1:$1,0)-MATCH("character_id",[4]characters!$1:$1,0)+1,FALSE),"")</f>
        <v>4</v>
      </c>
      <c r="AE78" s="5" t="str">
        <f ca="1">IFERROR(VLOOKUP($AB78,OFFSET([4]characters!$A$1,0,0,COUNTA([4]characters!$A:$A),MATCH(AE$1,[4]characters!$1:$1,0)-MATCH("character_id",[4]characters!$1:$1,0)+1),MATCH(AE$1,[4]characters!$1:$1,0)-MATCH("character_id",[4]characters!$1:$1,0)+1,FALSE),"")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8" s="28">
        <v>1</v>
      </c>
      <c r="AG78" s="75">
        <f t="shared" ca="1" si="45"/>
        <v>4</v>
      </c>
      <c r="AH78" s="9">
        <v>5</v>
      </c>
      <c r="AI78" s="28">
        <v>0</v>
      </c>
      <c r="AJ78" s="28">
        <v>0</v>
      </c>
      <c r="AK78" s="28">
        <v>0</v>
      </c>
      <c r="AL78" s="28">
        <v>0</v>
      </c>
      <c r="AM78" s="28">
        <v>1</v>
      </c>
      <c r="AN78" s="28">
        <v>1</v>
      </c>
    </row>
    <row r="79" spans="1:40" ht="21" customHeight="1" x14ac:dyDescent="0.15">
      <c r="A79" s="17" t="str">
        <f t="shared" ca="1" si="42"/>
        <v>11004_4-2/107&lt;lv30&gt;s1</v>
      </c>
      <c r="B79" s="84">
        <v>11004</v>
      </c>
      <c r="C79" s="85">
        <v>4</v>
      </c>
      <c r="D79" s="16" t="str">
        <f t="shared" si="43"/>
        <v>11004_4</v>
      </c>
      <c r="E79" s="5" t="str">
        <f ca="1">VLOOKUP($B79,OFFSET([2]quests!$A$1,0,0,COUNTA([2]quests!$A:$A),MATCH(E$1,[2]quests!$1:$1,0)-MATCH($B$1,[2]quests!$1:$1,0)+1),MATCH(E$1,[2]quests!$1:$1,0)-MATCH($B$1,[2]quests!$1:$1,0)+1,FALSE)</f>
        <v>【木曜限定】 緑の素材</v>
      </c>
      <c r="F79" s="5" t="str">
        <f ca="1">VLOOKUP($D79,OFFSET([2]stages!$A$1,0,0,COUNTA([2]stages!$A:$A),MATCH(F$1,[2]stages!$2:$2,0)-MATCH($D$1,[2]stages!$2:$2,0)+1),MATCH(F$1,[2]stages!$2:$2,0)-MATCH($D$1,[2]stages!$2:$2,0)+1,FALSE)</f>
        <v xml:space="preserve">【上級】樹のイモムシ </v>
      </c>
      <c r="G79" s="68">
        <v>2</v>
      </c>
      <c r="H79" s="16" t="str">
        <f t="shared" si="44"/>
        <v>11004_4-2</v>
      </c>
      <c r="I79" s="5" t="e">
        <v>#N/A</v>
      </c>
      <c r="J79" s="5" t="e">
        <v>#N/A</v>
      </c>
      <c r="K79" s="70" t="s">
        <v>217</v>
      </c>
      <c r="L79" s="70">
        <v>107</v>
      </c>
      <c r="M79" s="20" t="str">
        <f ca="1">VLOOKUP($L79,OFFSET([3]enemies!$A$1,0,0,COUNTA([3]enemies!$A:$A),MATCH(M$1,[3]enemies!$1:$1,0)-MATCH($L$1,[3]enemies!$1:$1,0)+1),MATCH(M$1,[3]enemies!$1:$1,0)-MATCH($L$1,[3]enemies!$1:$1,0)+1,FALSE)</f>
        <v>グリーンキャタップ</v>
      </c>
      <c r="N79" s="20" t="str">
        <f ca="1">VLOOKUP($L79,OFFSET([3]enemies!$A$1,0,0,COUNTA([3]enemies!$A:$A),MATCH(N$1,[3]enemies!$1:$1,0)-MATCH($L$1,[3]enemies!$1:$1,0)+1),MATCH(N$1,[3]enemies!$1:$1,0)-MATCH($L$1,[3]enemies!$1:$1,0)+1,FALSE)</f>
        <v>green</v>
      </c>
      <c r="O79" s="22" t="str">
        <f ca="1">VLOOKUP($L79,OFFSET([4]characters!$A$1,0,0,COUNTA([4]characters!$A:$A),MATCH(O$1,[4]characters!$1:$1,0)-MATCH($L$1,[4]characters!$1:$1,0)+1),MATCH(O$1,[4]characters!$1:$1,0)-MATCH($L$1,[4]characters!$1:$1,0)+1,FALSE)</f>
        <v>Material</v>
      </c>
      <c r="P79" s="20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20">
        <f ca="1">VLOOKUP($L79,OFFSET([3]enemies!$A$1,0,0,COUNTA([3]enemies!$A:$A),MATCH(Q$1,[3]enemies!$1:$1,0)-MATCH($L$1,[3]enemies!$1:$1,0)+1),MATCH(Q$1,[3]enemies!$1:$1,0)-MATCH($L$1,[3]enemies!$1:$1,0)+1,FALSE)</f>
        <v>15</v>
      </c>
      <c r="R79" s="6">
        <v>30</v>
      </c>
      <c r="S79" s="30">
        <v>2</v>
      </c>
      <c r="T79" s="30">
        <v>1</v>
      </c>
      <c r="U79" s="6">
        <v>0</v>
      </c>
      <c r="V79" s="5" t="str">
        <f ca="1">VLOOKUP($W79,OFFSET([5]enemy_skill_sets!$B$1,0,0,COUNTA([5]enemy_skill_sets!$B:$B),MATCH(M$1,[5]enemy_skill_sets!$1:$1,0)-MATCH($W$1,[5]enemy_skill_sets!$1:$1,0)+2),MATCH(M$1,[5]enemy_skill_sets!$1:$1,0)-MATCH($W$1,[5]enemy_skill_sets!$1:$1,0)+2,FALSE)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9" s="5">
        <f ca="1">VLOOKUP($L79,OFFSET([3]enemies!$A$1,0,0,COUNTA([3]enemies!$A:$A),MATCH(W$1,[3]enemies!$1:$1,0)-MATCH($L$1,[3]enemies!$1:$1,0)+1),MATCH(W$1,[3]enemies!$1:$1,0)-MATCH($L$1,[3]enemies!$1:$1,0)+1,FALSE)</f>
        <v>0</v>
      </c>
      <c r="X79" s="7">
        <v>1</v>
      </c>
      <c r="Y79" s="7">
        <v>100</v>
      </c>
      <c r="Z79" s="7">
        <v>1</v>
      </c>
      <c r="AA79" s="20">
        <f ca="1">VLOOKUP($L79,OFFSET([3]enemies!$A$1,0,0,COUNTA([3]enemies!$A:$A),MATCH(AA$1,[3]enemies!$1:$1,0)-MATCH($L$1,[3]enemies!$1:$1,0)+1),MATCH(AA$1,[3]enemies!$1:$1,0)-MATCH($L$1,[3]enemies!$1:$1,0)+1,FALSE)</f>
        <v>1</v>
      </c>
      <c r="AB79" s="70">
        <v>107</v>
      </c>
      <c r="AC79" s="5" t="str">
        <f ca="1">IFERROR(VLOOKUP($AB79,OFFSET([4]characters!$A$1,0,0,COUNTA([4]characters!$A:$A),MATCH(AC$1,[4]characters!$1:$1,0)-MATCH("character_id",[4]characters!$1:$1,0)+1),MATCH(AC$1,[4]characters!$1:$1,0)-MATCH("character_id",[4]characters!$1:$1,0)+1,FALSE),"")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79" s="5">
        <f ca="1">IFERROR(VLOOKUP($AB79,OFFSET([4]characters!$A$1,0,0,COUNTA([4]characters!$A:$A),MATCH(AD$1,[4]characters!$1:$1,0)-MATCH("character_id",[4]characters!$1:$1,0)+1),MATCH(AD$1,[4]characters!$1:$1,0)-MATCH("character_id",[4]characters!$1:$1,0)+1,FALSE),"")</f>
        <v>4</v>
      </c>
      <c r="AE79" s="5" t="str">
        <f ca="1">IFERROR(VLOOKUP($AB79,OFFSET([4]characters!$A$1,0,0,COUNTA([4]characters!$A:$A),MATCH(AE$1,[4]characters!$1:$1,0)-MATCH("character_id",[4]characters!$1:$1,0)+1),MATCH(AE$1,[4]characters!$1:$1,0)-MATCH("character_id",[4]characters!$1:$1,0)+1,FALSE),"")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9" s="28">
        <v>1</v>
      </c>
      <c r="AG79" s="75">
        <f t="shared" ca="1" si="45"/>
        <v>4</v>
      </c>
      <c r="AH79" s="130">
        <v>50</v>
      </c>
      <c r="AI79" s="28">
        <v>0</v>
      </c>
      <c r="AJ79" s="28">
        <v>0</v>
      </c>
      <c r="AK79" s="28">
        <v>0</v>
      </c>
      <c r="AL79" s="28">
        <v>0</v>
      </c>
      <c r="AM79" s="28">
        <v>1</v>
      </c>
      <c r="AN79" s="28">
        <v>1</v>
      </c>
    </row>
    <row r="80" spans="1:40" ht="21" customHeight="1" x14ac:dyDescent="0.15">
      <c r="A80" s="17" t="str">
        <f t="shared" ca="1" si="42"/>
        <v>11004_4-2/35&lt;lv35&gt;s4</v>
      </c>
      <c r="B80" s="84">
        <v>11004</v>
      </c>
      <c r="C80" s="85">
        <v>4</v>
      </c>
      <c r="D80" s="16" t="str">
        <f t="shared" si="43"/>
        <v>11004_4</v>
      </c>
      <c r="E80" s="5" t="str">
        <f ca="1">VLOOKUP($B80,OFFSET([2]quests!$A$1,0,0,COUNTA([2]quests!$A:$A),MATCH(E$1,[2]quests!$1:$1,0)-MATCH($B$1,[2]quests!$1:$1,0)+1),MATCH(E$1,[2]quests!$1:$1,0)-MATCH($B$1,[2]quests!$1:$1,0)+1,FALSE)</f>
        <v>【木曜限定】 緑の素材</v>
      </c>
      <c r="F80" s="5" t="str">
        <f ca="1">VLOOKUP($D80,OFFSET([2]stages!$A$1,0,0,COUNTA([2]stages!$A:$A),MATCH(F$1,[2]stages!$2:$2,0)-MATCH($D$1,[2]stages!$2:$2,0)+1),MATCH(F$1,[2]stages!$2:$2,0)-MATCH($D$1,[2]stages!$2:$2,0)+1,FALSE)</f>
        <v xml:space="preserve">【上級】樹のイモムシ </v>
      </c>
      <c r="G80" s="68">
        <v>2</v>
      </c>
      <c r="H80" s="16" t="str">
        <f t="shared" si="44"/>
        <v>11004_4-2</v>
      </c>
      <c r="I80" s="5" t="e">
        <v>#N/A</v>
      </c>
      <c r="J80" s="5" t="e">
        <v>#N/A</v>
      </c>
      <c r="K80" s="70" t="s">
        <v>217</v>
      </c>
      <c r="L80" s="70">
        <v>35</v>
      </c>
      <c r="M80" s="20" t="str">
        <f ca="1">VLOOKUP($L80,OFFSET([3]enemies!$A$1,0,0,COUNTA([3]enemies!$A:$A),MATCH(M$1,[3]enemies!$1:$1,0)-MATCH($L$1,[3]enemies!$1:$1,0)+1),MATCH(M$1,[3]enemies!$1:$1,0)-MATCH($L$1,[3]enemies!$1:$1,0)+1,FALSE)</f>
        <v>F2</v>
      </c>
      <c r="N80" s="20" t="str">
        <f ca="1">VLOOKUP($L80,OFFSET([3]enemies!$A$1,0,0,COUNTA([3]enemies!$A:$A),MATCH(N$1,[3]enemies!$1:$1,0)-MATCH($L$1,[3]enemies!$1:$1,0)+1),MATCH(N$1,[3]enemies!$1:$1,0)-MATCH($L$1,[3]enemies!$1:$1,0)+1,FALSE)</f>
        <v>green</v>
      </c>
      <c r="O80" s="22" t="str">
        <f ca="1">VLOOKUP($L80,OFFSET([4]characters!$A$1,0,0,COUNTA([4]characters!$A:$A),MATCH(O$1,[4]characters!$1:$1,0)-MATCH($L$1,[4]characters!$1:$1,0)+1),MATCH(O$1,[4]characters!$1:$1,0)-MATCH($L$1,[4]characters!$1:$1,0)+1,FALSE)</f>
        <v>Drop1S</v>
      </c>
      <c r="P80" s="20" t="str">
        <f ca="1">VLOOKUP($L80,OFFSET([3]enemies!$A$1,0,0,COUNTA([3]enemies!$A:$A),MATCH(P$1,[3]enemies!$1:$1,0)-MATCH($L$1,[3]enemies!$1:$1,0)+1),MATCH(P$1,[3]enemies!$1:$1,0)-MATCH($L$1,[3]enemies!$1:$1,0)+1,FALSE)</f>
        <v>machine</v>
      </c>
      <c r="Q80" s="20">
        <f ca="1">VLOOKUP($L80,OFFSET([3]enemies!$A$1,0,0,COUNTA([3]enemies!$A:$A),MATCH(Q$1,[3]enemies!$1:$1,0)-MATCH($L$1,[3]enemies!$1:$1,0)+1),MATCH(Q$1,[3]enemies!$1:$1,0)-MATCH($L$1,[3]enemies!$1:$1,0)+1,FALSE)</f>
        <v>15</v>
      </c>
      <c r="R80" s="6">
        <v>35</v>
      </c>
      <c r="S80" s="30">
        <v>1</v>
      </c>
      <c r="T80" s="30">
        <v>1</v>
      </c>
      <c r="U80" s="6">
        <v>0</v>
      </c>
      <c r="V80" s="5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80" s="5">
        <f ca="1">VLOOKUP($L80,OFFSET([3]enemies!$A$1,0,0,COUNTA([3]enemies!$A:$A),MATCH(W$1,[3]enemies!$1:$1,0)-MATCH($L$1,[3]enemies!$1:$1,0)+1),MATCH(W$1,[3]enemies!$1:$1,0)-MATCH($L$1,[3]enemies!$1:$1,0)+1,FALSE)</f>
        <v>35</v>
      </c>
      <c r="X80" s="7">
        <v>0</v>
      </c>
      <c r="Y80" s="7">
        <v>100</v>
      </c>
      <c r="Z80" s="7">
        <v>0</v>
      </c>
      <c r="AA80" s="20">
        <f ca="1">VLOOKUP($L80,OFFSET([3]enemies!$A$1,0,0,COUNTA([3]enemies!$A:$A),MATCH(AA$1,[3]enemies!$1:$1,0)-MATCH($L$1,[3]enemies!$1:$1,0)+1),MATCH(AA$1,[3]enemies!$1:$1,0)-MATCH($L$1,[3]enemies!$1:$1,0)+1,FALSE)</f>
        <v>4</v>
      </c>
      <c r="AB80" s="70">
        <v>35</v>
      </c>
      <c r="AC80" s="5" t="str">
        <f ca="1">IFERROR(VLOOKUP($AB80,OFFSET([4]characters!$A$1,0,0,COUNTA([4]characters!$A:$A),MATCH(AC$1,[4]characters!$1:$1,0)-MATCH("character_id",[4]characters!$1:$1,0)+1),MATCH(AC$1,[4]characters!$1:$1,0)-MATCH("character_id",[4]characters!$1:$1,0)+1,FALSE),"")</f>
        <v>F2</v>
      </c>
      <c r="AD80" s="5">
        <f ca="1">IFERROR(VLOOKUP($AB80,OFFSET([4]characters!$A$1,0,0,COUNTA([4]characters!$A:$A),MATCH(AD$1,[4]characters!$1:$1,0)-MATCH("character_id",[4]characters!$1:$1,0)+1),MATCH(AD$1,[4]characters!$1:$1,0)-MATCH("character_id",[4]characters!$1:$1,0)+1,FALSE),"")</f>
        <v>2</v>
      </c>
      <c r="AE80" s="5" t="str">
        <f ca="1">IFERROR(VLOOKUP($AB80,OFFSET([4]characters!$A$1,0,0,COUNTA([4]characters!$A:$A),MATCH(AE$1,[4]characters!$1:$1,0)-MATCH("character_id",[4]characters!$1:$1,0)+1),MATCH(AE$1,[4]characters!$1:$1,0)-MATCH("character_id",[4]characters!$1:$1,0)+1,FALSE),"")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80" s="28">
        <v>1</v>
      </c>
      <c r="AG80" s="75">
        <f t="shared" ca="1" si="45"/>
        <v>2</v>
      </c>
      <c r="AH80" s="9">
        <v>0</v>
      </c>
      <c r="AI80" s="28">
        <v>0</v>
      </c>
      <c r="AJ80" s="28">
        <v>0</v>
      </c>
      <c r="AK80" s="28">
        <v>0</v>
      </c>
      <c r="AL80" s="28">
        <v>0</v>
      </c>
      <c r="AM80" s="28">
        <v>1</v>
      </c>
      <c r="AN80" s="28">
        <v>1</v>
      </c>
    </row>
    <row r="81" spans="1:40" ht="21" customHeight="1" x14ac:dyDescent="0.15">
      <c r="A81" s="17" t="str">
        <f t="shared" ca="1" si="42"/>
        <v>11004_4-2/27&lt;lv35&gt;s1</v>
      </c>
      <c r="B81" s="84">
        <v>11004</v>
      </c>
      <c r="C81" s="85">
        <v>4</v>
      </c>
      <c r="D81" s="16" t="str">
        <f t="shared" si="43"/>
        <v>11004_4</v>
      </c>
      <c r="E81" s="5" t="str">
        <f ca="1">VLOOKUP($B81,OFFSET([2]quests!$A$1,0,0,COUNTA([2]quests!$A:$A),MATCH(E$1,[2]quests!$1:$1,0)-MATCH($B$1,[2]quests!$1:$1,0)+1),MATCH(E$1,[2]quests!$1:$1,0)-MATCH($B$1,[2]quests!$1:$1,0)+1,FALSE)</f>
        <v>【木曜限定】 緑の素材</v>
      </c>
      <c r="F81" s="5" t="str">
        <f ca="1">VLOOKUP($D81,OFFSET([2]stages!$A$1,0,0,COUNTA([2]stages!$A:$A),MATCH(F$1,[2]stages!$2:$2,0)-MATCH($D$1,[2]stages!$2:$2,0)+1),MATCH(F$1,[2]stages!$2:$2,0)-MATCH($D$1,[2]stages!$2:$2,0)+1,FALSE)</f>
        <v xml:space="preserve">【上級】樹のイモムシ </v>
      </c>
      <c r="G81" s="68">
        <v>2</v>
      </c>
      <c r="H81" s="16" t="str">
        <f t="shared" si="44"/>
        <v>11004_4-2</v>
      </c>
      <c r="I81" s="5" t="e">
        <v>#N/A</v>
      </c>
      <c r="J81" s="5" t="e">
        <v>#N/A</v>
      </c>
      <c r="K81" s="70" t="s">
        <v>217</v>
      </c>
      <c r="L81" s="70">
        <v>27</v>
      </c>
      <c r="M81" s="20" t="str">
        <f ca="1">VLOOKUP($L81,OFFSET([3]enemies!$A$1,0,0,COUNTA([3]enemies!$A:$A),MATCH(M$1,[3]enemies!$1:$1,0)-MATCH($L$1,[3]enemies!$1:$1,0)+1),MATCH(M$1,[3]enemies!$1:$1,0)-MATCH($L$1,[3]enemies!$1:$1,0)+1,FALSE)</f>
        <v>パトライン</v>
      </c>
      <c r="N81" s="20" t="str">
        <f ca="1">VLOOKUP($L81,OFFSET([3]enemies!$A$1,0,0,COUNTA([3]enemies!$A:$A),MATCH(N$1,[3]enemies!$1:$1,0)-MATCH($L$1,[3]enemies!$1:$1,0)+1),MATCH(N$1,[3]enemies!$1:$1,0)-MATCH($L$1,[3]enemies!$1:$1,0)+1,FALSE)</f>
        <v>green</v>
      </c>
      <c r="O81" s="22" t="str">
        <f ca="1">VLOOKUP($L81,OFFSET([4]characters!$A$1,0,0,COUNTA([4]characters!$A:$A),MATCH(O$1,[4]characters!$1:$1,0)-MATCH($L$1,[4]characters!$1:$1,0)+1),MATCH(O$1,[4]characters!$1:$1,0)-MATCH($L$1,[4]characters!$1:$1,0)+1,FALSE)</f>
        <v>Drop1N</v>
      </c>
      <c r="P81" s="20" t="str">
        <f ca="1">VLOOKUP($L81,OFFSET([3]enemies!$A$1,0,0,COUNTA([3]enemies!$A:$A),MATCH(P$1,[3]enemies!$1:$1,0)-MATCH($L$1,[3]enemies!$1:$1,0)+1),MATCH(P$1,[3]enemies!$1:$1,0)-MATCH($L$1,[3]enemies!$1:$1,0)+1,FALSE)</f>
        <v>machine</v>
      </c>
      <c r="Q81" s="20">
        <f ca="1">VLOOKUP($L81,OFFSET([3]enemies!$A$1,0,0,COUNTA([3]enemies!$A:$A),MATCH(Q$1,[3]enemies!$1:$1,0)-MATCH($L$1,[3]enemies!$1:$1,0)+1),MATCH(Q$1,[3]enemies!$1:$1,0)-MATCH($L$1,[3]enemies!$1:$1,0)+1,FALSE)</f>
        <v>15</v>
      </c>
      <c r="R81" s="6">
        <v>35</v>
      </c>
      <c r="S81" s="30">
        <v>1</v>
      </c>
      <c r="T81" s="30">
        <v>1</v>
      </c>
      <c r="U81" s="6">
        <v>0</v>
      </c>
      <c r="V81" s="5" t="str">
        <f ca="1">VLOOKUP($W81,OFFSET([5]enemy_skill_sets!$B$1,0,0,COUNTA([5]enemy_skill_sets!$B:$B),MATCH(M$1,[5]enemy_skill_sets!$1:$1,0)-MATCH($W$1,[5]enemy_skill_sets!$1:$1,0)+2),MATCH(M$1,[5]enemy_skill_sets!$1:$1,0)-MATCH($W$1,[5]enemy_skill_sets!$1:$1,0)+2,FALSE)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1" s="5">
        <f ca="1">VLOOKUP($L81,OFFSET([3]enemies!$A$1,0,0,COUNTA([3]enemies!$A:$A),MATCH(W$1,[3]enemies!$1:$1,0)-MATCH($L$1,[3]enemies!$1:$1,0)+1),MATCH(W$1,[3]enemies!$1:$1,0)-MATCH($L$1,[3]enemies!$1:$1,0)+1,FALSE)</f>
        <v>0</v>
      </c>
      <c r="X81" s="7">
        <v>0</v>
      </c>
      <c r="Y81" s="7">
        <v>100</v>
      </c>
      <c r="Z81" s="7">
        <v>0</v>
      </c>
      <c r="AA81" s="20">
        <f ca="1">VLOOKUP($L81,OFFSET([3]enemies!$A$1,0,0,COUNTA([3]enemies!$A:$A),MATCH(AA$1,[3]enemies!$1:$1,0)-MATCH($L$1,[3]enemies!$1:$1,0)+1),MATCH(AA$1,[3]enemies!$1:$1,0)-MATCH($L$1,[3]enemies!$1:$1,0)+1,FALSE)</f>
        <v>1</v>
      </c>
      <c r="AB81" s="70">
        <v>27</v>
      </c>
      <c r="AC81" s="5" t="str">
        <f ca="1">IFERROR(VLOOKUP($AB81,OFFSET([4]characters!$A$1,0,0,COUNTA([4]characters!$A:$A),MATCH(AC$1,[4]characters!$1:$1,0)-MATCH("character_id",[4]characters!$1:$1,0)+1),MATCH(AC$1,[4]characters!$1:$1,0)-MATCH("character_id",[4]characters!$1:$1,0)+1,FALSE),"")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81" s="5">
        <f ca="1">IFERROR(VLOOKUP($AB81,OFFSET([4]characters!$A$1,0,0,COUNTA([4]characters!$A:$A),MATCH(AD$1,[4]characters!$1:$1,0)-MATCH("character_id",[4]characters!$1:$1,0)+1),MATCH(AD$1,[4]characters!$1:$1,0)-MATCH("character_id",[4]characters!$1:$1,0)+1,FALSE),"")</f>
        <v>1</v>
      </c>
      <c r="AE81" s="5" t="str">
        <f ca="1">IFERROR(VLOOKUP($AB81,OFFSET([4]characters!$A$1,0,0,COUNTA([4]characters!$A:$A),MATCH(AE$1,[4]characters!$1:$1,0)-MATCH("character_id",[4]characters!$1:$1,0)+1),MATCH(AE$1,[4]characters!$1:$1,0)-MATCH("character_id",[4]characters!$1:$1,0)+1,FALSE),"")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81" s="28">
        <v>1</v>
      </c>
      <c r="AG81" s="75">
        <f t="shared" ca="1" si="45"/>
        <v>1</v>
      </c>
      <c r="AH81" s="9">
        <v>0</v>
      </c>
      <c r="AI81" s="28">
        <v>0</v>
      </c>
      <c r="AJ81" s="28">
        <v>0</v>
      </c>
      <c r="AK81" s="28">
        <v>0</v>
      </c>
      <c r="AL81" s="28">
        <v>0</v>
      </c>
      <c r="AM81" s="28">
        <v>1</v>
      </c>
      <c r="AN81" s="28">
        <v>1</v>
      </c>
    </row>
    <row r="82" spans="1:40" ht="21" customHeight="1" x14ac:dyDescent="0.15">
      <c r="A82" s="17" t="str">
        <f t="shared" ca="1" si="42"/>
        <v>11004_4-2/336&lt;lv1&gt;s1</v>
      </c>
      <c r="B82" s="84">
        <v>11004</v>
      </c>
      <c r="C82" s="85">
        <v>4</v>
      </c>
      <c r="D82" s="16" t="str">
        <f t="shared" si="43"/>
        <v>11004_4</v>
      </c>
      <c r="E82" s="5" t="str">
        <f ca="1">VLOOKUP($B82,OFFSET([2]quests!$A$1,0,0,COUNTA([2]quests!$A:$A),MATCH(E$1,[2]quests!$1:$1,0)-MATCH($B$1,[2]quests!$1:$1,0)+1),MATCH(E$1,[2]quests!$1:$1,0)-MATCH($B$1,[2]quests!$1:$1,0)+1,FALSE)</f>
        <v>【木曜限定】 緑の素材</v>
      </c>
      <c r="F82" s="5" t="str">
        <f ca="1">VLOOKUP($D82,OFFSET([2]stages!$A$1,0,0,COUNTA([2]stages!$A:$A),MATCH(F$1,[2]stages!$2:$2,0)-MATCH($D$1,[2]stages!$2:$2,0)+1),MATCH(F$1,[2]stages!$2:$2,0)-MATCH($D$1,[2]stages!$2:$2,0)+1,FALSE)</f>
        <v xml:space="preserve">【上級】樹のイモムシ </v>
      </c>
      <c r="G82" s="68">
        <v>2</v>
      </c>
      <c r="H82" s="16" t="str">
        <f t="shared" si="44"/>
        <v>11004_4-2</v>
      </c>
      <c r="I82" s="5" t="e">
        <v>#N/A</v>
      </c>
      <c r="J82" s="5" t="e">
        <v>#N/A</v>
      </c>
      <c r="K82" s="70" t="s">
        <v>217</v>
      </c>
      <c r="L82" s="70">
        <v>336</v>
      </c>
      <c r="M82" s="20" t="str">
        <f ca="1">VLOOKUP($L82,OFFSET([3]enemies!$A$1,0,0,COUNTA([3]enemies!$A:$A),MATCH(M$1,[3]enemies!$1:$1,0)-MATCH($L$1,[3]enemies!$1:$1,0)+1),MATCH(M$1,[3]enemies!$1:$1,0)-MATCH($L$1,[3]enemies!$1:$1,0)+1,FALSE)</f>
        <v>森のメタルピヨピヨ</v>
      </c>
      <c r="N82" s="20" t="str">
        <f ca="1">VLOOKUP($L82,OFFSET([3]enemies!$A$1,0,0,COUNTA([3]enemies!$A:$A),MATCH(N$1,[3]enemies!$1:$1,0)-MATCH($L$1,[3]enemies!$1:$1,0)+1),MATCH(N$1,[3]enemies!$1:$1,0)-MATCH($L$1,[3]enemies!$1:$1,0)+1,FALSE)</f>
        <v>green</v>
      </c>
      <c r="O82" s="22" t="str">
        <f ca="1">VLOOKUP($L82,OFFSET([4]characters!$A$1,0,0,COUNTA([4]characters!$A:$A),MATCH(O$1,[4]characters!$1:$1,0)-MATCH($L$1,[4]characters!$1:$1,0)+1),MATCH(O$1,[4]characters!$1:$1,0)-MATCH($L$1,[4]characters!$1:$1,0)+1,FALSE)</f>
        <v>Material</v>
      </c>
      <c r="P82" s="20" t="str">
        <f ca="1">VLOOKUP($L82,OFFSET([3]enemies!$A$1,0,0,COUNTA([3]enemies!$A:$A),MATCH(P$1,[3]enemies!$1:$1,0)-MATCH($L$1,[3]enemies!$1:$1,0)+1),MATCH(P$1,[3]enemies!$1:$1,0)-MATCH($L$1,[3]enemies!$1:$1,0)+1,FALSE)</f>
        <v>unknown</v>
      </c>
      <c r="Q82" s="20">
        <f ca="1">VLOOKUP($L82,OFFSET([3]enemies!$A$1,0,0,COUNTA([3]enemies!$A:$A),MATCH(Q$1,[3]enemies!$1:$1,0)-MATCH($L$1,[3]enemies!$1:$1,0)+1),MATCH(Q$1,[3]enemies!$1:$1,0)-MATCH($L$1,[3]enemies!$1:$1,0)+1,FALSE)</f>
        <v>15</v>
      </c>
      <c r="R82" s="6">
        <v>1</v>
      </c>
      <c r="S82" s="30">
        <v>1</v>
      </c>
      <c r="T82" s="30">
        <v>1</v>
      </c>
      <c r="U82" s="6">
        <v>0</v>
      </c>
      <c r="V82" s="5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5">
        <f ca="1">VLOOKUP($L82,OFFSET([3]enemies!$A$1,0,0,COUNTA([3]enemies!$A:$A),MATCH(W$1,[3]enemies!$1:$1,0)-MATCH($L$1,[3]enemies!$1:$1,0)+1),MATCH(W$1,[3]enemies!$1:$1,0)-MATCH($L$1,[3]enemies!$1:$1,0)+1,FALSE)</f>
        <v>0</v>
      </c>
      <c r="X82" s="7">
        <v>0</v>
      </c>
      <c r="Y82" s="7">
        <v>30</v>
      </c>
      <c r="Z82" s="7">
        <v>0</v>
      </c>
      <c r="AA82" s="20">
        <f ca="1">VLOOKUP($L82,OFFSET([3]enemies!$A$1,0,0,COUNTA([3]enemies!$A:$A),MATCH(AA$1,[3]enemies!$1:$1,0)-MATCH($L$1,[3]enemies!$1:$1,0)+1),MATCH(AA$1,[3]enemies!$1:$1,0)-MATCH($L$1,[3]enemies!$1:$1,0)+1,FALSE)</f>
        <v>1</v>
      </c>
      <c r="AB82" s="70">
        <v>336</v>
      </c>
      <c r="AC82" s="5" t="str">
        <f ca="1">IFERROR(VLOOKUP($AB82,OFFSET([4]characters!$A$1,0,0,COUNTA([4]characters!$A:$A),MATCH(AC$1,[4]characters!$1:$1,0)-MATCH("character_id",[4]characters!$1:$1,0)+1),MATCH(AC$1,[4]characters!$1:$1,0)-MATCH("character_id",[4]characters!$1:$1,0)+1,FALSE),"")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82" s="5">
        <f ca="1">IFERROR(VLOOKUP($AB82,OFFSET([4]characters!$A$1,0,0,COUNTA([4]characters!$A:$A),MATCH(AD$1,[4]characters!$1:$1,0)-MATCH("character_id",[4]characters!$1:$1,0)+1),MATCH(AD$1,[4]characters!$1:$1,0)-MATCH("character_id",[4]characters!$1:$1,0)+1,FALSE),"")</f>
        <v>3</v>
      </c>
      <c r="AE82" s="5" t="str">
        <f ca="1">IFERROR(VLOOKUP($AB82,OFFSET([4]characters!$A$1,0,0,COUNTA([4]characters!$A:$A),MATCH(AE$1,[4]characters!$1:$1,0)-MATCH("character_id",[4]characters!$1:$1,0)+1),MATCH(AE$1,[4]characters!$1:$1,0)-MATCH("character_id",[4]characters!$1:$1,0)+1,FALSE),"")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2" s="28">
        <v>1</v>
      </c>
      <c r="AG82" s="75">
        <f t="shared" ca="1" si="45"/>
        <v>3</v>
      </c>
      <c r="AH82" s="9">
        <v>10</v>
      </c>
      <c r="AI82" s="28">
        <v>0</v>
      </c>
      <c r="AJ82" s="28">
        <v>0</v>
      </c>
      <c r="AK82" s="28">
        <v>0</v>
      </c>
      <c r="AL82" s="28">
        <v>0</v>
      </c>
      <c r="AM82" s="28">
        <v>1</v>
      </c>
      <c r="AN82" s="28">
        <v>1</v>
      </c>
    </row>
    <row r="83" spans="1:40" ht="21" customHeight="1" x14ac:dyDescent="0.15">
      <c r="A83" s="17" t="str">
        <f t="shared" ca="1" si="42"/>
        <v>11004_4-2/337&lt;lv1&gt;s2</v>
      </c>
      <c r="B83" s="84">
        <v>11004</v>
      </c>
      <c r="C83" s="85">
        <v>4</v>
      </c>
      <c r="D83" s="16" t="str">
        <f t="shared" si="43"/>
        <v>11004_4</v>
      </c>
      <c r="E83" s="5" t="str">
        <f ca="1">VLOOKUP($B83,OFFSET([2]quests!$A$1,0,0,COUNTA([2]quests!$A:$A),MATCH(E$1,[2]quests!$1:$1,0)-MATCH($B$1,[2]quests!$1:$1,0)+1),MATCH(E$1,[2]quests!$1:$1,0)-MATCH($B$1,[2]quests!$1:$1,0)+1,FALSE)</f>
        <v>【木曜限定】 緑の素材</v>
      </c>
      <c r="F83" s="5" t="str">
        <f ca="1">VLOOKUP($D83,OFFSET([2]stages!$A$1,0,0,COUNTA([2]stages!$A:$A),MATCH(F$1,[2]stages!$2:$2,0)-MATCH($D$1,[2]stages!$2:$2,0)+1),MATCH(F$1,[2]stages!$2:$2,0)-MATCH($D$1,[2]stages!$2:$2,0)+1,FALSE)</f>
        <v xml:space="preserve">【上級】樹のイモムシ </v>
      </c>
      <c r="G83" s="68">
        <v>2</v>
      </c>
      <c r="H83" s="16" t="str">
        <f t="shared" si="44"/>
        <v>11004_4-2</v>
      </c>
      <c r="I83" s="5" t="e">
        <v>#N/A</v>
      </c>
      <c r="J83" s="5" t="e">
        <v>#N/A</v>
      </c>
      <c r="K83" s="70" t="s">
        <v>217</v>
      </c>
      <c r="L83" s="70">
        <v>337</v>
      </c>
      <c r="M83" s="20" t="str">
        <f ca="1">VLOOKUP($L83,OFFSET([3]enemies!$A$1,0,0,COUNTA([3]enemies!$A:$A),MATCH(M$1,[3]enemies!$1:$1,0)-MATCH($L$1,[3]enemies!$1:$1,0)+1),MATCH(M$1,[3]enemies!$1:$1,0)-MATCH($L$1,[3]enemies!$1:$1,0)+1,FALSE)</f>
        <v>森のメタルチック</v>
      </c>
      <c r="N83" s="20" t="str">
        <f ca="1">VLOOKUP($L83,OFFSET([3]enemies!$A$1,0,0,COUNTA([3]enemies!$A:$A),MATCH(N$1,[3]enemies!$1:$1,0)-MATCH($L$1,[3]enemies!$1:$1,0)+1),MATCH(N$1,[3]enemies!$1:$1,0)-MATCH($L$1,[3]enemies!$1:$1,0)+1,FALSE)</f>
        <v>green</v>
      </c>
      <c r="O83" s="22" t="str">
        <f ca="1">VLOOKUP($L83,OFFSET([4]characters!$A$1,0,0,COUNTA([4]characters!$A:$A),MATCH(O$1,[4]characters!$1:$1,0)-MATCH($L$1,[4]characters!$1:$1,0)+1),MATCH(O$1,[4]characters!$1:$1,0)-MATCH($L$1,[4]characters!$1:$1,0)+1,FALSE)</f>
        <v>Material</v>
      </c>
      <c r="P83" s="20" t="str">
        <f ca="1">VLOOKUP($L83,OFFSET([3]enemies!$A$1,0,0,COUNTA([3]enemies!$A:$A),MATCH(P$1,[3]enemies!$1:$1,0)-MATCH($L$1,[3]enemies!$1:$1,0)+1),MATCH(P$1,[3]enemies!$1:$1,0)-MATCH($L$1,[3]enemies!$1:$1,0)+1,FALSE)</f>
        <v>unknown</v>
      </c>
      <c r="Q83" s="20">
        <f ca="1">VLOOKUP($L83,OFFSET([3]enemies!$A$1,0,0,COUNTA([3]enemies!$A:$A),MATCH(Q$1,[3]enemies!$1:$1,0)-MATCH($L$1,[3]enemies!$1:$1,0)+1),MATCH(Q$1,[3]enemies!$1:$1,0)-MATCH($L$1,[3]enemies!$1:$1,0)+1,FALSE)</f>
        <v>15</v>
      </c>
      <c r="R83" s="6">
        <v>1</v>
      </c>
      <c r="S83" s="30">
        <v>1</v>
      </c>
      <c r="T83" s="30">
        <v>1</v>
      </c>
      <c r="U83" s="6">
        <v>0</v>
      </c>
      <c r="V83" s="5" t="str">
        <f ca="1">VLOOKUP($W83,OFFSET([5]enemy_skill_sets!$B$1,0,0,COUNTA([5]enemy_skill_sets!$B:$B),MATCH(M$1,[5]enemy_skill_sets!$1:$1,0)-MATCH($W$1,[5]enemy_skill_sets!$1:$1,0)+2),MATCH(M$1,[5]enemy_skill_sets!$1:$1,0)-MATCH($W$1,[5]enemy_skill_sets!$1:$1,0)+2,FALSE)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3" s="5">
        <f ca="1">VLOOKUP($L83,OFFSET([3]enemies!$A$1,0,0,COUNTA([3]enemies!$A:$A),MATCH(W$1,[3]enemies!$1:$1,0)-MATCH($L$1,[3]enemies!$1:$1,0)+1),MATCH(W$1,[3]enemies!$1:$1,0)-MATCH($L$1,[3]enemies!$1:$1,0)+1,FALSE)</f>
        <v>0</v>
      </c>
      <c r="X83" s="7">
        <v>0</v>
      </c>
      <c r="Y83" s="7">
        <v>30</v>
      </c>
      <c r="Z83" s="7">
        <v>0</v>
      </c>
      <c r="AA83" s="20">
        <f ca="1">VLOOKUP($L83,OFFSET([3]enemies!$A$1,0,0,COUNTA([3]enemies!$A:$A),MATCH(AA$1,[3]enemies!$1:$1,0)-MATCH($L$1,[3]enemies!$1:$1,0)+1),MATCH(AA$1,[3]enemies!$1:$1,0)-MATCH($L$1,[3]enemies!$1:$1,0)+1,FALSE)</f>
        <v>2</v>
      </c>
      <c r="AB83" s="70">
        <v>337</v>
      </c>
      <c r="AC83" s="5" t="str">
        <f ca="1">IFERROR(VLOOKUP($AB83,OFFSET([4]characters!$A$1,0,0,COUNTA([4]characters!$A:$A),MATCH(AC$1,[4]characters!$1:$1,0)-MATCH("character_id",[4]characters!$1:$1,0)+1),MATCH(AC$1,[4]characters!$1:$1,0)-MATCH("character_id",[4]characters!$1:$1,0)+1,FALSE),"")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83" s="5">
        <f ca="1">IFERROR(VLOOKUP($AB83,OFFSET([4]characters!$A$1,0,0,COUNTA([4]characters!$A:$A),MATCH(AD$1,[4]characters!$1:$1,0)-MATCH("character_id",[4]characters!$1:$1,0)+1),MATCH(AD$1,[4]characters!$1:$1,0)-MATCH("character_id",[4]characters!$1:$1,0)+1,FALSE),"")</f>
        <v>4</v>
      </c>
      <c r="AE83" s="5" t="str">
        <f ca="1">IFERROR(VLOOKUP($AB83,OFFSET([4]characters!$A$1,0,0,COUNTA([4]characters!$A:$A),MATCH(AE$1,[4]characters!$1:$1,0)-MATCH("character_id",[4]characters!$1:$1,0)+1),MATCH(AE$1,[4]characters!$1:$1,0)-MATCH("character_id",[4]characters!$1:$1,0)+1,FALSE),"")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3" s="28">
        <v>1</v>
      </c>
      <c r="AG83" s="75">
        <f t="shared" ca="1" si="45"/>
        <v>4</v>
      </c>
      <c r="AH83" s="9">
        <v>5</v>
      </c>
      <c r="AI83" s="28">
        <v>0</v>
      </c>
      <c r="AJ83" s="28">
        <v>0</v>
      </c>
      <c r="AK83" s="28">
        <v>0</v>
      </c>
      <c r="AL83" s="28">
        <v>0</v>
      </c>
      <c r="AM83" s="28">
        <v>1</v>
      </c>
      <c r="AN83" s="28">
        <v>1</v>
      </c>
    </row>
    <row r="84" spans="1:40" ht="21" customHeight="1" x14ac:dyDescent="0.15">
      <c r="A84" s="17" t="str">
        <f t="shared" ca="1" si="42"/>
        <v>11004_4-3/107&lt;lv30&gt;s1</v>
      </c>
      <c r="B84" s="84">
        <v>11004</v>
      </c>
      <c r="C84" s="85">
        <v>4</v>
      </c>
      <c r="D84" s="16" t="str">
        <f t="shared" si="43"/>
        <v>11004_4</v>
      </c>
      <c r="E84" s="5" t="str">
        <f ca="1">VLOOKUP($B84,OFFSET([2]quests!$A$1,0,0,COUNTA([2]quests!$A:$A),MATCH(E$1,[2]quests!$1:$1,0)-MATCH($B$1,[2]quests!$1:$1,0)+1),MATCH(E$1,[2]quests!$1:$1,0)-MATCH($B$1,[2]quests!$1:$1,0)+1,FALSE)</f>
        <v>【木曜限定】 緑の素材</v>
      </c>
      <c r="F84" s="5" t="str">
        <f ca="1">VLOOKUP($D84,OFFSET([2]stages!$A$1,0,0,COUNTA([2]stages!$A:$A),MATCH(F$1,[2]stages!$2:$2,0)-MATCH($D$1,[2]stages!$2:$2,0)+1),MATCH(F$1,[2]stages!$2:$2,0)-MATCH($D$1,[2]stages!$2:$2,0)+1,FALSE)</f>
        <v xml:space="preserve">【上級】樹のイモムシ </v>
      </c>
      <c r="G84" s="68">
        <v>3</v>
      </c>
      <c r="H84" s="16" t="str">
        <f t="shared" si="44"/>
        <v>11004_4-3</v>
      </c>
      <c r="I84" s="5" t="e">
        <v>#N/A</v>
      </c>
      <c r="J84" s="5" t="e">
        <v>#N/A</v>
      </c>
      <c r="K84" s="70" t="s">
        <v>217</v>
      </c>
      <c r="L84" s="70">
        <v>107</v>
      </c>
      <c r="M84" s="20" t="str">
        <f ca="1">VLOOKUP($L84,OFFSET([3]enemies!$A$1,0,0,COUNTA([3]enemies!$A:$A),MATCH(M$1,[3]enemies!$1:$1,0)-MATCH($L$1,[3]enemies!$1:$1,0)+1),MATCH(M$1,[3]enemies!$1:$1,0)-MATCH($L$1,[3]enemies!$1:$1,0)+1,FALSE)</f>
        <v>グリーンキャタップ</v>
      </c>
      <c r="N84" s="20" t="str">
        <f ca="1">VLOOKUP($L84,OFFSET([3]enemies!$A$1,0,0,COUNTA([3]enemies!$A:$A),MATCH(N$1,[3]enemies!$1:$1,0)-MATCH($L$1,[3]enemies!$1:$1,0)+1),MATCH(N$1,[3]enemies!$1:$1,0)-MATCH($L$1,[3]enemies!$1:$1,0)+1,FALSE)</f>
        <v>green</v>
      </c>
      <c r="O84" s="22" t="str">
        <f ca="1">VLOOKUP($L84,OFFSET([4]characters!$A$1,0,0,COUNTA([4]characters!$A:$A),MATCH(O$1,[4]characters!$1:$1,0)-MATCH($L$1,[4]characters!$1:$1,0)+1),MATCH(O$1,[4]characters!$1:$1,0)-MATCH($L$1,[4]characters!$1:$1,0)+1,FALSE)</f>
        <v>Material</v>
      </c>
      <c r="P84" s="20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20">
        <f ca="1">VLOOKUP($L84,OFFSET([3]enemies!$A$1,0,0,COUNTA([3]enemies!$A:$A),MATCH(Q$1,[3]enemies!$1:$1,0)-MATCH($L$1,[3]enemies!$1:$1,0)+1),MATCH(Q$1,[3]enemies!$1:$1,0)-MATCH($L$1,[3]enemies!$1:$1,0)+1,FALSE)</f>
        <v>15</v>
      </c>
      <c r="R84" s="6">
        <v>30</v>
      </c>
      <c r="S84" s="30">
        <v>2</v>
      </c>
      <c r="T84" s="30">
        <v>1</v>
      </c>
      <c r="U84" s="6">
        <v>0</v>
      </c>
      <c r="V84" s="5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4" s="5">
        <f ca="1">VLOOKUP($L84,OFFSET([3]enemies!$A$1,0,0,COUNTA([3]enemies!$A:$A),MATCH(W$1,[3]enemies!$1:$1,0)-MATCH($L$1,[3]enemies!$1:$1,0)+1),MATCH(W$1,[3]enemies!$1:$1,0)-MATCH($L$1,[3]enemies!$1:$1,0)+1,FALSE)</f>
        <v>0</v>
      </c>
      <c r="X84" s="7">
        <v>1</v>
      </c>
      <c r="Y84" s="7">
        <v>100</v>
      </c>
      <c r="Z84" s="7">
        <v>1</v>
      </c>
      <c r="AA84" s="20">
        <f ca="1">VLOOKUP($L84,OFFSET([3]enemies!$A$1,0,0,COUNTA([3]enemies!$A:$A),MATCH(AA$1,[3]enemies!$1:$1,0)-MATCH($L$1,[3]enemies!$1:$1,0)+1),MATCH(AA$1,[3]enemies!$1:$1,0)-MATCH($L$1,[3]enemies!$1:$1,0)+1,FALSE)</f>
        <v>1</v>
      </c>
      <c r="AB84" s="70">
        <v>107</v>
      </c>
      <c r="AC84" s="5" t="str">
        <f ca="1">IFERROR(VLOOKUP($AB84,OFFSET([4]characters!$A$1,0,0,COUNTA([4]characters!$A:$A),MATCH(AC$1,[4]characters!$1:$1,0)-MATCH("character_id",[4]characters!$1:$1,0)+1),MATCH(AC$1,[4]characters!$1:$1,0)-MATCH("character_id",[4]characters!$1:$1,0)+1,FALSE),"")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84" s="5">
        <f ca="1">IFERROR(VLOOKUP($AB84,OFFSET([4]characters!$A$1,0,0,COUNTA([4]characters!$A:$A),MATCH(AD$1,[4]characters!$1:$1,0)-MATCH("character_id",[4]characters!$1:$1,0)+1),MATCH(AD$1,[4]characters!$1:$1,0)-MATCH("character_id",[4]characters!$1:$1,0)+1,FALSE),"")</f>
        <v>4</v>
      </c>
      <c r="AE84" s="5" t="str">
        <f ca="1">IFERROR(VLOOKUP($AB84,OFFSET([4]characters!$A$1,0,0,COUNTA([4]characters!$A:$A),MATCH(AE$1,[4]characters!$1:$1,0)-MATCH("character_id",[4]characters!$1:$1,0)+1),MATCH(AE$1,[4]characters!$1:$1,0)-MATCH("character_id",[4]characters!$1:$1,0)+1,FALSE),"")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4" s="28">
        <v>1</v>
      </c>
      <c r="AG84" s="75">
        <f t="shared" ca="1" si="45"/>
        <v>4</v>
      </c>
      <c r="AH84" s="9">
        <v>50</v>
      </c>
      <c r="AI84" s="28">
        <v>0</v>
      </c>
      <c r="AJ84" s="28">
        <v>0</v>
      </c>
      <c r="AK84" s="28">
        <v>0</v>
      </c>
      <c r="AL84" s="28">
        <v>0</v>
      </c>
      <c r="AM84" s="28">
        <v>1</v>
      </c>
      <c r="AN84" s="28">
        <v>1</v>
      </c>
    </row>
    <row r="85" spans="1:40" ht="21" customHeight="1" x14ac:dyDescent="0.15">
      <c r="A85" s="17" t="str">
        <f t="shared" ca="1" si="42"/>
        <v>11004_4-3/35&lt;lv35&gt;s4</v>
      </c>
      <c r="B85" s="84">
        <v>11004</v>
      </c>
      <c r="C85" s="85">
        <v>4</v>
      </c>
      <c r="D85" s="16" t="str">
        <f t="shared" si="43"/>
        <v>11004_4</v>
      </c>
      <c r="E85" s="5" t="str">
        <f ca="1">VLOOKUP($B85,OFFSET([2]quests!$A$1,0,0,COUNTA([2]quests!$A:$A),MATCH(E$1,[2]quests!$1:$1,0)-MATCH($B$1,[2]quests!$1:$1,0)+1),MATCH(E$1,[2]quests!$1:$1,0)-MATCH($B$1,[2]quests!$1:$1,0)+1,FALSE)</f>
        <v>【木曜限定】 緑の素材</v>
      </c>
      <c r="F85" s="5" t="str">
        <f ca="1">VLOOKUP($D85,OFFSET([2]stages!$A$1,0,0,COUNTA([2]stages!$A:$A),MATCH(F$1,[2]stages!$2:$2,0)-MATCH($D$1,[2]stages!$2:$2,0)+1),MATCH(F$1,[2]stages!$2:$2,0)-MATCH($D$1,[2]stages!$2:$2,0)+1,FALSE)</f>
        <v xml:space="preserve">【上級】樹のイモムシ </v>
      </c>
      <c r="G85" s="68">
        <v>3</v>
      </c>
      <c r="H85" s="16" t="str">
        <f t="shared" si="44"/>
        <v>11004_4-3</v>
      </c>
      <c r="I85" s="5" t="e">
        <v>#N/A</v>
      </c>
      <c r="J85" s="5" t="e">
        <v>#N/A</v>
      </c>
      <c r="K85" s="70" t="s">
        <v>217</v>
      </c>
      <c r="L85" s="70">
        <v>35</v>
      </c>
      <c r="M85" s="20" t="str">
        <f ca="1">VLOOKUP($L85,OFFSET([3]enemies!$A$1,0,0,COUNTA([3]enemies!$A:$A),MATCH(M$1,[3]enemies!$1:$1,0)-MATCH($L$1,[3]enemies!$1:$1,0)+1),MATCH(M$1,[3]enemies!$1:$1,0)-MATCH($L$1,[3]enemies!$1:$1,0)+1,FALSE)</f>
        <v>F2</v>
      </c>
      <c r="N85" s="20" t="str">
        <f ca="1">VLOOKUP($L85,OFFSET([3]enemies!$A$1,0,0,COUNTA([3]enemies!$A:$A),MATCH(N$1,[3]enemies!$1:$1,0)-MATCH($L$1,[3]enemies!$1:$1,0)+1),MATCH(N$1,[3]enemies!$1:$1,0)-MATCH($L$1,[3]enemies!$1:$1,0)+1,FALSE)</f>
        <v>green</v>
      </c>
      <c r="O85" s="22" t="str">
        <f ca="1">VLOOKUP($L85,OFFSET([4]characters!$A$1,0,0,COUNTA([4]characters!$A:$A),MATCH(O$1,[4]characters!$1:$1,0)-MATCH($L$1,[4]characters!$1:$1,0)+1),MATCH(O$1,[4]characters!$1:$1,0)-MATCH($L$1,[4]characters!$1:$1,0)+1,FALSE)</f>
        <v>Drop1S</v>
      </c>
      <c r="P85" s="20" t="str">
        <f ca="1">VLOOKUP($L85,OFFSET([3]enemies!$A$1,0,0,COUNTA([3]enemies!$A:$A),MATCH(P$1,[3]enemies!$1:$1,0)-MATCH($L$1,[3]enemies!$1:$1,0)+1),MATCH(P$1,[3]enemies!$1:$1,0)-MATCH($L$1,[3]enemies!$1:$1,0)+1,FALSE)</f>
        <v>machine</v>
      </c>
      <c r="Q85" s="20">
        <f ca="1">VLOOKUP($L85,OFFSET([3]enemies!$A$1,0,0,COUNTA([3]enemies!$A:$A),MATCH(Q$1,[3]enemies!$1:$1,0)-MATCH($L$1,[3]enemies!$1:$1,0)+1),MATCH(Q$1,[3]enemies!$1:$1,0)-MATCH($L$1,[3]enemies!$1:$1,0)+1,FALSE)</f>
        <v>15</v>
      </c>
      <c r="R85" s="6">
        <v>35</v>
      </c>
      <c r="S85" s="30">
        <v>1</v>
      </c>
      <c r="T85" s="30">
        <v>1</v>
      </c>
      <c r="U85" s="6">
        <v>0</v>
      </c>
      <c r="V85" s="5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85" s="5">
        <f ca="1">VLOOKUP($L85,OFFSET([3]enemies!$A$1,0,0,COUNTA([3]enemies!$A:$A),MATCH(W$1,[3]enemies!$1:$1,0)-MATCH($L$1,[3]enemies!$1:$1,0)+1),MATCH(W$1,[3]enemies!$1:$1,0)-MATCH($L$1,[3]enemies!$1:$1,0)+1,FALSE)</f>
        <v>35</v>
      </c>
      <c r="X85" s="7">
        <v>0</v>
      </c>
      <c r="Y85" s="7">
        <v>100</v>
      </c>
      <c r="Z85" s="7">
        <v>0</v>
      </c>
      <c r="AA85" s="20">
        <f ca="1">VLOOKUP($L85,OFFSET([3]enemies!$A$1,0,0,COUNTA([3]enemies!$A:$A),MATCH(AA$1,[3]enemies!$1:$1,0)-MATCH($L$1,[3]enemies!$1:$1,0)+1),MATCH(AA$1,[3]enemies!$1:$1,0)-MATCH($L$1,[3]enemies!$1:$1,0)+1,FALSE)</f>
        <v>4</v>
      </c>
      <c r="AB85" s="70">
        <v>35</v>
      </c>
      <c r="AC85" s="5" t="str">
        <f ca="1">IFERROR(VLOOKUP($AB85,OFFSET([4]characters!$A$1,0,0,COUNTA([4]characters!$A:$A),MATCH(AC$1,[4]characters!$1:$1,0)-MATCH("character_id",[4]characters!$1:$1,0)+1),MATCH(AC$1,[4]characters!$1:$1,0)-MATCH("character_id",[4]characters!$1:$1,0)+1,FALSE),"")</f>
        <v>F2</v>
      </c>
      <c r="AD85" s="5">
        <f ca="1">IFERROR(VLOOKUP($AB85,OFFSET([4]characters!$A$1,0,0,COUNTA([4]characters!$A:$A),MATCH(AD$1,[4]characters!$1:$1,0)-MATCH("character_id",[4]characters!$1:$1,0)+1),MATCH(AD$1,[4]characters!$1:$1,0)-MATCH("character_id",[4]characters!$1:$1,0)+1,FALSE),"")</f>
        <v>2</v>
      </c>
      <c r="AE85" s="5" t="str">
        <f ca="1">IFERROR(VLOOKUP($AB85,OFFSET([4]characters!$A$1,0,0,COUNTA([4]characters!$A:$A),MATCH(AE$1,[4]characters!$1:$1,0)-MATCH("character_id",[4]characters!$1:$1,0)+1),MATCH(AE$1,[4]characters!$1:$1,0)-MATCH("character_id",[4]characters!$1:$1,0)+1,FALSE),"")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85" s="28">
        <v>1</v>
      </c>
      <c r="AG85" s="75">
        <f t="shared" ca="1" si="45"/>
        <v>2</v>
      </c>
      <c r="AH85" s="9">
        <v>0</v>
      </c>
      <c r="AI85" s="28">
        <v>0</v>
      </c>
      <c r="AJ85" s="28">
        <v>0</v>
      </c>
      <c r="AK85" s="28">
        <v>0</v>
      </c>
      <c r="AL85" s="28">
        <v>0</v>
      </c>
      <c r="AM85" s="28">
        <v>1</v>
      </c>
      <c r="AN85" s="28">
        <v>1</v>
      </c>
    </row>
    <row r="86" spans="1:40" ht="21" customHeight="1" x14ac:dyDescent="0.15">
      <c r="A86" s="17" t="str">
        <f t="shared" ca="1" si="42"/>
        <v>11004_4-3/27&lt;lv35&gt;s1</v>
      </c>
      <c r="B86" s="84">
        <v>11004</v>
      </c>
      <c r="C86" s="85">
        <v>4</v>
      </c>
      <c r="D86" s="16" t="str">
        <f t="shared" si="43"/>
        <v>11004_4</v>
      </c>
      <c r="E86" s="5" t="str">
        <f ca="1">VLOOKUP($B86,OFFSET([2]quests!$A$1,0,0,COUNTA([2]quests!$A:$A),MATCH(E$1,[2]quests!$1:$1,0)-MATCH($B$1,[2]quests!$1:$1,0)+1),MATCH(E$1,[2]quests!$1:$1,0)-MATCH($B$1,[2]quests!$1:$1,0)+1,FALSE)</f>
        <v>【木曜限定】 緑の素材</v>
      </c>
      <c r="F86" s="5" t="str">
        <f ca="1">VLOOKUP($D86,OFFSET([2]stages!$A$1,0,0,COUNTA([2]stages!$A:$A),MATCH(F$1,[2]stages!$2:$2,0)-MATCH($D$1,[2]stages!$2:$2,0)+1),MATCH(F$1,[2]stages!$2:$2,0)-MATCH($D$1,[2]stages!$2:$2,0)+1,FALSE)</f>
        <v xml:space="preserve">【上級】樹のイモムシ </v>
      </c>
      <c r="G86" s="68">
        <v>3</v>
      </c>
      <c r="H86" s="16" t="str">
        <f t="shared" si="44"/>
        <v>11004_4-3</v>
      </c>
      <c r="I86" s="5" t="e">
        <v>#N/A</v>
      </c>
      <c r="J86" s="5" t="e">
        <v>#N/A</v>
      </c>
      <c r="K86" s="70" t="s">
        <v>217</v>
      </c>
      <c r="L86" s="70">
        <v>27</v>
      </c>
      <c r="M86" s="20" t="str">
        <f ca="1">VLOOKUP($L86,OFFSET([3]enemies!$A$1,0,0,COUNTA([3]enemies!$A:$A),MATCH(M$1,[3]enemies!$1:$1,0)-MATCH($L$1,[3]enemies!$1:$1,0)+1),MATCH(M$1,[3]enemies!$1:$1,0)-MATCH($L$1,[3]enemies!$1:$1,0)+1,FALSE)</f>
        <v>パトライン</v>
      </c>
      <c r="N86" s="20" t="str">
        <f ca="1">VLOOKUP($L86,OFFSET([3]enemies!$A$1,0,0,COUNTA([3]enemies!$A:$A),MATCH(N$1,[3]enemies!$1:$1,0)-MATCH($L$1,[3]enemies!$1:$1,0)+1),MATCH(N$1,[3]enemies!$1:$1,0)-MATCH($L$1,[3]enemies!$1:$1,0)+1,FALSE)</f>
        <v>green</v>
      </c>
      <c r="O86" s="22" t="str">
        <f ca="1">VLOOKUP($L86,OFFSET([4]characters!$A$1,0,0,COUNTA([4]characters!$A:$A),MATCH(O$1,[4]characters!$1:$1,0)-MATCH($L$1,[4]characters!$1:$1,0)+1),MATCH(O$1,[4]characters!$1:$1,0)-MATCH($L$1,[4]characters!$1:$1,0)+1,FALSE)</f>
        <v>Drop1N</v>
      </c>
      <c r="P86" s="20" t="str">
        <f ca="1">VLOOKUP($L86,OFFSET([3]enemies!$A$1,0,0,COUNTA([3]enemies!$A:$A),MATCH(P$1,[3]enemies!$1:$1,0)-MATCH($L$1,[3]enemies!$1:$1,0)+1),MATCH(P$1,[3]enemies!$1:$1,0)-MATCH($L$1,[3]enemies!$1:$1,0)+1,FALSE)</f>
        <v>machine</v>
      </c>
      <c r="Q86" s="20">
        <f ca="1">VLOOKUP($L86,OFFSET([3]enemies!$A$1,0,0,COUNTA([3]enemies!$A:$A),MATCH(Q$1,[3]enemies!$1:$1,0)-MATCH($L$1,[3]enemies!$1:$1,0)+1),MATCH(Q$1,[3]enemies!$1:$1,0)-MATCH($L$1,[3]enemies!$1:$1,0)+1,FALSE)</f>
        <v>15</v>
      </c>
      <c r="R86" s="6">
        <v>35</v>
      </c>
      <c r="S86" s="30">
        <v>1</v>
      </c>
      <c r="T86" s="30">
        <v>1</v>
      </c>
      <c r="U86" s="6">
        <v>0</v>
      </c>
      <c r="V86" s="5" t="str">
        <f ca="1">VLOOKUP($W86,OFFSET([5]enemy_skill_sets!$B$1,0,0,COUNTA([5]enemy_skill_sets!$B:$B),MATCH(M$1,[5]enemy_skill_sets!$1:$1,0)-MATCH($W$1,[5]enemy_skill_sets!$1:$1,0)+2),MATCH(M$1,[5]enemy_skill_sets!$1:$1,0)-MATCH($W$1,[5]enemy_skill_sets!$1:$1,0)+2,FALSE)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6" s="5">
        <f ca="1">VLOOKUP($L86,OFFSET([3]enemies!$A$1,0,0,COUNTA([3]enemies!$A:$A),MATCH(W$1,[3]enemies!$1:$1,0)-MATCH($L$1,[3]enemies!$1:$1,0)+1),MATCH(W$1,[3]enemies!$1:$1,0)-MATCH($L$1,[3]enemies!$1:$1,0)+1,FALSE)</f>
        <v>0</v>
      </c>
      <c r="X86" s="7">
        <v>0</v>
      </c>
      <c r="Y86" s="7">
        <v>100</v>
      </c>
      <c r="Z86" s="7">
        <v>0</v>
      </c>
      <c r="AA86" s="20">
        <f ca="1">VLOOKUP($L86,OFFSET([3]enemies!$A$1,0,0,COUNTA([3]enemies!$A:$A),MATCH(AA$1,[3]enemies!$1:$1,0)-MATCH($L$1,[3]enemies!$1:$1,0)+1),MATCH(AA$1,[3]enemies!$1:$1,0)-MATCH($L$1,[3]enemies!$1:$1,0)+1,FALSE)</f>
        <v>1</v>
      </c>
      <c r="AB86" s="70">
        <v>27</v>
      </c>
      <c r="AC86" s="5" t="str">
        <f ca="1">IFERROR(VLOOKUP($AB86,OFFSET([4]characters!$A$1,0,0,COUNTA([4]characters!$A:$A),MATCH(AC$1,[4]characters!$1:$1,0)-MATCH("character_id",[4]characters!$1:$1,0)+1),MATCH(AC$1,[4]characters!$1:$1,0)-MATCH("character_id",[4]characters!$1:$1,0)+1,FALSE),"")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86" s="5">
        <f ca="1">IFERROR(VLOOKUP($AB86,OFFSET([4]characters!$A$1,0,0,COUNTA([4]characters!$A:$A),MATCH(AD$1,[4]characters!$1:$1,0)-MATCH("character_id",[4]characters!$1:$1,0)+1),MATCH(AD$1,[4]characters!$1:$1,0)-MATCH("character_id",[4]characters!$1:$1,0)+1,FALSE),"")</f>
        <v>1</v>
      </c>
      <c r="AE86" s="5" t="str">
        <f ca="1">IFERROR(VLOOKUP($AB86,OFFSET([4]characters!$A$1,0,0,COUNTA([4]characters!$A:$A),MATCH(AE$1,[4]characters!$1:$1,0)-MATCH("character_id",[4]characters!$1:$1,0)+1),MATCH(AE$1,[4]characters!$1:$1,0)-MATCH("character_id",[4]characters!$1:$1,0)+1,FALSE),"")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86" s="28">
        <v>1</v>
      </c>
      <c r="AG86" s="75">
        <f t="shared" ca="1" si="45"/>
        <v>1</v>
      </c>
      <c r="AH86" s="9">
        <v>0</v>
      </c>
      <c r="AI86" s="28">
        <v>0</v>
      </c>
      <c r="AJ86" s="28">
        <v>0</v>
      </c>
      <c r="AK86" s="28">
        <v>0</v>
      </c>
      <c r="AL86" s="28">
        <v>0</v>
      </c>
      <c r="AM86" s="28">
        <v>1</v>
      </c>
      <c r="AN86" s="28">
        <v>1</v>
      </c>
    </row>
    <row r="87" spans="1:40" ht="21" customHeight="1" x14ac:dyDescent="0.15">
      <c r="A87" s="17" t="str">
        <f t="shared" ca="1" si="42"/>
        <v>11004_4-3/336&lt;lv1&gt;s1</v>
      </c>
      <c r="B87" s="84">
        <v>11004</v>
      </c>
      <c r="C87" s="85">
        <v>4</v>
      </c>
      <c r="D87" s="16" t="str">
        <f t="shared" si="43"/>
        <v>11004_4</v>
      </c>
      <c r="E87" s="5" t="str">
        <f ca="1">VLOOKUP($B87,OFFSET([2]quests!$A$1,0,0,COUNTA([2]quests!$A:$A),MATCH(E$1,[2]quests!$1:$1,0)-MATCH($B$1,[2]quests!$1:$1,0)+1),MATCH(E$1,[2]quests!$1:$1,0)-MATCH($B$1,[2]quests!$1:$1,0)+1,FALSE)</f>
        <v>【木曜限定】 緑の素材</v>
      </c>
      <c r="F87" s="5" t="str">
        <f ca="1">VLOOKUP($D87,OFFSET([2]stages!$A$1,0,0,COUNTA([2]stages!$A:$A),MATCH(F$1,[2]stages!$2:$2,0)-MATCH($D$1,[2]stages!$2:$2,0)+1),MATCH(F$1,[2]stages!$2:$2,0)-MATCH($D$1,[2]stages!$2:$2,0)+1,FALSE)</f>
        <v xml:space="preserve">【上級】樹のイモムシ </v>
      </c>
      <c r="G87" s="68">
        <v>3</v>
      </c>
      <c r="H87" s="16" t="str">
        <f t="shared" si="44"/>
        <v>11004_4-3</v>
      </c>
      <c r="I87" s="5" t="e">
        <v>#N/A</v>
      </c>
      <c r="J87" s="5" t="e">
        <v>#N/A</v>
      </c>
      <c r="K87" s="70" t="s">
        <v>217</v>
      </c>
      <c r="L87" s="70">
        <v>336</v>
      </c>
      <c r="M87" s="20" t="str">
        <f ca="1">VLOOKUP($L87,OFFSET([3]enemies!$A$1,0,0,COUNTA([3]enemies!$A:$A),MATCH(M$1,[3]enemies!$1:$1,0)-MATCH($L$1,[3]enemies!$1:$1,0)+1),MATCH(M$1,[3]enemies!$1:$1,0)-MATCH($L$1,[3]enemies!$1:$1,0)+1,FALSE)</f>
        <v>森のメタルピヨピヨ</v>
      </c>
      <c r="N87" s="20" t="str">
        <f ca="1">VLOOKUP($L87,OFFSET([3]enemies!$A$1,0,0,COUNTA([3]enemies!$A:$A),MATCH(N$1,[3]enemies!$1:$1,0)-MATCH($L$1,[3]enemies!$1:$1,0)+1),MATCH(N$1,[3]enemies!$1:$1,0)-MATCH($L$1,[3]enemies!$1:$1,0)+1,FALSE)</f>
        <v>green</v>
      </c>
      <c r="O87" s="22" t="str">
        <f ca="1">VLOOKUP($L87,OFFSET([4]characters!$A$1,0,0,COUNTA([4]characters!$A:$A),MATCH(O$1,[4]characters!$1:$1,0)-MATCH($L$1,[4]characters!$1:$1,0)+1),MATCH(O$1,[4]characters!$1:$1,0)-MATCH($L$1,[4]characters!$1:$1,0)+1,FALSE)</f>
        <v>Material</v>
      </c>
      <c r="P87" s="20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20">
        <f ca="1">VLOOKUP($L87,OFFSET([3]enemies!$A$1,0,0,COUNTA([3]enemies!$A:$A),MATCH(Q$1,[3]enemies!$1:$1,0)-MATCH($L$1,[3]enemies!$1:$1,0)+1),MATCH(Q$1,[3]enemies!$1:$1,0)-MATCH($L$1,[3]enemies!$1:$1,0)+1,FALSE)</f>
        <v>15</v>
      </c>
      <c r="R87" s="6">
        <v>1</v>
      </c>
      <c r="S87" s="30">
        <v>1</v>
      </c>
      <c r="T87" s="30">
        <v>1</v>
      </c>
      <c r="U87" s="6">
        <v>0</v>
      </c>
      <c r="V87" s="5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5">
        <f ca="1">VLOOKUP($L87,OFFSET([3]enemies!$A$1,0,0,COUNTA([3]enemies!$A:$A),MATCH(W$1,[3]enemies!$1:$1,0)-MATCH($L$1,[3]enemies!$1:$1,0)+1),MATCH(W$1,[3]enemies!$1:$1,0)-MATCH($L$1,[3]enemies!$1:$1,0)+1,FALSE)</f>
        <v>0</v>
      </c>
      <c r="X87" s="7">
        <v>0</v>
      </c>
      <c r="Y87" s="7">
        <v>30</v>
      </c>
      <c r="Z87" s="7">
        <v>0</v>
      </c>
      <c r="AA87" s="20">
        <f ca="1">VLOOKUP($L87,OFFSET([3]enemies!$A$1,0,0,COUNTA([3]enemies!$A:$A),MATCH(AA$1,[3]enemies!$1:$1,0)-MATCH($L$1,[3]enemies!$1:$1,0)+1),MATCH(AA$1,[3]enemies!$1:$1,0)-MATCH($L$1,[3]enemies!$1:$1,0)+1,FALSE)</f>
        <v>1</v>
      </c>
      <c r="AB87" s="70">
        <v>336</v>
      </c>
      <c r="AC87" s="5" t="str">
        <f ca="1">IFERROR(VLOOKUP($AB87,OFFSET([4]characters!$A$1,0,0,COUNTA([4]characters!$A:$A),MATCH(AC$1,[4]characters!$1:$1,0)-MATCH("character_id",[4]characters!$1:$1,0)+1),MATCH(AC$1,[4]characters!$1:$1,0)-MATCH("character_id",[4]characters!$1:$1,0)+1,FALSE),"")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87" s="5">
        <f ca="1">IFERROR(VLOOKUP($AB87,OFFSET([4]characters!$A$1,0,0,COUNTA([4]characters!$A:$A),MATCH(AD$1,[4]characters!$1:$1,0)-MATCH("character_id",[4]characters!$1:$1,0)+1),MATCH(AD$1,[4]characters!$1:$1,0)-MATCH("character_id",[4]characters!$1:$1,0)+1,FALSE),"")</f>
        <v>3</v>
      </c>
      <c r="AE87" s="5" t="str">
        <f ca="1">IFERROR(VLOOKUP($AB87,OFFSET([4]characters!$A$1,0,0,COUNTA([4]characters!$A:$A),MATCH(AE$1,[4]characters!$1:$1,0)-MATCH("character_id",[4]characters!$1:$1,0)+1),MATCH(AE$1,[4]characters!$1:$1,0)-MATCH("character_id",[4]characters!$1:$1,0)+1,FALSE),"")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7" s="28">
        <v>1</v>
      </c>
      <c r="AG87" s="75">
        <f t="shared" ca="1" si="45"/>
        <v>3</v>
      </c>
      <c r="AH87" s="9">
        <v>10</v>
      </c>
      <c r="AI87" s="28">
        <v>0</v>
      </c>
      <c r="AJ87" s="28">
        <v>0</v>
      </c>
      <c r="AK87" s="28">
        <v>0</v>
      </c>
      <c r="AL87" s="28">
        <v>0</v>
      </c>
      <c r="AM87" s="28">
        <v>1</v>
      </c>
      <c r="AN87" s="28">
        <v>1</v>
      </c>
    </row>
    <row r="88" spans="1:40" ht="21" customHeight="1" x14ac:dyDescent="0.15">
      <c r="A88" s="17" t="str">
        <f t="shared" ca="1" si="42"/>
        <v>11004_4-3/337&lt;lv1&gt;s2</v>
      </c>
      <c r="B88" s="84">
        <v>11004</v>
      </c>
      <c r="C88" s="85">
        <v>4</v>
      </c>
      <c r="D88" s="16" t="str">
        <f t="shared" si="43"/>
        <v>11004_4</v>
      </c>
      <c r="E88" s="5" t="str">
        <f ca="1">VLOOKUP($B88,OFFSET([2]quests!$A$1,0,0,COUNTA([2]quests!$A:$A),MATCH(E$1,[2]quests!$1:$1,0)-MATCH($B$1,[2]quests!$1:$1,0)+1),MATCH(E$1,[2]quests!$1:$1,0)-MATCH($B$1,[2]quests!$1:$1,0)+1,FALSE)</f>
        <v>【木曜限定】 緑の素材</v>
      </c>
      <c r="F88" s="5" t="str">
        <f ca="1">VLOOKUP($D88,OFFSET([2]stages!$A$1,0,0,COUNTA([2]stages!$A:$A),MATCH(F$1,[2]stages!$2:$2,0)-MATCH($D$1,[2]stages!$2:$2,0)+1),MATCH(F$1,[2]stages!$2:$2,0)-MATCH($D$1,[2]stages!$2:$2,0)+1,FALSE)</f>
        <v xml:space="preserve">【上級】樹のイモムシ </v>
      </c>
      <c r="G88" s="68">
        <v>3</v>
      </c>
      <c r="H88" s="16" t="str">
        <f t="shared" si="44"/>
        <v>11004_4-3</v>
      </c>
      <c r="I88" s="5" t="e">
        <v>#N/A</v>
      </c>
      <c r="J88" s="5" t="e">
        <v>#N/A</v>
      </c>
      <c r="K88" s="70" t="s">
        <v>217</v>
      </c>
      <c r="L88" s="70">
        <v>337</v>
      </c>
      <c r="M88" s="20" t="str">
        <f ca="1">VLOOKUP($L88,OFFSET([3]enemies!$A$1,0,0,COUNTA([3]enemies!$A:$A),MATCH(M$1,[3]enemies!$1:$1,0)-MATCH($L$1,[3]enemies!$1:$1,0)+1),MATCH(M$1,[3]enemies!$1:$1,0)-MATCH($L$1,[3]enemies!$1:$1,0)+1,FALSE)</f>
        <v>森のメタルチック</v>
      </c>
      <c r="N88" s="20" t="str">
        <f ca="1">VLOOKUP($L88,OFFSET([3]enemies!$A$1,0,0,COUNTA([3]enemies!$A:$A),MATCH(N$1,[3]enemies!$1:$1,0)-MATCH($L$1,[3]enemies!$1:$1,0)+1),MATCH(N$1,[3]enemies!$1:$1,0)-MATCH($L$1,[3]enemies!$1:$1,0)+1,FALSE)</f>
        <v>green</v>
      </c>
      <c r="O88" s="22" t="str">
        <f ca="1">VLOOKUP($L88,OFFSET([4]characters!$A$1,0,0,COUNTA([4]characters!$A:$A),MATCH(O$1,[4]characters!$1:$1,0)-MATCH($L$1,[4]characters!$1:$1,0)+1),MATCH(O$1,[4]characters!$1:$1,0)-MATCH($L$1,[4]characters!$1:$1,0)+1,FALSE)</f>
        <v>Material</v>
      </c>
      <c r="P88" s="20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20">
        <f ca="1">VLOOKUP($L88,OFFSET([3]enemies!$A$1,0,0,COUNTA([3]enemies!$A:$A),MATCH(Q$1,[3]enemies!$1:$1,0)-MATCH($L$1,[3]enemies!$1:$1,0)+1),MATCH(Q$1,[3]enemies!$1:$1,0)-MATCH($L$1,[3]enemies!$1:$1,0)+1,FALSE)</f>
        <v>15</v>
      </c>
      <c r="R88" s="6">
        <v>1</v>
      </c>
      <c r="S88" s="30">
        <v>1</v>
      </c>
      <c r="T88" s="30">
        <v>1</v>
      </c>
      <c r="U88" s="6">
        <v>0</v>
      </c>
      <c r="V88" s="5" t="str">
        <f ca="1">VLOOKUP($W88,OFFSET([5]enemy_skill_sets!$B$1,0,0,COUNTA([5]enemy_skill_sets!$B:$B),MATCH(M$1,[5]enemy_skill_sets!$1:$1,0)-MATCH($W$1,[5]enemy_skill_sets!$1:$1,0)+2),MATCH(M$1,[5]enemy_skill_sets!$1:$1,0)-MATCH($W$1,[5]enemy_skill_sets!$1:$1,0)+2,FALSE)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8" s="5">
        <f ca="1">VLOOKUP($L88,OFFSET([3]enemies!$A$1,0,0,COUNTA([3]enemies!$A:$A),MATCH(W$1,[3]enemies!$1:$1,0)-MATCH($L$1,[3]enemies!$1:$1,0)+1),MATCH(W$1,[3]enemies!$1:$1,0)-MATCH($L$1,[3]enemies!$1:$1,0)+1,FALSE)</f>
        <v>0</v>
      </c>
      <c r="X88" s="7">
        <v>0</v>
      </c>
      <c r="Y88" s="7">
        <v>30</v>
      </c>
      <c r="Z88" s="7">
        <v>0</v>
      </c>
      <c r="AA88" s="20">
        <f ca="1">VLOOKUP($L88,OFFSET([3]enemies!$A$1,0,0,COUNTA([3]enemies!$A:$A),MATCH(AA$1,[3]enemies!$1:$1,0)-MATCH($L$1,[3]enemies!$1:$1,0)+1),MATCH(AA$1,[3]enemies!$1:$1,0)-MATCH($L$1,[3]enemies!$1:$1,0)+1,FALSE)</f>
        <v>2</v>
      </c>
      <c r="AB88" s="70">
        <v>337</v>
      </c>
      <c r="AC88" s="5" t="str">
        <f ca="1">IFERROR(VLOOKUP($AB88,OFFSET([4]characters!$A$1,0,0,COUNTA([4]characters!$A:$A),MATCH(AC$1,[4]characters!$1:$1,0)-MATCH("character_id",[4]characters!$1:$1,0)+1),MATCH(AC$1,[4]characters!$1:$1,0)-MATCH("character_id",[4]characters!$1:$1,0)+1,FALSE),"")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88" s="5">
        <f ca="1">IFERROR(VLOOKUP($AB88,OFFSET([4]characters!$A$1,0,0,COUNTA([4]characters!$A:$A),MATCH(AD$1,[4]characters!$1:$1,0)-MATCH("character_id",[4]characters!$1:$1,0)+1),MATCH(AD$1,[4]characters!$1:$1,0)-MATCH("character_id",[4]characters!$1:$1,0)+1,FALSE),"")</f>
        <v>4</v>
      </c>
      <c r="AE88" s="5" t="str">
        <f ca="1">IFERROR(VLOOKUP($AB88,OFFSET([4]characters!$A$1,0,0,COUNTA([4]characters!$A:$A),MATCH(AE$1,[4]characters!$1:$1,0)-MATCH("character_id",[4]characters!$1:$1,0)+1),MATCH(AE$1,[4]characters!$1:$1,0)-MATCH("character_id",[4]characters!$1:$1,0)+1,FALSE),"")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8" s="28">
        <v>1</v>
      </c>
      <c r="AG88" s="75">
        <f t="shared" ca="1" si="45"/>
        <v>4</v>
      </c>
      <c r="AH88" s="9">
        <v>5</v>
      </c>
      <c r="AI88" s="28">
        <v>0</v>
      </c>
      <c r="AJ88" s="28">
        <v>0</v>
      </c>
      <c r="AK88" s="28">
        <v>0</v>
      </c>
      <c r="AL88" s="28">
        <v>0</v>
      </c>
      <c r="AM88" s="28">
        <v>1</v>
      </c>
      <c r="AN88" s="28">
        <v>1</v>
      </c>
    </row>
    <row r="89" spans="1:40" ht="21" customHeight="1" x14ac:dyDescent="0.15">
      <c r="A89" s="17" t="str">
        <f t="shared" ca="1" si="42"/>
        <v>11004_4-4/107&lt;lv30&gt;s1</v>
      </c>
      <c r="B89" s="84">
        <v>11004</v>
      </c>
      <c r="C89" s="85">
        <v>4</v>
      </c>
      <c r="D89" s="16" t="str">
        <f t="shared" si="43"/>
        <v>11004_4</v>
      </c>
      <c r="E89" s="5" t="str">
        <f ca="1">VLOOKUP($B89,OFFSET([2]quests!$A$1,0,0,COUNTA([2]quests!$A:$A),MATCH(E$1,[2]quests!$1:$1,0)-MATCH($B$1,[2]quests!$1:$1,0)+1),MATCH(E$1,[2]quests!$1:$1,0)-MATCH($B$1,[2]quests!$1:$1,0)+1,FALSE)</f>
        <v>【木曜限定】 緑の素材</v>
      </c>
      <c r="F89" s="5" t="str">
        <f ca="1">VLOOKUP($D89,OFFSET([2]stages!$A$1,0,0,COUNTA([2]stages!$A:$A),MATCH(F$1,[2]stages!$2:$2,0)-MATCH($D$1,[2]stages!$2:$2,0)+1),MATCH(F$1,[2]stages!$2:$2,0)-MATCH($D$1,[2]stages!$2:$2,0)+1,FALSE)</f>
        <v xml:space="preserve">【上級】樹のイモムシ </v>
      </c>
      <c r="G89" s="68">
        <v>4</v>
      </c>
      <c r="H89" s="16" t="str">
        <f t="shared" si="44"/>
        <v>11004_4-4</v>
      </c>
      <c r="I89" s="5" t="e">
        <v>#N/A</v>
      </c>
      <c r="J89" s="5" t="e">
        <v>#N/A</v>
      </c>
      <c r="K89" s="70" t="s">
        <v>217</v>
      </c>
      <c r="L89" s="70">
        <v>107</v>
      </c>
      <c r="M89" s="20" t="str">
        <f ca="1">VLOOKUP($L89,OFFSET([3]enemies!$A$1,0,0,COUNTA([3]enemies!$A:$A),MATCH(M$1,[3]enemies!$1:$1,0)-MATCH($L$1,[3]enemies!$1:$1,0)+1),MATCH(M$1,[3]enemies!$1:$1,0)-MATCH($L$1,[3]enemies!$1:$1,0)+1,FALSE)</f>
        <v>グリーンキャタップ</v>
      </c>
      <c r="N89" s="20" t="str">
        <f ca="1">VLOOKUP($L89,OFFSET([3]enemies!$A$1,0,0,COUNTA([3]enemies!$A:$A),MATCH(N$1,[3]enemies!$1:$1,0)-MATCH($L$1,[3]enemies!$1:$1,0)+1),MATCH(N$1,[3]enemies!$1:$1,0)-MATCH($L$1,[3]enemies!$1:$1,0)+1,FALSE)</f>
        <v>green</v>
      </c>
      <c r="O89" s="22" t="str">
        <f ca="1">VLOOKUP($L89,OFFSET([4]characters!$A$1,0,0,COUNTA([4]characters!$A:$A),MATCH(O$1,[4]characters!$1:$1,0)-MATCH($L$1,[4]characters!$1:$1,0)+1),MATCH(O$1,[4]characters!$1:$1,0)-MATCH($L$1,[4]characters!$1:$1,0)+1,FALSE)</f>
        <v>Material</v>
      </c>
      <c r="P89" s="20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20">
        <f ca="1">VLOOKUP($L89,OFFSET([3]enemies!$A$1,0,0,COUNTA([3]enemies!$A:$A),MATCH(Q$1,[3]enemies!$1:$1,0)-MATCH($L$1,[3]enemies!$1:$1,0)+1),MATCH(Q$1,[3]enemies!$1:$1,0)-MATCH($L$1,[3]enemies!$1:$1,0)+1,FALSE)</f>
        <v>15</v>
      </c>
      <c r="R89" s="6">
        <v>30</v>
      </c>
      <c r="S89" s="30">
        <v>2</v>
      </c>
      <c r="T89" s="30">
        <v>1</v>
      </c>
      <c r="U89" s="6">
        <v>0</v>
      </c>
      <c r="V89" s="5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5">
        <f ca="1">VLOOKUP($L89,OFFSET([3]enemies!$A$1,0,0,COUNTA([3]enemies!$A:$A),MATCH(W$1,[3]enemies!$1:$1,0)-MATCH($L$1,[3]enemies!$1:$1,0)+1),MATCH(W$1,[3]enemies!$1:$1,0)-MATCH($L$1,[3]enemies!$1:$1,0)+1,FALSE)</f>
        <v>0</v>
      </c>
      <c r="X89" s="7">
        <v>1</v>
      </c>
      <c r="Y89" s="7">
        <v>100</v>
      </c>
      <c r="Z89" s="7">
        <v>1</v>
      </c>
      <c r="AA89" s="20">
        <f ca="1">VLOOKUP($L89,OFFSET([3]enemies!$A$1,0,0,COUNTA([3]enemies!$A:$A),MATCH(AA$1,[3]enemies!$1:$1,0)-MATCH($L$1,[3]enemies!$1:$1,0)+1),MATCH(AA$1,[3]enemies!$1:$1,0)-MATCH($L$1,[3]enemies!$1:$1,0)+1,FALSE)</f>
        <v>1</v>
      </c>
      <c r="AB89" s="70">
        <v>107</v>
      </c>
      <c r="AC89" s="5" t="str">
        <f ca="1">IFERROR(VLOOKUP($AB89,OFFSET([4]characters!$A$1,0,0,COUNTA([4]characters!$A:$A),MATCH(AC$1,[4]characters!$1:$1,0)-MATCH("character_id",[4]characters!$1:$1,0)+1),MATCH(AC$1,[4]characters!$1:$1,0)-MATCH("character_id",[4]characters!$1:$1,0)+1,FALSE),"")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89" s="5">
        <f ca="1">IFERROR(VLOOKUP($AB89,OFFSET([4]characters!$A$1,0,0,COUNTA([4]characters!$A:$A),MATCH(AD$1,[4]characters!$1:$1,0)-MATCH("character_id",[4]characters!$1:$1,0)+1),MATCH(AD$1,[4]characters!$1:$1,0)-MATCH("character_id",[4]characters!$1:$1,0)+1,FALSE),"")</f>
        <v>4</v>
      </c>
      <c r="AE89" s="5" t="str">
        <f ca="1">IFERROR(VLOOKUP($AB89,OFFSET([4]characters!$A$1,0,0,COUNTA([4]characters!$A:$A),MATCH(AE$1,[4]characters!$1:$1,0)-MATCH("character_id",[4]characters!$1:$1,0)+1),MATCH(AE$1,[4]characters!$1:$1,0)-MATCH("character_id",[4]characters!$1:$1,0)+1,FALSE),"")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9" s="28">
        <v>1</v>
      </c>
      <c r="AG89" s="75">
        <f t="shared" ca="1" si="45"/>
        <v>4</v>
      </c>
      <c r="AH89" s="9">
        <v>100</v>
      </c>
      <c r="AI89" s="28">
        <v>0</v>
      </c>
      <c r="AJ89" s="28">
        <v>0</v>
      </c>
      <c r="AK89" s="28">
        <v>0</v>
      </c>
      <c r="AL89" s="28">
        <v>0</v>
      </c>
      <c r="AM89" s="28">
        <v>1</v>
      </c>
      <c r="AN89" s="28">
        <v>1</v>
      </c>
    </row>
    <row r="90" spans="1:40" ht="21" customHeight="1" x14ac:dyDescent="0.15">
      <c r="A90" s="17" t="str">
        <f t="shared" ca="1" si="42"/>
        <v>11004_4-4/35&lt;lv35&gt;s4</v>
      </c>
      <c r="B90" s="84">
        <v>11004</v>
      </c>
      <c r="C90" s="85">
        <v>4</v>
      </c>
      <c r="D90" s="16" t="str">
        <f t="shared" si="43"/>
        <v>11004_4</v>
      </c>
      <c r="E90" s="5" t="str">
        <f ca="1">VLOOKUP($B90,OFFSET([2]quests!$A$1,0,0,COUNTA([2]quests!$A:$A),MATCH(E$1,[2]quests!$1:$1,0)-MATCH($B$1,[2]quests!$1:$1,0)+1),MATCH(E$1,[2]quests!$1:$1,0)-MATCH($B$1,[2]quests!$1:$1,0)+1,FALSE)</f>
        <v>【木曜限定】 緑の素材</v>
      </c>
      <c r="F90" s="5" t="str">
        <f ca="1">VLOOKUP($D90,OFFSET([2]stages!$A$1,0,0,COUNTA([2]stages!$A:$A),MATCH(F$1,[2]stages!$2:$2,0)-MATCH($D$1,[2]stages!$2:$2,0)+1),MATCH(F$1,[2]stages!$2:$2,0)-MATCH($D$1,[2]stages!$2:$2,0)+1,FALSE)</f>
        <v xml:space="preserve">【上級】樹のイモムシ </v>
      </c>
      <c r="G90" s="68">
        <v>4</v>
      </c>
      <c r="H90" s="16" t="str">
        <f t="shared" si="44"/>
        <v>11004_4-4</v>
      </c>
      <c r="I90" s="5" t="e">
        <v>#N/A</v>
      </c>
      <c r="J90" s="5" t="e">
        <v>#N/A</v>
      </c>
      <c r="K90" s="70" t="s">
        <v>217</v>
      </c>
      <c r="L90" s="70">
        <v>35</v>
      </c>
      <c r="M90" s="20" t="str">
        <f ca="1">VLOOKUP($L90,OFFSET([3]enemies!$A$1,0,0,COUNTA([3]enemies!$A:$A),MATCH(M$1,[3]enemies!$1:$1,0)-MATCH($L$1,[3]enemies!$1:$1,0)+1),MATCH(M$1,[3]enemies!$1:$1,0)-MATCH($L$1,[3]enemies!$1:$1,0)+1,FALSE)</f>
        <v>F2</v>
      </c>
      <c r="N90" s="20" t="str">
        <f ca="1">VLOOKUP($L90,OFFSET([3]enemies!$A$1,0,0,COUNTA([3]enemies!$A:$A),MATCH(N$1,[3]enemies!$1:$1,0)-MATCH($L$1,[3]enemies!$1:$1,0)+1),MATCH(N$1,[3]enemies!$1:$1,0)-MATCH($L$1,[3]enemies!$1:$1,0)+1,FALSE)</f>
        <v>green</v>
      </c>
      <c r="O90" s="22" t="str">
        <f ca="1">VLOOKUP($L90,OFFSET([4]characters!$A$1,0,0,COUNTA([4]characters!$A:$A),MATCH(O$1,[4]characters!$1:$1,0)-MATCH($L$1,[4]characters!$1:$1,0)+1),MATCH(O$1,[4]characters!$1:$1,0)-MATCH($L$1,[4]characters!$1:$1,0)+1,FALSE)</f>
        <v>Drop1S</v>
      </c>
      <c r="P90" s="20" t="str">
        <f ca="1">VLOOKUP($L90,OFFSET([3]enemies!$A$1,0,0,COUNTA([3]enemies!$A:$A),MATCH(P$1,[3]enemies!$1:$1,0)-MATCH($L$1,[3]enemies!$1:$1,0)+1),MATCH(P$1,[3]enemies!$1:$1,0)-MATCH($L$1,[3]enemies!$1:$1,0)+1,FALSE)</f>
        <v>machine</v>
      </c>
      <c r="Q90" s="20">
        <f ca="1">VLOOKUP($L90,OFFSET([3]enemies!$A$1,0,0,COUNTA([3]enemies!$A:$A),MATCH(Q$1,[3]enemies!$1:$1,0)-MATCH($L$1,[3]enemies!$1:$1,0)+1),MATCH(Q$1,[3]enemies!$1:$1,0)-MATCH($L$1,[3]enemies!$1:$1,0)+1,FALSE)</f>
        <v>15</v>
      </c>
      <c r="R90" s="6">
        <v>35</v>
      </c>
      <c r="S90" s="30">
        <v>1</v>
      </c>
      <c r="T90" s="30">
        <v>1</v>
      </c>
      <c r="U90" s="6">
        <v>0</v>
      </c>
      <c r="V90" s="5" t="str">
        <f ca="1">VLOOKUP($W90,OFFSET([5]enemy_skill_sets!$B$1,0,0,COUNTA([5]enemy_skill_sets!$B:$B),MATCH(M$1,[5]enemy_skill_sets!$1:$1,0)-MATCH($W$1,[5]enemy_skill_sets!$1:$1,0)+2),MATCH(M$1,[5]enemy_skill_sets!$1:$1,0)-MATCH($W$1,[5]enemy_skill_sets!$1:$1,0)+2,FALSE)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90" s="5">
        <f ca="1">VLOOKUP($L90,OFFSET([3]enemies!$A$1,0,0,COUNTA([3]enemies!$A:$A),MATCH(W$1,[3]enemies!$1:$1,0)-MATCH($L$1,[3]enemies!$1:$1,0)+1),MATCH(W$1,[3]enemies!$1:$1,0)-MATCH($L$1,[3]enemies!$1:$1,0)+1,FALSE)</f>
        <v>35</v>
      </c>
      <c r="X90" s="7">
        <v>0</v>
      </c>
      <c r="Y90" s="7">
        <v>100</v>
      </c>
      <c r="Z90" s="7">
        <v>0</v>
      </c>
      <c r="AA90" s="20">
        <f ca="1">VLOOKUP($L90,OFFSET([3]enemies!$A$1,0,0,COUNTA([3]enemies!$A:$A),MATCH(AA$1,[3]enemies!$1:$1,0)-MATCH($L$1,[3]enemies!$1:$1,0)+1),MATCH(AA$1,[3]enemies!$1:$1,0)-MATCH($L$1,[3]enemies!$1:$1,0)+1,FALSE)</f>
        <v>4</v>
      </c>
      <c r="AB90" s="70">
        <v>35</v>
      </c>
      <c r="AC90" s="5" t="str">
        <f ca="1">IFERROR(VLOOKUP($AB90,OFFSET([4]characters!$A$1,0,0,COUNTA([4]characters!$A:$A),MATCH(AC$1,[4]characters!$1:$1,0)-MATCH("character_id",[4]characters!$1:$1,0)+1),MATCH(AC$1,[4]characters!$1:$1,0)-MATCH("character_id",[4]characters!$1:$1,0)+1,FALSE),"")</f>
        <v>F2</v>
      </c>
      <c r="AD90" s="5">
        <f ca="1">IFERROR(VLOOKUP($AB90,OFFSET([4]characters!$A$1,0,0,COUNTA([4]characters!$A:$A),MATCH(AD$1,[4]characters!$1:$1,0)-MATCH("character_id",[4]characters!$1:$1,0)+1),MATCH(AD$1,[4]characters!$1:$1,0)-MATCH("character_id",[4]characters!$1:$1,0)+1,FALSE),"")</f>
        <v>2</v>
      </c>
      <c r="AE90" s="5" t="str">
        <f ca="1">IFERROR(VLOOKUP($AB90,OFFSET([4]characters!$A$1,0,0,COUNTA([4]characters!$A:$A),MATCH(AE$1,[4]characters!$1:$1,0)-MATCH("character_id",[4]characters!$1:$1,0)+1),MATCH(AE$1,[4]characters!$1:$1,0)-MATCH("character_id",[4]characters!$1:$1,0)+1,FALSE),"")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90" s="28">
        <v>1</v>
      </c>
      <c r="AG90" s="75">
        <f t="shared" ca="1" si="45"/>
        <v>2</v>
      </c>
      <c r="AH90" s="9">
        <v>0</v>
      </c>
      <c r="AI90" s="28">
        <v>0</v>
      </c>
      <c r="AJ90" s="28">
        <v>0</v>
      </c>
      <c r="AK90" s="28">
        <v>0</v>
      </c>
      <c r="AL90" s="28">
        <v>0</v>
      </c>
      <c r="AM90" s="28">
        <v>1</v>
      </c>
      <c r="AN90" s="28">
        <v>1</v>
      </c>
    </row>
    <row r="91" spans="1:40" ht="21" customHeight="1" x14ac:dyDescent="0.15">
      <c r="A91" s="17" t="str">
        <f t="shared" ca="1" si="42"/>
        <v>11004_4-4/27&lt;lv35&gt;s1</v>
      </c>
      <c r="B91" s="84">
        <v>11004</v>
      </c>
      <c r="C91" s="85">
        <v>4</v>
      </c>
      <c r="D91" s="16" t="str">
        <f t="shared" si="43"/>
        <v>11004_4</v>
      </c>
      <c r="E91" s="5" t="str">
        <f ca="1">VLOOKUP($B91,OFFSET([2]quests!$A$1,0,0,COUNTA([2]quests!$A:$A),MATCH(E$1,[2]quests!$1:$1,0)-MATCH($B$1,[2]quests!$1:$1,0)+1),MATCH(E$1,[2]quests!$1:$1,0)-MATCH($B$1,[2]quests!$1:$1,0)+1,FALSE)</f>
        <v>【木曜限定】 緑の素材</v>
      </c>
      <c r="F91" s="5" t="str">
        <f ca="1">VLOOKUP($D91,OFFSET([2]stages!$A$1,0,0,COUNTA([2]stages!$A:$A),MATCH(F$1,[2]stages!$2:$2,0)-MATCH($D$1,[2]stages!$2:$2,0)+1),MATCH(F$1,[2]stages!$2:$2,0)-MATCH($D$1,[2]stages!$2:$2,0)+1,FALSE)</f>
        <v xml:space="preserve">【上級】樹のイモムシ </v>
      </c>
      <c r="G91" s="68">
        <v>4</v>
      </c>
      <c r="H91" s="16" t="str">
        <f t="shared" si="44"/>
        <v>11004_4-4</v>
      </c>
      <c r="I91" s="5" t="e">
        <v>#N/A</v>
      </c>
      <c r="J91" s="5" t="e">
        <v>#N/A</v>
      </c>
      <c r="K91" s="70" t="s">
        <v>217</v>
      </c>
      <c r="L91" s="70">
        <v>27</v>
      </c>
      <c r="M91" s="20" t="str">
        <f ca="1">VLOOKUP($L91,OFFSET([3]enemies!$A$1,0,0,COUNTA([3]enemies!$A:$A),MATCH(M$1,[3]enemies!$1:$1,0)-MATCH($L$1,[3]enemies!$1:$1,0)+1),MATCH(M$1,[3]enemies!$1:$1,0)-MATCH($L$1,[3]enemies!$1:$1,0)+1,FALSE)</f>
        <v>パトライン</v>
      </c>
      <c r="N91" s="20" t="str">
        <f ca="1">VLOOKUP($L91,OFFSET([3]enemies!$A$1,0,0,COUNTA([3]enemies!$A:$A),MATCH(N$1,[3]enemies!$1:$1,0)-MATCH($L$1,[3]enemies!$1:$1,0)+1),MATCH(N$1,[3]enemies!$1:$1,0)-MATCH($L$1,[3]enemies!$1:$1,0)+1,FALSE)</f>
        <v>green</v>
      </c>
      <c r="O91" s="22" t="str">
        <f ca="1">VLOOKUP($L91,OFFSET([4]characters!$A$1,0,0,COUNTA([4]characters!$A:$A),MATCH(O$1,[4]characters!$1:$1,0)-MATCH($L$1,[4]characters!$1:$1,0)+1),MATCH(O$1,[4]characters!$1:$1,0)-MATCH($L$1,[4]characters!$1:$1,0)+1,FALSE)</f>
        <v>Drop1N</v>
      </c>
      <c r="P91" s="20" t="str">
        <f ca="1">VLOOKUP($L91,OFFSET([3]enemies!$A$1,0,0,COUNTA([3]enemies!$A:$A),MATCH(P$1,[3]enemies!$1:$1,0)-MATCH($L$1,[3]enemies!$1:$1,0)+1),MATCH(P$1,[3]enemies!$1:$1,0)-MATCH($L$1,[3]enemies!$1:$1,0)+1,FALSE)</f>
        <v>machine</v>
      </c>
      <c r="Q91" s="20">
        <f ca="1">VLOOKUP($L91,OFFSET([3]enemies!$A$1,0,0,COUNTA([3]enemies!$A:$A),MATCH(Q$1,[3]enemies!$1:$1,0)-MATCH($L$1,[3]enemies!$1:$1,0)+1),MATCH(Q$1,[3]enemies!$1:$1,0)-MATCH($L$1,[3]enemies!$1:$1,0)+1,FALSE)</f>
        <v>15</v>
      </c>
      <c r="R91" s="6">
        <v>35</v>
      </c>
      <c r="S91" s="30">
        <v>1</v>
      </c>
      <c r="T91" s="30">
        <v>1</v>
      </c>
      <c r="U91" s="6">
        <v>0</v>
      </c>
      <c r="V91" s="5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5">
        <f ca="1">VLOOKUP($L91,OFFSET([3]enemies!$A$1,0,0,COUNTA([3]enemies!$A:$A),MATCH(W$1,[3]enemies!$1:$1,0)-MATCH($L$1,[3]enemies!$1:$1,0)+1),MATCH(W$1,[3]enemies!$1:$1,0)-MATCH($L$1,[3]enemies!$1:$1,0)+1,FALSE)</f>
        <v>0</v>
      </c>
      <c r="X91" s="7">
        <v>0</v>
      </c>
      <c r="Y91" s="7">
        <v>100</v>
      </c>
      <c r="Z91" s="7">
        <v>0</v>
      </c>
      <c r="AA91" s="20">
        <f ca="1">VLOOKUP($L91,OFFSET([3]enemies!$A$1,0,0,COUNTA([3]enemies!$A:$A),MATCH(AA$1,[3]enemies!$1:$1,0)-MATCH($L$1,[3]enemies!$1:$1,0)+1),MATCH(AA$1,[3]enemies!$1:$1,0)-MATCH($L$1,[3]enemies!$1:$1,0)+1,FALSE)</f>
        <v>1</v>
      </c>
      <c r="AB91" s="70">
        <v>27</v>
      </c>
      <c r="AC91" s="5" t="str">
        <f ca="1">IFERROR(VLOOKUP($AB91,OFFSET([4]characters!$A$1,0,0,COUNTA([4]characters!$A:$A),MATCH(AC$1,[4]characters!$1:$1,0)-MATCH("character_id",[4]characters!$1:$1,0)+1),MATCH(AC$1,[4]characters!$1:$1,0)-MATCH("character_id",[4]characters!$1:$1,0)+1,FALSE),"")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91" s="5">
        <f ca="1">IFERROR(VLOOKUP($AB91,OFFSET([4]characters!$A$1,0,0,COUNTA([4]characters!$A:$A),MATCH(AD$1,[4]characters!$1:$1,0)-MATCH("character_id",[4]characters!$1:$1,0)+1),MATCH(AD$1,[4]characters!$1:$1,0)-MATCH("character_id",[4]characters!$1:$1,0)+1,FALSE),"")</f>
        <v>1</v>
      </c>
      <c r="AE91" s="5" t="str">
        <f ca="1">IFERROR(VLOOKUP($AB91,OFFSET([4]characters!$A$1,0,0,COUNTA([4]characters!$A:$A),MATCH(AE$1,[4]characters!$1:$1,0)-MATCH("character_id",[4]characters!$1:$1,0)+1),MATCH(AE$1,[4]characters!$1:$1,0)-MATCH("character_id",[4]characters!$1:$1,0)+1,FALSE),"")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91" s="28">
        <v>1</v>
      </c>
      <c r="AG91" s="75">
        <f t="shared" ca="1" si="45"/>
        <v>1</v>
      </c>
      <c r="AH91" s="9">
        <v>0</v>
      </c>
      <c r="AI91" s="28">
        <v>0</v>
      </c>
      <c r="AJ91" s="28">
        <v>0</v>
      </c>
      <c r="AK91" s="28">
        <v>0</v>
      </c>
      <c r="AL91" s="28">
        <v>0</v>
      </c>
      <c r="AM91" s="28">
        <v>1</v>
      </c>
      <c r="AN91" s="28">
        <v>1</v>
      </c>
    </row>
    <row r="92" spans="1:40" ht="21" customHeight="1" x14ac:dyDescent="0.15">
      <c r="A92" s="17" t="str">
        <f t="shared" ca="1" si="42"/>
        <v>11004_4-5/107&lt;lv30&gt;s1</v>
      </c>
      <c r="B92" s="84">
        <v>11004</v>
      </c>
      <c r="C92" s="85">
        <v>4</v>
      </c>
      <c r="D92" s="16" t="str">
        <f t="shared" si="43"/>
        <v>11004_4</v>
      </c>
      <c r="E92" s="5" t="str">
        <f ca="1">VLOOKUP($B92,OFFSET([2]quests!$A$1,0,0,COUNTA([2]quests!$A:$A),MATCH(E$1,[2]quests!$1:$1,0)-MATCH($B$1,[2]quests!$1:$1,0)+1),MATCH(E$1,[2]quests!$1:$1,0)-MATCH($B$1,[2]quests!$1:$1,0)+1,FALSE)</f>
        <v>【木曜限定】 緑の素材</v>
      </c>
      <c r="F92" s="5" t="str">
        <f ca="1">VLOOKUP($D92,OFFSET([2]stages!$A$1,0,0,COUNTA([2]stages!$A:$A),MATCH(F$1,[2]stages!$2:$2,0)-MATCH($D$1,[2]stages!$2:$2,0)+1),MATCH(F$1,[2]stages!$2:$2,0)-MATCH($D$1,[2]stages!$2:$2,0)+1,FALSE)</f>
        <v xml:space="preserve">【上級】樹のイモムシ </v>
      </c>
      <c r="G92" s="68">
        <v>5</v>
      </c>
      <c r="H92" s="16" t="str">
        <f t="shared" si="44"/>
        <v>11004_4-5</v>
      </c>
      <c r="I92" s="5" t="e">
        <v>#N/A</v>
      </c>
      <c r="J92" s="5" t="e">
        <v>#N/A</v>
      </c>
      <c r="K92" s="70" t="s">
        <v>217</v>
      </c>
      <c r="L92" s="70">
        <v>107</v>
      </c>
      <c r="M92" s="20" t="str">
        <f ca="1">VLOOKUP($L92,OFFSET([3]enemies!$A$1,0,0,COUNTA([3]enemies!$A:$A),MATCH(M$1,[3]enemies!$1:$1,0)-MATCH($L$1,[3]enemies!$1:$1,0)+1),MATCH(M$1,[3]enemies!$1:$1,0)-MATCH($L$1,[3]enemies!$1:$1,0)+1,FALSE)</f>
        <v>グリーンキャタップ</v>
      </c>
      <c r="N92" s="20" t="str">
        <f ca="1">VLOOKUP($L92,OFFSET([3]enemies!$A$1,0,0,COUNTA([3]enemies!$A:$A),MATCH(N$1,[3]enemies!$1:$1,0)-MATCH($L$1,[3]enemies!$1:$1,0)+1),MATCH(N$1,[3]enemies!$1:$1,0)-MATCH($L$1,[3]enemies!$1:$1,0)+1,FALSE)</f>
        <v>green</v>
      </c>
      <c r="O92" s="22" t="str">
        <f ca="1">VLOOKUP($L92,OFFSET([4]characters!$A$1,0,0,COUNTA([4]characters!$A:$A),MATCH(O$1,[4]characters!$1:$1,0)-MATCH($L$1,[4]characters!$1:$1,0)+1),MATCH(O$1,[4]characters!$1:$1,0)-MATCH($L$1,[4]characters!$1:$1,0)+1,FALSE)</f>
        <v>Material</v>
      </c>
      <c r="P92" s="20" t="str">
        <f ca="1">VLOOKUP($L92,OFFSET([3]enemies!$A$1,0,0,COUNTA([3]enemies!$A:$A),MATCH(P$1,[3]enemies!$1:$1,0)-MATCH($L$1,[3]enemies!$1:$1,0)+1),MATCH(P$1,[3]enemies!$1:$1,0)-MATCH($L$1,[3]enemies!$1:$1,0)+1,FALSE)</f>
        <v>unknown</v>
      </c>
      <c r="Q92" s="20">
        <f ca="1">VLOOKUP($L92,OFFSET([3]enemies!$A$1,0,0,COUNTA([3]enemies!$A:$A),MATCH(Q$1,[3]enemies!$1:$1,0)-MATCH($L$1,[3]enemies!$1:$1,0)+1),MATCH(Q$1,[3]enemies!$1:$1,0)-MATCH($L$1,[3]enemies!$1:$1,0)+1,FALSE)</f>
        <v>15</v>
      </c>
      <c r="R92" s="6">
        <v>30</v>
      </c>
      <c r="S92" s="30">
        <v>2</v>
      </c>
      <c r="T92" s="30">
        <v>1</v>
      </c>
      <c r="U92" s="6">
        <v>0</v>
      </c>
      <c r="V92" s="5" t="str">
        <f ca="1">VLOOKUP($W92,OFFSET([5]enemy_skill_sets!$B$1,0,0,COUNTA([5]enemy_skill_sets!$B:$B),MATCH(M$1,[5]enemy_skill_sets!$1:$1,0)-MATCH($W$1,[5]enemy_skill_sets!$1:$1,0)+2),MATCH(M$1,[5]enemy_skill_sets!$1:$1,0)-MATCH($W$1,[5]enemy_skill_sets!$1:$1,0)+2,FALSE)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2" s="5">
        <f ca="1">VLOOKUP($L92,OFFSET([3]enemies!$A$1,0,0,COUNTA([3]enemies!$A:$A),MATCH(W$1,[3]enemies!$1:$1,0)-MATCH($L$1,[3]enemies!$1:$1,0)+1),MATCH(W$1,[3]enemies!$1:$1,0)-MATCH($L$1,[3]enemies!$1:$1,0)+1,FALSE)</f>
        <v>0</v>
      </c>
      <c r="X92" s="7">
        <v>0</v>
      </c>
      <c r="Y92" s="7">
        <v>100</v>
      </c>
      <c r="Z92" s="7">
        <v>2</v>
      </c>
      <c r="AA92" s="20">
        <f ca="1">VLOOKUP($L92,OFFSET([3]enemies!$A$1,0,0,COUNTA([3]enemies!$A:$A),MATCH(AA$1,[3]enemies!$1:$1,0)-MATCH($L$1,[3]enemies!$1:$1,0)+1),MATCH(AA$1,[3]enemies!$1:$1,0)-MATCH($L$1,[3]enemies!$1:$1,0)+1,FALSE)</f>
        <v>1</v>
      </c>
      <c r="AB92" s="70">
        <v>107</v>
      </c>
      <c r="AC92" s="5" t="str">
        <f ca="1">IFERROR(VLOOKUP($AB92,OFFSET([4]characters!$A$1,0,0,COUNTA([4]characters!$A:$A),MATCH(AC$1,[4]characters!$1:$1,0)-MATCH("character_id",[4]characters!$1:$1,0)+1),MATCH(AC$1,[4]characters!$1:$1,0)-MATCH("character_id",[4]characters!$1:$1,0)+1,FALSE),"")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92" s="5">
        <f ca="1">IFERROR(VLOOKUP($AB92,OFFSET([4]characters!$A$1,0,0,COUNTA([4]characters!$A:$A),MATCH(AD$1,[4]characters!$1:$1,0)-MATCH("character_id",[4]characters!$1:$1,0)+1),MATCH(AD$1,[4]characters!$1:$1,0)-MATCH("character_id",[4]characters!$1:$1,0)+1,FALSE),"")</f>
        <v>4</v>
      </c>
      <c r="AE92" s="5" t="str">
        <f ca="1">IFERROR(VLOOKUP($AB92,OFFSET([4]characters!$A$1,0,0,COUNTA([4]characters!$A:$A),MATCH(AE$1,[4]characters!$1:$1,0)-MATCH("character_id",[4]characters!$1:$1,0)+1),MATCH(AE$1,[4]characters!$1:$1,0)-MATCH("character_id",[4]characters!$1:$1,0)+1,FALSE),"")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2" s="28">
        <v>1</v>
      </c>
      <c r="AG92" s="75">
        <f t="shared" ca="1" si="45"/>
        <v>4</v>
      </c>
      <c r="AH92" s="130">
        <v>50</v>
      </c>
      <c r="AI92" s="28">
        <v>0</v>
      </c>
      <c r="AJ92" s="28">
        <v>0</v>
      </c>
      <c r="AK92" s="28">
        <v>0</v>
      </c>
      <c r="AL92" s="28">
        <v>0</v>
      </c>
      <c r="AM92" s="28">
        <v>1</v>
      </c>
      <c r="AN92" s="28">
        <v>1</v>
      </c>
    </row>
    <row r="93" spans="1:40" ht="21" customHeight="1" x14ac:dyDescent="0.15">
      <c r="A93" s="17" t="str">
        <f t="shared" ref="A93:A192" ca="1" si="46">B93&amp;"_"&amp;C93&amp;"-"&amp;G93&amp;"/"&amp;L93&amp;"&lt;lv"&amp;R93&amp;"&gt;s"&amp;AA93</f>
        <v>11004_4-5/128&lt;lv30&gt;s2</v>
      </c>
      <c r="B93" s="84">
        <v>11004</v>
      </c>
      <c r="C93" s="85">
        <v>4</v>
      </c>
      <c r="D93" s="16" t="str">
        <f t="shared" si="43"/>
        <v>11004_4</v>
      </c>
      <c r="E93" s="5" t="str">
        <f ca="1">VLOOKUP($B93,OFFSET([2]quests!$A$1,0,0,COUNTA([2]quests!$A:$A),MATCH(E$1,[2]quests!$1:$1,0)-MATCH($B$1,[2]quests!$1:$1,0)+1),MATCH(E$1,[2]quests!$1:$1,0)-MATCH($B$1,[2]quests!$1:$1,0)+1,FALSE)</f>
        <v>【木曜限定】 緑の素材</v>
      </c>
      <c r="F93" s="5" t="str">
        <f ca="1">VLOOKUP($D93,OFFSET([2]stages!$A$1,0,0,COUNTA([2]stages!$A:$A),MATCH(F$1,[2]stages!$2:$2,0)-MATCH($D$1,[2]stages!$2:$2,0)+1),MATCH(F$1,[2]stages!$2:$2,0)-MATCH($D$1,[2]stages!$2:$2,0)+1,FALSE)</f>
        <v xml:space="preserve">【上級】樹のイモムシ </v>
      </c>
      <c r="G93" s="68">
        <v>5</v>
      </c>
      <c r="H93" s="16" t="str">
        <f t="shared" si="44"/>
        <v>11004_4-5</v>
      </c>
      <c r="I93" s="5" t="e">
        <v>#N/A</v>
      </c>
      <c r="J93" s="5" t="e">
        <v>#N/A</v>
      </c>
      <c r="K93" s="70" t="s">
        <v>217</v>
      </c>
      <c r="L93" s="70">
        <v>128</v>
      </c>
      <c r="M93" s="20" t="str">
        <f ca="1">VLOOKUP($L93,OFFSET([3]enemies!$A$1,0,0,COUNTA([3]enemies!$A:$A),MATCH(M$1,[3]enemies!$1:$1,0)-MATCH($L$1,[3]enemies!$1:$1,0)+1),MATCH(M$1,[3]enemies!$1:$1,0)-MATCH($L$1,[3]enemies!$1:$1,0)+1,FALSE)</f>
        <v>野生児 アマラ</v>
      </c>
      <c r="N93" s="20" t="str">
        <f ca="1">VLOOKUP($L93,OFFSET([3]enemies!$A$1,0,0,COUNTA([3]enemies!$A:$A),MATCH(N$1,[3]enemies!$1:$1,0)-MATCH($L$1,[3]enemies!$1:$1,0)+1),MATCH(N$1,[3]enemies!$1:$1,0)-MATCH($L$1,[3]enemies!$1:$1,0)+1,FALSE)</f>
        <v>green</v>
      </c>
      <c r="O93" s="22" t="str">
        <f ca="1">VLOOKUP($L93,OFFSET([4]characters!$A$1,0,0,COUNTA([4]characters!$A:$A),MATCH(O$1,[4]characters!$1:$1,0)-MATCH($L$1,[4]characters!$1:$1,0)+1),MATCH(O$1,[4]characters!$1:$1,0)-MATCH($L$1,[4]characters!$1:$1,0)+1,FALSE)</f>
        <v>PremiumW</v>
      </c>
      <c r="P93" s="20" t="str">
        <f ca="1">VLOOKUP($L93,OFFSET([3]enemies!$A$1,0,0,COUNTA([3]enemies!$A:$A),MATCH(P$1,[3]enemies!$1:$1,0)-MATCH($L$1,[3]enemies!$1:$1,0)+1),MATCH(P$1,[3]enemies!$1:$1,0)-MATCH($L$1,[3]enemies!$1:$1,0)+1,FALSE)</f>
        <v>human</v>
      </c>
      <c r="Q93" s="20">
        <f ca="1">VLOOKUP($L93,OFFSET([3]enemies!$A$1,0,0,COUNTA([3]enemies!$A:$A),MATCH(Q$1,[3]enemies!$1:$1,0)-MATCH($L$1,[3]enemies!$1:$1,0)+1),MATCH(Q$1,[3]enemies!$1:$1,0)-MATCH($L$1,[3]enemies!$1:$1,0)+1,FALSE)</f>
        <v>20</v>
      </c>
      <c r="R93" s="6">
        <v>30</v>
      </c>
      <c r="S93" s="30">
        <v>1</v>
      </c>
      <c r="T93" s="30">
        <v>1</v>
      </c>
      <c r="U93" s="6">
        <v>0</v>
      </c>
      <c r="V93" s="5" t="str">
        <f ca="1">VLOOKUP($W93,OFFSET([5]enemy_skill_sets!$B$1,0,0,COUNTA([5]enemy_skill_sets!$B:$B),MATCH(M$1,[5]enemy_skill_sets!$1:$1,0)-MATCH($W$1,[5]enemy_skill_sets!$1:$1,0)+2),MATCH(M$1,[5]enemy_skill_sets!$1:$1,0)-MATCH($W$1,[5]enemy_skill_sets!$1:$1,0)+2,FALSE)</f>
        <v>5ターン攻撃力小UP</v>
      </c>
      <c r="W93" s="5">
        <f ca="1">VLOOKUP($L93,OFFSET([3]enemies!$A$1,0,0,COUNTA([3]enemies!$A:$A),MATCH(W$1,[3]enemies!$1:$1,0)-MATCH($L$1,[3]enemies!$1:$1,0)+1),MATCH(W$1,[3]enemies!$1:$1,0)-MATCH($L$1,[3]enemies!$1:$1,0)+1,FALSE)</f>
        <v>128</v>
      </c>
      <c r="X93" s="7">
        <v>0</v>
      </c>
      <c r="Y93" s="7">
        <v>100</v>
      </c>
      <c r="Z93" s="7">
        <v>0</v>
      </c>
      <c r="AA93" s="20">
        <f ca="1">VLOOKUP($L93,OFFSET([3]enemies!$A$1,0,0,COUNTA([3]enemies!$A:$A),MATCH(AA$1,[3]enemies!$1:$1,0)-MATCH($L$1,[3]enemies!$1:$1,0)+1),MATCH(AA$1,[3]enemies!$1:$1,0)-MATCH($L$1,[3]enemies!$1:$1,0)+1,FALSE)</f>
        <v>2</v>
      </c>
      <c r="AB93" s="70">
        <v>128</v>
      </c>
      <c r="AC93" s="5" t="str">
        <f ca="1">IFERROR(VLOOKUP($AB93,OFFSET([4]characters!$A$1,0,0,COUNTA([4]characters!$A:$A),MATCH(AC$1,[4]characters!$1:$1,0)-MATCH("character_id",[4]characters!$1:$1,0)+1),MATCH(AC$1,[4]characters!$1:$1,0)-MATCH("character_id",[4]characters!$1:$1,0)+1,FALSE),"")</f>
        <v>野生児 アマラ</v>
      </c>
      <c r="AD93" s="5">
        <f ca="1">IFERROR(VLOOKUP($AB93,OFFSET([4]characters!$A$1,0,0,COUNTA([4]characters!$A:$A),MATCH(AD$1,[4]characters!$1:$1,0)-MATCH("character_id",[4]characters!$1:$1,0)+1),MATCH(AD$1,[4]characters!$1:$1,0)-MATCH("character_id",[4]characters!$1:$1,0)+1,FALSE),"")</f>
        <v>3</v>
      </c>
      <c r="AE93" s="5" t="str">
        <f ca="1">IFERROR(VLOOKUP($AB93,OFFSET([4]characters!$A$1,0,0,COUNTA([4]characters!$A:$A),MATCH(AE$1,[4]characters!$1:$1,0)-MATCH("character_id",[4]characters!$1:$1,0)+1),MATCH(AE$1,[4]characters!$1:$1,0)-MATCH("character_id",[4]characters!$1:$1,0)+1,FALSE),"")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93" s="28">
        <v>1</v>
      </c>
      <c r="AG93" s="75">
        <f t="shared" ca="1" si="45"/>
        <v>3</v>
      </c>
      <c r="AH93" s="9">
        <v>0</v>
      </c>
      <c r="AI93" s="28">
        <v>0</v>
      </c>
      <c r="AJ93" s="28">
        <v>0</v>
      </c>
      <c r="AK93" s="28">
        <v>0</v>
      </c>
      <c r="AL93" s="28">
        <v>0</v>
      </c>
      <c r="AM93" s="28">
        <v>1</v>
      </c>
      <c r="AN93" s="28">
        <v>1</v>
      </c>
    </row>
    <row r="94" spans="1:40" ht="21" customHeight="1" x14ac:dyDescent="0.15">
      <c r="A94" s="17" t="str">
        <f t="shared" ca="1" si="46"/>
        <v>11004_4-5/136&lt;lv30&gt;s4</v>
      </c>
      <c r="B94" s="84">
        <v>11004</v>
      </c>
      <c r="C94" s="85">
        <v>4</v>
      </c>
      <c r="D94" s="16" t="str">
        <f t="shared" si="43"/>
        <v>11004_4</v>
      </c>
      <c r="E94" s="5" t="str">
        <f ca="1">VLOOKUP($B94,OFFSET([2]quests!$A$1,0,0,COUNTA([2]quests!$A:$A),MATCH(E$1,[2]quests!$1:$1,0)-MATCH($B$1,[2]quests!$1:$1,0)+1),MATCH(E$1,[2]quests!$1:$1,0)-MATCH($B$1,[2]quests!$1:$1,0)+1,FALSE)</f>
        <v>【木曜限定】 緑の素材</v>
      </c>
      <c r="F94" s="5" t="str">
        <f ca="1">VLOOKUP($D94,OFFSET([2]stages!$A$1,0,0,COUNTA([2]stages!$A:$A),MATCH(F$1,[2]stages!$2:$2,0)-MATCH($D$1,[2]stages!$2:$2,0)+1),MATCH(F$1,[2]stages!$2:$2,0)-MATCH($D$1,[2]stages!$2:$2,0)+1,FALSE)</f>
        <v xml:space="preserve">【上級】樹のイモムシ </v>
      </c>
      <c r="G94" s="68">
        <v>5</v>
      </c>
      <c r="H94" s="16" t="str">
        <f t="shared" si="44"/>
        <v>11004_4-5</v>
      </c>
      <c r="I94" s="5" t="e">
        <v>#N/A</v>
      </c>
      <c r="J94" s="5" t="e">
        <v>#N/A</v>
      </c>
      <c r="K94" s="70" t="s">
        <v>217</v>
      </c>
      <c r="L94" s="70">
        <v>136</v>
      </c>
      <c r="M94" s="20" t="str">
        <f ca="1">VLOOKUP($L94,OFFSET([3]enemies!$A$1,0,0,COUNTA([3]enemies!$A:$A),MATCH(M$1,[3]enemies!$1:$1,0)-MATCH($L$1,[3]enemies!$1:$1,0)+1),MATCH(M$1,[3]enemies!$1:$1,0)-MATCH($L$1,[3]enemies!$1:$1,0)+1,FALSE)</f>
        <v>お針子チハヤ</v>
      </c>
      <c r="N94" s="20" t="str">
        <f ca="1">VLOOKUP($L94,OFFSET([3]enemies!$A$1,0,0,COUNTA([3]enemies!$A:$A),MATCH(N$1,[3]enemies!$1:$1,0)-MATCH($L$1,[3]enemies!$1:$1,0)+1),MATCH(N$1,[3]enemies!$1:$1,0)-MATCH($L$1,[3]enemies!$1:$1,0)+1,FALSE)</f>
        <v>green</v>
      </c>
      <c r="O94" s="22" t="str">
        <f ca="1">VLOOKUP($L94,OFFSET([4]characters!$A$1,0,0,COUNTA([4]characters!$A:$A),MATCH(O$1,[4]characters!$1:$1,0)-MATCH($L$1,[4]characters!$1:$1,0)+1),MATCH(O$1,[4]characters!$1:$1,0)-MATCH($L$1,[4]characters!$1:$1,0)+1,FALSE)</f>
        <v>PremiumW</v>
      </c>
      <c r="P94" s="20" t="str">
        <f ca="1">VLOOKUP($L94,OFFSET([3]enemies!$A$1,0,0,COUNTA([3]enemies!$A:$A),MATCH(P$1,[3]enemies!$1:$1,0)-MATCH($L$1,[3]enemies!$1:$1,0)+1),MATCH(P$1,[3]enemies!$1:$1,0)-MATCH($L$1,[3]enemies!$1:$1,0)+1,FALSE)</f>
        <v>human</v>
      </c>
      <c r="Q94" s="20">
        <f ca="1">VLOOKUP($L94,OFFSET([3]enemies!$A$1,0,0,COUNTA([3]enemies!$A:$A),MATCH(Q$1,[3]enemies!$1:$1,0)-MATCH($L$1,[3]enemies!$1:$1,0)+1),MATCH(Q$1,[3]enemies!$1:$1,0)-MATCH($L$1,[3]enemies!$1:$1,0)+1,FALSE)</f>
        <v>20</v>
      </c>
      <c r="R94" s="6">
        <v>30</v>
      </c>
      <c r="S94" s="30">
        <v>1</v>
      </c>
      <c r="T94" s="30">
        <v>1</v>
      </c>
      <c r="U94" s="6">
        <v>0</v>
      </c>
      <c r="V94" s="5" t="str">
        <f ca="1">VLOOKUP($W94,OFFSET([5]enemy_skill_sets!$B$1,0,0,COUNTA([5]enemy_skill_sets!$B:$B),MATCH(M$1,[5]enemy_skill_sets!$1:$1,0)-MATCH($W$1,[5]enemy_skill_sets!$1:$1,0)+2),MATCH(M$1,[5]enemy_skill_sets!$1:$1,0)-MATCH($W$1,[5]enemy_skill_sets!$1:$1,0)+2,FALSE)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94" s="5">
        <f ca="1">VLOOKUP($L94,OFFSET([3]enemies!$A$1,0,0,COUNTA([3]enemies!$A:$A),MATCH(W$1,[3]enemies!$1:$1,0)-MATCH($L$1,[3]enemies!$1:$1,0)+1),MATCH(W$1,[3]enemies!$1:$1,0)-MATCH($L$1,[3]enemies!$1:$1,0)+1,FALSE)</f>
        <v>136</v>
      </c>
      <c r="X94" s="7">
        <v>0</v>
      </c>
      <c r="Y94" s="7">
        <v>100</v>
      </c>
      <c r="Z94" s="7">
        <v>0</v>
      </c>
      <c r="AA94" s="20">
        <f ca="1">VLOOKUP($L94,OFFSET([3]enemies!$A$1,0,0,COUNTA([3]enemies!$A:$A),MATCH(AA$1,[3]enemies!$1:$1,0)-MATCH($L$1,[3]enemies!$1:$1,0)+1),MATCH(AA$1,[3]enemies!$1:$1,0)-MATCH($L$1,[3]enemies!$1:$1,0)+1,FALSE)</f>
        <v>4</v>
      </c>
      <c r="AB94" s="70">
        <v>136</v>
      </c>
      <c r="AC94" s="5" t="str">
        <f ca="1">IFERROR(VLOOKUP($AB94,OFFSET([4]characters!$A$1,0,0,COUNTA([4]characters!$A:$A),MATCH(AC$1,[4]characters!$1:$1,0)-MATCH("character_id",[4]characters!$1:$1,0)+1),MATCH(AC$1,[4]characters!$1:$1,0)-MATCH("character_id",[4]characters!$1:$1,0)+1,FALSE),"")</f>
        <v>お針子チハヤ</v>
      </c>
      <c r="AD94" s="5">
        <f ca="1">IFERROR(VLOOKUP($AB94,OFFSET([4]characters!$A$1,0,0,COUNTA([4]characters!$A:$A),MATCH(AD$1,[4]characters!$1:$1,0)-MATCH("character_id",[4]characters!$1:$1,0)+1),MATCH(AD$1,[4]characters!$1:$1,0)-MATCH("character_id",[4]characters!$1:$1,0)+1,FALSE),"")</f>
        <v>3</v>
      </c>
      <c r="AE94" s="5" t="str">
        <f ca="1">IFERROR(VLOOKUP($AB94,OFFSET([4]characters!$A$1,0,0,COUNTA([4]characters!$A:$A),MATCH(AE$1,[4]characters!$1:$1,0)-MATCH("character_id",[4]characters!$1:$1,0)+1),MATCH(AE$1,[4]characters!$1:$1,0)-MATCH("character_id",[4]characters!$1:$1,0)+1,FALSE),"")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94" s="28">
        <v>1</v>
      </c>
      <c r="AG94" s="75">
        <f t="shared" ca="1" si="45"/>
        <v>3</v>
      </c>
      <c r="AH94" s="9">
        <v>0</v>
      </c>
      <c r="AI94" s="28">
        <v>0</v>
      </c>
      <c r="AJ94" s="28">
        <v>0</v>
      </c>
      <c r="AK94" s="28">
        <v>0</v>
      </c>
      <c r="AL94" s="28">
        <v>0</v>
      </c>
      <c r="AM94" s="28">
        <v>1</v>
      </c>
      <c r="AN94" s="28">
        <v>1</v>
      </c>
    </row>
    <row r="95" spans="1:40" ht="21" customHeight="1" x14ac:dyDescent="0.15">
      <c r="A95" s="17" t="str">
        <f t="shared" ca="1" si="46"/>
        <v>11004_4-5/144&lt;lv30&gt;s2</v>
      </c>
      <c r="B95" s="84">
        <v>11004</v>
      </c>
      <c r="C95" s="85">
        <v>4</v>
      </c>
      <c r="D95" s="16" t="str">
        <f t="shared" si="43"/>
        <v>11004_4</v>
      </c>
      <c r="E95" s="5" t="str">
        <f ca="1">VLOOKUP($B95,OFFSET([2]quests!$A$1,0,0,COUNTA([2]quests!$A:$A),MATCH(E$1,[2]quests!$1:$1,0)-MATCH($B$1,[2]quests!$1:$1,0)+1),MATCH(E$1,[2]quests!$1:$1,0)-MATCH($B$1,[2]quests!$1:$1,0)+1,FALSE)</f>
        <v>【木曜限定】 緑の素材</v>
      </c>
      <c r="F95" s="5" t="str">
        <f ca="1">VLOOKUP($D95,OFFSET([2]stages!$A$1,0,0,COUNTA([2]stages!$A:$A),MATCH(F$1,[2]stages!$2:$2,0)-MATCH($D$1,[2]stages!$2:$2,0)+1),MATCH(F$1,[2]stages!$2:$2,0)-MATCH($D$1,[2]stages!$2:$2,0)+1,FALSE)</f>
        <v xml:space="preserve">【上級】樹のイモムシ </v>
      </c>
      <c r="G95" s="68">
        <v>5</v>
      </c>
      <c r="H95" s="16" t="str">
        <f t="shared" si="44"/>
        <v>11004_4-5</v>
      </c>
      <c r="I95" s="5" t="e">
        <v>#N/A</v>
      </c>
      <c r="J95" s="5" t="e">
        <v>#N/A</v>
      </c>
      <c r="K95" s="70" t="s">
        <v>219</v>
      </c>
      <c r="L95" s="70">
        <v>144</v>
      </c>
      <c r="M95" s="20" t="str">
        <f ca="1">VLOOKUP($L95,OFFSET([3]enemies!$A$1,0,0,COUNTA([3]enemies!$A:$A),MATCH(M$1,[3]enemies!$1:$1,0)-MATCH($L$1,[3]enemies!$1:$1,0)+1),MATCH(M$1,[3]enemies!$1:$1,0)-MATCH($L$1,[3]enemies!$1:$1,0)+1,FALSE)</f>
        <v>かぐや</v>
      </c>
      <c r="N95" s="20" t="str">
        <f ca="1">VLOOKUP($L95,OFFSET([3]enemies!$A$1,0,0,COUNTA([3]enemies!$A:$A),MATCH(N$1,[3]enemies!$1:$1,0)-MATCH($L$1,[3]enemies!$1:$1,0)+1),MATCH(N$1,[3]enemies!$1:$1,0)-MATCH($L$1,[3]enemies!$1:$1,0)+1,FALSE)</f>
        <v>green</v>
      </c>
      <c r="O95" s="22" t="str">
        <f ca="1">VLOOKUP($L95,OFFSET([4]characters!$A$1,0,0,COUNTA([4]characters!$A:$A),MATCH(O$1,[4]characters!$1:$1,0)-MATCH($L$1,[4]characters!$1:$1,0)+1),MATCH(O$1,[4]characters!$1:$1,0)-MATCH($L$1,[4]characters!$1:$1,0)+1,FALSE)</f>
        <v>PremiumW</v>
      </c>
      <c r="P95" s="20" t="str">
        <f ca="1">VLOOKUP($L95,OFFSET([3]enemies!$A$1,0,0,COUNTA([3]enemies!$A:$A),MATCH(P$1,[3]enemies!$1:$1,0)-MATCH($L$1,[3]enemies!$1:$1,0)+1),MATCH(P$1,[3]enemies!$1:$1,0)-MATCH($L$1,[3]enemies!$1:$1,0)+1,FALSE)</f>
        <v>human</v>
      </c>
      <c r="Q95" s="20">
        <f ca="1">VLOOKUP($L95,OFFSET([3]enemies!$A$1,0,0,COUNTA([3]enemies!$A:$A),MATCH(Q$1,[3]enemies!$1:$1,0)-MATCH($L$1,[3]enemies!$1:$1,0)+1),MATCH(Q$1,[3]enemies!$1:$1,0)-MATCH($L$1,[3]enemies!$1:$1,0)+1,FALSE)</f>
        <v>20</v>
      </c>
      <c r="R95" s="6">
        <v>30</v>
      </c>
      <c r="S95" s="30">
        <v>1</v>
      </c>
      <c r="T95" s="30">
        <v>1</v>
      </c>
      <c r="U95" s="6">
        <v>0</v>
      </c>
      <c r="V95" s="5" t="str">
        <f ca="1">VLOOKUP($W95,OFFSET([5]enemy_skill_sets!$B$1,0,0,COUNTA([5]enemy_skill_sets!$B:$B),MATCH(M$1,[5]enemy_skill_sets!$1:$1,0)-MATCH($W$1,[5]enemy_skill_sets!$1:$1,0)+2),MATCH(M$1,[5]enemy_skill_sets!$1:$1,0)-MATCH($W$1,[5]enemy_skill_sets!$1:$1,0)+2,FALSE)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5" s="5">
        <f ca="1">VLOOKUP($L95,OFFSET([3]enemies!$A$1,0,0,COUNTA([3]enemies!$A:$A),MATCH(W$1,[3]enemies!$1:$1,0)-MATCH($L$1,[3]enemies!$1:$1,0)+1),MATCH(W$1,[3]enemies!$1:$1,0)-MATCH($L$1,[3]enemies!$1:$1,0)+1,FALSE)</f>
        <v>0</v>
      </c>
      <c r="X95" s="7">
        <v>0</v>
      </c>
      <c r="Y95" s="7">
        <v>100</v>
      </c>
      <c r="Z95" s="7">
        <v>0</v>
      </c>
      <c r="AA95" s="20">
        <f ca="1">VLOOKUP($L95,OFFSET([3]enemies!$A$1,0,0,COUNTA([3]enemies!$A:$A),MATCH(AA$1,[3]enemies!$1:$1,0)-MATCH($L$1,[3]enemies!$1:$1,0)+1),MATCH(AA$1,[3]enemies!$1:$1,0)-MATCH($L$1,[3]enemies!$1:$1,0)+1,FALSE)</f>
        <v>2</v>
      </c>
      <c r="AB95" s="70">
        <v>144</v>
      </c>
      <c r="AC95" s="5" t="str">
        <f ca="1">IFERROR(VLOOKUP($AB95,OFFSET([4]characters!$A$1,0,0,COUNTA([4]characters!$A:$A),MATCH(AC$1,[4]characters!$1:$1,0)-MATCH("character_id",[4]characters!$1:$1,0)+1),MATCH(AC$1,[4]characters!$1:$1,0)-MATCH("character_id",[4]characters!$1:$1,0)+1,FALSE),"")</f>
        <v>かぐや</v>
      </c>
      <c r="AD95" s="5">
        <f ca="1">IFERROR(VLOOKUP($AB95,OFFSET([4]characters!$A$1,0,0,COUNTA([4]characters!$A:$A),MATCH(AD$1,[4]characters!$1:$1,0)-MATCH("character_id",[4]characters!$1:$1,0)+1),MATCH(AD$1,[4]characters!$1:$1,0)-MATCH("character_id",[4]characters!$1:$1,0)+1,FALSE),"")</f>
        <v>3</v>
      </c>
      <c r="AE95" s="5" t="str">
        <f ca="1">IFERROR(VLOOKUP($AB95,OFFSET([4]characters!$A$1,0,0,COUNTA([4]characters!$A:$A),MATCH(AE$1,[4]characters!$1:$1,0)-MATCH("character_id",[4]characters!$1:$1,0)+1),MATCH(AE$1,[4]characters!$1:$1,0)-MATCH("character_id",[4]characters!$1:$1,0)+1,FALSE),"")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95" s="28">
        <v>1</v>
      </c>
      <c r="AG95" s="75">
        <f t="shared" ca="1" si="45"/>
        <v>3</v>
      </c>
      <c r="AH95" s="9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1</v>
      </c>
      <c r="AN95" s="28">
        <v>1</v>
      </c>
    </row>
    <row r="96" spans="1:40" ht="21" customHeight="1" x14ac:dyDescent="0.15">
      <c r="A96" s="17" t="str">
        <f t="shared" ca="1" si="46"/>
        <v>11004_4-5/152&lt;lv30&gt;s1</v>
      </c>
      <c r="B96" s="84">
        <v>11004</v>
      </c>
      <c r="C96" s="85">
        <v>4</v>
      </c>
      <c r="D96" s="16" t="str">
        <f t="shared" si="43"/>
        <v>11004_4</v>
      </c>
      <c r="E96" s="5" t="str">
        <f ca="1">VLOOKUP($B96,OFFSET([2]quests!$A$1,0,0,COUNTA([2]quests!$A:$A),MATCH(E$1,[2]quests!$1:$1,0)-MATCH($B$1,[2]quests!$1:$1,0)+1),MATCH(E$1,[2]quests!$1:$1,0)-MATCH($B$1,[2]quests!$1:$1,0)+1,FALSE)</f>
        <v>【木曜限定】 緑の素材</v>
      </c>
      <c r="F96" s="5" t="str">
        <f ca="1">VLOOKUP($D96,OFFSET([2]stages!$A$1,0,0,COUNTA([2]stages!$A:$A),MATCH(F$1,[2]stages!$2:$2,0)-MATCH($D$1,[2]stages!$2:$2,0)+1),MATCH(F$1,[2]stages!$2:$2,0)-MATCH($D$1,[2]stages!$2:$2,0)+1,FALSE)</f>
        <v xml:space="preserve">【上級】樹のイモムシ </v>
      </c>
      <c r="G96" s="68">
        <v>5</v>
      </c>
      <c r="H96" s="16" t="str">
        <f t="shared" si="44"/>
        <v>11004_4-5</v>
      </c>
      <c r="I96" s="5" t="e">
        <v>#N/A</v>
      </c>
      <c r="J96" s="5" t="e">
        <v>#N/A</v>
      </c>
      <c r="K96" s="70" t="s">
        <v>219</v>
      </c>
      <c r="L96" s="70">
        <v>152</v>
      </c>
      <c r="M96" s="20" t="str">
        <f ca="1">VLOOKUP($L96,OFFSET([3]enemies!$A$1,0,0,COUNTA([3]enemies!$A:$A),MATCH(M$1,[3]enemies!$1:$1,0)-MATCH($L$1,[3]enemies!$1:$1,0)+1),MATCH(M$1,[3]enemies!$1:$1,0)-MATCH($L$1,[3]enemies!$1:$1,0)+1,FALSE)</f>
        <v>功夫少女ランラン</v>
      </c>
      <c r="N96" s="20" t="str">
        <f ca="1">VLOOKUP($L96,OFFSET([3]enemies!$A$1,0,0,COUNTA([3]enemies!$A:$A),MATCH(N$1,[3]enemies!$1:$1,0)-MATCH($L$1,[3]enemies!$1:$1,0)+1),MATCH(N$1,[3]enemies!$1:$1,0)-MATCH($L$1,[3]enemies!$1:$1,0)+1,FALSE)</f>
        <v>green</v>
      </c>
      <c r="O96" s="22" t="str">
        <f ca="1">VLOOKUP($L96,OFFSET([4]characters!$A$1,0,0,COUNTA([4]characters!$A:$A),MATCH(O$1,[4]characters!$1:$1,0)-MATCH($L$1,[4]characters!$1:$1,0)+1),MATCH(O$1,[4]characters!$1:$1,0)-MATCH($L$1,[4]characters!$1:$1,0)+1,FALSE)</f>
        <v>PremiumW</v>
      </c>
      <c r="P96" s="20" t="str">
        <f ca="1">VLOOKUP($L96,OFFSET([3]enemies!$A$1,0,0,COUNTA([3]enemies!$A:$A),MATCH(P$1,[3]enemies!$1:$1,0)-MATCH($L$1,[3]enemies!$1:$1,0)+1),MATCH(P$1,[3]enemies!$1:$1,0)-MATCH($L$1,[3]enemies!$1:$1,0)+1,FALSE)</f>
        <v>human</v>
      </c>
      <c r="Q96" s="20">
        <f ca="1">VLOOKUP($L96,OFFSET([3]enemies!$A$1,0,0,COUNTA([3]enemies!$A:$A),MATCH(Q$1,[3]enemies!$1:$1,0)-MATCH($L$1,[3]enemies!$1:$1,0)+1),MATCH(Q$1,[3]enemies!$1:$1,0)-MATCH($L$1,[3]enemies!$1:$1,0)+1,FALSE)</f>
        <v>20</v>
      </c>
      <c r="R96" s="6">
        <v>30</v>
      </c>
      <c r="S96" s="30">
        <v>1</v>
      </c>
      <c r="T96" s="30">
        <v>1</v>
      </c>
      <c r="U96" s="6">
        <v>0</v>
      </c>
      <c r="V96" s="5" t="str">
        <f ca="1">VLOOKUP($W96,OFFSET([5]enemy_skill_sets!$B$1,0,0,COUNTA([5]enemy_skill_sets!$B:$B),MATCH(M$1,[5]enemy_skill_sets!$1:$1,0)-MATCH($W$1,[5]enemy_skill_sets!$1:$1,0)+2),MATCH(M$1,[5]enemy_skill_sets!$1:$1,0)-MATCH($W$1,[5]enemy_skill_sets!$1:$1,0)+2,FALSE)</f>
        <v>攻撃力×1.3倍の攻撃</v>
      </c>
      <c r="W96" s="5">
        <f ca="1">VLOOKUP($L96,OFFSET([3]enemies!$A$1,0,0,COUNTA([3]enemies!$A:$A),MATCH(W$1,[3]enemies!$1:$1,0)-MATCH($L$1,[3]enemies!$1:$1,0)+1),MATCH(W$1,[3]enemies!$1:$1,0)-MATCH($L$1,[3]enemies!$1:$1,0)+1,FALSE)</f>
        <v>152</v>
      </c>
      <c r="X96" s="7">
        <v>0</v>
      </c>
      <c r="Y96" s="7">
        <v>100</v>
      </c>
      <c r="Z96" s="7">
        <v>0</v>
      </c>
      <c r="AA96" s="20">
        <f ca="1">VLOOKUP($L96,OFFSET([3]enemies!$A$1,0,0,COUNTA([3]enemies!$A:$A),MATCH(AA$1,[3]enemies!$1:$1,0)-MATCH($L$1,[3]enemies!$1:$1,0)+1),MATCH(AA$1,[3]enemies!$1:$1,0)-MATCH($L$1,[3]enemies!$1:$1,0)+1,FALSE)</f>
        <v>1</v>
      </c>
      <c r="AB96" s="70">
        <v>152</v>
      </c>
      <c r="AC96" s="5" t="str">
        <f ca="1">IFERROR(VLOOKUP($AB96,OFFSET([4]characters!$A$1,0,0,COUNTA([4]characters!$A:$A),MATCH(AC$1,[4]characters!$1:$1,0)-MATCH("character_id",[4]characters!$1:$1,0)+1),MATCH(AC$1,[4]characters!$1:$1,0)-MATCH("character_id",[4]characters!$1:$1,0)+1,FALSE),"")</f>
        <v>功夫少女ランラン</v>
      </c>
      <c r="AD96" s="5">
        <f ca="1">IFERROR(VLOOKUP($AB96,OFFSET([4]characters!$A$1,0,0,COUNTA([4]characters!$A:$A),MATCH(AD$1,[4]characters!$1:$1,0)-MATCH("character_id",[4]characters!$1:$1,0)+1),MATCH(AD$1,[4]characters!$1:$1,0)-MATCH("character_id",[4]characters!$1:$1,0)+1,FALSE),"")</f>
        <v>3</v>
      </c>
      <c r="AE96" s="5" t="str">
        <f ca="1">IFERROR(VLOOKUP($AB96,OFFSET([4]characters!$A$1,0,0,COUNTA([4]characters!$A:$A),MATCH(AE$1,[4]characters!$1:$1,0)-MATCH("character_id",[4]characters!$1:$1,0)+1),MATCH(AE$1,[4]characters!$1:$1,0)-MATCH("character_id",[4]characters!$1:$1,0)+1,FALSE),"")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96" s="28">
        <v>1</v>
      </c>
      <c r="AG96" s="75">
        <f t="shared" ca="1" si="45"/>
        <v>3</v>
      </c>
      <c r="AH96" s="9">
        <v>0</v>
      </c>
      <c r="AI96" s="28">
        <v>0</v>
      </c>
      <c r="AJ96" s="28">
        <v>0</v>
      </c>
      <c r="AK96" s="28">
        <v>0</v>
      </c>
      <c r="AL96" s="28">
        <v>0</v>
      </c>
      <c r="AM96" s="28">
        <v>1</v>
      </c>
      <c r="AN96" s="28">
        <v>1</v>
      </c>
    </row>
    <row r="97" spans="1:40" ht="21" customHeight="1" x14ac:dyDescent="0.15">
      <c r="A97" s="17" t="str">
        <f t="shared" ca="1" si="46"/>
        <v>11004_4-5/837&lt;lv30&gt;s3</v>
      </c>
      <c r="B97" s="84">
        <v>11004</v>
      </c>
      <c r="C97" s="85">
        <v>4</v>
      </c>
      <c r="D97" s="16" t="str">
        <f t="shared" ref="D97:D143" si="47">B97&amp;"_"&amp;C97</f>
        <v>11004_4</v>
      </c>
      <c r="E97" s="5" t="str">
        <f ca="1">VLOOKUP($B97,OFFSET([2]quests!$A$1,0,0,COUNTA([2]quests!$A:$A),MATCH(E$1,[2]quests!$1:$1,0)-MATCH($B$1,[2]quests!$1:$1,0)+1),MATCH(E$1,[2]quests!$1:$1,0)-MATCH($B$1,[2]quests!$1:$1,0)+1,FALSE)</f>
        <v>【木曜限定】 緑の素材</v>
      </c>
      <c r="F97" s="5" t="str">
        <f ca="1">VLOOKUP($D97,OFFSET([2]stages!$A$1,0,0,COUNTA([2]stages!$A:$A),MATCH(F$1,[2]stages!$2:$2,0)-MATCH($D$1,[2]stages!$2:$2,0)+1),MATCH(F$1,[2]stages!$2:$2,0)-MATCH($D$1,[2]stages!$2:$2,0)+1,FALSE)</f>
        <v xml:space="preserve">【上級】樹のイモムシ </v>
      </c>
      <c r="G97" s="68">
        <v>5</v>
      </c>
      <c r="H97" s="16" t="str">
        <f t="shared" ref="H97:H214" si="48">B97&amp;"_"&amp;C97&amp;"-"&amp;G97</f>
        <v>11004_4-5</v>
      </c>
      <c r="I97" s="5" t="e">
        <v>#N/A</v>
      </c>
      <c r="J97" s="5" t="e">
        <v>#N/A</v>
      </c>
      <c r="K97" s="70" t="s">
        <v>219</v>
      </c>
      <c r="L97" s="70">
        <v>837</v>
      </c>
      <c r="M97" s="20" t="str">
        <f ca="1">VLOOKUP($L97,OFFSET([3]enemies!$A$1,0,0,COUNTA([3]enemies!$A:$A),MATCH(M$1,[3]enemies!$1:$1,0)-MATCH($L$1,[3]enemies!$1:$1,0)+1),MATCH(M$1,[3]enemies!$1:$1,0)-MATCH($L$1,[3]enemies!$1:$1,0)+1,FALSE)</f>
        <v>リトルハンプティ</v>
      </c>
      <c r="N97" s="20" t="str">
        <f ca="1">VLOOKUP($L97,OFFSET([3]enemies!$A$1,0,0,COUNTA([3]enemies!$A:$A),MATCH(N$1,[3]enemies!$1:$1,0)-MATCH($L$1,[3]enemies!$1:$1,0)+1),MATCH(N$1,[3]enemies!$1:$1,0)-MATCH($L$1,[3]enemies!$1:$1,0)+1,FALSE)</f>
        <v>yellow</v>
      </c>
      <c r="O97" s="22" t="str">
        <f ca="1">VLOOKUP($L97,OFFSET([4]characters!$A$1,0,0,COUNTA([4]characters!$A:$A),MATCH(O$1,[4]characters!$1:$1,0)-MATCH($L$1,[4]characters!$1:$1,0)+1),MATCH(O$1,[4]characters!$1:$1,0)-MATCH($L$1,[4]characters!$1:$1,0)+1,FALSE)</f>
        <v>Material</v>
      </c>
      <c r="P97" s="20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20">
        <f ca="1">VLOOKUP($L97,OFFSET([3]enemies!$A$1,0,0,COUNTA([3]enemies!$A:$A),MATCH(Q$1,[3]enemies!$1:$1,0)-MATCH($L$1,[3]enemies!$1:$1,0)+1),MATCH(Q$1,[3]enemies!$1:$1,0)-MATCH($L$1,[3]enemies!$1:$1,0)+1,FALSE)</f>
        <v>60</v>
      </c>
      <c r="R97" s="6">
        <v>30</v>
      </c>
      <c r="S97" s="30">
        <v>10</v>
      </c>
      <c r="T97" s="30">
        <v>30</v>
      </c>
      <c r="U97" s="6">
        <v>0</v>
      </c>
      <c r="V97" s="5" t="str">
        <f ca="1">VLOOKUP($W97,OFFSET([5]enemy_skill_sets!$B$1,0,0,COUNTA([5]enemy_skill_sets!$B:$B),MATCH(M$1,[5]enemy_skill_sets!$1:$1,0)-MATCH($W$1,[5]enemy_skill_sets!$1:$1,0)+2),MATCH(M$1,[5]enemy_skill_sets!$1:$1,0)-MATCH($W$1,[5]enemy_skill_sets!$1:$1,0)+2,FALSE)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7" s="5">
        <f ca="1">VLOOKUP($L97,OFFSET([3]enemies!$A$1,0,0,COUNTA([3]enemies!$A:$A),MATCH(W$1,[3]enemies!$1:$1,0)-MATCH($L$1,[3]enemies!$1:$1,0)+1),MATCH(W$1,[3]enemies!$1:$1,0)-MATCH($L$1,[3]enemies!$1:$1,0)+1,FALSE)</f>
        <v>0</v>
      </c>
      <c r="X97" s="7">
        <v>0</v>
      </c>
      <c r="Y97" s="7">
        <v>10</v>
      </c>
      <c r="Z97" s="7">
        <v>1</v>
      </c>
      <c r="AA97" s="20">
        <f ca="1">VLOOKUP($L97,OFFSET([3]enemies!$A$1,0,0,COUNTA([3]enemies!$A:$A),MATCH(AA$1,[3]enemies!$1:$1,0)-MATCH($L$1,[3]enemies!$1:$1,0)+1),MATCH(AA$1,[3]enemies!$1:$1,0)-MATCH($L$1,[3]enemies!$1:$1,0)+1,FALSE)</f>
        <v>3</v>
      </c>
      <c r="AB97" s="70">
        <v>837</v>
      </c>
      <c r="AC97" s="5" t="str">
        <f ca="1">IFERROR(VLOOKUP($AB97,OFFSET([4]characters!$A$1,0,0,COUNTA([4]characters!$A:$A),MATCH(AC$1,[4]characters!$1:$1,0)-MATCH("character_id",[4]characters!$1:$1,0)+1),MATCH(AC$1,[4]characters!$1:$1,0)-MATCH("character_id",[4]characters!$1:$1,0)+1,FALSE),"")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97" s="5">
        <f ca="1">IFERROR(VLOOKUP($AB97,OFFSET([4]characters!$A$1,0,0,COUNTA([4]characters!$A:$A),MATCH(AD$1,[4]characters!$1:$1,0)-MATCH("character_id",[4]characters!$1:$1,0)+1),MATCH(AD$1,[4]characters!$1:$1,0)-MATCH("character_id",[4]characters!$1:$1,0)+1,FALSE),"")</f>
        <v>6</v>
      </c>
      <c r="AE97" s="5" t="str">
        <f ca="1">IFERROR(VLOOKUP($AB97,OFFSET([4]characters!$A$1,0,0,COUNTA([4]characters!$A:$A),MATCH(AE$1,[4]characters!$1:$1,0)-MATCH("character_id",[4]characters!$1:$1,0)+1),MATCH(AE$1,[4]characters!$1:$1,0)-MATCH("character_id",[4]characters!$1:$1,0)+1,FALSE),"")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7" s="28">
        <v>1</v>
      </c>
      <c r="AG97" s="75">
        <f t="shared" ref="AG97:AG120" ca="1" si="49">AD97</f>
        <v>6</v>
      </c>
      <c r="AH97" s="9">
        <v>33</v>
      </c>
      <c r="AI97" s="28">
        <v>0</v>
      </c>
      <c r="AJ97" s="28">
        <v>0</v>
      </c>
      <c r="AK97" s="28">
        <v>0</v>
      </c>
      <c r="AL97" s="28">
        <v>0</v>
      </c>
      <c r="AM97" s="28">
        <v>1</v>
      </c>
      <c r="AN97" s="28">
        <v>1</v>
      </c>
    </row>
    <row r="98" spans="1:40" ht="21" customHeight="1" x14ac:dyDescent="0.15">
      <c r="A98" s="78" t="str">
        <f t="shared" ca="1" si="46"/>
        <v>11007_3-1/103&lt;lv30&gt;s3</v>
      </c>
      <c r="B98" s="76">
        <v>11007</v>
      </c>
      <c r="C98" s="77">
        <v>3</v>
      </c>
      <c r="D98" s="16" t="str">
        <f t="shared" si="47"/>
        <v>11007_3</v>
      </c>
      <c r="E98" s="22" t="str">
        <f ca="1">VLOOKUP($B98,OFFSET([2]quests!$A$1,0,0,COUNTA([2]quests!$A:$A),MATCH(E$1,[2]quests!$1:$1,0)-MATCH($B$1,[2]quests!$1:$1,0)+1),MATCH(E$1,[2]quests!$1:$1,0)-MATCH($B$1,[2]quests!$1:$1,0)+1,FALSE)</f>
        <v>【土曜限定】 赤と緑の素材</v>
      </c>
      <c r="F98" s="22" t="str">
        <f ca="1">VLOOKUP($D98,OFFSET([2]stages!$A$1,0,0,COUNTA([2]stages!$A:$A),MATCH(F$1,[2]stages!$2:$2,0)-MATCH($D$1,[2]stages!$2:$2,0)+1),MATCH(F$1,[2]stages!$2:$2,0)-MATCH($D$1,[2]stages!$2:$2,0)+1,FALSE)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98" s="68">
        <v>1</v>
      </c>
      <c r="H98" s="16" t="str">
        <f t="shared" si="48"/>
        <v>11007_3-1</v>
      </c>
      <c r="I98" s="22" t="e">
        <v>#N/A</v>
      </c>
      <c r="J98" s="22" t="e">
        <v>#N/A</v>
      </c>
      <c r="K98" s="70" t="s">
        <v>172</v>
      </c>
      <c r="L98" s="70">
        <v>103</v>
      </c>
      <c r="M98" s="22" t="str">
        <f ca="1">VLOOKUP($L98,OFFSET([3]enemies!$A$1,0,0,COUNTA([3]enemies!$A:$A),MATCH(M$1,[3]enemies!$1:$1,0)-MATCH($L$1,[3]enemies!$1:$1,0)+1),MATCH(M$1,[3]enemies!$1:$1,0)-MATCH($L$1,[3]enemies!$1:$1,0)+1,FALSE)</f>
        <v>レッドキャタップ</v>
      </c>
      <c r="N98" s="22" t="str">
        <f ca="1">VLOOKUP($L98,OFFSET([3]enemies!$A$1,0,0,COUNTA([3]enemies!$A:$A),MATCH(N$1,[3]enemies!$1:$1,0)-MATCH($L$1,[3]enemies!$1:$1,0)+1),MATCH(N$1,[3]enemies!$1:$1,0)-MATCH($L$1,[3]enemies!$1:$1,0)+1,FALSE)</f>
        <v>red</v>
      </c>
      <c r="O98" s="22" t="str">
        <f ca="1">VLOOKUP($L98,OFFSET([4]characters!$A$1,0,0,COUNTA([4]characters!$A:$A),MATCH(O$1,[4]characters!$1:$1,0)-MATCH($L$1,[4]characters!$1:$1,0)+1),MATCH(O$1,[4]characters!$1:$1,0)-MATCH($L$1,[4]characters!$1:$1,0)+1,FALSE)</f>
        <v>Material</v>
      </c>
      <c r="P98" s="22" t="str">
        <f ca="1">VLOOKUP($L98,OFFSET([3]enemies!$A$1,0,0,COUNTA([3]enemies!$A:$A),MATCH(P$1,[3]enemies!$1:$1,0)-MATCH($L$1,[3]enemies!$1:$1,0)+1),MATCH(P$1,[3]enemies!$1:$1,0)-MATCH($L$1,[3]enemies!$1:$1,0)+1,FALSE)</f>
        <v>unknown</v>
      </c>
      <c r="Q98" s="22">
        <f ca="1">VLOOKUP($L98,OFFSET([3]enemies!$A$1,0,0,COUNTA([3]enemies!$A:$A),MATCH(Q$1,[3]enemies!$1:$1,0)-MATCH($L$1,[3]enemies!$1:$1,0)+1),MATCH(Q$1,[3]enemies!$1:$1,0)-MATCH($L$1,[3]enemies!$1:$1,0)+1,FALSE)</f>
        <v>15</v>
      </c>
      <c r="R98" s="79">
        <v>30</v>
      </c>
      <c r="S98" s="80">
        <v>2</v>
      </c>
      <c r="T98" s="80">
        <v>1</v>
      </c>
      <c r="U98" s="79">
        <v>0</v>
      </c>
      <c r="V98" s="22" t="str">
        <f ca="1">VLOOKUP($W98,OFFSET([5]enemy_skill_sets!$B$1,0,0,COUNTA([5]enemy_skill_sets!$B:$B),MATCH(M$1,[5]enemy_skill_sets!$1:$1,0)-MATCH($W$1,[5]enemy_skill_sets!$1:$1,0)+2),MATCH(M$1,[5]enemy_skill_sets!$1:$1,0)-MATCH($W$1,[5]enemy_skill_sets!$1:$1,0)+2,FALSE)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8" s="22">
        <f ca="1">VLOOKUP($L98,OFFSET([3]enemies!$A$1,0,0,COUNTA([3]enemies!$A:$A),MATCH(W$1,[3]enemies!$1:$1,0)-MATCH($L$1,[3]enemies!$1:$1,0)+1),MATCH(W$1,[3]enemies!$1:$1,0)-MATCH($L$1,[3]enemies!$1:$1,0)+1,FALSE)</f>
        <v>0</v>
      </c>
      <c r="X98" s="81">
        <v>0</v>
      </c>
      <c r="Y98" s="81">
        <v>50</v>
      </c>
      <c r="Z98" s="81">
        <v>1</v>
      </c>
      <c r="AA98" s="22">
        <f ca="1">VLOOKUP($L98,OFFSET([3]enemies!$A$1,0,0,COUNTA([3]enemies!$A:$A),MATCH(AA$1,[3]enemies!$1:$1,0)-MATCH($L$1,[3]enemies!$1:$1,0)+1),MATCH(AA$1,[3]enemies!$1:$1,0)-MATCH($L$1,[3]enemies!$1:$1,0)+1,FALSE)</f>
        <v>3</v>
      </c>
      <c r="AB98" s="70">
        <v>103</v>
      </c>
      <c r="AC98" s="22" t="str">
        <f ca="1">IFERROR(VLOOKUP($AB98,OFFSET([4]characters!$A$1,0,0,COUNTA([4]characters!$A:$A),MATCH(AC$1,[4]characters!$1:$1,0)-MATCH("character_id",[4]characters!$1:$1,0)+1),MATCH(AC$1,[4]characters!$1:$1,0)-MATCH("character_id",[4]characters!$1:$1,0)+1,FALSE),"")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98" s="22">
        <f ca="1">IFERROR(VLOOKUP($AB98,OFFSET([4]characters!$A$1,0,0,COUNTA([4]characters!$A:$A),MATCH(AD$1,[4]characters!$1:$1,0)-MATCH("character_id",[4]characters!$1:$1,0)+1),MATCH(AD$1,[4]characters!$1:$1,0)-MATCH("character_id",[4]characters!$1:$1,0)+1,FALSE),"")</f>
        <v>4</v>
      </c>
      <c r="AE98" s="22" t="str">
        <f ca="1">IFERROR(VLOOKUP($AB98,OFFSET([4]characters!$A$1,0,0,COUNTA([4]characters!$A:$A),MATCH(AE$1,[4]characters!$1:$1,0)-MATCH("character_id",[4]characters!$1:$1,0)+1),MATCH(AE$1,[4]characters!$1:$1,0)-MATCH("character_id",[4]characters!$1:$1,0)+1,FALSE),"")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8" s="28">
        <v>1</v>
      </c>
      <c r="AG98" s="75">
        <f t="shared" ca="1" si="49"/>
        <v>4</v>
      </c>
      <c r="AH98" s="131">
        <v>50</v>
      </c>
      <c r="AI98" s="28">
        <v>0</v>
      </c>
      <c r="AJ98" s="28">
        <v>0</v>
      </c>
      <c r="AK98" s="28">
        <v>0</v>
      </c>
      <c r="AL98" s="28">
        <v>0</v>
      </c>
      <c r="AM98" s="28">
        <v>1</v>
      </c>
      <c r="AN98" s="28">
        <v>1</v>
      </c>
    </row>
    <row r="99" spans="1:40" ht="21" customHeight="1" x14ac:dyDescent="0.15">
      <c r="A99" s="78" t="str">
        <f t="shared" ca="1" si="46"/>
        <v>11007_3-1/33&lt;lv35&gt;s2</v>
      </c>
      <c r="B99" s="76">
        <v>11007</v>
      </c>
      <c r="C99" s="77">
        <v>3</v>
      </c>
      <c r="D99" s="16" t="str">
        <f t="shared" si="47"/>
        <v>11007_3</v>
      </c>
      <c r="E99" s="22" t="str">
        <f ca="1">VLOOKUP($B99,OFFSET([2]quests!$A$1,0,0,COUNTA([2]quests!$A:$A),MATCH(E$1,[2]quests!$1:$1,0)-MATCH($B$1,[2]quests!$1:$1,0)+1),MATCH(E$1,[2]quests!$1:$1,0)-MATCH($B$1,[2]quests!$1:$1,0)+1,FALSE)</f>
        <v>【土曜限定】 赤と緑の素材</v>
      </c>
      <c r="F99" s="22" t="str">
        <f ca="1">VLOOKUP($D99,OFFSET([2]stages!$A$1,0,0,COUNTA([2]stages!$A:$A),MATCH(F$1,[2]stages!$2:$2,0)-MATCH($D$1,[2]stages!$2:$2,0)+1),MATCH(F$1,[2]stages!$2:$2,0)-MATCH($D$1,[2]stages!$2:$2,0)+1,FALSE)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99" s="68">
        <v>1</v>
      </c>
      <c r="H99" s="16" t="str">
        <f t="shared" si="48"/>
        <v>11007_3-1</v>
      </c>
      <c r="I99" s="22" t="e">
        <v>#N/A</v>
      </c>
      <c r="J99" s="22" t="e">
        <v>#N/A</v>
      </c>
      <c r="K99" s="70" t="s">
        <v>172</v>
      </c>
      <c r="L99" s="70">
        <v>33</v>
      </c>
      <c r="M99" s="22" t="str">
        <f ca="1">VLOOKUP($L99,OFFSET([3]enemies!$A$1,0,0,COUNTA([3]enemies!$A:$A),MATCH(M$1,[3]enemies!$1:$1,0)-MATCH($L$1,[3]enemies!$1:$1,0)+1),MATCH(M$1,[3]enemies!$1:$1,0)-MATCH($L$1,[3]enemies!$1:$1,0)+1,FALSE)</f>
        <v>ゴクウ</v>
      </c>
      <c r="N99" s="22" t="str">
        <f ca="1">VLOOKUP($L99,OFFSET([3]enemies!$A$1,0,0,COUNTA([3]enemies!$A:$A),MATCH(N$1,[3]enemies!$1:$1,0)-MATCH($L$1,[3]enemies!$1:$1,0)+1),MATCH(N$1,[3]enemies!$1:$1,0)-MATCH($L$1,[3]enemies!$1:$1,0)+1,FALSE)</f>
        <v>red</v>
      </c>
      <c r="O99" s="22" t="str">
        <f ca="1">VLOOKUP($L99,OFFSET([4]characters!$A$1,0,0,COUNTA([4]characters!$A:$A),MATCH(O$1,[4]characters!$1:$1,0)-MATCH($L$1,[4]characters!$1:$1,0)+1),MATCH(O$1,[4]characters!$1:$1,0)-MATCH($L$1,[4]characters!$1:$1,0)+1,FALSE)</f>
        <v>Drop1S</v>
      </c>
      <c r="P99" s="22" t="str">
        <f ca="1">VLOOKUP($L99,OFFSET([3]enemies!$A$1,0,0,COUNTA([3]enemies!$A:$A),MATCH(P$1,[3]enemies!$1:$1,0)-MATCH($L$1,[3]enemies!$1:$1,0)+1),MATCH(P$1,[3]enemies!$1:$1,0)-MATCH($L$1,[3]enemies!$1:$1,0)+1,FALSE)</f>
        <v>animal</v>
      </c>
      <c r="Q99" s="22">
        <f ca="1">VLOOKUP($L99,OFFSET([3]enemies!$A$1,0,0,COUNTA([3]enemies!$A:$A),MATCH(Q$1,[3]enemies!$1:$1,0)-MATCH($L$1,[3]enemies!$1:$1,0)+1),MATCH(Q$1,[3]enemies!$1:$1,0)-MATCH($L$1,[3]enemies!$1:$1,0)+1,FALSE)</f>
        <v>15</v>
      </c>
      <c r="R99" s="79">
        <v>35</v>
      </c>
      <c r="S99" s="80">
        <v>1</v>
      </c>
      <c r="T99" s="80">
        <v>1</v>
      </c>
      <c r="U99" s="79">
        <v>0</v>
      </c>
      <c r="V99" s="22" t="str">
        <f ca="1">VLOOKUP($W99,OFFSET([5]enemy_skill_sets!$B$1,0,0,COUNTA([5]enemy_skill_sets!$B:$B),MATCH(M$1,[5]enemy_skill_sets!$1:$1,0)-MATCH($W$1,[5]enemy_skill_sets!$1:$1,0)+2),MATCH(M$1,[5]enemy_skill_sets!$1:$1,0)-MATCH($W$1,[5]enemy_skill_sets!$1:$1,0)+2,FALSE)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99" s="22">
        <f ca="1">VLOOKUP($L99,OFFSET([3]enemies!$A$1,0,0,COUNTA([3]enemies!$A:$A),MATCH(W$1,[3]enemies!$1:$1,0)-MATCH($L$1,[3]enemies!$1:$1,0)+1),MATCH(W$1,[3]enemies!$1:$1,0)-MATCH($L$1,[3]enemies!$1:$1,0)+1,FALSE)</f>
        <v>33</v>
      </c>
      <c r="X99" s="81">
        <v>0</v>
      </c>
      <c r="Y99" s="81">
        <v>100</v>
      </c>
      <c r="Z99" s="81">
        <v>0</v>
      </c>
      <c r="AA99" s="22">
        <f ca="1">VLOOKUP($L99,OFFSET([3]enemies!$A$1,0,0,COUNTA([3]enemies!$A:$A),MATCH(AA$1,[3]enemies!$1:$1,0)-MATCH($L$1,[3]enemies!$1:$1,0)+1),MATCH(AA$1,[3]enemies!$1:$1,0)-MATCH($L$1,[3]enemies!$1:$1,0)+1,FALSE)</f>
        <v>2</v>
      </c>
      <c r="AB99" s="70">
        <v>33</v>
      </c>
      <c r="AC99" s="22" t="str">
        <f ca="1">IFERROR(VLOOKUP($AB99,OFFSET([4]characters!$A$1,0,0,COUNTA([4]characters!$A:$A),MATCH(AC$1,[4]characters!$1:$1,0)-MATCH("character_id",[4]characters!$1:$1,0)+1),MATCH(AC$1,[4]characters!$1:$1,0)-MATCH("character_id",[4]characters!$1:$1,0)+1,FALSE),"")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99" s="22">
        <f ca="1">IFERROR(VLOOKUP($AB99,OFFSET([4]characters!$A$1,0,0,COUNTA([4]characters!$A:$A),MATCH(AD$1,[4]characters!$1:$1,0)-MATCH("character_id",[4]characters!$1:$1,0)+1),MATCH(AD$1,[4]characters!$1:$1,0)-MATCH("character_id",[4]characters!$1:$1,0)+1,FALSE),"")</f>
        <v>2</v>
      </c>
      <c r="AE99" s="22" t="str">
        <f ca="1">IFERROR(VLOOKUP($AB99,OFFSET([4]characters!$A$1,0,0,COUNTA([4]characters!$A:$A),MATCH(AE$1,[4]characters!$1:$1,0)-MATCH("character_id",[4]characters!$1:$1,0)+1),MATCH(AE$1,[4]characters!$1:$1,0)-MATCH("character_id",[4]characters!$1:$1,0)+1,FALSE),"")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99" s="28">
        <v>1</v>
      </c>
      <c r="AG99" s="75">
        <f t="shared" ca="1" si="49"/>
        <v>2</v>
      </c>
      <c r="AH99" s="81">
        <v>0</v>
      </c>
      <c r="AI99" s="28">
        <v>0</v>
      </c>
      <c r="AJ99" s="28">
        <v>0</v>
      </c>
      <c r="AK99" s="28">
        <v>0</v>
      </c>
      <c r="AL99" s="28">
        <v>0</v>
      </c>
      <c r="AM99" s="28">
        <v>1</v>
      </c>
      <c r="AN99" s="28">
        <v>1</v>
      </c>
    </row>
    <row r="100" spans="1:40" ht="21" customHeight="1" x14ac:dyDescent="0.15">
      <c r="A100" s="78" t="str">
        <f t="shared" ca="1" si="46"/>
        <v>11007_3-1/21&lt;lv35&gt;s2</v>
      </c>
      <c r="B100" s="76">
        <v>11007</v>
      </c>
      <c r="C100" s="77">
        <v>3</v>
      </c>
      <c r="D100" s="16" t="str">
        <f t="shared" si="47"/>
        <v>11007_3</v>
      </c>
      <c r="E100" s="22" t="str">
        <f ca="1">VLOOKUP($B100,OFFSET([2]quests!$A$1,0,0,COUNTA([2]quests!$A:$A),MATCH(E$1,[2]quests!$1:$1,0)-MATCH($B$1,[2]quests!$1:$1,0)+1),MATCH(E$1,[2]quests!$1:$1,0)-MATCH($B$1,[2]quests!$1:$1,0)+1,FALSE)</f>
        <v>【土曜限定】 赤と緑の素材</v>
      </c>
      <c r="F100" s="22" t="str">
        <f ca="1">VLOOKUP($D100,OFFSET([2]stages!$A$1,0,0,COUNTA([2]stages!$A:$A),MATCH(F$1,[2]stages!$2:$2,0)-MATCH($D$1,[2]stages!$2:$2,0)+1),MATCH(F$1,[2]stages!$2:$2,0)-MATCH($D$1,[2]stages!$2:$2,0)+1,FALSE)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0" s="68">
        <v>1</v>
      </c>
      <c r="H100" s="16" t="str">
        <f t="shared" si="48"/>
        <v>11007_3-1</v>
      </c>
      <c r="I100" s="22" t="e">
        <v>#N/A</v>
      </c>
      <c r="J100" s="22" t="e">
        <v>#N/A</v>
      </c>
      <c r="K100" s="70" t="s">
        <v>172</v>
      </c>
      <c r="L100" s="70">
        <v>21</v>
      </c>
      <c r="M100" s="22" t="str">
        <f ca="1">VLOOKUP($L100,OFFSET([3]enemies!$A$1,0,0,COUNTA([3]enemies!$A:$A),MATCH(M$1,[3]enemies!$1:$1,0)-MATCH($L$1,[3]enemies!$1:$1,0)+1),MATCH(M$1,[3]enemies!$1:$1,0)-MATCH($L$1,[3]enemies!$1:$1,0)+1,FALSE)</f>
        <v>ヴェロキー</v>
      </c>
      <c r="N100" s="22" t="str">
        <f ca="1">VLOOKUP($L100,OFFSET([3]enemies!$A$1,0,0,COUNTA([3]enemies!$A:$A),MATCH(N$1,[3]enemies!$1:$1,0)-MATCH($L$1,[3]enemies!$1:$1,0)+1),MATCH(N$1,[3]enemies!$1:$1,0)-MATCH($L$1,[3]enemies!$1:$1,0)+1,FALSE)</f>
        <v>red</v>
      </c>
      <c r="O100" s="22" t="str">
        <f ca="1">VLOOKUP($L100,OFFSET([4]characters!$A$1,0,0,COUNTA([4]characters!$A:$A),MATCH(O$1,[4]characters!$1:$1,0)-MATCH($L$1,[4]characters!$1:$1,0)+1),MATCH(O$1,[4]characters!$1:$1,0)-MATCH($L$1,[4]characters!$1:$1,0)+1,FALSE)</f>
        <v>Drop1N</v>
      </c>
      <c r="P100" s="22" t="str">
        <f ca="1">VLOOKUP($L100,OFFSET([3]enemies!$A$1,0,0,COUNTA([3]enemies!$A:$A),MATCH(P$1,[3]enemies!$1:$1,0)-MATCH($L$1,[3]enemies!$1:$1,0)+1),MATCH(P$1,[3]enemies!$1:$1,0)-MATCH($L$1,[3]enemies!$1:$1,0)+1,FALSE)</f>
        <v>dragon</v>
      </c>
      <c r="Q100" s="22">
        <f ca="1">VLOOKUP($L100,OFFSET([3]enemies!$A$1,0,0,COUNTA([3]enemies!$A:$A),MATCH(Q$1,[3]enemies!$1:$1,0)-MATCH($L$1,[3]enemies!$1:$1,0)+1),MATCH(Q$1,[3]enemies!$1:$1,0)-MATCH($L$1,[3]enemies!$1:$1,0)+1,FALSE)</f>
        <v>15</v>
      </c>
      <c r="R100" s="79">
        <v>35</v>
      </c>
      <c r="S100" s="80">
        <v>1</v>
      </c>
      <c r="T100" s="80">
        <v>1</v>
      </c>
      <c r="U100" s="79">
        <v>0</v>
      </c>
      <c r="V100" s="22" t="str">
        <f ca="1">VLOOKUP($W100,OFFSET([5]enemy_skill_sets!$B$1,0,0,COUNTA([5]enemy_skill_sets!$B:$B),MATCH(M$1,[5]enemy_skill_sets!$1:$1,0)-MATCH($W$1,[5]enemy_skill_sets!$1:$1,0)+2),MATCH(M$1,[5]enemy_skill_sets!$1:$1,0)-MATCH($W$1,[5]enemy_skill_sets!$1:$1,0)+2,FALSE)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0" s="22">
        <f ca="1">VLOOKUP($L100,OFFSET([3]enemies!$A$1,0,0,COUNTA([3]enemies!$A:$A),MATCH(W$1,[3]enemies!$1:$1,0)-MATCH($L$1,[3]enemies!$1:$1,0)+1),MATCH(W$1,[3]enemies!$1:$1,0)-MATCH($L$1,[3]enemies!$1:$1,0)+1,FALSE)</f>
        <v>0</v>
      </c>
      <c r="X100" s="81">
        <v>0</v>
      </c>
      <c r="Y100" s="81">
        <v>100</v>
      </c>
      <c r="Z100" s="81">
        <v>0</v>
      </c>
      <c r="AA100" s="22">
        <f ca="1">VLOOKUP($L100,OFFSET([3]enemies!$A$1,0,0,COUNTA([3]enemies!$A:$A),MATCH(AA$1,[3]enemies!$1:$1,0)-MATCH($L$1,[3]enemies!$1:$1,0)+1),MATCH(AA$1,[3]enemies!$1:$1,0)-MATCH($L$1,[3]enemies!$1:$1,0)+1,FALSE)</f>
        <v>2</v>
      </c>
      <c r="AB100" s="70">
        <v>21</v>
      </c>
      <c r="AC100" s="22" t="str">
        <f ca="1">IFERROR(VLOOKUP($AB100,OFFSET([4]characters!$A$1,0,0,COUNTA([4]characters!$A:$A),MATCH(AC$1,[4]characters!$1:$1,0)-MATCH("character_id",[4]characters!$1:$1,0)+1),MATCH(AC$1,[4]characters!$1:$1,0)-MATCH("character_id",[4]characters!$1:$1,0)+1,FALSE),"")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00" s="22">
        <f ca="1">IFERROR(VLOOKUP($AB100,OFFSET([4]characters!$A$1,0,0,COUNTA([4]characters!$A:$A),MATCH(AD$1,[4]characters!$1:$1,0)-MATCH("character_id",[4]characters!$1:$1,0)+1),MATCH(AD$1,[4]characters!$1:$1,0)-MATCH("character_id",[4]characters!$1:$1,0)+1,FALSE),"")</f>
        <v>1</v>
      </c>
      <c r="AE100" s="22" t="str">
        <f ca="1">IFERROR(VLOOKUP($AB100,OFFSET([4]characters!$A$1,0,0,COUNTA([4]characters!$A:$A),MATCH(AE$1,[4]characters!$1:$1,0)-MATCH("character_id",[4]characters!$1:$1,0)+1),MATCH(AE$1,[4]characters!$1:$1,0)-MATCH("character_id",[4]characters!$1:$1,0)+1,FALSE),"")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0" s="28">
        <v>1</v>
      </c>
      <c r="AG100" s="75">
        <f t="shared" ca="1" si="49"/>
        <v>1</v>
      </c>
      <c r="AH100" s="81">
        <v>0</v>
      </c>
      <c r="AI100" s="28">
        <v>0</v>
      </c>
      <c r="AJ100" s="28">
        <v>0</v>
      </c>
      <c r="AK100" s="28">
        <v>0</v>
      </c>
      <c r="AL100" s="28">
        <v>0</v>
      </c>
      <c r="AM100" s="28">
        <v>1</v>
      </c>
      <c r="AN100" s="28">
        <v>1</v>
      </c>
    </row>
    <row r="101" spans="1:40" ht="21" customHeight="1" x14ac:dyDescent="0.15">
      <c r="A101" s="78" t="str">
        <f t="shared" ca="1" si="46"/>
        <v>11007_3-1/332&lt;lv1&gt;s1</v>
      </c>
      <c r="B101" s="76">
        <v>11007</v>
      </c>
      <c r="C101" s="77">
        <v>3</v>
      </c>
      <c r="D101" s="16" t="str">
        <f t="shared" si="47"/>
        <v>11007_3</v>
      </c>
      <c r="E101" s="22" t="str">
        <f ca="1">VLOOKUP($B101,OFFSET([2]quests!$A$1,0,0,COUNTA([2]quests!$A:$A),MATCH(E$1,[2]quests!$1:$1,0)-MATCH($B$1,[2]quests!$1:$1,0)+1),MATCH(E$1,[2]quests!$1:$1,0)-MATCH($B$1,[2]quests!$1:$1,0)+1,FALSE)</f>
        <v>【土曜限定】 赤と緑の素材</v>
      </c>
      <c r="F101" s="22" t="str">
        <f ca="1">VLOOKUP($D101,OFFSET([2]stages!$A$1,0,0,COUNTA([2]stages!$A:$A),MATCH(F$1,[2]stages!$2:$2,0)-MATCH($D$1,[2]stages!$2:$2,0)+1),MATCH(F$1,[2]stages!$2:$2,0)-MATCH($D$1,[2]stages!$2:$2,0)+1,FALSE)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1" s="68">
        <v>1</v>
      </c>
      <c r="H101" s="16" t="str">
        <f t="shared" si="48"/>
        <v>11007_3-1</v>
      </c>
      <c r="I101" s="22" t="e">
        <v>#N/A</v>
      </c>
      <c r="J101" s="22" t="e">
        <v>#N/A</v>
      </c>
      <c r="K101" s="70" t="s">
        <v>172</v>
      </c>
      <c r="L101" s="70">
        <v>332</v>
      </c>
      <c r="M101" s="22" t="str">
        <f ca="1">VLOOKUP($L101,OFFSET([3]enemies!$A$1,0,0,COUNTA([3]enemies!$A:$A),MATCH(M$1,[3]enemies!$1:$1,0)-MATCH($L$1,[3]enemies!$1:$1,0)+1),MATCH(M$1,[3]enemies!$1:$1,0)-MATCH($L$1,[3]enemies!$1:$1,0)+1,FALSE)</f>
        <v>炎のメタルピヨピヨ</v>
      </c>
      <c r="N101" s="22" t="str">
        <f ca="1">VLOOKUP($L101,OFFSET([3]enemies!$A$1,0,0,COUNTA([3]enemies!$A:$A),MATCH(N$1,[3]enemies!$1:$1,0)-MATCH($L$1,[3]enemies!$1:$1,0)+1),MATCH(N$1,[3]enemies!$1:$1,0)-MATCH($L$1,[3]enemies!$1:$1,0)+1,FALSE)</f>
        <v>red</v>
      </c>
      <c r="O101" s="22" t="str">
        <f ca="1">VLOOKUP($L101,OFFSET([4]characters!$A$1,0,0,COUNTA([4]characters!$A:$A),MATCH(O$1,[4]characters!$1:$1,0)-MATCH($L$1,[4]characters!$1:$1,0)+1),MATCH(O$1,[4]characters!$1:$1,0)-MATCH($L$1,[4]characters!$1:$1,0)+1,FALSE)</f>
        <v>Material</v>
      </c>
      <c r="P101" s="22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22">
        <f ca="1">VLOOKUP($L101,OFFSET([3]enemies!$A$1,0,0,COUNTA([3]enemies!$A:$A),MATCH(Q$1,[3]enemies!$1:$1,0)-MATCH($L$1,[3]enemies!$1:$1,0)+1),MATCH(Q$1,[3]enemies!$1:$1,0)-MATCH($L$1,[3]enemies!$1:$1,0)+1,FALSE)</f>
        <v>15</v>
      </c>
      <c r="R101" s="79">
        <v>1</v>
      </c>
      <c r="S101" s="80">
        <v>1</v>
      </c>
      <c r="T101" s="80">
        <v>1</v>
      </c>
      <c r="U101" s="79">
        <v>0</v>
      </c>
      <c r="V101" s="22" t="str">
        <f ca="1">VLOOKUP($W101,OFFSET([5]enemy_skill_sets!$B$1,0,0,COUNTA([5]enemy_skill_sets!$B:$B),MATCH(M$1,[5]enemy_skill_sets!$1:$1,0)-MATCH($W$1,[5]enemy_skill_sets!$1:$1,0)+2),MATCH(M$1,[5]enemy_skill_sets!$1:$1,0)-MATCH($W$1,[5]enemy_skill_sets!$1:$1,0)+2,FALSE)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1" s="22">
        <f ca="1">VLOOKUP($L101,OFFSET([3]enemies!$A$1,0,0,COUNTA([3]enemies!$A:$A),MATCH(W$1,[3]enemies!$1:$1,0)-MATCH($L$1,[3]enemies!$1:$1,0)+1),MATCH(W$1,[3]enemies!$1:$1,0)-MATCH($L$1,[3]enemies!$1:$1,0)+1,FALSE)</f>
        <v>0</v>
      </c>
      <c r="X101" s="81">
        <v>0</v>
      </c>
      <c r="Y101" s="81">
        <v>30</v>
      </c>
      <c r="Z101" s="81">
        <v>0</v>
      </c>
      <c r="AA101" s="22">
        <f ca="1">VLOOKUP($L101,OFFSET([3]enemies!$A$1,0,0,COUNTA([3]enemies!$A:$A),MATCH(AA$1,[3]enemies!$1:$1,0)-MATCH($L$1,[3]enemies!$1:$1,0)+1),MATCH(AA$1,[3]enemies!$1:$1,0)-MATCH($L$1,[3]enemies!$1:$1,0)+1,FALSE)</f>
        <v>1</v>
      </c>
      <c r="AB101" s="70">
        <v>332</v>
      </c>
      <c r="AC101" s="22" t="str">
        <f ca="1">IFERROR(VLOOKUP($AB101,OFFSET([4]characters!$A$1,0,0,COUNTA([4]characters!$A:$A),MATCH(AC$1,[4]characters!$1:$1,0)-MATCH("character_id",[4]characters!$1:$1,0)+1),MATCH(AC$1,[4]characters!$1:$1,0)-MATCH("character_id",[4]characters!$1:$1,0)+1,FALSE),"")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101" s="22">
        <f ca="1">IFERROR(VLOOKUP($AB101,OFFSET([4]characters!$A$1,0,0,COUNTA([4]characters!$A:$A),MATCH(AD$1,[4]characters!$1:$1,0)-MATCH("character_id",[4]characters!$1:$1,0)+1),MATCH(AD$1,[4]characters!$1:$1,0)-MATCH("character_id",[4]characters!$1:$1,0)+1,FALSE),"")</f>
        <v>3</v>
      </c>
      <c r="AE101" s="22" t="str">
        <f ca="1">IFERROR(VLOOKUP($AB101,OFFSET([4]characters!$A$1,0,0,COUNTA([4]characters!$A:$A),MATCH(AE$1,[4]characters!$1:$1,0)-MATCH("character_id",[4]characters!$1:$1,0)+1),MATCH(AE$1,[4]characters!$1:$1,0)-MATCH("character_id",[4]characters!$1:$1,0)+1,FALSE),"")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1" s="28">
        <v>1</v>
      </c>
      <c r="AG101" s="75">
        <f t="shared" ca="1" si="49"/>
        <v>3</v>
      </c>
      <c r="AH101" s="81">
        <v>10</v>
      </c>
      <c r="AI101" s="28">
        <v>0</v>
      </c>
      <c r="AJ101" s="28">
        <v>0</v>
      </c>
      <c r="AK101" s="28">
        <v>0</v>
      </c>
      <c r="AL101" s="28">
        <v>0</v>
      </c>
      <c r="AM101" s="28">
        <v>1</v>
      </c>
      <c r="AN101" s="28">
        <v>1</v>
      </c>
    </row>
    <row r="102" spans="1:40" ht="21" customHeight="1" x14ac:dyDescent="0.15">
      <c r="A102" s="78" t="str">
        <f t="shared" ca="1" si="46"/>
        <v>11007_3-1/333&lt;lv1&gt;s2</v>
      </c>
      <c r="B102" s="76">
        <v>11007</v>
      </c>
      <c r="C102" s="77">
        <v>3</v>
      </c>
      <c r="D102" s="16" t="str">
        <f t="shared" si="47"/>
        <v>11007_3</v>
      </c>
      <c r="E102" s="22" t="str">
        <f ca="1">VLOOKUP($B102,OFFSET([2]quests!$A$1,0,0,COUNTA([2]quests!$A:$A),MATCH(E$1,[2]quests!$1:$1,0)-MATCH($B$1,[2]quests!$1:$1,0)+1),MATCH(E$1,[2]quests!$1:$1,0)-MATCH($B$1,[2]quests!$1:$1,0)+1,FALSE)</f>
        <v>【土曜限定】 赤と緑の素材</v>
      </c>
      <c r="F102" s="22" t="str">
        <f ca="1">VLOOKUP($D102,OFFSET([2]stages!$A$1,0,0,COUNTA([2]stages!$A:$A),MATCH(F$1,[2]stages!$2:$2,0)-MATCH($D$1,[2]stages!$2:$2,0)+1),MATCH(F$1,[2]stages!$2:$2,0)-MATCH($D$1,[2]stages!$2:$2,0)+1,FALSE)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2" s="68">
        <v>1</v>
      </c>
      <c r="H102" s="16" t="str">
        <f t="shared" si="48"/>
        <v>11007_3-1</v>
      </c>
      <c r="I102" s="22" t="e">
        <v>#N/A</v>
      </c>
      <c r="J102" s="22" t="e">
        <v>#N/A</v>
      </c>
      <c r="K102" s="70" t="s">
        <v>172</v>
      </c>
      <c r="L102" s="70">
        <v>333</v>
      </c>
      <c r="M102" s="22" t="str">
        <f ca="1">VLOOKUP($L102,OFFSET([3]enemies!$A$1,0,0,COUNTA([3]enemies!$A:$A),MATCH(M$1,[3]enemies!$1:$1,0)-MATCH($L$1,[3]enemies!$1:$1,0)+1),MATCH(M$1,[3]enemies!$1:$1,0)-MATCH($L$1,[3]enemies!$1:$1,0)+1,FALSE)</f>
        <v>炎のメタルチック</v>
      </c>
      <c r="N102" s="22" t="str">
        <f ca="1">VLOOKUP($L102,OFFSET([3]enemies!$A$1,0,0,COUNTA([3]enemies!$A:$A),MATCH(N$1,[3]enemies!$1:$1,0)-MATCH($L$1,[3]enemies!$1:$1,0)+1),MATCH(N$1,[3]enemies!$1:$1,0)-MATCH($L$1,[3]enemies!$1:$1,0)+1,FALSE)</f>
        <v>red</v>
      </c>
      <c r="O102" s="22" t="str">
        <f ca="1">VLOOKUP($L102,OFFSET([4]characters!$A$1,0,0,COUNTA([4]characters!$A:$A),MATCH(O$1,[4]characters!$1:$1,0)-MATCH($L$1,[4]characters!$1:$1,0)+1),MATCH(O$1,[4]characters!$1:$1,0)-MATCH($L$1,[4]characters!$1:$1,0)+1,FALSE)</f>
        <v>Material</v>
      </c>
      <c r="P102" s="22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22">
        <f ca="1">VLOOKUP($L102,OFFSET([3]enemies!$A$1,0,0,COUNTA([3]enemies!$A:$A),MATCH(Q$1,[3]enemies!$1:$1,0)-MATCH($L$1,[3]enemies!$1:$1,0)+1),MATCH(Q$1,[3]enemies!$1:$1,0)-MATCH($L$1,[3]enemies!$1:$1,0)+1,FALSE)</f>
        <v>15</v>
      </c>
      <c r="R102" s="79">
        <v>1</v>
      </c>
      <c r="S102" s="80">
        <v>1</v>
      </c>
      <c r="T102" s="80">
        <v>1</v>
      </c>
      <c r="U102" s="79">
        <v>0</v>
      </c>
      <c r="V102" s="22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2" s="22">
        <f ca="1">VLOOKUP($L102,OFFSET([3]enemies!$A$1,0,0,COUNTA([3]enemies!$A:$A),MATCH(W$1,[3]enemies!$1:$1,0)-MATCH($L$1,[3]enemies!$1:$1,0)+1),MATCH(W$1,[3]enemies!$1:$1,0)-MATCH($L$1,[3]enemies!$1:$1,0)+1,FALSE)</f>
        <v>0</v>
      </c>
      <c r="X102" s="81">
        <v>0</v>
      </c>
      <c r="Y102" s="81">
        <v>30</v>
      </c>
      <c r="Z102" s="81">
        <v>0</v>
      </c>
      <c r="AA102" s="22">
        <f ca="1">VLOOKUP($L102,OFFSET([3]enemies!$A$1,0,0,COUNTA([3]enemies!$A:$A),MATCH(AA$1,[3]enemies!$1:$1,0)-MATCH($L$1,[3]enemies!$1:$1,0)+1),MATCH(AA$1,[3]enemies!$1:$1,0)-MATCH($L$1,[3]enemies!$1:$1,0)+1,FALSE)</f>
        <v>2</v>
      </c>
      <c r="AB102" s="70">
        <v>333</v>
      </c>
      <c r="AC102" s="22" t="str">
        <f ca="1">IFERROR(VLOOKUP($AB102,OFFSET([4]characters!$A$1,0,0,COUNTA([4]characters!$A:$A),MATCH(AC$1,[4]characters!$1:$1,0)-MATCH("character_id",[4]characters!$1:$1,0)+1),MATCH(AC$1,[4]characters!$1:$1,0)-MATCH("character_id",[4]characters!$1:$1,0)+1,FALSE),"")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102" s="22">
        <f ca="1">IFERROR(VLOOKUP($AB102,OFFSET([4]characters!$A$1,0,0,COUNTA([4]characters!$A:$A),MATCH(AD$1,[4]characters!$1:$1,0)-MATCH("character_id",[4]characters!$1:$1,0)+1),MATCH(AD$1,[4]characters!$1:$1,0)-MATCH("character_id",[4]characters!$1:$1,0)+1,FALSE),"")</f>
        <v>4</v>
      </c>
      <c r="AE102" s="22" t="str">
        <f ca="1">IFERROR(VLOOKUP($AB102,OFFSET([4]characters!$A$1,0,0,COUNTA([4]characters!$A:$A),MATCH(AE$1,[4]characters!$1:$1,0)-MATCH("character_id",[4]characters!$1:$1,0)+1),MATCH(AE$1,[4]characters!$1:$1,0)-MATCH("character_id",[4]characters!$1:$1,0)+1,FALSE),"")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2" s="28">
        <v>1</v>
      </c>
      <c r="AG102" s="75">
        <f t="shared" ca="1" si="49"/>
        <v>4</v>
      </c>
      <c r="AH102" s="81">
        <v>5</v>
      </c>
      <c r="AI102" s="28">
        <v>0</v>
      </c>
      <c r="AJ102" s="28">
        <v>0</v>
      </c>
      <c r="AK102" s="28">
        <v>0</v>
      </c>
      <c r="AL102" s="28">
        <v>0</v>
      </c>
      <c r="AM102" s="28">
        <v>1</v>
      </c>
      <c r="AN102" s="28">
        <v>1</v>
      </c>
    </row>
    <row r="103" spans="1:40" ht="18" customHeight="1" x14ac:dyDescent="0.15">
      <c r="A103" s="78" t="str">
        <f t="shared" ca="1" si="46"/>
        <v>11007_3-2/103&lt;lv30&gt;s3</v>
      </c>
      <c r="B103" s="76">
        <v>11007</v>
      </c>
      <c r="C103" s="77">
        <v>3</v>
      </c>
      <c r="D103" s="16" t="str">
        <f t="shared" si="47"/>
        <v>11007_3</v>
      </c>
      <c r="E103" s="22" t="str">
        <f ca="1">VLOOKUP($B103,OFFSET([2]quests!$A$1,0,0,COUNTA([2]quests!$A:$A),MATCH(E$1,[2]quests!$1:$1,0)-MATCH($B$1,[2]quests!$1:$1,0)+1),MATCH(E$1,[2]quests!$1:$1,0)-MATCH($B$1,[2]quests!$1:$1,0)+1,FALSE)</f>
        <v>【土曜限定】 赤と緑の素材</v>
      </c>
      <c r="F103" s="22" t="str">
        <f ca="1">VLOOKUP($D103,OFFSET([2]stages!$A$1,0,0,COUNTA([2]stages!$A:$A),MATCH(F$1,[2]stages!$2:$2,0)-MATCH($D$1,[2]stages!$2:$2,0)+1),MATCH(F$1,[2]stages!$2:$2,0)-MATCH($D$1,[2]stages!$2:$2,0)+1,FALSE)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3" s="68">
        <v>2</v>
      </c>
      <c r="H103" s="16" t="str">
        <f t="shared" si="48"/>
        <v>11007_3-2</v>
      </c>
      <c r="I103" s="22" t="e">
        <v>#N/A</v>
      </c>
      <c r="J103" s="22" t="e">
        <v>#N/A</v>
      </c>
      <c r="K103" s="70" t="s">
        <v>172</v>
      </c>
      <c r="L103" s="70">
        <v>103</v>
      </c>
      <c r="M103" s="22" t="str">
        <f ca="1">VLOOKUP($L103,OFFSET([3]enemies!$A$1,0,0,COUNTA([3]enemies!$A:$A),MATCH(M$1,[3]enemies!$1:$1,0)-MATCH($L$1,[3]enemies!$1:$1,0)+1),MATCH(M$1,[3]enemies!$1:$1,0)-MATCH($L$1,[3]enemies!$1:$1,0)+1,FALSE)</f>
        <v>レッドキャタップ</v>
      </c>
      <c r="N103" s="22" t="str">
        <f ca="1">VLOOKUP($L103,OFFSET([3]enemies!$A$1,0,0,COUNTA([3]enemies!$A:$A),MATCH(N$1,[3]enemies!$1:$1,0)-MATCH($L$1,[3]enemies!$1:$1,0)+1),MATCH(N$1,[3]enemies!$1:$1,0)-MATCH($L$1,[3]enemies!$1:$1,0)+1,FALSE)</f>
        <v>red</v>
      </c>
      <c r="O103" s="22" t="str">
        <f ca="1">VLOOKUP($L103,OFFSET([4]characters!$A$1,0,0,COUNTA([4]characters!$A:$A),MATCH(O$1,[4]characters!$1:$1,0)-MATCH($L$1,[4]characters!$1:$1,0)+1),MATCH(O$1,[4]characters!$1:$1,0)-MATCH($L$1,[4]characters!$1:$1,0)+1,FALSE)</f>
        <v>Material</v>
      </c>
      <c r="P103" s="22" t="str">
        <f ca="1">VLOOKUP($L103,OFFSET([3]enemies!$A$1,0,0,COUNTA([3]enemies!$A:$A),MATCH(P$1,[3]enemies!$1:$1,0)-MATCH($L$1,[3]enemies!$1:$1,0)+1),MATCH(P$1,[3]enemies!$1:$1,0)-MATCH($L$1,[3]enemies!$1:$1,0)+1,FALSE)</f>
        <v>unknown</v>
      </c>
      <c r="Q103" s="22">
        <f ca="1">VLOOKUP($L103,OFFSET([3]enemies!$A$1,0,0,COUNTA([3]enemies!$A:$A),MATCH(Q$1,[3]enemies!$1:$1,0)-MATCH($L$1,[3]enemies!$1:$1,0)+1),MATCH(Q$1,[3]enemies!$1:$1,0)-MATCH($L$1,[3]enemies!$1:$1,0)+1,FALSE)</f>
        <v>15</v>
      </c>
      <c r="R103" s="79">
        <v>30</v>
      </c>
      <c r="S103" s="80">
        <v>2</v>
      </c>
      <c r="T103" s="80">
        <v>1</v>
      </c>
      <c r="U103" s="79">
        <v>0</v>
      </c>
      <c r="V103" s="22" t="str">
        <f ca="1">VLOOKUP($W103,OFFSET([5]enemy_skill_sets!$B$1,0,0,COUNTA([5]enemy_skill_sets!$B:$B),MATCH(M$1,[5]enemy_skill_sets!$1:$1,0)-MATCH($W$1,[5]enemy_skill_sets!$1:$1,0)+2),MATCH(M$1,[5]enemy_skill_sets!$1:$1,0)-MATCH($W$1,[5]enemy_skill_sets!$1:$1,0)+2,FALSE)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3" s="22">
        <f ca="1">VLOOKUP($L103,OFFSET([3]enemies!$A$1,0,0,COUNTA([3]enemies!$A:$A),MATCH(W$1,[3]enemies!$1:$1,0)-MATCH($L$1,[3]enemies!$1:$1,0)+1),MATCH(W$1,[3]enemies!$1:$1,0)-MATCH($L$1,[3]enemies!$1:$1,0)+1,FALSE)</f>
        <v>0</v>
      </c>
      <c r="X103" s="81">
        <v>0</v>
      </c>
      <c r="Y103" s="81">
        <v>50</v>
      </c>
      <c r="Z103" s="81">
        <v>1</v>
      </c>
      <c r="AA103" s="22">
        <f ca="1">VLOOKUP($L103,OFFSET([3]enemies!$A$1,0,0,COUNTA([3]enemies!$A:$A),MATCH(AA$1,[3]enemies!$1:$1,0)-MATCH($L$1,[3]enemies!$1:$1,0)+1),MATCH(AA$1,[3]enemies!$1:$1,0)-MATCH($L$1,[3]enemies!$1:$1,0)+1,FALSE)</f>
        <v>3</v>
      </c>
      <c r="AB103" s="70">
        <v>103</v>
      </c>
      <c r="AC103" s="22" t="str">
        <f ca="1">IFERROR(VLOOKUP($AB103,OFFSET([4]characters!$A$1,0,0,COUNTA([4]characters!$A:$A),MATCH(AC$1,[4]characters!$1:$1,0)-MATCH("character_id",[4]characters!$1:$1,0)+1),MATCH(AC$1,[4]characters!$1:$1,0)-MATCH("character_id",[4]characters!$1:$1,0)+1,FALSE),"")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103" s="22">
        <f ca="1">IFERROR(VLOOKUP($AB103,OFFSET([4]characters!$A$1,0,0,COUNTA([4]characters!$A:$A),MATCH(AD$1,[4]characters!$1:$1,0)-MATCH("character_id",[4]characters!$1:$1,0)+1),MATCH(AD$1,[4]characters!$1:$1,0)-MATCH("character_id",[4]characters!$1:$1,0)+1,FALSE),"")</f>
        <v>4</v>
      </c>
      <c r="AE103" s="22" t="str">
        <f ca="1">IFERROR(VLOOKUP($AB103,OFFSET([4]characters!$A$1,0,0,COUNTA([4]characters!$A:$A),MATCH(AE$1,[4]characters!$1:$1,0)-MATCH("character_id",[4]characters!$1:$1,0)+1),MATCH(AE$1,[4]characters!$1:$1,0)-MATCH("character_id",[4]characters!$1:$1,0)+1,FALSE),"")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3" s="28">
        <v>1</v>
      </c>
      <c r="AG103" s="75">
        <f t="shared" ca="1" si="49"/>
        <v>4</v>
      </c>
      <c r="AH103" s="131">
        <v>50</v>
      </c>
      <c r="AI103" s="28">
        <v>0</v>
      </c>
      <c r="AJ103" s="28">
        <v>0</v>
      </c>
      <c r="AK103" s="28">
        <v>0</v>
      </c>
      <c r="AL103" s="28">
        <v>0</v>
      </c>
      <c r="AM103" s="28">
        <v>1</v>
      </c>
      <c r="AN103" s="28">
        <v>1</v>
      </c>
    </row>
    <row r="104" spans="1:40" ht="21" customHeight="1" x14ac:dyDescent="0.15">
      <c r="A104" s="78" t="str">
        <f t="shared" ca="1" si="46"/>
        <v>11007_3-2/33&lt;lv35&gt;s2</v>
      </c>
      <c r="B104" s="76">
        <v>11007</v>
      </c>
      <c r="C104" s="77">
        <v>3</v>
      </c>
      <c r="D104" s="16" t="str">
        <f t="shared" si="47"/>
        <v>11007_3</v>
      </c>
      <c r="E104" s="22" t="str">
        <f ca="1">VLOOKUP($B104,OFFSET([2]quests!$A$1,0,0,COUNTA([2]quests!$A:$A),MATCH(E$1,[2]quests!$1:$1,0)-MATCH($B$1,[2]quests!$1:$1,0)+1),MATCH(E$1,[2]quests!$1:$1,0)-MATCH($B$1,[2]quests!$1:$1,0)+1,FALSE)</f>
        <v>【土曜限定】 赤と緑の素材</v>
      </c>
      <c r="F104" s="22" t="str">
        <f ca="1">VLOOKUP($D104,OFFSET([2]stages!$A$1,0,0,COUNTA([2]stages!$A:$A),MATCH(F$1,[2]stages!$2:$2,0)-MATCH($D$1,[2]stages!$2:$2,0)+1),MATCH(F$1,[2]stages!$2:$2,0)-MATCH($D$1,[2]stages!$2:$2,0)+1,FALSE)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4" s="68">
        <v>2</v>
      </c>
      <c r="H104" s="16" t="str">
        <f t="shared" si="48"/>
        <v>11007_3-2</v>
      </c>
      <c r="I104" s="22" t="e">
        <v>#N/A</v>
      </c>
      <c r="J104" s="22" t="e">
        <v>#N/A</v>
      </c>
      <c r="K104" s="70" t="s">
        <v>172</v>
      </c>
      <c r="L104" s="70">
        <v>33</v>
      </c>
      <c r="M104" s="22" t="str">
        <f ca="1">VLOOKUP($L104,OFFSET([3]enemies!$A$1,0,0,COUNTA([3]enemies!$A:$A),MATCH(M$1,[3]enemies!$1:$1,0)-MATCH($L$1,[3]enemies!$1:$1,0)+1),MATCH(M$1,[3]enemies!$1:$1,0)-MATCH($L$1,[3]enemies!$1:$1,0)+1,FALSE)</f>
        <v>ゴクウ</v>
      </c>
      <c r="N104" s="22" t="str">
        <f ca="1">VLOOKUP($L104,OFFSET([3]enemies!$A$1,0,0,COUNTA([3]enemies!$A:$A),MATCH(N$1,[3]enemies!$1:$1,0)-MATCH($L$1,[3]enemies!$1:$1,0)+1),MATCH(N$1,[3]enemies!$1:$1,0)-MATCH($L$1,[3]enemies!$1:$1,0)+1,FALSE)</f>
        <v>red</v>
      </c>
      <c r="O104" s="22" t="str">
        <f ca="1">VLOOKUP($L104,OFFSET([4]characters!$A$1,0,0,COUNTA([4]characters!$A:$A),MATCH(O$1,[4]characters!$1:$1,0)-MATCH($L$1,[4]characters!$1:$1,0)+1),MATCH(O$1,[4]characters!$1:$1,0)-MATCH($L$1,[4]characters!$1:$1,0)+1,FALSE)</f>
        <v>Drop1S</v>
      </c>
      <c r="P104" s="22" t="str">
        <f ca="1">VLOOKUP($L104,OFFSET([3]enemies!$A$1,0,0,COUNTA([3]enemies!$A:$A),MATCH(P$1,[3]enemies!$1:$1,0)-MATCH($L$1,[3]enemies!$1:$1,0)+1),MATCH(P$1,[3]enemies!$1:$1,0)-MATCH($L$1,[3]enemies!$1:$1,0)+1,FALSE)</f>
        <v>animal</v>
      </c>
      <c r="Q104" s="22">
        <f ca="1">VLOOKUP($L104,OFFSET([3]enemies!$A$1,0,0,COUNTA([3]enemies!$A:$A),MATCH(Q$1,[3]enemies!$1:$1,0)-MATCH($L$1,[3]enemies!$1:$1,0)+1),MATCH(Q$1,[3]enemies!$1:$1,0)-MATCH($L$1,[3]enemies!$1:$1,0)+1,FALSE)</f>
        <v>15</v>
      </c>
      <c r="R104" s="79">
        <v>35</v>
      </c>
      <c r="S104" s="80">
        <v>1</v>
      </c>
      <c r="T104" s="80">
        <v>1</v>
      </c>
      <c r="U104" s="79">
        <v>0</v>
      </c>
      <c r="V104" s="22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04" s="22">
        <f ca="1">VLOOKUP($L104,OFFSET([3]enemies!$A$1,0,0,COUNTA([3]enemies!$A:$A),MATCH(W$1,[3]enemies!$1:$1,0)-MATCH($L$1,[3]enemies!$1:$1,0)+1),MATCH(W$1,[3]enemies!$1:$1,0)-MATCH($L$1,[3]enemies!$1:$1,0)+1,FALSE)</f>
        <v>33</v>
      </c>
      <c r="X104" s="81">
        <v>0</v>
      </c>
      <c r="Y104" s="81">
        <v>100</v>
      </c>
      <c r="Z104" s="81">
        <v>0</v>
      </c>
      <c r="AA104" s="22">
        <f ca="1">VLOOKUP($L104,OFFSET([3]enemies!$A$1,0,0,COUNTA([3]enemies!$A:$A),MATCH(AA$1,[3]enemies!$1:$1,0)-MATCH($L$1,[3]enemies!$1:$1,0)+1),MATCH(AA$1,[3]enemies!$1:$1,0)-MATCH($L$1,[3]enemies!$1:$1,0)+1,FALSE)</f>
        <v>2</v>
      </c>
      <c r="AB104" s="70">
        <v>33</v>
      </c>
      <c r="AC104" s="22" t="str">
        <f ca="1">IFERROR(VLOOKUP($AB104,OFFSET([4]characters!$A$1,0,0,COUNTA([4]characters!$A:$A),MATCH(AC$1,[4]characters!$1:$1,0)-MATCH("character_id",[4]characters!$1:$1,0)+1),MATCH(AC$1,[4]characters!$1:$1,0)-MATCH("character_id",[4]characters!$1:$1,0)+1,FALSE),"")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04" s="22">
        <f ca="1">IFERROR(VLOOKUP($AB104,OFFSET([4]characters!$A$1,0,0,COUNTA([4]characters!$A:$A),MATCH(AD$1,[4]characters!$1:$1,0)-MATCH("character_id",[4]characters!$1:$1,0)+1),MATCH(AD$1,[4]characters!$1:$1,0)-MATCH("character_id",[4]characters!$1:$1,0)+1,FALSE),"")</f>
        <v>2</v>
      </c>
      <c r="AE104" s="22" t="str">
        <f ca="1">IFERROR(VLOOKUP($AB104,OFFSET([4]characters!$A$1,0,0,COUNTA([4]characters!$A:$A),MATCH(AE$1,[4]characters!$1:$1,0)-MATCH("character_id",[4]characters!$1:$1,0)+1),MATCH(AE$1,[4]characters!$1:$1,0)-MATCH("character_id",[4]characters!$1:$1,0)+1,FALSE),"")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04" s="28">
        <v>1</v>
      </c>
      <c r="AG104" s="75">
        <f t="shared" ca="1" si="49"/>
        <v>2</v>
      </c>
      <c r="AH104" s="81">
        <v>0</v>
      </c>
      <c r="AI104" s="28">
        <v>0</v>
      </c>
      <c r="AJ104" s="28">
        <v>0</v>
      </c>
      <c r="AK104" s="28">
        <v>0</v>
      </c>
      <c r="AL104" s="28">
        <v>0</v>
      </c>
      <c r="AM104" s="28">
        <v>1</v>
      </c>
      <c r="AN104" s="28">
        <v>1</v>
      </c>
    </row>
    <row r="105" spans="1:40" ht="21" customHeight="1" x14ac:dyDescent="0.15">
      <c r="A105" s="78" t="str">
        <f t="shared" ca="1" si="46"/>
        <v>11007_3-2/21&lt;lv35&gt;s2</v>
      </c>
      <c r="B105" s="76">
        <v>11007</v>
      </c>
      <c r="C105" s="77">
        <v>3</v>
      </c>
      <c r="D105" s="16" t="str">
        <f t="shared" si="47"/>
        <v>11007_3</v>
      </c>
      <c r="E105" s="22" t="str">
        <f ca="1">VLOOKUP($B105,OFFSET([2]quests!$A$1,0,0,COUNTA([2]quests!$A:$A),MATCH(E$1,[2]quests!$1:$1,0)-MATCH($B$1,[2]quests!$1:$1,0)+1),MATCH(E$1,[2]quests!$1:$1,0)-MATCH($B$1,[2]quests!$1:$1,0)+1,FALSE)</f>
        <v>【土曜限定】 赤と緑の素材</v>
      </c>
      <c r="F105" s="22" t="str">
        <f ca="1">VLOOKUP($D105,OFFSET([2]stages!$A$1,0,0,COUNTA([2]stages!$A:$A),MATCH(F$1,[2]stages!$2:$2,0)-MATCH($D$1,[2]stages!$2:$2,0)+1),MATCH(F$1,[2]stages!$2:$2,0)-MATCH($D$1,[2]stages!$2:$2,0)+1,FALSE)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5" s="68">
        <v>2</v>
      </c>
      <c r="H105" s="16" t="str">
        <f t="shared" si="48"/>
        <v>11007_3-2</v>
      </c>
      <c r="I105" s="22" t="e">
        <v>#N/A</v>
      </c>
      <c r="J105" s="22" t="e">
        <v>#N/A</v>
      </c>
      <c r="K105" s="70" t="s">
        <v>172</v>
      </c>
      <c r="L105" s="70">
        <v>21</v>
      </c>
      <c r="M105" s="22" t="str">
        <f ca="1">VLOOKUP($L105,OFFSET([3]enemies!$A$1,0,0,COUNTA([3]enemies!$A:$A),MATCH(M$1,[3]enemies!$1:$1,0)-MATCH($L$1,[3]enemies!$1:$1,0)+1),MATCH(M$1,[3]enemies!$1:$1,0)-MATCH($L$1,[3]enemies!$1:$1,0)+1,FALSE)</f>
        <v>ヴェロキー</v>
      </c>
      <c r="N105" s="22" t="str">
        <f ca="1">VLOOKUP($L105,OFFSET([3]enemies!$A$1,0,0,COUNTA([3]enemies!$A:$A),MATCH(N$1,[3]enemies!$1:$1,0)-MATCH($L$1,[3]enemies!$1:$1,0)+1),MATCH(N$1,[3]enemies!$1:$1,0)-MATCH($L$1,[3]enemies!$1:$1,0)+1,FALSE)</f>
        <v>red</v>
      </c>
      <c r="O105" s="22" t="str">
        <f ca="1">VLOOKUP($L105,OFFSET([4]characters!$A$1,0,0,COUNTA([4]characters!$A:$A),MATCH(O$1,[4]characters!$1:$1,0)-MATCH($L$1,[4]characters!$1:$1,0)+1),MATCH(O$1,[4]characters!$1:$1,0)-MATCH($L$1,[4]characters!$1:$1,0)+1,FALSE)</f>
        <v>Drop1N</v>
      </c>
      <c r="P105" s="22" t="str">
        <f ca="1">VLOOKUP($L105,OFFSET([3]enemies!$A$1,0,0,COUNTA([3]enemies!$A:$A),MATCH(P$1,[3]enemies!$1:$1,0)-MATCH($L$1,[3]enemies!$1:$1,0)+1),MATCH(P$1,[3]enemies!$1:$1,0)-MATCH($L$1,[3]enemies!$1:$1,0)+1,FALSE)</f>
        <v>dragon</v>
      </c>
      <c r="Q105" s="22">
        <f ca="1">VLOOKUP($L105,OFFSET([3]enemies!$A$1,0,0,COUNTA([3]enemies!$A:$A),MATCH(Q$1,[3]enemies!$1:$1,0)-MATCH($L$1,[3]enemies!$1:$1,0)+1),MATCH(Q$1,[3]enemies!$1:$1,0)-MATCH($L$1,[3]enemies!$1:$1,0)+1,FALSE)</f>
        <v>15</v>
      </c>
      <c r="R105" s="79">
        <v>35</v>
      </c>
      <c r="S105" s="80">
        <v>1</v>
      </c>
      <c r="T105" s="80">
        <v>1</v>
      </c>
      <c r="U105" s="79">
        <v>0</v>
      </c>
      <c r="V105" s="22" t="str">
        <f ca="1">VLOOKUP($W105,OFFSET([5]enemy_skill_sets!$B$1,0,0,COUNTA([5]enemy_skill_sets!$B:$B),MATCH(M$1,[5]enemy_skill_sets!$1:$1,0)-MATCH($W$1,[5]enemy_skill_sets!$1:$1,0)+2),MATCH(M$1,[5]enemy_skill_sets!$1:$1,0)-MATCH($W$1,[5]enemy_skill_sets!$1:$1,0)+2,FALSE)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5" s="22">
        <f ca="1">VLOOKUP($L105,OFFSET([3]enemies!$A$1,0,0,COUNTA([3]enemies!$A:$A),MATCH(W$1,[3]enemies!$1:$1,0)-MATCH($L$1,[3]enemies!$1:$1,0)+1),MATCH(W$1,[3]enemies!$1:$1,0)-MATCH($L$1,[3]enemies!$1:$1,0)+1,FALSE)</f>
        <v>0</v>
      </c>
      <c r="X105" s="81">
        <v>0</v>
      </c>
      <c r="Y105" s="81">
        <v>100</v>
      </c>
      <c r="Z105" s="81">
        <v>0</v>
      </c>
      <c r="AA105" s="22">
        <f ca="1">VLOOKUP($L105,OFFSET([3]enemies!$A$1,0,0,COUNTA([3]enemies!$A:$A),MATCH(AA$1,[3]enemies!$1:$1,0)-MATCH($L$1,[3]enemies!$1:$1,0)+1),MATCH(AA$1,[3]enemies!$1:$1,0)-MATCH($L$1,[3]enemies!$1:$1,0)+1,FALSE)</f>
        <v>2</v>
      </c>
      <c r="AB105" s="70">
        <v>21</v>
      </c>
      <c r="AC105" s="22" t="str">
        <f ca="1">IFERROR(VLOOKUP($AB105,OFFSET([4]characters!$A$1,0,0,COUNTA([4]characters!$A:$A),MATCH(AC$1,[4]characters!$1:$1,0)-MATCH("character_id",[4]characters!$1:$1,0)+1),MATCH(AC$1,[4]characters!$1:$1,0)-MATCH("character_id",[4]characters!$1:$1,0)+1,FALSE),"")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05" s="22">
        <f ca="1">IFERROR(VLOOKUP($AB105,OFFSET([4]characters!$A$1,0,0,COUNTA([4]characters!$A:$A),MATCH(AD$1,[4]characters!$1:$1,0)-MATCH("character_id",[4]characters!$1:$1,0)+1),MATCH(AD$1,[4]characters!$1:$1,0)-MATCH("character_id",[4]characters!$1:$1,0)+1,FALSE),"")</f>
        <v>1</v>
      </c>
      <c r="AE105" s="22" t="str">
        <f ca="1">IFERROR(VLOOKUP($AB105,OFFSET([4]characters!$A$1,0,0,COUNTA([4]characters!$A:$A),MATCH(AE$1,[4]characters!$1:$1,0)-MATCH("character_id",[4]characters!$1:$1,0)+1),MATCH(AE$1,[4]characters!$1:$1,0)-MATCH("character_id",[4]characters!$1:$1,0)+1,FALSE),"")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5" s="28">
        <v>1</v>
      </c>
      <c r="AG105" s="75">
        <f t="shared" ca="1" si="49"/>
        <v>1</v>
      </c>
      <c r="AH105" s="81">
        <v>0</v>
      </c>
      <c r="AI105" s="28">
        <v>0</v>
      </c>
      <c r="AJ105" s="28">
        <v>0</v>
      </c>
      <c r="AK105" s="28">
        <v>0</v>
      </c>
      <c r="AL105" s="28">
        <v>0</v>
      </c>
      <c r="AM105" s="28">
        <v>1</v>
      </c>
      <c r="AN105" s="28">
        <v>1</v>
      </c>
    </row>
    <row r="106" spans="1:40" ht="21" customHeight="1" x14ac:dyDescent="0.15">
      <c r="A106" s="78" t="str">
        <f t="shared" ca="1" si="46"/>
        <v>11007_3-2/332&lt;lv1&gt;s1</v>
      </c>
      <c r="B106" s="76">
        <v>11007</v>
      </c>
      <c r="C106" s="77">
        <v>3</v>
      </c>
      <c r="D106" s="16" t="str">
        <f t="shared" si="47"/>
        <v>11007_3</v>
      </c>
      <c r="E106" s="22" t="str">
        <f ca="1">VLOOKUP($B106,OFFSET([2]quests!$A$1,0,0,COUNTA([2]quests!$A:$A),MATCH(E$1,[2]quests!$1:$1,0)-MATCH($B$1,[2]quests!$1:$1,0)+1),MATCH(E$1,[2]quests!$1:$1,0)-MATCH($B$1,[2]quests!$1:$1,0)+1,FALSE)</f>
        <v>【土曜限定】 赤と緑の素材</v>
      </c>
      <c r="F106" s="22" t="str">
        <f ca="1">VLOOKUP($D106,OFFSET([2]stages!$A$1,0,0,COUNTA([2]stages!$A:$A),MATCH(F$1,[2]stages!$2:$2,0)-MATCH($D$1,[2]stages!$2:$2,0)+1),MATCH(F$1,[2]stages!$2:$2,0)-MATCH($D$1,[2]stages!$2:$2,0)+1,FALSE)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6" s="68">
        <v>2</v>
      </c>
      <c r="H106" s="16" t="str">
        <f t="shared" si="48"/>
        <v>11007_3-2</v>
      </c>
      <c r="I106" s="22" t="e">
        <v>#N/A</v>
      </c>
      <c r="J106" s="22" t="e">
        <v>#N/A</v>
      </c>
      <c r="K106" s="70" t="s">
        <v>172</v>
      </c>
      <c r="L106" s="70">
        <v>332</v>
      </c>
      <c r="M106" s="22" t="str">
        <f ca="1">VLOOKUP($L106,OFFSET([3]enemies!$A$1,0,0,COUNTA([3]enemies!$A:$A),MATCH(M$1,[3]enemies!$1:$1,0)-MATCH($L$1,[3]enemies!$1:$1,0)+1),MATCH(M$1,[3]enemies!$1:$1,0)-MATCH($L$1,[3]enemies!$1:$1,0)+1,FALSE)</f>
        <v>炎のメタルピヨピヨ</v>
      </c>
      <c r="N106" s="22" t="str">
        <f ca="1">VLOOKUP($L106,OFFSET([3]enemies!$A$1,0,0,COUNTA([3]enemies!$A:$A),MATCH(N$1,[3]enemies!$1:$1,0)-MATCH($L$1,[3]enemies!$1:$1,0)+1),MATCH(N$1,[3]enemies!$1:$1,0)-MATCH($L$1,[3]enemies!$1:$1,0)+1,FALSE)</f>
        <v>red</v>
      </c>
      <c r="O106" s="22" t="str">
        <f ca="1">VLOOKUP($L106,OFFSET([4]characters!$A$1,0,0,COUNTA([4]characters!$A:$A),MATCH(O$1,[4]characters!$1:$1,0)-MATCH($L$1,[4]characters!$1:$1,0)+1),MATCH(O$1,[4]characters!$1:$1,0)-MATCH($L$1,[4]characters!$1:$1,0)+1,FALSE)</f>
        <v>Material</v>
      </c>
      <c r="P106" s="22" t="str">
        <f ca="1">VLOOKUP($L106,OFFSET([3]enemies!$A$1,0,0,COUNTA([3]enemies!$A:$A),MATCH(P$1,[3]enemies!$1:$1,0)-MATCH($L$1,[3]enemies!$1:$1,0)+1),MATCH(P$1,[3]enemies!$1:$1,0)-MATCH($L$1,[3]enemies!$1:$1,0)+1,FALSE)</f>
        <v>unknown</v>
      </c>
      <c r="Q106" s="22">
        <f ca="1">VLOOKUP($L106,OFFSET([3]enemies!$A$1,0,0,COUNTA([3]enemies!$A:$A),MATCH(Q$1,[3]enemies!$1:$1,0)-MATCH($L$1,[3]enemies!$1:$1,0)+1),MATCH(Q$1,[3]enemies!$1:$1,0)-MATCH($L$1,[3]enemies!$1:$1,0)+1,FALSE)</f>
        <v>15</v>
      </c>
      <c r="R106" s="79">
        <v>1</v>
      </c>
      <c r="S106" s="80">
        <v>1</v>
      </c>
      <c r="T106" s="80">
        <v>1</v>
      </c>
      <c r="U106" s="79">
        <v>0</v>
      </c>
      <c r="V106" s="22" t="str">
        <f ca="1">VLOOKUP($W106,OFFSET([5]enemy_skill_sets!$B$1,0,0,COUNTA([5]enemy_skill_sets!$B:$B),MATCH(M$1,[5]enemy_skill_sets!$1:$1,0)-MATCH($W$1,[5]enemy_skill_sets!$1:$1,0)+2),MATCH(M$1,[5]enemy_skill_sets!$1:$1,0)-MATCH($W$1,[5]enemy_skill_sets!$1:$1,0)+2,FALSE)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6" s="22">
        <f ca="1">VLOOKUP($L106,OFFSET([3]enemies!$A$1,0,0,COUNTA([3]enemies!$A:$A),MATCH(W$1,[3]enemies!$1:$1,0)-MATCH($L$1,[3]enemies!$1:$1,0)+1),MATCH(W$1,[3]enemies!$1:$1,0)-MATCH($L$1,[3]enemies!$1:$1,0)+1,FALSE)</f>
        <v>0</v>
      </c>
      <c r="X106" s="81">
        <v>0</v>
      </c>
      <c r="Y106" s="81">
        <v>30</v>
      </c>
      <c r="Z106" s="81">
        <v>0</v>
      </c>
      <c r="AA106" s="22">
        <f ca="1">VLOOKUP($L106,OFFSET([3]enemies!$A$1,0,0,COUNTA([3]enemies!$A:$A),MATCH(AA$1,[3]enemies!$1:$1,0)-MATCH($L$1,[3]enemies!$1:$1,0)+1),MATCH(AA$1,[3]enemies!$1:$1,0)-MATCH($L$1,[3]enemies!$1:$1,0)+1,FALSE)</f>
        <v>1</v>
      </c>
      <c r="AB106" s="70">
        <v>332</v>
      </c>
      <c r="AC106" s="22" t="str">
        <f ca="1">IFERROR(VLOOKUP($AB106,OFFSET([4]characters!$A$1,0,0,COUNTA([4]characters!$A:$A),MATCH(AC$1,[4]characters!$1:$1,0)-MATCH("character_id",[4]characters!$1:$1,0)+1),MATCH(AC$1,[4]characters!$1:$1,0)-MATCH("character_id",[4]characters!$1:$1,0)+1,FALSE),"")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106" s="22">
        <f ca="1">IFERROR(VLOOKUP($AB106,OFFSET([4]characters!$A$1,0,0,COUNTA([4]characters!$A:$A),MATCH(AD$1,[4]characters!$1:$1,0)-MATCH("character_id",[4]characters!$1:$1,0)+1),MATCH(AD$1,[4]characters!$1:$1,0)-MATCH("character_id",[4]characters!$1:$1,0)+1,FALSE),"")</f>
        <v>3</v>
      </c>
      <c r="AE106" s="22" t="str">
        <f ca="1">IFERROR(VLOOKUP($AB106,OFFSET([4]characters!$A$1,0,0,COUNTA([4]characters!$A:$A),MATCH(AE$1,[4]characters!$1:$1,0)-MATCH("character_id",[4]characters!$1:$1,0)+1),MATCH(AE$1,[4]characters!$1:$1,0)-MATCH("character_id",[4]characters!$1:$1,0)+1,FALSE),"")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6" s="28">
        <v>1</v>
      </c>
      <c r="AG106" s="75">
        <f t="shared" ca="1" si="49"/>
        <v>3</v>
      </c>
      <c r="AH106" s="81">
        <v>10</v>
      </c>
      <c r="AI106" s="28">
        <v>0</v>
      </c>
      <c r="AJ106" s="28">
        <v>0</v>
      </c>
      <c r="AK106" s="28">
        <v>0</v>
      </c>
      <c r="AL106" s="28">
        <v>0</v>
      </c>
      <c r="AM106" s="28">
        <v>1</v>
      </c>
      <c r="AN106" s="28">
        <v>1</v>
      </c>
    </row>
    <row r="107" spans="1:40" ht="21" customHeight="1" x14ac:dyDescent="0.15">
      <c r="A107" s="78" t="str">
        <f t="shared" ca="1" si="46"/>
        <v>11007_3-2/333&lt;lv1&gt;s2</v>
      </c>
      <c r="B107" s="76">
        <v>11007</v>
      </c>
      <c r="C107" s="77">
        <v>3</v>
      </c>
      <c r="D107" s="16" t="str">
        <f t="shared" si="47"/>
        <v>11007_3</v>
      </c>
      <c r="E107" s="22" t="str">
        <f ca="1">VLOOKUP($B107,OFFSET([2]quests!$A$1,0,0,COUNTA([2]quests!$A:$A),MATCH(E$1,[2]quests!$1:$1,0)-MATCH($B$1,[2]quests!$1:$1,0)+1),MATCH(E$1,[2]quests!$1:$1,0)-MATCH($B$1,[2]quests!$1:$1,0)+1,FALSE)</f>
        <v>【土曜限定】 赤と緑の素材</v>
      </c>
      <c r="F107" s="22" t="str">
        <f ca="1">VLOOKUP($D107,OFFSET([2]stages!$A$1,0,0,COUNTA([2]stages!$A:$A),MATCH(F$1,[2]stages!$2:$2,0)-MATCH($D$1,[2]stages!$2:$2,0)+1),MATCH(F$1,[2]stages!$2:$2,0)-MATCH($D$1,[2]stages!$2:$2,0)+1,FALSE)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7" s="68">
        <v>2</v>
      </c>
      <c r="H107" s="16" t="str">
        <f t="shared" si="48"/>
        <v>11007_3-2</v>
      </c>
      <c r="I107" s="22" t="e">
        <v>#N/A</v>
      </c>
      <c r="J107" s="22" t="e">
        <v>#N/A</v>
      </c>
      <c r="K107" s="70" t="s">
        <v>172</v>
      </c>
      <c r="L107" s="70">
        <v>333</v>
      </c>
      <c r="M107" s="22" t="str">
        <f ca="1">VLOOKUP($L107,OFFSET([3]enemies!$A$1,0,0,COUNTA([3]enemies!$A:$A),MATCH(M$1,[3]enemies!$1:$1,0)-MATCH($L$1,[3]enemies!$1:$1,0)+1),MATCH(M$1,[3]enemies!$1:$1,0)-MATCH($L$1,[3]enemies!$1:$1,0)+1,FALSE)</f>
        <v>炎のメタルチック</v>
      </c>
      <c r="N107" s="22" t="str">
        <f ca="1">VLOOKUP($L107,OFFSET([3]enemies!$A$1,0,0,COUNTA([3]enemies!$A:$A),MATCH(N$1,[3]enemies!$1:$1,0)-MATCH($L$1,[3]enemies!$1:$1,0)+1),MATCH(N$1,[3]enemies!$1:$1,0)-MATCH($L$1,[3]enemies!$1:$1,0)+1,FALSE)</f>
        <v>red</v>
      </c>
      <c r="O107" s="22" t="str">
        <f ca="1">VLOOKUP($L107,OFFSET([4]characters!$A$1,0,0,COUNTA([4]characters!$A:$A),MATCH(O$1,[4]characters!$1:$1,0)-MATCH($L$1,[4]characters!$1:$1,0)+1),MATCH(O$1,[4]characters!$1:$1,0)-MATCH($L$1,[4]characters!$1:$1,0)+1,FALSE)</f>
        <v>Material</v>
      </c>
      <c r="P107" s="22" t="str">
        <f ca="1">VLOOKUP($L107,OFFSET([3]enemies!$A$1,0,0,COUNTA([3]enemies!$A:$A),MATCH(P$1,[3]enemies!$1:$1,0)-MATCH($L$1,[3]enemies!$1:$1,0)+1),MATCH(P$1,[3]enemies!$1:$1,0)-MATCH($L$1,[3]enemies!$1:$1,0)+1,FALSE)</f>
        <v>unknown</v>
      </c>
      <c r="Q107" s="22">
        <f ca="1">VLOOKUP($L107,OFFSET([3]enemies!$A$1,0,0,COUNTA([3]enemies!$A:$A),MATCH(Q$1,[3]enemies!$1:$1,0)-MATCH($L$1,[3]enemies!$1:$1,0)+1),MATCH(Q$1,[3]enemies!$1:$1,0)-MATCH($L$1,[3]enemies!$1:$1,0)+1,FALSE)</f>
        <v>15</v>
      </c>
      <c r="R107" s="79">
        <v>1</v>
      </c>
      <c r="S107" s="80">
        <v>1</v>
      </c>
      <c r="T107" s="80">
        <v>1</v>
      </c>
      <c r="U107" s="79">
        <v>0</v>
      </c>
      <c r="V107" s="22" t="str">
        <f ca="1">VLOOKUP($W107,OFFSET([5]enemy_skill_sets!$B$1,0,0,COUNTA([5]enemy_skill_sets!$B:$B),MATCH(M$1,[5]enemy_skill_sets!$1:$1,0)-MATCH($W$1,[5]enemy_skill_sets!$1:$1,0)+2),MATCH(M$1,[5]enemy_skill_sets!$1:$1,0)-MATCH($W$1,[5]enemy_skill_sets!$1:$1,0)+2,FALSE)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7" s="22">
        <f ca="1">VLOOKUP($L107,OFFSET([3]enemies!$A$1,0,0,COUNTA([3]enemies!$A:$A),MATCH(W$1,[3]enemies!$1:$1,0)-MATCH($L$1,[3]enemies!$1:$1,0)+1),MATCH(W$1,[3]enemies!$1:$1,0)-MATCH($L$1,[3]enemies!$1:$1,0)+1,FALSE)</f>
        <v>0</v>
      </c>
      <c r="X107" s="81">
        <v>0</v>
      </c>
      <c r="Y107" s="81">
        <v>30</v>
      </c>
      <c r="Z107" s="81">
        <v>0</v>
      </c>
      <c r="AA107" s="22">
        <f ca="1">VLOOKUP($L107,OFFSET([3]enemies!$A$1,0,0,COUNTA([3]enemies!$A:$A),MATCH(AA$1,[3]enemies!$1:$1,0)-MATCH($L$1,[3]enemies!$1:$1,0)+1),MATCH(AA$1,[3]enemies!$1:$1,0)-MATCH($L$1,[3]enemies!$1:$1,0)+1,FALSE)</f>
        <v>2</v>
      </c>
      <c r="AB107" s="70">
        <v>333</v>
      </c>
      <c r="AC107" s="22" t="str">
        <f ca="1">IFERROR(VLOOKUP($AB107,OFFSET([4]characters!$A$1,0,0,COUNTA([4]characters!$A:$A),MATCH(AC$1,[4]characters!$1:$1,0)-MATCH("character_id",[4]characters!$1:$1,0)+1),MATCH(AC$1,[4]characters!$1:$1,0)-MATCH("character_id",[4]characters!$1:$1,0)+1,FALSE),"")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107" s="22">
        <f ca="1">IFERROR(VLOOKUP($AB107,OFFSET([4]characters!$A$1,0,0,COUNTA([4]characters!$A:$A),MATCH(AD$1,[4]characters!$1:$1,0)-MATCH("character_id",[4]characters!$1:$1,0)+1),MATCH(AD$1,[4]characters!$1:$1,0)-MATCH("character_id",[4]characters!$1:$1,0)+1,FALSE),"")</f>
        <v>4</v>
      </c>
      <c r="AE107" s="22" t="str">
        <f ca="1">IFERROR(VLOOKUP($AB107,OFFSET([4]characters!$A$1,0,0,COUNTA([4]characters!$A:$A),MATCH(AE$1,[4]characters!$1:$1,0)-MATCH("character_id",[4]characters!$1:$1,0)+1),MATCH(AE$1,[4]characters!$1:$1,0)-MATCH("character_id",[4]characters!$1:$1,0)+1,FALSE),"")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7" s="28">
        <v>1</v>
      </c>
      <c r="AG107" s="75">
        <f t="shared" ca="1" si="49"/>
        <v>4</v>
      </c>
      <c r="AH107" s="81">
        <v>5</v>
      </c>
      <c r="AI107" s="28">
        <v>0</v>
      </c>
      <c r="AJ107" s="28">
        <v>0</v>
      </c>
      <c r="AK107" s="28">
        <v>0</v>
      </c>
      <c r="AL107" s="28">
        <v>0</v>
      </c>
      <c r="AM107" s="28">
        <v>1</v>
      </c>
      <c r="AN107" s="28">
        <v>1</v>
      </c>
    </row>
    <row r="108" spans="1:40" ht="21" customHeight="1" x14ac:dyDescent="0.15">
      <c r="A108" s="78" t="str">
        <f t="shared" ca="1" si="46"/>
        <v>11007_3-3/103&lt;lv30&gt;s3</v>
      </c>
      <c r="B108" s="76">
        <v>11007</v>
      </c>
      <c r="C108" s="77">
        <v>3</v>
      </c>
      <c r="D108" s="16" t="str">
        <f t="shared" si="47"/>
        <v>11007_3</v>
      </c>
      <c r="E108" s="22" t="str">
        <f ca="1">VLOOKUP($B108,OFFSET([2]quests!$A$1,0,0,COUNTA([2]quests!$A:$A),MATCH(E$1,[2]quests!$1:$1,0)-MATCH($B$1,[2]quests!$1:$1,0)+1),MATCH(E$1,[2]quests!$1:$1,0)-MATCH($B$1,[2]quests!$1:$1,0)+1,FALSE)</f>
        <v>【土曜限定】 赤と緑の素材</v>
      </c>
      <c r="F108" s="22" t="str">
        <f ca="1">VLOOKUP($D108,OFFSET([2]stages!$A$1,0,0,COUNTA([2]stages!$A:$A),MATCH(F$1,[2]stages!$2:$2,0)-MATCH($D$1,[2]stages!$2:$2,0)+1),MATCH(F$1,[2]stages!$2:$2,0)-MATCH($D$1,[2]stages!$2:$2,0)+1,FALSE)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8" s="68">
        <v>3</v>
      </c>
      <c r="H108" s="16" t="str">
        <f t="shared" si="48"/>
        <v>11007_3-3</v>
      </c>
      <c r="I108" s="22" t="e">
        <v>#N/A</v>
      </c>
      <c r="J108" s="22" t="e">
        <v>#N/A</v>
      </c>
      <c r="K108" s="70" t="s">
        <v>172</v>
      </c>
      <c r="L108" s="70">
        <v>103</v>
      </c>
      <c r="M108" s="22" t="str">
        <f ca="1">VLOOKUP($L108,OFFSET([3]enemies!$A$1,0,0,COUNTA([3]enemies!$A:$A),MATCH(M$1,[3]enemies!$1:$1,0)-MATCH($L$1,[3]enemies!$1:$1,0)+1),MATCH(M$1,[3]enemies!$1:$1,0)-MATCH($L$1,[3]enemies!$1:$1,0)+1,FALSE)</f>
        <v>レッドキャタップ</v>
      </c>
      <c r="N108" s="22" t="str">
        <f ca="1">VLOOKUP($L108,OFFSET([3]enemies!$A$1,0,0,COUNTA([3]enemies!$A:$A),MATCH(N$1,[3]enemies!$1:$1,0)-MATCH($L$1,[3]enemies!$1:$1,0)+1),MATCH(N$1,[3]enemies!$1:$1,0)-MATCH($L$1,[3]enemies!$1:$1,0)+1,FALSE)</f>
        <v>red</v>
      </c>
      <c r="O108" s="22" t="str">
        <f ca="1">VLOOKUP($L108,OFFSET([4]characters!$A$1,0,0,COUNTA([4]characters!$A:$A),MATCH(O$1,[4]characters!$1:$1,0)-MATCH($L$1,[4]characters!$1:$1,0)+1),MATCH(O$1,[4]characters!$1:$1,0)-MATCH($L$1,[4]characters!$1:$1,0)+1,FALSE)</f>
        <v>Material</v>
      </c>
      <c r="P108" s="22" t="str">
        <f ca="1">VLOOKUP($L108,OFFSET([3]enemies!$A$1,0,0,COUNTA([3]enemies!$A:$A),MATCH(P$1,[3]enemies!$1:$1,0)-MATCH($L$1,[3]enemies!$1:$1,0)+1),MATCH(P$1,[3]enemies!$1:$1,0)-MATCH($L$1,[3]enemies!$1:$1,0)+1,FALSE)</f>
        <v>unknown</v>
      </c>
      <c r="Q108" s="22">
        <f ca="1">VLOOKUP($L108,OFFSET([3]enemies!$A$1,0,0,COUNTA([3]enemies!$A:$A),MATCH(Q$1,[3]enemies!$1:$1,0)-MATCH($L$1,[3]enemies!$1:$1,0)+1),MATCH(Q$1,[3]enemies!$1:$1,0)-MATCH($L$1,[3]enemies!$1:$1,0)+1,FALSE)</f>
        <v>15</v>
      </c>
      <c r="R108" s="79">
        <v>30</v>
      </c>
      <c r="S108" s="80">
        <v>2</v>
      </c>
      <c r="T108" s="80">
        <v>1</v>
      </c>
      <c r="U108" s="79">
        <v>0</v>
      </c>
      <c r="V108" s="22" t="str">
        <f ca="1">VLOOKUP($W108,OFFSET([5]enemy_skill_sets!$B$1,0,0,COUNTA([5]enemy_skill_sets!$B:$B),MATCH(M$1,[5]enemy_skill_sets!$1:$1,0)-MATCH($W$1,[5]enemy_skill_sets!$1:$1,0)+2),MATCH(M$1,[5]enemy_skill_sets!$1:$1,0)-MATCH($W$1,[5]enemy_skill_sets!$1:$1,0)+2,FALSE)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8" s="22">
        <f ca="1">VLOOKUP($L108,OFFSET([3]enemies!$A$1,0,0,COUNTA([3]enemies!$A:$A),MATCH(W$1,[3]enemies!$1:$1,0)-MATCH($L$1,[3]enemies!$1:$1,0)+1),MATCH(W$1,[3]enemies!$1:$1,0)-MATCH($L$1,[3]enemies!$1:$1,0)+1,FALSE)</f>
        <v>0</v>
      </c>
      <c r="X108" s="81">
        <v>0</v>
      </c>
      <c r="Y108" s="81">
        <v>50</v>
      </c>
      <c r="Z108" s="81">
        <v>1</v>
      </c>
      <c r="AA108" s="22">
        <f ca="1">VLOOKUP($L108,OFFSET([3]enemies!$A$1,0,0,COUNTA([3]enemies!$A:$A),MATCH(AA$1,[3]enemies!$1:$1,0)-MATCH($L$1,[3]enemies!$1:$1,0)+1),MATCH(AA$1,[3]enemies!$1:$1,0)-MATCH($L$1,[3]enemies!$1:$1,0)+1,FALSE)</f>
        <v>3</v>
      </c>
      <c r="AB108" s="70">
        <v>103</v>
      </c>
      <c r="AC108" s="22" t="str">
        <f ca="1">IFERROR(VLOOKUP($AB108,OFFSET([4]characters!$A$1,0,0,COUNTA([4]characters!$A:$A),MATCH(AC$1,[4]characters!$1:$1,0)-MATCH("character_id",[4]characters!$1:$1,0)+1),MATCH(AC$1,[4]characters!$1:$1,0)-MATCH("character_id",[4]characters!$1:$1,0)+1,FALSE),"")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108" s="22">
        <f ca="1">IFERROR(VLOOKUP($AB108,OFFSET([4]characters!$A$1,0,0,COUNTA([4]characters!$A:$A),MATCH(AD$1,[4]characters!$1:$1,0)-MATCH("character_id",[4]characters!$1:$1,0)+1),MATCH(AD$1,[4]characters!$1:$1,0)-MATCH("character_id",[4]characters!$1:$1,0)+1,FALSE),"")</f>
        <v>4</v>
      </c>
      <c r="AE108" s="22" t="str">
        <f ca="1">IFERROR(VLOOKUP($AB108,OFFSET([4]characters!$A$1,0,0,COUNTA([4]characters!$A:$A),MATCH(AE$1,[4]characters!$1:$1,0)-MATCH("character_id",[4]characters!$1:$1,0)+1),MATCH(AE$1,[4]characters!$1:$1,0)-MATCH("character_id",[4]characters!$1:$1,0)+1,FALSE),"")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8" s="28">
        <v>1</v>
      </c>
      <c r="AG108" s="75">
        <f t="shared" ca="1" si="49"/>
        <v>4</v>
      </c>
      <c r="AH108" s="81">
        <v>50</v>
      </c>
      <c r="AI108" s="28">
        <v>0</v>
      </c>
      <c r="AJ108" s="28">
        <v>0</v>
      </c>
      <c r="AK108" s="28">
        <v>0</v>
      </c>
      <c r="AL108" s="28">
        <v>0</v>
      </c>
      <c r="AM108" s="28">
        <v>1</v>
      </c>
      <c r="AN108" s="28">
        <v>1</v>
      </c>
    </row>
    <row r="109" spans="1:40" ht="21" customHeight="1" x14ac:dyDescent="0.15">
      <c r="A109" s="78" t="str">
        <f t="shared" ca="1" si="46"/>
        <v>11007_3-3/33&lt;lv35&gt;s2</v>
      </c>
      <c r="B109" s="76">
        <v>11007</v>
      </c>
      <c r="C109" s="77">
        <v>3</v>
      </c>
      <c r="D109" s="16" t="str">
        <f t="shared" si="47"/>
        <v>11007_3</v>
      </c>
      <c r="E109" s="22" t="str">
        <f ca="1">VLOOKUP($B109,OFFSET([2]quests!$A$1,0,0,COUNTA([2]quests!$A:$A),MATCH(E$1,[2]quests!$1:$1,0)-MATCH($B$1,[2]quests!$1:$1,0)+1),MATCH(E$1,[2]quests!$1:$1,0)-MATCH($B$1,[2]quests!$1:$1,0)+1,FALSE)</f>
        <v>【土曜限定】 赤と緑の素材</v>
      </c>
      <c r="F109" s="22" t="str">
        <f ca="1">VLOOKUP($D109,OFFSET([2]stages!$A$1,0,0,COUNTA([2]stages!$A:$A),MATCH(F$1,[2]stages!$2:$2,0)-MATCH($D$1,[2]stages!$2:$2,0)+1),MATCH(F$1,[2]stages!$2:$2,0)-MATCH($D$1,[2]stages!$2:$2,0)+1,FALSE)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09" s="68">
        <v>3</v>
      </c>
      <c r="H109" s="16" t="str">
        <f t="shared" si="48"/>
        <v>11007_3-3</v>
      </c>
      <c r="I109" s="22" t="e">
        <v>#N/A</v>
      </c>
      <c r="J109" s="22" t="e">
        <v>#N/A</v>
      </c>
      <c r="K109" s="70" t="s">
        <v>172</v>
      </c>
      <c r="L109" s="70">
        <v>33</v>
      </c>
      <c r="M109" s="22" t="str">
        <f ca="1">VLOOKUP($L109,OFFSET([3]enemies!$A$1,0,0,COUNTA([3]enemies!$A:$A),MATCH(M$1,[3]enemies!$1:$1,0)-MATCH($L$1,[3]enemies!$1:$1,0)+1),MATCH(M$1,[3]enemies!$1:$1,0)-MATCH($L$1,[3]enemies!$1:$1,0)+1,FALSE)</f>
        <v>ゴクウ</v>
      </c>
      <c r="N109" s="22" t="str">
        <f ca="1">VLOOKUP($L109,OFFSET([3]enemies!$A$1,0,0,COUNTA([3]enemies!$A:$A),MATCH(N$1,[3]enemies!$1:$1,0)-MATCH($L$1,[3]enemies!$1:$1,0)+1),MATCH(N$1,[3]enemies!$1:$1,0)-MATCH($L$1,[3]enemies!$1:$1,0)+1,FALSE)</f>
        <v>red</v>
      </c>
      <c r="O109" s="22" t="str">
        <f ca="1">VLOOKUP($L109,OFFSET([4]characters!$A$1,0,0,COUNTA([4]characters!$A:$A),MATCH(O$1,[4]characters!$1:$1,0)-MATCH($L$1,[4]characters!$1:$1,0)+1),MATCH(O$1,[4]characters!$1:$1,0)-MATCH($L$1,[4]characters!$1:$1,0)+1,FALSE)</f>
        <v>Drop1S</v>
      </c>
      <c r="P109" s="22" t="str">
        <f ca="1">VLOOKUP($L109,OFFSET([3]enemies!$A$1,0,0,COUNTA([3]enemies!$A:$A),MATCH(P$1,[3]enemies!$1:$1,0)-MATCH($L$1,[3]enemies!$1:$1,0)+1),MATCH(P$1,[3]enemies!$1:$1,0)-MATCH($L$1,[3]enemies!$1:$1,0)+1,FALSE)</f>
        <v>animal</v>
      </c>
      <c r="Q109" s="22">
        <f ca="1">VLOOKUP($L109,OFFSET([3]enemies!$A$1,0,0,COUNTA([3]enemies!$A:$A),MATCH(Q$1,[3]enemies!$1:$1,0)-MATCH($L$1,[3]enemies!$1:$1,0)+1),MATCH(Q$1,[3]enemies!$1:$1,0)-MATCH($L$1,[3]enemies!$1:$1,0)+1,FALSE)</f>
        <v>15</v>
      </c>
      <c r="R109" s="79">
        <v>35</v>
      </c>
      <c r="S109" s="80">
        <v>1</v>
      </c>
      <c r="T109" s="80">
        <v>1</v>
      </c>
      <c r="U109" s="79">
        <v>0</v>
      </c>
      <c r="V109" s="22" t="str">
        <f ca="1">VLOOKUP($W109,OFFSET([5]enemy_skill_sets!$B$1,0,0,COUNTA([5]enemy_skill_sets!$B:$B),MATCH(M$1,[5]enemy_skill_sets!$1:$1,0)-MATCH($W$1,[5]enemy_skill_sets!$1:$1,0)+2),MATCH(M$1,[5]enemy_skill_sets!$1:$1,0)-MATCH($W$1,[5]enemy_skill_sets!$1:$1,0)+2,FALSE)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09" s="22">
        <f ca="1">VLOOKUP($L109,OFFSET([3]enemies!$A$1,0,0,COUNTA([3]enemies!$A:$A),MATCH(W$1,[3]enemies!$1:$1,0)-MATCH($L$1,[3]enemies!$1:$1,0)+1),MATCH(W$1,[3]enemies!$1:$1,0)-MATCH($L$1,[3]enemies!$1:$1,0)+1,FALSE)</f>
        <v>33</v>
      </c>
      <c r="X109" s="81">
        <v>0</v>
      </c>
      <c r="Y109" s="81">
        <v>100</v>
      </c>
      <c r="Z109" s="81">
        <v>0</v>
      </c>
      <c r="AA109" s="22">
        <f ca="1">VLOOKUP($L109,OFFSET([3]enemies!$A$1,0,0,COUNTA([3]enemies!$A:$A),MATCH(AA$1,[3]enemies!$1:$1,0)-MATCH($L$1,[3]enemies!$1:$1,0)+1),MATCH(AA$1,[3]enemies!$1:$1,0)-MATCH($L$1,[3]enemies!$1:$1,0)+1,FALSE)</f>
        <v>2</v>
      </c>
      <c r="AB109" s="70">
        <v>33</v>
      </c>
      <c r="AC109" s="22" t="str">
        <f ca="1">IFERROR(VLOOKUP($AB109,OFFSET([4]characters!$A$1,0,0,COUNTA([4]characters!$A:$A),MATCH(AC$1,[4]characters!$1:$1,0)-MATCH("character_id",[4]characters!$1:$1,0)+1),MATCH(AC$1,[4]characters!$1:$1,0)-MATCH("character_id",[4]characters!$1:$1,0)+1,FALSE),"")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09" s="22">
        <f ca="1">IFERROR(VLOOKUP($AB109,OFFSET([4]characters!$A$1,0,0,COUNTA([4]characters!$A:$A),MATCH(AD$1,[4]characters!$1:$1,0)-MATCH("character_id",[4]characters!$1:$1,0)+1),MATCH(AD$1,[4]characters!$1:$1,0)-MATCH("character_id",[4]characters!$1:$1,0)+1,FALSE),"")</f>
        <v>2</v>
      </c>
      <c r="AE109" s="22" t="str">
        <f ca="1">IFERROR(VLOOKUP($AB109,OFFSET([4]characters!$A$1,0,0,COUNTA([4]characters!$A:$A),MATCH(AE$1,[4]characters!$1:$1,0)-MATCH("character_id",[4]characters!$1:$1,0)+1),MATCH(AE$1,[4]characters!$1:$1,0)-MATCH("character_id",[4]characters!$1:$1,0)+1,FALSE),"")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09" s="28">
        <v>1</v>
      </c>
      <c r="AG109" s="75">
        <f t="shared" ca="1" si="49"/>
        <v>2</v>
      </c>
      <c r="AH109" s="81">
        <v>0</v>
      </c>
      <c r="AI109" s="28">
        <v>0</v>
      </c>
      <c r="AJ109" s="28">
        <v>0</v>
      </c>
      <c r="AK109" s="28">
        <v>0</v>
      </c>
      <c r="AL109" s="28">
        <v>0</v>
      </c>
      <c r="AM109" s="28">
        <v>1</v>
      </c>
      <c r="AN109" s="28">
        <v>1</v>
      </c>
    </row>
    <row r="110" spans="1:40" ht="21" customHeight="1" x14ac:dyDescent="0.15">
      <c r="A110" s="78" t="str">
        <f t="shared" ca="1" si="46"/>
        <v>11007_3-3/21&lt;lv35&gt;s2</v>
      </c>
      <c r="B110" s="76">
        <v>11007</v>
      </c>
      <c r="C110" s="77">
        <v>3</v>
      </c>
      <c r="D110" s="16" t="str">
        <f t="shared" si="47"/>
        <v>11007_3</v>
      </c>
      <c r="E110" s="22" t="str">
        <f ca="1">VLOOKUP($B110,OFFSET([2]quests!$A$1,0,0,COUNTA([2]quests!$A:$A),MATCH(E$1,[2]quests!$1:$1,0)-MATCH($B$1,[2]quests!$1:$1,0)+1),MATCH(E$1,[2]quests!$1:$1,0)-MATCH($B$1,[2]quests!$1:$1,0)+1,FALSE)</f>
        <v>【土曜限定】 赤と緑の素材</v>
      </c>
      <c r="F110" s="22" t="str">
        <f ca="1">VLOOKUP($D110,OFFSET([2]stages!$A$1,0,0,COUNTA([2]stages!$A:$A),MATCH(F$1,[2]stages!$2:$2,0)-MATCH($D$1,[2]stages!$2:$2,0)+1),MATCH(F$1,[2]stages!$2:$2,0)-MATCH($D$1,[2]stages!$2:$2,0)+1,FALSE)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0" s="68">
        <v>3</v>
      </c>
      <c r="H110" s="16" t="str">
        <f t="shared" si="48"/>
        <v>11007_3-3</v>
      </c>
      <c r="I110" s="22" t="e">
        <v>#N/A</v>
      </c>
      <c r="J110" s="22" t="e">
        <v>#N/A</v>
      </c>
      <c r="K110" s="70" t="s">
        <v>172</v>
      </c>
      <c r="L110" s="70">
        <v>21</v>
      </c>
      <c r="M110" s="22" t="str">
        <f ca="1">VLOOKUP($L110,OFFSET([3]enemies!$A$1,0,0,COUNTA([3]enemies!$A:$A),MATCH(M$1,[3]enemies!$1:$1,0)-MATCH($L$1,[3]enemies!$1:$1,0)+1),MATCH(M$1,[3]enemies!$1:$1,0)-MATCH($L$1,[3]enemies!$1:$1,0)+1,FALSE)</f>
        <v>ヴェロキー</v>
      </c>
      <c r="N110" s="22" t="str">
        <f ca="1">VLOOKUP($L110,OFFSET([3]enemies!$A$1,0,0,COUNTA([3]enemies!$A:$A),MATCH(N$1,[3]enemies!$1:$1,0)-MATCH($L$1,[3]enemies!$1:$1,0)+1),MATCH(N$1,[3]enemies!$1:$1,0)-MATCH($L$1,[3]enemies!$1:$1,0)+1,FALSE)</f>
        <v>red</v>
      </c>
      <c r="O110" s="22" t="str">
        <f ca="1">VLOOKUP($L110,OFFSET([4]characters!$A$1,0,0,COUNTA([4]characters!$A:$A),MATCH(O$1,[4]characters!$1:$1,0)-MATCH($L$1,[4]characters!$1:$1,0)+1),MATCH(O$1,[4]characters!$1:$1,0)-MATCH($L$1,[4]characters!$1:$1,0)+1,FALSE)</f>
        <v>Drop1N</v>
      </c>
      <c r="P110" s="22" t="str">
        <f ca="1">VLOOKUP($L110,OFFSET([3]enemies!$A$1,0,0,COUNTA([3]enemies!$A:$A),MATCH(P$1,[3]enemies!$1:$1,0)-MATCH($L$1,[3]enemies!$1:$1,0)+1),MATCH(P$1,[3]enemies!$1:$1,0)-MATCH($L$1,[3]enemies!$1:$1,0)+1,FALSE)</f>
        <v>dragon</v>
      </c>
      <c r="Q110" s="22">
        <f ca="1">VLOOKUP($L110,OFFSET([3]enemies!$A$1,0,0,COUNTA([3]enemies!$A:$A),MATCH(Q$1,[3]enemies!$1:$1,0)-MATCH($L$1,[3]enemies!$1:$1,0)+1),MATCH(Q$1,[3]enemies!$1:$1,0)-MATCH($L$1,[3]enemies!$1:$1,0)+1,FALSE)</f>
        <v>15</v>
      </c>
      <c r="R110" s="79">
        <v>35</v>
      </c>
      <c r="S110" s="80">
        <v>1</v>
      </c>
      <c r="T110" s="80">
        <v>1</v>
      </c>
      <c r="U110" s="79">
        <v>0</v>
      </c>
      <c r="V110" s="22" t="str">
        <f ca="1">VLOOKUP($W110,OFFSET([5]enemy_skill_sets!$B$1,0,0,COUNTA([5]enemy_skill_sets!$B:$B),MATCH(M$1,[5]enemy_skill_sets!$1:$1,0)-MATCH($W$1,[5]enemy_skill_sets!$1:$1,0)+2),MATCH(M$1,[5]enemy_skill_sets!$1:$1,0)-MATCH($W$1,[5]enemy_skill_sets!$1:$1,0)+2,FALSE)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0" s="22">
        <f ca="1">VLOOKUP($L110,OFFSET([3]enemies!$A$1,0,0,COUNTA([3]enemies!$A:$A),MATCH(W$1,[3]enemies!$1:$1,0)-MATCH($L$1,[3]enemies!$1:$1,0)+1),MATCH(W$1,[3]enemies!$1:$1,0)-MATCH($L$1,[3]enemies!$1:$1,0)+1,FALSE)</f>
        <v>0</v>
      </c>
      <c r="X110" s="81">
        <v>0</v>
      </c>
      <c r="Y110" s="81">
        <v>100</v>
      </c>
      <c r="Z110" s="81">
        <v>0</v>
      </c>
      <c r="AA110" s="22">
        <f ca="1">VLOOKUP($L110,OFFSET([3]enemies!$A$1,0,0,COUNTA([3]enemies!$A:$A),MATCH(AA$1,[3]enemies!$1:$1,0)-MATCH($L$1,[3]enemies!$1:$1,0)+1),MATCH(AA$1,[3]enemies!$1:$1,0)-MATCH($L$1,[3]enemies!$1:$1,0)+1,FALSE)</f>
        <v>2</v>
      </c>
      <c r="AB110" s="70">
        <v>21</v>
      </c>
      <c r="AC110" s="22" t="str">
        <f ca="1">IFERROR(VLOOKUP($AB110,OFFSET([4]characters!$A$1,0,0,COUNTA([4]characters!$A:$A),MATCH(AC$1,[4]characters!$1:$1,0)-MATCH("character_id",[4]characters!$1:$1,0)+1),MATCH(AC$1,[4]characters!$1:$1,0)-MATCH("character_id",[4]characters!$1:$1,0)+1,FALSE),"")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10" s="22">
        <f ca="1">IFERROR(VLOOKUP($AB110,OFFSET([4]characters!$A$1,0,0,COUNTA([4]characters!$A:$A),MATCH(AD$1,[4]characters!$1:$1,0)-MATCH("character_id",[4]characters!$1:$1,0)+1),MATCH(AD$1,[4]characters!$1:$1,0)-MATCH("character_id",[4]characters!$1:$1,0)+1,FALSE),"")</f>
        <v>1</v>
      </c>
      <c r="AE110" s="22" t="str">
        <f ca="1">IFERROR(VLOOKUP($AB110,OFFSET([4]characters!$A$1,0,0,COUNTA([4]characters!$A:$A),MATCH(AE$1,[4]characters!$1:$1,0)-MATCH("character_id",[4]characters!$1:$1,0)+1),MATCH(AE$1,[4]characters!$1:$1,0)-MATCH("character_id",[4]characters!$1:$1,0)+1,FALSE),"")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0" s="28">
        <v>1</v>
      </c>
      <c r="AG110" s="75">
        <f t="shared" ca="1" si="49"/>
        <v>1</v>
      </c>
      <c r="AH110" s="81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1</v>
      </c>
      <c r="AN110" s="28">
        <v>1</v>
      </c>
    </row>
    <row r="111" spans="1:40" ht="21" customHeight="1" x14ac:dyDescent="0.15">
      <c r="A111" s="78" t="str">
        <f t="shared" ca="1" si="46"/>
        <v>11007_3-3/332&lt;lv1&gt;s1</v>
      </c>
      <c r="B111" s="76">
        <v>11007</v>
      </c>
      <c r="C111" s="77">
        <v>3</v>
      </c>
      <c r="D111" s="16" t="str">
        <f t="shared" si="47"/>
        <v>11007_3</v>
      </c>
      <c r="E111" s="22" t="str">
        <f ca="1">VLOOKUP($B111,OFFSET([2]quests!$A$1,0,0,COUNTA([2]quests!$A:$A),MATCH(E$1,[2]quests!$1:$1,0)-MATCH($B$1,[2]quests!$1:$1,0)+1),MATCH(E$1,[2]quests!$1:$1,0)-MATCH($B$1,[2]quests!$1:$1,0)+1,FALSE)</f>
        <v>【土曜限定】 赤と緑の素材</v>
      </c>
      <c r="F111" s="22" t="str">
        <f ca="1">VLOOKUP($D111,OFFSET([2]stages!$A$1,0,0,COUNTA([2]stages!$A:$A),MATCH(F$1,[2]stages!$2:$2,0)-MATCH($D$1,[2]stages!$2:$2,0)+1),MATCH(F$1,[2]stages!$2:$2,0)-MATCH($D$1,[2]stages!$2:$2,0)+1,FALSE)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1" s="68">
        <v>3</v>
      </c>
      <c r="H111" s="16" t="str">
        <f t="shared" si="48"/>
        <v>11007_3-3</v>
      </c>
      <c r="I111" s="22" t="e">
        <v>#N/A</v>
      </c>
      <c r="J111" s="22" t="e">
        <v>#N/A</v>
      </c>
      <c r="K111" s="70" t="s">
        <v>172</v>
      </c>
      <c r="L111" s="70">
        <v>332</v>
      </c>
      <c r="M111" s="22" t="str">
        <f ca="1">VLOOKUP($L111,OFFSET([3]enemies!$A$1,0,0,COUNTA([3]enemies!$A:$A),MATCH(M$1,[3]enemies!$1:$1,0)-MATCH($L$1,[3]enemies!$1:$1,0)+1),MATCH(M$1,[3]enemies!$1:$1,0)-MATCH($L$1,[3]enemies!$1:$1,0)+1,FALSE)</f>
        <v>炎のメタルピヨピヨ</v>
      </c>
      <c r="N111" s="22" t="str">
        <f ca="1">VLOOKUP($L111,OFFSET([3]enemies!$A$1,0,0,COUNTA([3]enemies!$A:$A),MATCH(N$1,[3]enemies!$1:$1,0)-MATCH($L$1,[3]enemies!$1:$1,0)+1),MATCH(N$1,[3]enemies!$1:$1,0)-MATCH($L$1,[3]enemies!$1:$1,0)+1,FALSE)</f>
        <v>red</v>
      </c>
      <c r="O111" s="22" t="str">
        <f ca="1">VLOOKUP($L111,OFFSET([4]characters!$A$1,0,0,COUNTA([4]characters!$A:$A),MATCH(O$1,[4]characters!$1:$1,0)-MATCH($L$1,[4]characters!$1:$1,0)+1),MATCH(O$1,[4]characters!$1:$1,0)-MATCH($L$1,[4]characters!$1:$1,0)+1,FALSE)</f>
        <v>Material</v>
      </c>
      <c r="P111" s="22" t="str">
        <f ca="1">VLOOKUP($L111,OFFSET([3]enemies!$A$1,0,0,COUNTA([3]enemies!$A:$A),MATCH(P$1,[3]enemies!$1:$1,0)-MATCH($L$1,[3]enemies!$1:$1,0)+1),MATCH(P$1,[3]enemies!$1:$1,0)-MATCH($L$1,[3]enemies!$1:$1,0)+1,FALSE)</f>
        <v>unknown</v>
      </c>
      <c r="Q111" s="22">
        <f ca="1">VLOOKUP($L111,OFFSET([3]enemies!$A$1,0,0,COUNTA([3]enemies!$A:$A),MATCH(Q$1,[3]enemies!$1:$1,0)-MATCH($L$1,[3]enemies!$1:$1,0)+1),MATCH(Q$1,[3]enemies!$1:$1,0)-MATCH($L$1,[3]enemies!$1:$1,0)+1,FALSE)</f>
        <v>15</v>
      </c>
      <c r="R111" s="79">
        <v>1</v>
      </c>
      <c r="S111" s="80">
        <v>1</v>
      </c>
      <c r="T111" s="80">
        <v>1</v>
      </c>
      <c r="U111" s="79">
        <v>0</v>
      </c>
      <c r="V111" s="22" t="str">
        <f ca="1">VLOOKUP($W111,OFFSET([5]enemy_skill_sets!$B$1,0,0,COUNTA([5]enemy_skill_sets!$B:$B),MATCH(M$1,[5]enemy_skill_sets!$1:$1,0)-MATCH($W$1,[5]enemy_skill_sets!$1:$1,0)+2),MATCH(M$1,[5]enemy_skill_sets!$1:$1,0)-MATCH($W$1,[5]enemy_skill_sets!$1:$1,0)+2,FALSE)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1" s="22">
        <f ca="1">VLOOKUP($L111,OFFSET([3]enemies!$A$1,0,0,COUNTA([3]enemies!$A:$A),MATCH(W$1,[3]enemies!$1:$1,0)-MATCH($L$1,[3]enemies!$1:$1,0)+1),MATCH(W$1,[3]enemies!$1:$1,0)-MATCH($L$1,[3]enemies!$1:$1,0)+1,FALSE)</f>
        <v>0</v>
      </c>
      <c r="X111" s="81">
        <v>0</v>
      </c>
      <c r="Y111" s="81">
        <v>30</v>
      </c>
      <c r="Z111" s="81">
        <v>0</v>
      </c>
      <c r="AA111" s="22">
        <f ca="1">VLOOKUP($L111,OFFSET([3]enemies!$A$1,0,0,COUNTA([3]enemies!$A:$A),MATCH(AA$1,[3]enemies!$1:$1,0)-MATCH($L$1,[3]enemies!$1:$1,0)+1),MATCH(AA$1,[3]enemies!$1:$1,0)-MATCH($L$1,[3]enemies!$1:$1,0)+1,FALSE)</f>
        <v>1</v>
      </c>
      <c r="AB111" s="70">
        <v>332</v>
      </c>
      <c r="AC111" s="22" t="str">
        <f ca="1">IFERROR(VLOOKUP($AB111,OFFSET([4]characters!$A$1,0,0,COUNTA([4]characters!$A:$A),MATCH(AC$1,[4]characters!$1:$1,0)-MATCH("character_id",[4]characters!$1:$1,0)+1),MATCH(AC$1,[4]characters!$1:$1,0)-MATCH("character_id",[4]characters!$1:$1,0)+1,FALSE),"")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111" s="22">
        <f ca="1">IFERROR(VLOOKUP($AB111,OFFSET([4]characters!$A$1,0,0,COUNTA([4]characters!$A:$A),MATCH(AD$1,[4]characters!$1:$1,0)-MATCH("character_id",[4]characters!$1:$1,0)+1),MATCH(AD$1,[4]characters!$1:$1,0)-MATCH("character_id",[4]characters!$1:$1,0)+1,FALSE),"")</f>
        <v>3</v>
      </c>
      <c r="AE111" s="22" t="str">
        <f ca="1">IFERROR(VLOOKUP($AB111,OFFSET([4]characters!$A$1,0,0,COUNTA([4]characters!$A:$A),MATCH(AE$1,[4]characters!$1:$1,0)-MATCH("character_id",[4]characters!$1:$1,0)+1),MATCH(AE$1,[4]characters!$1:$1,0)-MATCH("character_id",[4]characters!$1:$1,0)+1,FALSE),"")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1" s="28">
        <v>1</v>
      </c>
      <c r="AG111" s="75">
        <f t="shared" ca="1" si="49"/>
        <v>3</v>
      </c>
      <c r="AH111" s="81">
        <v>10</v>
      </c>
      <c r="AI111" s="28">
        <v>0</v>
      </c>
      <c r="AJ111" s="28">
        <v>0</v>
      </c>
      <c r="AK111" s="28">
        <v>0</v>
      </c>
      <c r="AL111" s="28">
        <v>0</v>
      </c>
      <c r="AM111" s="28">
        <v>1</v>
      </c>
      <c r="AN111" s="28">
        <v>1</v>
      </c>
    </row>
    <row r="112" spans="1:40" ht="21" customHeight="1" x14ac:dyDescent="0.15">
      <c r="A112" s="78" t="str">
        <f t="shared" ca="1" si="46"/>
        <v>11007_3-3/333&lt;lv1&gt;s2</v>
      </c>
      <c r="B112" s="76">
        <v>11007</v>
      </c>
      <c r="C112" s="77">
        <v>3</v>
      </c>
      <c r="D112" s="16" t="str">
        <f t="shared" si="47"/>
        <v>11007_3</v>
      </c>
      <c r="E112" s="22" t="str">
        <f ca="1">VLOOKUP($B112,OFFSET([2]quests!$A$1,0,0,COUNTA([2]quests!$A:$A),MATCH(E$1,[2]quests!$1:$1,0)-MATCH($B$1,[2]quests!$1:$1,0)+1),MATCH(E$1,[2]quests!$1:$1,0)-MATCH($B$1,[2]quests!$1:$1,0)+1,FALSE)</f>
        <v>【土曜限定】 赤と緑の素材</v>
      </c>
      <c r="F112" s="22" t="str">
        <f ca="1">VLOOKUP($D112,OFFSET([2]stages!$A$1,0,0,COUNTA([2]stages!$A:$A),MATCH(F$1,[2]stages!$2:$2,0)-MATCH($D$1,[2]stages!$2:$2,0)+1),MATCH(F$1,[2]stages!$2:$2,0)-MATCH($D$1,[2]stages!$2:$2,0)+1,FALSE)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2" s="68">
        <v>3</v>
      </c>
      <c r="H112" s="16" t="str">
        <f t="shared" si="48"/>
        <v>11007_3-3</v>
      </c>
      <c r="I112" s="22" t="e">
        <v>#N/A</v>
      </c>
      <c r="J112" s="22" t="e">
        <v>#N/A</v>
      </c>
      <c r="K112" s="70" t="s">
        <v>172</v>
      </c>
      <c r="L112" s="70">
        <v>333</v>
      </c>
      <c r="M112" s="22" t="str">
        <f ca="1">VLOOKUP($L112,OFFSET([3]enemies!$A$1,0,0,COUNTA([3]enemies!$A:$A),MATCH(M$1,[3]enemies!$1:$1,0)-MATCH($L$1,[3]enemies!$1:$1,0)+1),MATCH(M$1,[3]enemies!$1:$1,0)-MATCH($L$1,[3]enemies!$1:$1,0)+1,FALSE)</f>
        <v>炎のメタルチック</v>
      </c>
      <c r="N112" s="22" t="str">
        <f ca="1">VLOOKUP($L112,OFFSET([3]enemies!$A$1,0,0,COUNTA([3]enemies!$A:$A),MATCH(N$1,[3]enemies!$1:$1,0)-MATCH($L$1,[3]enemies!$1:$1,0)+1),MATCH(N$1,[3]enemies!$1:$1,0)-MATCH($L$1,[3]enemies!$1:$1,0)+1,FALSE)</f>
        <v>red</v>
      </c>
      <c r="O112" s="22" t="str">
        <f ca="1">VLOOKUP($L112,OFFSET([4]characters!$A$1,0,0,COUNTA([4]characters!$A:$A),MATCH(O$1,[4]characters!$1:$1,0)-MATCH($L$1,[4]characters!$1:$1,0)+1),MATCH(O$1,[4]characters!$1:$1,0)-MATCH($L$1,[4]characters!$1:$1,0)+1,FALSE)</f>
        <v>Material</v>
      </c>
      <c r="P112" s="22" t="str">
        <f ca="1">VLOOKUP($L112,OFFSET([3]enemies!$A$1,0,0,COUNTA([3]enemies!$A:$A),MATCH(P$1,[3]enemies!$1:$1,0)-MATCH($L$1,[3]enemies!$1:$1,0)+1),MATCH(P$1,[3]enemies!$1:$1,0)-MATCH($L$1,[3]enemies!$1:$1,0)+1,FALSE)</f>
        <v>unknown</v>
      </c>
      <c r="Q112" s="22">
        <f ca="1">VLOOKUP($L112,OFFSET([3]enemies!$A$1,0,0,COUNTA([3]enemies!$A:$A),MATCH(Q$1,[3]enemies!$1:$1,0)-MATCH($L$1,[3]enemies!$1:$1,0)+1),MATCH(Q$1,[3]enemies!$1:$1,0)-MATCH($L$1,[3]enemies!$1:$1,0)+1,FALSE)</f>
        <v>15</v>
      </c>
      <c r="R112" s="79">
        <v>1</v>
      </c>
      <c r="S112" s="80">
        <v>1</v>
      </c>
      <c r="T112" s="80">
        <v>1</v>
      </c>
      <c r="U112" s="79">
        <v>0</v>
      </c>
      <c r="V112" s="22" t="str">
        <f ca="1">VLOOKUP($W112,OFFSET([5]enemy_skill_sets!$B$1,0,0,COUNTA([5]enemy_skill_sets!$B:$B),MATCH(M$1,[5]enemy_skill_sets!$1:$1,0)-MATCH($W$1,[5]enemy_skill_sets!$1:$1,0)+2),MATCH(M$1,[5]enemy_skill_sets!$1:$1,0)-MATCH($W$1,[5]enemy_skill_sets!$1:$1,0)+2,FALSE)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2" s="22">
        <f ca="1">VLOOKUP($L112,OFFSET([3]enemies!$A$1,0,0,COUNTA([3]enemies!$A:$A),MATCH(W$1,[3]enemies!$1:$1,0)-MATCH($L$1,[3]enemies!$1:$1,0)+1),MATCH(W$1,[3]enemies!$1:$1,0)-MATCH($L$1,[3]enemies!$1:$1,0)+1,FALSE)</f>
        <v>0</v>
      </c>
      <c r="X112" s="81">
        <v>0</v>
      </c>
      <c r="Y112" s="81">
        <v>30</v>
      </c>
      <c r="Z112" s="81">
        <v>0</v>
      </c>
      <c r="AA112" s="22">
        <f ca="1">VLOOKUP($L112,OFFSET([3]enemies!$A$1,0,0,COUNTA([3]enemies!$A:$A),MATCH(AA$1,[3]enemies!$1:$1,0)-MATCH($L$1,[3]enemies!$1:$1,0)+1),MATCH(AA$1,[3]enemies!$1:$1,0)-MATCH($L$1,[3]enemies!$1:$1,0)+1,FALSE)</f>
        <v>2</v>
      </c>
      <c r="AB112" s="70">
        <v>333</v>
      </c>
      <c r="AC112" s="22" t="str">
        <f ca="1">IFERROR(VLOOKUP($AB112,OFFSET([4]characters!$A$1,0,0,COUNTA([4]characters!$A:$A),MATCH(AC$1,[4]characters!$1:$1,0)-MATCH("character_id",[4]characters!$1:$1,0)+1),MATCH(AC$1,[4]characters!$1:$1,0)-MATCH("character_id",[4]characters!$1:$1,0)+1,FALSE),"")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112" s="22">
        <f ca="1">IFERROR(VLOOKUP($AB112,OFFSET([4]characters!$A$1,0,0,COUNTA([4]characters!$A:$A),MATCH(AD$1,[4]characters!$1:$1,0)-MATCH("character_id",[4]characters!$1:$1,0)+1),MATCH(AD$1,[4]characters!$1:$1,0)-MATCH("character_id",[4]characters!$1:$1,0)+1,FALSE),"")</f>
        <v>4</v>
      </c>
      <c r="AE112" s="22" t="str">
        <f ca="1">IFERROR(VLOOKUP($AB112,OFFSET([4]characters!$A$1,0,0,COUNTA([4]characters!$A:$A),MATCH(AE$1,[4]characters!$1:$1,0)-MATCH("character_id",[4]characters!$1:$1,0)+1),MATCH(AE$1,[4]characters!$1:$1,0)-MATCH("character_id",[4]characters!$1:$1,0)+1,FALSE),"")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2" s="28">
        <v>1</v>
      </c>
      <c r="AG112" s="75">
        <f t="shared" ca="1" si="49"/>
        <v>4</v>
      </c>
      <c r="AH112" s="81">
        <v>5</v>
      </c>
      <c r="AI112" s="28">
        <v>0</v>
      </c>
      <c r="AJ112" s="28">
        <v>0</v>
      </c>
      <c r="AK112" s="28">
        <v>0</v>
      </c>
      <c r="AL112" s="28">
        <v>0</v>
      </c>
      <c r="AM112" s="28">
        <v>1</v>
      </c>
      <c r="AN112" s="28">
        <v>1</v>
      </c>
    </row>
    <row r="113" spans="1:40" ht="21" customHeight="1" x14ac:dyDescent="0.15">
      <c r="A113" s="78" t="str">
        <f t="shared" ca="1" si="46"/>
        <v>11007_3-4/103&lt;lv30&gt;s3</v>
      </c>
      <c r="B113" s="76">
        <v>11007</v>
      </c>
      <c r="C113" s="77">
        <v>3</v>
      </c>
      <c r="D113" s="16" t="str">
        <f t="shared" si="47"/>
        <v>11007_3</v>
      </c>
      <c r="E113" s="22" t="str">
        <f ca="1">VLOOKUP($B113,OFFSET([2]quests!$A$1,0,0,COUNTA([2]quests!$A:$A),MATCH(E$1,[2]quests!$1:$1,0)-MATCH($B$1,[2]quests!$1:$1,0)+1),MATCH(E$1,[2]quests!$1:$1,0)-MATCH($B$1,[2]quests!$1:$1,0)+1,FALSE)</f>
        <v>【土曜限定】 赤と緑の素材</v>
      </c>
      <c r="F113" s="22" t="str">
        <f ca="1">VLOOKUP($D113,OFFSET([2]stages!$A$1,0,0,COUNTA([2]stages!$A:$A),MATCH(F$1,[2]stages!$2:$2,0)-MATCH($D$1,[2]stages!$2:$2,0)+1),MATCH(F$1,[2]stages!$2:$2,0)-MATCH($D$1,[2]stages!$2:$2,0)+1,FALSE)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3" s="68">
        <v>4</v>
      </c>
      <c r="H113" s="16" t="str">
        <f t="shared" si="48"/>
        <v>11007_3-4</v>
      </c>
      <c r="I113" s="22" t="e">
        <v>#N/A</v>
      </c>
      <c r="J113" s="22" t="e">
        <v>#N/A</v>
      </c>
      <c r="K113" s="70" t="s">
        <v>172</v>
      </c>
      <c r="L113" s="70">
        <v>103</v>
      </c>
      <c r="M113" s="22" t="str">
        <f ca="1">VLOOKUP($L113,OFFSET([3]enemies!$A$1,0,0,COUNTA([3]enemies!$A:$A),MATCH(M$1,[3]enemies!$1:$1,0)-MATCH($L$1,[3]enemies!$1:$1,0)+1),MATCH(M$1,[3]enemies!$1:$1,0)-MATCH($L$1,[3]enemies!$1:$1,0)+1,FALSE)</f>
        <v>レッドキャタップ</v>
      </c>
      <c r="N113" s="22" t="str">
        <f ca="1">VLOOKUP($L113,OFFSET([3]enemies!$A$1,0,0,COUNTA([3]enemies!$A:$A),MATCH(N$1,[3]enemies!$1:$1,0)-MATCH($L$1,[3]enemies!$1:$1,0)+1),MATCH(N$1,[3]enemies!$1:$1,0)-MATCH($L$1,[3]enemies!$1:$1,0)+1,FALSE)</f>
        <v>red</v>
      </c>
      <c r="O113" s="22" t="str">
        <f ca="1">VLOOKUP($L113,OFFSET([4]characters!$A$1,0,0,COUNTA([4]characters!$A:$A),MATCH(O$1,[4]characters!$1:$1,0)-MATCH($L$1,[4]characters!$1:$1,0)+1),MATCH(O$1,[4]characters!$1:$1,0)-MATCH($L$1,[4]characters!$1:$1,0)+1,FALSE)</f>
        <v>Material</v>
      </c>
      <c r="P113" s="22" t="str">
        <f ca="1">VLOOKUP($L113,OFFSET([3]enemies!$A$1,0,0,COUNTA([3]enemies!$A:$A),MATCH(P$1,[3]enemies!$1:$1,0)-MATCH($L$1,[3]enemies!$1:$1,0)+1),MATCH(P$1,[3]enemies!$1:$1,0)-MATCH($L$1,[3]enemies!$1:$1,0)+1,FALSE)</f>
        <v>unknown</v>
      </c>
      <c r="Q113" s="22">
        <f ca="1">VLOOKUP($L113,OFFSET([3]enemies!$A$1,0,0,COUNTA([3]enemies!$A:$A),MATCH(Q$1,[3]enemies!$1:$1,0)-MATCH($L$1,[3]enemies!$1:$1,0)+1),MATCH(Q$1,[3]enemies!$1:$1,0)-MATCH($L$1,[3]enemies!$1:$1,0)+1,FALSE)</f>
        <v>15</v>
      </c>
      <c r="R113" s="79">
        <v>30</v>
      </c>
      <c r="S113" s="80">
        <v>2</v>
      </c>
      <c r="T113" s="80">
        <v>1</v>
      </c>
      <c r="U113" s="79">
        <v>0</v>
      </c>
      <c r="V113" s="22" t="str">
        <f ca="1">VLOOKUP($W113,OFFSET([5]enemy_skill_sets!$B$1,0,0,COUNTA([5]enemy_skill_sets!$B:$B),MATCH(M$1,[5]enemy_skill_sets!$1:$1,0)-MATCH($W$1,[5]enemy_skill_sets!$1:$1,0)+2),MATCH(M$1,[5]enemy_skill_sets!$1:$1,0)-MATCH($W$1,[5]enemy_skill_sets!$1:$1,0)+2,FALSE)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3" s="22">
        <f ca="1">VLOOKUP($L113,OFFSET([3]enemies!$A$1,0,0,COUNTA([3]enemies!$A:$A),MATCH(W$1,[3]enemies!$1:$1,0)-MATCH($L$1,[3]enemies!$1:$1,0)+1),MATCH(W$1,[3]enemies!$1:$1,0)-MATCH($L$1,[3]enemies!$1:$1,0)+1,FALSE)</f>
        <v>0</v>
      </c>
      <c r="X113" s="81">
        <v>0</v>
      </c>
      <c r="Y113" s="81">
        <v>50</v>
      </c>
      <c r="Z113" s="81">
        <v>1</v>
      </c>
      <c r="AA113" s="22">
        <f ca="1">VLOOKUP($L113,OFFSET([3]enemies!$A$1,0,0,COUNTA([3]enemies!$A:$A),MATCH(AA$1,[3]enemies!$1:$1,0)-MATCH($L$1,[3]enemies!$1:$1,0)+1),MATCH(AA$1,[3]enemies!$1:$1,0)-MATCH($L$1,[3]enemies!$1:$1,0)+1,FALSE)</f>
        <v>3</v>
      </c>
      <c r="AB113" s="70">
        <v>103</v>
      </c>
      <c r="AC113" s="22" t="str">
        <f ca="1">IFERROR(VLOOKUP($AB113,OFFSET([4]characters!$A$1,0,0,COUNTA([4]characters!$A:$A),MATCH(AC$1,[4]characters!$1:$1,0)-MATCH("character_id",[4]characters!$1:$1,0)+1),MATCH(AC$1,[4]characters!$1:$1,0)-MATCH("character_id",[4]characters!$1:$1,0)+1,FALSE),"")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113" s="22">
        <f ca="1">IFERROR(VLOOKUP($AB113,OFFSET([4]characters!$A$1,0,0,COUNTA([4]characters!$A:$A),MATCH(AD$1,[4]characters!$1:$1,0)-MATCH("character_id",[4]characters!$1:$1,0)+1),MATCH(AD$1,[4]characters!$1:$1,0)-MATCH("character_id",[4]characters!$1:$1,0)+1,FALSE),"")</f>
        <v>4</v>
      </c>
      <c r="AE113" s="22" t="str">
        <f ca="1">IFERROR(VLOOKUP($AB113,OFFSET([4]characters!$A$1,0,0,COUNTA([4]characters!$A:$A),MATCH(AE$1,[4]characters!$1:$1,0)-MATCH("character_id",[4]characters!$1:$1,0)+1),MATCH(AE$1,[4]characters!$1:$1,0)-MATCH("character_id",[4]characters!$1:$1,0)+1,FALSE),"")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3" s="28">
        <v>1</v>
      </c>
      <c r="AG113" s="75">
        <f t="shared" ca="1" si="49"/>
        <v>4</v>
      </c>
      <c r="AH113" s="81">
        <v>100</v>
      </c>
      <c r="AI113" s="28">
        <v>0</v>
      </c>
      <c r="AJ113" s="28">
        <v>0</v>
      </c>
      <c r="AK113" s="28">
        <v>0</v>
      </c>
      <c r="AL113" s="28">
        <v>0</v>
      </c>
      <c r="AM113" s="28">
        <v>1</v>
      </c>
      <c r="AN113" s="28">
        <v>1</v>
      </c>
    </row>
    <row r="114" spans="1:40" ht="21" customHeight="1" x14ac:dyDescent="0.15">
      <c r="A114" s="78" t="str">
        <f t="shared" ca="1" si="46"/>
        <v>11007_3-4/33&lt;lv35&gt;s2</v>
      </c>
      <c r="B114" s="76">
        <v>11007</v>
      </c>
      <c r="C114" s="77">
        <v>3</v>
      </c>
      <c r="D114" s="16" t="str">
        <f t="shared" si="47"/>
        <v>11007_3</v>
      </c>
      <c r="E114" s="22" t="str">
        <f ca="1">VLOOKUP($B114,OFFSET([2]quests!$A$1,0,0,COUNTA([2]quests!$A:$A),MATCH(E$1,[2]quests!$1:$1,0)-MATCH($B$1,[2]quests!$1:$1,0)+1),MATCH(E$1,[2]quests!$1:$1,0)-MATCH($B$1,[2]quests!$1:$1,0)+1,FALSE)</f>
        <v>【土曜限定】 赤と緑の素材</v>
      </c>
      <c r="F114" s="22" t="str">
        <f ca="1">VLOOKUP($D114,OFFSET([2]stages!$A$1,0,0,COUNTA([2]stages!$A:$A),MATCH(F$1,[2]stages!$2:$2,0)-MATCH($D$1,[2]stages!$2:$2,0)+1),MATCH(F$1,[2]stages!$2:$2,0)-MATCH($D$1,[2]stages!$2:$2,0)+1,FALSE)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4" s="68">
        <v>4</v>
      </c>
      <c r="H114" s="16" t="str">
        <f t="shared" si="48"/>
        <v>11007_3-4</v>
      </c>
      <c r="I114" s="22" t="e">
        <v>#N/A</v>
      </c>
      <c r="J114" s="22" t="e">
        <v>#N/A</v>
      </c>
      <c r="K114" s="70" t="s">
        <v>172</v>
      </c>
      <c r="L114" s="70">
        <v>33</v>
      </c>
      <c r="M114" s="22" t="str">
        <f ca="1">VLOOKUP($L114,OFFSET([3]enemies!$A$1,0,0,COUNTA([3]enemies!$A:$A),MATCH(M$1,[3]enemies!$1:$1,0)-MATCH($L$1,[3]enemies!$1:$1,0)+1),MATCH(M$1,[3]enemies!$1:$1,0)-MATCH($L$1,[3]enemies!$1:$1,0)+1,FALSE)</f>
        <v>ゴクウ</v>
      </c>
      <c r="N114" s="22" t="str">
        <f ca="1">VLOOKUP($L114,OFFSET([3]enemies!$A$1,0,0,COUNTA([3]enemies!$A:$A),MATCH(N$1,[3]enemies!$1:$1,0)-MATCH($L$1,[3]enemies!$1:$1,0)+1),MATCH(N$1,[3]enemies!$1:$1,0)-MATCH($L$1,[3]enemies!$1:$1,0)+1,FALSE)</f>
        <v>red</v>
      </c>
      <c r="O114" s="22" t="str">
        <f ca="1">VLOOKUP($L114,OFFSET([4]characters!$A$1,0,0,COUNTA([4]characters!$A:$A),MATCH(O$1,[4]characters!$1:$1,0)-MATCH($L$1,[4]characters!$1:$1,0)+1),MATCH(O$1,[4]characters!$1:$1,0)-MATCH($L$1,[4]characters!$1:$1,0)+1,FALSE)</f>
        <v>Drop1S</v>
      </c>
      <c r="P114" s="22" t="str">
        <f ca="1">VLOOKUP($L114,OFFSET([3]enemies!$A$1,0,0,COUNTA([3]enemies!$A:$A),MATCH(P$1,[3]enemies!$1:$1,0)-MATCH($L$1,[3]enemies!$1:$1,0)+1),MATCH(P$1,[3]enemies!$1:$1,0)-MATCH($L$1,[3]enemies!$1:$1,0)+1,FALSE)</f>
        <v>animal</v>
      </c>
      <c r="Q114" s="22">
        <f ca="1">VLOOKUP($L114,OFFSET([3]enemies!$A$1,0,0,COUNTA([3]enemies!$A:$A),MATCH(Q$1,[3]enemies!$1:$1,0)-MATCH($L$1,[3]enemies!$1:$1,0)+1),MATCH(Q$1,[3]enemies!$1:$1,0)-MATCH($L$1,[3]enemies!$1:$1,0)+1,FALSE)</f>
        <v>15</v>
      </c>
      <c r="R114" s="79">
        <v>35</v>
      </c>
      <c r="S114" s="80">
        <v>1</v>
      </c>
      <c r="T114" s="80">
        <v>1</v>
      </c>
      <c r="U114" s="79">
        <v>0</v>
      </c>
      <c r="V114" s="22" t="str">
        <f ca="1">VLOOKUP($W114,OFFSET([5]enemy_skill_sets!$B$1,0,0,COUNTA([5]enemy_skill_sets!$B:$B),MATCH(M$1,[5]enemy_skill_sets!$1:$1,0)-MATCH($W$1,[5]enemy_skill_sets!$1:$1,0)+2),MATCH(M$1,[5]enemy_skill_sets!$1:$1,0)-MATCH($W$1,[5]enemy_skill_sets!$1:$1,0)+2,FALSE)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14" s="22">
        <f ca="1">VLOOKUP($L114,OFFSET([3]enemies!$A$1,0,0,COUNTA([3]enemies!$A:$A),MATCH(W$1,[3]enemies!$1:$1,0)-MATCH($L$1,[3]enemies!$1:$1,0)+1),MATCH(W$1,[3]enemies!$1:$1,0)-MATCH($L$1,[3]enemies!$1:$1,0)+1,FALSE)</f>
        <v>33</v>
      </c>
      <c r="X114" s="81">
        <v>0</v>
      </c>
      <c r="Y114" s="81">
        <v>100</v>
      </c>
      <c r="Z114" s="81">
        <v>0</v>
      </c>
      <c r="AA114" s="22">
        <f ca="1">VLOOKUP($L114,OFFSET([3]enemies!$A$1,0,0,COUNTA([3]enemies!$A:$A),MATCH(AA$1,[3]enemies!$1:$1,0)-MATCH($L$1,[3]enemies!$1:$1,0)+1),MATCH(AA$1,[3]enemies!$1:$1,0)-MATCH($L$1,[3]enemies!$1:$1,0)+1,FALSE)</f>
        <v>2</v>
      </c>
      <c r="AB114" s="70">
        <v>33</v>
      </c>
      <c r="AC114" s="22" t="str">
        <f ca="1">IFERROR(VLOOKUP($AB114,OFFSET([4]characters!$A$1,0,0,COUNTA([4]characters!$A:$A),MATCH(AC$1,[4]characters!$1:$1,0)-MATCH("character_id",[4]characters!$1:$1,0)+1),MATCH(AC$1,[4]characters!$1:$1,0)-MATCH("character_id",[4]characters!$1:$1,0)+1,FALSE),"")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14" s="22">
        <f ca="1">IFERROR(VLOOKUP($AB114,OFFSET([4]characters!$A$1,0,0,COUNTA([4]characters!$A:$A),MATCH(AD$1,[4]characters!$1:$1,0)-MATCH("character_id",[4]characters!$1:$1,0)+1),MATCH(AD$1,[4]characters!$1:$1,0)-MATCH("character_id",[4]characters!$1:$1,0)+1,FALSE),"")</f>
        <v>2</v>
      </c>
      <c r="AE114" s="22" t="str">
        <f ca="1">IFERROR(VLOOKUP($AB114,OFFSET([4]characters!$A$1,0,0,COUNTA([4]characters!$A:$A),MATCH(AE$1,[4]characters!$1:$1,0)-MATCH("character_id",[4]characters!$1:$1,0)+1),MATCH(AE$1,[4]characters!$1:$1,0)-MATCH("character_id",[4]characters!$1:$1,0)+1,FALSE),"")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4" s="28">
        <v>1</v>
      </c>
      <c r="AG114" s="75">
        <f t="shared" ca="1" si="49"/>
        <v>2</v>
      </c>
      <c r="AH114" s="81">
        <v>0</v>
      </c>
      <c r="AI114" s="28">
        <v>0</v>
      </c>
      <c r="AJ114" s="28">
        <v>0</v>
      </c>
      <c r="AK114" s="28">
        <v>0</v>
      </c>
      <c r="AL114" s="28">
        <v>0</v>
      </c>
      <c r="AM114" s="28">
        <v>1</v>
      </c>
      <c r="AN114" s="28">
        <v>1</v>
      </c>
    </row>
    <row r="115" spans="1:40" ht="21" customHeight="1" x14ac:dyDescent="0.15">
      <c r="A115" s="78" t="str">
        <f t="shared" ca="1" si="46"/>
        <v>11007_3-4/21&lt;lv35&gt;s2</v>
      </c>
      <c r="B115" s="76">
        <v>11007</v>
      </c>
      <c r="C115" s="77">
        <v>3</v>
      </c>
      <c r="D115" s="16" t="str">
        <f t="shared" si="47"/>
        <v>11007_3</v>
      </c>
      <c r="E115" s="22" t="str">
        <f ca="1">VLOOKUP($B115,OFFSET([2]quests!$A$1,0,0,COUNTA([2]quests!$A:$A),MATCH(E$1,[2]quests!$1:$1,0)-MATCH($B$1,[2]quests!$1:$1,0)+1),MATCH(E$1,[2]quests!$1:$1,0)-MATCH($B$1,[2]quests!$1:$1,0)+1,FALSE)</f>
        <v>【土曜限定】 赤と緑の素材</v>
      </c>
      <c r="F115" s="22" t="str">
        <f ca="1">VLOOKUP($D115,OFFSET([2]stages!$A$1,0,0,COUNTA([2]stages!$A:$A),MATCH(F$1,[2]stages!$2:$2,0)-MATCH($D$1,[2]stages!$2:$2,0)+1),MATCH(F$1,[2]stages!$2:$2,0)-MATCH($D$1,[2]stages!$2:$2,0)+1,FALSE)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5" s="68">
        <v>4</v>
      </c>
      <c r="H115" s="16" t="str">
        <f t="shared" si="48"/>
        <v>11007_3-4</v>
      </c>
      <c r="I115" s="22" t="e">
        <v>#N/A</v>
      </c>
      <c r="J115" s="22" t="e">
        <v>#N/A</v>
      </c>
      <c r="K115" s="70" t="s">
        <v>172</v>
      </c>
      <c r="L115" s="70">
        <v>21</v>
      </c>
      <c r="M115" s="22" t="str">
        <f ca="1">VLOOKUP($L115,OFFSET([3]enemies!$A$1,0,0,COUNTA([3]enemies!$A:$A),MATCH(M$1,[3]enemies!$1:$1,0)-MATCH($L$1,[3]enemies!$1:$1,0)+1),MATCH(M$1,[3]enemies!$1:$1,0)-MATCH($L$1,[3]enemies!$1:$1,0)+1,FALSE)</f>
        <v>ヴェロキー</v>
      </c>
      <c r="N115" s="22" t="str">
        <f ca="1">VLOOKUP($L115,OFFSET([3]enemies!$A$1,0,0,COUNTA([3]enemies!$A:$A),MATCH(N$1,[3]enemies!$1:$1,0)-MATCH($L$1,[3]enemies!$1:$1,0)+1),MATCH(N$1,[3]enemies!$1:$1,0)-MATCH($L$1,[3]enemies!$1:$1,0)+1,FALSE)</f>
        <v>red</v>
      </c>
      <c r="O115" s="22" t="str">
        <f ca="1">VLOOKUP($L115,OFFSET([4]characters!$A$1,0,0,COUNTA([4]characters!$A:$A),MATCH(O$1,[4]characters!$1:$1,0)-MATCH($L$1,[4]characters!$1:$1,0)+1),MATCH(O$1,[4]characters!$1:$1,0)-MATCH($L$1,[4]characters!$1:$1,0)+1,FALSE)</f>
        <v>Drop1N</v>
      </c>
      <c r="P115" s="22" t="str">
        <f ca="1">VLOOKUP($L115,OFFSET([3]enemies!$A$1,0,0,COUNTA([3]enemies!$A:$A),MATCH(P$1,[3]enemies!$1:$1,0)-MATCH($L$1,[3]enemies!$1:$1,0)+1),MATCH(P$1,[3]enemies!$1:$1,0)-MATCH($L$1,[3]enemies!$1:$1,0)+1,FALSE)</f>
        <v>dragon</v>
      </c>
      <c r="Q115" s="22">
        <f ca="1">VLOOKUP($L115,OFFSET([3]enemies!$A$1,0,0,COUNTA([3]enemies!$A:$A),MATCH(Q$1,[3]enemies!$1:$1,0)-MATCH($L$1,[3]enemies!$1:$1,0)+1),MATCH(Q$1,[3]enemies!$1:$1,0)-MATCH($L$1,[3]enemies!$1:$1,0)+1,FALSE)</f>
        <v>15</v>
      </c>
      <c r="R115" s="79">
        <v>35</v>
      </c>
      <c r="S115" s="80">
        <v>1</v>
      </c>
      <c r="T115" s="80">
        <v>1</v>
      </c>
      <c r="U115" s="79">
        <v>0</v>
      </c>
      <c r="V115" s="22" t="str">
        <f ca="1">VLOOKUP($W115,OFFSET([5]enemy_skill_sets!$B$1,0,0,COUNTA([5]enemy_skill_sets!$B:$B),MATCH(M$1,[5]enemy_skill_sets!$1:$1,0)-MATCH($W$1,[5]enemy_skill_sets!$1:$1,0)+2),MATCH(M$1,[5]enemy_skill_sets!$1:$1,0)-MATCH($W$1,[5]enemy_skill_sets!$1:$1,0)+2,FALSE)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5" s="22">
        <f ca="1">VLOOKUP($L115,OFFSET([3]enemies!$A$1,0,0,COUNTA([3]enemies!$A:$A),MATCH(W$1,[3]enemies!$1:$1,0)-MATCH($L$1,[3]enemies!$1:$1,0)+1),MATCH(W$1,[3]enemies!$1:$1,0)-MATCH($L$1,[3]enemies!$1:$1,0)+1,FALSE)</f>
        <v>0</v>
      </c>
      <c r="X115" s="81">
        <v>0</v>
      </c>
      <c r="Y115" s="81">
        <v>100</v>
      </c>
      <c r="Z115" s="81">
        <v>0</v>
      </c>
      <c r="AA115" s="22">
        <f ca="1">VLOOKUP($L115,OFFSET([3]enemies!$A$1,0,0,COUNTA([3]enemies!$A:$A),MATCH(AA$1,[3]enemies!$1:$1,0)-MATCH($L$1,[3]enemies!$1:$1,0)+1),MATCH(AA$1,[3]enemies!$1:$1,0)-MATCH($L$1,[3]enemies!$1:$1,0)+1,FALSE)</f>
        <v>2</v>
      </c>
      <c r="AB115" s="70">
        <v>21</v>
      </c>
      <c r="AC115" s="22" t="str">
        <f ca="1">IFERROR(VLOOKUP($AB115,OFFSET([4]characters!$A$1,0,0,COUNTA([4]characters!$A:$A),MATCH(AC$1,[4]characters!$1:$1,0)-MATCH("character_id",[4]characters!$1:$1,0)+1),MATCH(AC$1,[4]characters!$1:$1,0)-MATCH("character_id",[4]characters!$1:$1,0)+1,FALSE),"")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15" s="22">
        <f ca="1">IFERROR(VLOOKUP($AB115,OFFSET([4]characters!$A$1,0,0,COUNTA([4]characters!$A:$A),MATCH(AD$1,[4]characters!$1:$1,0)-MATCH("character_id",[4]characters!$1:$1,0)+1),MATCH(AD$1,[4]characters!$1:$1,0)-MATCH("character_id",[4]characters!$1:$1,0)+1,FALSE),"")</f>
        <v>1</v>
      </c>
      <c r="AE115" s="22" t="str">
        <f ca="1">IFERROR(VLOOKUP($AB115,OFFSET([4]characters!$A$1,0,0,COUNTA([4]characters!$A:$A),MATCH(AE$1,[4]characters!$1:$1,0)-MATCH("character_id",[4]characters!$1:$1,0)+1),MATCH(AE$1,[4]characters!$1:$1,0)-MATCH("character_id",[4]characters!$1:$1,0)+1,FALSE),"")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5" s="28">
        <v>1</v>
      </c>
      <c r="AG115" s="75">
        <f t="shared" ca="1" si="49"/>
        <v>1</v>
      </c>
      <c r="AH115" s="81">
        <v>0</v>
      </c>
      <c r="AI115" s="28">
        <v>0</v>
      </c>
      <c r="AJ115" s="28">
        <v>0</v>
      </c>
      <c r="AK115" s="28">
        <v>0</v>
      </c>
      <c r="AL115" s="28">
        <v>0</v>
      </c>
      <c r="AM115" s="28">
        <v>1</v>
      </c>
      <c r="AN115" s="28">
        <v>1</v>
      </c>
    </row>
    <row r="116" spans="1:40" ht="21" customHeight="1" x14ac:dyDescent="0.15">
      <c r="A116" s="78" t="str">
        <f t="shared" ca="1" si="46"/>
        <v>11007_3-5/103&lt;lv30&gt;s3</v>
      </c>
      <c r="B116" s="76">
        <v>11007</v>
      </c>
      <c r="C116" s="77">
        <v>3</v>
      </c>
      <c r="D116" s="16" t="str">
        <f t="shared" si="47"/>
        <v>11007_3</v>
      </c>
      <c r="E116" s="22" t="str">
        <f ca="1">VLOOKUP($B116,OFFSET([2]quests!$A$1,0,0,COUNTA([2]quests!$A:$A),MATCH(E$1,[2]quests!$1:$1,0)-MATCH($B$1,[2]quests!$1:$1,0)+1),MATCH(E$1,[2]quests!$1:$1,0)-MATCH($B$1,[2]quests!$1:$1,0)+1,FALSE)</f>
        <v>【土曜限定】 赤と緑の素材</v>
      </c>
      <c r="F116" s="22" t="str">
        <f ca="1">VLOOKUP($D116,OFFSET([2]stages!$A$1,0,0,COUNTA([2]stages!$A:$A),MATCH(F$1,[2]stages!$2:$2,0)-MATCH($D$1,[2]stages!$2:$2,0)+1),MATCH(F$1,[2]stages!$2:$2,0)-MATCH($D$1,[2]stages!$2:$2,0)+1,FALSE)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6" s="68">
        <v>5</v>
      </c>
      <c r="H116" s="16" t="str">
        <f t="shared" si="48"/>
        <v>11007_3-5</v>
      </c>
      <c r="I116" s="22" t="e">
        <v>#N/A</v>
      </c>
      <c r="J116" s="22" t="e">
        <v>#N/A</v>
      </c>
      <c r="K116" s="70" t="s">
        <v>172</v>
      </c>
      <c r="L116" s="70">
        <v>103</v>
      </c>
      <c r="M116" s="22" t="str">
        <f ca="1">VLOOKUP($L116,OFFSET([3]enemies!$A$1,0,0,COUNTA([3]enemies!$A:$A),MATCH(M$1,[3]enemies!$1:$1,0)-MATCH($L$1,[3]enemies!$1:$1,0)+1),MATCH(M$1,[3]enemies!$1:$1,0)-MATCH($L$1,[3]enemies!$1:$1,0)+1,FALSE)</f>
        <v>レッドキャタップ</v>
      </c>
      <c r="N116" s="22" t="str">
        <f ca="1">VLOOKUP($L116,OFFSET([3]enemies!$A$1,0,0,COUNTA([3]enemies!$A:$A),MATCH(N$1,[3]enemies!$1:$1,0)-MATCH($L$1,[3]enemies!$1:$1,0)+1),MATCH(N$1,[3]enemies!$1:$1,0)-MATCH($L$1,[3]enemies!$1:$1,0)+1,FALSE)</f>
        <v>red</v>
      </c>
      <c r="O116" s="22" t="str">
        <f ca="1">VLOOKUP($L116,OFFSET([4]characters!$A$1,0,0,COUNTA([4]characters!$A:$A),MATCH(O$1,[4]characters!$1:$1,0)-MATCH($L$1,[4]characters!$1:$1,0)+1),MATCH(O$1,[4]characters!$1:$1,0)-MATCH($L$1,[4]characters!$1:$1,0)+1,FALSE)</f>
        <v>Material</v>
      </c>
      <c r="P116" s="22" t="str">
        <f ca="1">VLOOKUP($L116,OFFSET([3]enemies!$A$1,0,0,COUNTA([3]enemies!$A:$A),MATCH(P$1,[3]enemies!$1:$1,0)-MATCH($L$1,[3]enemies!$1:$1,0)+1),MATCH(P$1,[3]enemies!$1:$1,0)-MATCH($L$1,[3]enemies!$1:$1,0)+1,FALSE)</f>
        <v>unknown</v>
      </c>
      <c r="Q116" s="22">
        <f ca="1">VLOOKUP($L116,OFFSET([3]enemies!$A$1,0,0,COUNTA([3]enemies!$A:$A),MATCH(Q$1,[3]enemies!$1:$1,0)-MATCH($L$1,[3]enemies!$1:$1,0)+1),MATCH(Q$1,[3]enemies!$1:$1,0)-MATCH($L$1,[3]enemies!$1:$1,0)+1,FALSE)</f>
        <v>15</v>
      </c>
      <c r="R116" s="79">
        <v>30</v>
      </c>
      <c r="S116" s="80">
        <v>2</v>
      </c>
      <c r="T116" s="80">
        <v>1</v>
      </c>
      <c r="U116" s="79">
        <v>0</v>
      </c>
      <c r="V116" s="22" t="str">
        <f ca="1">VLOOKUP($W116,OFFSET([5]enemy_skill_sets!$B$1,0,0,COUNTA([5]enemy_skill_sets!$B:$B),MATCH(M$1,[5]enemy_skill_sets!$1:$1,0)-MATCH($W$1,[5]enemy_skill_sets!$1:$1,0)+2),MATCH(M$1,[5]enemy_skill_sets!$1:$1,0)-MATCH($W$1,[5]enemy_skill_sets!$1:$1,0)+2,FALSE)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6" s="22">
        <f ca="1">VLOOKUP($L116,OFFSET([3]enemies!$A$1,0,0,COUNTA([3]enemies!$A:$A),MATCH(W$1,[3]enemies!$1:$1,0)-MATCH($L$1,[3]enemies!$1:$1,0)+1),MATCH(W$1,[3]enemies!$1:$1,0)-MATCH($L$1,[3]enemies!$1:$1,0)+1,FALSE)</f>
        <v>0</v>
      </c>
      <c r="X116" s="81">
        <v>0</v>
      </c>
      <c r="Y116" s="81">
        <v>100</v>
      </c>
      <c r="Z116" s="81">
        <v>2</v>
      </c>
      <c r="AA116" s="22">
        <f ca="1">VLOOKUP($L116,OFFSET([3]enemies!$A$1,0,0,COUNTA([3]enemies!$A:$A),MATCH(AA$1,[3]enemies!$1:$1,0)-MATCH($L$1,[3]enemies!$1:$1,0)+1),MATCH(AA$1,[3]enemies!$1:$1,0)-MATCH($L$1,[3]enemies!$1:$1,0)+1,FALSE)</f>
        <v>3</v>
      </c>
      <c r="AB116" s="70">
        <v>103</v>
      </c>
      <c r="AC116" s="22" t="str">
        <f ca="1">IFERROR(VLOOKUP($AB116,OFFSET([4]characters!$A$1,0,0,COUNTA([4]characters!$A:$A),MATCH(AC$1,[4]characters!$1:$1,0)-MATCH("character_id",[4]characters!$1:$1,0)+1),MATCH(AC$1,[4]characters!$1:$1,0)-MATCH("character_id",[4]characters!$1:$1,0)+1,FALSE),"")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116" s="22">
        <f ca="1">IFERROR(VLOOKUP($AB116,OFFSET([4]characters!$A$1,0,0,COUNTA([4]characters!$A:$A),MATCH(AD$1,[4]characters!$1:$1,0)-MATCH("character_id",[4]characters!$1:$1,0)+1),MATCH(AD$1,[4]characters!$1:$1,0)-MATCH("character_id",[4]characters!$1:$1,0)+1,FALSE),"")</f>
        <v>4</v>
      </c>
      <c r="AE116" s="22" t="str">
        <f ca="1">IFERROR(VLOOKUP($AB116,OFFSET([4]characters!$A$1,0,0,COUNTA([4]characters!$A:$A),MATCH(AE$1,[4]characters!$1:$1,0)-MATCH("character_id",[4]characters!$1:$1,0)+1),MATCH(AE$1,[4]characters!$1:$1,0)-MATCH("character_id",[4]characters!$1:$1,0)+1,FALSE),"")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6" s="28">
        <v>1</v>
      </c>
      <c r="AG116" s="75">
        <f t="shared" ca="1" si="49"/>
        <v>4</v>
      </c>
      <c r="AH116" s="131">
        <v>50</v>
      </c>
      <c r="AI116" s="28">
        <v>0</v>
      </c>
      <c r="AJ116" s="28">
        <v>0</v>
      </c>
      <c r="AK116" s="28">
        <v>0</v>
      </c>
      <c r="AL116" s="28">
        <v>0</v>
      </c>
      <c r="AM116" s="28">
        <v>1</v>
      </c>
      <c r="AN116" s="28">
        <v>1</v>
      </c>
    </row>
    <row r="117" spans="1:40" ht="21" customHeight="1" x14ac:dyDescent="0.15">
      <c r="A117" s="78" t="str">
        <f ca="1">B117&amp;"_"&amp;C117&amp;"-"&amp;G117&amp;"/"&amp;L117&amp;"&lt;lv"&amp;R117&amp;"&gt;s"&amp;AA117</f>
        <v>11007_3-5/126&lt;lv30&gt;s1</v>
      </c>
      <c r="B117" s="76">
        <v>11007</v>
      </c>
      <c r="C117" s="77">
        <v>3</v>
      </c>
      <c r="D117" s="16" t="str">
        <f t="shared" si="47"/>
        <v>11007_3</v>
      </c>
      <c r="E117" s="22" t="str">
        <f ca="1">VLOOKUP($B117,OFFSET([2]quests!$A$1,0,0,COUNTA([2]quests!$A:$A),MATCH(E$1,[2]quests!$1:$1,0)-MATCH($B$1,[2]quests!$1:$1,0)+1),MATCH(E$1,[2]quests!$1:$1,0)-MATCH($B$1,[2]quests!$1:$1,0)+1,FALSE)</f>
        <v>【土曜限定】 赤と緑の素材</v>
      </c>
      <c r="F117" s="22" t="str">
        <f ca="1">VLOOKUP($D117,OFFSET([2]stages!$A$1,0,0,COUNTA([2]stages!$A:$A),MATCH(F$1,[2]stages!$2:$2,0)-MATCH($D$1,[2]stages!$2:$2,0)+1),MATCH(F$1,[2]stages!$2:$2,0)-MATCH($D$1,[2]stages!$2:$2,0)+1,FALSE)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7" s="68">
        <v>5</v>
      </c>
      <c r="H117" s="16" t="str">
        <f t="shared" si="48"/>
        <v>11007_3-5</v>
      </c>
      <c r="I117" s="22" t="e">
        <v>#N/A</v>
      </c>
      <c r="J117" s="22" t="e">
        <v>#N/A</v>
      </c>
      <c r="K117" s="70" t="s">
        <v>172</v>
      </c>
      <c r="L117" s="70">
        <v>126</v>
      </c>
      <c r="M117" s="22" t="str">
        <f ca="1">VLOOKUP($L117,OFFSET([3]enemies!$A$1,0,0,COUNTA([3]enemies!$A:$A),MATCH(M$1,[3]enemies!$1:$1,0)-MATCH($L$1,[3]enemies!$1:$1,0)+1),MATCH(M$1,[3]enemies!$1:$1,0)-MATCH($L$1,[3]enemies!$1:$1,0)+1,FALSE)</f>
        <v>骨器使い ユノ</v>
      </c>
      <c r="N117" s="22" t="str">
        <f ca="1">VLOOKUP($L117,OFFSET([3]enemies!$A$1,0,0,COUNTA([3]enemies!$A:$A),MATCH(N$1,[3]enemies!$1:$1,0)-MATCH($L$1,[3]enemies!$1:$1,0)+1),MATCH(N$1,[3]enemies!$1:$1,0)-MATCH($L$1,[3]enemies!$1:$1,0)+1,FALSE)</f>
        <v>red</v>
      </c>
      <c r="O117" s="22" t="str">
        <f ca="1">VLOOKUP($L117,OFFSET([4]characters!$A$1,0,0,COUNTA([4]characters!$A:$A),MATCH(O$1,[4]characters!$1:$1,0)-MATCH($L$1,[4]characters!$1:$1,0)+1),MATCH(O$1,[4]characters!$1:$1,0)-MATCH($L$1,[4]characters!$1:$1,0)+1,FALSE)</f>
        <v>PremiumW</v>
      </c>
      <c r="P117" s="22" t="str">
        <f ca="1">VLOOKUP($L117,OFFSET([3]enemies!$A$1,0,0,COUNTA([3]enemies!$A:$A),MATCH(P$1,[3]enemies!$1:$1,0)-MATCH($L$1,[3]enemies!$1:$1,0)+1),MATCH(P$1,[3]enemies!$1:$1,0)-MATCH($L$1,[3]enemies!$1:$1,0)+1,FALSE)</f>
        <v>human</v>
      </c>
      <c r="Q117" s="22">
        <f ca="1">VLOOKUP($L117,OFFSET([3]enemies!$A$1,0,0,COUNTA([3]enemies!$A:$A),MATCH(Q$1,[3]enemies!$1:$1,0)-MATCH($L$1,[3]enemies!$1:$1,0)+1),MATCH(Q$1,[3]enemies!$1:$1,0)-MATCH($L$1,[3]enemies!$1:$1,0)+1,FALSE)</f>
        <v>20</v>
      </c>
      <c r="R117" s="79">
        <v>30</v>
      </c>
      <c r="S117" s="80">
        <v>1</v>
      </c>
      <c r="T117" s="80">
        <v>1</v>
      </c>
      <c r="U117" s="79">
        <v>0</v>
      </c>
      <c r="V117" s="22" t="str">
        <f ca="1">VLOOKUP($W117,OFFSET([5]enemy_skill_sets!$B$1,0,0,COUNTA([5]enemy_skill_sets!$B:$B),MATCH(M$1,[5]enemy_skill_sets!$1:$1,0)-MATCH($W$1,[5]enemy_skill_sets!$1:$1,0)+2),MATCH(M$1,[5]enemy_skill_sets!$1:$1,0)-MATCH($W$1,[5]enemy_skill_sets!$1:$1,0)+2,FALSE)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117" s="22">
        <f ca="1">VLOOKUP($L117,OFFSET([3]enemies!$A$1,0,0,COUNTA([3]enemies!$A:$A),MATCH(W$1,[3]enemies!$1:$1,0)-MATCH($L$1,[3]enemies!$1:$1,0)+1),MATCH(W$1,[3]enemies!$1:$1,0)-MATCH($L$1,[3]enemies!$1:$1,0)+1,FALSE)</f>
        <v>126</v>
      </c>
      <c r="X117" s="81">
        <v>0</v>
      </c>
      <c r="Y117" s="81">
        <v>100</v>
      </c>
      <c r="Z117" s="81">
        <v>0</v>
      </c>
      <c r="AA117" s="22">
        <f ca="1">VLOOKUP($L117,OFFSET([3]enemies!$A$1,0,0,COUNTA([3]enemies!$A:$A),MATCH(AA$1,[3]enemies!$1:$1,0)-MATCH($L$1,[3]enemies!$1:$1,0)+1),MATCH(AA$1,[3]enemies!$1:$1,0)-MATCH($L$1,[3]enemies!$1:$1,0)+1,FALSE)</f>
        <v>1</v>
      </c>
      <c r="AB117" s="70">
        <v>126</v>
      </c>
      <c r="AC117" s="22" t="str">
        <f ca="1">IFERROR(VLOOKUP($AB117,OFFSET([4]characters!$A$1,0,0,COUNTA([4]characters!$A:$A),MATCH(AC$1,[4]characters!$1:$1,0)-MATCH("character_id",[4]characters!$1:$1,0)+1),MATCH(AC$1,[4]characters!$1:$1,0)-MATCH("character_id",[4]characters!$1:$1,0)+1,FALSE),"")</f>
        <v>骨器使い ユノ</v>
      </c>
      <c r="AD117" s="22">
        <f ca="1">IFERROR(VLOOKUP($AB117,OFFSET([4]characters!$A$1,0,0,COUNTA([4]characters!$A:$A),MATCH(AD$1,[4]characters!$1:$1,0)-MATCH("character_id",[4]characters!$1:$1,0)+1),MATCH(AD$1,[4]characters!$1:$1,0)-MATCH("character_id",[4]characters!$1:$1,0)+1,FALSE),"")</f>
        <v>3</v>
      </c>
      <c r="AE117" s="22" t="str">
        <f ca="1">IFERROR(VLOOKUP($AB117,OFFSET([4]characters!$A$1,0,0,COUNTA([4]characters!$A:$A),MATCH(AE$1,[4]characters!$1:$1,0)-MATCH("character_id",[4]characters!$1:$1,0)+1),MATCH(AE$1,[4]characters!$1:$1,0)-MATCH("character_id",[4]characters!$1:$1,0)+1,FALSE),"")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17" s="28">
        <v>1</v>
      </c>
      <c r="AG117" s="75">
        <f t="shared" ca="1" si="49"/>
        <v>3</v>
      </c>
      <c r="AH117" s="81">
        <v>0</v>
      </c>
      <c r="AI117" s="28">
        <v>0</v>
      </c>
      <c r="AJ117" s="28">
        <v>0</v>
      </c>
      <c r="AK117" s="28">
        <v>0</v>
      </c>
      <c r="AL117" s="28">
        <v>0</v>
      </c>
      <c r="AM117" s="28">
        <v>1</v>
      </c>
      <c r="AN117" s="28">
        <v>1</v>
      </c>
    </row>
    <row r="118" spans="1:40" ht="21" customHeight="1" x14ac:dyDescent="0.15">
      <c r="A118" s="78" t="str">
        <f ca="1">B118&amp;"_"&amp;C118&amp;"-"&amp;G118&amp;"/"&amp;L118&amp;"&lt;lv"&amp;R118&amp;"&gt;s"&amp;AA118</f>
        <v>11007_3-5/134&lt;lv30&gt;s3</v>
      </c>
      <c r="B118" s="76">
        <v>11007</v>
      </c>
      <c r="C118" s="77">
        <v>3</v>
      </c>
      <c r="D118" s="16" t="str">
        <f t="shared" si="47"/>
        <v>11007_3</v>
      </c>
      <c r="E118" s="22" t="str">
        <f ca="1">VLOOKUP($B118,OFFSET([2]quests!$A$1,0,0,COUNTA([2]quests!$A:$A),MATCH(E$1,[2]quests!$1:$1,0)-MATCH($B$1,[2]quests!$1:$1,0)+1),MATCH(E$1,[2]quests!$1:$1,0)-MATCH($B$1,[2]quests!$1:$1,0)+1,FALSE)</f>
        <v>【土曜限定】 赤と緑の素材</v>
      </c>
      <c r="F118" s="22" t="str">
        <f ca="1">VLOOKUP($D118,OFFSET([2]stages!$A$1,0,0,COUNTA([2]stages!$A:$A),MATCH(F$1,[2]stages!$2:$2,0)-MATCH($D$1,[2]stages!$2:$2,0)+1),MATCH(F$1,[2]stages!$2:$2,0)-MATCH($D$1,[2]stages!$2:$2,0)+1,FALSE)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8" s="68">
        <v>5</v>
      </c>
      <c r="H118" s="16" t="str">
        <f t="shared" si="48"/>
        <v>11007_3-5</v>
      </c>
      <c r="I118" s="22" t="e">
        <v>#N/A</v>
      </c>
      <c r="J118" s="22" t="e">
        <v>#N/A</v>
      </c>
      <c r="K118" s="70" t="s">
        <v>172</v>
      </c>
      <c r="L118" s="70">
        <v>134</v>
      </c>
      <c r="M118" s="22" t="str">
        <f ca="1">VLOOKUP($L118,OFFSET([3]enemies!$A$1,0,0,COUNTA([3]enemies!$A:$A),MATCH(M$1,[3]enemies!$1:$1,0)-MATCH($L$1,[3]enemies!$1:$1,0)+1),MATCH(M$1,[3]enemies!$1:$1,0)-MATCH($L$1,[3]enemies!$1:$1,0)+1,FALSE)</f>
        <v>妖炎の夕霧</v>
      </c>
      <c r="N118" s="22" t="str">
        <f ca="1">VLOOKUP($L118,OFFSET([3]enemies!$A$1,0,0,COUNTA([3]enemies!$A:$A),MATCH(N$1,[3]enemies!$1:$1,0)-MATCH($L$1,[3]enemies!$1:$1,0)+1),MATCH(N$1,[3]enemies!$1:$1,0)-MATCH($L$1,[3]enemies!$1:$1,0)+1,FALSE)</f>
        <v>red</v>
      </c>
      <c r="O118" s="22" t="str">
        <f ca="1">VLOOKUP($L118,OFFSET([4]characters!$A$1,0,0,COUNTA([4]characters!$A:$A),MATCH(O$1,[4]characters!$1:$1,0)-MATCH($L$1,[4]characters!$1:$1,0)+1),MATCH(O$1,[4]characters!$1:$1,0)-MATCH($L$1,[4]characters!$1:$1,0)+1,FALSE)</f>
        <v>PremiumW</v>
      </c>
      <c r="P118" s="22" t="str">
        <f ca="1">VLOOKUP($L118,OFFSET([3]enemies!$A$1,0,0,COUNTA([3]enemies!$A:$A),MATCH(P$1,[3]enemies!$1:$1,0)-MATCH($L$1,[3]enemies!$1:$1,0)+1),MATCH(P$1,[3]enemies!$1:$1,0)-MATCH($L$1,[3]enemies!$1:$1,0)+1,FALSE)</f>
        <v>human</v>
      </c>
      <c r="Q118" s="22">
        <f ca="1">VLOOKUP($L118,OFFSET([3]enemies!$A$1,0,0,COUNTA([3]enemies!$A:$A),MATCH(Q$1,[3]enemies!$1:$1,0)-MATCH($L$1,[3]enemies!$1:$1,0)+1),MATCH(Q$1,[3]enemies!$1:$1,0)-MATCH($L$1,[3]enemies!$1:$1,0)+1,FALSE)</f>
        <v>20</v>
      </c>
      <c r="R118" s="79">
        <v>30</v>
      </c>
      <c r="S118" s="80">
        <v>1</v>
      </c>
      <c r="T118" s="80">
        <v>1</v>
      </c>
      <c r="U118" s="79">
        <v>0</v>
      </c>
      <c r="V118" s="22" t="str">
        <f ca="1">VLOOKUP($W118,OFFSET([5]enemy_skill_sets!$B$1,0,0,COUNTA([5]enemy_skill_sets!$B:$B),MATCH(M$1,[5]enemy_skill_sets!$1:$1,0)-MATCH($W$1,[5]enemy_skill_sets!$1:$1,0)+2),MATCH(M$1,[5]enemy_skill_sets!$1:$1,0)-MATCH($W$1,[5]enemy_skill_sets!$1:$1,0)+2,FALSE)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118" s="22">
        <f ca="1">VLOOKUP($L118,OFFSET([3]enemies!$A$1,0,0,COUNTA([3]enemies!$A:$A),MATCH(W$1,[3]enemies!$1:$1,0)-MATCH($L$1,[3]enemies!$1:$1,0)+1),MATCH(W$1,[3]enemies!$1:$1,0)-MATCH($L$1,[3]enemies!$1:$1,0)+1,FALSE)</f>
        <v>134</v>
      </c>
      <c r="X118" s="81">
        <v>0</v>
      </c>
      <c r="Y118" s="81">
        <v>100</v>
      </c>
      <c r="Z118" s="81">
        <v>0</v>
      </c>
      <c r="AA118" s="22">
        <f ca="1">VLOOKUP($L118,OFFSET([3]enemies!$A$1,0,0,COUNTA([3]enemies!$A:$A),MATCH(AA$1,[3]enemies!$1:$1,0)-MATCH($L$1,[3]enemies!$1:$1,0)+1),MATCH(AA$1,[3]enemies!$1:$1,0)-MATCH($L$1,[3]enemies!$1:$1,0)+1,FALSE)</f>
        <v>3</v>
      </c>
      <c r="AB118" s="70">
        <v>134</v>
      </c>
      <c r="AC118" s="22" t="str">
        <f ca="1">IFERROR(VLOOKUP($AB118,OFFSET([4]characters!$A$1,0,0,COUNTA([4]characters!$A:$A),MATCH(AC$1,[4]characters!$1:$1,0)-MATCH("character_id",[4]characters!$1:$1,0)+1),MATCH(AC$1,[4]characters!$1:$1,0)-MATCH("character_id",[4]characters!$1:$1,0)+1,FALSE),"")</f>
        <v>妖炎の夕霧</v>
      </c>
      <c r="AD118" s="22">
        <f ca="1">IFERROR(VLOOKUP($AB118,OFFSET([4]characters!$A$1,0,0,COUNTA([4]characters!$A:$A),MATCH(AD$1,[4]characters!$1:$1,0)-MATCH("character_id",[4]characters!$1:$1,0)+1),MATCH(AD$1,[4]characters!$1:$1,0)-MATCH("character_id",[4]characters!$1:$1,0)+1,FALSE),"")</f>
        <v>3</v>
      </c>
      <c r="AE118" s="22" t="str">
        <f ca="1">IFERROR(VLOOKUP($AB118,OFFSET([4]characters!$A$1,0,0,COUNTA([4]characters!$A:$A),MATCH(AE$1,[4]characters!$1:$1,0)-MATCH("character_id",[4]characters!$1:$1,0)+1),MATCH(AE$1,[4]characters!$1:$1,0)-MATCH("character_id",[4]characters!$1:$1,0)+1,FALSE),"")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18" s="28">
        <v>1</v>
      </c>
      <c r="AG118" s="75">
        <f t="shared" ca="1" si="49"/>
        <v>3</v>
      </c>
      <c r="AH118" s="81">
        <v>0</v>
      </c>
      <c r="AI118" s="28">
        <v>0</v>
      </c>
      <c r="AJ118" s="28">
        <v>0</v>
      </c>
      <c r="AK118" s="28">
        <v>0</v>
      </c>
      <c r="AL118" s="28">
        <v>0</v>
      </c>
      <c r="AM118" s="28">
        <v>1</v>
      </c>
      <c r="AN118" s="28">
        <v>1</v>
      </c>
    </row>
    <row r="119" spans="1:40" ht="21" customHeight="1" x14ac:dyDescent="0.15">
      <c r="A119" s="78" t="str">
        <f ca="1">B119&amp;"_"&amp;C119&amp;"-"&amp;G119&amp;"/"&amp;L119&amp;"&lt;lv"&amp;R119&amp;"&gt;s"&amp;AA119</f>
        <v>11007_3-5/142&lt;lv30&gt;s2</v>
      </c>
      <c r="B119" s="76">
        <v>11007</v>
      </c>
      <c r="C119" s="77">
        <v>3</v>
      </c>
      <c r="D119" s="16" t="str">
        <f t="shared" si="47"/>
        <v>11007_3</v>
      </c>
      <c r="E119" s="22" t="str">
        <f ca="1">VLOOKUP($B119,OFFSET([2]quests!$A$1,0,0,COUNTA([2]quests!$A:$A),MATCH(E$1,[2]quests!$1:$1,0)-MATCH($B$1,[2]quests!$1:$1,0)+1),MATCH(E$1,[2]quests!$1:$1,0)-MATCH($B$1,[2]quests!$1:$1,0)+1,FALSE)</f>
        <v>【土曜限定】 赤と緑の素材</v>
      </c>
      <c r="F119" s="22" t="str">
        <f ca="1">VLOOKUP($D119,OFFSET([2]stages!$A$1,0,0,COUNTA([2]stages!$A:$A),MATCH(F$1,[2]stages!$2:$2,0)-MATCH($D$1,[2]stages!$2:$2,0)+1),MATCH(F$1,[2]stages!$2:$2,0)-MATCH($D$1,[2]stages!$2:$2,0)+1,FALSE)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19" s="68">
        <v>5</v>
      </c>
      <c r="H119" s="16" t="str">
        <f t="shared" si="48"/>
        <v>11007_3-5</v>
      </c>
      <c r="I119" s="22" t="e">
        <v>#N/A</v>
      </c>
      <c r="J119" s="22" t="e">
        <v>#N/A</v>
      </c>
      <c r="K119" s="70" t="s">
        <v>172</v>
      </c>
      <c r="L119" s="70">
        <v>142</v>
      </c>
      <c r="M119" s="22" t="str">
        <f ca="1">VLOOKUP($L119,OFFSET([3]enemies!$A$1,0,0,COUNTA([3]enemies!$A:$A),MATCH(M$1,[3]enemies!$1:$1,0)-MATCH($L$1,[3]enemies!$1:$1,0)+1),MATCH(M$1,[3]enemies!$1:$1,0)-MATCH($L$1,[3]enemies!$1:$1,0)+1,FALSE)</f>
        <v>赤ずきん</v>
      </c>
      <c r="N119" s="22" t="str">
        <f ca="1">VLOOKUP($L119,OFFSET([3]enemies!$A$1,0,0,COUNTA([3]enemies!$A:$A),MATCH(N$1,[3]enemies!$1:$1,0)-MATCH($L$1,[3]enemies!$1:$1,0)+1),MATCH(N$1,[3]enemies!$1:$1,0)-MATCH($L$1,[3]enemies!$1:$1,0)+1,FALSE)</f>
        <v>red</v>
      </c>
      <c r="O119" s="22" t="str">
        <f ca="1">VLOOKUP($L119,OFFSET([4]characters!$A$1,0,0,COUNTA([4]characters!$A:$A),MATCH(O$1,[4]characters!$1:$1,0)-MATCH($L$1,[4]characters!$1:$1,0)+1),MATCH(O$1,[4]characters!$1:$1,0)-MATCH($L$1,[4]characters!$1:$1,0)+1,FALSE)</f>
        <v>PremiumW</v>
      </c>
      <c r="P119" s="22" t="str">
        <f ca="1">VLOOKUP($L119,OFFSET([3]enemies!$A$1,0,0,COUNTA([3]enemies!$A:$A),MATCH(P$1,[3]enemies!$1:$1,0)-MATCH($L$1,[3]enemies!$1:$1,0)+1),MATCH(P$1,[3]enemies!$1:$1,0)-MATCH($L$1,[3]enemies!$1:$1,0)+1,FALSE)</f>
        <v>human</v>
      </c>
      <c r="Q119" s="22">
        <f ca="1">VLOOKUP($L119,OFFSET([3]enemies!$A$1,0,0,COUNTA([3]enemies!$A:$A),MATCH(Q$1,[3]enemies!$1:$1,0)-MATCH($L$1,[3]enemies!$1:$1,0)+1),MATCH(Q$1,[3]enemies!$1:$1,0)-MATCH($L$1,[3]enemies!$1:$1,0)+1,FALSE)</f>
        <v>20</v>
      </c>
      <c r="R119" s="79">
        <v>30</v>
      </c>
      <c r="S119" s="80">
        <v>1</v>
      </c>
      <c r="T119" s="80">
        <v>1</v>
      </c>
      <c r="U119" s="79">
        <v>0</v>
      </c>
      <c r="V119" s="22" t="str">
        <f ca="1">VLOOKUP($W119,OFFSET([5]enemy_skill_sets!$B$1,0,0,COUNTA([5]enemy_skill_sets!$B:$B),MATCH(M$1,[5]enemy_skill_sets!$1:$1,0)-MATCH($W$1,[5]enemy_skill_sets!$1:$1,0)+2),MATCH(M$1,[5]enemy_skill_sets!$1:$1,0)-MATCH($W$1,[5]enemy_skill_sets!$1:$1,0)+2,FALSE)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9" s="22">
        <f ca="1">VLOOKUP($L119,OFFSET([3]enemies!$A$1,0,0,COUNTA([3]enemies!$A:$A),MATCH(W$1,[3]enemies!$1:$1,0)-MATCH($L$1,[3]enemies!$1:$1,0)+1),MATCH(W$1,[3]enemies!$1:$1,0)-MATCH($L$1,[3]enemies!$1:$1,0)+1,FALSE)</f>
        <v>0</v>
      </c>
      <c r="X119" s="81">
        <v>0</v>
      </c>
      <c r="Y119" s="81">
        <v>100</v>
      </c>
      <c r="Z119" s="81">
        <v>0</v>
      </c>
      <c r="AA119" s="22">
        <f ca="1">VLOOKUP($L119,OFFSET([3]enemies!$A$1,0,0,COUNTA([3]enemies!$A:$A),MATCH(AA$1,[3]enemies!$1:$1,0)-MATCH($L$1,[3]enemies!$1:$1,0)+1),MATCH(AA$1,[3]enemies!$1:$1,0)-MATCH($L$1,[3]enemies!$1:$1,0)+1,FALSE)</f>
        <v>2</v>
      </c>
      <c r="AB119" s="70">
        <v>142</v>
      </c>
      <c r="AC119" s="22" t="str">
        <f ca="1">IFERROR(VLOOKUP($AB119,OFFSET([4]characters!$A$1,0,0,COUNTA([4]characters!$A:$A),MATCH(AC$1,[4]characters!$1:$1,0)-MATCH("character_id",[4]characters!$1:$1,0)+1),MATCH(AC$1,[4]characters!$1:$1,0)-MATCH("character_id",[4]characters!$1:$1,0)+1,FALSE),"")</f>
        <v>赤ずきん</v>
      </c>
      <c r="AD119" s="22">
        <f ca="1">IFERROR(VLOOKUP($AB119,OFFSET([4]characters!$A$1,0,0,COUNTA([4]characters!$A:$A),MATCH(AD$1,[4]characters!$1:$1,0)-MATCH("character_id",[4]characters!$1:$1,0)+1),MATCH(AD$1,[4]characters!$1:$1,0)-MATCH("character_id",[4]characters!$1:$1,0)+1,FALSE),"")</f>
        <v>3</v>
      </c>
      <c r="AE119" s="22" t="str">
        <f ca="1">IFERROR(VLOOKUP($AB119,OFFSET([4]characters!$A$1,0,0,COUNTA([4]characters!$A:$A),MATCH(AE$1,[4]characters!$1:$1,0)-MATCH("character_id",[4]characters!$1:$1,0)+1),MATCH(AE$1,[4]characters!$1:$1,0)-MATCH("character_id",[4]characters!$1:$1,0)+1,FALSE),"")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19" s="28">
        <v>1</v>
      </c>
      <c r="AG119" s="75">
        <f t="shared" ca="1" si="49"/>
        <v>3</v>
      </c>
      <c r="AH119" s="81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1</v>
      </c>
      <c r="AN119" s="28">
        <v>1</v>
      </c>
    </row>
    <row r="120" spans="1:40" ht="21" customHeight="1" x14ac:dyDescent="0.15">
      <c r="A120" s="78" t="str">
        <f ca="1">B120&amp;"_"&amp;C120&amp;"-"&amp;G120&amp;"/"&amp;L120&amp;"&lt;lv"&amp;R120&amp;"&gt;s"&amp;AA120</f>
        <v>11007_3-5/150&lt;lv30&gt;s2</v>
      </c>
      <c r="B120" s="76">
        <v>11007</v>
      </c>
      <c r="C120" s="77">
        <v>3</v>
      </c>
      <c r="D120" s="16" t="str">
        <f t="shared" si="47"/>
        <v>11007_3</v>
      </c>
      <c r="E120" s="22" t="str">
        <f ca="1">VLOOKUP($B120,OFFSET([2]quests!$A$1,0,0,COUNTA([2]quests!$A:$A),MATCH(E$1,[2]quests!$1:$1,0)-MATCH($B$1,[2]quests!$1:$1,0)+1),MATCH(E$1,[2]quests!$1:$1,0)-MATCH($B$1,[2]quests!$1:$1,0)+1,FALSE)</f>
        <v>【土曜限定】 赤と緑の素材</v>
      </c>
      <c r="F120" s="22" t="str">
        <f ca="1">VLOOKUP($D120,OFFSET([2]stages!$A$1,0,0,COUNTA([2]stages!$A:$A),MATCH(F$1,[2]stages!$2:$2,0)-MATCH($D$1,[2]stages!$2:$2,0)+1),MATCH(F$1,[2]stages!$2:$2,0)-MATCH($D$1,[2]stages!$2:$2,0)+1,FALSE)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0" s="68">
        <v>5</v>
      </c>
      <c r="H120" s="16" t="str">
        <f t="shared" si="48"/>
        <v>11007_3-5</v>
      </c>
      <c r="I120" s="22" t="e">
        <v>#N/A</v>
      </c>
      <c r="J120" s="22" t="e">
        <v>#N/A</v>
      </c>
      <c r="K120" s="70" t="s">
        <v>172</v>
      </c>
      <c r="L120" s="70">
        <v>150</v>
      </c>
      <c r="M120" s="22" t="str">
        <f ca="1">VLOOKUP($L120,OFFSET([3]enemies!$A$1,0,0,COUNTA([3]enemies!$A:$A),MATCH(M$1,[3]enemies!$1:$1,0)-MATCH($L$1,[3]enemies!$1:$1,0)+1),MATCH(M$1,[3]enemies!$1:$1,0)-MATCH($L$1,[3]enemies!$1:$1,0)+1,FALSE)</f>
        <v>ポイズンマスターサキ</v>
      </c>
      <c r="N120" s="22" t="str">
        <f ca="1">VLOOKUP($L120,OFFSET([3]enemies!$A$1,0,0,COUNTA([3]enemies!$A:$A),MATCH(N$1,[3]enemies!$1:$1,0)-MATCH($L$1,[3]enemies!$1:$1,0)+1),MATCH(N$1,[3]enemies!$1:$1,0)-MATCH($L$1,[3]enemies!$1:$1,0)+1,FALSE)</f>
        <v>red</v>
      </c>
      <c r="O120" s="22" t="str">
        <f ca="1">VLOOKUP($L120,OFFSET([4]characters!$A$1,0,0,COUNTA([4]characters!$A:$A),MATCH(O$1,[4]characters!$1:$1,0)-MATCH($L$1,[4]characters!$1:$1,0)+1),MATCH(O$1,[4]characters!$1:$1,0)-MATCH($L$1,[4]characters!$1:$1,0)+1,FALSE)</f>
        <v>PremiumW</v>
      </c>
      <c r="P120" s="22" t="str">
        <f ca="1">VLOOKUP($L120,OFFSET([3]enemies!$A$1,0,0,COUNTA([3]enemies!$A:$A),MATCH(P$1,[3]enemies!$1:$1,0)-MATCH($L$1,[3]enemies!$1:$1,0)+1),MATCH(P$1,[3]enemies!$1:$1,0)-MATCH($L$1,[3]enemies!$1:$1,0)+1,FALSE)</f>
        <v>human</v>
      </c>
      <c r="Q120" s="22">
        <f ca="1">VLOOKUP($L120,OFFSET([3]enemies!$A$1,0,0,COUNTA([3]enemies!$A:$A),MATCH(Q$1,[3]enemies!$1:$1,0)-MATCH($L$1,[3]enemies!$1:$1,0)+1),MATCH(Q$1,[3]enemies!$1:$1,0)-MATCH($L$1,[3]enemies!$1:$1,0)+1,FALSE)</f>
        <v>20</v>
      </c>
      <c r="R120" s="79">
        <v>30</v>
      </c>
      <c r="S120" s="80">
        <v>1</v>
      </c>
      <c r="T120" s="80">
        <v>1</v>
      </c>
      <c r="U120" s="79">
        <v>0</v>
      </c>
      <c r="V120" s="22" t="str">
        <f ca="1">VLOOKUP($W120,OFFSET([5]enemy_skill_sets!$B$1,0,0,COUNTA([5]enemy_skill_sets!$B:$B),MATCH(M$1,[5]enemy_skill_sets!$1:$1,0)-MATCH($W$1,[5]enemy_skill_sets!$1:$1,0)+2),MATCH(M$1,[5]enemy_skill_sets!$1:$1,0)-MATCH($W$1,[5]enemy_skill_sets!$1:$1,0)+2,FALSE)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0" s="22">
        <f ca="1">VLOOKUP($L120,OFFSET([3]enemies!$A$1,0,0,COUNTA([3]enemies!$A:$A),MATCH(W$1,[3]enemies!$1:$1,0)-MATCH($L$1,[3]enemies!$1:$1,0)+1),MATCH(W$1,[3]enemies!$1:$1,0)-MATCH($L$1,[3]enemies!$1:$1,0)+1,FALSE)</f>
        <v>0</v>
      </c>
      <c r="X120" s="81">
        <v>0</v>
      </c>
      <c r="Y120" s="81">
        <v>100</v>
      </c>
      <c r="Z120" s="81">
        <v>0</v>
      </c>
      <c r="AA120" s="22">
        <f ca="1">VLOOKUP($L120,OFFSET([3]enemies!$A$1,0,0,COUNTA([3]enemies!$A:$A),MATCH(AA$1,[3]enemies!$1:$1,0)-MATCH($L$1,[3]enemies!$1:$1,0)+1),MATCH(AA$1,[3]enemies!$1:$1,0)-MATCH($L$1,[3]enemies!$1:$1,0)+1,FALSE)</f>
        <v>2</v>
      </c>
      <c r="AB120" s="70">
        <v>150</v>
      </c>
      <c r="AC120" s="22" t="str">
        <f ca="1">IFERROR(VLOOKUP($AB120,OFFSET([4]characters!$A$1,0,0,COUNTA([4]characters!$A:$A),MATCH(AC$1,[4]characters!$1:$1,0)-MATCH("character_id",[4]characters!$1:$1,0)+1),MATCH(AC$1,[4]characters!$1:$1,0)-MATCH("character_id",[4]characters!$1:$1,0)+1,FALSE),"")</f>
        <v>ポイズンマスターサキ</v>
      </c>
      <c r="AD120" s="22">
        <f ca="1">IFERROR(VLOOKUP($AB120,OFFSET([4]characters!$A$1,0,0,COUNTA([4]characters!$A:$A),MATCH(AD$1,[4]characters!$1:$1,0)-MATCH("character_id",[4]characters!$1:$1,0)+1),MATCH(AD$1,[4]characters!$1:$1,0)-MATCH("character_id",[4]characters!$1:$1,0)+1,FALSE),"")</f>
        <v>3</v>
      </c>
      <c r="AE120" s="22" t="str">
        <f ca="1">IFERROR(VLOOKUP($AB120,OFFSET([4]characters!$A$1,0,0,COUNTA([4]characters!$A:$A),MATCH(AE$1,[4]characters!$1:$1,0)-MATCH("character_id",[4]characters!$1:$1,0)+1),MATCH(AE$1,[4]characters!$1:$1,0)-MATCH("character_id",[4]characters!$1:$1,0)+1,FALSE),"")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20" s="28">
        <v>1</v>
      </c>
      <c r="AG120" s="75">
        <f t="shared" ca="1" si="49"/>
        <v>3</v>
      </c>
      <c r="AH120" s="81">
        <v>0</v>
      </c>
      <c r="AI120" s="28">
        <v>0</v>
      </c>
      <c r="AJ120" s="28">
        <v>0</v>
      </c>
      <c r="AK120" s="28">
        <v>0</v>
      </c>
      <c r="AL120" s="28">
        <v>0</v>
      </c>
      <c r="AM120" s="28">
        <v>1</v>
      </c>
      <c r="AN120" s="28">
        <v>1</v>
      </c>
    </row>
    <row r="121" spans="1:40" ht="21" customHeight="1" x14ac:dyDescent="0.15">
      <c r="A121" s="17" t="str">
        <f t="shared" ref="A121:A163" ca="1" si="50">B121&amp;"_"&amp;C121&amp;"-"&amp;G121&amp;"/"&amp;L121&amp;"&lt;lv"&amp;R121&amp;"&gt;s"&amp;AA121</f>
        <v>11007_3-1/107&lt;lv30&gt;s1</v>
      </c>
      <c r="B121" s="84">
        <v>11007</v>
      </c>
      <c r="C121" s="85">
        <v>3</v>
      </c>
      <c r="D121" s="16" t="str">
        <f t="shared" si="47"/>
        <v>11007_3</v>
      </c>
      <c r="E121" s="5" t="str">
        <f ca="1">VLOOKUP($B121,OFFSET([2]quests!$A$1,0,0,COUNTA([2]quests!$A:$A),MATCH(E$1,[2]quests!$1:$1,0)-MATCH($B$1,[2]quests!$1:$1,0)+1),MATCH(E$1,[2]quests!$1:$1,0)-MATCH($B$1,[2]quests!$1:$1,0)+1,FALSE)</f>
        <v>【土曜限定】 赤と緑の素材</v>
      </c>
      <c r="F121" s="5" t="str">
        <f ca="1">VLOOKUP($D121,OFFSET([2]stages!$A$1,0,0,COUNTA([2]stages!$A:$A),MATCH(F$1,[2]stages!$2:$2,0)-MATCH($D$1,[2]stages!$2:$2,0)+1),MATCH(F$1,[2]stages!$2:$2,0)-MATCH($D$1,[2]stages!$2:$2,0)+1,FALSE)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1" s="68">
        <v>1</v>
      </c>
      <c r="H121" s="16" t="str">
        <f t="shared" si="48"/>
        <v>11007_3-1</v>
      </c>
      <c r="I121" s="5" t="e">
        <v>#N/A</v>
      </c>
      <c r="J121" s="5" t="e">
        <v>#N/A</v>
      </c>
      <c r="K121" s="70" t="s">
        <v>172</v>
      </c>
      <c r="L121" s="70">
        <v>107</v>
      </c>
      <c r="M121" s="20" t="str">
        <f ca="1">VLOOKUP($L121,OFFSET([3]enemies!$A$1,0,0,COUNTA([3]enemies!$A:$A),MATCH(M$1,[3]enemies!$1:$1,0)-MATCH($L$1,[3]enemies!$1:$1,0)+1),MATCH(M$1,[3]enemies!$1:$1,0)-MATCH($L$1,[3]enemies!$1:$1,0)+1,FALSE)</f>
        <v>グリーンキャタップ</v>
      </c>
      <c r="N121" s="20" t="str">
        <f ca="1">VLOOKUP($L121,OFFSET([3]enemies!$A$1,0,0,COUNTA([3]enemies!$A:$A),MATCH(N$1,[3]enemies!$1:$1,0)-MATCH($L$1,[3]enemies!$1:$1,0)+1),MATCH(N$1,[3]enemies!$1:$1,0)-MATCH($L$1,[3]enemies!$1:$1,0)+1,FALSE)</f>
        <v>green</v>
      </c>
      <c r="O121" s="22" t="str">
        <f ca="1">VLOOKUP($L121,OFFSET([4]characters!$A$1,0,0,COUNTA([4]characters!$A:$A),MATCH(O$1,[4]characters!$1:$1,0)-MATCH($L$1,[4]characters!$1:$1,0)+1),MATCH(O$1,[4]characters!$1:$1,0)-MATCH($L$1,[4]characters!$1:$1,0)+1,FALSE)</f>
        <v>Material</v>
      </c>
      <c r="P121" s="20" t="str">
        <f ca="1">VLOOKUP($L121,OFFSET([3]enemies!$A$1,0,0,COUNTA([3]enemies!$A:$A),MATCH(P$1,[3]enemies!$1:$1,0)-MATCH($L$1,[3]enemies!$1:$1,0)+1),MATCH(P$1,[3]enemies!$1:$1,0)-MATCH($L$1,[3]enemies!$1:$1,0)+1,FALSE)</f>
        <v>unknown</v>
      </c>
      <c r="Q121" s="20">
        <f ca="1">VLOOKUP($L121,OFFSET([3]enemies!$A$1,0,0,COUNTA([3]enemies!$A:$A),MATCH(Q$1,[3]enemies!$1:$1,0)-MATCH($L$1,[3]enemies!$1:$1,0)+1),MATCH(Q$1,[3]enemies!$1:$1,0)-MATCH($L$1,[3]enemies!$1:$1,0)+1,FALSE)</f>
        <v>15</v>
      </c>
      <c r="R121" s="6">
        <v>30</v>
      </c>
      <c r="S121" s="30">
        <v>2</v>
      </c>
      <c r="T121" s="30">
        <v>1</v>
      </c>
      <c r="U121" s="6">
        <v>0</v>
      </c>
      <c r="V121" s="5" t="str">
        <f ca="1">VLOOKUP($W121,OFFSET([5]enemy_skill_sets!$B$1,0,0,COUNTA([5]enemy_skill_sets!$B:$B),MATCH(M$1,[5]enemy_skill_sets!$1:$1,0)-MATCH($W$1,[5]enemy_skill_sets!$1:$1,0)+2),MATCH(M$1,[5]enemy_skill_sets!$1:$1,0)-MATCH($W$1,[5]enemy_skill_sets!$1:$1,0)+2,FALSE)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1" s="5">
        <f ca="1">VLOOKUP($L121,OFFSET([3]enemies!$A$1,0,0,COUNTA([3]enemies!$A:$A),MATCH(W$1,[3]enemies!$1:$1,0)-MATCH($L$1,[3]enemies!$1:$1,0)+1),MATCH(W$1,[3]enemies!$1:$1,0)-MATCH($L$1,[3]enemies!$1:$1,0)+1,FALSE)</f>
        <v>0</v>
      </c>
      <c r="X121" s="7">
        <v>0</v>
      </c>
      <c r="Y121" s="7">
        <v>50</v>
      </c>
      <c r="Z121" s="7">
        <v>1</v>
      </c>
      <c r="AA121" s="20">
        <f ca="1">VLOOKUP($L121,OFFSET([3]enemies!$A$1,0,0,COUNTA([3]enemies!$A:$A),MATCH(AA$1,[3]enemies!$1:$1,0)-MATCH($L$1,[3]enemies!$1:$1,0)+1),MATCH(AA$1,[3]enemies!$1:$1,0)-MATCH($L$1,[3]enemies!$1:$1,0)+1,FALSE)</f>
        <v>1</v>
      </c>
      <c r="AB121" s="70">
        <v>107</v>
      </c>
      <c r="AC121" s="5" t="str">
        <f ca="1">IFERROR(VLOOKUP($AB121,OFFSET([4]characters!$A$1,0,0,COUNTA([4]characters!$A:$A),MATCH(AC$1,[4]characters!$1:$1,0)-MATCH("character_id",[4]characters!$1:$1,0)+1),MATCH(AC$1,[4]characters!$1:$1,0)-MATCH("character_id",[4]characters!$1:$1,0)+1,FALSE),"")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21" s="5">
        <f ca="1">IFERROR(VLOOKUP($AB121,OFFSET([4]characters!$A$1,0,0,COUNTA([4]characters!$A:$A),MATCH(AD$1,[4]characters!$1:$1,0)-MATCH("character_id",[4]characters!$1:$1,0)+1),MATCH(AD$1,[4]characters!$1:$1,0)-MATCH("character_id",[4]characters!$1:$1,0)+1,FALSE),"")</f>
        <v>4</v>
      </c>
      <c r="AE121" s="5" t="str">
        <f ca="1">IFERROR(VLOOKUP($AB121,OFFSET([4]characters!$A$1,0,0,COUNTA([4]characters!$A:$A),MATCH(AE$1,[4]characters!$1:$1,0)-MATCH("character_id",[4]characters!$1:$1,0)+1),MATCH(AE$1,[4]characters!$1:$1,0)-MATCH("character_id",[4]characters!$1:$1,0)+1,FALSE),"")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1" s="28">
        <v>1</v>
      </c>
      <c r="AG121" s="75">
        <f t="shared" ref="AG121:AG167" ca="1" si="51">AD121</f>
        <v>4</v>
      </c>
      <c r="AH121" s="130">
        <v>50</v>
      </c>
      <c r="AI121" s="28">
        <v>0</v>
      </c>
      <c r="AJ121" s="28">
        <v>0</v>
      </c>
      <c r="AK121" s="28">
        <v>0</v>
      </c>
      <c r="AL121" s="28">
        <v>0</v>
      </c>
      <c r="AM121" s="28">
        <v>1</v>
      </c>
      <c r="AN121" s="28">
        <v>1</v>
      </c>
    </row>
    <row r="122" spans="1:40" ht="21" customHeight="1" x14ac:dyDescent="0.15">
      <c r="A122" s="17" t="str">
        <f t="shared" ca="1" si="50"/>
        <v>11007_3-1/35&lt;lv35&gt;s4</v>
      </c>
      <c r="B122" s="84">
        <v>11007</v>
      </c>
      <c r="C122" s="85">
        <v>3</v>
      </c>
      <c r="D122" s="16" t="str">
        <f t="shared" si="47"/>
        <v>11007_3</v>
      </c>
      <c r="E122" s="5" t="str">
        <f ca="1">VLOOKUP($B122,OFFSET([2]quests!$A$1,0,0,COUNTA([2]quests!$A:$A),MATCH(E$1,[2]quests!$1:$1,0)-MATCH($B$1,[2]quests!$1:$1,0)+1),MATCH(E$1,[2]quests!$1:$1,0)-MATCH($B$1,[2]quests!$1:$1,0)+1,FALSE)</f>
        <v>【土曜限定】 赤と緑の素材</v>
      </c>
      <c r="F122" s="5" t="str">
        <f ca="1">VLOOKUP($D122,OFFSET([2]stages!$A$1,0,0,COUNTA([2]stages!$A:$A),MATCH(F$1,[2]stages!$2:$2,0)-MATCH($D$1,[2]stages!$2:$2,0)+1),MATCH(F$1,[2]stages!$2:$2,0)-MATCH($D$1,[2]stages!$2:$2,0)+1,FALSE)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2" s="68">
        <v>1</v>
      </c>
      <c r="H122" s="16" t="str">
        <f t="shared" si="48"/>
        <v>11007_3-1</v>
      </c>
      <c r="I122" s="5" t="e">
        <v>#N/A</v>
      </c>
      <c r="J122" s="5" t="e">
        <v>#N/A</v>
      </c>
      <c r="K122" s="70" t="s">
        <v>172</v>
      </c>
      <c r="L122" s="70">
        <v>35</v>
      </c>
      <c r="M122" s="20" t="str">
        <f ca="1">VLOOKUP($L122,OFFSET([3]enemies!$A$1,0,0,COUNTA([3]enemies!$A:$A),MATCH(M$1,[3]enemies!$1:$1,0)-MATCH($L$1,[3]enemies!$1:$1,0)+1),MATCH(M$1,[3]enemies!$1:$1,0)-MATCH($L$1,[3]enemies!$1:$1,0)+1,FALSE)</f>
        <v>F2</v>
      </c>
      <c r="N122" s="20" t="str">
        <f ca="1">VLOOKUP($L122,OFFSET([3]enemies!$A$1,0,0,COUNTA([3]enemies!$A:$A),MATCH(N$1,[3]enemies!$1:$1,0)-MATCH($L$1,[3]enemies!$1:$1,0)+1),MATCH(N$1,[3]enemies!$1:$1,0)-MATCH($L$1,[3]enemies!$1:$1,0)+1,FALSE)</f>
        <v>green</v>
      </c>
      <c r="O122" s="22" t="str">
        <f ca="1">VLOOKUP($L122,OFFSET([4]characters!$A$1,0,0,COUNTA([4]characters!$A:$A),MATCH(O$1,[4]characters!$1:$1,0)-MATCH($L$1,[4]characters!$1:$1,0)+1),MATCH(O$1,[4]characters!$1:$1,0)-MATCH($L$1,[4]characters!$1:$1,0)+1,FALSE)</f>
        <v>Drop1S</v>
      </c>
      <c r="P122" s="20" t="str">
        <f ca="1">VLOOKUP($L122,OFFSET([3]enemies!$A$1,0,0,COUNTA([3]enemies!$A:$A),MATCH(P$1,[3]enemies!$1:$1,0)-MATCH($L$1,[3]enemies!$1:$1,0)+1),MATCH(P$1,[3]enemies!$1:$1,0)-MATCH($L$1,[3]enemies!$1:$1,0)+1,FALSE)</f>
        <v>machine</v>
      </c>
      <c r="Q122" s="20">
        <f ca="1">VLOOKUP($L122,OFFSET([3]enemies!$A$1,0,0,COUNTA([3]enemies!$A:$A),MATCH(Q$1,[3]enemies!$1:$1,0)-MATCH($L$1,[3]enemies!$1:$1,0)+1),MATCH(Q$1,[3]enemies!$1:$1,0)-MATCH($L$1,[3]enemies!$1:$1,0)+1,FALSE)</f>
        <v>15</v>
      </c>
      <c r="R122" s="6">
        <v>35</v>
      </c>
      <c r="S122" s="30">
        <v>1</v>
      </c>
      <c r="T122" s="30">
        <v>1</v>
      </c>
      <c r="U122" s="6">
        <v>0</v>
      </c>
      <c r="V122" s="5" t="str">
        <f ca="1">VLOOKUP($W122,OFFSET([5]enemy_skill_sets!$B$1,0,0,COUNTA([5]enemy_skill_sets!$B:$B),MATCH(M$1,[5]enemy_skill_sets!$1:$1,0)-MATCH($W$1,[5]enemy_skill_sets!$1:$1,0)+2),MATCH(M$1,[5]enemy_skill_sets!$1:$1,0)-MATCH($W$1,[5]enemy_skill_sets!$1:$1,0)+2,FALSE)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22" s="5">
        <f ca="1">VLOOKUP($L122,OFFSET([3]enemies!$A$1,0,0,COUNTA([3]enemies!$A:$A),MATCH(W$1,[3]enemies!$1:$1,0)-MATCH($L$1,[3]enemies!$1:$1,0)+1),MATCH(W$1,[3]enemies!$1:$1,0)-MATCH($L$1,[3]enemies!$1:$1,0)+1,FALSE)</f>
        <v>35</v>
      </c>
      <c r="X122" s="7">
        <v>0</v>
      </c>
      <c r="Y122" s="7">
        <v>100</v>
      </c>
      <c r="Z122" s="7">
        <v>0</v>
      </c>
      <c r="AA122" s="20">
        <f ca="1">VLOOKUP($L122,OFFSET([3]enemies!$A$1,0,0,COUNTA([3]enemies!$A:$A),MATCH(AA$1,[3]enemies!$1:$1,0)-MATCH($L$1,[3]enemies!$1:$1,0)+1),MATCH(AA$1,[3]enemies!$1:$1,0)-MATCH($L$1,[3]enemies!$1:$1,0)+1,FALSE)</f>
        <v>4</v>
      </c>
      <c r="AB122" s="70">
        <v>35</v>
      </c>
      <c r="AC122" s="5" t="str">
        <f ca="1">IFERROR(VLOOKUP($AB122,OFFSET([4]characters!$A$1,0,0,COUNTA([4]characters!$A:$A),MATCH(AC$1,[4]characters!$1:$1,0)-MATCH("character_id",[4]characters!$1:$1,0)+1),MATCH(AC$1,[4]characters!$1:$1,0)-MATCH("character_id",[4]characters!$1:$1,0)+1,FALSE),"")</f>
        <v>F2</v>
      </c>
      <c r="AD122" s="5">
        <f ca="1">IFERROR(VLOOKUP($AB122,OFFSET([4]characters!$A$1,0,0,COUNTA([4]characters!$A:$A),MATCH(AD$1,[4]characters!$1:$1,0)-MATCH("character_id",[4]characters!$1:$1,0)+1),MATCH(AD$1,[4]characters!$1:$1,0)-MATCH("character_id",[4]characters!$1:$1,0)+1,FALSE),"")</f>
        <v>2</v>
      </c>
      <c r="AE122" s="5" t="str">
        <f ca="1">IFERROR(VLOOKUP($AB122,OFFSET([4]characters!$A$1,0,0,COUNTA([4]characters!$A:$A),MATCH(AE$1,[4]characters!$1:$1,0)-MATCH("character_id",[4]characters!$1:$1,0)+1),MATCH(AE$1,[4]characters!$1:$1,0)-MATCH("character_id",[4]characters!$1:$1,0)+1,FALSE),"")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22" s="28">
        <v>1</v>
      </c>
      <c r="AG122" s="75">
        <f t="shared" ca="1" si="51"/>
        <v>2</v>
      </c>
      <c r="AH122" s="9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1</v>
      </c>
      <c r="AN122" s="28">
        <v>1</v>
      </c>
    </row>
    <row r="123" spans="1:40" ht="21" customHeight="1" x14ac:dyDescent="0.15">
      <c r="A123" s="17" t="str">
        <f t="shared" ca="1" si="50"/>
        <v>11007_3-1/27&lt;lv35&gt;s1</v>
      </c>
      <c r="B123" s="84">
        <v>11007</v>
      </c>
      <c r="C123" s="85">
        <v>3</v>
      </c>
      <c r="D123" s="16" t="str">
        <f t="shared" si="47"/>
        <v>11007_3</v>
      </c>
      <c r="E123" s="5" t="str">
        <f ca="1">VLOOKUP($B123,OFFSET([2]quests!$A$1,0,0,COUNTA([2]quests!$A:$A),MATCH(E$1,[2]quests!$1:$1,0)-MATCH($B$1,[2]quests!$1:$1,0)+1),MATCH(E$1,[2]quests!$1:$1,0)-MATCH($B$1,[2]quests!$1:$1,0)+1,FALSE)</f>
        <v>【土曜限定】 赤と緑の素材</v>
      </c>
      <c r="F123" s="5" t="str">
        <f ca="1">VLOOKUP($D123,OFFSET([2]stages!$A$1,0,0,COUNTA([2]stages!$A:$A),MATCH(F$1,[2]stages!$2:$2,0)-MATCH($D$1,[2]stages!$2:$2,0)+1),MATCH(F$1,[2]stages!$2:$2,0)-MATCH($D$1,[2]stages!$2:$2,0)+1,FALSE)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3" s="68">
        <v>1</v>
      </c>
      <c r="H123" s="16" t="str">
        <f t="shared" si="48"/>
        <v>11007_3-1</v>
      </c>
      <c r="I123" s="5" t="e">
        <v>#N/A</v>
      </c>
      <c r="J123" s="5" t="e">
        <v>#N/A</v>
      </c>
      <c r="K123" s="70" t="s">
        <v>172</v>
      </c>
      <c r="L123" s="70">
        <v>27</v>
      </c>
      <c r="M123" s="20" t="str">
        <f ca="1">VLOOKUP($L123,OFFSET([3]enemies!$A$1,0,0,COUNTA([3]enemies!$A:$A),MATCH(M$1,[3]enemies!$1:$1,0)-MATCH($L$1,[3]enemies!$1:$1,0)+1),MATCH(M$1,[3]enemies!$1:$1,0)-MATCH($L$1,[3]enemies!$1:$1,0)+1,FALSE)</f>
        <v>パトライン</v>
      </c>
      <c r="N123" s="20" t="str">
        <f ca="1">VLOOKUP($L123,OFFSET([3]enemies!$A$1,0,0,COUNTA([3]enemies!$A:$A),MATCH(N$1,[3]enemies!$1:$1,0)-MATCH($L$1,[3]enemies!$1:$1,0)+1),MATCH(N$1,[3]enemies!$1:$1,0)-MATCH($L$1,[3]enemies!$1:$1,0)+1,FALSE)</f>
        <v>green</v>
      </c>
      <c r="O123" s="22" t="str">
        <f ca="1">VLOOKUP($L123,OFFSET([4]characters!$A$1,0,0,COUNTA([4]characters!$A:$A),MATCH(O$1,[4]characters!$1:$1,0)-MATCH($L$1,[4]characters!$1:$1,0)+1),MATCH(O$1,[4]characters!$1:$1,0)-MATCH($L$1,[4]characters!$1:$1,0)+1,FALSE)</f>
        <v>Drop1N</v>
      </c>
      <c r="P123" s="20" t="str">
        <f ca="1">VLOOKUP($L123,OFFSET([3]enemies!$A$1,0,0,COUNTA([3]enemies!$A:$A),MATCH(P$1,[3]enemies!$1:$1,0)-MATCH($L$1,[3]enemies!$1:$1,0)+1),MATCH(P$1,[3]enemies!$1:$1,0)-MATCH($L$1,[3]enemies!$1:$1,0)+1,FALSE)</f>
        <v>machine</v>
      </c>
      <c r="Q123" s="20">
        <f ca="1">VLOOKUP($L123,OFFSET([3]enemies!$A$1,0,0,COUNTA([3]enemies!$A:$A),MATCH(Q$1,[3]enemies!$1:$1,0)-MATCH($L$1,[3]enemies!$1:$1,0)+1),MATCH(Q$1,[3]enemies!$1:$1,0)-MATCH($L$1,[3]enemies!$1:$1,0)+1,FALSE)</f>
        <v>15</v>
      </c>
      <c r="R123" s="6">
        <v>35</v>
      </c>
      <c r="S123" s="30">
        <v>1</v>
      </c>
      <c r="T123" s="30">
        <v>1</v>
      </c>
      <c r="U123" s="6">
        <v>0</v>
      </c>
      <c r="V123" s="5" t="str">
        <f ca="1">VLOOKUP($W123,OFFSET([5]enemy_skill_sets!$B$1,0,0,COUNTA([5]enemy_skill_sets!$B:$B),MATCH(M$1,[5]enemy_skill_sets!$1:$1,0)-MATCH($W$1,[5]enemy_skill_sets!$1:$1,0)+2),MATCH(M$1,[5]enemy_skill_sets!$1:$1,0)-MATCH($W$1,[5]enemy_skill_sets!$1:$1,0)+2,FALSE)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3" s="5">
        <f ca="1">VLOOKUP($L123,OFFSET([3]enemies!$A$1,0,0,COUNTA([3]enemies!$A:$A),MATCH(W$1,[3]enemies!$1:$1,0)-MATCH($L$1,[3]enemies!$1:$1,0)+1),MATCH(W$1,[3]enemies!$1:$1,0)-MATCH($L$1,[3]enemies!$1:$1,0)+1,FALSE)</f>
        <v>0</v>
      </c>
      <c r="X123" s="7">
        <v>0</v>
      </c>
      <c r="Y123" s="7">
        <v>100</v>
      </c>
      <c r="Z123" s="7">
        <v>0</v>
      </c>
      <c r="AA123" s="20">
        <f ca="1">VLOOKUP($L123,OFFSET([3]enemies!$A$1,0,0,COUNTA([3]enemies!$A:$A),MATCH(AA$1,[3]enemies!$1:$1,0)-MATCH($L$1,[3]enemies!$1:$1,0)+1),MATCH(AA$1,[3]enemies!$1:$1,0)-MATCH($L$1,[3]enemies!$1:$1,0)+1,FALSE)</f>
        <v>1</v>
      </c>
      <c r="AB123" s="70">
        <v>27</v>
      </c>
      <c r="AC123" s="5" t="str">
        <f ca="1">IFERROR(VLOOKUP($AB123,OFFSET([4]characters!$A$1,0,0,COUNTA([4]characters!$A:$A),MATCH(AC$1,[4]characters!$1:$1,0)-MATCH("character_id",[4]characters!$1:$1,0)+1),MATCH(AC$1,[4]characters!$1:$1,0)-MATCH("character_id",[4]characters!$1:$1,0)+1,FALSE),"")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23" s="5">
        <f ca="1">IFERROR(VLOOKUP($AB123,OFFSET([4]characters!$A$1,0,0,COUNTA([4]characters!$A:$A),MATCH(AD$1,[4]characters!$1:$1,0)-MATCH("character_id",[4]characters!$1:$1,0)+1),MATCH(AD$1,[4]characters!$1:$1,0)-MATCH("character_id",[4]characters!$1:$1,0)+1,FALSE),"")</f>
        <v>1</v>
      </c>
      <c r="AE123" s="5" t="str">
        <f ca="1">IFERROR(VLOOKUP($AB123,OFFSET([4]characters!$A$1,0,0,COUNTA([4]characters!$A:$A),MATCH(AE$1,[4]characters!$1:$1,0)-MATCH("character_id",[4]characters!$1:$1,0)+1),MATCH(AE$1,[4]characters!$1:$1,0)-MATCH("character_id",[4]characters!$1:$1,0)+1,FALSE),"")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23" s="28">
        <v>1</v>
      </c>
      <c r="AG123" s="75">
        <f t="shared" ca="1" si="51"/>
        <v>1</v>
      </c>
      <c r="AH123" s="9">
        <v>0</v>
      </c>
      <c r="AI123" s="28">
        <v>0</v>
      </c>
      <c r="AJ123" s="28">
        <v>0</v>
      </c>
      <c r="AK123" s="28">
        <v>0</v>
      </c>
      <c r="AL123" s="28">
        <v>0</v>
      </c>
      <c r="AM123" s="28">
        <v>1</v>
      </c>
      <c r="AN123" s="28">
        <v>1</v>
      </c>
    </row>
    <row r="124" spans="1:40" ht="21" customHeight="1" x14ac:dyDescent="0.15">
      <c r="A124" s="17" t="str">
        <f t="shared" ca="1" si="50"/>
        <v>11007_3-1/336&lt;lv1&gt;s1</v>
      </c>
      <c r="B124" s="84">
        <v>11007</v>
      </c>
      <c r="C124" s="85">
        <v>3</v>
      </c>
      <c r="D124" s="16" t="str">
        <f t="shared" si="47"/>
        <v>11007_3</v>
      </c>
      <c r="E124" s="5" t="str">
        <f ca="1">VLOOKUP($B124,OFFSET([2]quests!$A$1,0,0,COUNTA([2]quests!$A:$A),MATCH(E$1,[2]quests!$1:$1,0)-MATCH($B$1,[2]quests!$1:$1,0)+1),MATCH(E$1,[2]quests!$1:$1,0)-MATCH($B$1,[2]quests!$1:$1,0)+1,FALSE)</f>
        <v>【土曜限定】 赤と緑の素材</v>
      </c>
      <c r="F124" s="5" t="str">
        <f ca="1">VLOOKUP($D124,OFFSET([2]stages!$A$1,0,0,COUNTA([2]stages!$A:$A),MATCH(F$1,[2]stages!$2:$2,0)-MATCH($D$1,[2]stages!$2:$2,0)+1),MATCH(F$1,[2]stages!$2:$2,0)-MATCH($D$1,[2]stages!$2:$2,0)+1,FALSE)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4" s="68">
        <v>1</v>
      </c>
      <c r="H124" s="16" t="str">
        <f t="shared" si="48"/>
        <v>11007_3-1</v>
      </c>
      <c r="I124" s="5" t="e">
        <v>#N/A</v>
      </c>
      <c r="J124" s="5" t="e">
        <v>#N/A</v>
      </c>
      <c r="K124" s="70" t="s">
        <v>172</v>
      </c>
      <c r="L124" s="70">
        <v>336</v>
      </c>
      <c r="M124" s="20" t="str">
        <f ca="1">VLOOKUP($L124,OFFSET([3]enemies!$A$1,0,0,COUNTA([3]enemies!$A:$A),MATCH(M$1,[3]enemies!$1:$1,0)-MATCH($L$1,[3]enemies!$1:$1,0)+1),MATCH(M$1,[3]enemies!$1:$1,0)-MATCH($L$1,[3]enemies!$1:$1,0)+1,FALSE)</f>
        <v>森のメタルピヨピヨ</v>
      </c>
      <c r="N124" s="20" t="str">
        <f ca="1">VLOOKUP($L124,OFFSET([3]enemies!$A$1,0,0,COUNTA([3]enemies!$A:$A),MATCH(N$1,[3]enemies!$1:$1,0)-MATCH($L$1,[3]enemies!$1:$1,0)+1),MATCH(N$1,[3]enemies!$1:$1,0)-MATCH($L$1,[3]enemies!$1:$1,0)+1,FALSE)</f>
        <v>green</v>
      </c>
      <c r="O124" s="22" t="str">
        <f ca="1">VLOOKUP($L124,OFFSET([4]characters!$A$1,0,0,COUNTA([4]characters!$A:$A),MATCH(O$1,[4]characters!$1:$1,0)-MATCH($L$1,[4]characters!$1:$1,0)+1),MATCH(O$1,[4]characters!$1:$1,0)-MATCH($L$1,[4]characters!$1:$1,0)+1,FALSE)</f>
        <v>Material</v>
      </c>
      <c r="P124" s="20" t="str">
        <f ca="1">VLOOKUP($L124,OFFSET([3]enemies!$A$1,0,0,COUNTA([3]enemies!$A:$A),MATCH(P$1,[3]enemies!$1:$1,0)-MATCH($L$1,[3]enemies!$1:$1,0)+1),MATCH(P$1,[3]enemies!$1:$1,0)-MATCH($L$1,[3]enemies!$1:$1,0)+1,FALSE)</f>
        <v>unknown</v>
      </c>
      <c r="Q124" s="20">
        <f ca="1">VLOOKUP($L124,OFFSET([3]enemies!$A$1,0,0,COUNTA([3]enemies!$A:$A),MATCH(Q$1,[3]enemies!$1:$1,0)-MATCH($L$1,[3]enemies!$1:$1,0)+1),MATCH(Q$1,[3]enemies!$1:$1,0)-MATCH($L$1,[3]enemies!$1:$1,0)+1,FALSE)</f>
        <v>15</v>
      </c>
      <c r="R124" s="6">
        <v>1</v>
      </c>
      <c r="S124" s="30">
        <v>1</v>
      </c>
      <c r="T124" s="30">
        <v>1</v>
      </c>
      <c r="U124" s="6">
        <v>0</v>
      </c>
      <c r="V124" s="5" t="str">
        <f ca="1">VLOOKUP($W124,OFFSET([5]enemy_skill_sets!$B$1,0,0,COUNTA([5]enemy_skill_sets!$B:$B),MATCH(M$1,[5]enemy_skill_sets!$1:$1,0)-MATCH($W$1,[5]enemy_skill_sets!$1:$1,0)+2),MATCH(M$1,[5]enemy_skill_sets!$1:$1,0)-MATCH($W$1,[5]enemy_skill_sets!$1:$1,0)+2,FALSE)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4" s="5">
        <f ca="1">VLOOKUP($L124,OFFSET([3]enemies!$A$1,0,0,COUNTA([3]enemies!$A:$A),MATCH(W$1,[3]enemies!$1:$1,0)-MATCH($L$1,[3]enemies!$1:$1,0)+1),MATCH(W$1,[3]enemies!$1:$1,0)-MATCH($L$1,[3]enemies!$1:$1,0)+1,FALSE)</f>
        <v>0</v>
      </c>
      <c r="X124" s="7">
        <v>0</v>
      </c>
      <c r="Y124" s="7">
        <v>30</v>
      </c>
      <c r="Z124" s="7">
        <v>0</v>
      </c>
      <c r="AA124" s="20">
        <f ca="1">VLOOKUP($L124,OFFSET([3]enemies!$A$1,0,0,COUNTA([3]enemies!$A:$A),MATCH(AA$1,[3]enemies!$1:$1,0)-MATCH($L$1,[3]enemies!$1:$1,0)+1),MATCH(AA$1,[3]enemies!$1:$1,0)-MATCH($L$1,[3]enemies!$1:$1,0)+1,FALSE)</f>
        <v>1</v>
      </c>
      <c r="AB124" s="70">
        <v>336</v>
      </c>
      <c r="AC124" s="5" t="str">
        <f ca="1">IFERROR(VLOOKUP($AB124,OFFSET([4]characters!$A$1,0,0,COUNTA([4]characters!$A:$A),MATCH(AC$1,[4]characters!$1:$1,0)-MATCH("character_id",[4]characters!$1:$1,0)+1),MATCH(AC$1,[4]characters!$1:$1,0)-MATCH("character_id",[4]characters!$1:$1,0)+1,FALSE),"")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24" s="5">
        <f ca="1">IFERROR(VLOOKUP($AB124,OFFSET([4]characters!$A$1,0,0,COUNTA([4]characters!$A:$A),MATCH(AD$1,[4]characters!$1:$1,0)-MATCH("character_id",[4]characters!$1:$1,0)+1),MATCH(AD$1,[4]characters!$1:$1,0)-MATCH("character_id",[4]characters!$1:$1,0)+1,FALSE),"")</f>
        <v>3</v>
      </c>
      <c r="AE124" s="5" t="str">
        <f ca="1">IFERROR(VLOOKUP($AB124,OFFSET([4]characters!$A$1,0,0,COUNTA([4]characters!$A:$A),MATCH(AE$1,[4]characters!$1:$1,0)-MATCH("character_id",[4]characters!$1:$1,0)+1),MATCH(AE$1,[4]characters!$1:$1,0)-MATCH("character_id",[4]characters!$1:$1,0)+1,FALSE),"")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4" s="28">
        <v>1</v>
      </c>
      <c r="AG124" s="75">
        <f t="shared" ca="1" si="51"/>
        <v>3</v>
      </c>
      <c r="AH124" s="9">
        <v>10</v>
      </c>
      <c r="AI124" s="28">
        <v>0</v>
      </c>
      <c r="AJ124" s="28">
        <v>0</v>
      </c>
      <c r="AK124" s="28">
        <v>0</v>
      </c>
      <c r="AL124" s="28">
        <v>0</v>
      </c>
      <c r="AM124" s="28">
        <v>1</v>
      </c>
      <c r="AN124" s="28">
        <v>1</v>
      </c>
    </row>
    <row r="125" spans="1:40" ht="21" customHeight="1" x14ac:dyDescent="0.15">
      <c r="A125" s="17" t="str">
        <f t="shared" ca="1" si="50"/>
        <v>11007_3-1/337&lt;lv1&gt;s2</v>
      </c>
      <c r="B125" s="84">
        <v>11007</v>
      </c>
      <c r="C125" s="85">
        <v>3</v>
      </c>
      <c r="D125" s="16" t="str">
        <f t="shared" si="47"/>
        <v>11007_3</v>
      </c>
      <c r="E125" s="5" t="str">
        <f ca="1">VLOOKUP($B125,OFFSET([2]quests!$A$1,0,0,COUNTA([2]quests!$A:$A),MATCH(E$1,[2]quests!$1:$1,0)-MATCH($B$1,[2]quests!$1:$1,0)+1),MATCH(E$1,[2]quests!$1:$1,0)-MATCH($B$1,[2]quests!$1:$1,0)+1,FALSE)</f>
        <v>【土曜限定】 赤と緑の素材</v>
      </c>
      <c r="F125" s="5" t="str">
        <f ca="1">VLOOKUP($D125,OFFSET([2]stages!$A$1,0,0,COUNTA([2]stages!$A:$A),MATCH(F$1,[2]stages!$2:$2,0)-MATCH($D$1,[2]stages!$2:$2,0)+1),MATCH(F$1,[2]stages!$2:$2,0)-MATCH($D$1,[2]stages!$2:$2,0)+1,FALSE)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5" s="68">
        <v>1</v>
      </c>
      <c r="H125" s="16" t="str">
        <f t="shared" si="48"/>
        <v>11007_3-1</v>
      </c>
      <c r="I125" s="5" t="e">
        <v>#N/A</v>
      </c>
      <c r="J125" s="5" t="e">
        <v>#N/A</v>
      </c>
      <c r="K125" s="70" t="s">
        <v>172</v>
      </c>
      <c r="L125" s="70">
        <v>337</v>
      </c>
      <c r="M125" s="20" t="str">
        <f ca="1">VLOOKUP($L125,OFFSET([3]enemies!$A$1,0,0,COUNTA([3]enemies!$A:$A),MATCH(M$1,[3]enemies!$1:$1,0)-MATCH($L$1,[3]enemies!$1:$1,0)+1),MATCH(M$1,[3]enemies!$1:$1,0)-MATCH($L$1,[3]enemies!$1:$1,0)+1,FALSE)</f>
        <v>森のメタルチック</v>
      </c>
      <c r="N125" s="20" t="str">
        <f ca="1">VLOOKUP($L125,OFFSET([3]enemies!$A$1,0,0,COUNTA([3]enemies!$A:$A),MATCH(N$1,[3]enemies!$1:$1,0)-MATCH($L$1,[3]enemies!$1:$1,0)+1),MATCH(N$1,[3]enemies!$1:$1,0)-MATCH($L$1,[3]enemies!$1:$1,0)+1,FALSE)</f>
        <v>green</v>
      </c>
      <c r="O125" s="22" t="str">
        <f ca="1">VLOOKUP($L125,OFFSET([4]characters!$A$1,0,0,COUNTA([4]characters!$A:$A),MATCH(O$1,[4]characters!$1:$1,0)-MATCH($L$1,[4]characters!$1:$1,0)+1),MATCH(O$1,[4]characters!$1:$1,0)-MATCH($L$1,[4]characters!$1:$1,0)+1,FALSE)</f>
        <v>Material</v>
      </c>
      <c r="P125" s="20" t="str">
        <f ca="1">VLOOKUP($L125,OFFSET([3]enemies!$A$1,0,0,COUNTA([3]enemies!$A:$A),MATCH(P$1,[3]enemies!$1:$1,0)-MATCH($L$1,[3]enemies!$1:$1,0)+1),MATCH(P$1,[3]enemies!$1:$1,0)-MATCH($L$1,[3]enemies!$1:$1,0)+1,FALSE)</f>
        <v>unknown</v>
      </c>
      <c r="Q125" s="20">
        <f ca="1">VLOOKUP($L125,OFFSET([3]enemies!$A$1,0,0,COUNTA([3]enemies!$A:$A),MATCH(Q$1,[3]enemies!$1:$1,0)-MATCH($L$1,[3]enemies!$1:$1,0)+1),MATCH(Q$1,[3]enemies!$1:$1,0)-MATCH($L$1,[3]enemies!$1:$1,0)+1,FALSE)</f>
        <v>15</v>
      </c>
      <c r="R125" s="6">
        <v>1</v>
      </c>
      <c r="S125" s="30">
        <v>1</v>
      </c>
      <c r="T125" s="30">
        <v>1</v>
      </c>
      <c r="U125" s="6">
        <v>0</v>
      </c>
      <c r="V125" s="5" t="str">
        <f ca="1">VLOOKUP($W125,OFFSET([5]enemy_skill_sets!$B$1,0,0,COUNTA([5]enemy_skill_sets!$B:$B),MATCH(M$1,[5]enemy_skill_sets!$1:$1,0)-MATCH($W$1,[5]enemy_skill_sets!$1:$1,0)+2),MATCH(M$1,[5]enemy_skill_sets!$1:$1,0)-MATCH($W$1,[5]enemy_skill_sets!$1:$1,0)+2,FALSE)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5" s="5">
        <f ca="1">VLOOKUP($L125,OFFSET([3]enemies!$A$1,0,0,COUNTA([3]enemies!$A:$A),MATCH(W$1,[3]enemies!$1:$1,0)-MATCH($L$1,[3]enemies!$1:$1,0)+1),MATCH(W$1,[3]enemies!$1:$1,0)-MATCH($L$1,[3]enemies!$1:$1,0)+1,FALSE)</f>
        <v>0</v>
      </c>
      <c r="X125" s="7">
        <v>0</v>
      </c>
      <c r="Y125" s="7">
        <v>30</v>
      </c>
      <c r="Z125" s="7">
        <v>0</v>
      </c>
      <c r="AA125" s="20">
        <f ca="1">VLOOKUP($L125,OFFSET([3]enemies!$A$1,0,0,COUNTA([3]enemies!$A:$A),MATCH(AA$1,[3]enemies!$1:$1,0)-MATCH($L$1,[3]enemies!$1:$1,0)+1),MATCH(AA$1,[3]enemies!$1:$1,0)-MATCH($L$1,[3]enemies!$1:$1,0)+1,FALSE)</f>
        <v>2</v>
      </c>
      <c r="AB125" s="70">
        <v>337</v>
      </c>
      <c r="AC125" s="5" t="str">
        <f ca="1">IFERROR(VLOOKUP($AB125,OFFSET([4]characters!$A$1,0,0,COUNTA([4]characters!$A:$A),MATCH(AC$1,[4]characters!$1:$1,0)-MATCH("character_id",[4]characters!$1:$1,0)+1),MATCH(AC$1,[4]characters!$1:$1,0)-MATCH("character_id",[4]characters!$1:$1,0)+1,FALSE),"")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25" s="5">
        <f ca="1">IFERROR(VLOOKUP($AB125,OFFSET([4]characters!$A$1,0,0,COUNTA([4]characters!$A:$A),MATCH(AD$1,[4]characters!$1:$1,0)-MATCH("character_id",[4]characters!$1:$1,0)+1),MATCH(AD$1,[4]characters!$1:$1,0)-MATCH("character_id",[4]characters!$1:$1,0)+1,FALSE),"")</f>
        <v>4</v>
      </c>
      <c r="AE125" s="5" t="str">
        <f ca="1">IFERROR(VLOOKUP($AB125,OFFSET([4]characters!$A$1,0,0,COUNTA([4]characters!$A:$A),MATCH(AE$1,[4]characters!$1:$1,0)-MATCH("character_id",[4]characters!$1:$1,0)+1),MATCH(AE$1,[4]characters!$1:$1,0)-MATCH("character_id",[4]characters!$1:$1,0)+1,FALSE),"")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5" s="28">
        <v>1</v>
      </c>
      <c r="AG125" s="75">
        <f t="shared" ca="1" si="51"/>
        <v>4</v>
      </c>
      <c r="AH125" s="9">
        <v>5</v>
      </c>
      <c r="AI125" s="28">
        <v>0</v>
      </c>
      <c r="AJ125" s="28">
        <v>0</v>
      </c>
      <c r="AK125" s="28">
        <v>0</v>
      </c>
      <c r="AL125" s="28">
        <v>0</v>
      </c>
      <c r="AM125" s="28">
        <v>1</v>
      </c>
      <c r="AN125" s="28">
        <v>1</v>
      </c>
    </row>
    <row r="126" spans="1:40" ht="21" customHeight="1" x14ac:dyDescent="0.15">
      <c r="A126" s="17" t="str">
        <f t="shared" ca="1" si="50"/>
        <v>11007_3-2/107&lt;lv30&gt;s1</v>
      </c>
      <c r="B126" s="84">
        <v>11007</v>
      </c>
      <c r="C126" s="85">
        <v>3</v>
      </c>
      <c r="D126" s="16" t="str">
        <f t="shared" si="47"/>
        <v>11007_3</v>
      </c>
      <c r="E126" s="5" t="str">
        <f ca="1">VLOOKUP($B126,OFFSET([2]quests!$A$1,0,0,COUNTA([2]quests!$A:$A),MATCH(E$1,[2]quests!$1:$1,0)-MATCH($B$1,[2]quests!$1:$1,0)+1),MATCH(E$1,[2]quests!$1:$1,0)-MATCH($B$1,[2]quests!$1:$1,0)+1,FALSE)</f>
        <v>【土曜限定】 赤と緑の素材</v>
      </c>
      <c r="F126" s="5" t="str">
        <f ca="1">VLOOKUP($D126,OFFSET([2]stages!$A$1,0,0,COUNTA([2]stages!$A:$A),MATCH(F$1,[2]stages!$2:$2,0)-MATCH($D$1,[2]stages!$2:$2,0)+1),MATCH(F$1,[2]stages!$2:$2,0)-MATCH($D$1,[2]stages!$2:$2,0)+1,FALSE)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6" s="68">
        <v>2</v>
      </c>
      <c r="H126" s="16" t="str">
        <f t="shared" si="48"/>
        <v>11007_3-2</v>
      </c>
      <c r="I126" s="5" t="e">
        <v>#N/A</v>
      </c>
      <c r="J126" s="5" t="e">
        <v>#N/A</v>
      </c>
      <c r="K126" s="70" t="s">
        <v>172</v>
      </c>
      <c r="L126" s="70">
        <v>107</v>
      </c>
      <c r="M126" s="20" t="str">
        <f ca="1">VLOOKUP($L126,OFFSET([3]enemies!$A$1,0,0,COUNTA([3]enemies!$A:$A),MATCH(M$1,[3]enemies!$1:$1,0)-MATCH($L$1,[3]enemies!$1:$1,0)+1),MATCH(M$1,[3]enemies!$1:$1,0)-MATCH($L$1,[3]enemies!$1:$1,0)+1,FALSE)</f>
        <v>グリーンキャタップ</v>
      </c>
      <c r="N126" s="20" t="str">
        <f ca="1">VLOOKUP($L126,OFFSET([3]enemies!$A$1,0,0,COUNTA([3]enemies!$A:$A),MATCH(N$1,[3]enemies!$1:$1,0)-MATCH($L$1,[3]enemies!$1:$1,0)+1),MATCH(N$1,[3]enemies!$1:$1,0)-MATCH($L$1,[3]enemies!$1:$1,0)+1,FALSE)</f>
        <v>green</v>
      </c>
      <c r="O126" s="22" t="str">
        <f ca="1">VLOOKUP($L126,OFFSET([4]characters!$A$1,0,0,COUNTA([4]characters!$A:$A),MATCH(O$1,[4]characters!$1:$1,0)-MATCH($L$1,[4]characters!$1:$1,0)+1),MATCH(O$1,[4]characters!$1:$1,0)-MATCH($L$1,[4]characters!$1:$1,0)+1,FALSE)</f>
        <v>Material</v>
      </c>
      <c r="P126" s="20" t="str">
        <f ca="1">VLOOKUP($L126,OFFSET([3]enemies!$A$1,0,0,COUNTA([3]enemies!$A:$A),MATCH(P$1,[3]enemies!$1:$1,0)-MATCH($L$1,[3]enemies!$1:$1,0)+1),MATCH(P$1,[3]enemies!$1:$1,0)-MATCH($L$1,[3]enemies!$1:$1,0)+1,FALSE)</f>
        <v>unknown</v>
      </c>
      <c r="Q126" s="20">
        <f ca="1">VLOOKUP($L126,OFFSET([3]enemies!$A$1,0,0,COUNTA([3]enemies!$A:$A),MATCH(Q$1,[3]enemies!$1:$1,0)-MATCH($L$1,[3]enemies!$1:$1,0)+1),MATCH(Q$1,[3]enemies!$1:$1,0)-MATCH($L$1,[3]enemies!$1:$1,0)+1,FALSE)</f>
        <v>15</v>
      </c>
      <c r="R126" s="6">
        <v>30</v>
      </c>
      <c r="S126" s="30">
        <v>2</v>
      </c>
      <c r="T126" s="30">
        <v>1</v>
      </c>
      <c r="U126" s="6">
        <v>0</v>
      </c>
      <c r="V126" s="5" t="str">
        <f ca="1">VLOOKUP($W126,OFFSET([5]enemy_skill_sets!$B$1,0,0,COUNTA([5]enemy_skill_sets!$B:$B),MATCH(M$1,[5]enemy_skill_sets!$1:$1,0)-MATCH($W$1,[5]enemy_skill_sets!$1:$1,0)+2),MATCH(M$1,[5]enemy_skill_sets!$1:$1,0)-MATCH($W$1,[5]enemy_skill_sets!$1:$1,0)+2,FALSE)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6" s="5">
        <f ca="1">VLOOKUP($L126,OFFSET([3]enemies!$A$1,0,0,COUNTA([3]enemies!$A:$A),MATCH(W$1,[3]enemies!$1:$1,0)-MATCH($L$1,[3]enemies!$1:$1,0)+1),MATCH(W$1,[3]enemies!$1:$1,0)-MATCH($L$1,[3]enemies!$1:$1,0)+1,FALSE)</f>
        <v>0</v>
      </c>
      <c r="X126" s="7">
        <v>0</v>
      </c>
      <c r="Y126" s="7">
        <v>50</v>
      </c>
      <c r="Z126" s="7">
        <v>1</v>
      </c>
      <c r="AA126" s="20">
        <f ca="1">VLOOKUP($L126,OFFSET([3]enemies!$A$1,0,0,COUNTA([3]enemies!$A:$A),MATCH(AA$1,[3]enemies!$1:$1,0)-MATCH($L$1,[3]enemies!$1:$1,0)+1),MATCH(AA$1,[3]enemies!$1:$1,0)-MATCH($L$1,[3]enemies!$1:$1,0)+1,FALSE)</f>
        <v>1</v>
      </c>
      <c r="AB126" s="70">
        <v>107</v>
      </c>
      <c r="AC126" s="5" t="str">
        <f ca="1">IFERROR(VLOOKUP($AB126,OFFSET([4]characters!$A$1,0,0,COUNTA([4]characters!$A:$A),MATCH(AC$1,[4]characters!$1:$1,0)-MATCH("character_id",[4]characters!$1:$1,0)+1),MATCH(AC$1,[4]characters!$1:$1,0)-MATCH("character_id",[4]characters!$1:$1,0)+1,FALSE),"")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26" s="5">
        <f ca="1">IFERROR(VLOOKUP($AB126,OFFSET([4]characters!$A$1,0,0,COUNTA([4]characters!$A:$A),MATCH(AD$1,[4]characters!$1:$1,0)-MATCH("character_id",[4]characters!$1:$1,0)+1),MATCH(AD$1,[4]characters!$1:$1,0)-MATCH("character_id",[4]characters!$1:$1,0)+1,FALSE),"")</f>
        <v>4</v>
      </c>
      <c r="AE126" s="5" t="str">
        <f ca="1">IFERROR(VLOOKUP($AB126,OFFSET([4]characters!$A$1,0,0,COUNTA([4]characters!$A:$A),MATCH(AE$1,[4]characters!$1:$1,0)-MATCH("character_id",[4]characters!$1:$1,0)+1),MATCH(AE$1,[4]characters!$1:$1,0)-MATCH("character_id",[4]characters!$1:$1,0)+1,FALSE),"")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6" s="28">
        <v>1</v>
      </c>
      <c r="AG126" s="75">
        <f t="shared" ca="1" si="51"/>
        <v>4</v>
      </c>
      <c r="AH126" s="130">
        <v>50</v>
      </c>
      <c r="AI126" s="28">
        <v>0</v>
      </c>
      <c r="AJ126" s="28">
        <v>0</v>
      </c>
      <c r="AK126" s="28">
        <v>0</v>
      </c>
      <c r="AL126" s="28">
        <v>0</v>
      </c>
      <c r="AM126" s="28">
        <v>1</v>
      </c>
      <c r="AN126" s="28">
        <v>1</v>
      </c>
    </row>
    <row r="127" spans="1:40" ht="21" customHeight="1" x14ac:dyDescent="0.15">
      <c r="A127" s="17" t="str">
        <f t="shared" ca="1" si="50"/>
        <v>11007_3-2/35&lt;lv35&gt;s4</v>
      </c>
      <c r="B127" s="84">
        <v>11007</v>
      </c>
      <c r="C127" s="85">
        <v>3</v>
      </c>
      <c r="D127" s="16" t="str">
        <f t="shared" si="47"/>
        <v>11007_3</v>
      </c>
      <c r="E127" s="5" t="str">
        <f ca="1">VLOOKUP($B127,OFFSET([2]quests!$A$1,0,0,COUNTA([2]quests!$A:$A),MATCH(E$1,[2]quests!$1:$1,0)-MATCH($B$1,[2]quests!$1:$1,0)+1),MATCH(E$1,[2]quests!$1:$1,0)-MATCH($B$1,[2]quests!$1:$1,0)+1,FALSE)</f>
        <v>【土曜限定】 赤と緑の素材</v>
      </c>
      <c r="F127" s="5" t="str">
        <f ca="1">VLOOKUP($D127,OFFSET([2]stages!$A$1,0,0,COUNTA([2]stages!$A:$A),MATCH(F$1,[2]stages!$2:$2,0)-MATCH($D$1,[2]stages!$2:$2,0)+1),MATCH(F$1,[2]stages!$2:$2,0)-MATCH($D$1,[2]stages!$2:$2,0)+1,FALSE)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7" s="68">
        <v>2</v>
      </c>
      <c r="H127" s="16" t="str">
        <f t="shared" si="48"/>
        <v>11007_3-2</v>
      </c>
      <c r="I127" s="5" t="e">
        <v>#N/A</v>
      </c>
      <c r="J127" s="5" t="e">
        <v>#N/A</v>
      </c>
      <c r="K127" s="70" t="s">
        <v>172</v>
      </c>
      <c r="L127" s="70">
        <v>35</v>
      </c>
      <c r="M127" s="20" t="str">
        <f ca="1">VLOOKUP($L127,OFFSET([3]enemies!$A$1,0,0,COUNTA([3]enemies!$A:$A),MATCH(M$1,[3]enemies!$1:$1,0)-MATCH($L$1,[3]enemies!$1:$1,0)+1),MATCH(M$1,[3]enemies!$1:$1,0)-MATCH($L$1,[3]enemies!$1:$1,0)+1,FALSE)</f>
        <v>F2</v>
      </c>
      <c r="N127" s="20" t="str">
        <f ca="1">VLOOKUP($L127,OFFSET([3]enemies!$A$1,0,0,COUNTA([3]enemies!$A:$A),MATCH(N$1,[3]enemies!$1:$1,0)-MATCH($L$1,[3]enemies!$1:$1,0)+1),MATCH(N$1,[3]enemies!$1:$1,0)-MATCH($L$1,[3]enemies!$1:$1,0)+1,FALSE)</f>
        <v>green</v>
      </c>
      <c r="O127" s="22" t="str">
        <f ca="1">VLOOKUP($L127,OFFSET([4]characters!$A$1,0,0,COUNTA([4]characters!$A:$A),MATCH(O$1,[4]characters!$1:$1,0)-MATCH($L$1,[4]characters!$1:$1,0)+1),MATCH(O$1,[4]characters!$1:$1,0)-MATCH($L$1,[4]characters!$1:$1,0)+1,FALSE)</f>
        <v>Drop1S</v>
      </c>
      <c r="P127" s="20" t="str">
        <f ca="1">VLOOKUP($L127,OFFSET([3]enemies!$A$1,0,0,COUNTA([3]enemies!$A:$A),MATCH(P$1,[3]enemies!$1:$1,0)-MATCH($L$1,[3]enemies!$1:$1,0)+1),MATCH(P$1,[3]enemies!$1:$1,0)-MATCH($L$1,[3]enemies!$1:$1,0)+1,FALSE)</f>
        <v>machine</v>
      </c>
      <c r="Q127" s="20">
        <f ca="1">VLOOKUP($L127,OFFSET([3]enemies!$A$1,0,0,COUNTA([3]enemies!$A:$A),MATCH(Q$1,[3]enemies!$1:$1,0)-MATCH($L$1,[3]enemies!$1:$1,0)+1),MATCH(Q$1,[3]enemies!$1:$1,0)-MATCH($L$1,[3]enemies!$1:$1,0)+1,FALSE)</f>
        <v>15</v>
      </c>
      <c r="R127" s="6">
        <v>35</v>
      </c>
      <c r="S127" s="30">
        <v>1</v>
      </c>
      <c r="T127" s="30">
        <v>1</v>
      </c>
      <c r="U127" s="6">
        <v>0</v>
      </c>
      <c r="V127" s="5" t="str">
        <f ca="1">VLOOKUP($W127,OFFSET([5]enemy_skill_sets!$B$1,0,0,COUNTA([5]enemy_skill_sets!$B:$B),MATCH(M$1,[5]enemy_skill_sets!$1:$1,0)-MATCH($W$1,[5]enemy_skill_sets!$1:$1,0)+2),MATCH(M$1,[5]enemy_skill_sets!$1:$1,0)-MATCH($W$1,[5]enemy_skill_sets!$1:$1,0)+2,FALSE)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27" s="5">
        <f ca="1">VLOOKUP($L127,OFFSET([3]enemies!$A$1,0,0,COUNTA([3]enemies!$A:$A),MATCH(W$1,[3]enemies!$1:$1,0)-MATCH($L$1,[3]enemies!$1:$1,0)+1),MATCH(W$1,[3]enemies!$1:$1,0)-MATCH($L$1,[3]enemies!$1:$1,0)+1,FALSE)</f>
        <v>35</v>
      </c>
      <c r="X127" s="7">
        <v>0</v>
      </c>
      <c r="Y127" s="7">
        <v>100</v>
      </c>
      <c r="Z127" s="7">
        <v>0</v>
      </c>
      <c r="AA127" s="20">
        <f ca="1">VLOOKUP($L127,OFFSET([3]enemies!$A$1,0,0,COUNTA([3]enemies!$A:$A),MATCH(AA$1,[3]enemies!$1:$1,0)-MATCH($L$1,[3]enemies!$1:$1,0)+1),MATCH(AA$1,[3]enemies!$1:$1,0)-MATCH($L$1,[3]enemies!$1:$1,0)+1,FALSE)</f>
        <v>4</v>
      </c>
      <c r="AB127" s="70">
        <v>35</v>
      </c>
      <c r="AC127" s="5" t="str">
        <f ca="1">IFERROR(VLOOKUP($AB127,OFFSET([4]characters!$A$1,0,0,COUNTA([4]characters!$A:$A),MATCH(AC$1,[4]characters!$1:$1,0)-MATCH("character_id",[4]characters!$1:$1,0)+1),MATCH(AC$1,[4]characters!$1:$1,0)-MATCH("character_id",[4]characters!$1:$1,0)+1,FALSE),"")</f>
        <v>F2</v>
      </c>
      <c r="AD127" s="5">
        <f ca="1">IFERROR(VLOOKUP($AB127,OFFSET([4]characters!$A$1,0,0,COUNTA([4]characters!$A:$A),MATCH(AD$1,[4]characters!$1:$1,0)-MATCH("character_id",[4]characters!$1:$1,0)+1),MATCH(AD$1,[4]characters!$1:$1,0)-MATCH("character_id",[4]characters!$1:$1,0)+1,FALSE),"")</f>
        <v>2</v>
      </c>
      <c r="AE127" s="5" t="str">
        <f ca="1">IFERROR(VLOOKUP($AB127,OFFSET([4]characters!$A$1,0,0,COUNTA([4]characters!$A:$A),MATCH(AE$1,[4]characters!$1:$1,0)-MATCH("character_id",[4]characters!$1:$1,0)+1),MATCH(AE$1,[4]characters!$1:$1,0)-MATCH("character_id",[4]characters!$1:$1,0)+1,FALSE),"")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27" s="28">
        <v>1</v>
      </c>
      <c r="AG127" s="75">
        <f t="shared" ca="1" si="51"/>
        <v>2</v>
      </c>
      <c r="AH127" s="9">
        <v>0</v>
      </c>
      <c r="AI127" s="28">
        <v>0</v>
      </c>
      <c r="AJ127" s="28">
        <v>0</v>
      </c>
      <c r="AK127" s="28">
        <v>0</v>
      </c>
      <c r="AL127" s="28">
        <v>0</v>
      </c>
      <c r="AM127" s="28">
        <v>1</v>
      </c>
      <c r="AN127" s="28">
        <v>1</v>
      </c>
    </row>
    <row r="128" spans="1:40" ht="21" customHeight="1" x14ac:dyDescent="0.15">
      <c r="A128" s="17" t="str">
        <f t="shared" ca="1" si="50"/>
        <v>11007_3-2/27&lt;lv35&gt;s1</v>
      </c>
      <c r="B128" s="84">
        <v>11007</v>
      </c>
      <c r="C128" s="85">
        <v>3</v>
      </c>
      <c r="D128" s="16" t="str">
        <f t="shared" si="47"/>
        <v>11007_3</v>
      </c>
      <c r="E128" s="5" t="str">
        <f ca="1">VLOOKUP($B128,OFFSET([2]quests!$A$1,0,0,COUNTA([2]quests!$A:$A),MATCH(E$1,[2]quests!$1:$1,0)-MATCH($B$1,[2]quests!$1:$1,0)+1),MATCH(E$1,[2]quests!$1:$1,0)-MATCH($B$1,[2]quests!$1:$1,0)+1,FALSE)</f>
        <v>【土曜限定】 赤と緑の素材</v>
      </c>
      <c r="F128" s="5" t="str">
        <f ca="1">VLOOKUP($D128,OFFSET([2]stages!$A$1,0,0,COUNTA([2]stages!$A:$A),MATCH(F$1,[2]stages!$2:$2,0)-MATCH($D$1,[2]stages!$2:$2,0)+1),MATCH(F$1,[2]stages!$2:$2,0)-MATCH($D$1,[2]stages!$2:$2,0)+1,FALSE)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8" s="68">
        <v>2</v>
      </c>
      <c r="H128" s="16" t="str">
        <f t="shared" si="48"/>
        <v>11007_3-2</v>
      </c>
      <c r="I128" s="5" t="e">
        <v>#N/A</v>
      </c>
      <c r="J128" s="5" t="e">
        <v>#N/A</v>
      </c>
      <c r="K128" s="70" t="s">
        <v>172</v>
      </c>
      <c r="L128" s="70">
        <v>27</v>
      </c>
      <c r="M128" s="20" t="str">
        <f ca="1">VLOOKUP($L128,OFFSET([3]enemies!$A$1,0,0,COUNTA([3]enemies!$A:$A),MATCH(M$1,[3]enemies!$1:$1,0)-MATCH($L$1,[3]enemies!$1:$1,0)+1),MATCH(M$1,[3]enemies!$1:$1,0)-MATCH($L$1,[3]enemies!$1:$1,0)+1,FALSE)</f>
        <v>パトライン</v>
      </c>
      <c r="N128" s="20" t="str">
        <f ca="1">VLOOKUP($L128,OFFSET([3]enemies!$A$1,0,0,COUNTA([3]enemies!$A:$A),MATCH(N$1,[3]enemies!$1:$1,0)-MATCH($L$1,[3]enemies!$1:$1,0)+1),MATCH(N$1,[3]enemies!$1:$1,0)-MATCH($L$1,[3]enemies!$1:$1,0)+1,FALSE)</f>
        <v>green</v>
      </c>
      <c r="O128" s="22" t="str">
        <f ca="1">VLOOKUP($L128,OFFSET([4]characters!$A$1,0,0,COUNTA([4]characters!$A:$A),MATCH(O$1,[4]characters!$1:$1,0)-MATCH($L$1,[4]characters!$1:$1,0)+1),MATCH(O$1,[4]characters!$1:$1,0)-MATCH($L$1,[4]characters!$1:$1,0)+1,FALSE)</f>
        <v>Drop1N</v>
      </c>
      <c r="P128" s="20" t="str">
        <f ca="1">VLOOKUP($L128,OFFSET([3]enemies!$A$1,0,0,COUNTA([3]enemies!$A:$A),MATCH(P$1,[3]enemies!$1:$1,0)-MATCH($L$1,[3]enemies!$1:$1,0)+1),MATCH(P$1,[3]enemies!$1:$1,0)-MATCH($L$1,[3]enemies!$1:$1,0)+1,FALSE)</f>
        <v>machine</v>
      </c>
      <c r="Q128" s="20">
        <f ca="1">VLOOKUP($L128,OFFSET([3]enemies!$A$1,0,0,COUNTA([3]enemies!$A:$A),MATCH(Q$1,[3]enemies!$1:$1,0)-MATCH($L$1,[3]enemies!$1:$1,0)+1),MATCH(Q$1,[3]enemies!$1:$1,0)-MATCH($L$1,[3]enemies!$1:$1,0)+1,FALSE)</f>
        <v>15</v>
      </c>
      <c r="R128" s="6">
        <v>35</v>
      </c>
      <c r="S128" s="30">
        <v>1</v>
      </c>
      <c r="T128" s="30">
        <v>1</v>
      </c>
      <c r="U128" s="6">
        <v>0</v>
      </c>
      <c r="V128" s="5" t="str">
        <f ca="1">VLOOKUP($W128,OFFSET([5]enemy_skill_sets!$B$1,0,0,COUNTA([5]enemy_skill_sets!$B:$B),MATCH(M$1,[5]enemy_skill_sets!$1:$1,0)-MATCH($W$1,[5]enemy_skill_sets!$1:$1,0)+2),MATCH(M$1,[5]enemy_skill_sets!$1:$1,0)-MATCH($W$1,[5]enemy_skill_sets!$1:$1,0)+2,FALSE)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8" s="5">
        <f ca="1">VLOOKUP($L128,OFFSET([3]enemies!$A$1,0,0,COUNTA([3]enemies!$A:$A),MATCH(W$1,[3]enemies!$1:$1,0)-MATCH($L$1,[3]enemies!$1:$1,0)+1),MATCH(W$1,[3]enemies!$1:$1,0)-MATCH($L$1,[3]enemies!$1:$1,0)+1,FALSE)</f>
        <v>0</v>
      </c>
      <c r="X128" s="7">
        <v>0</v>
      </c>
      <c r="Y128" s="7">
        <v>100</v>
      </c>
      <c r="Z128" s="7">
        <v>0</v>
      </c>
      <c r="AA128" s="20">
        <f ca="1">VLOOKUP($L128,OFFSET([3]enemies!$A$1,0,0,COUNTA([3]enemies!$A:$A),MATCH(AA$1,[3]enemies!$1:$1,0)-MATCH($L$1,[3]enemies!$1:$1,0)+1),MATCH(AA$1,[3]enemies!$1:$1,0)-MATCH($L$1,[3]enemies!$1:$1,0)+1,FALSE)</f>
        <v>1</v>
      </c>
      <c r="AB128" s="70">
        <v>27</v>
      </c>
      <c r="AC128" s="5" t="str">
        <f ca="1">IFERROR(VLOOKUP($AB128,OFFSET([4]characters!$A$1,0,0,COUNTA([4]characters!$A:$A),MATCH(AC$1,[4]characters!$1:$1,0)-MATCH("character_id",[4]characters!$1:$1,0)+1),MATCH(AC$1,[4]characters!$1:$1,0)-MATCH("character_id",[4]characters!$1:$1,0)+1,FALSE),"")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28" s="5">
        <f ca="1">IFERROR(VLOOKUP($AB128,OFFSET([4]characters!$A$1,0,0,COUNTA([4]characters!$A:$A),MATCH(AD$1,[4]characters!$1:$1,0)-MATCH("character_id",[4]characters!$1:$1,0)+1),MATCH(AD$1,[4]characters!$1:$1,0)-MATCH("character_id",[4]characters!$1:$1,0)+1,FALSE),"")</f>
        <v>1</v>
      </c>
      <c r="AE128" s="5" t="str">
        <f ca="1">IFERROR(VLOOKUP($AB128,OFFSET([4]characters!$A$1,0,0,COUNTA([4]characters!$A:$A),MATCH(AE$1,[4]characters!$1:$1,0)-MATCH("character_id",[4]characters!$1:$1,0)+1),MATCH(AE$1,[4]characters!$1:$1,0)-MATCH("character_id",[4]characters!$1:$1,0)+1,FALSE),"")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28" s="28">
        <v>1</v>
      </c>
      <c r="AG128" s="75">
        <f t="shared" ca="1" si="51"/>
        <v>1</v>
      </c>
      <c r="AH128" s="9">
        <v>0</v>
      </c>
      <c r="AI128" s="28">
        <v>0</v>
      </c>
      <c r="AJ128" s="28">
        <v>0</v>
      </c>
      <c r="AK128" s="28">
        <v>0</v>
      </c>
      <c r="AL128" s="28">
        <v>0</v>
      </c>
      <c r="AM128" s="28">
        <v>1</v>
      </c>
      <c r="AN128" s="28">
        <v>1</v>
      </c>
    </row>
    <row r="129" spans="1:40" ht="21" customHeight="1" x14ac:dyDescent="0.15">
      <c r="A129" s="17" t="str">
        <f t="shared" ca="1" si="50"/>
        <v>11007_3-2/336&lt;lv1&gt;s1</v>
      </c>
      <c r="B129" s="84">
        <v>11007</v>
      </c>
      <c r="C129" s="85">
        <v>3</v>
      </c>
      <c r="D129" s="16" t="str">
        <f t="shared" si="47"/>
        <v>11007_3</v>
      </c>
      <c r="E129" s="5" t="str">
        <f ca="1">VLOOKUP($B129,OFFSET([2]quests!$A$1,0,0,COUNTA([2]quests!$A:$A),MATCH(E$1,[2]quests!$1:$1,0)-MATCH($B$1,[2]quests!$1:$1,0)+1),MATCH(E$1,[2]quests!$1:$1,0)-MATCH($B$1,[2]quests!$1:$1,0)+1,FALSE)</f>
        <v>【土曜限定】 赤と緑の素材</v>
      </c>
      <c r="F129" s="5" t="str">
        <f ca="1">VLOOKUP($D129,OFFSET([2]stages!$A$1,0,0,COUNTA([2]stages!$A:$A),MATCH(F$1,[2]stages!$2:$2,0)-MATCH($D$1,[2]stages!$2:$2,0)+1),MATCH(F$1,[2]stages!$2:$2,0)-MATCH($D$1,[2]stages!$2:$2,0)+1,FALSE)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29" s="68">
        <v>2</v>
      </c>
      <c r="H129" s="16" t="str">
        <f t="shared" si="48"/>
        <v>11007_3-2</v>
      </c>
      <c r="I129" s="5" t="e">
        <v>#N/A</v>
      </c>
      <c r="J129" s="5" t="e">
        <v>#N/A</v>
      </c>
      <c r="K129" s="70" t="s">
        <v>172</v>
      </c>
      <c r="L129" s="70">
        <v>336</v>
      </c>
      <c r="M129" s="20" t="str">
        <f ca="1">VLOOKUP($L129,OFFSET([3]enemies!$A$1,0,0,COUNTA([3]enemies!$A:$A),MATCH(M$1,[3]enemies!$1:$1,0)-MATCH($L$1,[3]enemies!$1:$1,0)+1),MATCH(M$1,[3]enemies!$1:$1,0)-MATCH($L$1,[3]enemies!$1:$1,0)+1,FALSE)</f>
        <v>森のメタルピヨピヨ</v>
      </c>
      <c r="N129" s="20" t="str">
        <f ca="1">VLOOKUP($L129,OFFSET([3]enemies!$A$1,0,0,COUNTA([3]enemies!$A:$A),MATCH(N$1,[3]enemies!$1:$1,0)-MATCH($L$1,[3]enemies!$1:$1,0)+1),MATCH(N$1,[3]enemies!$1:$1,0)-MATCH($L$1,[3]enemies!$1:$1,0)+1,FALSE)</f>
        <v>green</v>
      </c>
      <c r="O129" s="22" t="str">
        <f ca="1">VLOOKUP($L129,OFFSET([4]characters!$A$1,0,0,COUNTA([4]characters!$A:$A),MATCH(O$1,[4]characters!$1:$1,0)-MATCH($L$1,[4]characters!$1:$1,0)+1),MATCH(O$1,[4]characters!$1:$1,0)-MATCH($L$1,[4]characters!$1:$1,0)+1,FALSE)</f>
        <v>Material</v>
      </c>
      <c r="P129" s="20" t="str">
        <f ca="1">VLOOKUP($L129,OFFSET([3]enemies!$A$1,0,0,COUNTA([3]enemies!$A:$A),MATCH(P$1,[3]enemies!$1:$1,0)-MATCH($L$1,[3]enemies!$1:$1,0)+1),MATCH(P$1,[3]enemies!$1:$1,0)-MATCH($L$1,[3]enemies!$1:$1,0)+1,FALSE)</f>
        <v>unknown</v>
      </c>
      <c r="Q129" s="20">
        <f ca="1">VLOOKUP($L129,OFFSET([3]enemies!$A$1,0,0,COUNTA([3]enemies!$A:$A),MATCH(Q$1,[3]enemies!$1:$1,0)-MATCH($L$1,[3]enemies!$1:$1,0)+1),MATCH(Q$1,[3]enemies!$1:$1,0)-MATCH($L$1,[3]enemies!$1:$1,0)+1,FALSE)</f>
        <v>15</v>
      </c>
      <c r="R129" s="6">
        <v>1</v>
      </c>
      <c r="S129" s="30">
        <v>1</v>
      </c>
      <c r="T129" s="30">
        <v>1</v>
      </c>
      <c r="U129" s="6">
        <v>0</v>
      </c>
      <c r="V129" s="5" t="str">
        <f ca="1">VLOOKUP($W129,OFFSET([5]enemy_skill_sets!$B$1,0,0,COUNTA([5]enemy_skill_sets!$B:$B),MATCH(M$1,[5]enemy_skill_sets!$1:$1,0)-MATCH($W$1,[5]enemy_skill_sets!$1:$1,0)+2),MATCH(M$1,[5]enemy_skill_sets!$1:$1,0)-MATCH($W$1,[5]enemy_skill_sets!$1:$1,0)+2,FALSE)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9" s="5">
        <f ca="1">VLOOKUP($L129,OFFSET([3]enemies!$A$1,0,0,COUNTA([3]enemies!$A:$A),MATCH(W$1,[3]enemies!$1:$1,0)-MATCH($L$1,[3]enemies!$1:$1,0)+1),MATCH(W$1,[3]enemies!$1:$1,0)-MATCH($L$1,[3]enemies!$1:$1,0)+1,FALSE)</f>
        <v>0</v>
      </c>
      <c r="X129" s="7">
        <v>0</v>
      </c>
      <c r="Y129" s="7">
        <v>30</v>
      </c>
      <c r="Z129" s="7">
        <v>0</v>
      </c>
      <c r="AA129" s="20">
        <f ca="1">VLOOKUP($L129,OFFSET([3]enemies!$A$1,0,0,COUNTA([3]enemies!$A:$A),MATCH(AA$1,[3]enemies!$1:$1,0)-MATCH($L$1,[3]enemies!$1:$1,0)+1),MATCH(AA$1,[3]enemies!$1:$1,0)-MATCH($L$1,[3]enemies!$1:$1,0)+1,FALSE)</f>
        <v>1</v>
      </c>
      <c r="AB129" s="70">
        <v>336</v>
      </c>
      <c r="AC129" s="5" t="str">
        <f ca="1">IFERROR(VLOOKUP($AB129,OFFSET([4]characters!$A$1,0,0,COUNTA([4]characters!$A:$A),MATCH(AC$1,[4]characters!$1:$1,0)-MATCH("character_id",[4]characters!$1:$1,0)+1),MATCH(AC$1,[4]characters!$1:$1,0)-MATCH("character_id",[4]characters!$1:$1,0)+1,FALSE),"")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29" s="5">
        <f ca="1">IFERROR(VLOOKUP($AB129,OFFSET([4]characters!$A$1,0,0,COUNTA([4]characters!$A:$A),MATCH(AD$1,[4]characters!$1:$1,0)-MATCH("character_id",[4]characters!$1:$1,0)+1),MATCH(AD$1,[4]characters!$1:$1,0)-MATCH("character_id",[4]characters!$1:$1,0)+1,FALSE),"")</f>
        <v>3</v>
      </c>
      <c r="AE129" s="5" t="str">
        <f ca="1">IFERROR(VLOOKUP($AB129,OFFSET([4]characters!$A$1,0,0,COUNTA([4]characters!$A:$A),MATCH(AE$1,[4]characters!$1:$1,0)-MATCH("character_id",[4]characters!$1:$1,0)+1),MATCH(AE$1,[4]characters!$1:$1,0)-MATCH("character_id",[4]characters!$1:$1,0)+1,FALSE),"")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9" s="28">
        <v>1</v>
      </c>
      <c r="AG129" s="75">
        <f t="shared" ca="1" si="51"/>
        <v>3</v>
      </c>
      <c r="AH129" s="9">
        <v>10</v>
      </c>
      <c r="AI129" s="28">
        <v>0</v>
      </c>
      <c r="AJ129" s="28">
        <v>0</v>
      </c>
      <c r="AK129" s="28">
        <v>0</v>
      </c>
      <c r="AL129" s="28">
        <v>0</v>
      </c>
      <c r="AM129" s="28">
        <v>1</v>
      </c>
      <c r="AN129" s="28">
        <v>1</v>
      </c>
    </row>
    <row r="130" spans="1:40" ht="21" customHeight="1" x14ac:dyDescent="0.15">
      <c r="A130" s="17" t="str">
        <f t="shared" ca="1" si="50"/>
        <v>11007_3-2/337&lt;lv1&gt;s2</v>
      </c>
      <c r="B130" s="84">
        <v>11007</v>
      </c>
      <c r="C130" s="85">
        <v>3</v>
      </c>
      <c r="D130" s="16" t="str">
        <f t="shared" si="47"/>
        <v>11007_3</v>
      </c>
      <c r="E130" s="5" t="str">
        <f ca="1">VLOOKUP($B130,OFFSET([2]quests!$A$1,0,0,COUNTA([2]quests!$A:$A),MATCH(E$1,[2]quests!$1:$1,0)-MATCH($B$1,[2]quests!$1:$1,0)+1),MATCH(E$1,[2]quests!$1:$1,0)-MATCH($B$1,[2]quests!$1:$1,0)+1,FALSE)</f>
        <v>【土曜限定】 赤と緑の素材</v>
      </c>
      <c r="F130" s="5" t="str">
        <f ca="1">VLOOKUP($D130,OFFSET([2]stages!$A$1,0,0,COUNTA([2]stages!$A:$A),MATCH(F$1,[2]stages!$2:$2,0)-MATCH($D$1,[2]stages!$2:$2,0)+1),MATCH(F$1,[2]stages!$2:$2,0)-MATCH($D$1,[2]stages!$2:$2,0)+1,FALSE)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0" s="68">
        <v>2</v>
      </c>
      <c r="H130" s="16" t="str">
        <f t="shared" si="48"/>
        <v>11007_3-2</v>
      </c>
      <c r="I130" s="5" t="e">
        <v>#N/A</v>
      </c>
      <c r="J130" s="5" t="e">
        <v>#N/A</v>
      </c>
      <c r="K130" s="70" t="s">
        <v>172</v>
      </c>
      <c r="L130" s="70">
        <v>337</v>
      </c>
      <c r="M130" s="20" t="str">
        <f ca="1">VLOOKUP($L130,OFFSET([3]enemies!$A$1,0,0,COUNTA([3]enemies!$A:$A),MATCH(M$1,[3]enemies!$1:$1,0)-MATCH($L$1,[3]enemies!$1:$1,0)+1),MATCH(M$1,[3]enemies!$1:$1,0)-MATCH($L$1,[3]enemies!$1:$1,0)+1,FALSE)</f>
        <v>森のメタルチック</v>
      </c>
      <c r="N130" s="20" t="str">
        <f ca="1">VLOOKUP($L130,OFFSET([3]enemies!$A$1,0,0,COUNTA([3]enemies!$A:$A),MATCH(N$1,[3]enemies!$1:$1,0)-MATCH($L$1,[3]enemies!$1:$1,0)+1),MATCH(N$1,[3]enemies!$1:$1,0)-MATCH($L$1,[3]enemies!$1:$1,0)+1,FALSE)</f>
        <v>green</v>
      </c>
      <c r="O130" s="22" t="str">
        <f ca="1">VLOOKUP($L130,OFFSET([4]characters!$A$1,0,0,COUNTA([4]characters!$A:$A),MATCH(O$1,[4]characters!$1:$1,0)-MATCH($L$1,[4]characters!$1:$1,0)+1),MATCH(O$1,[4]characters!$1:$1,0)-MATCH($L$1,[4]characters!$1:$1,0)+1,FALSE)</f>
        <v>Material</v>
      </c>
      <c r="P130" s="20" t="str">
        <f ca="1">VLOOKUP($L130,OFFSET([3]enemies!$A$1,0,0,COUNTA([3]enemies!$A:$A),MATCH(P$1,[3]enemies!$1:$1,0)-MATCH($L$1,[3]enemies!$1:$1,0)+1),MATCH(P$1,[3]enemies!$1:$1,0)-MATCH($L$1,[3]enemies!$1:$1,0)+1,FALSE)</f>
        <v>unknown</v>
      </c>
      <c r="Q130" s="20">
        <f ca="1">VLOOKUP($L130,OFFSET([3]enemies!$A$1,0,0,COUNTA([3]enemies!$A:$A),MATCH(Q$1,[3]enemies!$1:$1,0)-MATCH($L$1,[3]enemies!$1:$1,0)+1),MATCH(Q$1,[3]enemies!$1:$1,0)-MATCH($L$1,[3]enemies!$1:$1,0)+1,FALSE)</f>
        <v>15</v>
      </c>
      <c r="R130" s="6">
        <v>1</v>
      </c>
      <c r="S130" s="30">
        <v>1</v>
      </c>
      <c r="T130" s="30">
        <v>1</v>
      </c>
      <c r="U130" s="6">
        <v>0</v>
      </c>
      <c r="V130" s="5" t="str">
        <f ca="1">VLOOKUP($W130,OFFSET([5]enemy_skill_sets!$B$1,0,0,COUNTA([5]enemy_skill_sets!$B:$B),MATCH(M$1,[5]enemy_skill_sets!$1:$1,0)-MATCH($W$1,[5]enemy_skill_sets!$1:$1,0)+2),MATCH(M$1,[5]enemy_skill_sets!$1:$1,0)-MATCH($W$1,[5]enemy_skill_sets!$1:$1,0)+2,FALSE)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0" s="5">
        <f ca="1">VLOOKUP($L130,OFFSET([3]enemies!$A$1,0,0,COUNTA([3]enemies!$A:$A),MATCH(W$1,[3]enemies!$1:$1,0)-MATCH($L$1,[3]enemies!$1:$1,0)+1),MATCH(W$1,[3]enemies!$1:$1,0)-MATCH($L$1,[3]enemies!$1:$1,0)+1,FALSE)</f>
        <v>0</v>
      </c>
      <c r="X130" s="7">
        <v>0</v>
      </c>
      <c r="Y130" s="7">
        <v>30</v>
      </c>
      <c r="Z130" s="7">
        <v>0</v>
      </c>
      <c r="AA130" s="20">
        <f ca="1">VLOOKUP($L130,OFFSET([3]enemies!$A$1,0,0,COUNTA([3]enemies!$A:$A),MATCH(AA$1,[3]enemies!$1:$1,0)-MATCH($L$1,[3]enemies!$1:$1,0)+1),MATCH(AA$1,[3]enemies!$1:$1,0)-MATCH($L$1,[3]enemies!$1:$1,0)+1,FALSE)</f>
        <v>2</v>
      </c>
      <c r="AB130" s="70">
        <v>337</v>
      </c>
      <c r="AC130" s="5" t="str">
        <f ca="1">IFERROR(VLOOKUP($AB130,OFFSET([4]characters!$A$1,0,0,COUNTA([4]characters!$A:$A),MATCH(AC$1,[4]characters!$1:$1,0)-MATCH("character_id",[4]characters!$1:$1,0)+1),MATCH(AC$1,[4]characters!$1:$1,0)-MATCH("character_id",[4]characters!$1:$1,0)+1,FALSE),"")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30" s="5">
        <f ca="1">IFERROR(VLOOKUP($AB130,OFFSET([4]characters!$A$1,0,0,COUNTA([4]characters!$A:$A),MATCH(AD$1,[4]characters!$1:$1,0)-MATCH("character_id",[4]characters!$1:$1,0)+1),MATCH(AD$1,[4]characters!$1:$1,0)-MATCH("character_id",[4]characters!$1:$1,0)+1,FALSE),"")</f>
        <v>4</v>
      </c>
      <c r="AE130" s="5" t="str">
        <f ca="1">IFERROR(VLOOKUP($AB130,OFFSET([4]characters!$A$1,0,0,COUNTA([4]characters!$A:$A),MATCH(AE$1,[4]characters!$1:$1,0)-MATCH("character_id",[4]characters!$1:$1,0)+1),MATCH(AE$1,[4]characters!$1:$1,0)-MATCH("character_id",[4]characters!$1:$1,0)+1,FALSE),"")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0" s="28">
        <v>1</v>
      </c>
      <c r="AG130" s="75">
        <f t="shared" ca="1" si="51"/>
        <v>4</v>
      </c>
      <c r="AH130" s="9">
        <v>5</v>
      </c>
      <c r="AI130" s="28">
        <v>0</v>
      </c>
      <c r="AJ130" s="28">
        <v>0</v>
      </c>
      <c r="AK130" s="28">
        <v>0</v>
      </c>
      <c r="AL130" s="28">
        <v>0</v>
      </c>
      <c r="AM130" s="28">
        <v>1</v>
      </c>
      <c r="AN130" s="28">
        <v>1</v>
      </c>
    </row>
    <row r="131" spans="1:40" ht="21" customHeight="1" x14ac:dyDescent="0.15">
      <c r="A131" s="17" t="str">
        <f t="shared" ca="1" si="50"/>
        <v>11007_3-3/107&lt;lv30&gt;s1</v>
      </c>
      <c r="B131" s="84">
        <v>11007</v>
      </c>
      <c r="C131" s="85">
        <v>3</v>
      </c>
      <c r="D131" s="16" t="str">
        <f t="shared" si="47"/>
        <v>11007_3</v>
      </c>
      <c r="E131" s="5" t="str">
        <f ca="1">VLOOKUP($B131,OFFSET([2]quests!$A$1,0,0,COUNTA([2]quests!$A:$A),MATCH(E$1,[2]quests!$1:$1,0)-MATCH($B$1,[2]quests!$1:$1,0)+1),MATCH(E$1,[2]quests!$1:$1,0)-MATCH($B$1,[2]quests!$1:$1,0)+1,FALSE)</f>
        <v>【土曜限定】 赤と緑の素材</v>
      </c>
      <c r="F131" s="5" t="str">
        <f ca="1">VLOOKUP($D131,OFFSET([2]stages!$A$1,0,0,COUNTA([2]stages!$A:$A),MATCH(F$1,[2]stages!$2:$2,0)-MATCH($D$1,[2]stages!$2:$2,0)+1),MATCH(F$1,[2]stages!$2:$2,0)-MATCH($D$1,[2]stages!$2:$2,0)+1,FALSE)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1" s="68">
        <v>3</v>
      </c>
      <c r="H131" s="16" t="str">
        <f t="shared" si="48"/>
        <v>11007_3-3</v>
      </c>
      <c r="I131" s="5" t="e">
        <v>#N/A</v>
      </c>
      <c r="J131" s="5" t="e">
        <v>#N/A</v>
      </c>
      <c r="K131" s="70" t="s">
        <v>172</v>
      </c>
      <c r="L131" s="70">
        <v>107</v>
      </c>
      <c r="M131" s="20" t="str">
        <f ca="1">VLOOKUP($L131,OFFSET([3]enemies!$A$1,0,0,COUNTA([3]enemies!$A:$A),MATCH(M$1,[3]enemies!$1:$1,0)-MATCH($L$1,[3]enemies!$1:$1,0)+1),MATCH(M$1,[3]enemies!$1:$1,0)-MATCH($L$1,[3]enemies!$1:$1,0)+1,FALSE)</f>
        <v>グリーンキャタップ</v>
      </c>
      <c r="N131" s="20" t="str">
        <f ca="1">VLOOKUP($L131,OFFSET([3]enemies!$A$1,0,0,COUNTA([3]enemies!$A:$A),MATCH(N$1,[3]enemies!$1:$1,0)-MATCH($L$1,[3]enemies!$1:$1,0)+1),MATCH(N$1,[3]enemies!$1:$1,0)-MATCH($L$1,[3]enemies!$1:$1,0)+1,FALSE)</f>
        <v>green</v>
      </c>
      <c r="O131" s="22" t="str">
        <f ca="1">VLOOKUP($L131,OFFSET([4]characters!$A$1,0,0,COUNTA([4]characters!$A:$A),MATCH(O$1,[4]characters!$1:$1,0)-MATCH($L$1,[4]characters!$1:$1,0)+1),MATCH(O$1,[4]characters!$1:$1,0)-MATCH($L$1,[4]characters!$1:$1,0)+1,FALSE)</f>
        <v>Material</v>
      </c>
      <c r="P131" s="20" t="str">
        <f ca="1">VLOOKUP($L131,OFFSET([3]enemies!$A$1,0,0,COUNTA([3]enemies!$A:$A),MATCH(P$1,[3]enemies!$1:$1,0)-MATCH($L$1,[3]enemies!$1:$1,0)+1),MATCH(P$1,[3]enemies!$1:$1,0)-MATCH($L$1,[3]enemies!$1:$1,0)+1,FALSE)</f>
        <v>unknown</v>
      </c>
      <c r="Q131" s="20">
        <f ca="1">VLOOKUP($L131,OFFSET([3]enemies!$A$1,0,0,COUNTA([3]enemies!$A:$A),MATCH(Q$1,[3]enemies!$1:$1,0)-MATCH($L$1,[3]enemies!$1:$1,0)+1),MATCH(Q$1,[3]enemies!$1:$1,0)-MATCH($L$1,[3]enemies!$1:$1,0)+1,FALSE)</f>
        <v>15</v>
      </c>
      <c r="R131" s="6">
        <v>30</v>
      </c>
      <c r="S131" s="30">
        <v>2</v>
      </c>
      <c r="T131" s="30">
        <v>1</v>
      </c>
      <c r="U131" s="6">
        <v>0</v>
      </c>
      <c r="V131" s="5" t="str">
        <f ca="1">VLOOKUP($W131,OFFSET([5]enemy_skill_sets!$B$1,0,0,COUNTA([5]enemy_skill_sets!$B:$B),MATCH(M$1,[5]enemy_skill_sets!$1:$1,0)-MATCH($W$1,[5]enemy_skill_sets!$1:$1,0)+2),MATCH(M$1,[5]enemy_skill_sets!$1:$1,0)-MATCH($W$1,[5]enemy_skill_sets!$1:$1,0)+2,FALSE)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1" s="5">
        <f ca="1">VLOOKUP($L131,OFFSET([3]enemies!$A$1,0,0,COUNTA([3]enemies!$A:$A),MATCH(W$1,[3]enemies!$1:$1,0)-MATCH($L$1,[3]enemies!$1:$1,0)+1),MATCH(W$1,[3]enemies!$1:$1,0)-MATCH($L$1,[3]enemies!$1:$1,0)+1,FALSE)</f>
        <v>0</v>
      </c>
      <c r="X131" s="7">
        <v>0</v>
      </c>
      <c r="Y131" s="7">
        <v>50</v>
      </c>
      <c r="Z131" s="7">
        <v>1</v>
      </c>
      <c r="AA131" s="20">
        <f ca="1">VLOOKUP($L131,OFFSET([3]enemies!$A$1,0,0,COUNTA([3]enemies!$A:$A),MATCH(AA$1,[3]enemies!$1:$1,0)-MATCH($L$1,[3]enemies!$1:$1,0)+1),MATCH(AA$1,[3]enemies!$1:$1,0)-MATCH($L$1,[3]enemies!$1:$1,0)+1,FALSE)</f>
        <v>1</v>
      </c>
      <c r="AB131" s="70">
        <v>107</v>
      </c>
      <c r="AC131" s="5" t="str">
        <f ca="1">IFERROR(VLOOKUP($AB131,OFFSET([4]characters!$A$1,0,0,COUNTA([4]characters!$A:$A),MATCH(AC$1,[4]characters!$1:$1,0)-MATCH("character_id",[4]characters!$1:$1,0)+1),MATCH(AC$1,[4]characters!$1:$1,0)-MATCH("character_id",[4]characters!$1:$1,0)+1,FALSE),"")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31" s="5">
        <f ca="1">IFERROR(VLOOKUP($AB131,OFFSET([4]characters!$A$1,0,0,COUNTA([4]characters!$A:$A),MATCH(AD$1,[4]characters!$1:$1,0)-MATCH("character_id",[4]characters!$1:$1,0)+1),MATCH(AD$1,[4]characters!$1:$1,0)-MATCH("character_id",[4]characters!$1:$1,0)+1,FALSE),"")</f>
        <v>4</v>
      </c>
      <c r="AE131" s="5" t="str">
        <f ca="1">IFERROR(VLOOKUP($AB131,OFFSET([4]characters!$A$1,0,0,COUNTA([4]characters!$A:$A),MATCH(AE$1,[4]characters!$1:$1,0)-MATCH("character_id",[4]characters!$1:$1,0)+1),MATCH(AE$1,[4]characters!$1:$1,0)-MATCH("character_id",[4]characters!$1:$1,0)+1,FALSE),"")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1" s="28">
        <v>1</v>
      </c>
      <c r="AG131" s="75">
        <f t="shared" ca="1" si="51"/>
        <v>4</v>
      </c>
      <c r="AH131" s="9">
        <v>50</v>
      </c>
      <c r="AI131" s="28">
        <v>0</v>
      </c>
      <c r="AJ131" s="28">
        <v>0</v>
      </c>
      <c r="AK131" s="28">
        <v>0</v>
      </c>
      <c r="AL131" s="28">
        <v>0</v>
      </c>
      <c r="AM131" s="28">
        <v>1</v>
      </c>
      <c r="AN131" s="28">
        <v>1</v>
      </c>
    </row>
    <row r="132" spans="1:40" ht="21" customHeight="1" x14ac:dyDescent="0.15">
      <c r="A132" s="17" t="str">
        <f t="shared" ca="1" si="50"/>
        <v>11007_3-3/35&lt;lv35&gt;s4</v>
      </c>
      <c r="B132" s="84">
        <v>11007</v>
      </c>
      <c r="C132" s="85">
        <v>3</v>
      </c>
      <c r="D132" s="16" t="str">
        <f t="shared" si="47"/>
        <v>11007_3</v>
      </c>
      <c r="E132" s="5" t="str">
        <f ca="1">VLOOKUP($B132,OFFSET([2]quests!$A$1,0,0,COUNTA([2]quests!$A:$A),MATCH(E$1,[2]quests!$1:$1,0)-MATCH($B$1,[2]quests!$1:$1,0)+1),MATCH(E$1,[2]quests!$1:$1,0)-MATCH($B$1,[2]quests!$1:$1,0)+1,FALSE)</f>
        <v>【土曜限定】 赤と緑の素材</v>
      </c>
      <c r="F132" s="5" t="str">
        <f ca="1">VLOOKUP($D132,OFFSET([2]stages!$A$1,0,0,COUNTA([2]stages!$A:$A),MATCH(F$1,[2]stages!$2:$2,0)-MATCH($D$1,[2]stages!$2:$2,0)+1),MATCH(F$1,[2]stages!$2:$2,0)-MATCH($D$1,[2]stages!$2:$2,0)+1,FALSE)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2" s="68">
        <v>3</v>
      </c>
      <c r="H132" s="16" t="str">
        <f t="shared" si="48"/>
        <v>11007_3-3</v>
      </c>
      <c r="I132" s="5" t="e">
        <v>#N/A</v>
      </c>
      <c r="J132" s="5" t="e">
        <v>#N/A</v>
      </c>
      <c r="K132" s="70" t="s">
        <v>172</v>
      </c>
      <c r="L132" s="70">
        <v>35</v>
      </c>
      <c r="M132" s="20" t="str">
        <f ca="1">VLOOKUP($L132,OFFSET([3]enemies!$A$1,0,0,COUNTA([3]enemies!$A:$A),MATCH(M$1,[3]enemies!$1:$1,0)-MATCH($L$1,[3]enemies!$1:$1,0)+1),MATCH(M$1,[3]enemies!$1:$1,0)-MATCH($L$1,[3]enemies!$1:$1,0)+1,FALSE)</f>
        <v>F2</v>
      </c>
      <c r="N132" s="20" t="str">
        <f ca="1">VLOOKUP($L132,OFFSET([3]enemies!$A$1,0,0,COUNTA([3]enemies!$A:$A),MATCH(N$1,[3]enemies!$1:$1,0)-MATCH($L$1,[3]enemies!$1:$1,0)+1),MATCH(N$1,[3]enemies!$1:$1,0)-MATCH($L$1,[3]enemies!$1:$1,0)+1,FALSE)</f>
        <v>green</v>
      </c>
      <c r="O132" s="22" t="str">
        <f ca="1">VLOOKUP($L132,OFFSET([4]characters!$A$1,0,0,COUNTA([4]characters!$A:$A),MATCH(O$1,[4]characters!$1:$1,0)-MATCH($L$1,[4]characters!$1:$1,0)+1),MATCH(O$1,[4]characters!$1:$1,0)-MATCH($L$1,[4]characters!$1:$1,0)+1,FALSE)</f>
        <v>Drop1S</v>
      </c>
      <c r="P132" s="20" t="str">
        <f ca="1">VLOOKUP($L132,OFFSET([3]enemies!$A$1,0,0,COUNTA([3]enemies!$A:$A),MATCH(P$1,[3]enemies!$1:$1,0)-MATCH($L$1,[3]enemies!$1:$1,0)+1),MATCH(P$1,[3]enemies!$1:$1,0)-MATCH($L$1,[3]enemies!$1:$1,0)+1,FALSE)</f>
        <v>machine</v>
      </c>
      <c r="Q132" s="20">
        <f ca="1">VLOOKUP($L132,OFFSET([3]enemies!$A$1,0,0,COUNTA([3]enemies!$A:$A),MATCH(Q$1,[3]enemies!$1:$1,0)-MATCH($L$1,[3]enemies!$1:$1,0)+1),MATCH(Q$1,[3]enemies!$1:$1,0)-MATCH($L$1,[3]enemies!$1:$1,0)+1,FALSE)</f>
        <v>15</v>
      </c>
      <c r="R132" s="6">
        <v>35</v>
      </c>
      <c r="S132" s="30">
        <v>1</v>
      </c>
      <c r="T132" s="30">
        <v>1</v>
      </c>
      <c r="U132" s="6">
        <v>0</v>
      </c>
      <c r="V132" s="5" t="str">
        <f ca="1">VLOOKUP($W132,OFFSET([5]enemy_skill_sets!$B$1,0,0,COUNTA([5]enemy_skill_sets!$B:$B),MATCH(M$1,[5]enemy_skill_sets!$1:$1,0)-MATCH($W$1,[5]enemy_skill_sets!$1:$1,0)+2),MATCH(M$1,[5]enemy_skill_sets!$1:$1,0)-MATCH($W$1,[5]enemy_skill_sets!$1:$1,0)+2,FALSE)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32" s="5">
        <f ca="1">VLOOKUP($L132,OFFSET([3]enemies!$A$1,0,0,COUNTA([3]enemies!$A:$A),MATCH(W$1,[3]enemies!$1:$1,0)-MATCH($L$1,[3]enemies!$1:$1,0)+1),MATCH(W$1,[3]enemies!$1:$1,0)-MATCH($L$1,[3]enemies!$1:$1,0)+1,FALSE)</f>
        <v>35</v>
      </c>
      <c r="X132" s="7">
        <v>0</v>
      </c>
      <c r="Y132" s="7">
        <v>100</v>
      </c>
      <c r="Z132" s="7">
        <v>0</v>
      </c>
      <c r="AA132" s="20">
        <f ca="1">VLOOKUP($L132,OFFSET([3]enemies!$A$1,0,0,COUNTA([3]enemies!$A:$A),MATCH(AA$1,[3]enemies!$1:$1,0)-MATCH($L$1,[3]enemies!$1:$1,0)+1),MATCH(AA$1,[3]enemies!$1:$1,0)-MATCH($L$1,[3]enemies!$1:$1,0)+1,FALSE)</f>
        <v>4</v>
      </c>
      <c r="AB132" s="70">
        <v>35</v>
      </c>
      <c r="AC132" s="5" t="str">
        <f ca="1">IFERROR(VLOOKUP($AB132,OFFSET([4]characters!$A$1,0,0,COUNTA([4]characters!$A:$A),MATCH(AC$1,[4]characters!$1:$1,0)-MATCH("character_id",[4]characters!$1:$1,0)+1),MATCH(AC$1,[4]characters!$1:$1,0)-MATCH("character_id",[4]characters!$1:$1,0)+1,FALSE),"")</f>
        <v>F2</v>
      </c>
      <c r="AD132" s="5">
        <f ca="1">IFERROR(VLOOKUP($AB132,OFFSET([4]characters!$A$1,0,0,COUNTA([4]characters!$A:$A),MATCH(AD$1,[4]characters!$1:$1,0)-MATCH("character_id",[4]characters!$1:$1,0)+1),MATCH(AD$1,[4]characters!$1:$1,0)-MATCH("character_id",[4]characters!$1:$1,0)+1,FALSE),"")</f>
        <v>2</v>
      </c>
      <c r="AE132" s="5" t="str">
        <f ca="1">IFERROR(VLOOKUP($AB132,OFFSET([4]characters!$A$1,0,0,COUNTA([4]characters!$A:$A),MATCH(AE$1,[4]characters!$1:$1,0)-MATCH("character_id",[4]characters!$1:$1,0)+1),MATCH(AE$1,[4]characters!$1:$1,0)-MATCH("character_id",[4]characters!$1:$1,0)+1,FALSE),"")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32" s="28">
        <v>1</v>
      </c>
      <c r="AG132" s="75">
        <f t="shared" ca="1" si="51"/>
        <v>2</v>
      </c>
      <c r="AH132" s="9">
        <v>0</v>
      </c>
      <c r="AI132" s="28">
        <v>0</v>
      </c>
      <c r="AJ132" s="28">
        <v>0</v>
      </c>
      <c r="AK132" s="28">
        <v>0</v>
      </c>
      <c r="AL132" s="28">
        <v>0</v>
      </c>
      <c r="AM132" s="28">
        <v>1</v>
      </c>
      <c r="AN132" s="28">
        <v>1</v>
      </c>
    </row>
    <row r="133" spans="1:40" ht="21" customHeight="1" x14ac:dyDescent="0.15">
      <c r="A133" s="17" t="str">
        <f t="shared" ca="1" si="50"/>
        <v>11007_3-3/27&lt;lv35&gt;s1</v>
      </c>
      <c r="B133" s="84">
        <v>11007</v>
      </c>
      <c r="C133" s="85">
        <v>3</v>
      </c>
      <c r="D133" s="16" t="str">
        <f t="shared" si="47"/>
        <v>11007_3</v>
      </c>
      <c r="E133" s="5" t="str">
        <f ca="1">VLOOKUP($B133,OFFSET([2]quests!$A$1,0,0,COUNTA([2]quests!$A:$A),MATCH(E$1,[2]quests!$1:$1,0)-MATCH($B$1,[2]quests!$1:$1,0)+1),MATCH(E$1,[2]quests!$1:$1,0)-MATCH($B$1,[2]quests!$1:$1,0)+1,FALSE)</f>
        <v>【土曜限定】 赤と緑の素材</v>
      </c>
      <c r="F133" s="5" t="str">
        <f ca="1">VLOOKUP($D133,OFFSET([2]stages!$A$1,0,0,COUNTA([2]stages!$A:$A),MATCH(F$1,[2]stages!$2:$2,0)-MATCH($D$1,[2]stages!$2:$2,0)+1),MATCH(F$1,[2]stages!$2:$2,0)-MATCH($D$1,[2]stages!$2:$2,0)+1,FALSE)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3" s="68">
        <v>3</v>
      </c>
      <c r="H133" s="16" t="str">
        <f t="shared" si="48"/>
        <v>11007_3-3</v>
      </c>
      <c r="I133" s="5" t="e">
        <v>#N/A</v>
      </c>
      <c r="J133" s="5" t="e">
        <v>#N/A</v>
      </c>
      <c r="K133" s="70" t="s">
        <v>172</v>
      </c>
      <c r="L133" s="70">
        <v>27</v>
      </c>
      <c r="M133" s="20" t="str">
        <f ca="1">VLOOKUP($L133,OFFSET([3]enemies!$A$1,0,0,COUNTA([3]enemies!$A:$A),MATCH(M$1,[3]enemies!$1:$1,0)-MATCH($L$1,[3]enemies!$1:$1,0)+1),MATCH(M$1,[3]enemies!$1:$1,0)-MATCH($L$1,[3]enemies!$1:$1,0)+1,FALSE)</f>
        <v>パトライン</v>
      </c>
      <c r="N133" s="20" t="str">
        <f ca="1">VLOOKUP($L133,OFFSET([3]enemies!$A$1,0,0,COUNTA([3]enemies!$A:$A),MATCH(N$1,[3]enemies!$1:$1,0)-MATCH($L$1,[3]enemies!$1:$1,0)+1),MATCH(N$1,[3]enemies!$1:$1,0)-MATCH($L$1,[3]enemies!$1:$1,0)+1,FALSE)</f>
        <v>green</v>
      </c>
      <c r="O133" s="22" t="str">
        <f ca="1">VLOOKUP($L133,OFFSET([4]characters!$A$1,0,0,COUNTA([4]characters!$A:$A),MATCH(O$1,[4]characters!$1:$1,0)-MATCH($L$1,[4]characters!$1:$1,0)+1),MATCH(O$1,[4]characters!$1:$1,0)-MATCH($L$1,[4]characters!$1:$1,0)+1,FALSE)</f>
        <v>Drop1N</v>
      </c>
      <c r="P133" s="20" t="str">
        <f ca="1">VLOOKUP($L133,OFFSET([3]enemies!$A$1,0,0,COUNTA([3]enemies!$A:$A),MATCH(P$1,[3]enemies!$1:$1,0)-MATCH($L$1,[3]enemies!$1:$1,0)+1),MATCH(P$1,[3]enemies!$1:$1,0)-MATCH($L$1,[3]enemies!$1:$1,0)+1,FALSE)</f>
        <v>machine</v>
      </c>
      <c r="Q133" s="20">
        <f ca="1">VLOOKUP($L133,OFFSET([3]enemies!$A$1,0,0,COUNTA([3]enemies!$A:$A),MATCH(Q$1,[3]enemies!$1:$1,0)-MATCH($L$1,[3]enemies!$1:$1,0)+1),MATCH(Q$1,[3]enemies!$1:$1,0)-MATCH($L$1,[3]enemies!$1:$1,0)+1,FALSE)</f>
        <v>15</v>
      </c>
      <c r="R133" s="6">
        <v>35</v>
      </c>
      <c r="S133" s="30">
        <v>1</v>
      </c>
      <c r="T133" s="30">
        <v>1</v>
      </c>
      <c r="U133" s="6">
        <v>0</v>
      </c>
      <c r="V133" s="5" t="str">
        <f ca="1">VLOOKUP($W133,OFFSET([5]enemy_skill_sets!$B$1,0,0,COUNTA([5]enemy_skill_sets!$B:$B),MATCH(M$1,[5]enemy_skill_sets!$1:$1,0)-MATCH($W$1,[5]enemy_skill_sets!$1:$1,0)+2),MATCH(M$1,[5]enemy_skill_sets!$1:$1,0)-MATCH($W$1,[5]enemy_skill_sets!$1:$1,0)+2,FALSE)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3" s="5">
        <f ca="1">VLOOKUP($L133,OFFSET([3]enemies!$A$1,0,0,COUNTA([3]enemies!$A:$A),MATCH(W$1,[3]enemies!$1:$1,0)-MATCH($L$1,[3]enemies!$1:$1,0)+1),MATCH(W$1,[3]enemies!$1:$1,0)-MATCH($L$1,[3]enemies!$1:$1,0)+1,FALSE)</f>
        <v>0</v>
      </c>
      <c r="X133" s="7">
        <v>0</v>
      </c>
      <c r="Y133" s="7">
        <v>100</v>
      </c>
      <c r="Z133" s="7">
        <v>0</v>
      </c>
      <c r="AA133" s="20">
        <f ca="1">VLOOKUP($L133,OFFSET([3]enemies!$A$1,0,0,COUNTA([3]enemies!$A:$A),MATCH(AA$1,[3]enemies!$1:$1,0)-MATCH($L$1,[3]enemies!$1:$1,0)+1),MATCH(AA$1,[3]enemies!$1:$1,0)-MATCH($L$1,[3]enemies!$1:$1,0)+1,FALSE)</f>
        <v>1</v>
      </c>
      <c r="AB133" s="70">
        <v>27</v>
      </c>
      <c r="AC133" s="5" t="str">
        <f ca="1">IFERROR(VLOOKUP($AB133,OFFSET([4]characters!$A$1,0,0,COUNTA([4]characters!$A:$A),MATCH(AC$1,[4]characters!$1:$1,0)-MATCH("character_id",[4]characters!$1:$1,0)+1),MATCH(AC$1,[4]characters!$1:$1,0)-MATCH("character_id",[4]characters!$1:$1,0)+1,FALSE),"")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33" s="5">
        <f ca="1">IFERROR(VLOOKUP($AB133,OFFSET([4]characters!$A$1,0,0,COUNTA([4]characters!$A:$A),MATCH(AD$1,[4]characters!$1:$1,0)-MATCH("character_id",[4]characters!$1:$1,0)+1),MATCH(AD$1,[4]characters!$1:$1,0)-MATCH("character_id",[4]characters!$1:$1,0)+1,FALSE),"")</f>
        <v>1</v>
      </c>
      <c r="AE133" s="5" t="str">
        <f ca="1">IFERROR(VLOOKUP($AB133,OFFSET([4]characters!$A$1,0,0,COUNTA([4]characters!$A:$A),MATCH(AE$1,[4]characters!$1:$1,0)-MATCH("character_id",[4]characters!$1:$1,0)+1),MATCH(AE$1,[4]characters!$1:$1,0)-MATCH("character_id",[4]characters!$1:$1,0)+1,FALSE),"")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33" s="28">
        <v>1</v>
      </c>
      <c r="AG133" s="75">
        <f t="shared" ca="1" si="51"/>
        <v>1</v>
      </c>
      <c r="AH133" s="9">
        <v>0</v>
      </c>
      <c r="AI133" s="28">
        <v>0</v>
      </c>
      <c r="AJ133" s="28">
        <v>0</v>
      </c>
      <c r="AK133" s="28">
        <v>0</v>
      </c>
      <c r="AL133" s="28">
        <v>0</v>
      </c>
      <c r="AM133" s="28">
        <v>1</v>
      </c>
      <c r="AN133" s="28">
        <v>1</v>
      </c>
    </row>
    <row r="134" spans="1:40" ht="21" customHeight="1" x14ac:dyDescent="0.15">
      <c r="A134" s="17" t="str">
        <f t="shared" ca="1" si="50"/>
        <v>11007_3-3/336&lt;lv1&gt;s1</v>
      </c>
      <c r="B134" s="84">
        <v>11007</v>
      </c>
      <c r="C134" s="85">
        <v>3</v>
      </c>
      <c r="D134" s="16" t="str">
        <f t="shared" si="47"/>
        <v>11007_3</v>
      </c>
      <c r="E134" s="5" t="str">
        <f ca="1">VLOOKUP($B134,OFFSET([2]quests!$A$1,0,0,COUNTA([2]quests!$A:$A),MATCH(E$1,[2]quests!$1:$1,0)-MATCH($B$1,[2]quests!$1:$1,0)+1),MATCH(E$1,[2]quests!$1:$1,0)-MATCH($B$1,[2]quests!$1:$1,0)+1,FALSE)</f>
        <v>【土曜限定】 赤と緑の素材</v>
      </c>
      <c r="F134" s="5" t="str">
        <f ca="1">VLOOKUP($D134,OFFSET([2]stages!$A$1,0,0,COUNTA([2]stages!$A:$A),MATCH(F$1,[2]stages!$2:$2,0)-MATCH($D$1,[2]stages!$2:$2,0)+1),MATCH(F$1,[2]stages!$2:$2,0)-MATCH($D$1,[2]stages!$2:$2,0)+1,FALSE)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4" s="68">
        <v>3</v>
      </c>
      <c r="H134" s="16" t="str">
        <f t="shared" si="48"/>
        <v>11007_3-3</v>
      </c>
      <c r="I134" s="5" t="e">
        <v>#N/A</v>
      </c>
      <c r="J134" s="5" t="e">
        <v>#N/A</v>
      </c>
      <c r="K134" s="70" t="s">
        <v>172</v>
      </c>
      <c r="L134" s="70">
        <v>336</v>
      </c>
      <c r="M134" s="20" t="str">
        <f ca="1">VLOOKUP($L134,OFFSET([3]enemies!$A$1,0,0,COUNTA([3]enemies!$A:$A),MATCH(M$1,[3]enemies!$1:$1,0)-MATCH($L$1,[3]enemies!$1:$1,0)+1),MATCH(M$1,[3]enemies!$1:$1,0)-MATCH($L$1,[3]enemies!$1:$1,0)+1,FALSE)</f>
        <v>森のメタルピヨピヨ</v>
      </c>
      <c r="N134" s="20" t="str">
        <f ca="1">VLOOKUP($L134,OFFSET([3]enemies!$A$1,0,0,COUNTA([3]enemies!$A:$A),MATCH(N$1,[3]enemies!$1:$1,0)-MATCH($L$1,[3]enemies!$1:$1,0)+1),MATCH(N$1,[3]enemies!$1:$1,0)-MATCH($L$1,[3]enemies!$1:$1,0)+1,FALSE)</f>
        <v>green</v>
      </c>
      <c r="O134" s="22" t="str">
        <f ca="1">VLOOKUP($L134,OFFSET([4]characters!$A$1,0,0,COUNTA([4]characters!$A:$A),MATCH(O$1,[4]characters!$1:$1,0)-MATCH($L$1,[4]characters!$1:$1,0)+1),MATCH(O$1,[4]characters!$1:$1,0)-MATCH($L$1,[4]characters!$1:$1,0)+1,FALSE)</f>
        <v>Material</v>
      </c>
      <c r="P134" s="20" t="str">
        <f ca="1">VLOOKUP($L134,OFFSET([3]enemies!$A$1,0,0,COUNTA([3]enemies!$A:$A),MATCH(P$1,[3]enemies!$1:$1,0)-MATCH($L$1,[3]enemies!$1:$1,0)+1),MATCH(P$1,[3]enemies!$1:$1,0)-MATCH($L$1,[3]enemies!$1:$1,0)+1,FALSE)</f>
        <v>unknown</v>
      </c>
      <c r="Q134" s="20">
        <f ca="1">VLOOKUP($L134,OFFSET([3]enemies!$A$1,0,0,COUNTA([3]enemies!$A:$A),MATCH(Q$1,[3]enemies!$1:$1,0)-MATCH($L$1,[3]enemies!$1:$1,0)+1),MATCH(Q$1,[3]enemies!$1:$1,0)-MATCH($L$1,[3]enemies!$1:$1,0)+1,FALSE)</f>
        <v>15</v>
      </c>
      <c r="R134" s="6">
        <v>1</v>
      </c>
      <c r="S134" s="30">
        <v>1</v>
      </c>
      <c r="T134" s="30">
        <v>1</v>
      </c>
      <c r="U134" s="6">
        <v>0</v>
      </c>
      <c r="V134" s="5" t="str">
        <f ca="1">VLOOKUP($W134,OFFSET([5]enemy_skill_sets!$B$1,0,0,COUNTA([5]enemy_skill_sets!$B:$B),MATCH(M$1,[5]enemy_skill_sets!$1:$1,0)-MATCH($W$1,[5]enemy_skill_sets!$1:$1,0)+2),MATCH(M$1,[5]enemy_skill_sets!$1:$1,0)-MATCH($W$1,[5]enemy_skill_sets!$1:$1,0)+2,FALSE)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4" s="5">
        <f ca="1">VLOOKUP($L134,OFFSET([3]enemies!$A$1,0,0,COUNTA([3]enemies!$A:$A),MATCH(W$1,[3]enemies!$1:$1,0)-MATCH($L$1,[3]enemies!$1:$1,0)+1),MATCH(W$1,[3]enemies!$1:$1,0)-MATCH($L$1,[3]enemies!$1:$1,0)+1,FALSE)</f>
        <v>0</v>
      </c>
      <c r="X134" s="7">
        <v>0</v>
      </c>
      <c r="Y134" s="7">
        <v>30</v>
      </c>
      <c r="Z134" s="7">
        <v>0</v>
      </c>
      <c r="AA134" s="20">
        <f ca="1">VLOOKUP($L134,OFFSET([3]enemies!$A$1,0,0,COUNTA([3]enemies!$A:$A),MATCH(AA$1,[3]enemies!$1:$1,0)-MATCH($L$1,[3]enemies!$1:$1,0)+1),MATCH(AA$1,[3]enemies!$1:$1,0)-MATCH($L$1,[3]enemies!$1:$1,0)+1,FALSE)</f>
        <v>1</v>
      </c>
      <c r="AB134" s="70">
        <v>336</v>
      </c>
      <c r="AC134" s="5" t="str">
        <f ca="1">IFERROR(VLOOKUP($AB134,OFFSET([4]characters!$A$1,0,0,COUNTA([4]characters!$A:$A),MATCH(AC$1,[4]characters!$1:$1,0)-MATCH("character_id",[4]characters!$1:$1,0)+1),MATCH(AC$1,[4]characters!$1:$1,0)-MATCH("character_id",[4]characters!$1:$1,0)+1,FALSE),"")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34" s="5">
        <f ca="1">IFERROR(VLOOKUP($AB134,OFFSET([4]characters!$A$1,0,0,COUNTA([4]characters!$A:$A),MATCH(AD$1,[4]characters!$1:$1,0)-MATCH("character_id",[4]characters!$1:$1,0)+1),MATCH(AD$1,[4]characters!$1:$1,0)-MATCH("character_id",[4]characters!$1:$1,0)+1,FALSE),"")</f>
        <v>3</v>
      </c>
      <c r="AE134" s="5" t="str">
        <f ca="1">IFERROR(VLOOKUP($AB134,OFFSET([4]characters!$A$1,0,0,COUNTA([4]characters!$A:$A),MATCH(AE$1,[4]characters!$1:$1,0)-MATCH("character_id",[4]characters!$1:$1,0)+1),MATCH(AE$1,[4]characters!$1:$1,0)-MATCH("character_id",[4]characters!$1:$1,0)+1,FALSE),"")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4" s="28">
        <v>1</v>
      </c>
      <c r="AG134" s="75">
        <f t="shared" ca="1" si="51"/>
        <v>3</v>
      </c>
      <c r="AH134" s="9">
        <v>10</v>
      </c>
      <c r="AI134" s="28">
        <v>0</v>
      </c>
      <c r="AJ134" s="28">
        <v>0</v>
      </c>
      <c r="AK134" s="28">
        <v>0</v>
      </c>
      <c r="AL134" s="28">
        <v>0</v>
      </c>
      <c r="AM134" s="28">
        <v>1</v>
      </c>
      <c r="AN134" s="28">
        <v>1</v>
      </c>
    </row>
    <row r="135" spans="1:40" ht="21" customHeight="1" x14ac:dyDescent="0.15">
      <c r="A135" s="17" t="str">
        <f t="shared" ca="1" si="50"/>
        <v>11007_3-3/337&lt;lv1&gt;s2</v>
      </c>
      <c r="B135" s="84">
        <v>11007</v>
      </c>
      <c r="C135" s="85">
        <v>3</v>
      </c>
      <c r="D135" s="16" t="str">
        <f t="shared" si="47"/>
        <v>11007_3</v>
      </c>
      <c r="E135" s="5" t="str">
        <f ca="1">VLOOKUP($B135,OFFSET([2]quests!$A$1,0,0,COUNTA([2]quests!$A:$A),MATCH(E$1,[2]quests!$1:$1,0)-MATCH($B$1,[2]quests!$1:$1,0)+1),MATCH(E$1,[2]quests!$1:$1,0)-MATCH($B$1,[2]quests!$1:$1,0)+1,FALSE)</f>
        <v>【土曜限定】 赤と緑の素材</v>
      </c>
      <c r="F135" s="5" t="str">
        <f ca="1">VLOOKUP($D135,OFFSET([2]stages!$A$1,0,0,COUNTA([2]stages!$A:$A),MATCH(F$1,[2]stages!$2:$2,0)-MATCH($D$1,[2]stages!$2:$2,0)+1),MATCH(F$1,[2]stages!$2:$2,0)-MATCH($D$1,[2]stages!$2:$2,0)+1,FALSE)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5" s="68">
        <v>3</v>
      </c>
      <c r="H135" s="16" t="str">
        <f t="shared" si="48"/>
        <v>11007_3-3</v>
      </c>
      <c r="I135" s="5" t="e">
        <v>#N/A</v>
      </c>
      <c r="J135" s="5" t="e">
        <v>#N/A</v>
      </c>
      <c r="K135" s="70" t="s">
        <v>172</v>
      </c>
      <c r="L135" s="70">
        <v>337</v>
      </c>
      <c r="M135" s="20" t="str">
        <f ca="1">VLOOKUP($L135,OFFSET([3]enemies!$A$1,0,0,COUNTA([3]enemies!$A:$A),MATCH(M$1,[3]enemies!$1:$1,0)-MATCH($L$1,[3]enemies!$1:$1,0)+1),MATCH(M$1,[3]enemies!$1:$1,0)-MATCH($L$1,[3]enemies!$1:$1,0)+1,FALSE)</f>
        <v>森のメタルチック</v>
      </c>
      <c r="N135" s="20" t="str">
        <f ca="1">VLOOKUP($L135,OFFSET([3]enemies!$A$1,0,0,COUNTA([3]enemies!$A:$A),MATCH(N$1,[3]enemies!$1:$1,0)-MATCH($L$1,[3]enemies!$1:$1,0)+1),MATCH(N$1,[3]enemies!$1:$1,0)-MATCH($L$1,[3]enemies!$1:$1,0)+1,FALSE)</f>
        <v>green</v>
      </c>
      <c r="O135" s="22" t="str">
        <f ca="1">VLOOKUP($L135,OFFSET([4]characters!$A$1,0,0,COUNTA([4]characters!$A:$A),MATCH(O$1,[4]characters!$1:$1,0)-MATCH($L$1,[4]characters!$1:$1,0)+1),MATCH(O$1,[4]characters!$1:$1,0)-MATCH($L$1,[4]characters!$1:$1,0)+1,FALSE)</f>
        <v>Material</v>
      </c>
      <c r="P135" s="20" t="str">
        <f ca="1">VLOOKUP($L135,OFFSET([3]enemies!$A$1,0,0,COUNTA([3]enemies!$A:$A),MATCH(P$1,[3]enemies!$1:$1,0)-MATCH($L$1,[3]enemies!$1:$1,0)+1),MATCH(P$1,[3]enemies!$1:$1,0)-MATCH($L$1,[3]enemies!$1:$1,0)+1,FALSE)</f>
        <v>unknown</v>
      </c>
      <c r="Q135" s="20">
        <f ca="1">VLOOKUP($L135,OFFSET([3]enemies!$A$1,0,0,COUNTA([3]enemies!$A:$A),MATCH(Q$1,[3]enemies!$1:$1,0)-MATCH($L$1,[3]enemies!$1:$1,0)+1),MATCH(Q$1,[3]enemies!$1:$1,0)-MATCH($L$1,[3]enemies!$1:$1,0)+1,FALSE)</f>
        <v>15</v>
      </c>
      <c r="R135" s="6">
        <v>1</v>
      </c>
      <c r="S135" s="30">
        <v>1</v>
      </c>
      <c r="T135" s="30">
        <v>1</v>
      </c>
      <c r="U135" s="6">
        <v>0</v>
      </c>
      <c r="V135" s="5" t="str">
        <f ca="1">VLOOKUP($W135,OFFSET([5]enemy_skill_sets!$B$1,0,0,COUNTA([5]enemy_skill_sets!$B:$B),MATCH(M$1,[5]enemy_skill_sets!$1:$1,0)-MATCH($W$1,[5]enemy_skill_sets!$1:$1,0)+2),MATCH(M$1,[5]enemy_skill_sets!$1:$1,0)-MATCH($W$1,[5]enemy_skill_sets!$1:$1,0)+2,FALSE)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5" s="5">
        <f ca="1">VLOOKUP($L135,OFFSET([3]enemies!$A$1,0,0,COUNTA([3]enemies!$A:$A),MATCH(W$1,[3]enemies!$1:$1,0)-MATCH($L$1,[3]enemies!$1:$1,0)+1),MATCH(W$1,[3]enemies!$1:$1,0)-MATCH($L$1,[3]enemies!$1:$1,0)+1,FALSE)</f>
        <v>0</v>
      </c>
      <c r="X135" s="7">
        <v>0</v>
      </c>
      <c r="Y135" s="7">
        <v>30</v>
      </c>
      <c r="Z135" s="7">
        <v>0</v>
      </c>
      <c r="AA135" s="20">
        <f ca="1">VLOOKUP($L135,OFFSET([3]enemies!$A$1,0,0,COUNTA([3]enemies!$A:$A),MATCH(AA$1,[3]enemies!$1:$1,0)-MATCH($L$1,[3]enemies!$1:$1,0)+1),MATCH(AA$1,[3]enemies!$1:$1,0)-MATCH($L$1,[3]enemies!$1:$1,0)+1,FALSE)</f>
        <v>2</v>
      </c>
      <c r="AB135" s="70">
        <v>337</v>
      </c>
      <c r="AC135" s="5" t="str">
        <f ca="1">IFERROR(VLOOKUP($AB135,OFFSET([4]characters!$A$1,0,0,COUNTA([4]characters!$A:$A),MATCH(AC$1,[4]characters!$1:$1,0)-MATCH("character_id",[4]characters!$1:$1,0)+1),MATCH(AC$1,[4]characters!$1:$1,0)-MATCH("character_id",[4]characters!$1:$1,0)+1,FALSE),"")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35" s="5">
        <f ca="1">IFERROR(VLOOKUP($AB135,OFFSET([4]characters!$A$1,0,0,COUNTA([4]characters!$A:$A),MATCH(AD$1,[4]characters!$1:$1,0)-MATCH("character_id",[4]characters!$1:$1,0)+1),MATCH(AD$1,[4]characters!$1:$1,0)-MATCH("character_id",[4]characters!$1:$1,0)+1,FALSE),"")</f>
        <v>4</v>
      </c>
      <c r="AE135" s="5" t="str">
        <f ca="1">IFERROR(VLOOKUP($AB135,OFFSET([4]characters!$A$1,0,0,COUNTA([4]characters!$A:$A),MATCH(AE$1,[4]characters!$1:$1,0)-MATCH("character_id",[4]characters!$1:$1,0)+1),MATCH(AE$1,[4]characters!$1:$1,0)-MATCH("character_id",[4]characters!$1:$1,0)+1,FALSE),"")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5" s="28">
        <v>1</v>
      </c>
      <c r="AG135" s="75">
        <f t="shared" ca="1" si="51"/>
        <v>4</v>
      </c>
      <c r="AH135" s="9">
        <v>5</v>
      </c>
      <c r="AI135" s="28">
        <v>0</v>
      </c>
      <c r="AJ135" s="28">
        <v>0</v>
      </c>
      <c r="AK135" s="28">
        <v>0</v>
      </c>
      <c r="AL135" s="28">
        <v>0</v>
      </c>
      <c r="AM135" s="28">
        <v>1</v>
      </c>
      <c r="AN135" s="28">
        <v>1</v>
      </c>
    </row>
    <row r="136" spans="1:40" ht="21" customHeight="1" x14ac:dyDescent="0.15">
      <c r="A136" s="17" t="str">
        <f t="shared" ca="1" si="50"/>
        <v>11007_3-4/107&lt;lv30&gt;s1</v>
      </c>
      <c r="B136" s="84">
        <v>11007</v>
      </c>
      <c r="C136" s="85">
        <v>3</v>
      </c>
      <c r="D136" s="16" t="str">
        <f t="shared" si="47"/>
        <v>11007_3</v>
      </c>
      <c r="E136" s="5" t="str">
        <f ca="1">VLOOKUP($B136,OFFSET([2]quests!$A$1,0,0,COUNTA([2]quests!$A:$A),MATCH(E$1,[2]quests!$1:$1,0)-MATCH($B$1,[2]quests!$1:$1,0)+1),MATCH(E$1,[2]quests!$1:$1,0)-MATCH($B$1,[2]quests!$1:$1,0)+1,FALSE)</f>
        <v>【土曜限定】 赤と緑の素材</v>
      </c>
      <c r="F136" s="5" t="str">
        <f ca="1">VLOOKUP($D136,OFFSET([2]stages!$A$1,0,0,COUNTA([2]stages!$A:$A),MATCH(F$1,[2]stages!$2:$2,0)-MATCH($D$1,[2]stages!$2:$2,0)+1),MATCH(F$1,[2]stages!$2:$2,0)-MATCH($D$1,[2]stages!$2:$2,0)+1,FALSE)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6" s="68">
        <v>4</v>
      </c>
      <c r="H136" s="16" t="str">
        <f t="shared" si="48"/>
        <v>11007_3-4</v>
      </c>
      <c r="I136" s="5" t="e">
        <v>#N/A</v>
      </c>
      <c r="J136" s="5" t="e">
        <v>#N/A</v>
      </c>
      <c r="K136" s="70" t="s">
        <v>172</v>
      </c>
      <c r="L136" s="70">
        <v>107</v>
      </c>
      <c r="M136" s="20" t="str">
        <f ca="1">VLOOKUP($L136,OFFSET([3]enemies!$A$1,0,0,COUNTA([3]enemies!$A:$A),MATCH(M$1,[3]enemies!$1:$1,0)-MATCH($L$1,[3]enemies!$1:$1,0)+1),MATCH(M$1,[3]enemies!$1:$1,0)-MATCH($L$1,[3]enemies!$1:$1,0)+1,FALSE)</f>
        <v>グリーンキャタップ</v>
      </c>
      <c r="N136" s="20" t="str">
        <f ca="1">VLOOKUP($L136,OFFSET([3]enemies!$A$1,0,0,COUNTA([3]enemies!$A:$A),MATCH(N$1,[3]enemies!$1:$1,0)-MATCH($L$1,[3]enemies!$1:$1,0)+1),MATCH(N$1,[3]enemies!$1:$1,0)-MATCH($L$1,[3]enemies!$1:$1,0)+1,FALSE)</f>
        <v>green</v>
      </c>
      <c r="O136" s="22" t="str">
        <f ca="1">VLOOKUP($L136,OFFSET([4]characters!$A$1,0,0,COUNTA([4]characters!$A:$A),MATCH(O$1,[4]characters!$1:$1,0)-MATCH($L$1,[4]characters!$1:$1,0)+1),MATCH(O$1,[4]characters!$1:$1,0)-MATCH($L$1,[4]characters!$1:$1,0)+1,FALSE)</f>
        <v>Material</v>
      </c>
      <c r="P136" s="20" t="str">
        <f ca="1">VLOOKUP($L136,OFFSET([3]enemies!$A$1,0,0,COUNTA([3]enemies!$A:$A),MATCH(P$1,[3]enemies!$1:$1,0)-MATCH($L$1,[3]enemies!$1:$1,0)+1),MATCH(P$1,[3]enemies!$1:$1,0)-MATCH($L$1,[3]enemies!$1:$1,0)+1,FALSE)</f>
        <v>unknown</v>
      </c>
      <c r="Q136" s="20">
        <f ca="1">VLOOKUP($L136,OFFSET([3]enemies!$A$1,0,0,COUNTA([3]enemies!$A:$A),MATCH(Q$1,[3]enemies!$1:$1,0)-MATCH($L$1,[3]enemies!$1:$1,0)+1),MATCH(Q$1,[3]enemies!$1:$1,0)-MATCH($L$1,[3]enemies!$1:$1,0)+1,FALSE)</f>
        <v>15</v>
      </c>
      <c r="R136" s="6">
        <v>30</v>
      </c>
      <c r="S136" s="30">
        <v>2</v>
      </c>
      <c r="T136" s="30">
        <v>1</v>
      </c>
      <c r="U136" s="6">
        <v>0</v>
      </c>
      <c r="V136" s="5" t="str">
        <f ca="1">VLOOKUP($W136,OFFSET([5]enemy_skill_sets!$B$1,0,0,COUNTA([5]enemy_skill_sets!$B:$B),MATCH(M$1,[5]enemy_skill_sets!$1:$1,0)-MATCH($W$1,[5]enemy_skill_sets!$1:$1,0)+2),MATCH(M$1,[5]enemy_skill_sets!$1:$1,0)-MATCH($W$1,[5]enemy_skill_sets!$1:$1,0)+2,FALSE)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6" s="5">
        <f ca="1">VLOOKUP($L136,OFFSET([3]enemies!$A$1,0,0,COUNTA([3]enemies!$A:$A),MATCH(W$1,[3]enemies!$1:$1,0)-MATCH($L$1,[3]enemies!$1:$1,0)+1),MATCH(W$1,[3]enemies!$1:$1,0)-MATCH($L$1,[3]enemies!$1:$1,0)+1,FALSE)</f>
        <v>0</v>
      </c>
      <c r="X136" s="7">
        <v>0</v>
      </c>
      <c r="Y136" s="7">
        <v>50</v>
      </c>
      <c r="Z136" s="7">
        <v>1</v>
      </c>
      <c r="AA136" s="20">
        <f ca="1">VLOOKUP($L136,OFFSET([3]enemies!$A$1,0,0,COUNTA([3]enemies!$A:$A),MATCH(AA$1,[3]enemies!$1:$1,0)-MATCH($L$1,[3]enemies!$1:$1,0)+1),MATCH(AA$1,[3]enemies!$1:$1,0)-MATCH($L$1,[3]enemies!$1:$1,0)+1,FALSE)</f>
        <v>1</v>
      </c>
      <c r="AB136" s="70">
        <v>107</v>
      </c>
      <c r="AC136" s="5" t="str">
        <f ca="1">IFERROR(VLOOKUP($AB136,OFFSET([4]characters!$A$1,0,0,COUNTA([4]characters!$A:$A),MATCH(AC$1,[4]characters!$1:$1,0)-MATCH("character_id",[4]characters!$1:$1,0)+1),MATCH(AC$1,[4]characters!$1:$1,0)-MATCH("character_id",[4]characters!$1:$1,0)+1,FALSE),"")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36" s="5">
        <f ca="1">IFERROR(VLOOKUP($AB136,OFFSET([4]characters!$A$1,0,0,COUNTA([4]characters!$A:$A),MATCH(AD$1,[4]characters!$1:$1,0)-MATCH("character_id",[4]characters!$1:$1,0)+1),MATCH(AD$1,[4]characters!$1:$1,0)-MATCH("character_id",[4]characters!$1:$1,0)+1,FALSE),"")</f>
        <v>4</v>
      </c>
      <c r="AE136" s="5" t="str">
        <f ca="1">IFERROR(VLOOKUP($AB136,OFFSET([4]characters!$A$1,0,0,COUNTA([4]characters!$A:$A),MATCH(AE$1,[4]characters!$1:$1,0)-MATCH("character_id",[4]characters!$1:$1,0)+1),MATCH(AE$1,[4]characters!$1:$1,0)-MATCH("character_id",[4]characters!$1:$1,0)+1,FALSE),"")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6" s="28">
        <v>1</v>
      </c>
      <c r="AG136" s="75">
        <f t="shared" ca="1" si="51"/>
        <v>4</v>
      </c>
      <c r="AH136" s="9">
        <v>100</v>
      </c>
      <c r="AI136" s="28">
        <v>0</v>
      </c>
      <c r="AJ136" s="28">
        <v>0</v>
      </c>
      <c r="AK136" s="28">
        <v>0</v>
      </c>
      <c r="AL136" s="28">
        <v>0</v>
      </c>
      <c r="AM136" s="28">
        <v>1</v>
      </c>
      <c r="AN136" s="28">
        <v>1</v>
      </c>
    </row>
    <row r="137" spans="1:40" ht="21" customHeight="1" x14ac:dyDescent="0.15">
      <c r="A137" s="17" t="str">
        <f t="shared" ca="1" si="50"/>
        <v>11007_3-4/35&lt;lv35&gt;s4</v>
      </c>
      <c r="B137" s="84">
        <v>11007</v>
      </c>
      <c r="C137" s="85">
        <v>3</v>
      </c>
      <c r="D137" s="16" t="str">
        <f t="shared" si="47"/>
        <v>11007_3</v>
      </c>
      <c r="E137" s="5" t="str">
        <f ca="1">VLOOKUP($B137,OFFSET([2]quests!$A$1,0,0,COUNTA([2]quests!$A:$A),MATCH(E$1,[2]quests!$1:$1,0)-MATCH($B$1,[2]quests!$1:$1,0)+1),MATCH(E$1,[2]quests!$1:$1,0)-MATCH($B$1,[2]quests!$1:$1,0)+1,FALSE)</f>
        <v>【土曜限定】 赤と緑の素材</v>
      </c>
      <c r="F137" s="5" t="str">
        <f ca="1">VLOOKUP($D137,OFFSET([2]stages!$A$1,0,0,COUNTA([2]stages!$A:$A),MATCH(F$1,[2]stages!$2:$2,0)-MATCH($D$1,[2]stages!$2:$2,0)+1),MATCH(F$1,[2]stages!$2:$2,0)-MATCH($D$1,[2]stages!$2:$2,0)+1,FALSE)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7" s="68">
        <v>4</v>
      </c>
      <c r="H137" s="16" t="str">
        <f t="shared" si="48"/>
        <v>11007_3-4</v>
      </c>
      <c r="I137" s="5" t="e">
        <v>#N/A</v>
      </c>
      <c r="J137" s="5" t="e">
        <v>#N/A</v>
      </c>
      <c r="K137" s="70" t="s">
        <v>172</v>
      </c>
      <c r="L137" s="70">
        <v>35</v>
      </c>
      <c r="M137" s="20" t="str">
        <f ca="1">VLOOKUP($L137,OFFSET([3]enemies!$A$1,0,0,COUNTA([3]enemies!$A:$A),MATCH(M$1,[3]enemies!$1:$1,0)-MATCH($L$1,[3]enemies!$1:$1,0)+1),MATCH(M$1,[3]enemies!$1:$1,0)-MATCH($L$1,[3]enemies!$1:$1,0)+1,FALSE)</f>
        <v>F2</v>
      </c>
      <c r="N137" s="20" t="str">
        <f ca="1">VLOOKUP($L137,OFFSET([3]enemies!$A$1,0,0,COUNTA([3]enemies!$A:$A),MATCH(N$1,[3]enemies!$1:$1,0)-MATCH($L$1,[3]enemies!$1:$1,0)+1),MATCH(N$1,[3]enemies!$1:$1,0)-MATCH($L$1,[3]enemies!$1:$1,0)+1,FALSE)</f>
        <v>green</v>
      </c>
      <c r="O137" s="22" t="str">
        <f ca="1">VLOOKUP($L137,OFFSET([4]characters!$A$1,0,0,COUNTA([4]characters!$A:$A),MATCH(O$1,[4]characters!$1:$1,0)-MATCH($L$1,[4]characters!$1:$1,0)+1),MATCH(O$1,[4]characters!$1:$1,0)-MATCH($L$1,[4]characters!$1:$1,0)+1,FALSE)</f>
        <v>Drop1S</v>
      </c>
      <c r="P137" s="20" t="str">
        <f ca="1">VLOOKUP($L137,OFFSET([3]enemies!$A$1,0,0,COUNTA([3]enemies!$A:$A),MATCH(P$1,[3]enemies!$1:$1,0)-MATCH($L$1,[3]enemies!$1:$1,0)+1),MATCH(P$1,[3]enemies!$1:$1,0)-MATCH($L$1,[3]enemies!$1:$1,0)+1,FALSE)</f>
        <v>machine</v>
      </c>
      <c r="Q137" s="20">
        <f ca="1">VLOOKUP($L137,OFFSET([3]enemies!$A$1,0,0,COUNTA([3]enemies!$A:$A),MATCH(Q$1,[3]enemies!$1:$1,0)-MATCH($L$1,[3]enemies!$1:$1,0)+1),MATCH(Q$1,[3]enemies!$1:$1,0)-MATCH($L$1,[3]enemies!$1:$1,0)+1,FALSE)</f>
        <v>15</v>
      </c>
      <c r="R137" s="6">
        <v>35</v>
      </c>
      <c r="S137" s="30">
        <v>1</v>
      </c>
      <c r="T137" s="30">
        <v>1</v>
      </c>
      <c r="U137" s="6">
        <v>0</v>
      </c>
      <c r="V137" s="5" t="str">
        <f ca="1">VLOOKUP($W137,OFFSET([5]enemy_skill_sets!$B$1,0,0,COUNTA([5]enemy_skill_sets!$B:$B),MATCH(M$1,[5]enemy_skill_sets!$1:$1,0)-MATCH($W$1,[5]enemy_skill_sets!$1:$1,0)+2),MATCH(M$1,[5]enemy_skill_sets!$1:$1,0)-MATCH($W$1,[5]enemy_skill_sets!$1:$1,0)+2,FALSE)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37" s="5">
        <f ca="1">VLOOKUP($L137,OFFSET([3]enemies!$A$1,0,0,COUNTA([3]enemies!$A:$A),MATCH(W$1,[3]enemies!$1:$1,0)-MATCH($L$1,[3]enemies!$1:$1,0)+1),MATCH(W$1,[3]enemies!$1:$1,0)-MATCH($L$1,[3]enemies!$1:$1,0)+1,FALSE)</f>
        <v>35</v>
      </c>
      <c r="X137" s="7">
        <v>0</v>
      </c>
      <c r="Y137" s="7">
        <v>100</v>
      </c>
      <c r="Z137" s="7">
        <v>0</v>
      </c>
      <c r="AA137" s="20">
        <f ca="1">VLOOKUP($L137,OFFSET([3]enemies!$A$1,0,0,COUNTA([3]enemies!$A:$A),MATCH(AA$1,[3]enemies!$1:$1,0)-MATCH($L$1,[3]enemies!$1:$1,0)+1),MATCH(AA$1,[3]enemies!$1:$1,0)-MATCH($L$1,[3]enemies!$1:$1,0)+1,FALSE)</f>
        <v>4</v>
      </c>
      <c r="AB137" s="70">
        <v>35</v>
      </c>
      <c r="AC137" s="5" t="str">
        <f ca="1">IFERROR(VLOOKUP($AB137,OFFSET([4]characters!$A$1,0,0,COUNTA([4]characters!$A:$A),MATCH(AC$1,[4]characters!$1:$1,0)-MATCH("character_id",[4]characters!$1:$1,0)+1),MATCH(AC$1,[4]characters!$1:$1,0)-MATCH("character_id",[4]characters!$1:$1,0)+1,FALSE),"")</f>
        <v>F2</v>
      </c>
      <c r="AD137" s="5">
        <f ca="1">IFERROR(VLOOKUP($AB137,OFFSET([4]characters!$A$1,0,0,COUNTA([4]characters!$A:$A),MATCH(AD$1,[4]characters!$1:$1,0)-MATCH("character_id",[4]characters!$1:$1,0)+1),MATCH(AD$1,[4]characters!$1:$1,0)-MATCH("character_id",[4]characters!$1:$1,0)+1,FALSE),"")</f>
        <v>2</v>
      </c>
      <c r="AE137" s="5" t="str">
        <f ca="1">IFERROR(VLOOKUP($AB137,OFFSET([4]characters!$A$1,0,0,COUNTA([4]characters!$A:$A),MATCH(AE$1,[4]characters!$1:$1,0)-MATCH("character_id",[4]characters!$1:$1,0)+1),MATCH(AE$1,[4]characters!$1:$1,0)-MATCH("character_id",[4]characters!$1:$1,0)+1,FALSE),"")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37" s="28">
        <v>1</v>
      </c>
      <c r="AG137" s="75">
        <f t="shared" ca="1" si="51"/>
        <v>2</v>
      </c>
      <c r="AH137" s="9">
        <v>0</v>
      </c>
      <c r="AI137" s="28">
        <v>0</v>
      </c>
      <c r="AJ137" s="28">
        <v>0</v>
      </c>
      <c r="AK137" s="28">
        <v>0</v>
      </c>
      <c r="AL137" s="28">
        <v>0</v>
      </c>
      <c r="AM137" s="28">
        <v>1</v>
      </c>
      <c r="AN137" s="28">
        <v>1</v>
      </c>
    </row>
    <row r="138" spans="1:40" ht="21" customHeight="1" x14ac:dyDescent="0.15">
      <c r="A138" s="17" t="str">
        <f t="shared" ca="1" si="50"/>
        <v>11007_3-4/27&lt;lv35&gt;s1</v>
      </c>
      <c r="B138" s="84">
        <v>11007</v>
      </c>
      <c r="C138" s="85">
        <v>3</v>
      </c>
      <c r="D138" s="16" t="str">
        <f t="shared" si="47"/>
        <v>11007_3</v>
      </c>
      <c r="E138" s="5" t="str">
        <f ca="1">VLOOKUP($B138,OFFSET([2]quests!$A$1,0,0,COUNTA([2]quests!$A:$A),MATCH(E$1,[2]quests!$1:$1,0)-MATCH($B$1,[2]quests!$1:$1,0)+1),MATCH(E$1,[2]quests!$1:$1,0)-MATCH($B$1,[2]quests!$1:$1,0)+1,FALSE)</f>
        <v>【土曜限定】 赤と緑の素材</v>
      </c>
      <c r="F138" s="5" t="str">
        <f ca="1">VLOOKUP($D138,OFFSET([2]stages!$A$1,0,0,COUNTA([2]stages!$A:$A),MATCH(F$1,[2]stages!$2:$2,0)-MATCH($D$1,[2]stages!$2:$2,0)+1),MATCH(F$1,[2]stages!$2:$2,0)-MATCH($D$1,[2]stages!$2:$2,0)+1,FALSE)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8" s="68">
        <v>4</v>
      </c>
      <c r="H138" s="16" t="str">
        <f t="shared" si="48"/>
        <v>11007_3-4</v>
      </c>
      <c r="I138" s="5" t="e">
        <v>#N/A</v>
      </c>
      <c r="J138" s="5" t="e">
        <v>#N/A</v>
      </c>
      <c r="K138" s="70" t="s">
        <v>172</v>
      </c>
      <c r="L138" s="70">
        <v>27</v>
      </c>
      <c r="M138" s="20" t="str">
        <f ca="1">VLOOKUP($L138,OFFSET([3]enemies!$A$1,0,0,COUNTA([3]enemies!$A:$A),MATCH(M$1,[3]enemies!$1:$1,0)-MATCH($L$1,[3]enemies!$1:$1,0)+1),MATCH(M$1,[3]enemies!$1:$1,0)-MATCH($L$1,[3]enemies!$1:$1,0)+1,FALSE)</f>
        <v>パトライン</v>
      </c>
      <c r="N138" s="20" t="str">
        <f ca="1">VLOOKUP($L138,OFFSET([3]enemies!$A$1,0,0,COUNTA([3]enemies!$A:$A),MATCH(N$1,[3]enemies!$1:$1,0)-MATCH($L$1,[3]enemies!$1:$1,0)+1),MATCH(N$1,[3]enemies!$1:$1,0)-MATCH($L$1,[3]enemies!$1:$1,0)+1,FALSE)</f>
        <v>green</v>
      </c>
      <c r="O138" s="22" t="str">
        <f ca="1">VLOOKUP($L138,OFFSET([4]characters!$A$1,0,0,COUNTA([4]characters!$A:$A),MATCH(O$1,[4]characters!$1:$1,0)-MATCH($L$1,[4]characters!$1:$1,0)+1),MATCH(O$1,[4]characters!$1:$1,0)-MATCH($L$1,[4]characters!$1:$1,0)+1,FALSE)</f>
        <v>Drop1N</v>
      </c>
      <c r="P138" s="20" t="str">
        <f ca="1">VLOOKUP($L138,OFFSET([3]enemies!$A$1,0,0,COUNTA([3]enemies!$A:$A),MATCH(P$1,[3]enemies!$1:$1,0)-MATCH($L$1,[3]enemies!$1:$1,0)+1),MATCH(P$1,[3]enemies!$1:$1,0)-MATCH($L$1,[3]enemies!$1:$1,0)+1,FALSE)</f>
        <v>machine</v>
      </c>
      <c r="Q138" s="20">
        <f ca="1">VLOOKUP($L138,OFFSET([3]enemies!$A$1,0,0,COUNTA([3]enemies!$A:$A),MATCH(Q$1,[3]enemies!$1:$1,0)-MATCH($L$1,[3]enemies!$1:$1,0)+1),MATCH(Q$1,[3]enemies!$1:$1,0)-MATCH($L$1,[3]enemies!$1:$1,0)+1,FALSE)</f>
        <v>15</v>
      </c>
      <c r="R138" s="6">
        <v>35</v>
      </c>
      <c r="S138" s="30">
        <v>1</v>
      </c>
      <c r="T138" s="30">
        <v>1</v>
      </c>
      <c r="U138" s="6">
        <v>0</v>
      </c>
      <c r="V138" s="5" t="str">
        <f ca="1">VLOOKUP($W138,OFFSET([5]enemy_skill_sets!$B$1,0,0,COUNTA([5]enemy_skill_sets!$B:$B),MATCH(M$1,[5]enemy_skill_sets!$1:$1,0)-MATCH($W$1,[5]enemy_skill_sets!$1:$1,0)+2),MATCH(M$1,[5]enemy_skill_sets!$1:$1,0)-MATCH($W$1,[5]enemy_skill_sets!$1:$1,0)+2,FALSE)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8" s="5">
        <f ca="1">VLOOKUP($L138,OFFSET([3]enemies!$A$1,0,0,COUNTA([3]enemies!$A:$A),MATCH(W$1,[3]enemies!$1:$1,0)-MATCH($L$1,[3]enemies!$1:$1,0)+1),MATCH(W$1,[3]enemies!$1:$1,0)-MATCH($L$1,[3]enemies!$1:$1,0)+1,FALSE)</f>
        <v>0</v>
      </c>
      <c r="X138" s="7">
        <v>0</v>
      </c>
      <c r="Y138" s="7">
        <v>100</v>
      </c>
      <c r="Z138" s="7">
        <v>0</v>
      </c>
      <c r="AA138" s="20">
        <f ca="1">VLOOKUP($L138,OFFSET([3]enemies!$A$1,0,0,COUNTA([3]enemies!$A:$A),MATCH(AA$1,[3]enemies!$1:$1,0)-MATCH($L$1,[3]enemies!$1:$1,0)+1),MATCH(AA$1,[3]enemies!$1:$1,0)-MATCH($L$1,[3]enemies!$1:$1,0)+1,FALSE)</f>
        <v>1</v>
      </c>
      <c r="AB138" s="70">
        <v>27</v>
      </c>
      <c r="AC138" s="5" t="str">
        <f ca="1">IFERROR(VLOOKUP($AB138,OFFSET([4]characters!$A$1,0,0,COUNTA([4]characters!$A:$A),MATCH(AC$1,[4]characters!$1:$1,0)-MATCH("character_id",[4]characters!$1:$1,0)+1),MATCH(AC$1,[4]characters!$1:$1,0)-MATCH("character_id",[4]characters!$1:$1,0)+1,FALSE),"")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38" s="5">
        <f ca="1">IFERROR(VLOOKUP($AB138,OFFSET([4]characters!$A$1,0,0,COUNTA([4]characters!$A:$A),MATCH(AD$1,[4]characters!$1:$1,0)-MATCH("character_id",[4]characters!$1:$1,0)+1),MATCH(AD$1,[4]characters!$1:$1,0)-MATCH("character_id",[4]characters!$1:$1,0)+1,FALSE),"")</f>
        <v>1</v>
      </c>
      <c r="AE138" s="5" t="str">
        <f ca="1">IFERROR(VLOOKUP($AB138,OFFSET([4]characters!$A$1,0,0,COUNTA([4]characters!$A:$A),MATCH(AE$1,[4]characters!$1:$1,0)-MATCH("character_id",[4]characters!$1:$1,0)+1),MATCH(AE$1,[4]characters!$1:$1,0)-MATCH("character_id",[4]characters!$1:$1,0)+1,FALSE),"")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38" s="28">
        <v>1</v>
      </c>
      <c r="AG138" s="75">
        <f t="shared" ca="1" si="51"/>
        <v>1</v>
      </c>
      <c r="AH138" s="9">
        <v>0</v>
      </c>
      <c r="AI138" s="28">
        <v>0</v>
      </c>
      <c r="AJ138" s="28">
        <v>0</v>
      </c>
      <c r="AK138" s="28">
        <v>0</v>
      </c>
      <c r="AL138" s="28">
        <v>0</v>
      </c>
      <c r="AM138" s="28">
        <v>1</v>
      </c>
      <c r="AN138" s="28">
        <v>1</v>
      </c>
    </row>
    <row r="139" spans="1:40" ht="21" customHeight="1" x14ac:dyDescent="0.15">
      <c r="A139" s="17" t="str">
        <f t="shared" ca="1" si="50"/>
        <v>11007_3-5/107&lt;lv30&gt;s1</v>
      </c>
      <c r="B139" s="84">
        <v>11007</v>
      </c>
      <c r="C139" s="85">
        <v>3</v>
      </c>
      <c r="D139" s="16" t="str">
        <f t="shared" si="47"/>
        <v>11007_3</v>
      </c>
      <c r="E139" s="5" t="str">
        <f ca="1">VLOOKUP($B139,OFFSET([2]quests!$A$1,0,0,COUNTA([2]quests!$A:$A),MATCH(E$1,[2]quests!$1:$1,0)-MATCH($B$1,[2]quests!$1:$1,0)+1),MATCH(E$1,[2]quests!$1:$1,0)-MATCH($B$1,[2]quests!$1:$1,0)+1,FALSE)</f>
        <v>【土曜限定】 赤と緑の素材</v>
      </c>
      <c r="F139" s="5" t="str">
        <f ca="1">VLOOKUP($D139,OFFSET([2]stages!$A$1,0,0,COUNTA([2]stages!$A:$A),MATCH(F$1,[2]stages!$2:$2,0)-MATCH($D$1,[2]stages!$2:$2,0)+1),MATCH(F$1,[2]stages!$2:$2,0)-MATCH($D$1,[2]stages!$2:$2,0)+1,FALSE)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39" s="68">
        <v>5</v>
      </c>
      <c r="H139" s="16" t="str">
        <f t="shared" si="48"/>
        <v>11007_3-5</v>
      </c>
      <c r="I139" s="5" t="e">
        <v>#N/A</v>
      </c>
      <c r="J139" s="5" t="e">
        <v>#N/A</v>
      </c>
      <c r="K139" s="70" t="s">
        <v>172</v>
      </c>
      <c r="L139" s="70">
        <v>107</v>
      </c>
      <c r="M139" s="20" t="str">
        <f ca="1">VLOOKUP($L139,OFFSET([3]enemies!$A$1,0,0,COUNTA([3]enemies!$A:$A),MATCH(M$1,[3]enemies!$1:$1,0)-MATCH($L$1,[3]enemies!$1:$1,0)+1),MATCH(M$1,[3]enemies!$1:$1,0)-MATCH($L$1,[3]enemies!$1:$1,0)+1,FALSE)</f>
        <v>グリーンキャタップ</v>
      </c>
      <c r="N139" s="20" t="str">
        <f ca="1">VLOOKUP($L139,OFFSET([3]enemies!$A$1,0,0,COUNTA([3]enemies!$A:$A),MATCH(N$1,[3]enemies!$1:$1,0)-MATCH($L$1,[3]enemies!$1:$1,0)+1),MATCH(N$1,[3]enemies!$1:$1,0)-MATCH($L$1,[3]enemies!$1:$1,0)+1,FALSE)</f>
        <v>green</v>
      </c>
      <c r="O139" s="22" t="str">
        <f ca="1">VLOOKUP($L139,OFFSET([4]characters!$A$1,0,0,COUNTA([4]characters!$A:$A),MATCH(O$1,[4]characters!$1:$1,0)-MATCH($L$1,[4]characters!$1:$1,0)+1),MATCH(O$1,[4]characters!$1:$1,0)-MATCH($L$1,[4]characters!$1:$1,0)+1,FALSE)</f>
        <v>Material</v>
      </c>
      <c r="P139" s="20" t="str">
        <f ca="1">VLOOKUP($L139,OFFSET([3]enemies!$A$1,0,0,COUNTA([3]enemies!$A:$A),MATCH(P$1,[3]enemies!$1:$1,0)-MATCH($L$1,[3]enemies!$1:$1,0)+1),MATCH(P$1,[3]enemies!$1:$1,0)-MATCH($L$1,[3]enemies!$1:$1,0)+1,FALSE)</f>
        <v>unknown</v>
      </c>
      <c r="Q139" s="20">
        <f ca="1">VLOOKUP($L139,OFFSET([3]enemies!$A$1,0,0,COUNTA([3]enemies!$A:$A),MATCH(Q$1,[3]enemies!$1:$1,0)-MATCH($L$1,[3]enemies!$1:$1,0)+1),MATCH(Q$1,[3]enemies!$1:$1,0)-MATCH($L$1,[3]enemies!$1:$1,0)+1,FALSE)</f>
        <v>15</v>
      </c>
      <c r="R139" s="6">
        <v>30</v>
      </c>
      <c r="S139" s="30">
        <v>2</v>
      </c>
      <c r="T139" s="30">
        <v>1</v>
      </c>
      <c r="U139" s="6">
        <v>0</v>
      </c>
      <c r="V139" s="5" t="str">
        <f ca="1">VLOOKUP($W139,OFFSET([5]enemy_skill_sets!$B$1,0,0,COUNTA([5]enemy_skill_sets!$B:$B),MATCH(M$1,[5]enemy_skill_sets!$1:$1,0)-MATCH($W$1,[5]enemy_skill_sets!$1:$1,0)+2),MATCH(M$1,[5]enemy_skill_sets!$1:$1,0)-MATCH($W$1,[5]enemy_skill_sets!$1:$1,0)+2,FALSE)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9" s="5">
        <f ca="1">VLOOKUP($L139,OFFSET([3]enemies!$A$1,0,0,COUNTA([3]enemies!$A:$A),MATCH(W$1,[3]enemies!$1:$1,0)-MATCH($L$1,[3]enemies!$1:$1,0)+1),MATCH(W$1,[3]enemies!$1:$1,0)-MATCH($L$1,[3]enemies!$1:$1,0)+1,FALSE)</f>
        <v>0</v>
      </c>
      <c r="X139" s="81">
        <v>0</v>
      </c>
      <c r="Y139" s="81">
        <v>100</v>
      </c>
      <c r="Z139" s="7">
        <v>2</v>
      </c>
      <c r="AA139" s="20">
        <f ca="1">VLOOKUP($L139,OFFSET([3]enemies!$A$1,0,0,COUNTA([3]enemies!$A:$A),MATCH(AA$1,[3]enemies!$1:$1,0)-MATCH($L$1,[3]enemies!$1:$1,0)+1),MATCH(AA$1,[3]enemies!$1:$1,0)-MATCH($L$1,[3]enemies!$1:$1,0)+1,FALSE)</f>
        <v>1</v>
      </c>
      <c r="AB139" s="70">
        <v>107</v>
      </c>
      <c r="AC139" s="5" t="str">
        <f ca="1">IFERROR(VLOOKUP($AB139,OFFSET([4]characters!$A$1,0,0,COUNTA([4]characters!$A:$A),MATCH(AC$1,[4]characters!$1:$1,0)-MATCH("character_id",[4]characters!$1:$1,0)+1),MATCH(AC$1,[4]characters!$1:$1,0)-MATCH("character_id",[4]characters!$1:$1,0)+1,FALSE),"")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39" s="5">
        <f ca="1">IFERROR(VLOOKUP($AB139,OFFSET([4]characters!$A$1,0,0,COUNTA([4]characters!$A:$A),MATCH(AD$1,[4]characters!$1:$1,0)-MATCH("character_id",[4]characters!$1:$1,0)+1),MATCH(AD$1,[4]characters!$1:$1,0)-MATCH("character_id",[4]characters!$1:$1,0)+1,FALSE),"")</f>
        <v>4</v>
      </c>
      <c r="AE139" s="5" t="str">
        <f ca="1">IFERROR(VLOOKUP($AB139,OFFSET([4]characters!$A$1,0,0,COUNTA([4]characters!$A:$A),MATCH(AE$1,[4]characters!$1:$1,0)-MATCH("character_id",[4]characters!$1:$1,0)+1),MATCH(AE$1,[4]characters!$1:$1,0)-MATCH("character_id",[4]characters!$1:$1,0)+1,FALSE),"")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9" s="28">
        <v>1</v>
      </c>
      <c r="AG139" s="75">
        <f t="shared" ca="1" si="51"/>
        <v>4</v>
      </c>
      <c r="AH139" s="130">
        <v>50</v>
      </c>
      <c r="AI139" s="28">
        <v>0</v>
      </c>
      <c r="AJ139" s="28">
        <v>0</v>
      </c>
      <c r="AK139" s="28">
        <v>0</v>
      </c>
      <c r="AL139" s="28">
        <v>0</v>
      </c>
      <c r="AM139" s="28">
        <v>1</v>
      </c>
      <c r="AN139" s="28">
        <v>1</v>
      </c>
    </row>
    <row r="140" spans="1:40" ht="21" customHeight="1" x14ac:dyDescent="0.15">
      <c r="A140" s="17" t="str">
        <f t="shared" ca="1" si="50"/>
        <v>11007_3-5/128&lt;lv30&gt;s2</v>
      </c>
      <c r="B140" s="84">
        <v>11007</v>
      </c>
      <c r="C140" s="85">
        <v>3</v>
      </c>
      <c r="D140" s="16" t="str">
        <f t="shared" si="47"/>
        <v>11007_3</v>
      </c>
      <c r="E140" s="5" t="str">
        <f ca="1">VLOOKUP($B140,OFFSET([2]quests!$A$1,0,0,COUNTA([2]quests!$A:$A),MATCH(E$1,[2]quests!$1:$1,0)-MATCH($B$1,[2]quests!$1:$1,0)+1),MATCH(E$1,[2]quests!$1:$1,0)-MATCH($B$1,[2]quests!$1:$1,0)+1,FALSE)</f>
        <v>【土曜限定】 赤と緑の素材</v>
      </c>
      <c r="F140" s="5" t="str">
        <f ca="1">VLOOKUP($D140,OFFSET([2]stages!$A$1,0,0,COUNTA([2]stages!$A:$A),MATCH(F$1,[2]stages!$2:$2,0)-MATCH($D$1,[2]stages!$2:$2,0)+1),MATCH(F$1,[2]stages!$2:$2,0)-MATCH($D$1,[2]stages!$2:$2,0)+1,FALSE)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40" s="68">
        <v>5</v>
      </c>
      <c r="H140" s="16" t="str">
        <f t="shared" si="48"/>
        <v>11007_3-5</v>
      </c>
      <c r="I140" s="5" t="e">
        <v>#N/A</v>
      </c>
      <c r="J140" s="5" t="e">
        <v>#N/A</v>
      </c>
      <c r="K140" s="70" t="s">
        <v>172</v>
      </c>
      <c r="L140" s="70">
        <v>128</v>
      </c>
      <c r="M140" s="20" t="str">
        <f ca="1">VLOOKUP($L140,OFFSET([3]enemies!$A$1,0,0,COUNTA([3]enemies!$A:$A),MATCH(M$1,[3]enemies!$1:$1,0)-MATCH($L$1,[3]enemies!$1:$1,0)+1),MATCH(M$1,[3]enemies!$1:$1,0)-MATCH($L$1,[3]enemies!$1:$1,0)+1,FALSE)</f>
        <v>野生児 アマラ</v>
      </c>
      <c r="N140" s="20" t="str">
        <f ca="1">VLOOKUP($L140,OFFSET([3]enemies!$A$1,0,0,COUNTA([3]enemies!$A:$A),MATCH(N$1,[3]enemies!$1:$1,0)-MATCH($L$1,[3]enemies!$1:$1,0)+1),MATCH(N$1,[3]enemies!$1:$1,0)-MATCH($L$1,[3]enemies!$1:$1,0)+1,FALSE)</f>
        <v>green</v>
      </c>
      <c r="O140" s="22" t="str">
        <f ca="1">VLOOKUP($L140,OFFSET([4]characters!$A$1,0,0,COUNTA([4]characters!$A:$A),MATCH(O$1,[4]characters!$1:$1,0)-MATCH($L$1,[4]characters!$1:$1,0)+1),MATCH(O$1,[4]characters!$1:$1,0)-MATCH($L$1,[4]characters!$1:$1,0)+1,FALSE)</f>
        <v>PremiumW</v>
      </c>
      <c r="P140" s="20" t="str">
        <f ca="1">VLOOKUP($L140,OFFSET([3]enemies!$A$1,0,0,COUNTA([3]enemies!$A:$A),MATCH(P$1,[3]enemies!$1:$1,0)-MATCH($L$1,[3]enemies!$1:$1,0)+1),MATCH(P$1,[3]enemies!$1:$1,0)-MATCH($L$1,[3]enemies!$1:$1,0)+1,FALSE)</f>
        <v>human</v>
      </c>
      <c r="Q140" s="20">
        <f ca="1">VLOOKUP($L140,OFFSET([3]enemies!$A$1,0,0,COUNTA([3]enemies!$A:$A),MATCH(Q$1,[3]enemies!$1:$1,0)-MATCH($L$1,[3]enemies!$1:$1,0)+1),MATCH(Q$1,[3]enemies!$1:$1,0)-MATCH($L$1,[3]enemies!$1:$1,0)+1,FALSE)</f>
        <v>20</v>
      </c>
      <c r="R140" s="6">
        <v>30</v>
      </c>
      <c r="S140" s="30">
        <v>1</v>
      </c>
      <c r="T140" s="30">
        <v>1</v>
      </c>
      <c r="U140" s="6">
        <v>0</v>
      </c>
      <c r="V140" s="5" t="str">
        <f ca="1">VLOOKUP($W140,OFFSET([5]enemy_skill_sets!$B$1,0,0,COUNTA([5]enemy_skill_sets!$B:$B),MATCH(M$1,[5]enemy_skill_sets!$1:$1,0)-MATCH($W$1,[5]enemy_skill_sets!$1:$1,0)+2),MATCH(M$1,[5]enemy_skill_sets!$1:$1,0)-MATCH($W$1,[5]enemy_skill_sets!$1:$1,0)+2,FALSE)</f>
        <v>5ターン攻撃力小UP</v>
      </c>
      <c r="W140" s="5">
        <f ca="1">VLOOKUP($L140,OFFSET([3]enemies!$A$1,0,0,COUNTA([3]enemies!$A:$A),MATCH(W$1,[3]enemies!$1:$1,0)-MATCH($L$1,[3]enemies!$1:$1,0)+1),MATCH(W$1,[3]enemies!$1:$1,0)-MATCH($L$1,[3]enemies!$1:$1,0)+1,FALSE)</f>
        <v>128</v>
      </c>
      <c r="X140" s="7">
        <v>0</v>
      </c>
      <c r="Y140" s="7">
        <v>100</v>
      </c>
      <c r="Z140" s="7">
        <v>0</v>
      </c>
      <c r="AA140" s="20">
        <f ca="1">VLOOKUP($L140,OFFSET([3]enemies!$A$1,0,0,COUNTA([3]enemies!$A:$A),MATCH(AA$1,[3]enemies!$1:$1,0)-MATCH($L$1,[3]enemies!$1:$1,0)+1),MATCH(AA$1,[3]enemies!$1:$1,0)-MATCH($L$1,[3]enemies!$1:$1,0)+1,FALSE)</f>
        <v>2</v>
      </c>
      <c r="AB140" s="70">
        <v>128</v>
      </c>
      <c r="AC140" s="5" t="str">
        <f ca="1">IFERROR(VLOOKUP($AB140,OFFSET([4]characters!$A$1,0,0,COUNTA([4]characters!$A:$A),MATCH(AC$1,[4]characters!$1:$1,0)-MATCH("character_id",[4]characters!$1:$1,0)+1),MATCH(AC$1,[4]characters!$1:$1,0)-MATCH("character_id",[4]characters!$1:$1,0)+1,FALSE),"")</f>
        <v>野生児 アマラ</v>
      </c>
      <c r="AD140" s="5">
        <f ca="1">IFERROR(VLOOKUP($AB140,OFFSET([4]characters!$A$1,0,0,COUNTA([4]characters!$A:$A),MATCH(AD$1,[4]characters!$1:$1,0)-MATCH("character_id",[4]characters!$1:$1,0)+1),MATCH(AD$1,[4]characters!$1:$1,0)-MATCH("character_id",[4]characters!$1:$1,0)+1,FALSE),"")</f>
        <v>3</v>
      </c>
      <c r="AE140" s="5" t="str">
        <f ca="1">IFERROR(VLOOKUP($AB140,OFFSET([4]characters!$A$1,0,0,COUNTA([4]characters!$A:$A),MATCH(AE$1,[4]characters!$1:$1,0)-MATCH("character_id",[4]characters!$1:$1,0)+1),MATCH(AE$1,[4]characters!$1:$1,0)-MATCH("character_id",[4]characters!$1:$1,0)+1,FALSE),"")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40" s="28">
        <v>1</v>
      </c>
      <c r="AG140" s="75">
        <f t="shared" ca="1" si="51"/>
        <v>3</v>
      </c>
      <c r="AH140" s="9">
        <v>0</v>
      </c>
      <c r="AI140" s="28">
        <v>0</v>
      </c>
      <c r="AJ140" s="28">
        <v>0</v>
      </c>
      <c r="AK140" s="28">
        <v>0</v>
      </c>
      <c r="AL140" s="28">
        <v>0</v>
      </c>
      <c r="AM140" s="28">
        <v>1</v>
      </c>
      <c r="AN140" s="28">
        <v>1</v>
      </c>
    </row>
    <row r="141" spans="1:40" ht="21" customHeight="1" x14ac:dyDescent="0.15">
      <c r="A141" s="17" t="str">
        <f t="shared" ca="1" si="50"/>
        <v>11007_3-5/136&lt;lv30&gt;s4</v>
      </c>
      <c r="B141" s="84">
        <v>11007</v>
      </c>
      <c r="C141" s="85">
        <v>3</v>
      </c>
      <c r="D141" s="16" t="str">
        <f t="shared" si="47"/>
        <v>11007_3</v>
      </c>
      <c r="E141" s="5" t="str">
        <f ca="1">VLOOKUP($B141,OFFSET([2]quests!$A$1,0,0,COUNTA([2]quests!$A:$A),MATCH(E$1,[2]quests!$1:$1,0)-MATCH($B$1,[2]quests!$1:$1,0)+1),MATCH(E$1,[2]quests!$1:$1,0)-MATCH($B$1,[2]quests!$1:$1,0)+1,FALSE)</f>
        <v>【土曜限定】 赤と緑の素材</v>
      </c>
      <c r="F141" s="5" t="str">
        <f ca="1">VLOOKUP($D141,OFFSET([2]stages!$A$1,0,0,COUNTA([2]stages!$A:$A),MATCH(F$1,[2]stages!$2:$2,0)-MATCH($D$1,[2]stages!$2:$2,0)+1),MATCH(F$1,[2]stages!$2:$2,0)-MATCH($D$1,[2]stages!$2:$2,0)+1,FALSE)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41" s="68">
        <v>5</v>
      </c>
      <c r="H141" s="16" t="str">
        <f t="shared" si="48"/>
        <v>11007_3-5</v>
      </c>
      <c r="I141" s="5" t="e">
        <v>#N/A</v>
      </c>
      <c r="J141" s="5" t="e">
        <v>#N/A</v>
      </c>
      <c r="K141" s="70" t="s">
        <v>172</v>
      </c>
      <c r="L141" s="70">
        <v>136</v>
      </c>
      <c r="M141" s="20" t="str">
        <f ca="1">VLOOKUP($L141,OFFSET([3]enemies!$A$1,0,0,COUNTA([3]enemies!$A:$A),MATCH(M$1,[3]enemies!$1:$1,0)-MATCH($L$1,[3]enemies!$1:$1,0)+1),MATCH(M$1,[3]enemies!$1:$1,0)-MATCH($L$1,[3]enemies!$1:$1,0)+1,FALSE)</f>
        <v>お針子チハヤ</v>
      </c>
      <c r="N141" s="20" t="str">
        <f ca="1">VLOOKUP($L141,OFFSET([3]enemies!$A$1,0,0,COUNTA([3]enemies!$A:$A),MATCH(N$1,[3]enemies!$1:$1,0)-MATCH($L$1,[3]enemies!$1:$1,0)+1),MATCH(N$1,[3]enemies!$1:$1,0)-MATCH($L$1,[3]enemies!$1:$1,0)+1,FALSE)</f>
        <v>green</v>
      </c>
      <c r="O141" s="22" t="str">
        <f ca="1">VLOOKUP($L141,OFFSET([4]characters!$A$1,0,0,COUNTA([4]characters!$A:$A),MATCH(O$1,[4]characters!$1:$1,0)-MATCH($L$1,[4]characters!$1:$1,0)+1),MATCH(O$1,[4]characters!$1:$1,0)-MATCH($L$1,[4]characters!$1:$1,0)+1,FALSE)</f>
        <v>PremiumW</v>
      </c>
      <c r="P141" s="20" t="str">
        <f ca="1">VLOOKUP($L141,OFFSET([3]enemies!$A$1,0,0,COUNTA([3]enemies!$A:$A),MATCH(P$1,[3]enemies!$1:$1,0)-MATCH($L$1,[3]enemies!$1:$1,0)+1),MATCH(P$1,[3]enemies!$1:$1,0)-MATCH($L$1,[3]enemies!$1:$1,0)+1,FALSE)</f>
        <v>human</v>
      </c>
      <c r="Q141" s="20">
        <f ca="1">VLOOKUP($L141,OFFSET([3]enemies!$A$1,0,0,COUNTA([3]enemies!$A:$A),MATCH(Q$1,[3]enemies!$1:$1,0)-MATCH($L$1,[3]enemies!$1:$1,0)+1),MATCH(Q$1,[3]enemies!$1:$1,0)-MATCH($L$1,[3]enemies!$1:$1,0)+1,FALSE)</f>
        <v>20</v>
      </c>
      <c r="R141" s="6">
        <v>30</v>
      </c>
      <c r="S141" s="30">
        <v>1</v>
      </c>
      <c r="T141" s="30">
        <v>1</v>
      </c>
      <c r="U141" s="6">
        <v>0</v>
      </c>
      <c r="V141" s="5" t="str">
        <f ca="1">VLOOKUP($W141,OFFSET([5]enemy_skill_sets!$B$1,0,0,COUNTA([5]enemy_skill_sets!$B:$B),MATCH(M$1,[5]enemy_skill_sets!$1:$1,0)-MATCH($W$1,[5]enemy_skill_sets!$1:$1,0)+2),MATCH(M$1,[5]enemy_skill_sets!$1:$1,0)-MATCH($W$1,[5]enemy_skill_sets!$1:$1,0)+2,FALSE)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41" s="5">
        <f ca="1">VLOOKUP($L141,OFFSET([3]enemies!$A$1,0,0,COUNTA([3]enemies!$A:$A),MATCH(W$1,[3]enemies!$1:$1,0)-MATCH($L$1,[3]enemies!$1:$1,0)+1),MATCH(W$1,[3]enemies!$1:$1,0)-MATCH($L$1,[3]enemies!$1:$1,0)+1,FALSE)</f>
        <v>136</v>
      </c>
      <c r="X141" s="7">
        <v>0</v>
      </c>
      <c r="Y141" s="7">
        <v>100</v>
      </c>
      <c r="Z141" s="7">
        <v>0</v>
      </c>
      <c r="AA141" s="20">
        <f ca="1">VLOOKUP($L141,OFFSET([3]enemies!$A$1,0,0,COUNTA([3]enemies!$A:$A),MATCH(AA$1,[3]enemies!$1:$1,0)-MATCH($L$1,[3]enemies!$1:$1,0)+1),MATCH(AA$1,[3]enemies!$1:$1,0)-MATCH($L$1,[3]enemies!$1:$1,0)+1,FALSE)</f>
        <v>4</v>
      </c>
      <c r="AB141" s="70">
        <v>136</v>
      </c>
      <c r="AC141" s="5" t="str">
        <f ca="1">IFERROR(VLOOKUP($AB141,OFFSET([4]characters!$A$1,0,0,COUNTA([4]characters!$A:$A),MATCH(AC$1,[4]characters!$1:$1,0)-MATCH("character_id",[4]characters!$1:$1,0)+1),MATCH(AC$1,[4]characters!$1:$1,0)-MATCH("character_id",[4]characters!$1:$1,0)+1,FALSE),"")</f>
        <v>お針子チハヤ</v>
      </c>
      <c r="AD141" s="5">
        <f ca="1">IFERROR(VLOOKUP($AB141,OFFSET([4]characters!$A$1,0,0,COUNTA([4]characters!$A:$A),MATCH(AD$1,[4]characters!$1:$1,0)-MATCH("character_id",[4]characters!$1:$1,0)+1),MATCH(AD$1,[4]characters!$1:$1,0)-MATCH("character_id",[4]characters!$1:$1,0)+1,FALSE),"")</f>
        <v>3</v>
      </c>
      <c r="AE141" s="5" t="str">
        <f ca="1">IFERROR(VLOOKUP($AB141,OFFSET([4]characters!$A$1,0,0,COUNTA([4]characters!$A:$A),MATCH(AE$1,[4]characters!$1:$1,0)-MATCH("character_id",[4]characters!$1:$1,0)+1),MATCH(AE$1,[4]characters!$1:$1,0)-MATCH("character_id",[4]characters!$1:$1,0)+1,FALSE),"")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41" s="28">
        <v>1</v>
      </c>
      <c r="AG141" s="75">
        <f t="shared" ca="1" si="51"/>
        <v>3</v>
      </c>
      <c r="AH141" s="9">
        <v>0</v>
      </c>
      <c r="AI141" s="28">
        <v>0</v>
      </c>
      <c r="AJ141" s="28">
        <v>0</v>
      </c>
      <c r="AK141" s="28">
        <v>0</v>
      </c>
      <c r="AL141" s="28">
        <v>0</v>
      </c>
      <c r="AM141" s="28">
        <v>1</v>
      </c>
      <c r="AN141" s="28">
        <v>1</v>
      </c>
    </row>
    <row r="142" spans="1:40" ht="21" customHeight="1" x14ac:dyDescent="0.15">
      <c r="A142" s="17" t="str">
        <f t="shared" ca="1" si="50"/>
        <v>11007_3-5/144&lt;lv30&gt;s2</v>
      </c>
      <c r="B142" s="84">
        <v>11007</v>
      </c>
      <c r="C142" s="85">
        <v>3</v>
      </c>
      <c r="D142" s="16" t="str">
        <f t="shared" si="47"/>
        <v>11007_3</v>
      </c>
      <c r="E142" s="5" t="str">
        <f ca="1">VLOOKUP($B142,OFFSET([2]quests!$A$1,0,0,COUNTA([2]quests!$A:$A),MATCH(E$1,[2]quests!$1:$1,0)-MATCH($B$1,[2]quests!$1:$1,0)+1),MATCH(E$1,[2]quests!$1:$1,0)-MATCH($B$1,[2]quests!$1:$1,0)+1,FALSE)</f>
        <v>【土曜限定】 赤と緑の素材</v>
      </c>
      <c r="F142" s="5" t="str">
        <f ca="1">VLOOKUP($D142,OFFSET([2]stages!$A$1,0,0,COUNTA([2]stages!$A:$A),MATCH(F$1,[2]stages!$2:$2,0)-MATCH($D$1,[2]stages!$2:$2,0)+1),MATCH(F$1,[2]stages!$2:$2,0)-MATCH($D$1,[2]stages!$2:$2,0)+1,FALSE)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42" s="68">
        <v>5</v>
      </c>
      <c r="H142" s="16" t="str">
        <f t="shared" si="48"/>
        <v>11007_3-5</v>
      </c>
      <c r="I142" s="5" t="e">
        <v>#N/A</v>
      </c>
      <c r="J142" s="5" t="e">
        <v>#N/A</v>
      </c>
      <c r="K142" s="70" t="s">
        <v>172</v>
      </c>
      <c r="L142" s="70">
        <v>144</v>
      </c>
      <c r="M142" s="20" t="str">
        <f ca="1">VLOOKUP($L142,OFFSET([3]enemies!$A$1,0,0,COUNTA([3]enemies!$A:$A),MATCH(M$1,[3]enemies!$1:$1,0)-MATCH($L$1,[3]enemies!$1:$1,0)+1),MATCH(M$1,[3]enemies!$1:$1,0)-MATCH($L$1,[3]enemies!$1:$1,0)+1,FALSE)</f>
        <v>かぐや</v>
      </c>
      <c r="N142" s="20" t="str">
        <f ca="1">VLOOKUP($L142,OFFSET([3]enemies!$A$1,0,0,COUNTA([3]enemies!$A:$A),MATCH(N$1,[3]enemies!$1:$1,0)-MATCH($L$1,[3]enemies!$1:$1,0)+1),MATCH(N$1,[3]enemies!$1:$1,0)-MATCH($L$1,[3]enemies!$1:$1,0)+1,FALSE)</f>
        <v>green</v>
      </c>
      <c r="O142" s="22" t="str">
        <f ca="1">VLOOKUP($L142,OFFSET([4]characters!$A$1,0,0,COUNTA([4]characters!$A:$A),MATCH(O$1,[4]characters!$1:$1,0)-MATCH($L$1,[4]characters!$1:$1,0)+1),MATCH(O$1,[4]characters!$1:$1,0)-MATCH($L$1,[4]characters!$1:$1,0)+1,FALSE)</f>
        <v>PremiumW</v>
      </c>
      <c r="P142" s="20" t="str">
        <f ca="1">VLOOKUP($L142,OFFSET([3]enemies!$A$1,0,0,COUNTA([3]enemies!$A:$A),MATCH(P$1,[3]enemies!$1:$1,0)-MATCH($L$1,[3]enemies!$1:$1,0)+1),MATCH(P$1,[3]enemies!$1:$1,0)-MATCH($L$1,[3]enemies!$1:$1,0)+1,FALSE)</f>
        <v>human</v>
      </c>
      <c r="Q142" s="20">
        <f ca="1">VLOOKUP($L142,OFFSET([3]enemies!$A$1,0,0,COUNTA([3]enemies!$A:$A),MATCH(Q$1,[3]enemies!$1:$1,0)-MATCH($L$1,[3]enemies!$1:$1,0)+1),MATCH(Q$1,[3]enemies!$1:$1,0)-MATCH($L$1,[3]enemies!$1:$1,0)+1,FALSE)</f>
        <v>20</v>
      </c>
      <c r="R142" s="6">
        <v>30</v>
      </c>
      <c r="S142" s="30">
        <v>1</v>
      </c>
      <c r="T142" s="30">
        <v>1</v>
      </c>
      <c r="U142" s="6">
        <v>0</v>
      </c>
      <c r="V142" s="5" t="str">
        <f ca="1">VLOOKUP($W142,OFFSET([5]enemy_skill_sets!$B$1,0,0,COUNTA([5]enemy_skill_sets!$B:$B),MATCH(M$1,[5]enemy_skill_sets!$1:$1,0)-MATCH($W$1,[5]enemy_skill_sets!$1:$1,0)+2),MATCH(M$1,[5]enemy_skill_sets!$1:$1,0)-MATCH($W$1,[5]enemy_skill_sets!$1:$1,0)+2,FALSE)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2" s="5">
        <f ca="1">VLOOKUP($L142,OFFSET([3]enemies!$A$1,0,0,COUNTA([3]enemies!$A:$A),MATCH(W$1,[3]enemies!$1:$1,0)-MATCH($L$1,[3]enemies!$1:$1,0)+1),MATCH(W$1,[3]enemies!$1:$1,0)-MATCH($L$1,[3]enemies!$1:$1,0)+1,FALSE)</f>
        <v>0</v>
      </c>
      <c r="X142" s="7">
        <v>0</v>
      </c>
      <c r="Y142" s="7">
        <v>100</v>
      </c>
      <c r="Z142" s="7">
        <v>0</v>
      </c>
      <c r="AA142" s="20">
        <f ca="1">VLOOKUP($L142,OFFSET([3]enemies!$A$1,0,0,COUNTA([3]enemies!$A:$A),MATCH(AA$1,[3]enemies!$1:$1,0)-MATCH($L$1,[3]enemies!$1:$1,0)+1),MATCH(AA$1,[3]enemies!$1:$1,0)-MATCH($L$1,[3]enemies!$1:$1,0)+1,FALSE)</f>
        <v>2</v>
      </c>
      <c r="AB142" s="70">
        <v>144</v>
      </c>
      <c r="AC142" s="5" t="str">
        <f ca="1">IFERROR(VLOOKUP($AB142,OFFSET([4]characters!$A$1,0,0,COUNTA([4]characters!$A:$A),MATCH(AC$1,[4]characters!$1:$1,0)-MATCH("character_id",[4]characters!$1:$1,0)+1),MATCH(AC$1,[4]characters!$1:$1,0)-MATCH("character_id",[4]characters!$1:$1,0)+1,FALSE),"")</f>
        <v>かぐや</v>
      </c>
      <c r="AD142" s="5">
        <f ca="1">IFERROR(VLOOKUP($AB142,OFFSET([4]characters!$A$1,0,0,COUNTA([4]characters!$A:$A),MATCH(AD$1,[4]characters!$1:$1,0)-MATCH("character_id",[4]characters!$1:$1,0)+1),MATCH(AD$1,[4]characters!$1:$1,0)-MATCH("character_id",[4]characters!$1:$1,0)+1,FALSE),"")</f>
        <v>3</v>
      </c>
      <c r="AE142" s="5" t="str">
        <f ca="1">IFERROR(VLOOKUP($AB142,OFFSET([4]characters!$A$1,0,0,COUNTA([4]characters!$A:$A),MATCH(AE$1,[4]characters!$1:$1,0)-MATCH("character_id",[4]characters!$1:$1,0)+1),MATCH(AE$1,[4]characters!$1:$1,0)-MATCH("character_id",[4]characters!$1:$1,0)+1,FALSE),"")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42" s="28">
        <v>1</v>
      </c>
      <c r="AG142" s="75">
        <f t="shared" ca="1" si="51"/>
        <v>3</v>
      </c>
      <c r="AH142" s="9">
        <v>0</v>
      </c>
      <c r="AI142" s="28">
        <v>0</v>
      </c>
      <c r="AJ142" s="28">
        <v>0</v>
      </c>
      <c r="AK142" s="28">
        <v>0</v>
      </c>
      <c r="AL142" s="28">
        <v>0</v>
      </c>
      <c r="AM142" s="28">
        <v>1</v>
      </c>
      <c r="AN142" s="28">
        <v>1</v>
      </c>
    </row>
    <row r="143" spans="1:40" ht="21" customHeight="1" x14ac:dyDescent="0.15">
      <c r="A143" s="17" t="str">
        <f t="shared" ca="1" si="50"/>
        <v>11007_3-5/152&lt;lv30&gt;s1</v>
      </c>
      <c r="B143" s="84">
        <v>11007</v>
      </c>
      <c r="C143" s="85">
        <v>3</v>
      </c>
      <c r="D143" s="16" t="str">
        <f t="shared" si="47"/>
        <v>11007_3</v>
      </c>
      <c r="E143" s="5" t="str">
        <f ca="1">VLOOKUP($B143,OFFSET([2]quests!$A$1,0,0,COUNTA([2]quests!$A:$A),MATCH(E$1,[2]quests!$1:$1,0)-MATCH($B$1,[2]quests!$1:$1,0)+1),MATCH(E$1,[2]quests!$1:$1,0)-MATCH($B$1,[2]quests!$1:$1,0)+1,FALSE)</f>
        <v>【土曜限定】 赤と緑の素材</v>
      </c>
      <c r="F143" s="5" t="str">
        <f ca="1">VLOOKUP($D143,OFFSET([2]stages!$A$1,0,0,COUNTA([2]stages!$A:$A),MATCH(F$1,[2]stages!$2:$2,0)-MATCH($D$1,[2]stages!$2:$2,0)+1),MATCH(F$1,[2]stages!$2:$2,0)-MATCH($D$1,[2]stages!$2:$2,0)+1,FALSE)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43" s="68">
        <v>5</v>
      </c>
      <c r="H143" s="16" t="str">
        <f t="shared" si="48"/>
        <v>11007_3-5</v>
      </c>
      <c r="I143" s="5" t="e">
        <v>#N/A</v>
      </c>
      <c r="J143" s="5" t="e">
        <v>#N/A</v>
      </c>
      <c r="K143" s="70" t="s">
        <v>172</v>
      </c>
      <c r="L143" s="70">
        <v>152</v>
      </c>
      <c r="M143" s="20" t="str">
        <f ca="1">VLOOKUP($L143,OFFSET([3]enemies!$A$1,0,0,COUNTA([3]enemies!$A:$A),MATCH(M$1,[3]enemies!$1:$1,0)-MATCH($L$1,[3]enemies!$1:$1,0)+1),MATCH(M$1,[3]enemies!$1:$1,0)-MATCH($L$1,[3]enemies!$1:$1,0)+1,FALSE)</f>
        <v>功夫少女ランラン</v>
      </c>
      <c r="N143" s="20" t="str">
        <f ca="1">VLOOKUP($L143,OFFSET([3]enemies!$A$1,0,0,COUNTA([3]enemies!$A:$A),MATCH(N$1,[3]enemies!$1:$1,0)-MATCH($L$1,[3]enemies!$1:$1,0)+1),MATCH(N$1,[3]enemies!$1:$1,0)-MATCH($L$1,[3]enemies!$1:$1,0)+1,FALSE)</f>
        <v>green</v>
      </c>
      <c r="O143" s="22" t="str">
        <f ca="1">VLOOKUP($L143,OFFSET([4]characters!$A$1,0,0,COUNTA([4]characters!$A:$A),MATCH(O$1,[4]characters!$1:$1,0)-MATCH($L$1,[4]characters!$1:$1,0)+1),MATCH(O$1,[4]characters!$1:$1,0)-MATCH($L$1,[4]characters!$1:$1,0)+1,FALSE)</f>
        <v>PremiumW</v>
      </c>
      <c r="P143" s="20" t="str">
        <f ca="1">VLOOKUP($L143,OFFSET([3]enemies!$A$1,0,0,COUNTA([3]enemies!$A:$A),MATCH(P$1,[3]enemies!$1:$1,0)-MATCH($L$1,[3]enemies!$1:$1,0)+1),MATCH(P$1,[3]enemies!$1:$1,0)-MATCH($L$1,[3]enemies!$1:$1,0)+1,FALSE)</f>
        <v>human</v>
      </c>
      <c r="Q143" s="20">
        <f ca="1">VLOOKUP($L143,OFFSET([3]enemies!$A$1,0,0,COUNTA([3]enemies!$A:$A),MATCH(Q$1,[3]enemies!$1:$1,0)-MATCH($L$1,[3]enemies!$1:$1,0)+1),MATCH(Q$1,[3]enemies!$1:$1,0)-MATCH($L$1,[3]enemies!$1:$1,0)+1,FALSE)</f>
        <v>20</v>
      </c>
      <c r="R143" s="6">
        <v>30</v>
      </c>
      <c r="S143" s="30">
        <v>1</v>
      </c>
      <c r="T143" s="30">
        <v>1</v>
      </c>
      <c r="U143" s="6">
        <v>0</v>
      </c>
      <c r="V143" s="5" t="str">
        <f ca="1">VLOOKUP($W143,OFFSET([5]enemy_skill_sets!$B$1,0,0,COUNTA([5]enemy_skill_sets!$B:$B),MATCH(M$1,[5]enemy_skill_sets!$1:$1,0)-MATCH($W$1,[5]enemy_skill_sets!$1:$1,0)+2),MATCH(M$1,[5]enemy_skill_sets!$1:$1,0)-MATCH($W$1,[5]enemy_skill_sets!$1:$1,0)+2,FALSE)</f>
        <v>攻撃力×1.3倍の攻撃</v>
      </c>
      <c r="W143" s="5">
        <f ca="1">VLOOKUP($L143,OFFSET([3]enemies!$A$1,0,0,COUNTA([3]enemies!$A:$A),MATCH(W$1,[3]enemies!$1:$1,0)-MATCH($L$1,[3]enemies!$1:$1,0)+1),MATCH(W$1,[3]enemies!$1:$1,0)-MATCH($L$1,[3]enemies!$1:$1,0)+1,FALSE)</f>
        <v>152</v>
      </c>
      <c r="X143" s="7">
        <v>0</v>
      </c>
      <c r="Y143" s="7">
        <v>100</v>
      </c>
      <c r="Z143" s="7">
        <v>0</v>
      </c>
      <c r="AA143" s="20">
        <f ca="1">VLOOKUP($L143,OFFSET([3]enemies!$A$1,0,0,COUNTA([3]enemies!$A:$A),MATCH(AA$1,[3]enemies!$1:$1,0)-MATCH($L$1,[3]enemies!$1:$1,0)+1),MATCH(AA$1,[3]enemies!$1:$1,0)-MATCH($L$1,[3]enemies!$1:$1,0)+1,FALSE)</f>
        <v>1</v>
      </c>
      <c r="AB143" s="70">
        <v>152</v>
      </c>
      <c r="AC143" s="5" t="str">
        <f ca="1">IFERROR(VLOOKUP($AB143,OFFSET([4]characters!$A$1,0,0,COUNTA([4]characters!$A:$A),MATCH(AC$1,[4]characters!$1:$1,0)-MATCH("character_id",[4]characters!$1:$1,0)+1),MATCH(AC$1,[4]characters!$1:$1,0)-MATCH("character_id",[4]characters!$1:$1,0)+1,FALSE),"")</f>
        <v>功夫少女ランラン</v>
      </c>
      <c r="AD143" s="5">
        <f ca="1">IFERROR(VLOOKUP($AB143,OFFSET([4]characters!$A$1,0,0,COUNTA([4]characters!$A:$A),MATCH(AD$1,[4]characters!$1:$1,0)-MATCH("character_id",[4]characters!$1:$1,0)+1),MATCH(AD$1,[4]characters!$1:$1,0)-MATCH("character_id",[4]characters!$1:$1,0)+1,FALSE),"")</f>
        <v>3</v>
      </c>
      <c r="AE143" s="5" t="str">
        <f ca="1">IFERROR(VLOOKUP($AB143,OFFSET([4]characters!$A$1,0,0,COUNTA([4]characters!$A:$A),MATCH(AE$1,[4]characters!$1:$1,0)-MATCH("character_id",[4]characters!$1:$1,0)+1),MATCH(AE$1,[4]characters!$1:$1,0)-MATCH("character_id",[4]characters!$1:$1,0)+1,FALSE),"")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43" s="28">
        <v>1</v>
      </c>
      <c r="AG143" s="75">
        <f t="shared" ca="1" si="51"/>
        <v>3</v>
      </c>
      <c r="AH143" s="9">
        <v>0</v>
      </c>
      <c r="AI143" s="28">
        <v>0</v>
      </c>
      <c r="AJ143" s="28">
        <v>0</v>
      </c>
      <c r="AK143" s="28">
        <v>0</v>
      </c>
      <c r="AL143" s="28">
        <v>0</v>
      </c>
      <c r="AM143" s="28">
        <v>1</v>
      </c>
      <c r="AN143" s="28">
        <v>1</v>
      </c>
    </row>
    <row r="144" spans="1:40" s="11" customFormat="1" ht="21" customHeight="1" x14ac:dyDescent="0.15">
      <c r="A144" s="100" t="str">
        <f ca="1">B144&amp;"_"&amp;C144&amp;"-"&amp;G144&amp;"/"&amp;L144&amp;"&lt;lv"&amp;R144&amp;"&gt;s"&amp;AA144</f>
        <v>11007_3-5/837&lt;lv30&gt;s3</v>
      </c>
      <c r="B144" s="28">
        <v>11007</v>
      </c>
      <c r="C144" s="68">
        <v>3</v>
      </c>
      <c r="D144" s="68" t="str">
        <f>B144&amp;"_"&amp;C144</f>
        <v>11007_3</v>
      </c>
      <c r="E144" s="69" t="str">
        <f ca="1">VLOOKUP($B144,OFFSET([2]quests!$A$1,0,0,COUNTA([2]quests!$A:$A),MATCH(E$1,[2]quests!$1:$1,0)-MATCH($B$1,[2]quests!$1:$1,0)+1),MATCH(E$1,[2]quests!$1:$1,0)-MATCH($B$1,[2]quests!$1:$1,0)+1,FALSE)</f>
        <v>【土曜限定】 赤と緑の素材</v>
      </c>
      <c r="F144" s="69" t="str">
        <f ca="1">VLOOKUP($D144,OFFSET([2]stages!$A$1,0,0,COUNTA([2]stages!$A:$A),MATCH(F$1,[2]stages!$2:$2,0)-MATCH($D$1,[2]stages!$2:$2,0)+1),MATCH(F$1,[2]stages!$2:$2,0)-MATCH($D$1,[2]stages!$2:$2,0)+1,FALSE)</f>
        <v xml:space="preserve">【上級】火と樹のイモムシ </v>
      </c>
      <c r="G144" s="68">
        <v>5</v>
      </c>
      <c r="H144" s="68" t="str">
        <f>B144&amp;"_"&amp;C144&amp;"-"&amp;G144</f>
        <v>11007_3-5</v>
      </c>
      <c r="I144" s="69" t="e">
        <v>#N/A</v>
      </c>
      <c r="J144" s="69" t="e">
        <v>#N/A</v>
      </c>
      <c r="K144" s="68" t="s">
        <v>172</v>
      </c>
      <c r="L144" s="68">
        <v>837</v>
      </c>
      <c r="M144" s="69" t="str">
        <f ca="1">VLOOKUP($L144,OFFSET([3]enemies!$A$1,0,0,COUNTA([3]enemies!$A:$A),MATCH(M$1,[3]enemies!$1:$1,0)-MATCH($L$1,[3]enemies!$1:$1,0)+1),MATCH(M$1,[3]enemies!$1:$1,0)-MATCH($L$1,[3]enemies!$1:$1,0)+1,FALSE)</f>
        <v>リトルハンプティ</v>
      </c>
      <c r="N144" s="69" t="str">
        <f ca="1">VLOOKUP($L144,OFFSET([3]enemies!$A$1,0,0,COUNTA([3]enemies!$A:$A),MATCH(N$1,[3]enemies!$1:$1,0)-MATCH($L$1,[3]enemies!$1:$1,0)+1),MATCH(N$1,[3]enemies!$1:$1,0)-MATCH($L$1,[3]enemies!$1:$1,0)+1,FALSE)</f>
        <v>yellow</v>
      </c>
      <c r="O144" s="69" t="str">
        <f ca="1">VLOOKUP($L144,OFFSET([4]characters!$A$1,0,0,COUNTA([4]characters!$A:$A),MATCH(O$1,[4]characters!$1:$1,0)-MATCH($L$1,[4]characters!$1:$1,0)+1),MATCH(O$1,[4]characters!$1:$1,0)-MATCH($L$1,[4]characters!$1:$1,0)+1,FALSE)</f>
        <v>Material</v>
      </c>
      <c r="P144" s="69" t="str">
        <f ca="1">VLOOKUP($L144,OFFSET([3]enemies!$A$1,0,0,COUNTA([3]enemies!$A:$A),MATCH(P$1,[3]enemies!$1:$1,0)-MATCH($L$1,[3]enemies!$1:$1,0)+1),MATCH(P$1,[3]enemies!$1:$1,0)-MATCH($L$1,[3]enemies!$1:$1,0)+1,FALSE)</f>
        <v>unknown</v>
      </c>
      <c r="Q144" s="69">
        <f ca="1">VLOOKUP($L144,OFFSET([3]enemies!$A$1,0,0,COUNTA([3]enemies!$A:$A),MATCH(Q$1,[3]enemies!$1:$1,0)-MATCH($L$1,[3]enemies!$1:$1,0)+1),MATCH(Q$1,[3]enemies!$1:$1,0)-MATCH($L$1,[3]enemies!$1:$1,0)+1,FALSE)</f>
        <v>60</v>
      </c>
      <c r="R144" s="101">
        <v>30</v>
      </c>
      <c r="S144" s="102">
        <v>10</v>
      </c>
      <c r="T144" s="102">
        <v>30</v>
      </c>
      <c r="U144" s="101">
        <v>0</v>
      </c>
      <c r="V144" s="69" t="str">
        <f ca="1">VLOOKUP($W144,OFFSET([5]enemy_skill_sets!$B$1,0,0,COUNTA([5]enemy_skill_sets!$B:$B),MATCH(M$1,[5]enemy_skill_sets!$1:$1,0)-MATCH($W$1,[5]enemy_skill_sets!$1:$1,0)+2),MATCH(M$1,[5]enemy_skill_sets!$1:$1,0)-MATCH($W$1,[5]enemy_skill_sets!$1:$1,0)+2,FALSE)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4" s="69">
        <f ca="1">VLOOKUP($L144,OFFSET([3]enemies!$A$1,0,0,COUNTA([3]enemies!$A:$A),MATCH(W$1,[3]enemies!$1:$1,0)-MATCH($L$1,[3]enemies!$1:$1,0)+1),MATCH(W$1,[3]enemies!$1:$1,0)-MATCH($L$1,[3]enemies!$1:$1,0)+1,FALSE)</f>
        <v>0</v>
      </c>
      <c r="X144" s="28">
        <v>0</v>
      </c>
      <c r="Y144" s="28">
        <v>10</v>
      </c>
      <c r="Z144" s="28">
        <v>1</v>
      </c>
      <c r="AA144" s="69">
        <f ca="1">VLOOKUP($L144,OFFSET([3]enemies!$A$1,0,0,COUNTA([3]enemies!$A:$A),MATCH(AA$1,[3]enemies!$1:$1,0)-MATCH($L$1,[3]enemies!$1:$1,0)+1),MATCH(AA$1,[3]enemies!$1:$1,0)-MATCH($L$1,[3]enemies!$1:$1,0)+1,FALSE)</f>
        <v>3</v>
      </c>
      <c r="AB144" s="68">
        <v>837</v>
      </c>
      <c r="AC144" s="69" t="str">
        <f ca="1">IFERROR(VLOOKUP($AB144,OFFSET([4]characters!$A$1,0,0,COUNTA([4]characters!$A:$A),MATCH(AC$1,[4]characters!$1:$1,0)-MATCH("character_id",[4]characters!$1:$1,0)+1),MATCH(AC$1,[4]characters!$1:$1,0)-MATCH("character_id",[4]characters!$1:$1,0)+1,FALSE),"")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144" s="69">
        <f ca="1">IFERROR(VLOOKUP($AB144,OFFSET([4]characters!$A$1,0,0,COUNTA([4]characters!$A:$A),MATCH(AD$1,[4]characters!$1:$1,0)-MATCH("character_id",[4]characters!$1:$1,0)+1),MATCH(AD$1,[4]characters!$1:$1,0)-MATCH("character_id",[4]characters!$1:$1,0)+1,FALSE),"")</f>
        <v>6</v>
      </c>
      <c r="AE144" s="69" t="str">
        <f ca="1">IFERROR(VLOOKUP($AB144,OFFSET([4]characters!$A$1,0,0,COUNTA([4]characters!$A:$A),MATCH(AE$1,[4]characters!$1:$1,0)-MATCH("character_id",[4]characters!$1:$1,0)+1),MATCH(AE$1,[4]characters!$1:$1,0)-MATCH("character_id",[4]characters!$1:$1,0)+1,FALSE),"")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4" s="28">
        <v>1</v>
      </c>
      <c r="AG144" s="28">
        <f ca="1">AD144</f>
        <v>6</v>
      </c>
      <c r="AH144" s="28">
        <v>33</v>
      </c>
      <c r="AI144" s="28">
        <v>0</v>
      </c>
      <c r="AJ144" s="28">
        <v>0</v>
      </c>
      <c r="AK144" s="28">
        <v>0</v>
      </c>
      <c r="AL144" s="28">
        <v>0</v>
      </c>
      <c r="AM144" s="28">
        <v>1</v>
      </c>
      <c r="AN144" s="28">
        <v>1</v>
      </c>
    </row>
    <row r="145" spans="1:40" ht="21" customHeight="1" x14ac:dyDescent="0.15">
      <c r="A145" s="78" t="str">
        <f t="shared" ca="1" si="50"/>
        <v>11008_3-1/111&lt;lv30&gt;s1</v>
      </c>
      <c r="B145" s="82">
        <v>11008</v>
      </c>
      <c r="C145" s="83">
        <v>3</v>
      </c>
      <c r="D145" s="16" t="str">
        <f t="shared" ref="D145:D167" si="52">B145&amp;"_"&amp;C145</f>
        <v>11008_3</v>
      </c>
      <c r="E145" s="22" t="str">
        <f ca="1">VLOOKUP($B145,OFFSET([2]quests!$A$1,0,0,COUNTA([2]quests!$A:$A),MATCH(E$1,[2]quests!$1:$1,0)-MATCH($B$1,[2]quests!$1:$1,0)+1),MATCH(E$1,[2]quests!$1:$1,0)-MATCH($B$1,[2]quests!$1:$1,0)+1,FALSE)</f>
        <v>【日曜限定】 青と黄の素材</v>
      </c>
      <c r="F145" s="22" t="str">
        <f ca="1">VLOOKUP($D145,OFFSET([2]stages!$A$1,0,0,COUNTA([2]stages!$A:$A),MATCH(F$1,[2]stages!$2:$2,0)-MATCH($D$1,[2]stages!$2:$2,0)+1),MATCH(F$1,[2]stages!$2:$2,0)-MATCH($D$1,[2]stages!$2:$2,0)+1,FALSE)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45" s="68">
        <v>1</v>
      </c>
      <c r="H145" s="16" t="str">
        <f t="shared" ref="H145:H190" si="53">B145&amp;"_"&amp;C145&amp;"-"&amp;G145</f>
        <v>11008_3-1</v>
      </c>
      <c r="I145" s="22" t="e">
        <v>#N/A</v>
      </c>
      <c r="J145" s="22" t="e">
        <v>#N/A</v>
      </c>
      <c r="K145" s="70" t="s">
        <v>172</v>
      </c>
      <c r="L145" s="70">
        <v>111</v>
      </c>
      <c r="M145" s="22" t="str">
        <f ca="1">VLOOKUP($L145,OFFSET([3]enemies!$A$1,0,0,COUNTA([3]enemies!$A:$A),MATCH(M$1,[3]enemies!$1:$1,0)-MATCH($L$1,[3]enemies!$1:$1,0)+1),MATCH(M$1,[3]enemies!$1:$1,0)-MATCH($L$1,[3]enemies!$1:$1,0)+1,FALSE)</f>
        <v>ブルーキャタップ</v>
      </c>
      <c r="N145" s="22" t="str">
        <f ca="1">VLOOKUP($L145,OFFSET([3]enemies!$A$1,0,0,COUNTA([3]enemies!$A:$A),MATCH(N$1,[3]enemies!$1:$1,0)-MATCH($L$1,[3]enemies!$1:$1,0)+1),MATCH(N$1,[3]enemies!$1:$1,0)-MATCH($L$1,[3]enemies!$1:$1,0)+1,FALSE)</f>
        <v>blue</v>
      </c>
      <c r="O145" s="22" t="str">
        <f ca="1">VLOOKUP($L145,OFFSET([4]characters!$A$1,0,0,COUNTA([4]characters!$A:$A),MATCH(O$1,[4]characters!$1:$1,0)-MATCH($L$1,[4]characters!$1:$1,0)+1),MATCH(O$1,[4]characters!$1:$1,0)-MATCH($L$1,[4]characters!$1:$1,0)+1,FALSE)</f>
        <v>Material</v>
      </c>
      <c r="P145" s="22" t="str">
        <f ca="1">VLOOKUP($L145,OFFSET([3]enemies!$A$1,0,0,COUNTA([3]enemies!$A:$A),MATCH(P$1,[3]enemies!$1:$1,0)-MATCH($L$1,[3]enemies!$1:$1,0)+1),MATCH(P$1,[3]enemies!$1:$1,0)-MATCH($L$1,[3]enemies!$1:$1,0)+1,FALSE)</f>
        <v>unknown</v>
      </c>
      <c r="Q145" s="22">
        <f ca="1">VLOOKUP($L145,OFFSET([3]enemies!$A$1,0,0,COUNTA([3]enemies!$A:$A),MATCH(Q$1,[3]enemies!$1:$1,0)-MATCH($L$1,[3]enemies!$1:$1,0)+1),MATCH(Q$1,[3]enemies!$1:$1,0)-MATCH($L$1,[3]enemies!$1:$1,0)+1,FALSE)</f>
        <v>15</v>
      </c>
      <c r="R145" s="79">
        <v>30</v>
      </c>
      <c r="S145" s="80">
        <v>2</v>
      </c>
      <c r="T145" s="80">
        <v>1</v>
      </c>
      <c r="U145" s="79">
        <v>0</v>
      </c>
      <c r="V145" s="22" t="str">
        <f ca="1">VLOOKUP($W145,OFFSET([5]enemy_skill_sets!$B$1,0,0,COUNTA([5]enemy_skill_sets!$B:$B),MATCH(M$1,[5]enemy_skill_sets!$1:$1,0)-MATCH($W$1,[5]enemy_skill_sets!$1:$1,0)+2),MATCH(M$1,[5]enemy_skill_sets!$1:$1,0)-MATCH($W$1,[5]enemy_skill_sets!$1:$1,0)+2,FALSE)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5" s="22">
        <f ca="1">VLOOKUP($L145,OFFSET([3]enemies!$A$1,0,0,COUNTA([3]enemies!$A:$A),MATCH(W$1,[3]enemies!$1:$1,0)-MATCH($L$1,[3]enemies!$1:$1,0)+1),MATCH(W$1,[3]enemies!$1:$1,0)-MATCH($L$1,[3]enemies!$1:$1,0)+1,FALSE)</f>
        <v>0</v>
      </c>
      <c r="X145" s="81">
        <v>0</v>
      </c>
      <c r="Y145" s="81">
        <v>50</v>
      </c>
      <c r="Z145" s="81">
        <v>1</v>
      </c>
      <c r="AA145" s="22">
        <f ca="1">VLOOKUP($L145,OFFSET([3]enemies!$A$1,0,0,COUNTA([3]enemies!$A:$A),MATCH(AA$1,[3]enemies!$1:$1,0)-MATCH($L$1,[3]enemies!$1:$1,0)+1),MATCH(AA$1,[3]enemies!$1:$1,0)-MATCH($L$1,[3]enemies!$1:$1,0)+1,FALSE)</f>
        <v>1</v>
      </c>
      <c r="AB145" s="70">
        <v>111</v>
      </c>
      <c r="AC145" s="22" t="str">
        <f ca="1">IFERROR(VLOOKUP($AB145,OFFSET([4]characters!$A$1,0,0,COUNTA([4]characters!$A:$A),MATCH(AC$1,[4]characters!$1:$1,0)-MATCH("character_id",[4]characters!$1:$1,0)+1),MATCH(AC$1,[4]characters!$1:$1,0)-MATCH("character_id",[4]characters!$1:$1,0)+1,FALSE),"")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45" s="22">
        <f ca="1">IFERROR(VLOOKUP($AB145,OFFSET([4]characters!$A$1,0,0,COUNTA([4]characters!$A:$A),MATCH(AD$1,[4]characters!$1:$1,0)-MATCH("character_id",[4]characters!$1:$1,0)+1),MATCH(AD$1,[4]characters!$1:$1,0)-MATCH("character_id",[4]characters!$1:$1,0)+1,FALSE),"")</f>
        <v>4</v>
      </c>
      <c r="AE145" s="22" t="str">
        <f ca="1">IFERROR(VLOOKUP($AB145,OFFSET([4]characters!$A$1,0,0,COUNTA([4]characters!$A:$A),MATCH(AE$1,[4]characters!$1:$1,0)-MATCH("character_id",[4]characters!$1:$1,0)+1),MATCH(AE$1,[4]characters!$1:$1,0)-MATCH("character_id",[4]characters!$1:$1,0)+1,FALSE),"")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5" s="28">
        <v>1</v>
      </c>
      <c r="AG145" s="75">
        <f t="shared" ca="1" si="51"/>
        <v>4</v>
      </c>
      <c r="AH145" s="131">
        <v>50</v>
      </c>
      <c r="AI145" s="28">
        <v>0</v>
      </c>
      <c r="AJ145" s="28">
        <v>0</v>
      </c>
      <c r="AK145" s="28">
        <v>0</v>
      </c>
      <c r="AL145" s="28">
        <v>0</v>
      </c>
      <c r="AM145" s="28">
        <v>1</v>
      </c>
      <c r="AN145" s="28">
        <v>1</v>
      </c>
    </row>
    <row r="146" spans="1:40" ht="21" customHeight="1" x14ac:dyDescent="0.15">
      <c r="A146" s="78" t="str">
        <f t="shared" ca="1" si="50"/>
        <v>11008_3-1/37&lt;lv35&gt;s3</v>
      </c>
      <c r="B146" s="82">
        <v>11008</v>
      </c>
      <c r="C146" s="83">
        <v>3</v>
      </c>
      <c r="D146" s="16" t="str">
        <f t="shared" si="52"/>
        <v>11008_3</v>
      </c>
      <c r="E146" s="22" t="str">
        <f ca="1">VLOOKUP($B146,OFFSET([2]quests!$A$1,0,0,COUNTA([2]quests!$A:$A),MATCH(E$1,[2]quests!$1:$1,0)-MATCH($B$1,[2]quests!$1:$1,0)+1),MATCH(E$1,[2]quests!$1:$1,0)-MATCH($B$1,[2]quests!$1:$1,0)+1,FALSE)</f>
        <v>【日曜限定】 青と黄の素材</v>
      </c>
      <c r="F146" s="22" t="str">
        <f ca="1">VLOOKUP($D146,OFFSET([2]stages!$A$1,0,0,COUNTA([2]stages!$A:$A),MATCH(F$1,[2]stages!$2:$2,0)-MATCH($D$1,[2]stages!$2:$2,0)+1),MATCH(F$1,[2]stages!$2:$2,0)-MATCH($D$1,[2]stages!$2:$2,0)+1,FALSE)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46" s="68">
        <v>1</v>
      </c>
      <c r="H146" s="16" t="str">
        <f t="shared" si="53"/>
        <v>11008_3-1</v>
      </c>
      <c r="I146" s="22" t="e">
        <v>#N/A</v>
      </c>
      <c r="J146" s="22" t="e">
        <v>#N/A</v>
      </c>
      <c r="K146" s="70" t="s">
        <v>172</v>
      </c>
      <c r="L146" s="70">
        <v>37</v>
      </c>
      <c r="M146" s="22" t="str">
        <f ca="1">VLOOKUP($L146,OFFSET([3]enemies!$A$1,0,0,COUNTA([3]enemies!$A:$A),MATCH(M$1,[3]enemies!$1:$1,0)-MATCH($L$1,[3]enemies!$1:$1,0)+1),MATCH(M$1,[3]enemies!$1:$1,0)-MATCH($L$1,[3]enemies!$1:$1,0)+1,FALSE)</f>
        <v>ガイル</v>
      </c>
      <c r="N146" s="22" t="str">
        <f ca="1">VLOOKUP($L146,OFFSET([3]enemies!$A$1,0,0,COUNTA([3]enemies!$A:$A),MATCH(N$1,[3]enemies!$1:$1,0)-MATCH($L$1,[3]enemies!$1:$1,0)+1),MATCH(N$1,[3]enemies!$1:$1,0)-MATCH($L$1,[3]enemies!$1:$1,0)+1,FALSE)</f>
        <v>blue</v>
      </c>
      <c r="O146" s="22" t="str">
        <f ca="1">VLOOKUP($L146,OFFSET([4]characters!$A$1,0,0,COUNTA([4]characters!$A:$A),MATCH(O$1,[4]characters!$1:$1,0)-MATCH($L$1,[4]characters!$1:$1,0)+1),MATCH(O$1,[4]characters!$1:$1,0)-MATCH($L$1,[4]characters!$1:$1,0)+1,FALSE)</f>
        <v>Drop1S</v>
      </c>
      <c r="P146" s="22" t="str">
        <f ca="1">VLOOKUP($L146,OFFSET([3]enemies!$A$1,0,0,COUNTA([3]enemies!$A:$A),MATCH(P$1,[3]enemies!$1:$1,0)-MATCH($L$1,[3]enemies!$1:$1,0)+1),MATCH(P$1,[3]enemies!$1:$1,0)-MATCH($L$1,[3]enemies!$1:$1,0)+1,FALSE)</f>
        <v>animal</v>
      </c>
      <c r="Q146" s="22">
        <f ca="1">VLOOKUP($L146,OFFSET([3]enemies!$A$1,0,0,COUNTA([3]enemies!$A:$A),MATCH(Q$1,[3]enemies!$1:$1,0)-MATCH($L$1,[3]enemies!$1:$1,0)+1),MATCH(Q$1,[3]enemies!$1:$1,0)-MATCH($L$1,[3]enemies!$1:$1,0)+1,FALSE)</f>
        <v>15</v>
      </c>
      <c r="R146" s="79">
        <v>35</v>
      </c>
      <c r="S146" s="80">
        <v>1</v>
      </c>
      <c r="T146" s="80">
        <v>1</v>
      </c>
      <c r="U146" s="79">
        <v>0</v>
      </c>
      <c r="V146" s="22" t="str">
        <f ca="1">VLOOKUP($W146,OFFSET([5]enemy_skill_sets!$B$1,0,0,COUNTA([5]enemy_skill_sets!$B:$B),MATCH(M$1,[5]enemy_skill_sets!$1:$1,0)-MATCH($W$1,[5]enemy_skill_sets!$1:$1,0)+2),MATCH(M$1,[5]enemy_skill_sets!$1:$1,0)-MATCH($W$1,[5]enemy_skill_sets!$1:$1,0)+2,FALSE)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46" s="22">
        <f ca="1">VLOOKUP($L146,OFFSET([3]enemies!$A$1,0,0,COUNTA([3]enemies!$A:$A),MATCH(W$1,[3]enemies!$1:$1,0)-MATCH($L$1,[3]enemies!$1:$1,0)+1),MATCH(W$1,[3]enemies!$1:$1,0)-MATCH($L$1,[3]enemies!$1:$1,0)+1,FALSE)</f>
        <v>37</v>
      </c>
      <c r="X146" s="81">
        <v>0</v>
      </c>
      <c r="Y146" s="81">
        <v>100</v>
      </c>
      <c r="Z146" s="81">
        <v>0</v>
      </c>
      <c r="AA146" s="22">
        <f ca="1">VLOOKUP($L146,OFFSET([3]enemies!$A$1,0,0,COUNTA([3]enemies!$A:$A),MATCH(AA$1,[3]enemies!$1:$1,0)-MATCH($L$1,[3]enemies!$1:$1,0)+1),MATCH(AA$1,[3]enemies!$1:$1,0)-MATCH($L$1,[3]enemies!$1:$1,0)+1,FALSE)</f>
        <v>3</v>
      </c>
      <c r="AB146" s="70">
        <v>37</v>
      </c>
      <c r="AC146" s="22" t="str">
        <f ca="1">IFERROR(VLOOKUP($AB146,OFFSET([4]characters!$A$1,0,0,COUNTA([4]characters!$A:$A),MATCH(AC$1,[4]characters!$1:$1,0)-MATCH("character_id",[4]characters!$1:$1,0)+1),MATCH(AC$1,[4]characters!$1:$1,0)-MATCH("character_id",[4]characters!$1:$1,0)+1,FALSE),"")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46" s="22">
        <f ca="1">IFERROR(VLOOKUP($AB146,OFFSET([4]characters!$A$1,0,0,COUNTA([4]characters!$A:$A),MATCH(AD$1,[4]characters!$1:$1,0)-MATCH("character_id",[4]characters!$1:$1,0)+1),MATCH(AD$1,[4]characters!$1:$1,0)-MATCH("character_id",[4]characters!$1:$1,0)+1,FALSE),"")</f>
        <v>2</v>
      </c>
      <c r="AE146" s="22" t="str">
        <f ca="1">IFERROR(VLOOKUP($AB146,OFFSET([4]characters!$A$1,0,0,COUNTA([4]characters!$A:$A),MATCH(AE$1,[4]characters!$1:$1,0)-MATCH("character_id",[4]characters!$1:$1,0)+1),MATCH(AE$1,[4]characters!$1:$1,0)-MATCH("character_id",[4]characters!$1:$1,0)+1,FALSE),"")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46" s="28">
        <v>1</v>
      </c>
      <c r="AG146" s="75">
        <f t="shared" ca="1" si="51"/>
        <v>2</v>
      </c>
      <c r="AH146" s="81">
        <v>0</v>
      </c>
      <c r="AI146" s="28">
        <v>0</v>
      </c>
      <c r="AJ146" s="28">
        <v>0</v>
      </c>
      <c r="AK146" s="28">
        <v>0</v>
      </c>
      <c r="AL146" s="28">
        <v>0</v>
      </c>
      <c r="AM146" s="28">
        <v>1</v>
      </c>
      <c r="AN146" s="28">
        <v>1</v>
      </c>
    </row>
    <row r="147" spans="1:40" ht="21" customHeight="1" x14ac:dyDescent="0.15">
      <c r="A147" s="78" t="str">
        <f t="shared" ca="1" si="50"/>
        <v>11008_3-1/29&lt;lv35&gt;s2</v>
      </c>
      <c r="B147" s="82">
        <v>11008</v>
      </c>
      <c r="C147" s="83">
        <v>3</v>
      </c>
      <c r="D147" s="16" t="str">
        <f t="shared" si="52"/>
        <v>11008_3</v>
      </c>
      <c r="E147" s="22" t="str">
        <f ca="1">VLOOKUP($B147,OFFSET([2]quests!$A$1,0,0,COUNTA([2]quests!$A:$A),MATCH(E$1,[2]quests!$1:$1,0)-MATCH($B$1,[2]quests!$1:$1,0)+1),MATCH(E$1,[2]quests!$1:$1,0)-MATCH($B$1,[2]quests!$1:$1,0)+1,FALSE)</f>
        <v>【日曜限定】 青と黄の素材</v>
      </c>
      <c r="F147" s="22" t="str">
        <f ca="1">VLOOKUP($D147,OFFSET([2]stages!$A$1,0,0,COUNTA([2]stages!$A:$A),MATCH(F$1,[2]stages!$2:$2,0)-MATCH($D$1,[2]stages!$2:$2,0)+1),MATCH(F$1,[2]stages!$2:$2,0)-MATCH($D$1,[2]stages!$2:$2,0)+1,FALSE)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47" s="68">
        <v>1</v>
      </c>
      <c r="H147" s="16" t="str">
        <f t="shared" si="53"/>
        <v>11008_3-1</v>
      </c>
      <c r="I147" s="22" t="e">
        <v>#N/A</v>
      </c>
      <c r="J147" s="22" t="e">
        <v>#N/A</v>
      </c>
      <c r="K147" s="70" t="s">
        <v>172</v>
      </c>
      <c r="L147" s="70">
        <v>29</v>
      </c>
      <c r="M147" s="22" t="str">
        <f ca="1">VLOOKUP($L147,OFFSET([3]enemies!$A$1,0,0,COUNTA([3]enemies!$A:$A),MATCH(M$1,[3]enemies!$1:$1,0)-MATCH($L$1,[3]enemies!$1:$1,0)+1),MATCH(M$1,[3]enemies!$1:$1,0)-MATCH($L$1,[3]enemies!$1:$1,0)+1,FALSE)</f>
        <v>スケアクロウ</v>
      </c>
      <c r="N147" s="22" t="str">
        <f ca="1">VLOOKUP($L147,OFFSET([3]enemies!$A$1,0,0,COUNTA([3]enemies!$A:$A),MATCH(N$1,[3]enemies!$1:$1,0)-MATCH($L$1,[3]enemies!$1:$1,0)+1),MATCH(N$1,[3]enemies!$1:$1,0)-MATCH($L$1,[3]enemies!$1:$1,0)+1,FALSE)</f>
        <v>blue</v>
      </c>
      <c r="O147" s="22" t="str">
        <f ca="1">VLOOKUP($L147,OFFSET([4]characters!$A$1,0,0,COUNTA([4]characters!$A:$A),MATCH(O$1,[4]characters!$1:$1,0)-MATCH($L$1,[4]characters!$1:$1,0)+1),MATCH(O$1,[4]characters!$1:$1,0)-MATCH($L$1,[4]characters!$1:$1,0)+1,FALSE)</f>
        <v>Drop1N</v>
      </c>
      <c r="P147" s="22" t="str">
        <f ca="1">VLOOKUP($L147,OFFSET([3]enemies!$A$1,0,0,COUNTA([3]enemies!$A:$A),MATCH(P$1,[3]enemies!$1:$1,0)-MATCH($L$1,[3]enemies!$1:$1,0)+1),MATCH(P$1,[3]enemies!$1:$1,0)-MATCH($L$1,[3]enemies!$1:$1,0)+1,FALSE)</f>
        <v>machine</v>
      </c>
      <c r="Q147" s="22">
        <f ca="1">VLOOKUP($L147,OFFSET([3]enemies!$A$1,0,0,COUNTA([3]enemies!$A:$A),MATCH(Q$1,[3]enemies!$1:$1,0)-MATCH($L$1,[3]enemies!$1:$1,0)+1),MATCH(Q$1,[3]enemies!$1:$1,0)-MATCH($L$1,[3]enemies!$1:$1,0)+1,FALSE)</f>
        <v>15</v>
      </c>
      <c r="R147" s="79">
        <v>35</v>
      </c>
      <c r="S147" s="80">
        <v>1</v>
      </c>
      <c r="T147" s="80">
        <v>1</v>
      </c>
      <c r="U147" s="79">
        <v>0</v>
      </c>
      <c r="V147" s="22" t="str">
        <f ca="1">VLOOKUP($W147,OFFSET([5]enemy_skill_sets!$B$1,0,0,COUNTA([5]enemy_skill_sets!$B:$B),MATCH(M$1,[5]enemy_skill_sets!$1:$1,0)-MATCH($W$1,[5]enemy_skill_sets!$1:$1,0)+2),MATCH(M$1,[5]enemy_skill_sets!$1:$1,0)-MATCH($W$1,[5]enemy_skill_sets!$1:$1,0)+2,FALSE)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7" s="22">
        <f ca="1">VLOOKUP($L147,OFFSET([3]enemies!$A$1,0,0,COUNTA([3]enemies!$A:$A),MATCH(W$1,[3]enemies!$1:$1,0)-MATCH($L$1,[3]enemies!$1:$1,0)+1),MATCH(W$1,[3]enemies!$1:$1,0)-MATCH($L$1,[3]enemies!$1:$1,0)+1,FALSE)</f>
        <v>0</v>
      </c>
      <c r="X147" s="81">
        <v>0</v>
      </c>
      <c r="Y147" s="81">
        <v>100</v>
      </c>
      <c r="Z147" s="81">
        <v>0</v>
      </c>
      <c r="AA147" s="22">
        <f ca="1">VLOOKUP($L147,OFFSET([3]enemies!$A$1,0,0,COUNTA([3]enemies!$A:$A),MATCH(AA$1,[3]enemies!$1:$1,0)-MATCH($L$1,[3]enemies!$1:$1,0)+1),MATCH(AA$1,[3]enemies!$1:$1,0)-MATCH($L$1,[3]enemies!$1:$1,0)+1,FALSE)</f>
        <v>2</v>
      </c>
      <c r="AB147" s="70">
        <v>29</v>
      </c>
      <c r="AC147" s="22" t="str">
        <f ca="1">IFERROR(VLOOKUP($AB147,OFFSET([4]characters!$A$1,0,0,COUNTA([4]characters!$A:$A),MATCH(AC$1,[4]characters!$1:$1,0)-MATCH("character_id",[4]characters!$1:$1,0)+1),MATCH(AC$1,[4]characters!$1:$1,0)-MATCH("character_id",[4]characters!$1:$1,0)+1,FALSE),"")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47" s="22">
        <f ca="1">IFERROR(VLOOKUP($AB147,OFFSET([4]characters!$A$1,0,0,COUNTA([4]characters!$A:$A),MATCH(AD$1,[4]characters!$1:$1,0)-MATCH("character_id",[4]characters!$1:$1,0)+1),MATCH(AD$1,[4]characters!$1:$1,0)-MATCH("character_id",[4]characters!$1:$1,0)+1,FALSE),"")</f>
        <v>1</v>
      </c>
      <c r="AE147" s="22" t="str">
        <f ca="1">IFERROR(VLOOKUP($AB147,OFFSET([4]characters!$A$1,0,0,COUNTA([4]characters!$A:$A),MATCH(AE$1,[4]characters!$1:$1,0)-MATCH("character_id",[4]characters!$1:$1,0)+1),MATCH(AE$1,[4]characters!$1:$1,0)-MATCH("character_id",[4]characters!$1:$1,0)+1,FALSE),"")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47" s="28">
        <v>1</v>
      </c>
      <c r="AG147" s="75">
        <f t="shared" ca="1" si="51"/>
        <v>1</v>
      </c>
      <c r="AH147" s="81">
        <v>0</v>
      </c>
      <c r="AI147" s="28">
        <v>0</v>
      </c>
      <c r="AJ147" s="28">
        <v>0</v>
      </c>
      <c r="AK147" s="28">
        <v>0</v>
      </c>
      <c r="AL147" s="28">
        <v>0</v>
      </c>
      <c r="AM147" s="28">
        <v>1</v>
      </c>
      <c r="AN147" s="28">
        <v>1</v>
      </c>
    </row>
    <row r="148" spans="1:40" ht="21" customHeight="1" x14ac:dyDescent="0.15">
      <c r="A148" s="78" t="str">
        <f t="shared" ca="1" si="50"/>
        <v>11008_3-1/340&lt;lv1&gt;s1</v>
      </c>
      <c r="B148" s="82">
        <v>11008</v>
      </c>
      <c r="C148" s="83">
        <v>3</v>
      </c>
      <c r="D148" s="16" t="str">
        <f t="shared" si="52"/>
        <v>11008_3</v>
      </c>
      <c r="E148" s="22" t="str">
        <f ca="1">VLOOKUP($B148,OFFSET([2]quests!$A$1,0,0,COUNTA([2]quests!$A:$A),MATCH(E$1,[2]quests!$1:$1,0)-MATCH($B$1,[2]quests!$1:$1,0)+1),MATCH(E$1,[2]quests!$1:$1,0)-MATCH($B$1,[2]quests!$1:$1,0)+1,FALSE)</f>
        <v>【日曜限定】 青と黄の素材</v>
      </c>
      <c r="F148" s="22" t="str">
        <f ca="1">VLOOKUP($D148,OFFSET([2]stages!$A$1,0,0,COUNTA([2]stages!$A:$A),MATCH(F$1,[2]stages!$2:$2,0)-MATCH($D$1,[2]stages!$2:$2,0)+1),MATCH(F$1,[2]stages!$2:$2,0)-MATCH($D$1,[2]stages!$2:$2,0)+1,FALSE)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48" s="68">
        <v>1</v>
      </c>
      <c r="H148" s="16" t="str">
        <f t="shared" si="53"/>
        <v>11008_3-1</v>
      </c>
      <c r="I148" s="22" t="e">
        <v>#N/A</v>
      </c>
      <c r="J148" s="22" t="e">
        <v>#N/A</v>
      </c>
      <c r="K148" s="70" t="s">
        <v>172</v>
      </c>
      <c r="L148" s="70">
        <v>340</v>
      </c>
      <c r="M148" s="22" t="str">
        <f ca="1">VLOOKUP($L148,OFFSET([3]enemies!$A$1,0,0,COUNTA([3]enemies!$A:$A),MATCH(M$1,[3]enemies!$1:$1,0)-MATCH($L$1,[3]enemies!$1:$1,0)+1),MATCH(M$1,[3]enemies!$1:$1,0)-MATCH($L$1,[3]enemies!$1:$1,0)+1,FALSE)</f>
        <v>水のメタルピヨピヨ</v>
      </c>
      <c r="N148" s="22" t="str">
        <f ca="1">VLOOKUP($L148,OFFSET([3]enemies!$A$1,0,0,COUNTA([3]enemies!$A:$A),MATCH(N$1,[3]enemies!$1:$1,0)-MATCH($L$1,[3]enemies!$1:$1,0)+1),MATCH(N$1,[3]enemies!$1:$1,0)-MATCH($L$1,[3]enemies!$1:$1,0)+1,FALSE)</f>
        <v>blue</v>
      </c>
      <c r="O148" s="22" t="str">
        <f ca="1">VLOOKUP($L148,OFFSET([4]characters!$A$1,0,0,COUNTA([4]characters!$A:$A),MATCH(O$1,[4]characters!$1:$1,0)-MATCH($L$1,[4]characters!$1:$1,0)+1),MATCH(O$1,[4]characters!$1:$1,0)-MATCH($L$1,[4]characters!$1:$1,0)+1,FALSE)</f>
        <v>Material</v>
      </c>
      <c r="P148" s="22" t="str">
        <f ca="1">VLOOKUP($L148,OFFSET([3]enemies!$A$1,0,0,COUNTA([3]enemies!$A:$A),MATCH(P$1,[3]enemies!$1:$1,0)-MATCH($L$1,[3]enemies!$1:$1,0)+1),MATCH(P$1,[3]enemies!$1:$1,0)-MATCH($L$1,[3]enemies!$1:$1,0)+1,FALSE)</f>
        <v>unknown</v>
      </c>
      <c r="Q148" s="22">
        <f ca="1">VLOOKUP($L148,OFFSET([3]enemies!$A$1,0,0,COUNTA([3]enemies!$A:$A),MATCH(Q$1,[3]enemies!$1:$1,0)-MATCH($L$1,[3]enemies!$1:$1,0)+1),MATCH(Q$1,[3]enemies!$1:$1,0)-MATCH($L$1,[3]enemies!$1:$1,0)+1,FALSE)</f>
        <v>15</v>
      </c>
      <c r="R148" s="79">
        <v>1</v>
      </c>
      <c r="S148" s="80">
        <v>1</v>
      </c>
      <c r="T148" s="80">
        <v>1</v>
      </c>
      <c r="U148" s="79">
        <v>0</v>
      </c>
      <c r="V148" s="22" t="str">
        <f ca="1">VLOOKUP($W148,OFFSET([5]enemy_skill_sets!$B$1,0,0,COUNTA([5]enemy_skill_sets!$B:$B),MATCH(M$1,[5]enemy_skill_sets!$1:$1,0)-MATCH($W$1,[5]enemy_skill_sets!$1:$1,0)+2),MATCH(M$1,[5]enemy_skill_sets!$1:$1,0)-MATCH($W$1,[5]enemy_skill_sets!$1:$1,0)+2,FALSE)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8" s="22">
        <f ca="1">VLOOKUP($L148,OFFSET([3]enemies!$A$1,0,0,COUNTA([3]enemies!$A:$A),MATCH(W$1,[3]enemies!$1:$1,0)-MATCH($L$1,[3]enemies!$1:$1,0)+1),MATCH(W$1,[3]enemies!$1:$1,0)-MATCH($L$1,[3]enemies!$1:$1,0)+1,FALSE)</f>
        <v>0</v>
      </c>
      <c r="X148" s="81">
        <v>0</v>
      </c>
      <c r="Y148" s="81">
        <v>30</v>
      </c>
      <c r="Z148" s="81">
        <v>0</v>
      </c>
      <c r="AA148" s="22">
        <f ca="1">VLOOKUP($L148,OFFSET([3]enemies!$A$1,0,0,COUNTA([3]enemies!$A:$A),MATCH(AA$1,[3]enemies!$1:$1,0)-MATCH($L$1,[3]enemies!$1:$1,0)+1),MATCH(AA$1,[3]enemies!$1:$1,0)-MATCH($L$1,[3]enemies!$1:$1,0)+1,FALSE)</f>
        <v>1</v>
      </c>
      <c r="AB148" s="70">
        <v>340</v>
      </c>
      <c r="AC148" s="22" t="str">
        <f ca="1">IFERROR(VLOOKUP($AB148,OFFSET([4]characters!$A$1,0,0,COUNTA([4]characters!$A:$A),MATCH(AC$1,[4]characters!$1:$1,0)-MATCH("character_id",[4]characters!$1:$1,0)+1),MATCH(AC$1,[4]characters!$1:$1,0)-MATCH("character_id",[4]characters!$1:$1,0)+1,FALSE),"")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48" s="22">
        <f ca="1">IFERROR(VLOOKUP($AB148,OFFSET([4]characters!$A$1,0,0,COUNTA([4]characters!$A:$A),MATCH(AD$1,[4]characters!$1:$1,0)-MATCH("character_id",[4]characters!$1:$1,0)+1),MATCH(AD$1,[4]characters!$1:$1,0)-MATCH("character_id",[4]characters!$1:$1,0)+1,FALSE),"")</f>
        <v>3</v>
      </c>
      <c r="AE148" s="22" t="str">
        <f ca="1">IFERROR(VLOOKUP($AB148,OFFSET([4]characters!$A$1,0,0,COUNTA([4]characters!$A:$A),MATCH(AE$1,[4]characters!$1:$1,0)-MATCH("character_id",[4]characters!$1:$1,0)+1),MATCH(AE$1,[4]characters!$1:$1,0)-MATCH("character_id",[4]characters!$1:$1,0)+1,FALSE),"")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8" s="28">
        <v>1</v>
      </c>
      <c r="AG148" s="75">
        <f t="shared" ca="1" si="51"/>
        <v>3</v>
      </c>
      <c r="AH148" s="81">
        <v>10</v>
      </c>
      <c r="AI148" s="28">
        <v>0</v>
      </c>
      <c r="AJ148" s="28">
        <v>0</v>
      </c>
      <c r="AK148" s="28">
        <v>0</v>
      </c>
      <c r="AL148" s="28">
        <v>0</v>
      </c>
      <c r="AM148" s="28">
        <v>1</v>
      </c>
      <c r="AN148" s="28">
        <v>1</v>
      </c>
    </row>
    <row r="149" spans="1:40" ht="21" customHeight="1" x14ac:dyDescent="0.15">
      <c r="A149" s="78" t="str">
        <f t="shared" ca="1" si="50"/>
        <v>11008_3-1/341&lt;lv1&gt;s2</v>
      </c>
      <c r="B149" s="82">
        <v>11008</v>
      </c>
      <c r="C149" s="83">
        <v>3</v>
      </c>
      <c r="D149" s="16" t="str">
        <f t="shared" si="52"/>
        <v>11008_3</v>
      </c>
      <c r="E149" s="22" t="str">
        <f ca="1">VLOOKUP($B149,OFFSET([2]quests!$A$1,0,0,COUNTA([2]quests!$A:$A),MATCH(E$1,[2]quests!$1:$1,0)-MATCH($B$1,[2]quests!$1:$1,0)+1),MATCH(E$1,[2]quests!$1:$1,0)-MATCH($B$1,[2]quests!$1:$1,0)+1,FALSE)</f>
        <v>【日曜限定】 青と黄の素材</v>
      </c>
      <c r="F149" s="22" t="str">
        <f ca="1">VLOOKUP($D149,OFFSET([2]stages!$A$1,0,0,COUNTA([2]stages!$A:$A),MATCH(F$1,[2]stages!$2:$2,0)-MATCH($D$1,[2]stages!$2:$2,0)+1),MATCH(F$1,[2]stages!$2:$2,0)-MATCH($D$1,[2]stages!$2:$2,0)+1,FALSE)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49" s="68">
        <v>1</v>
      </c>
      <c r="H149" s="16" t="str">
        <f t="shared" si="53"/>
        <v>11008_3-1</v>
      </c>
      <c r="I149" s="22" t="e">
        <v>#N/A</v>
      </c>
      <c r="J149" s="22" t="e">
        <v>#N/A</v>
      </c>
      <c r="K149" s="70" t="s">
        <v>172</v>
      </c>
      <c r="L149" s="70">
        <v>341</v>
      </c>
      <c r="M149" s="22" t="str">
        <f ca="1">VLOOKUP($L149,OFFSET([3]enemies!$A$1,0,0,COUNTA([3]enemies!$A:$A),MATCH(M$1,[3]enemies!$1:$1,0)-MATCH($L$1,[3]enemies!$1:$1,0)+1),MATCH(M$1,[3]enemies!$1:$1,0)-MATCH($L$1,[3]enemies!$1:$1,0)+1,FALSE)</f>
        <v>水のメタルチック</v>
      </c>
      <c r="N149" s="22" t="str">
        <f ca="1">VLOOKUP($L149,OFFSET([3]enemies!$A$1,0,0,COUNTA([3]enemies!$A:$A),MATCH(N$1,[3]enemies!$1:$1,0)-MATCH($L$1,[3]enemies!$1:$1,0)+1),MATCH(N$1,[3]enemies!$1:$1,0)-MATCH($L$1,[3]enemies!$1:$1,0)+1,FALSE)</f>
        <v>blue</v>
      </c>
      <c r="O149" s="22" t="str">
        <f ca="1">VLOOKUP($L149,OFFSET([4]characters!$A$1,0,0,COUNTA([4]characters!$A:$A),MATCH(O$1,[4]characters!$1:$1,0)-MATCH($L$1,[4]characters!$1:$1,0)+1),MATCH(O$1,[4]characters!$1:$1,0)-MATCH($L$1,[4]characters!$1:$1,0)+1,FALSE)</f>
        <v>Material</v>
      </c>
      <c r="P149" s="22" t="str">
        <f ca="1">VLOOKUP($L149,OFFSET([3]enemies!$A$1,0,0,COUNTA([3]enemies!$A:$A),MATCH(P$1,[3]enemies!$1:$1,0)-MATCH($L$1,[3]enemies!$1:$1,0)+1),MATCH(P$1,[3]enemies!$1:$1,0)-MATCH($L$1,[3]enemies!$1:$1,0)+1,FALSE)</f>
        <v>unknown</v>
      </c>
      <c r="Q149" s="22">
        <f ca="1">VLOOKUP($L149,OFFSET([3]enemies!$A$1,0,0,COUNTA([3]enemies!$A:$A),MATCH(Q$1,[3]enemies!$1:$1,0)-MATCH($L$1,[3]enemies!$1:$1,0)+1),MATCH(Q$1,[3]enemies!$1:$1,0)-MATCH($L$1,[3]enemies!$1:$1,0)+1,FALSE)</f>
        <v>15</v>
      </c>
      <c r="R149" s="79">
        <v>1</v>
      </c>
      <c r="S149" s="80">
        <v>1</v>
      </c>
      <c r="T149" s="80">
        <v>1</v>
      </c>
      <c r="U149" s="79">
        <v>0</v>
      </c>
      <c r="V149" s="22" t="str">
        <f ca="1">VLOOKUP($W149,OFFSET([5]enemy_skill_sets!$B$1,0,0,COUNTA([5]enemy_skill_sets!$B:$B),MATCH(M$1,[5]enemy_skill_sets!$1:$1,0)-MATCH($W$1,[5]enemy_skill_sets!$1:$1,0)+2),MATCH(M$1,[5]enemy_skill_sets!$1:$1,0)-MATCH($W$1,[5]enemy_skill_sets!$1:$1,0)+2,FALSE)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9" s="22">
        <f ca="1">VLOOKUP($L149,OFFSET([3]enemies!$A$1,0,0,COUNTA([3]enemies!$A:$A),MATCH(W$1,[3]enemies!$1:$1,0)-MATCH($L$1,[3]enemies!$1:$1,0)+1),MATCH(W$1,[3]enemies!$1:$1,0)-MATCH($L$1,[3]enemies!$1:$1,0)+1,FALSE)</f>
        <v>0</v>
      </c>
      <c r="X149" s="81">
        <v>0</v>
      </c>
      <c r="Y149" s="81">
        <v>30</v>
      </c>
      <c r="Z149" s="81">
        <v>0</v>
      </c>
      <c r="AA149" s="22">
        <f ca="1">VLOOKUP($L149,OFFSET([3]enemies!$A$1,0,0,COUNTA([3]enemies!$A:$A),MATCH(AA$1,[3]enemies!$1:$1,0)-MATCH($L$1,[3]enemies!$1:$1,0)+1),MATCH(AA$1,[3]enemies!$1:$1,0)-MATCH($L$1,[3]enemies!$1:$1,0)+1,FALSE)</f>
        <v>2</v>
      </c>
      <c r="AB149" s="70">
        <v>341</v>
      </c>
      <c r="AC149" s="22" t="str">
        <f ca="1">IFERROR(VLOOKUP($AB149,OFFSET([4]characters!$A$1,0,0,COUNTA([4]characters!$A:$A),MATCH(AC$1,[4]characters!$1:$1,0)-MATCH("character_id",[4]characters!$1:$1,0)+1),MATCH(AC$1,[4]characters!$1:$1,0)-MATCH("character_id",[4]characters!$1:$1,0)+1,FALSE),"")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49" s="22">
        <f ca="1">IFERROR(VLOOKUP($AB149,OFFSET([4]characters!$A$1,0,0,COUNTA([4]characters!$A:$A),MATCH(AD$1,[4]characters!$1:$1,0)-MATCH("character_id",[4]characters!$1:$1,0)+1),MATCH(AD$1,[4]characters!$1:$1,0)-MATCH("character_id",[4]characters!$1:$1,0)+1,FALSE),"")</f>
        <v>4</v>
      </c>
      <c r="AE149" s="22" t="str">
        <f ca="1">IFERROR(VLOOKUP($AB149,OFFSET([4]characters!$A$1,0,0,COUNTA([4]characters!$A:$A),MATCH(AE$1,[4]characters!$1:$1,0)-MATCH("character_id",[4]characters!$1:$1,0)+1),MATCH(AE$1,[4]characters!$1:$1,0)-MATCH("character_id",[4]characters!$1:$1,0)+1,FALSE),"")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9" s="28">
        <v>1</v>
      </c>
      <c r="AG149" s="75">
        <f t="shared" ca="1" si="51"/>
        <v>4</v>
      </c>
      <c r="AH149" s="81">
        <v>5</v>
      </c>
      <c r="AI149" s="28">
        <v>0</v>
      </c>
      <c r="AJ149" s="28">
        <v>0</v>
      </c>
      <c r="AK149" s="28">
        <v>0</v>
      </c>
      <c r="AL149" s="28">
        <v>0</v>
      </c>
      <c r="AM149" s="28">
        <v>1</v>
      </c>
      <c r="AN149" s="28">
        <v>1</v>
      </c>
    </row>
    <row r="150" spans="1:40" ht="21" customHeight="1" x14ac:dyDescent="0.15">
      <c r="A150" s="78" t="str">
        <f t="shared" ca="1" si="50"/>
        <v>11008_3-2/111&lt;lv30&gt;s1</v>
      </c>
      <c r="B150" s="82">
        <v>11008</v>
      </c>
      <c r="C150" s="83">
        <v>3</v>
      </c>
      <c r="D150" s="16" t="str">
        <f t="shared" si="52"/>
        <v>11008_3</v>
      </c>
      <c r="E150" s="22" t="str">
        <f ca="1">VLOOKUP($B150,OFFSET([2]quests!$A$1,0,0,COUNTA([2]quests!$A:$A),MATCH(E$1,[2]quests!$1:$1,0)-MATCH($B$1,[2]quests!$1:$1,0)+1),MATCH(E$1,[2]quests!$1:$1,0)-MATCH($B$1,[2]quests!$1:$1,0)+1,FALSE)</f>
        <v>【日曜限定】 青と黄の素材</v>
      </c>
      <c r="F150" s="22" t="str">
        <f ca="1">VLOOKUP($D150,OFFSET([2]stages!$A$1,0,0,COUNTA([2]stages!$A:$A),MATCH(F$1,[2]stages!$2:$2,0)-MATCH($D$1,[2]stages!$2:$2,0)+1),MATCH(F$1,[2]stages!$2:$2,0)-MATCH($D$1,[2]stages!$2:$2,0)+1,FALSE)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0" s="68">
        <v>2</v>
      </c>
      <c r="H150" s="16" t="str">
        <f t="shared" si="53"/>
        <v>11008_3-2</v>
      </c>
      <c r="I150" s="22" t="e">
        <v>#N/A</v>
      </c>
      <c r="J150" s="22" t="e">
        <v>#N/A</v>
      </c>
      <c r="K150" s="70" t="s">
        <v>172</v>
      </c>
      <c r="L150" s="70">
        <v>111</v>
      </c>
      <c r="M150" s="22" t="str">
        <f ca="1">VLOOKUP($L150,OFFSET([3]enemies!$A$1,0,0,COUNTA([3]enemies!$A:$A),MATCH(M$1,[3]enemies!$1:$1,0)-MATCH($L$1,[3]enemies!$1:$1,0)+1),MATCH(M$1,[3]enemies!$1:$1,0)-MATCH($L$1,[3]enemies!$1:$1,0)+1,FALSE)</f>
        <v>ブルーキャタップ</v>
      </c>
      <c r="N150" s="22" t="str">
        <f ca="1">VLOOKUP($L150,OFFSET([3]enemies!$A$1,0,0,COUNTA([3]enemies!$A:$A),MATCH(N$1,[3]enemies!$1:$1,0)-MATCH($L$1,[3]enemies!$1:$1,0)+1),MATCH(N$1,[3]enemies!$1:$1,0)-MATCH($L$1,[3]enemies!$1:$1,0)+1,FALSE)</f>
        <v>blue</v>
      </c>
      <c r="O150" s="22" t="str">
        <f ca="1">VLOOKUP($L150,OFFSET([4]characters!$A$1,0,0,COUNTA([4]characters!$A:$A),MATCH(O$1,[4]characters!$1:$1,0)-MATCH($L$1,[4]characters!$1:$1,0)+1),MATCH(O$1,[4]characters!$1:$1,0)-MATCH($L$1,[4]characters!$1:$1,0)+1,FALSE)</f>
        <v>Material</v>
      </c>
      <c r="P150" s="22" t="str">
        <f ca="1">VLOOKUP($L150,OFFSET([3]enemies!$A$1,0,0,COUNTA([3]enemies!$A:$A),MATCH(P$1,[3]enemies!$1:$1,0)-MATCH($L$1,[3]enemies!$1:$1,0)+1),MATCH(P$1,[3]enemies!$1:$1,0)-MATCH($L$1,[3]enemies!$1:$1,0)+1,FALSE)</f>
        <v>unknown</v>
      </c>
      <c r="Q150" s="22">
        <f ca="1">VLOOKUP($L150,OFFSET([3]enemies!$A$1,0,0,COUNTA([3]enemies!$A:$A),MATCH(Q$1,[3]enemies!$1:$1,0)-MATCH($L$1,[3]enemies!$1:$1,0)+1),MATCH(Q$1,[3]enemies!$1:$1,0)-MATCH($L$1,[3]enemies!$1:$1,0)+1,FALSE)</f>
        <v>15</v>
      </c>
      <c r="R150" s="79">
        <v>30</v>
      </c>
      <c r="S150" s="80">
        <v>2</v>
      </c>
      <c r="T150" s="80">
        <v>1</v>
      </c>
      <c r="U150" s="79">
        <v>0</v>
      </c>
      <c r="V150" s="22" t="str">
        <f ca="1">VLOOKUP($W150,OFFSET([5]enemy_skill_sets!$B$1,0,0,COUNTA([5]enemy_skill_sets!$B:$B),MATCH(M$1,[5]enemy_skill_sets!$1:$1,0)-MATCH($W$1,[5]enemy_skill_sets!$1:$1,0)+2),MATCH(M$1,[5]enemy_skill_sets!$1:$1,0)-MATCH($W$1,[5]enemy_skill_sets!$1:$1,0)+2,FALSE)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0" s="22">
        <f ca="1">VLOOKUP($L150,OFFSET([3]enemies!$A$1,0,0,COUNTA([3]enemies!$A:$A),MATCH(W$1,[3]enemies!$1:$1,0)-MATCH($L$1,[3]enemies!$1:$1,0)+1),MATCH(W$1,[3]enemies!$1:$1,0)-MATCH($L$1,[3]enemies!$1:$1,0)+1,FALSE)</f>
        <v>0</v>
      </c>
      <c r="X150" s="81">
        <v>0</v>
      </c>
      <c r="Y150" s="81">
        <v>50</v>
      </c>
      <c r="Z150" s="81">
        <v>1</v>
      </c>
      <c r="AA150" s="22">
        <f ca="1">VLOOKUP($L150,OFFSET([3]enemies!$A$1,0,0,COUNTA([3]enemies!$A:$A),MATCH(AA$1,[3]enemies!$1:$1,0)-MATCH($L$1,[3]enemies!$1:$1,0)+1),MATCH(AA$1,[3]enemies!$1:$1,0)-MATCH($L$1,[3]enemies!$1:$1,0)+1,FALSE)</f>
        <v>1</v>
      </c>
      <c r="AB150" s="70">
        <v>111</v>
      </c>
      <c r="AC150" s="22" t="str">
        <f ca="1">IFERROR(VLOOKUP($AB150,OFFSET([4]characters!$A$1,0,0,COUNTA([4]characters!$A:$A),MATCH(AC$1,[4]characters!$1:$1,0)-MATCH("character_id",[4]characters!$1:$1,0)+1),MATCH(AC$1,[4]characters!$1:$1,0)-MATCH("character_id",[4]characters!$1:$1,0)+1,FALSE),"")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50" s="22">
        <f ca="1">IFERROR(VLOOKUP($AB150,OFFSET([4]characters!$A$1,0,0,COUNTA([4]characters!$A:$A),MATCH(AD$1,[4]characters!$1:$1,0)-MATCH("character_id",[4]characters!$1:$1,0)+1),MATCH(AD$1,[4]characters!$1:$1,0)-MATCH("character_id",[4]characters!$1:$1,0)+1,FALSE),"")</f>
        <v>4</v>
      </c>
      <c r="AE150" s="22" t="str">
        <f ca="1">IFERROR(VLOOKUP($AB150,OFFSET([4]characters!$A$1,0,0,COUNTA([4]characters!$A:$A),MATCH(AE$1,[4]characters!$1:$1,0)-MATCH("character_id",[4]characters!$1:$1,0)+1),MATCH(AE$1,[4]characters!$1:$1,0)-MATCH("character_id",[4]characters!$1:$1,0)+1,FALSE),"")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0" s="28">
        <v>1</v>
      </c>
      <c r="AG150" s="75">
        <f t="shared" ca="1" si="51"/>
        <v>4</v>
      </c>
      <c r="AH150" s="131">
        <v>50</v>
      </c>
      <c r="AI150" s="28">
        <v>0</v>
      </c>
      <c r="AJ150" s="28">
        <v>0</v>
      </c>
      <c r="AK150" s="28">
        <v>0</v>
      </c>
      <c r="AL150" s="28">
        <v>0</v>
      </c>
      <c r="AM150" s="28">
        <v>1</v>
      </c>
      <c r="AN150" s="28">
        <v>1</v>
      </c>
    </row>
    <row r="151" spans="1:40" ht="21" customHeight="1" x14ac:dyDescent="0.15">
      <c r="A151" s="78" t="str">
        <f t="shared" ca="1" si="50"/>
        <v>11008_3-2/37&lt;lv35&gt;s3</v>
      </c>
      <c r="B151" s="82">
        <v>11008</v>
      </c>
      <c r="C151" s="83">
        <v>3</v>
      </c>
      <c r="D151" s="16" t="str">
        <f t="shared" si="52"/>
        <v>11008_3</v>
      </c>
      <c r="E151" s="22" t="str">
        <f ca="1">VLOOKUP($B151,OFFSET([2]quests!$A$1,0,0,COUNTA([2]quests!$A:$A),MATCH(E$1,[2]quests!$1:$1,0)-MATCH($B$1,[2]quests!$1:$1,0)+1),MATCH(E$1,[2]quests!$1:$1,0)-MATCH($B$1,[2]quests!$1:$1,0)+1,FALSE)</f>
        <v>【日曜限定】 青と黄の素材</v>
      </c>
      <c r="F151" s="22" t="str">
        <f ca="1">VLOOKUP($D151,OFFSET([2]stages!$A$1,0,0,COUNTA([2]stages!$A:$A),MATCH(F$1,[2]stages!$2:$2,0)-MATCH($D$1,[2]stages!$2:$2,0)+1),MATCH(F$1,[2]stages!$2:$2,0)-MATCH($D$1,[2]stages!$2:$2,0)+1,FALSE)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1" s="68">
        <v>2</v>
      </c>
      <c r="H151" s="16" t="str">
        <f t="shared" si="53"/>
        <v>11008_3-2</v>
      </c>
      <c r="I151" s="22" t="e">
        <v>#N/A</v>
      </c>
      <c r="J151" s="22" t="e">
        <v>#N/A</v>
      </c>
      <c r="K151" s="70" t="s">
        <v>172</v>
      </c>
      <c r="L151" s="70">
        <v>37</v>
      </c>
      <c r="M151" s="22" t="str">
        <f ca="1">VLOOKUP($L151,OFFSET([3]enemies!$A$1,0,0,COUNTA([3]enemies!$A:$A),MATCH(M$1,[3]enemies!$1:$1,0)-MATCH($L$1,[3]enemies!$1:$1,0)+1),MATCH(M$1,[3]enemies!$1:$1,0)-MATCH($L$1,[3]enemies!$1:$1,0)+1,FALSE)</f>
        <v>ガイル</v>
      </c>
      <c r="N151" s="22" t="str">
        <f ca="1">VLOOKUP($L151,OFFSET([3]enemies!$A$1,0,0,COUNTA([3]enemies!$A:$A),MATCH(N$1,[3]enemies!$1:$1,0)-MATCH($L$1,[3]enemies!$1:$1,0)+1),MATCH(N$1,[3]enemies!$1:$1,0)-MATCH($L$1,[3]enemies!$1:$1,0)+1,FALSE)</f>
        <v>blue</v>
      </c>
      <c r="O151" s="22" t="str">
        <f ca="1">VLOOKUP($L151,OFFSET([4]characters!$A$1,0,0,COUNTA([4]characters!$A:$A),MATCH(O$1,[4]characters!$1:$1,0)-MATCH($L$1,[4]characters!$1:$1,0)+1),MATCH(O$1,[4]characters!$1:$1,0)-MATCH($L$1,[4]characters!$1:$1,0)+1,FALSE)</f>
        <v>Drop1S</v>
      </c>
      <c r="P151" s="22" t="str">
        <f ca="1">VLOOKUP($L151,OFFSET([3]enemies!$A$1,0,0,COUNTA([3]enemies!$A:$A),MATCH(P$1,[3]enemies!$1:$1,0)-MATCH($L$1,[3]enemies!$1:$1,0)+1),MATCH(P$1,[3]enemies!$1:$1,0)-MATCH($L$1,[3]enemies!$1:$1,0)+1,FALSE)</f>
        <v>animal</v>
      </c>
      <c r="Q151" s="22">
        <f ca="1">VLOOKUP($L151,OFFSET([3]enemies!$A$1,0,0,COUNTA([3]enemies!$A:$A),MATCH(Q$1,[3]enemies!$1:$1,0)-MATCH($L$1,[3]enemies!$1:$1,0)+1),MATCH(Q$1,[3]enemies!$1:$1,0)-MATCH($L$1,[3]enemies!$1:$1,0)+1,FALSE)</f>
        <v>15</v>
      </c>
      <c r="R151" s="79">
        <v>35</v>
      </c>
      <c r="S151" s="80">
        <v>1</v>
      </c>
      <c r="T151" s="80">
        <v>1</v>
      </c>
      <c r="U151" s="79">
        <v>0</v>
      </c>
      <c r="V151" s="22" t="str">
        <f ca="1">VLOOKUP($W151,OFFSET([5]enemy_skill_sets!$B$1,0,0,COUNTA([5]enemy_skill_sets!$B:$B),MATCH(M$1,[5]enemy_skill_sets!$1:$1,0)-MATCH($W$1,[5]enemy_skill_sets!$1:$1,0)+2),MATCH(M$1,[5]enemy_skill_sets!$1:$1,0)-MATCH($W$1,[5]enemy_skill_sets!$1:$1,0)+2,FALSE)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51" s="22">
        <f ca="1">VLOOKUP($L151,OFFSET([3]enemies!$A$1,0,0,COUNTA([3]enemies!$A:$A),MATCH(W$1,[3]enemies!$1:$1,0)-MATCH($L$1,[3]enemies!$1:$1,0)+1),MATCH(W$1,[3]enemies!$1:$1,0)-MATCH($L$1,[3]enemies!$1:$1,0)+1,FALSE)</f>
        <v>37</v>
      </c>
      <c r="X151" s="81">
        <v>0</v>
      </c>
      <c r="Y151" s="81">
        <v>100</v>
      </c>
      <c r="Z151" s="81">
        <v>0</v>
      </c>
      <c r="AA151" s="22">
        <f ca="1">VLOOKUP($L151,OFFSET([3]enemies!$A$1,0,0,COUNTA([3]enemies!$A:$A),MATCH(AA$1,[3]enemies!$1:$1,0)-MATCH($L$1,[3]enemies!$1:$1,0)+1),MATCH(AA$1,[3]enemies!$1:$1,0)-MATCH($L$1,[3]enemies!$1:$1,0)+1,FALSE)</f>
        <v>3</v>
      </c>
      <c r="AB151" s="70">
        <v>37</v>
      </c>
      <c r="AC151" s="22" t="str">
        <f ca="1">IFERROR(VLOOKUP($AB151,OFFSET([4]characters!$A$1,0,0,COUNTA([4]characters!$A:$A),MATCH(AC$1,[4]characters!$1:$1,0)-MATCH("character_id",[4]characters!$1:$1,0)+1),MATCH(AC$1,[4]characters!$1:$1,0)-MATCH("character_id",[4]characters!$1:$1,0)+1,FALSE),"")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51" s="22">
        <f ca="1">IFERROR(VLOOKUP($AB151,OFFSET([4]characters!$A$1,0,0,COUNTA([4]characters!$A:$A),MATCH(AD$1,[4]characters!$1:$1,0)-MATCH("character_id",[4]characters!$1:$1,0)+1),MATCH(AD$1,[4]characters!$1:$1,0)-MATCH("character_id",[4]characters!$1:$1,0)+1,FALSE),"")</f>
        <v>2</v>
      </c>
      <c r="AE151" s="22" t="str">
        <f ca="1">IFERROR(VLOOKUP($AB151,OFFSET([4]characters!$A$1,0,0,COUNTA([4]characters!$A:$A),MATCH(AE$1,[4]characters!$1:$1,0)-MATCH("character_id",[4]characters!$1:$1,0)+1),MATCH(AE$1,[4]characters!$1:$1,0)-MATCH("character_id",[4]characters!$1:$1,0)+1,FALSE),"")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51" s="28">
        <v>1</v>
      </c>
      <c r="AG151" s="75">
        <f t="shared" ca="1" si="51"/>
        <v>2</v>
      </c>
      <c r="AH151" s="81">
        <v>0</v>
      </c>
      <c r="AI151" s="28">
        <v>0</v>
      </c>
      <c r="AJ151" s="28">
        <v>0</v>
      </c>
      <c r="AK151" s="28">
        <v>0</v>
      </c>
      <c r="AL151" s="28">
        <v>0</v>
      </c>
      <c r="AM151" s="28">
        <v>1</v>
      </c>
      <c r="AN151" s="28">
        <v>1</v>
      </c>
    </row>
    <row r="152" spans="1:40" ht="21" customHeight="1" x14ac:dyDescent="0.15">
      <c r="A152" s="78" t="str">
        <f t="shared" ca="1" si="50"/>
        <v>11008_3-2/29&lt;lv35&gt;s2</v>
      </c>
      <c r="B152" s="82">
        <v>11008</v>
      </c>
      <c r="C152" s="83">
        <v>3</v>
      </c>
      <c r="D152" s="16" t="str">
        <f t="shared" si="52"/>
        <v>11008_3</v>
      </c>
      <c r="E152" s="22" t="str">
        <f ca="1">VLOOKUP($B152,OFFSET([2]quests!$A$1,0,0,COUNTA([2]quests!$A:$A),MATCH(E$1,[2]quests!$1:$1,0)-MATCH($B$1,[2]quests!$1:$1,0)+1),MATCH(E$1,[2]quests!$1:$1,0)-MATCH($B$1,[2]quests!$1:$1,0)+1,FALSE)</f>
        <v>【日曜限定】 青と黄の素材</v>
      </c>
      <c r="F152" s="22" t="str">
        <f ca="1">VLOOKUP($D152,OFFSET([2]stages!$A$1,0,0,COUNTA([2]stages!$A:$A),MATCH(F$1,[2]stages!$2:$2,0)-MATCH($D$1,[2]stages!$2:$2,0)+1),MATCH(F$1,[2]stages!$2:$2,0)-MATCH($D$1,[2]stages!$2:$2,0)+1,FALSE)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2" s="68">
        <v>2</v>
      </c>
      <c r="H152" s="16" t="str">
        <f t="shared" si="53"/>
        <v>11008_3-2</v>
      </c>
      <c r="I152" s="22" t="e">
        <v>#N/A</v>
      </c>
      <c r="J152" s="22" t="e">
        <v>#N/A</v>
      </c>
      <c r="K152" s="70" t="s">
        <v>172</v>
      </c>
      <c r="L152" s="70">
        <v>29</v>
      </c>
      <c r="M152" s="22" t="str">
        <f ca="1">VLOOKUP($L152,OFFSET([3]enemies!$A$1,0,0,COUNTA([3]enemies!$A:$A),MATCH(M$1,[3]enemies!$1:$1,0)-MATCH($L$1,[3]enemies!$1:$1,0)+1),MATCH(M$1,[3]enemies!$1:$1,0)-MATCH($L$1,[3]enemies!$1:$1,0)+1,FALSE)</f>
        <v>スケアクロウ</v>
      </c>
      <c r="N152" s="22" t="str">
        <f ca="1">VLOOKUP($L152,OFFSET([3]enemies!$A$1,0,0,COUNTA([3]enemies!$A:$A),MATCH(N$1,[3]enemies!$1:$1,0)-MATCH($L$1,[3]enemies!$1:$1,0)+1),MATCH(N$1,[3]enemies!$1:$1,0)-MATCH($L$1,[3]enemies!$1:$1,0)+1,FALSE)</f>
        <v>blue</v>
      </c>
      <c r="O152" s="22" t="str">
        <f ca="1">VLOOKUP($L152,OFFSET([4]characters!$A$1,0,0,COUNTA([4]characters!$A:$A),MATCH(O$1,[4]characters!$1:$1,0)-MATCH($L$1,[4]characters!$1:$1,0)+1),MATCH(O$1,[4]characters!$1:$1,0)-MATCH($L$1,[4]characters!$1:$1,0)+1,FALSE)</f>
        <v>Drop1N</v>
      </c>
      <c r="P152" s="22" t="str">
        <f ca="1">VLOOKUP($L152,OFFSET([3]enemies!$A$1,0,0,COUNTA([3]enemies!$A:$A),MATCH(P$1,[3]enemies!$1:$1,0)-MATCH($L$1,[3]enemies!$1:$1,0)+1),MATCH(P$1,[3]enemies!$1:$1,0)-MATCH($L$1,[3]enemies!$1:$1,0)+1,FALSE)</f>
        <v>machine</v>
      </c>
      <c r="Q152" s="22">
        <f ca="1">VLOOKUP($L152,OFFSET([3]enemies!$A$1,0,0,COUNTA([3]enemies!$A:$A),MATCH(Q$1,[3]enemies!$1:$1,0)-MATCH($L$1,[3]enemies!$1:$1,0)+1),MATCH(Q$1,[3]enemies!$1:$1,0)-MATCH($L$1,[3]enemies!$1:$1,0)+1,FALSE)</f>
        <v>15</v>
      </c>
      <c r="R152" s="79">
        <v>35</v>
      </c>
      <c r="S152" s="80">
        <v>1</v>
      </c>
      <c r="T152" s="80">
        <v>1</v>
      </c>
      <c r="U152" s="79">
        <v>0</v>
      </c>
      <c r="V152" s="22" t="str">
        <f ca="1">VLOOKUP($W152,OFFSET([5]enemy_skill_sets!$B$1,0,0,COUNTA([5]enemy_skill_sets!$B:$B),MATCH(M$1,[5]enemy_skill_sets!$1:$1,0)-MATCH($W$1,[5]enemy_skill_sets!$1:$1,0)+2),MATCH(M$1,[5]enemy_skill_sets!$1:$1,0)-MATCH($W$1,[5]enemy_skill_sets!$1:$1,0)+2,FALSE)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2" s="22">
        <f ca="1">VLOOKUP($L152,OFFSET([3]enemies!$A$1,0,0,COUNTA([3]enemies!$A:$A),MATCH(W$1,[3]enemies!$1:$1,0)-MATCH($L$1,[3]enemies!$1:$1,0)+1),MATCH(W$1,[3]enemies!$1:$1,0)-MATCH($L$1,[3]enemies!$1:$1,0)+1,FALSE)</f>
        <v>0</v>
      </c>
      <c r="X152" s="81">
        <v>0</v>
      </c>
      <c r="Y152" s="81">
        <v>100</v>
      </c>
      <c r="Z152" s="81">
        <v>0</v>
      </c>
      <c r="AA152" s="22">
        <f ca="1">VLOOKUP($L152,OFFSET([3]enemies!$A$1,0,0,COUNTA([3]enemies!$A:$A),MATCH(AA$1,[3]enemies!$1:$1,0)-MATCH($L$1,[3]enemies!$1:$1,0)+1),MATCH(AA$1,[3]enemies!$1:$1,0)-MATCH($L$1,[3]enemies!$1:$1,0)+1,FALSE)</f>
        <v>2</v>
      </c>
      <c r="AB152" s="70">
        <v>29</v>
      </c>
      <c r="AC152" s="22" t="str">
        <f ca="1">IFERROR(VLOOKUP($AB152,OFFSET([4]characters!$A$1,0,0,COUNTA([4]characters!$A:$A),MATCH(AC$1,[4]characters!$1:$1,0)-MATCH("character_id",[4]characters!$1:$1,0)+1),MATCH(AC$1,[4]characters!$1:$1,0)-MATCH("character_id",[4]characters!$1:$1,0)+1,FALSE),"")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52" s="22">
        <f ca="1">IFERROR(VLOOKUP($AB152,OFFSET([4]characters!$A$1,0,0,COUNTA([4]characters!$A:$A),MATCH(AD$1,[4]characters!$1:$1,0)-MATCH("character_id",[4]characters!$1:$1,0)+1),MATCH(AD$1,[4]characters!$1:$1,0)-MATCH("character_id",[4]characters!$1:$1,0)+1,FALSE),"")</f>
        <v>1</v>
      </c>
      <c r="AE152" s="22" t="str">
        <f ca="1">IFERROR(VLOOKUP($AB152,OFFSET([4]characters!$A$1,0,0,COUNTA([4]characters!$A:$A),MATCH(AE$1,[4]characters!$1:$1,0)-MATCH("character_id",[4]characters!$1:$1,0)+1),MATCH(AE$1,[4]characters!$1:$1,0)-MATCH("character_id",[4]characters!$1:$1,0)+1,FALSE),"")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52" s="28">
        <v>1</v>
      </c>
      <c r="AG152" s="75">
        <f t="shared" ca="1" si="51"/>
        <v>1</v>
      </c>
      <c r="AH152" s="81">
        <v>0</v>
      </c>
      <c r="AI152" s="28">
        <v>0</v>
      </c>
      <c r="AJ152" s="28">
        <v>0</v>
      </c>
      <c r="AK152" s="28">
        <v>0</v>
      </c>
      <c r="AL152" s="28">
        <v>0</v>
      </c>
      <c r="AM152" s="28">
        <v>1</v>
      </c>
      <c r="AN152" s="28">
        <v>1</v>
      </c>
    </row>
    <row r="153" spans="1:40" ht="21" customHeight="1" x14ac:dyDescent="0.15">
      <c r="A153" s="78" t="str">
        <f t="shared" ca="1" si="50"/>
        <v>11008_3-2/340&lt;lv1&gt;s1</v>
      </c>
      <c r="B153" s="82">
        <v>11008</v>
      </c>
      <c r="C153" s="83">
        <v>3</v>
      </c>
      <c r="D153" s="16" t="str">
        <f t="shared" si="52"/>
        <v>11008_3</v>
      </c>
      <c r="E153" s="22" t="str">
        <f ca="1">VLOOKUP($B153,OFFSET([2]quests!$A$1,0,0,COUNTA([2]quests!$A:$A),MATCH(E$1,[2]quests!$1:$1,0)-MATCH($B$1,[2]quests!$1:$1,0)+1),MATCH(E$1,[2]quests!$1:$1,0)-MATCH($B$1,[2]quests!$1:$1,0)+1,FALSE)</f>
        <v>【日曜限定】 青と黄の素材</v>
      </c>
      <c r="F153" s="22" t="str">
        <f ca="1">VLOOKUP($D153,OFFSET([2]stages!$A$1,0,0,COUNTA([2]stages!$A:$A),MATCH(F$1,[2]stages!$2:$2,0)-MATCH($D$1,[2]stages!$2:$2,0)+1),MATCH(F$1,[2]stages!$2:$2,0)-MATCH($D$1,[2]stages!$2:$2,0)+1,FALSE)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3" s="68">
        <v>2</v>
      </c>
      <c r="H153" s="16" t="str">
        <f t="shared" si="53"/>
        <v>11008_3-2</v>
      </c>
      <c r="I153" s="22" t="e">
        <v>#N/A</v>
      </c>
      <c r="J153" s="22" t="e">
        <v>#N/A</v>
      </c>
      <c r="K153" s="70" t="s">
        <v>172</v>
      </c>
      <c r="L153" s="70">
        <v>340</v>
      </c>
      <c r="M153" s="22" t="str">
        <f ca="1">VLOOKUP($L153,OFFSET([3]enemies!$A$1,0,0,COUNTA([3]enemies!$A:$A),MATCH(M$1,[3]enemies!$1:$1,0)-MATCH($L$1,[3]enemies!$1:$1,0)+1),MATCH(M$1,[3]enemies!$1:$1,0)-MATCH($L$1,[3]enemies!$1:$1,0)+1,FALSE)</f>
        <v>水のメタルピヨピヨ</v>
      </c>
      <c r="N153" s="22" t="str">
        <f ca="1">VLOOKUP($L153,OFFSET([3]enemies!$A$1,0,0,COUNTA([3]enemies!$A:$A),MATCH(N$1,[3]enemies!$1:$1,0)-MATCH($L$1,[3]enemies!$1:$1,0)+1),MATCH(N$1,[3]enemies!$1:$1,0)-MATCH($L$1,[3]enemies!$1:$1,0)+1,FALSE)</f>
        <v>blue</v>
      </c>
      <c r="O153" s="22" t="str">
        <f ca="1">VLOOKUP($L153,OFFSET([4]characters!$A$1,0,0,COUNTA([4]characters!$A:$A),MATCH(O$1,[4]characters!$1:$1,0)-MATCH($L$1,[4]characters!$1:$1,0)+1),MATCH(O$1,[4]characters!$1:$1,0)-MATCH($L$1,[4]characters!$1:$1,0)+1,FALSE)</f>
        <v>Material</v>
      </c>
      <c r="P153" s="22" t="str">
        <f ca="1">VLOOKUP($L153,OFFSET([3]enemies!$A$1,0,0,COUNTA([3]enemies!$A:$A),MATCH(P$1,[3]enemies!$1:$1,0)-MATCH($L$1,[3]enemies!$1:$1,0)+1),MATCH(P$1,[3]enemies!$1:$1,0)-MATCH($L$1,[3]enemies!$1:$1,0)+1,FALSE)</f>
        <v>unknown</v>
      </c>
      <c r="Q153" s="22">
        <f ca="1">VLOOKUP($L153,OFFSET([3]enemies!$A$1,0,0,COUNTA([3]enemies!$A:$A),MATCH(Q$1,[3]enemies!$1:$1,0)-MATCH($L$1,[3]enemies!$1:$1,0)+1),MATCH(Q$1,[3]enemies!$1:$1,0)-MATCH($L$1,[3]enemies!$1:$1,0)+1,FALSE)</f>
        <v>15</v>
      </c>
      <c r="R153" s="79">
        <v>1</v>
      </c>
      <c r="S153" s="80">
        <v>1</v>
      </c>
      <c r="T153" s="80">
        <v>1</v>
      </c>
      <c r="U153" s="79">
        <v>0</v>
      </c>
      <c r="V153" s="22" t="str">
        <f ca="1">VLOOKUP($W153,OFFSET([5]enemy_skill_sets!$B$1,0,0,COUNTA([5]enemy_skill_sets!$B:$B),MATCH(M$1,[5]enemy_skill_sets!$1:$1,0)-MATCH($W$1,[5]enemy_skill_sets!$1:$1,0)+2),MATCH(M$1,[5]enemy_skill_sets!$1:$1,0)-MATCH($W$1,[5]enemy_skill_sets!$1:$1,0)+2,FALSE)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3" s="22">
        <f ca="1">VLOOKUP($L153,OFFSET([3]enemies!$A$1,0,0,COUNTA([3]enemies!$A:$A),MATCH(W$1,[3]enemies!$1:$1,0)-MATCH($L$1,[3]enemies!$1:$1,0)+1),MATCH(W$1,[3]enemies!$1:$1,0)-MATCH($L$1,[3]enemies!$1:$1,0)+1,FALSE)</f>
        <v>0</v>
      </c>
      <c r="X153" s="81">
        <v>0</v>
      </c>
      <c r="Y153" s="81">
        <v>30</v>
      </c>
      <c r="Z153" s="81">
        <v>0</v>
      </c>
      <c r="AA153" s="22">
        <f ca="1">VLOOKUP($L153,OFFSET([3]enemies!$A$1,0,0,COUNTA([3]enemies!$A:$A),MATCH(AA$1,[3]enemies!$1:$1,0)-MATCH($L$1,[3]enemies!$1:$1,0)+1),MATCH(AA$1,[3]enemies!$1:$1,0)-MATCH($L$1,[3]enemies!$1:$1,0)+1,FALSE)</f>
        <v>1</v>
      </c>
      <c r="AB153" s="70">
        <v>340</v>
      </c>
      <c r="AC153" s="22" t="str">
        <f ca="1">IFERROR(VLOOKUP($AB153,OFFSET([4]characters!$A$1,0,0,COUNTA([4]characters!$A:$A),MATCH(AC$1,[4]characters!$1:$1,0)-MATCH("character_id",[4]characters!$1:$1,0)+1),MATCH(AC$1,[4]characters!$1:$1,0)-MATCH("character_id",[4]characters!$1:$1,0)+1,FALSE),"")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53" s="22">
        <f ca="1">IFERROR(VLOOKUP($AB153,OFFSET([4]characters!$A$1,0,0,COUNTA([4]characters!$A:$A),MATCH(AD$1,[4]characters!$1:$1,0)-MATCH("character_id",[4]characters!$1:$1,0)+1),MATCH(AD$1,[4]characters!$1:$1,0)-MATCH("character_id",[4]characters!$1:$1,0)+1,FALSE),"")</f>
        <v>3</v>
      </c>
      <c r="AE153" s="22" t="str">
        <f ca="1">IFERROR(VLOOKUP($AB153,OFFSET([4]characters!$A$1,0,0,COUNTA([4]characters!$A:$A),MATCH(AE$1,[4]characters!$1:$1,0)-MATCH("character_id",[4]characters!$1:$1,0)+1),MATCH(AE$1,[4]characters!$1:$1,0)-MATCH("character_id",[4]characters!$1:$1,0)+1,FALSE),"")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3" s="28">
        <v>1</v>
      </c>
      <c r="AG153" s="75">
        <f t="shared" ca="1" si="51"/>
        <v>3</v>
      </c>
      <c r="AH153" s="81">
        <v>10</v>
      </c>
      <c r="AI153" s="28">
        <v>0</v>
      </c>
      <c r="AJ153" s="28">
        <v>0</v>
      </c>
      <c r="AK153" s="28">
        <v>0</v>
      </c>
      <c r="AL153" s="28">
        <v>0</v>
      </c>
      <c r="AM153" s="28">
        <v>1</v>
      </c>
      <c r="AN153" s="28">
        <v>1</v>
      </c>
    </row>
    <row r="154" spans="1:40" ht="21" customHeight="1" x14ac:dyDescent="0.15">
      <c r="A154" s="78" t="str">
        <f t="shared" ca="1" si="50"/>
        <v>11008_3-2/341&lt;lv1&gt;s2</v>
      </c>
      <c r="B154" s="82">
        <v>11008</v>
      </c>
      <c r="C154" s="83">
        <v>3</v>
      </c>
      <c r="D154" s="16" t="str">
        <f t="shared" si="52"/>
        <v>11008_3</v>
      </c>
      <c r="E154" s="22" t="str">
        <f ca="1">VLOOKUP($B154,OFFSET([2]quests!$A$1,0,0,COUNTA([2]quests!$A:$A),MATCH(E$1,[2]quests!$1:$1,0)-MATCH($B$1,[2]quests!$1:$1,0)+1),MATCH(E$1,[2]quests!$1:$1,0)-MATCH($B$1,[2]quests!$1:$1,0)+1,FALSE)</f>
        <v>【日曜限定】 青と黄の素材</v>
      </c>
      <c r="F154" s="22" t="str">
        <f ca="1">VLOOKUP($D154,OFFSET([2]stages!$A$1,0,0,COUNTA([2]stages!$A:$A),MATCH(F$1,[2]stages!$2:$2,0)-MATCH($D$1,[2]stages!$2:$2,0)+1),MATCH(F$1,[2]stages!$2:$2,0)-MATCH($D$1,[2]stages!$2:$2,0)+1,FALSE)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4" s="68">
        <v>2</v>
      </c>
      <c r="H154" s="16" t="str">
        <f t="shared" si="53"/>
        <v>11008_3-2</v>
      </c>
      <c r="I154" s="22" t="e">
        <v>#N/A</v>
      </c>
      <c r="J154" s="22" t="e">
        <v>#N/A</v>
      </c>
      <c r="K154" s="70" t="s">
        <v>172</v>
      </c>
      <c r="L154" s="70">
        <v>341</v>
      </c>
      <c r="M154" s="22" t="str">
        <f ca="1">VLOOKUP($L154,OFFSET([3]enemies!$A$1,0,0,COUNTA([3]enemies!$A:$A),MATCH(M$1,[3]enemies!$1:$1,0)-MATCH($L$1,[3]enemies!$1:$1,0)+1),MATCH(M$1,[3]enemies!$1:$1,0)-MATCH($L$1,[3]enemies!$1:$1,0)+1,FALSE)</f>
        <v>水のメタルチック</v>
      </c>
      <c r="N154" s="22" t="str">
        <f ca="1">VLOOKUP($L154,OFFSET([3]enemies!$A$1,0,0,COUNTA([3]enemies!$A:$A),MATCH(N$1,[3]enemies!$1:$1,0)-MATCH($L$1,[3]enemies!$1:$1,0)+1),MATCH(N$1,[3]enemies!$1:$1,0)-MATCH($L$1,[3]enemies!$1:$1,0)+1,FALSE)</f>
        <v>blue</v>
      </c>
      <c r="O154" s="22" t="str">
        <f ca="1">VLOOKUP($L154,OFFSET([4]characters!$A$1,0,0,COUNTA([4]characters!$A:$A),MATCH(O$1,[4]characters!$1:$1,0)-MATCH($L$1,[4]characters!$1:$1,0)+1),MATCH(O$1,[4]characters!$1:$1,0)-MATCH($L$1,[4]characters!$1:$1,0)+1,FALSE)</f>
        <v>Material</v>
      </c>
      <c r="P154" s="22" t="str">
        <f ca="1">VLOOKUP($L154,OFFSET([3]enemies!$A$1,0,0,COUNTA([3]enemies!$A:$A),MATCH(P$1,[3]enemies!$1:$1,0)-MATCH($L$1,[3]enemies!$1:$1,0)+1),MATCH(P$1,[3]enemies!$1:$1,0)-MATCH($L$1,[3]enemies!$1:$1,0)+1,FALSE)</f>
        <v>unknown</v>
      </c>
      <c r="Q154" s="22">
        <f ca="1">VLOOKUP($L154,OFFSET([3]enemies!$A$1,0,0,COUNTA([3]enemies!$A:$A),MATCH(Q$1,[3]enemies!$1:$1,0)-MATCH($L$1,[3]enemies!$1:$1,0)+1),MATCH(Q$1,[3]enemies!$1:$1,0)-MATCH($L$1,[3]enemies!$1:$1,0)+1,FALSE)</f>
        <v>15</v>
      </c>
      <c r="R154" s="79">
        <v>1</v>
      </c>
      <c r="S154" s="80">
        <v>1</v>
      </c>
      <c r="T154" s="80">
        <v>1</v>
      </c>
      <c r="U154" s="79">
        <v>0</v>
      </c>
      <c r="V154" s="22" t="str">
        <f ca="1">VLOOKUP($W154,OFFSET([5]enemy_skill_sets!$B$1,0,0,COUNTA([5]enemy_skill_sets!$B:$B),MATCH(M$1,[5]enemy_skill_sets!$1:$1,0)-MATCH($W$1,[5]enemy_skill_sets!$1:$1,0)+2),MATCH(M$1,[5]enemy_skill_sets!$1:$1,0)-MATCH($W$1,[5]enemy_skill_sets!$1:$1,0)+2,FALSE)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4" s="22">
        <f ca="1">VLOOKUP($L154,OFFSET([3]enemies!$A$1,0,0,COUNTA([3]enemies!$A:$A),MATCH(W$1,[3]enemies!$1:$1,0)-MATCH($L$1,[3]enemies!$1:$1,0)+1),MATCH(W$1,[3]enemies!$1:$1,0)-MATCH($L$1,[3]enemies!$1:$1,0)+1,FALSE)</f>
        <v>0</v>
      </c>
      <c r="X154" s="81">
        <v>0</v>
      </c>
      <c r="Y154" s="81">
        <v>30</v>
      </c>
      <c r="Z154" s="81">
        <v>0</v>
      </c>
      <c r="AA154" s="22">
        <f ca="1">VLOOKUP($L154,OFFSET([3]enemies!$A$1,0,0,COUNTA([3]enemies!$A:$A),MATCH(AA$1,[3]enemies!$1:$1,0)-MATCH($L$1,[3]enemies!$1:$1,0)+1),MATCH(AA$1,[3]enemies!$1:$1,0)-MATCH($L$1,[3]enemies!$1:$1,0)+1,FALSE)</f>
        <v>2</v>
      </c>
      <c r="AB154" s="70">
        <v>341</v>
      </c>
      <c r="AC154" s="22" t="str">
        <f ca="1">IFERROR(VLOOKUP($AB154,OFFSET([4]characters!$A$1,0,0,COUNTA([4]characters!$A:$A),MATCH(AC$1,[4]characters!$1:$1,0)-MATCH("character_id",[4]characters!$1:$1,0)+1),MATCH(AC$1,[4]characters!$1:$1,0)-MATCH("character_id",[4]characters!$1:$1,0)+1,FALSE),"")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54" s="22">
        <f ca="1">IFERROR(VLOOKUP($AB154,OFFSET([4]characters!$A$1,0,0,COUNTA([4]characters!$A:$A),MATCH(AD$1,[4]characters!$1:$1,0)-MATCH("character_id",[4]characters!$1:$1,0)+1),MATCH(AD$1,[4]characters!$1:$1,0)-MATCH("character_id",[4]characters!$1:$1,0)+1,FALSE),"")</f>
        <v>4</v>
      </c>
      <c r="AE154" s="22" t="str">
        <f ca="1">IFERROR(VLOOKUP($AB154,OFFSET([4]characters!$A$1,0,0,COUNTA([4]characters!$A:$A),MATCH(AE$1,[4]characters!$1:$1,0)-MATCH("character_id",[4]characters!$1:$1,0)+1),MATCH(AE$1,[4]characters!$1:$1,0)-MATCH("character_id",[4]characters!$1:$1,0)+1,FALSE),"")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4" s="28">
        <v>1</v>
      </c>
      <c r="AG154" s="75">
        <f t="shared" ca="1" si="51"/>
        <v>4</v>
      </c>
      <c r="AH154" s="81">
        <v>5</v>
      </c>
      <c r="AI154" s="28">
        <v>0</v>
      </c>
      <c r="AJ154" s="28">
        <v>0</v>
      </c>
      <c r="AK154" s="28">
        <v>0</v>
      </c>
      <c r="AL154" s="28">
        <v>0</v>
      </c>
      <c r="AM154" s="28">
        <v>1</v>
      </c>
      <c r="AN154" s="28">
        <v>1</v>
      </c>
    </row>
    <row r="155" spans="1:40" ht="21" customHeight="1" x14ac:dyDescent="0.15">
      <c r="A155" s="78" t="str">
        <f t="shared" ca="1" si="50"/>
        <v>11008_3-3/111&lt;lv30&gt;s1</v>
      </c>
      <c r="B155" s="82">
        <v>11008</v>
      </c>
      <c r="C155" s="83">
        <v>3</v>
      </c>
      <c r="D155" s="16" t="str">
        <f t="shared" si="52"/>
        <v>11008_3</v>
      </c>
      <c r="E155" s="22" t="str">
        <f ca="1">VLOOKUP($B155,OFFSET([2]quests!$A$1,0,0,COUNTA([2]quests!$A:$A),MATCH(E$1,[2]quests!$1:$1,0)-MATCH($B$1,[2]quests!$1:$1,0)+1),MATCH(E$1,[2]quests!$1:$1,0)-MATCH($B$1,[2]quests!$1:$1,0)+1,FALSE)</f>
        <v>【日曜限定】 青と黄の素材</v>
      </c>
      <c r="F155" s="22" t="str">
        <f ca="1">VLOOKUP($D155,OFFSET([2]stages!$A$1,0,0,COUNTA([2]stages!$A:$A),MATCH(F$1,[2]stages!$2:$2,0)-MATCH($D$1,[2]stages!$2:$2,0)+1),MATCH(F$1,[2]stages!$2:$2,0)-MATCH($D$1,[2]stages!$2:$2,0)+1,FALSE)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5" s="68">
        <v>3</v>
      </c>
      <c r="H155" s="16" t="str">
        <f t="shared" si="53"/>
        <v>11008_3-3</v>
      </c>
      <c r="I155" s="22" t="e">
        <v>#N/A</v>
      </c>
      <c r="J155" s="22" t="e">
        <v>#N/A</v>
      </c>
      <c r="K155" s="70" t="s">
        <v>172</v>
      </c>
      <c r="L155" s="70">
        <v>111</v>
      </c>
      <c r="M155" s="22" t="str">
        <f ca="1">VLOOKUP($L155,OFFSET([3]enemies!$A$1,0,0,COUNTA([3]enemies!$A:$A),MATCH(M$1,[3]enemies!$1:$1,0)-MATCH($L$1,[3]enemies!$1:$1,0)+1),MATCH(M$1,[3]enemies!$1:$1,0)-MATCH($L$1,[3]enemies!$1:$1,0)+1,FALSE)</f>
        <v>ブルーキャタップ</v>
      </c>
      <c r="N155" s="22" t="str">
        <f ca="1">VLOOKUP($L155,OFFSET([3]enemies!$A$1,0,0,COUNTA([3]enemies!$A:$A),MATCH(N$1,[3]enemies!$1:$1,0)-MATCH($L$1,[3]enemies!$1:$1,0)+1),MATCH(N$1,[3]enemies!$1:$1,0)-MATCH($L$1,[3]enemies!$1:$1,0)+1,FALSE)</f>
        <v>blue</v>
      </c>
      <c r="O155" s="22" t="str">
        <f ca="1">VLOOKUP($L155,OFFSET([4]characters!$A$1,0,0,COUNTA([4]characters!$A:$A),MATCH(O$1,[4]characters!$1:$1,0)-MATCH($L$1,[4]characters!$1:$1,0)+1),MATCH(O$1,[4]characters!$1:$1,0)-MATCH($L$1,[4]characters!$1:$1,0)+1,FALSE)</f>
        <v>Material</v>
      </c>
      <c r="P155" s="22" t="str">
        <f ca="1">VLOOKUP($L155,OFFSET([3]enemies!$A$1,0,0,COUNTA([3]enemies!$A:$A),MATCH(P$1,[3]enemies!$1:$1,0)-MATCH($L$1,[3]enemies!$1:$1,0)+1),MATCH(P$1,[3]enemies!$1:$1,0)-MATCH($L$1,[3]enemies!$1:$1,0)+1,FALSE)</f>
        <v>unknown</v>
      </c>
      <c r="Q155" s="22">
        <f ca="1">VLOOKUP($L155,OFFSET([3]enemies!$A$1,0,0,COUNTA([3]enemies!$A:$A),MATCH(Q$1,[3]enemies!$1:$1,0)-MATCH($L$1,[3]enemies!$1:$1,0)+1),MATCH(Q$1,[3]enemies!$1:$1,0)-MATCH($L$1,[3]enemies!$1:$1,0)+1,FALSE)</f>
        <v>15</v>
      </c>
      <c r="R155" s="79">
        <v>30</v>
      </c>
      <c r="S155" s="80">
        <v>2</v>
      </c>
      <c r="T155" s="80">
        <v>1</v>
      </c>
      <c r="U155" s="79">
        <v>0</v>
      </c>
      <c r="V155" s="22" t="str">
        <f ca="1">VLOOKUP($W155,OFFSET([5]enemy_skill_sets!$B$1,0,0,COUNTA([5]enemy_skill_sets!$B:$B),MATCH(M$1,[5]enemy_skill_sets!$1:$1,0)-MATCH($W$1,[5]enemy_skill_sets!$1:$1,0)+2),MATCH(M$1,[5]enemy_skill_sets!$1:$1,0)-MATCH($W$1,[5]enemy_skill_sets!$1:$1,0)+2,FALSE)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5" s="22">
        <f ca="1">VLOOKUP($L155,OFFSET([3]enemies!$A$1,0,0,COUNTA([3]enemies!$A:$A),MATCH(W$1,[3]enemies!$1:$1,0)-MATCH($L$1,[3]enemies!$1:$1,0)+1),MATCH(W$1,[3]enemies!$1:$1,0)-MATCH($L$1,[3]enemies!$1:$1,0)+1,FALSE)</f>
        <v>0</v>
      </c>
      <c r="X155" s="81">
        <v>0</v>
      </c>
      <c r="Y155" s="81">
        <v>50</v>
      </c>
      <c r="Z155" s="81">
        <v>1</v>
      </c>
      <c r="AA155" s="22">
        <f ca="1">VLOOKUP($L155,OFFSET([3]enemies!$A$1,0,0,COUNTA([3]enemies!$A:$A),MATCH(AA$1,[3]enemies!$1:$1,0)-MATCH($L$1,[3]enemies!$1:$1,0)+1),MATCH(AA$1,[3]enemies!$1:$1,0)-MATCH($L$1,[3]enemies!$1:$1,0)+1,FALSE)</f>
        <v>1</v>
      </c>
      <c r="AB155" s="70">
        <v>111</v>
      </c>
      <c r="AC155" s="22" t="str">
        <f ca="1">IFERROR(VLOOKUP($AB155,OFFSET([4]characters!$A$1,0,0,COUNTA([4]characters!$A:$A),MATCH(AC$1,[4]characters!$1:$1,0)-MATCH("character_id",[4]characters!$1:$1,0)+1),MATCH(AC$1,[4]characters!$1:$1,0)-MATCH("character_id",[4]characters!$1:$1,0)+1,FALSE),"")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55" s="22">
        <f ca="1">IFERROR(VLOOKUP($AB155,OFFSET([4]characters!$A$1,0,0,COUNTA([4]characters!$A:$A),MATCH(AD$1,[4]characters!$1:$1,0)-MATCH("character_id",[4]characters!$1:$1,0)+1),MATCH(AD$1,[4]characters!$1:$1,0)-MATCH("character_id",[4]characters!$1:$1,0)+1,FALSE),"")</f>
        <v>4</v>
      </c>
      <c r="AE155" s="22" t="str">
        <f ca="1">IFERROR(VLOOKUP($AB155,OFFSET([4]characters!$A$1,0,0,COUNTA([4]characters!$A:$A),MATCH(AE$1,[4]characters!$1:$1,0)-MATCH("character_id",[4]characters!$1:$1,0)+1),MATCH(AE$1,[4]characters!$1:$1,0)-MATCH("character_id",[4]characters!$1:$1,0)+1,FALSE),"")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5" s="28">
        <v>1</v>
      </c>
      <c r="AG155" s="75">
        <f t="shared" ca="1" si="51"/>
        <v>4</v>
      </c>
      <c r="AH155" s="81">
        <v>50</v>
      </c>
      <c r="AI155" s="28">
        <v>0</v>
      </c>
      <c r="AJ155" s="28">
        <v>0</v>
      </c>
      <c r="AK155" s="28">
        <v>0</v>
      </c>
      <c r="AL155" s="28">
        <v>0</v>
      </c>
      <c r="AM155" s="28">
        <v>1</v>
      </c>
      <c r="AN155" s="28">
        <v>1</v>
      </c>
    </row>
    <row r="156" spans="1:40" ht="21" customHeight="1" x14ac:dyDescent="0.15">
      <c r="A156" s="78" t="str">
        <f t="shared" ca="1" si="50"/>
        <v>11008_3-3/37&lt;lv35&gt;s3</v>
      </c>
      <c r="B156" s="82">
        <v>11008</v>
      </c>
      <c r="C156" s="83">
        <v>3</v>
      </c>
      <c r="D156" s="16" t="str">
        <f t="shared" si="52"/>
        <v>11008_3</v>
      </c>
      <c r="E156" s="22" t="str">
        <f ca="1">VLOOKUP($B156,OFFSET([2]quests!$A$1,0,0,COUNTA([2]quests!$A:$A),MATCH(E$1,[2]quests!$1:$1,0)-MATCH($B$1,[2]quests!$1:$1,0)+1),MATCH(E$1,[2]quests!$1:$1,0)-MATCH($B$1,[2]quests!$1:$1,0)+1,FALSE)</f>
        <v>【日曜限定】 青と黄の素材</v>
      </c>
      <c r="F156" s="22" t="str">
        <f ca="1">VLOOKUP($D156,OFFSET([2]stages!$A$1,0,0,COUNTA([2]stages!$A:$A),MATCH(F$1,[2]stages!$2:$2,0)-MATCH($D$1,[2]stages!$2:$2,0)+1),MATCH(F$1,[2]stages!$2:$2,0)-MATCH($D$1,[2]stages!$2:$2,0)+1,FALSE)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6" s="68">
        <v>3</v>
      </c>
      <c r="H156" s="16" t="str">
        <f t="shared" si="53"/>
        <v>11008_3-3</v>
      </c>
      <c r="I156" s="22" t="e">
        <v>#N/A</v>
      </c>
      <c r="J156" s="22" t="e">
        <v>#N/A</v>
      </c>
      <c r="K156" s="70" t="s">
        <v>172</v>
      </c>
      <c r="L156" s="70">
        <v>37</v>
      </c>
      <c r="M156" s="22" t="str">
        <f ca="1">VLOOKUP($L156,OFFSET([3]enemies!$A$1,0,0,COUNTA([3]enemies!$A:$A),MATCH(M$1,[3]enemies!$1:$1,0)-MATCH($L$1,[3]enemies!$1:$1,0)+1),MATCH(M$1,[3]enemies!$1:$1,0)-MATCH($L$1,[3]enemies!$1:$1,0)+1,FALSE)</f>
        <v>ガイル</v>
      </c>
      <c r="N156" s="22" t="str">
        <f ca="1">VLOOKUP($L156,OFFSET([3]enemies!$A$1,0,0,COUNTA([3]enemies!$A:$A),MATCH(N$1,[3]enemies!$1:$1,0)-MATCH($L$1,[3]enemies!$1:$1,0)+1),MATCH(N$1,[3]enemies!$1:$1,0)-MATCH($L$1,[3]enemies!$1:$1,0)+1,FALSE)</f>
        <v>blue</v>
      </c>
      <c r="O156" s="22" t="str">
        <f ca="1">VLOOKUP($L156,OFFSET([4]characters!$A$1,0,0,COUNTA([4]characters!$A:$A),MATCH(O$1,[4]characters!$1:$1,0)-MATCH($L$1,[4]characters!$1:$1,0)+1),MATCH(O$1,[4]characters!$1:$1,0)-MATCH($L$1,[4]characters!$1:$1,0)+1,FALSE)</f>
        <v>Drop1S</v>
      </c>
      <c r="P156" s="22" t="str">
        <f ca="1">VLOOKUP($L156,OFFSET([3]enemies!$A$1,0,0,COUNTA([3]enemies!$A:$A),MATCH(P$1,[3]enemies!$1:$1,0)-MATCH($L$1,[3]enemies!$1:$1,0)+1),MATCH(P$1,[3]enemies!$1:$1,0)-MATCH($L$1,[3]enemies!$1:$1,0)+1,FALSE)</f>
        <v>animal</v>
      </c>
      <c r="Q156" s="22">
        <f ca="1">VLOOKUP($L156,OFFSET([3]enemies!$A$1,0,0,COUNTA([3]enemies!$A:$A),MATCH(Q$1,[3]enemies!$1:$1,0)-MATCH($L$1,[3]enemies!$1:$1,0)+1),MATCH(Q$1,[3]enemies!$1:$1,0)-MATCH($L$1,[3]enemies!$1:$1,0)+1,FALSE)</f>
        <v>15</v>
      </c>
      <c r="R156" s="79">
        <v>35</v>
      </c>
      <c r="S156" s="80">
        <v>1</v>
      </c>
      <c r="T156" s="80">
        <v>1</v>
      </c>
      <c r="U156" s="79">
        <v>0</v>
      </c>
      <c r="V156" s="22" t="str">
        <f ca="1">VLOOKUP($W156,OFFSET([5]enemy_skill_sets!$B$1,0,0,COUNTA([5]enemy_skill_sets!$B:$B),MATCH(M$1,[5]enemy_skill_sets!$1:$1,0)-MATCH($W$1,[5]enemy_skill_sets!$1:$1,0)+2),MATCH(M$1,[5]enemy_skill_sets!$1:$1,0)-MATCH($W$1,[5]enemy_skill_sets!$1:$1,0)+2,FALSE)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56" s="22">
        <f ca="1">VLOOKUP($L156,OFFSET([3]enemies!$A$1,0,0,COUNTA([3]enemies!$A:$A),MATCH(W$1,[3]enemies!$1:$1,0)-MATCH($L$1,[3]enemies!$1:$1,0)+1),MATCH(W$1,[3]enemies!$1:$1,0)-MATCH($L$1,[3]enemies!$1:$1,0)+1,FALSE)</f>
        <v>37</v>
      </c>
      <c r="X156" s="81">
        <v>0</v>
      </c>
      <c r="Y156" s="81">
        <v>100</v>
      </c>
      <c r="Z156" s="81">
        <v>0</v>
      </c>
      <c r="AA156" s="22">
        <f ca="1">VLOOKUP($L156,OFFSET([3]enemies!$A$1,0,0,COUNTA([3]enemies!$A:$A),MATCH(AA$1,[3]enemies!$1:$1,0)-MATCH($L$1,[3]enemies!$1:$1,0)+1),MATCH(AA$1,[3]enemies!$1:$1,0)-MATCH($L$1,[3]enemies!$1:$1,0)+1,FALSE)</f>
        <v>3</v>
      </c>
      <c r="AB156" s="70">
        <v>37</v>
      </c>
      <c r="AC156" s="22" t="str">
        <f ca="1">IFERROR(VLOOKUP($AB156,OFFSET([4]characters!$A$1,0,0,COUNTA([4]characters!$A:$A),MATCH(AC$1,[4]characters!$1:$1,0)-MATCH("character_id",[4]characters!$1:$1,0)+1),MATCH(AC$1,[4]characters!$1:$1,0)-MATCH("character_id",[4]characters!$1:$1,0)+1,FALSE),"")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56" s="22">
        <f ca="1">IFERROR(VLOOKUP($AB156,OFFSET([4]characters!$A$1,0,0,COUNTA([4]characters!$A:$A),MATCH(AD$1,[4]characters!$1:$1,0)-MATCH("character_id",[4]characters!$1:$1,0)+1),MATCH(AD$1,[4]characters!$1:$1,0)-MATCH("character_id",[4]characters!$1:$1,0)+1,FALSE),"")</f>
        <v>2</v>
      </c>
      <c r="AE156" s="22" t="str">
        <f ca="1">IFERROR(VLOOKUP($AB156,OFFSET([4]characters!$A$1,0,0,COUNTA([4]characters!$A:$A),MATCH(AE$1,[4]characters!$1:$1,0)-MATCH("character_id",[4]characters!$1:$1,0)+1),MATCH(AE$1,[4]characters!$1:$1,0)-MATCH("character_id",[4]characters!$1:$1,0)+1,FALSE),"")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56" s="28">
        <v>1</v>
      </c>
      <c r="AG156" s="75">
        <f t="shared" ca="1" si="51"/>
        <v>2</v>
      </c>
      <c r="AH156" s="81">
        <v>0</v>
      </c>
      <c r="AI156" s="28">
        <v>0</v>
      </c>
      <c r="AJ156" s="28">
        <v>0</v>
      </c>
      <c r="AK156" s="28">
        <v>0</v>
      </c>
      <c r="AL156" s="28">
        <v>0</v>
      </c>
      <c r="AM156" s="28">
        <v>1</v>
      </c>
      <c r="AN156" s="28">
        <v>1</v>
      </c>
    </row>
    <row r="157" spans="1:40" ht="21" customHeight="1" x14ac:dyDescent="0.15">
      <c r="A157" s="78" t="str">
        <f t="shared" ca="1" si="50"/>
        <v>11008_3-3/29&lt;lv35&gt;s2</v>
      </c>
      <c r="B157" s="82">
        <v>11008</v>
      </c>
      <c r="C157" s="83">
        <v>3</v>
      </c>
      <c r="D157" s="16" t="str">
        <f t="shared" si="52"/>
        <v>11008_3</v>
      </c>
      <c r="E157" s="22" t="str">
        <f ca="1">VLOOKUP($B157,OFFSET([2]quests!$A$1,0,0,COUNTA([2]quests!$A:$A),MATCH(E$1,[2]quests!$1:$1,0)-MATCH($B$1,[2]quests!$1:$1,0)+1),MATCH(E$1,[2]quests!$1:$1,0)-MATCH($B$1,[2]quests!$1:$1,0)+1,FALSE)</f>
        <v>【日曜限定】 青と黄の素材</v>
      </c>
      <c r="F157" s="22" t="str">
        <f ca="1">VLOOKUP($D157,OFFSET([2]stages!$A$1,0,0,COUNTA([2]stages!$A:$A),MATCH(F$1,[2]stages!$2:$2,0)-MATCH($D$1,[2]stages!$2:$2,0)+1),MATCH(F$1,[2]stages!$2:$2,0)-MATCH($D$1,[2]stages!$2:$2,0)+1,FALSE)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7" s="68">
        <v>3</v>
      </c>
      <c r="H157" s="16" t="str">
        <f t="shared" si="53"/>
        <v>11008_3-3</v>
      </c>
      <c r="I157" s="22" t="e">
        <v>#N/A</v>
      </c>
      <c r="J157" s="22" t="e">
        <v>#N/A</v>
      </c>
      <c r="K157" s="70" t="s">
        <v>172</v>
      </c>
      <c r="L157" s="70">
        <v>29</v>
      </c>
      <c r="M157" s="22" t="str">
        <f ca="1">VLOOKUP($L157,OFFSET([3]enemies!$A$1,0,0,COUNTA([3]enemies!$A:$A),MATCH(M$1,[3]enemies!$1:$1,0)-MATCH($L$1,[3]enemies!$1:$1,0)+1),MATCH(M$1,[3]enemies!$1:$1,0)-MATCH($L$1,[3]enemies!$1:$1,0)+1,FALSE)</f>
        <v>スケアクロウ</v>
      </c>
      <c r="N157" s="22" t="str">
        <f ca="1">VLOOKUP($L157,OFFSET([3]enemies!$A$1,0,0,COUNTA([3]enemies!$A:$A),MATCH(N$1,[3]enemies!$1:$1,0)-MATCH($L$1,[3]enemies!$1:$1,0)+1),MATCH(N$1,[3]enemies!$1:$1,0)-MATCH($L$1,[3]enemies!$1:$1,0)+1,FALSE)</f>
        <v>blue</v>
      </c>
      <c r="O157" s="22" t="str">
        <f ca="1">VLOOKUP($L157,OFFSET([4]characters!$A$1,0,0,COUNTA([4]characters!$A:$A),MATCH(O$1,[4]characters!$1:$1,0)-MATCH($L$1,[4]characters!$1:$1,0)+1),MATCH(O$1,[4]characters!$1:$1,0)-MATCH($L$1,[4]characters!$1:$1,0)+1,FALSE)</f>
        <v>Drop1N</v>
      </c>
      <c r="P157" s="22" t="str">
        <f ca="1">VLOOKUP($L157,OFFSET([3]enemies!$A$1,0,0,COUNTA([3]enemies!$A:$A),MATCH(P$1,[3]enemies!$1:$1,0)-MATCH($L$1,[3]enemies!$1:$1,0)+1),MATCH(P$1,[3]enemies!$1:$1,0)-MATCH($L$1,[3]enemies!$1:$1,0)+1,FALSE)</f>
        <v>machine</v>
      </c>
      <c r="Q157" s="22">
        <f ca="1">VLOOKUP($L157,OFFSET([3]enemies!$A$1,0,0,COUNTA([3]enemies!$A:$A),MATCH(Q$1,[3]enemies!$1:$1,0)-MATCH($L$1,[3]enemies!$1:$1,0)+1),MATCH(Q$1,[3]enemies!$1:$1,0)-MATCH($L$1,[3]enemies!$1:$1,0)+1,FALSE)</f>
        <v>15</v>
      </c>
      <c r="R157" s="79">
        <v>35</v>
      </c>
      <c r="S157" s="80">
        <v>1</v>
      </c>
      <c r="T157" s="80">
        <v>1</v>
      </c>
      <c r="U157" s="79">
        <v>0</v>
      </c>
      <c r="V157" s="22" t="str">
        <f ca="1">VLOOKUP($W157,OFFSET([5]enemy_skill_sets!$B$1,0,0,COUNTA([5]enemy_skill_sets!$B:$B),MATCH(M$1,[5]enemy_skill_sets!$1:$1,0)-MATCH($W$1,[5]enemy_skill_sets!$1:$1,0)+2),MATCH(M$1,[5]enemy_skill_sets!$1:$1,0)-MATCH($W$1,[5]enemy_skill_sets!$1:$1,0)+2,FALSE)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7" s="22">
        <f ca="1">VLOOKUP($L157,OFFSET([3]enemies!$A$1,0,0,COUNTA([3]enemies!$A:$A),MATCH(W$1,[3]enemies!$1:$1,0)-MATCH($L$1,[3]enemies!$1:$1,0)+1),MATCH(W$1,[3]enemies!$1:$1,0)-MATCH($L$1,[3]enemies!$1:$1,0)+1,FALSE)</f>
        <v>0</v>
      </c>
      <c r="X157" s="81">
        <v>0</v>
      </c>
      <c r="Y157" s="81">
        <v>100</v>
      </c>
      <c r="Z157" s="81">
        <v>0</v>
      </c>
      <c r="AA157" s="22">
        <f ca="1">VLOOKUP($L157,OFFSET([3]enemies!$A$1,0,0,COUNTA([3]enemies!$A:$A),MATCH(AA$1,[3]enemies!$1:$1,0)-MATCH($L$1,[3]enemies!$1:$1,0)+1),MATCH(AA$1,[3]enemies!$1:$1,0)-MATCH($L$1,[3]enemies!$1:$1,0)+1,FALSE)</f>
        <v>2</v>
      </c>
      <c r="AB157" s="70">
        <v>29</v>
      </c>
      <c r="AC157" s="22" t="str">
        <f ca="1">IFERROR(VLOOKUP($AB157,OFFSET([4]characters!$A$1,0,0,COUNTA([4]characters!$A:$A),MATCH(AC$1,[4]characters!$1:$1,0)-MATCH("character_id",[4]characters!$1:$1,0)+1),MATCH(AC$1,[4]characters!$1:$1,0)-MATCH("character_id",[4]characters!$1:$1,0)+1,FALSE),"")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57" s="22">
        <f ca="1">IFERROR(VLOOKUP($AB157,OFFSET([4]characters!$A$1,0,0,COUNTA([4]characters!$A:$A),MATCH(AD$1,[4]characters!$1:$1,0)-MATCH("character_id",[4]characters!$1:$1,0)+1),MATCH(AD$1,[4]characters!$1:$1,0)-MATCH("character_id",[4]characters!$1:$1,0)+1,FALSE),"")</f>
        <v>1</v>
      </c>
      <c r="AE157" s="22" t="str">
        <f ca="1">IFERROR(VLOOKUP($AB157,OFFSET([4]characters!$A$1,0,0,COUNTA([4]characters!$A:$A),MATCH(AE$1,[4]characters!$1:$1,0)-MATCH("character_id",[4]characters!$1:$1,0)+1),MATCH(AE$1,[4]characters!$1:$1,0)-MATCH("character_id",[4]characters!$1:$1,0)+1,FALSE),"")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57" s="28">
        <v>1</v>
      </c>
      <c r="AG157" s="75">
        <f t="shared" ca="1" si="51"/>
        <v>1</v>
      </c>
      <c r="AH157" s="81">
        <v>0</v>
      </c>
      <c r="AI157" s="28">
        <v>0</v>
      </c>
      <c r="AJ157" s="28">
        <v>0</v>
      </c>
      <c r="AK157" s="28">
        <v>0</v>
      </c>
      <c r="AL157" s="28">
        <v>0</v>
      </c>
      <c r="AM157" s="28">
        <v>1</v>
      </c>
      <c r="AN157" s="28">
        <v>1</v>
      </c>
    </row>
    <row r="158" spans="1:40" ht="21" customHeight="1" x14ac:dyDescent="0.15">
      <c r="A158" s="78" t="str">
        <f t="shared" ca="1" si="50"/>
        <v>11008_3-3/340&lt;lv1&gt;s1</v>
      </c>
      <c r="B158" s="82">
        <v>11008</v>
      </c>
      <c r="C158" s="83">
        <v>3</v>
      </c>
      <c r="D158" s="16" t="str">
        <f t="shared" si="52"/>
        <v>11008_3</v>
      </c>
      <c r="E158" s="22" t="str">
        <f ca="1">VLOOKUP($B158,OFFSET([2]quests!$A$1,0,0,COUNTA([2]quests!$A:$A),MATCH(E$1,[2]quests!$1:$1,0)-MATCH($B$1,[2]quests!$1:$1,0)+1),MATCH(E$1,[2]quests!$1:$1,0)-MATCH($B$1,[2]quests!$1:$1,0)+1,FALSE)</f>
        <v>【日曜限定】 青と黄の素材</v>
      </c>
      <c r="F158" s="22" t="str">
        <f ca="1">VLOOKUP($D158,OFFSET([2]stages!$A$1,0,0,COUNTA([2]stages!$A:$A),MATCH(F$1,[2]stages!$2:$2,0)-MATCH($D$1,[2]stages!$2:$2,0)+1),MATCH(F$1,[2]stages!$2:$2,0)-MATCH($D$1,[2]stages!$2:$2,0)+1,FALSE)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8" s="68">
        <v>3</v>
      </c>
      <c r="H158" s="16" t="str">
        <f t="shared" si="53"/>
        <v>11008_3-3</v>
      </c>
      <c r="I158" s="22" t="e">
        <v>#N/A</v>
      </c>
      <c r="J158" s="22" t="e">
        <v>#N/A</v>
      </c>
      <c r="K158" s="70" t="s">
        <v>172</v>
      </c>
      <c r="L158" s="70">
        <v>340</v>
      </c>
      <c r="M158" s="22" t="str">
        <f ca="1">VLOOKUP($L158,OFFSET([3]enemies!$A$1,0,0,COUNTA([3]enemies!$A:$A),MATCH(M$1,[3]enemies!$1:$1,0)-MATCH($L$1,[3]enemies!$1:$1,0)+1),MATCH(M$1,[3]enemies!$1:$1,0)-MATCH($L$1,[3]enemies!$1:$1,0)+1,FALSE)</f>
        <v>水のメタルピヨピヨ</v>
      </c>
      <c r="N158" s="22" t="str">
        <f ca="1">VLOOKUP($L158,OFFSET([3]enemies!$A$1,0,0,COUNTA([3]enemies!$A:$A),MATCH(N$1,[3]enemies!$1:$1,0)-MATCH($L$1,[3]enemies!$1:$1,0)+1),MATCH(N$1,[3]enemies!$1:$1,0)-MATCH($L$1,[3]enemies!$1:$1,0)+1,FALSE)</f>
        <v>blue</v>
      </c>
      <c r="O158" s="22" t="str">
        <f ca="1">VLOOKUP($L158,OFFSET([4]characters!$A$1,0,0,COUNTA([4]characters!$A:$A),MATCH(O$1,[4]characters!$1:$1,0)-MATCH($L$1,[4]characters!$1:$1,0)+1),MATCH(O$1,[4]characters!$1:$1,0)-MATCH($L$1,[4]characters!$1:$1,0)+1,FALSE)</f>
        <v>Material</v>
      </c>
      <c r="P158" s="22" t="str">
        <f ca="1">VLOOKUP($L158,OFFSET([3]enemies!$A$1,0,0,COUNTA([3]enemies!$A:$A),MATCH(P$1,[3]enemies!$1:$1,0)-MATCH($L$1,[3]enemies!$1:$1,0)+1),MATCH(P$1,[3]enemies!$1:$1,0)-MATCH($L$1,[3]enemies!$1:$1,0)+1,FALSE)</f>
        <v>unknown</v>
      </c>
      <c r="Q158" s="22">
        <f ca="1">VLOOKUP($L158,OFFSET([3]enemies!$A$1,0,0,COUNTA([3]enemies!$A:$A),MATCH(Q$1,[3]enemies!$1:$1,0)-MATCH($L$1,[3]enemies!$1:$1,0)+1),MATCH(Q$1,[3]enemies!$1:$1,0)-MATCH($L$1,[3]enemies!$1:$1,0)+1,FALSE)</f>
        <v>15</v>
      </c>
      <c r="R158" s="79">
        <v>1</v>
      </c>
      <c r="S158" s="80">
        <v>1</v>
      </c>
      <c r="T158" s="80">
        <v>1</v>
      </c>
      <c r="U158" s="79">
        <v>0</v>
      </c>
      <c r="V158" s="22" t="str">
        <f ca="1">VLOOKUP($W158,OFFSET([5]enemy_skill_sets!$B$1,0,0,COUNTA([5]enemy_skill_sets!$B:$B),MATCH(M$1,[5]enemy_skill_sets!$1:$1,0)-MATCH($W$1,[5]enemy_skill_sets!$1:$1,0)+2),MATCH(M$1,[5]enemy_skill_sets!$1:$1,0)-MATCH($W$1,[5]enemy_skill_sets!$1:$1,0)+2,FALSE)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8" s="22">
        <f ca="1">VLOOKUP($L158,OFFSET([3]enemies!$A$1,0,0,COUNTA([3]enemies!$A:$A),MATCH(W$1,[3]enemies!$1:$1,0)-MATCH($L$1,[3]enemies!$1:$1,0)+1),MATCH(W$1,[3]enemies!$1:$1,0)-MATCH($L$1,[3]enemies!$1:$1,0)+1,FALSE)</f>
        <v>0</v>
      </c>
      <c r="X158" s="81">
        <v>0</v>
      </c>
      <c r="Y158" s="81">
        <v>30</v>
      </c>
      <c r="Z158" s="81">
        <v>0</v>
      </c>
      <c r="AA158" s="22">
        <f ca="1">VLOOKUP($L158,OFFSET([3]enemies!$A$1,0,0,COUNTA([3]enemies!$A:$A),MATCH(AA$1,[3]enemies!$1:$1,0)-MATCH($L$1,[3]enemies!$1:$1,0)+1),MATCH(AA$1,[3]enemies!$1:$1,0)-MATCH($L$1,[3]enemies!$1:$1,0)+1,FALSE)</f>
        <v>1</v>
      </c>
      <c r="AB158" s="70">
        <v>340</v>
      </c>
      <c r="AC158" s="22" t="str">
        <f ca="1">IFERROR(VLOOKUP($AB158,OFFSET([4]characters!$A$1,0,0,COUNTA([4]characters!$A:$A),MATCH(AC$1,[4]characters!$1:$1,0)-MATCH("character_id",[4]characters!$1:$1,0)+1),MATCH(AC$1,[4]characters!$1:$1,0)-MATCH("character_id",[4]characters!$1:$1,0)+1,FALSE),"")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58" s="22">
        <f ca="1">IFERROR(VLOOKUP($AB158,OFFSET([4]characters!$A$1,0,0,COUNTA([4]characters!$A:$A),MATCH(AD$1,[4]characters!$1:$1,0)-MATCH("character_id",[4]characters!$1:$1,0)+1),MATCH(AD$1,[4]characters!$1:$1,0)-MATCH("character_id",[4]characters!$1:$1,0)+1,FALSE),"")</f>
        <v>3</v>
      </c>
      <c r="AE158" s="22" t="str">
        <f ca="1">IFERROR(VLOOKUP($AB158,OFFSET([4]characters!$A$1,0,0,COUNTA([4]characters!$A:$A),MATCH(AE$1,[4]characters!$1:$1,0)-MATCH("character_id",[4]characters!$1:$1,0)+1),MATCH(AE$1,[4]characters!$1:$1,0)-MATCH("character_id",[4]characters!$1:$1,0)+1,FALSE),"")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8" s="28">
        <v>1</v>
      </c>
      <c r="AG158" s="75">
        <f t="shared" ca="1" si="51"/>
        <v>3</v>
      </c>
      <c r="AH158" s="81">
        <v>10</v>
      </c>
      <c r="AI158" s="28">
        <v>0</v>
      </c>
      <c r="AJ158" s="28">
        <v>0</v>
      </c>
      <c r="AK158" s="28">
        <v>0</v>
      </c>
      <c r="AL158" s="28">
        <v>0</v>
      </c>
      <c r="AM158" s="28">
        <v>1</v>
      </c>
      <c r="AN158" s="28">
        <v>1</v>
      </c>
    </row>
    <row r="159" spans="1:40" ht="21" customHeight="1" x14ac:dyDescent="0.15">
      <c r="A159" s="78" t="str">
        <f t="shared" ca="1" si="50"/>
        <v>11008_3-3/341&lt;lv1&gt;s2</v>
      </c>
      <c r="B159" s="82">
        <v>11008</v>
      </c>
      <c r="C159" s="83">
        <v>3</v>
      </c>
      <c r="D159" s="16" t="str">
        <f t="shared" si="52"/>
        <v>11008_3</v>
      </c>
      <c r="E159" s="22" t="str">
        <f ca="1">VLOOKUP($B159,OFFSET([2]quests!$A$1,0,0,COUNTA([2]quests!$A:$A),MATCH(E$1,[2]quests!$1:$1,0)-MATCH($B$1,[2]quests!$1:$1,0)+1),MATCH(E$1,[2]quests!$1:$1,0)-MATCH($B$1,[2]quests!$1:$1,0)+1,FALSE)</f>
        <v>【日曜限定】 青と黄の素材</v>
      </c>
      <c r="F159" s="22" t="str">
        <f ca="1">VLOOKUP($D159,OFFSET([2]stages!$A$1,0,0,COUNTA([2]stages!$A:$A),MATCH(F$1,[2]stages!$2:$2,0)-MATCH($D$1,[2]stages!$2:$2,0)+1),MATCH(F$1,[2]stages!$2:$2,0)-MATCH($D$1,[2]stages!$2:$2,0)+1,FALSE)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59" s="68">
        <v>3</v>
      </c>
      <c r="H159" s="16" t="str">
        <f t="shared" si="53"/>
        <v>11008_3-3</v>
      </c>
      <c r="I159" s="22" t="e">
        <v>#N/A</v>
      </c>
      <c r="J159" s="22" t="e">
        <v>#N/A</v>
      </c>
      <c r="K159" s="70" t="s">
        <v>172</v>
      </c>
      <c r="L159" s="70">
        <v>341</v>
      </c>
      <c r="M159" s="22" t="str">
        <f ca="1">VLOOKUP($L159,OFFSET([3]enemies!$A$1,0,0,COUNTA([3]enemies!$A:$A),MATCH(M$1,[3]enemies!$1:$1,0)-MATCH($L$1,[3]enemies!$1:$1,0)+1),MATCH(M$1,[3]enemies!$1:$1,0)-MATCH($L$1,[3]enemies!$1:$1,0)+1,FALSE)</f>
        <v>水のメタルチック</v>
      </c>
      <c r="N159" s="22" t="str">
        <f ca="1">VLOOKUP($L159,OFFSET([3]enemies!$A$1,0,0,COUNTA([3]enemies!$A:$A),MATCH(N$1,[3]enemies!$1:$1,0)-MATCH($L$1,[3]enemies!$1:$1,0)+1),MATCH(N$1,[3]enemies!$1:$1,0)-MATCH($L$1,[3]enemies!$1:$1,0)+1,FALSE)</f>
        <v>blue</v>
      </c>
      <c r="O159" s="22" t="str">
        <f ca="1">VLOOKUP($L159,OFFSET([4]characters!$A$1,0,0,COUNTA([4]characters!$A:$A),MATCH(O$1,[4]characters!$1:$1,0)-MATCH($L$1,[4]characters!$1:$1,0)+1),MATCH(O$1,[4]characters!$1:$1,0)-MATCH($L$1,[4]characters!$1:$1,0)+1,FALSE)</f>
        <v>Material</v>
      </c>
      <c r="P159" s="22" t="str">
        <f ca="1">VLOOKUP($L159,OFFSET([3]enemies!$A$1,0,0,COUNTA([3]enemies!$A:$A),MATCH(P$1,[3]enemies!$1:$1,0)-MATCH($L$1,[3]enemies!$1:$1,0)+1),MATCH(P$1,[3]enemies!$1:$1,0)-MATCH($L$1,[3]enemies!$1:$1,0)+1,FALSE)</f>
        <v>unknown</v>
      </c>
      <c r="Q159" s="22">
        <f ca="1">VLOOKUP($L159,OFFSET([3]enemies!$A$1,0,0,COUNTA([3]enemies!$A:$A),MATCH(Q$1,[3]enemies!$1:$1,0)-MATCH($L$1,[3]enemies!$1:$1,0)+1),MATCH(Q$1,[3]enemies!$1:$1,0)-MATCH($L$1,[3]enemies!$1:$1,0)+1,FALSE)</f>
        <v>15</v>
      </c>
      <c r="R159" s="79">
        <v>1</v>
      </c>
      <c r="S159" s="80">
        <v>1</v>
      </c>
      <c r="T159" s="80">
        <v>1</v>
      </c>
      <c r="U159" s="79">
        <v>0</v>
      </c>
      <c r="V159" s="22" t="str">
        <f ca="1">VLOOKUP($W159,OFFSET([5]enemy_skill_sets!$B$1,0,0,COUNTA([5]enemy_skill_sets!$B:$B),MATCH(M$1,[5]enemy_skill_sets!$1:$1,0)-MATCH($W$1,[5]enemy_skill_sets!$1:$1,0)+2),MATCH(M$1,[5]enemy_skill_sets!$1:$1,0)-MATCH($W$1,[5]enemy_skill_sets!$1:$1,0)+2,FALSE)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9" s="22">
        <f ca="1">VLOOKUP($L159,OFFSET([3]enemies!$A$1,0,0,COUNTA([3]enemies!$A:$A),MATCH(W$1,[3]enemies!$1:$1,0)-MATCH($L$1,[3]enemies!$1:$1,0)+1),MATCH(W$1,[3]enemies!$1:$1,0)-MATCH($L$1,[3]enemies!$1:$1,0)+1,FALSE)</f>
        <v>0</v>
      </c>
      <c r="X159" s="81">
        <v>0</v>
      </c>
      <c r="Y159" s="81">
        <v>30</v>
      </c>
      <c r="Z159" s="81">
        <v>0</v>
      </c>
      <c r="AA159" s="22">
        <f ca="1">VLOOKUP($L159,OFFSET([3]enemies!$A$1,0,0,COUNTA([3]enemies!$A:$A),MATCH(AA$1,[3]enemies!$1:$1,0)-MATCH($L$1,[3]enemies!$1:$1,0)+1),MATCH(AA$1,[3]enemies!$1:$1,0)-MATCH($L$1,[3]enemies!$1:$1,0)+1,FALSE)</f>
        <v>2</v>
      </c>
      <c r="AB159" s="70">
        <v>341</v>
      </c>
      <c r="AC159" s="22" t="str">
        <f ca="1">IFERROR(VLOOKUP($AB159,OFFSET([4]characters!$A$1,0,0,COUNTA([4]characters!$A:$A),MATCH(AC$1,[4]characters!$1:$1,0)-MATCH("character_id",[4]characters!$1:$1,0)+1),MATCH(AC$1,[4]characters!$1:$1,0)-MATCH("character_id",[4]characters!$1:$1,0)+1,FALSE),"")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59" s="22">
        <f ca="1">IFERROR(VLOOKUP($AB159,OFFSET([4]characters!$A$1,0,0,COUNTA([4]characters!$A:$A),MATCH(AD$1,[4]characters!$1:$1,0)-MATCH("character_id",[4]characters!$1:$1,0)+1),MATCH(AD$1,[4]characters!$1:$1,0)-MATCH("character_id",[4]characters!$1:$1,0)+1,FALSE),"")</f>
        <v>4</v>
      </c>
      <c r="AE159" s="22" t="str">
        <f ca="1">IFERROR(VLOOKUP($AB159,OFFSET([4]characters!$A$1,0,0,COUNTA([4]characters!$A:$A),MATCH(AE$1,[4]characters!$1:$1,0)-MATCH("character_id",[4]characters!$1:$1,0)+1),MATCH(AE$1,[4]characters!$1:$1,0)-MATCH("character_id",[4]characters!$1:$1,0)+1,FALSE),"")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9" s="28">
        <v>1</v>
      </c>
      <c r="AG159" s="75">
        <f t="shared" ca="1" si="51"/>
        <v>4</v>
      </c>
      <c r="AH159" s="81">
        <v>5</v>
      </c>
      <c r="AI159" s="28">
        <v>0</v>
      </c>
      <c r="AJ159" s="28">
        <v>0</v>
      </c>
      <c r="AK159" s="28">
        <v>0</v>
      </c>
      <c r="AL159" s="28">
        <v>0</v>
      </c>
      <c r="AM159" s="28">
        <v>1</v>
      </c>
      <c r="AN159" s="28">
        <v>1</v>
      </c>
    </row>
    <row r="160" spans="1:40" ht="21" customHeight="1" x14ac:dyDescent="0.15">
      <c r="A160" s="78" t="str">
        <f t="shared" ca="1" si="50"/>
        <v>11008_3-4/111&lt;lv30&gt;s1</v>
      </c>
      <c r="B160" s="82">
        <v>11008</v>
      </c>
      <c r="C160" s="83">
        <v>3</v>
      </c>
      <c r="D160" s="16" t="str">
        <f t="shared" si="52"/>
        <v>11008_3</v>
      </c>
      <c r="E160" s="22" t="str">
        <f ca="1">VLOOKUP($B160,OFFSET([2]quests!$A$1,0,0,COUNTA([2]quests!$A:$A),MATCH(E$1,[2]quests!$1:$1,0)-MATCH($B$1,[2]quests!$1:$1,0)+1),MATCH(E$1,[2]quests!$1:$1,0)-MATCH($B$1,[2]quests!$1:$1,0)+1,FALSE)</f>
        <v>【日曜限定】 青と黄の素材</v>
      </c>
      <c r="F160" s="22" t="str">
        <f ca="1">VLOOKUP($D160,OFFSET([2]stages!$A$1,0,0,COUNTA([2]stages!$A:$A),MATCH(F$1,[2]stages!$2:$2,0)-MATCH($D$1,[2]stages!$2:$2,0)+1),MATCH(F$1,[2]stages!$2:$2,0)-MATCH($D$1,[2]stages!$2:$2,0)+1,FALSE)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0" s="68">
        <v>4</v>
      </c>
      <c r="H160" s="16" t="str">
        <f t="shared" si="53"/>
        <v>11008_3-4</v>
      </c>
      <c r="I160" s="22" t="e">
        <v>#N/A</v>
      </c>
      <c r="J160" s="22" t="e">
        <v>#N/A</v>
      </c>
      <c r="K160" s="70" t="s">
        <v>172</v>
      </c>
      <c r="L160" s="70">
        <v>111</v>
      </c>
      <c r="M160" s="22" t="str">
        <f ca="1">VLOOKUP($L160,OFFSET([3]enemies!$A$1,0,0,COUNTA([3]enemies!$A:$A),MATCH(M$1,[3]enemies!$1:$1,0)-MATCH($L$1,[3]enemies!$1:$1,0)+1),MATCH(M$1,[3]enemies!$1:$1,0)-MATCH($L$1,[3]enemies!$1:$1,0)+1,FALSE)</f>
        <v>ブルーキャタップ</v>
      </c>
      <c r="N160" s="22" t="str">
        <f ca="1">VLOOKUP($L160,OFFSET([3]enemies!$A$1,0,0,COUNTA([3]enemies!$A:$A),MATCH(N$1,[3]enemies!$1:$1,0)-MATCH($L$1,[3]enemies!$1:$1,0)+1),MATCH(N$1,[3]enemies!$1:$1,0)-MATCH($L$1,[3]enemies!$1:$1,0)+1,FALSE)</f>
        <v>blue</v>
      </c>
      <c r="O160" s="22" t="str">
        <f ca="1">VLOOKUP($L160,OFFSET([4]characters!$A$1,0,0,COUNTA([4]characters!$A:$A),MATCH(O$1,[4]characters!$1:$1,0)-MATCH($L$1,[4]characters!$1:$1,0)+1),MATCH(O$1,[4]characters!$1:$1,0)-MATCH($L$1,[4]characters!$1:$1,0)+1,FALSE)</f>
        <v>Material</v>
      </c>
      <c r="P160" s="22" t="str">
        <f ca="1">VLOOKUP($L160,OFFSET([3]enemies!$A$1,0,0,COUNTA([3]enemies!$A:$A),MATCH(P$1,[3]enemies!$1:$1,0)-MATCH($L$1,[3]enemies!$1:$1,0)+1),MATCH(P$1,[3]enemies!$1:$1,0)-MATCH($L$1,[3]enemies!$1:$1,0)+1,FALSE)</f>
        <v>unknown</v>
      </c>
      <c r="Q160" s="22">
        <f ca="1">VLOOKUP($L160,OFFSET([3]enemies!$A$1,0,0,COUNTA([3]enemies!$A:$A),MATCH(Q$1,[3]enemies!$1:$1,0)-MATCH($L$1,[3]enemies!$1:$1,0)+1),MATCH(Q$1,[3]enemies!$1:$1,0)-MATCH($L$1,[3]enemies!$1:$1,0)+1,FALSE)</f>
        <v>15</v>
      </c>
      <c r="R160" s="79">
        <v>30</v>
      </c>
      <c r="S160" s="80">
        <v>2</v>
      </c>
      <c r="T160" s="80">
        <v>1</v>
      </c>
      <c r="U160" s="79">
        <v>0</v>
      </c>
      <c r="V160" s="22" t="str">
        <f ca="1">VLOOKUP($W160,OFFSET([5]enemy_skill_sets!$B$1,0,0,COUNTA([5]enemy_skill_sets!$B:$B),MATCH(M$1,[5]enemy_skill_sets!$1:$1,0)-MATCH($W$1,[5]enemy_skill_sets!$1:$1,0)+2),MATCH(M$1,[5]enemy_skill_sets!$1:$1,0)-MATCH($W$1,[5]enemy_skill_sets!$1:$1,0)+2,FALSE)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0" s="22">
        <f ca="1">VLOOKUP($L160,OFFSET([3]enemies!$A$1,0,0,COUNTA([3]enemies!$A:$A),MATCH(W$1,[3]enemies!$1:$1,0)-MATCH($L$1,[3]enemies!$1:$1,0)+1),MATCH(W$1,[3]enemies!$1:$1,0)-MATCH($L$1,[3]enemies!$1:$1,0)+1,FALSE)</f>
        <v>0</v>
      </c>
      <c r="X160" s="81">
        <v>0</v>
      </c>
      <c r="Y160" s="81">
        <v>50</v>
      </c>
      <c r="Z160" s="81">
        <v>1</v>
      </c>
      <c r="AA160" s="22">
        <f ca="1">VLOOKUP($L160,OFFSET([3]enemies!$A$1,0,0,COUNTA([3]enemies!$A:$A),MATCH(AA$1,[3]enemies!$1:$1,0)-MATCH($L$1,[3]enemies!$1:$1,0)+1),MATCH(AA$1,[3]enemies!$1:$1,0)-MATCH($L$1,[3]enemies!$1:$1,0)+1,FALSE)</f>
        <v>1</v>
      </c>
      <c r="AB160" s="70">
        <v>111</v>
      </c>
      <c r="AC160" s="22" t="str">
        <f ca="1">IFERROR(VLOOKUP($AB160,OFFSET([4]characters!$A$1,0,0,COUNTA([4]characters!$A:$A),MATCH(AC$1,[4]characters!$1:$1,0)-MATCH("character_id",[4]characters!$1:$1,0)+1),MATCH(AC$1,[4]characters!$1:$1,0)-MATCH("character_id",[4]characters!$1:$1,0)+1,FALSE),"")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60" s="22">
        <f ca="1">IFERROR(VLOOKUP($AB160,OFFSET([4]characters!$A$1,0,0,COUNTA([4]characters!$A:$A),MATCH(AD$1,[4]characters!$1:$1,0)-MATCH("character_id",[4]characters!$1:$1,0)+1),MATCH(AD$1,[4]characters!$1:$1,0)-MATCH("character_id",[4]characters!$1:$1,0)+1,FALSE),"")</f>
        <v>4</v>
      </c>
      <c r="AE160" s="22" t="str">
        <f ca="1">IFERROR(VLOOKUP($AB160,OFFSET([4]characters!$A$1,0,0,COUNTA([4]characters!$A:$A),MATCH(AE$1,[4]characters!$1:$1,0)-MATCH("character_id",[4]characters!$1:$1,0)+1),MATCH(AE$1,[4]characters!$1:$1,0)-MATCH("character_id",[4]characters!$1:$1,0)+1,FALSE),"")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0" s="28">
        <v>1</v>
      </c>
      <c r="AG160" s="75">
        <f t="shared" ca="1" si="51"/>
        <v>4</v>
      </c>
      <c r="AH160" s="81">
        <v>100</v>
      </c>
      <c r="AI160" s="28">
        <v>0</v>
      </c>
      <c r="AJ160" s="28">
        <v>0</v>
      </c>
      <c r="AK160" s="28">
        <v>0</v>
      </c>
      <c r="AL160" s="28">
        <v>0</v>
      </c>
      <c r="AM160" s="28">
        <v>1</v>
      </c>
      <c r="AN160" s="28">
        <v>1</v>
      </c>
    </row>
    <row r="161" spans="1:40" ht="21" customHeight="1" x14ac:dyDescent="0.15">
      <c r="A161" s="78" t="str">
        <f t="shared" ca="1" si="50"/>
        <v>11008_3-4/37&lt;lv35&gt;s3</v>
      </c>
      <c r="B161" s="82">
        <v>11008</v>
      </c>
      <c r="C161" s="83">
        <v>3</v>
      </c>
      <c r="D161" s="16" t="str">
        <f t="shared" si="52"/>
        <v>11008_3</v>
      </c>
      <c r="E161" s="22" t="str">
        <f ca="1">VLOOKUP($B161,OFFSET([2]quests!$A$1,0,0,COUNTA([2]quests!$A:$A),MATCH(E$1,[2]quests!$1:$1,0)-MATCH($B$1,[2]quests!$1:$1,0)+1),MATCH(E$1,[2]quests!$1:$1,0)-MATCH($B$1,[2]quests!$1:$1,0)+1,FALSE)</f>
        <v>【日曜限定】 青と黄の素材</v>
      </c>
      <c r="F161" s="22" t="str">
        <f ca="1">VLOOKUP($D161,OFFSET([2]stages!$A$1,0,0,COUNTA([2]stages!$A:$A),MATCH(F$1,[2]stages!$2:$2,0)-MATCH($D$1,[2]stages!$2:$2,0)+1),MATCH(F$1,[2]stages!$2:$2,0)-MATCH($D$1,[2]stages!$2:$2,0)+1,FALSE)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1" s="68">
        <v>4</v>
      </c>
      <c r="H161" s="16" t="str">
        <f t="shared" si="53"/>
        <v>11008_3-4</v>
      </c>
      <c r="I161" s="22" t="e">
        <v>#N/A</v>
      </c>
      <c r="J161" s="22" t="e">
        <v>#N/A</v>
      </c>
      <c r="K161" s="70" t="s">
        <v>172</v>
      </c>
      <c r="L161" s="70">
        <v>37</v>
      </c>
      <c r="M161" s="22" t="str">
        <f ca="1">VLOOKUP($L161,OFFSET([3]enemies!$A$1,0,0,COUNTA([3]enemies!$A:$A),MATCH(M$1,[3]enemies!$1:$1,0)-MATCH($L$1,[3]enemies!$1:$1,0)+1),MATCH(M$1,[3]enemies!$1:$1,0)-MATCH($L$1,[3]enemies!$1:$1,0)+1,FALSE)</f>
        <v>ガイル</v>
      </c>
      <c r="N161" s="22" t="str">
        <f ca="1">VLOOKUP($L161,OFFSET([3]enemies!$A$1,0,0,COUNTA([3]enemies!$A:$A),MATCH(N$1,[3]enemies!$1:$1,0)-MATCH($L$1,[3]enemies!$1:$1,0)+1),MATCH(N$1,[3]enemies!$1:$1,0)-MATCH($L$1,[3]enemies!$1:$1,0)+1,FALSE)</f>
        <v>blue</v>
      </c>
      <c r="O161" s="22" t="str">
        <f ca="1">VLOOKUP($L161,OFFSET([4]characters!$A$1,0,0,COUNTA([4]characters!$A:$A),MATCH(O$1,[4]characters!$1:$1,0)-MATCH($L$1,[4]characters!$1:$1,0)+1),MATCH(O$1,[4]characters!$1:$1,0)-MATCH($L$1,[4]characters!$1:$1,0)+1,FALSE)</f>
        <v>Drop1S</v>
      </c>
      <c r="P161" s="22" t="str">
        <f ca="1">VLOOKUP($L161,OFFSET([3]enemies!$A$1,0,0,COUNTA([3]enemies!$A:$A),MATCH(P$1,[3]enemies!$1:$1,0)-MATCH($L$1,[3]enemies!$1:$1,0)+1),MATCH(P$1,[3]enemies!$1:$1,0)-MATCH($L$1,[3]enemies!$1:$1,0)+1,FALSE)</f>
        <v>animal</v>
      </c>
      <c r="Q161" s="22">
        <f ca="1">VLOOKUP($L161,OFFSET([3]enemies!$A$1,0,0,COUNTA([3]enemies!$A:$A),MATCH(Q$1,[3]enemies!$1:$1,0)-MATCH($L$1,[3]enemies!$1:$1,0)+1),MATCH(Q$1,[3]enemies!$1:$1,0)-MATCH($L$1,[3]enemies!$1:$1,0)+1,FALSE)</f>
        <v>15</v>
      </c>
      <c r="R161" s="79">
        <v>35</v>
      </c>
      <c r="S161" s="80">
        <v>1</v>
      </c>
      <c r="T161" s="80">
        <v>1</v>
      </c>
      <c r="U161" s="79">
        <v>0</v>
      </c>
      <c r="V161" s="22" t="str">
        <f ca="1">VLOOKUP($W161,OFFSET([5]enemy_skill_sets!$B$1,0,0,COUNTA([5]enemy_skill_sets!$B:$B),MATCH(M$1,[5]enemy_skill_sets!$1:$1,0)-MATCH($W$1,[5]enemy_skill_sets!$1:$1,0)+2),MATCH(M$1,[5]enemy_skill_sets!$1:$1,0)-MATCH($W$1,[5]enemy_skill_sets!$1:$1,0)+2,FALSE)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61" s="22">
        <f ca="1">VLOOKUP($L161,OFFSET([3]enemies!$A$1,0,0,COUNTA([3]enemies!$A:$A),MATCH(W$1,[3]enemies!$1:$1,0)-MATCH($L$1,[3]enemies!$1:$1,0)+1),MATCH(W$1,[3]enemies!$1:$1,0)-MATCH($L$1,[3]enemies!$1:$1,0)+1,FALSE)</f>
        <v>37</v>
      </c>
      <c r="X161" s="81">
        <v>0</v>
      </c>
      <c r="Y161" s="81">
        <v>100</v>
      </c>
      <c r="Z161" s="81">
        <v>0</v>
      </c>
      <c r="AA161" s="22">
        <f ca="1">VLOOKUP($L161,OFFSET([3]enemies!$A$1,0,0,COUNTA([3]enemies!$A:$A),MATCH(AA$1,[3]enemies!$1:$1,0)-MATCH($L$1,[3]enemies!$1:$1,0)+1),MATCH(AA$1,[3]enemies!$1:$1,0)-MATCH($L$1,[3]enemies!$1:$1,0)+1,FALSE)</f>
        <v>3</v>
      </c>
      <c r="AB161" s="70">
        <v>37</v>
      </c>
      <c r="AC161" s="22" t="str">
        <f ca="1">IFERROR(VLOOKUP($AB161,OFFSET([4]characters!$A$1,0,0,COUNTA([4]characters!$A:$A),MATCH(AC$1,[4]characters!$1:$1,0)-MATCH("character_id",[4]characters!$1:$1,0)+1),MATCH(AC$1,[4]characters!$1:$1,0)-MATCH("character_id",[4]characters!$1:$1,0)+1,FALSE),"")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61" s="22">
        <f ca="1">IFERROR(VLOOKUP($AB161,OFFSET([4]characters!$A$1,0,0,COUNTA([4]characters!$A:$A),MATCH(AD$1,[4]characters!$1:$1,0)-MATCH("character_id",[4]characters!$1:$1,0)+1),MATCH(AD$1,[4]characters!$1:$1,0)-MATCH("character_id",[4]characters!$1:$1,0)+1,FALSE),"")</f>
        <v>2</v>
      </c>
      <c r="AE161" s="22" t="str">
        <f ca="1">IFERROR(VLOOKUP($AB161,OFFSET([4]characters!$A$1,0,0,COUNTA([4]characters!$A:$A),MATCH(AE$1,[4]characters!$1:$1,0)-MATCH("character_id",[4]characters!$1:$1,0)+1),MATCH(AE$1,[4]characters!$1:$1,0)-MATCH("character_id",[4]characters!$1:$1,0)+1,FALSE),"")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61" s="28">
        <v>1</v>
      </c>
      <c r="AG161" s="75">
        <f t="shared" ca="1" si="51"/>
        <v>2</v>
      </c>
      <c r="AH161" s="81">
        <v>0</v>
      </c>
      <c r="AI161" s="28">
        <v>0</v>
      </c>
      <c r="AJ161" s="28">
        <v>0</v>
      </c>
      <c r="AK161" s="28">
        <v>0</v>
      </c>
      <c r="AL161" s="28">
        <v>0</v>
      </c>
      <c r="AM161" s="28">
        <v>1</v>
      </c>
      <c r="AN161" s="28">
        <v>1</v>
      </c>
    </row>
    <row r="162" spans="1:40" ht="21" customHeight="1" x14ac:dyDescent="0.15">
      <c r="A162" s="78" t="str">
        <f t="shared" ca="1" si="50"/>
        <v>11008_3-4/29&lt;lv35&gt;s2</v>
      </c>
      <c r="B162" s="82">
        <v>11008</v>
      </c>
      <c r="C162" s="83">
        <v>3</v>
      </c>
      <c r="D162" s="16" t="str">
        <f t="shared" si="52"/>
        <v>11008_3</v>
      </c>
      <c r="E162" s="22" t="str">
        <f ca="1">VLOOKUP($B162,OFFSET([2]quests!$A$1,0,0,COUNTA([2]quests!$A:$A),MATCH(E$1,[2]quests!$1:$1,0)-MATCH($B$1,[2]quests!$1:$1,0)+1),MATCH(E$1,[2]quests!$1:$1,0)-MATCH($B$1,[2]quests!$1:$1,0)+1,FALSE)</f>
        <v>【日曜限定】 青と黄の素材</v>
      </c>
      <c r="F162" s="22" t="str">
        <f ca="1">VLOOKUP($D162,OFFSET([2]stages!$A$1,0,0,COUNTA([2]stages!$A:$A),MATCH(F$1,[2]stages!$2:$2,0)-MATCH($D$1,[2]stages!$2:$2,0)+1),MATCH(F$1,[2]stages!$2:$2,0)-MATCH($D$1,[2]stages!$2:$2,0)+1,FALSE)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2" s="68">
        <v>4</v>
      </c>
      <c r="H162" s="16" t="str">
        <f t="shared" si="53"/>
        <v>11008_3-4</v>
      </c>
      <c r="I162" s="22" t="e">
        <v>#N/A</v>
      </c>
      <c r="J162" s="22" t="e">
        <v>#N/A</v>
      </c>
      <c r="K162" s="70" t="s">
        <v>172</v>
      </c>
      <c r="L162" s="70">
        <v>29</v>
      </c>
      <c r="M162" s="22" t="str">
        <f ca="1">VLOOKUP($L162,OFFSET([3]enemies!$A$1,0,0,COUNTA([3]enemies!$A:$A),MATCH(M$1,[3]enemies!$1:$1,0)-MATCH($L$1,[3]enemies!$1:$1,0)+1),MATCH(M$1,[3]enemies!$1:$1,0)-MATCH($L$1,[3]enemies!$1:$1,0)+1,FALSE)</f>
        <v>スケアクロウ</v>
      </c>
      <c r="N162" s="22" t="str">
        <f ca="1">VLOOKUP($L162,OFFSET([3]enemies!$A$1,0,0,COUNTA([3]enemies!$A:$A),MATCH(N$1,[3]enemies!$1:$1,0)-MATCH($L$1,[3]enemies!$1:$1,0)+1),MATCH(N$1,[3]enemies!$1:$1,0)-MATCH($L$1,[3]enemies!$1:$1,0)+1,FALSE)</f>
        <v>blue</v>
      </c>
      <c r="O162" s="22" t="str">
        <f ca="1">VLOOKUP($L162,OFFSET([4]characters!$A$1,0,0,COUNTA([4]characters!$A:$A),MATCH(O$1,[4]characters!$1:$1,0)-MATCH($L$1,[4]characters!$1:$1,0)+1),MATCH(O$1,[4]characters!$1:$1,0)-MATCH($L$1,[4]characters!$1:$1,0)+1,FALSE)</f>
        <v>Drop1N</v>
      </c>
      <c r="P162" s="22" t="str">
        <f ca="1">VLOOKUP($L162,OFFSET([3]enemies!$A$1,0,0,COUNTA([3]enemies!$A:$A),MATCH(P$1,[3]enemies!$1:$1,0)-MATCH($L$1,[3]enemies!$1:$1,0)+1),MATCH(P$1,[3]enemies!$1:$1,0)-MATCH($L$1,[3]enemies!$1:$1,0)+1,FALSE)</f>
        <v>machine</v>
      </c>
      <c r="Q162" s="22">
        <f ca="1">VLOOKUP($L162,OFFSET([3]enemies!$A$1,0,0,COUNTA([3]enemies!$A:$A),MATCH(Q$1,[3]enemies!$1:$1,0)-MATCH($L$1,[3]enemies!$1:$1,0)+1),MATCH(Q$1,[3]enemies!$1:$1,0)-MATCH($L$1,[3]enemies!$1:$1,0)+1,FALSE)</f>
        <v>15</v>
      </c>
      <c r="R162" s="79">
        <v>35</v>
      </c>
      <c r="S162" s="80">
        <v>1</v>
      </c>
      <c r="T162" s="80">
        <v>1</v>
      </c>
      <c r="U162" s="79">
        <v>0</v>
      </c>
      <c r="V162" s="22" t="str">
        <f ca="1">VLOOKUP($W162,OFFSET([5]enemy_skill_sets!$B$1,0,0,COUNTA([5]enemy_skill_sets!$B:$B),MATCH(M$1,[5]enemy_skill_sets!$1:$1,0)-MATCH($W$1,[5]enemy_skill_sets!$1:$1,0)+2),MATCH(M$1,[5]enemy_skill_sets!$1:$1,0)-MATCH($W$1,[5]enemy_skill_sets!$1:$1,0)+2,FALSE)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2" s="22">
        <f ca="1">VLOOKUP($L162,OFFSET([3]enemies!$A$1,0,0,COUNTA([3]enemies!$A:$A),MATCH(W$1,[3]enemies!$1:$1,0)-MATCH($L$1,[3]enemies!$1:$1,0)+1),MATCH(W$1,[3]enemies!$1:$1,0)-MATCH($L$1,[3]enemies!$1:$1,0)+1,FALSE)</f>
        <v>0</v>
      </c>
      <c r="X162" s="81">
        <v>0</v>
      </c>
      <c r="Y162" s="81">
        <v>100</v>
      </c>
      <c r="Z162" s="81">
        <v>0</v>
      </c>
      <c r="AA162" s="22">
        <f ca="1">VLOOKUP($L162,OFFSET([3]enemies!$A$1,0,0,COUNTA([3]enemies!$A:$A),MATCH(AA$1,[3]enemies!$1:$1,0)-MATCH($L$1,[3]enemies!$1:$1,0)+1),MATCH(AA$1,[3]enemies!$1:$1,0)-MATCH($L$1,[3]enemies!$1:$1,0)+1,FALSE)</f>
        <v>2</v>
      </c>
      <c r="AB162" s="70">
        <v>29</v>
      </c>
      <c r="AC162" s="22" t="str">
        <f ca="1">IFERROR(VLOOKUP($AB162,OFFSET([4]characters!$A$1,0,0,COUNTA([4]characters!$A:$A),MATCH(AC$1,[4]characters!$1:$1,0)-MATCH("character_id",[4]characters!$1:$1,0)+1),MATCH(AC$1,[4]characters!$1:$1,0)-MATCH("character_id",[4]characters!$1:$1,0)+1,FALSE),"")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62" s="22">
        <f ca="1">IFERROR(VLOOKUP($AB162,OFFSET([4]characters!$A$1,0,0,COUNTA([4]characters!$A:$A),MATCH(AD$1,[4]characters!$1:$1,0)-MATCH("character_id",[4]characters!$1:$1,0)+1),MATCH(AD$1,[4]characters!$1:$1,0)-MATCH("character_id",[4]characters!$1:$1,0)+1,FALSE),"")</f>
        <v>1</v>
      </c>
      <c r="AE162" s="22" t="str">
        <f ca="1">IFERROR(VLOOKUP($AB162,OFFSET([4]characters!$A$1,0,0,COUNTA([4]characters!$A:$A),MATCH(AE$1,[4]characters!$1:$1,0)-MATCH("character_id",[4]characters!$1:$1,0)+1),MATCH(AE$1,[4]characters!$1:$1,0)-MATCH("character_id",[4]characters!$1:$1,0)+1,FALSE),"")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62" s="28">
        <v>1</v>
      </c>
      <c r="AG162" s="75">
        <f t="shared" ca="1" si="51"/>
        <v>1</v>
      </c>
      <c r="AH162" s="81">
        <v>0</v>
      </c>
      <c r="AI162" s="28">
        <v>0</v>
      </c>
      <c r="AJ162" s="28">
        <v>0</v>
      </c>
      <c r="AK162" s="28">
        <v>0</v>
      </c>
      <c r="AL162" s="28">
        <v>0</v>
      </c>
      <c r="AM162" s="28">
        <v>1</v>
      </c>
      <c r="AN162" s="28">
        <v>1</v>
      </c>
    </row>
    <row r="163" spans="1:40" ht="21" customHeight="1" x14ac:dyDescent="0.15">
      <c r="A163" s="78" t="str">
        <f t="shared" ca="1" si="50"/>
        <v>11008_3-5/111&lt;lv30&gt;s1</v>
      </c>
      <c r="B163" s="82">
        <v>11008</v>
      </c>
      <c r="C163" s="83">
        <v>3</v>
      </c>
      <c r="D163" s="16" t="str">
        <f t="shared" si="52"/>
        <v>11008_3</v>
      </c>
      <c r="E163" s="22" t="str">
        <f ca="1">VLOOKUP($B163,OFFSET([2]quests!$A$1,0,0,COUNTA([2]quests!$A:$A),MATCH(E$1,[2]quests!$1:$1,0)-MATCH($B$1,[2]quests!$1:$1,0)+1),MATCH(E$1,[2]quests!$1:$1,0)-MATCH($B$1,[2]quests!$1:$1,0)+1,FALSE)</f>
        <v>【日曜限定】 青と黄の素材</v>
      </c>
      <c r="F163" s="22" t="str">
        <f ca="1">VLOOKUP($D163,OFFSET([2]stages!$A$1,0,0,COUNTA([2]stages!$A:$A),MATCH(F$1,[2]stages!$2:$2,0)-MATCH($D$1,[2]stages!$2:$2,0)+1),MATCH(F$1,[2]stages!$2:$2,0)-MATCH($D$1,[2]stages!$2:$2,0)+1,FALSE)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3" s="68">
        <v>5</v>
      </c>
      <c r="H163" s="16" t="str">
        <f t="shared" si="53"/>
        <v>11008_3-5</v>
      </c>
      <c r="I163" s="22" t="e">
        <v>#N/A</v>
      </c>
      <c r="J163" s="22" t="e">
        <v>#N/A</v>
      </c>
      <c r="K163" s="70" t="s">
        <v>172</v>
      </c>
      <c r="L163" s="70">
        <v>111</v>
      </c>
      <c r="M163" s="22" t="str">
        <f ca="1">VLOOKUP($L163,OFFSET([3]enemies!$A$1,0,0,COUNTA([3]enemies!$A:$A),MATCH(M$1,[3]enemies!$1:$1,0)-MATCH($L$1,[3]enemies!$1:$1,0)+1),MATCH(M$1,[3]enemies!$1:$1,0)-MATCH($L$1,[3]enemies!$1:$1,0)+1,FALSE)</f>
        <v>ブルーキャタップ</v>
      </c>
      <c r="N163" s="22" t="str">
        <f ca="1">VLOOKUP($L163,OFFSET([3]enemies!$A$1,0,0,COUNTA([3]enemies!$A:$A),MATCH(N$1,[3]enemies!$1:$1,0)-MATCH($L$1,[3]enemies!$1:$1,0)+1),MATCH(N$1,[3]enemies!$1:$1,0)-MATCH($L$1,[3]enemies!$1:$1,0)+1,FALSE)</f>
        <v>blue</v>
      </c>
      <c r="O163" s="22" t="str">
        <f ca="1">VLOOKUP($L163,OFFSET([4]characters!$A$1,0,0,COUNTA([4]characters!$A:$A),MATCH(O$1,[4]characters!$1:$1,0)-MATCH($L$1,[4]characters!$1:$1,0)+1),MATCH(O$1,[4]characters!$1:$1,0)-MATCH($L$1,[4]characters!$1:$1,0)+1,FALSE)</f>
        <v>Material</v>
      </c>
      <c r="P163" s="22" t="str">
        <f ca="1">VLOOKUP($L163,OFFSET([3]enemies!$A$1,0,0,COUNTA([3]enemies!$A:$A),MATCH(P$1,[3]enemies!$1:$1,0)-MATCH($L$1,[3]enemies!$1:$1,0)+1),MATCH(P$1,[3]enemies!$1:$1,0)-MATCH($L$1,[3]enemies!$1:$1,0)+1,FALSE)</f>
        <v>unknown</v>
      </c>
      <c r="Q163" s="22">
        <f ca="1">VLOOKUP($L163,OFFSET([3]enemies!$A$1,0,0,COUNTA([3]enemies!$A:$A),MATCH(Q$1,[3]enemies!$1:$1,0)-MATCH($L$1,[3]enemies!$1:$1,0)+1),MATCH(Q$1,[3]enemies!$1:$1,0)-MATCH($L$1,[3]enemies!$1:$1,0)+1,FALSE)</f>
        <v>15</v>
      </c>
      <c r="R163" s="79">
        <v>30</v>
      </c>
      <c r="S163" s="80">
        <v>2</v>
      </c>
      <c r="T163" s="80">
        <v>1</v>
      </c>
      <c r="U163" s="79">
        <v>0</v>
      </c>
      <c r="V163" s="22" t="str">
        <f ca="1">VLOOKUP($W163,OFFSET([5]enemy_skill_sets!$B$1,0,0,COUNTA([5]enemy_skill_sets!$B:$B),MATCH(M$1,[5]enemy_skill_sets!$1:$1,0)-MATCH($W$1,[5]enemy_skill_sets!$1:$1,0)+2),MATCH(M$1,[5]enemy_skill_sets!$1:$1,0)-MATCH($W$1,[5]enemy_skill_sets!$1:$1,0)+2,FALSE)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3" s="22">
        <f ca="1">VLOOKUP($L163,OFFSET([3]enemies!$A$1,0,0,COUNTA([3]enemies!$A:$A),MATCH(W$1,[3]enemies!$1:$1,0)-MATCH($L$1,[3]enemies!$1:$1,0)+1),MATCH(W$1,[3]enemies!$1:$1,0)-MATCH($L$1,[3]enemies!$1:$1,0)+1,FALSE)</f>
        <v>0</v>
      </c>
      <c r="X163" s="7">
        <v>0</v>
      </c>
      <c r="Y163" s="7">
        <v>100</v>
      </c>
      <c r="Z163" s="7">
        <v>2</v>
      </c>
      <c r="AA163" s="22">
        <f ca="1">VLOOKUP($L163,OFFSET([3]enemies!$A$1,0,0,COUNTA([3]enemies!$A:$A),MATCH(AA$1,[3]enemies!$1:$1,0)-MATCH($L$1,[3]enemies!$1:$1,0)+1),MATCH(AA$1,[3]enemies!$1:$1,0)-MATCH($L$1,[3]enemies!$1:$1,0)+1,FALSE)</f>
        <v>1</v>
      </c>
      <c r="AB163" s="70">
        <v>111</v>
      </c>
      <c r="AC163" s="22" t="str">
        <f ca="1">IFERROR(VLOOKUP($AB163,OFFSET([4]characters!$A$1,0,0,COUNTA([4]characters!$A:$A),MATCH(AC$1,[4]characters!$1:$1,0)-MATCH("character_id",[4]characters!$1:$1,0)+1),MATCH(AC$1,[4]characters!$1:$1,0)-MATCH("character_id",[4]characters!$1:$1,0)+1,FALSE),"")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63" s="22">
        <f ca="1">IFERROR(VLOOKUP($AB163,OFFSET([4]characters!$A$1,0,0,COUNTA([4]characters!$A:$A),MATCH(AD$1,[4]characters!$1:$1,0)-MATCH("character_id",[4]characters!$1:$1,0)+1),MATCH(AD$1,[4]characters!$1:$1,0)-MATCH("character_id",[4]characters!$1:$1,0)+1,FALSE),"")</f>
        <v>4</v>
      </c>
      <c r="AE163" s="22" t="str">
        <f ca="1">IFERROR(VLOOKUP($AB163,OFFSET([4]characters!$A$1,0,0,COUNTA([4]characters!$A:$A),MATCH(AE$1,[4]characters!$1:$1,0)-MATCH("character_id",[4]characters!$1:$1,0)+1),MATCH(AE$1,[4]characters!$1:$1,0)-MATCH("character_id",[4]characters!$1:$1,0)+1,FALSE),"")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3" s="28">
        <v>1</v>
      </c>
      <c r="AG163" s="75">
        <f t="shared" ca="1" si="51"/>
        <v>4</v>
      </c>
      <c r="AH163" s="131">
        <v>50</v>
      </c>
      <c r="AI163" s="28">
        <v>0</v>
      </c>
      <c r="AJ163" s="28">
        <v>0</v>
      </c>
      <c r="AK163" s="28">
        <v>0</v>
      </c>
      <c r="AL163" s="28">
        <v>0</v>
      </c>
      <c r="AM163" s="28">
        <v>1</v>
      </c>
      <c r="AN163" s="28">
        <v>1</v>
      </c>
    </row>
    <row r="164" spans="1:40" ht="21" customHeight="1" x14ac:dyDescent="0.15">
      <c r="A164" s="78" t="str">
        <f ca="1">B164&amp;"_"&amp;C164&amp;"-"&amp;G164&amp;"/"&amp;L164&amp;"&lt;lv"&amp;R164&amp;"&gt;s"&amp;AA164</f>
        <v>11008_3-5/130&lt;lv30&gt;s3</v>
      </c>
      <c r="B164" s="82">
        <v>11008</v>
      </c>
      <c r="C164" s="83">
        <v>3</v>
      </c>
      <c r="D164" s="16" t="str">
        <f t="shared" si="52"/>
        <v>11008_3</v>
      </c>
      <c r="E164" s="22" t="str">
        <f ca="1">VLOOKUP($B164,OFFSET([2]quests!$A$1,0,0,COUNTA([2]quests!$A:$A),MATCH(E$1,[2]quests!$1:$1,0)-MATCH($B$1,[2]quests!$1:$1,0)+1),MATCH(E$1,[2]quests!$1:$1,0)-MATCH($B$1,[2]quests!$1:$1,0)+1,FALSE)</f>
        <v>【日曜限定】 青と黄の素材</v>
      </c>
      <c r="F164" s="22" t="str">
        <f ca="1">VLOOKUP($D164,OFFSET([2]stages!$A$1,0,0,COUNTA([2]stages!$A:$A),MATCH(F$1,[2]stages!$2:$2,0)-MATCH($D$1,[2]stages!$2:$2,0)+1),MATCH(F$1,[2]stages!$2:$2,0)-MATCH($D$1,[2]stages!$2:$2,0)+1,FALSE)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4" s="68">
        <v>5</v>
      </c>
      <c r="H164" s="16" t="str">
        <f t="shared" si="53"/>
        <v>11008_3-5</v>
      </c>
      <c r="I164" s="22" t="e">
        <v>#N/A</v>
      </c>
      <c r="J164" s="22" t="e">
        <v>#N/A</v>
      </c>
      <c r="K164" s="70" t="s">
        <v>172</v>
      </c>
      <c r="L164" s="70">
        <v>130</v>
      </c>
      <c r="M164" s="22" t="str">
        <f ca="1">VLOOKUP($L164,OFFSET([3]enemies!$A$1,0,0,COUNTA([3]enemies!$A:$A),MATCH(M$1,[3]enemies!$1:$1,0)-MATCH($L$1,[3]enemies!$1:$1,0)+1),MATCH(M$1,[3]enemies!$1:$1,0)-MATCH($L$1,[3]enemies!$1:$1,0)+1,FALSE)</f>
        <v>狼男 ローレンス</v>
      </c>
      <c r="N164" s="22" t="str">
        <f ca="1">VLOOKUP($L164,OFFSET([3]enemies!$A$1,0,0,COUNTA([3]enemies!$A:$A),MATCH(N$1,[3]enemies!$1:$1,0)-MATCH($L$1,[3]enemies!$1:$1,0)+1),MATCH(N$1,[3]enemies!$1:$1,0)-MATCH($L$1,[3]enemies!$1:$1,0)+1,FALSE)</f>
        <v>blue</v>
      </c>
      <c r="O164" s="22" t="str">
        <f ca="1">VLOOKUP($L164,OFFSET([4]characters!$A$1,0,0,COUNTA([4]characters!$A:$A),MATCH(O$1,[4]characters!$1:$1,0)-MATCH($L$1,[4]characters!$1:$1,0)+1),MATCH(O$1,[4]characters!$1:$1,0)-MATCH($L$1,[4]characters!$1:$1,0)+1,FALSE)</f>
        <v>PremiumW</v>
      </c>
      <c r="P164" s="22" t="str">
        <f ca="1">VLOOKUP($L164,OFFSET([3]enemies!$A$1,0,0,COUNTA([3]enemies!$A:$A),MATCH(P$1,[3]enemies!$1:$1,0)-MATCH($L$1,[3]enemies!$1:$1,0)+1),MATCH(P$1,[3]enemies!$1:$1,0)-MATCH($L$1,[3]enemies!$1:$1,0)+1,FALSE)</f>
        <v>animal</v>
      </c>
      <c r="Q164" s="22">
        <f ca="1">VLOOKUP($L164,OFFSET([3]enemies!$A$1,0,0,COUNTA([3]enemies!$A:$A),MATCH(Q$1,[3]enemies!$1:$1,0)-MATCH($L$1,[3]enemies!$1:$1,0)+1),MATCH(Q$1,[3]enemies!$1:$1,0)-MATCH($L$1,[3]enemies!$1:$1,0)+1,FALSE)</f>
        <v>20</v>
      </c>
      <c r="R164" s="79">
        <v>30</v>
      </c>
      <c r="S164" s="80">
        <v>1</v>
      </c>
      <c r="T164" s="80">
        <v>1</v>
      </c>
      <c r="U164" s="79">
        <v>0</v>
      </c>
      <c r="V164" s="22" t="str">
        <f ca="1">VLOOKUP($W164,OFFSET([5]enemy_skill_sets!$B$1,0,0,COUNTA([5]enemy_skill_sets!$B:$B),MATCH(M$1,[5]enemy_skill_sets!$1:$1,0)-MATCH($W$1,[5]enemy_skill_sets!$1:$1,0)+2),MATCH(M$1,[5]enemy_skill_sets!$1:$1,0)-MATCH($W$1,[5]enemy_skill_sets!$1:$1,0)+2,FALSE)</f>
        <v>攻撃力×1.5倍の攻撃</v>
      </c>
      <c r="W164" s="22">
        <f ca="1">VLOOKUP($L164,OFFSET([3]enemies!$A$1,0,0,COUNTA([3]enemies!$A:$A),MATCH(W$1,[3]enemies!$1:$1,0)-MATCH($L$1,[3]enemies!$1:$1,0)+1),MATCH(W$1,[3]enemies!$1:$1,0)-MATCH($L$1,[3]enemies!$1:$1,0)+1,FALSE)</f>
        <v>130</v>
      </c>
      <c r="X164" s="81">
        <v>0</v>
      </c>
      <c r="Y164" s="81">
        <v>100</v>
      </c>
      <c r="Z164" s="81">
        <v>0</v>
      </c>
      <c r="AA164" s="22">
        <f ca="1">VLOOKUP($L164,OFFSET([3]enemies!$A$1,0,0,COUNTA([3]enemies!$A:$A),MATCH(AA$1,[3]enemies!$1:$1,0)-MATCH($L$1,[3]enemies!$1:$1,0)+1),MATCH(AA$1,[3]enemies!$1:$1,0)-MATCH($L$1,[3]enemies!$1:$1,0)+1,FALSE)</f>
        <v>3</v>
      </c>
      <c r="AB164" s="70">
        <v>130</v>
      </c>
      <c r="AC164" s="22" t="str">
        <f ca="1">IFERROR(VLOOKUP($AB164,OFFSET([4]characters!$A$1,0,0,COUNTA([4]characters!$A:$A),MATCH(AC$1,[4]characters!$1:$1,0)-MATCH("character_id",[4]characters!$1:$1,0)+1),MATCH(AC$1,[4]characters!$1:$1,0)-MATCH("character_id",[4]characters!$1:$1,0)+1,FALSE),"")</f>
        <v>狼男 ローレンス</v>
      </c>
      <c r="AD164" s="22">
        <f ca="1">IFERROR(VLOOKUP($AB164,OFFSET([4]characters!$A$1,0,0,COUNTA([4]characters!$A:$A),MATCH(AD$1,[4]characters!$1:$1,0)-MATCH("character_id",[4]characters!$1:$1,0)+1),MATCH(AD$1,[4]characters!$1:$1,0)-MATCH("character_id",[4]characters!$1:$1,0)+1,FALSE),"")</f>
        <v>3</v>
      </c>
      <c r="AE164" s="22" t="str">
        <f ca="1">IFERROR(VLOOKUP($AB164,OFFSET([4]characters!$A$1,0,0,COUNTA([4]characters!$A:$A),MATCH(AE$1,[4]characters!$1:$1,0)-MATCH("character_id",[4]characters!$1:$1,0)+1),MATCH(AE$1,[4]characters!$1:$1,0)-MATCH("character_id",[4]characters!$1:$1,0)+1,FALSE),"")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64" s="28">
        <v>1</v>
      </c>
      <c r="AG164" s="75">
        <f t="shared" ca="1" si="51"/>
        <v>3</v>
      </c>
      <c r="AH164" s="81">
        <v>0</v>
      </c>
      <c r="AI164" s="28">
        <v>0</v>
      </c>
      <c r="AJ164" s="28">
        <v>0</v>
      </c>
      <c r="AK164" s="28">
        <v>0</v>
      </c>
      <c r="AL164" s="28">
        <v>0</v>
      </c>
      <c r="AM164" s="28">
        <v>1</v>
      </c>
      <c r="AN164" s="28">
        <v>1</v>
      </c>
    </row>
    <row r="165" spans="1:40" ht="21" customHeight="1" x14ac:dyDescent="0.15">
      <c r="A165" s="78" t="str">
        <f ca="1">B165&amp;"_"&amp;C165&amp;"-"&amp;G165&amp;"/"&amp;L165&amp;"&lt;lv"&amp;R165&amp;"&gt;s"&amp;AA165</f>
        <v>11008_3-5/138&lt;lv30&gt;s2</v>
      </c>
      <c r="B165" s="82">
        <v>11008</v>
      </c>
      <c r="C165" s="83">
        <v>3</v>
      </c>
      <c r="D165" s="16" t="str">
        <f t="shared" si="52"/>
        <v>11008_3</v>
      </c>
      <c r="E165" s="22" t="str">
        <f ca="1">VLOOKUP($B165,OFFSET([2]quests!$A$1,0,0,COUNTA([2]quests!$A:$A),MATCH(E$1,[2]quests!$1:$1,0)-MATCH($B$1,[2]quests!$1:$1,0)+1),MATCH(E$1,[2]quests!$1:$1,0)-MATCH($B$1,[2]quests!$1:$1,0)+1,FALSE)</f>
        <v>【日曜限定】 青と黄の素材</v>
      </c>
      <c r="F165" s="22" t="str">
        <f ca="1">VLOOKUP($D165,OFFSET([2]stages!$A$1,0,0,COUNTA([2]stages!$A:$A),MATCH(F$1,[2]stages!$2:$2,0)-MATCH($D$1,[2]stages!$2:$2,0)+1),MATCH(F$1,[2]stages!$2:$2,0)-MATCH($D$1,[2]stages!$2:$2,0)+1,FALSE)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5" s="68">
        <v>5</v>
      </c>
      <c r="H165" s="16" t="str">
        <f t="shared" si="53"/>
        <v>11008_3-5</v>
      </c>
      <c r="I165" s="22" t="e">
        <v>#N/A</v>
      </c>
      <c r="J165" s="22" t="e">
        <v>#N/A</v>
      </c>
      <c r="K165" s="70" t="s">
        <v>172</v>
      </c>
      <c r="L165" s="70">
        <v>138</v>
      </c>
      <c r="M165" s="22" t="str">
        <f ca="1">VLOOKUP($L165,OFFSET([3]enemies!$A$1,0,0,COUNTA([3]enemies!$A:$A),MATCH(M$1,[3]enemies!$1:$1,0)-MATCH($L$1,[3]enemies!$1:$1,0)+1),MATCH(M$1,[3]enemies!$1:$1,0)-MATCH($L$1,[3]enemies!$1:$1,0)+1,FALSE)</f>
        <v>蒼薙のトモエ</v>
      </c>
      <c r="N165" s="22" t="str">
        <f ca="1">VLOOKUP($L165,OFFSET([3]enemies!$A$1,0,0,COUNTA([3]enemies!$A:$A),MATCH(N$1,[3]enemies!$1:$1,0)-MATCH($L$1,[3]enemies!$1:$1,0)+1),MATCH(N$1,[3]enemies!$1:$1,0)-MATCH($L$1,[3]enemies!$1:$1,0)+1,FALSE)</f>
        <v>blue</v>
      </c>
      <c r="O165" s="22" t="str">
        <f ca="1">VLOOKUP($L165,OFFSET([4]characters!$A$1,0,0,COUNTA([4]characters!$A:$A),MATCH(O$1,[4]characters!$1:$1,0)-MATCH($L$1,[4]characters!$1:$1,0)+1),MATCH(O$1,[4]characters!$1:$1,0)-MATCH($L$1,[4]characters!$1:$1,0)+1,FALSE)</f>
        <v>PremiumW</v>
      </c>
      <c r="P165" s="22" t="str">
        <f ca="1">VLOOKUP($L165,OFFSET([3]enemies!$A$1,0,0,COUNTA([3]enemies!$A:$A),MATCH(P$1,[3]enemies!$1:$1,0)-MATCH($L$1,[3]enemies!$1:$1,0)+1),MATCH(P$1,[3]enemies!$1:$1,0)-MATCH($L$1,[3]enemies!$1:$1,0)+1,FALSE)</f>
        <v>human</v>
      </c>
      <c r="Q165" s="22">
        <f ca="1">VLOOKUP($L165,OFFSET([3]enemies!$A$1,0,0,COUNTA([3]enemies!$A:$A),MATCH(Q$1,[3]enemies!$1:$1,0)-MATCH($L$1,[3]enemies!$1:$1,0)+1),MATCH(Q$1,[3]enemies!$1:$1,0)-MATCH($L$1,[3]enemies!$1:$1,0)+1,FALSE)</f>
        <v>20</v>
      </c>
      <c r="R165" s="79">
        <v>30</v>
      </c>
      <c r="S165" s="80">
        <v>1</v>
      </c>
      <c r="T165" s="80">
        <v>1</v>
      </c>
      <c r="U165" s="79">
        <v>0</v>
      </c>
      <c r="V165" s="22" t="str">
        <f ca="1">VLOOKUP($W165,OFFSET([5]enemy_skill_sets!$B$1,0,0,COUNTA([5]enemy_skill_sets!$B:$B),MATCH(M$1,[5]enemy_skill_sets!$1:$1,0)-MATCH($W$1,[5]enemy_skill_sets!$1:$1,0)+2),MATCH(M$1,[5]enemy_skill_sets!$1:$1,0)-MATCH($W$1,[5]enemy_skill_sets!$1:$1,0)+2,FALSE)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5" s="22">
        <f ca="1">VLOOKUP($L165,OFFSET([3]enemies!$A$1,0,0,COUNTA([3]enemies!$A:$A),MATCH(W$1,[3]enemies!$1:$1,0)-MATCH($L$1,[3]enemies!$1:$1,0)+1),MATCH(W$1,[3]enemies!$1:$1,0)-MATCH($L$1,[3]enemies!$1:$1,0)+1,FALSE)</f>
        <v>0</v>
      </c>
      <c r="X165" s="81">
        <v>0</v>
      </c>
      <c r="Y165" s="81">
        <v>100</v>
      </c>
      <c r="Z165" s="81">
        <v>0</v>
      </c>
      <c r="AA165" s="22">
        <f ca="1">VLOOKUP($L165,OFFSET([3]enemies!$A$1,0,0,COUNTA([3]enemies!$A:$A),MATCH(AA$1,[3]enemies!$1:$1,0)-MATCH($L$1,[3]enemies!$1:$1,0)+1),MATCH(AA$1,[3]enemies!$1:$1,0)-MATCH($L$1,[3]enemies!$1:$1,0)+1,FALSE)</f>
        <v>2</v>
      </c>
      <c r="AB165" s="70">
        <v>138</v>
      </c>
      <c r="AC165" s="22" t="str">
        <f ca="1">IFERROR(VLOOKUP($AB165,OFFSET([4]characters!$A$1,0,0,COUNTA([4]characters!$A:$A),MATCH(AC$1,[4]characters!$1:$1,0)-MATCH("character_id",[4]characters!$1:$1,0)+1),MATCH(AC$1,[4]characters!$1:$1,0)-MATCH("character_id",[4]characters!$1:$1,0)+1,FALSE),"")</f>
        <v>蒼薙のトモエ</v>
      </c>
      <c r="AD165" s="22">
        <f ca="1">IFERROR(VLOOKUP($AB165,OFFSET([4]characters!$A$1,0,0,COUNTA([4]characters!$A:$A),MATCH(AD$1,[4]characters!$1:$1,0)-MATCH("character_id",[4]characters!$1:$1,0)+1),MATCH(AD$1,[4]characters!$1:$1,0)-MATCH("character_id",[4]characters!$1:$1,0)+1,FALSE),"")</f>
        <v>3</v>
      </c>
      <c r="AE165" s="22" t="str">
        <f ca="1">IFERROR(VLOOKUP($AB165,OFFSET([4]characters!$A$1,0,0,COUNTA([4]characters!$A:$A),MATCH(AE$1,[4]characters!$1:$1,0)-MATCH("character_id",[4]characters!$1:$1,0)+1),MATCH(AE$1,[4]characters!$1:$1,0)-MATCH("character_id",[4]characters!$1:$1,0)+1,FALSE),"")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65" s="28">
        <v>1</v>
      </c>
      <c r="AG165" s="75">
        <f t="shared" ca="1" si="51"/>
        <v>3</v>
      </c>
      <c r="AH165" s="81">
        <v>0</v>
      </c>
      <c r="AI165" s="28">
        <v>0</v>
      </c>
      <c r="AJ165" s="28">
        <v>0</v>
      </c>
      <c r="AK165" s="28">
        <v>0</v>
      </c>
      <c r="AL165" s="28">
        <v>0</v>
      </c>
      <c r="AM165" s="28">
        <v>1</v>
      </c>
      <c r="AN165" s="28">
        <v>1</v>
      </c>
    </row>
    <row r="166" spans="1:40" ht="21" customHeight="1" x14ac:dyDescent="0.15">
      <c r="A166" s="78" t="str">
        <f ca="1">B166&amp;"_"&amp;C166&amp;"-"&amp;G166&amp;"/"&amp;L166&amp;"&lt;lv"&amp;R166&amp;"&gt;s"&amp;AA166</f>
        <v>11008_3-5/146&lt;lv30&gt;s3</v>
      </c>
      <c r="B166" s="82">
        <v>11008</v>
      </c>
      <c r="C166" s="83">
        <v>3</v>
      </c>
      <c r="D166" s="16" t="str">
        <f t="shared" si="52"/>
        <v>11008_3</v>
      </c>
      <c r="E166" s="22" t="str">
        <f ca="1">VLOOKUP($B166,OFFSET([2]quests!$A$1,0,0,COUNTA([2]quests!$A:$A),MATCH(E$1,[2]quests!$1:$1,0)-MATCH($B$1,[2]quests!$1:$1,0)+1),MATCH(E$1,[2]quests!$1:$1,0)-MATCH($B$1,[2]quests!$1:$1,0)+1,FALSE)</f>
        <v>【日曜限定】 青と黄の素材</v>
      </c>
      <c r="F166" s="22" t="str">
        <f ca="1">VLOOKUP($D166,OFFSET([2]stages!$A$1,0,0,COUNTA([2]stages!$A:$A),MATCH(F$1,[2]stages!$2:$2,0)-MATCH($D$1,[2]stages!$2:$2,0)+1),MATCH(F$1,[2]stages!$2:$2,0)-MATCH($D$1,[2]stages!$2:$2,0)+1,FALSE)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6" s="68">
        <v>5</v>
      </c>
      <c r="H166" s="16" t="str">
        <f t="shared" si="53"/>
        <v>11008_3-5</v>
      </c>
      <c r="I166" s="22" t="e">
        <v>#N/A</v>
      </c>
      <c r="J166" s="22" t="e">
        <v>#N/A</v>
      </c>
      <c r="K166" s="70" t="s">
        <v>172</v>
      </c>
      <c r="L166" s="70">
        <v>146</v>
      </c>
      <c r="M166" s="22" t="str">
        <f ca="1">VLOOKUP($L166,OFFSET([3]enemies!$A$1,0,0,COUNTA([3]enemies!$A:$A),MATCH(M$1,[3]enemies!$1:$1,0)-MATCH($L$1,[3]enemies!$1:$1,0)+1),MATCH(M$1,[3]enemies!$1:$1,0)-MATCH($L$1,[3]enemies!$1:$1,0)+1,FALSE)</f>
        <v>マーメイド</v>
      </c>
      <c r="N166" s="22" t="str">
        <f ca="1">VLOOKUP($L166,OFFSET([3]enemies!$A$1,0,0,COUNTA([3]enemies!$A:$A),MATCH(N$1,[3]enemies!$1:$1,0)-MATCH($L$1,[3]enemies!$1:$1,0)+1),MATCH(N$1,[3]enemies!$1:$1,0)-MATCH($L$1,[3]enemies!$1:$1,0)+1,FALSE)</f>
        <v>blue</v>
      </c>
      <c r="O166" s="22" t="str">
        <f ca="1">VLOOKUP($L166,OFFSET([4]characters!$A$1,0,0,COUNTA([4]characters!$A:$A),MATCH(O$1,[4]characters!$1:$1,0)-MATCH($L$1,[4]characters!$1:$1,0)+1),MATCH(O$1,[4]characters!$1:$1,0)-MATCH($L$1,[4]characters!$1:$1,0)+1,FALSE)</f>
        <v>PremiumW</v>
      </c>
      <c r="P166" s="22" t="str">
        <f ca="1">VLOOKUP($L166,OFFSET([3]enemies!$A$1,0,0,COUNTA([3]enemies!$A:$A),MATCH(P$1,[3]enemies!$1:$1,0)-MATCH($L$1,[3]enemies!$1:$1,0)+1),MATCH(P$1,[3]enemies!$1:$1,0)-MATCH($L$1,[3]enemies!$1:$1,0)+1,FALSE)</f>
        <v>human</v>
      </c>
      <c r="Q166" s="22">
        <f ca="1">VLOOKUP($L166,OFFSET([3]enemies!$A$1,0,0,COUNTA([3]enemies!$A:$A),MATCH(Q$1,[3]enemies!$1:$1,0)-MATCH($L$1,[3]enemies!$1:$1,0)+1),MATCH(Q$1,[3]enemies!$1:$1,0)-MATCH($L$1,[3]enemies!$1:$1,0)+1,FALSE)</f>
        <v>20</v>
      </c>
      <c r="R166" s="79">
        <v>30</v>
      </c>
      <c r="S166" s="80">
        <v>1</v>
      </c>
      <c r="T166" s="80">
        <v>1</v>
      </c>
      <c r="U166" s="79">
        <v>0</v>
      </c>
      <c r="V166" s="22" t="str">
        <f ca="1">VLOOKUP($W166,OFFSET([5]enemy_skill_sets!$B$1,0,0,COUNTA([5]enemy_skill_sets!$B:$B),MATCH(M$1,[5]enemy_skill_sets!$1:$1,0)-MATCH($W$1,[5]enemy_skill_sets!$1:$1,0)+2),MATCH(M$1,[5]enemy_skill_sets!$1:$1,0)-MATCH($W$1,[5]enemy_skill_sets!$1:$1,0)+2,FALSE)</f>
        <v>ハートパネルで回復できない</v>
      </c>
      <c r="W166" s="22">
        <f ca="1">VLOOKUP($L166,OFFSET([3]enemies!$A$1,0,0,COUNTA([3]enemies!$A:$A),MATCH(W$1,[3]enemies!$1:$1,0)-MATCH($L$1,[3]enemies!$1:$1,0)+1),MATCH(W$1,[3]enemies!$1:$1,0)-MATCH($L$1,[3]enemies!$1:$1,0)+1,FALSE)</f>
        <v>146</v>
      </c>
      <c r="X166" s="81">
        <v>0</v>
      </c>
      <c r="Y166" s="81">
        <v>100</v>
      </c>
      <c r="Z166" s="81">
        <v>0</v>
      </c>
      <c r="AA166" s="22">
        <f ca="1">VLOOKUP($L166,OFFSET([3]enemies!$A$1,0,0,COUNTA([3]enemies!$A:$A),MATCH(AA$1,[3]enemies!$1:$1,0)-MATCH($L$1,[3]enemies!$1:$1,0)+1),MATCH(AA$1,[3]enemies!$1:$1,0)-MATCH($L$1,[3]enemies!$1:$1,0)+1,FALSE)</f>
        <v>3</v>
      </c>
      <c r="AB166" s="70">
        <v>146</v>
      </c>
      <c r="AC166" s="22" t="str">
        <f ca="1">IFERROR(VLOOKUP($AB166,OFFSET([4]characters!$A$1,0,0,COUNTA([4]characters!$A:$A),MATCH(AC$1,[4]characters!$1:$1,0)-MATCH("character_id",[4]characters!$1:$1,0)+1),MATCH(AC$1,[4]characters!$1:$1,0)-MATCH("character_id",[4]characters!$1:$1,0)+1,FALSE),"")</f>
        <v>マーメイド</v>
      </c>
      <c r="AD166" s="22">
        <f ca="1">IFERROR(VLOOKUP($AB166,OFFSET([4]characters!$A$1,0,0,COUNTA([4]characters!$A:$A),MATCH(AD$1,[4]characters!$1:$1,0)-MATCH("character_id",[4]characters!$1:$1,0)+1),MATCH(AD$1,[4]characters!$1:$1,0)-MATCH("character_id",[4]characters!$1:$1,0)+1,FALSE),"")</f>
        <v>3</v>
      </c>
      <c r="AE166" s="22" t="str">
        <f ca="1">IFERROR(VLOOKUP($AB166,OFFSET([4]characters!$A$1,0,0,COUNTA([4]characters!$A:$A),MATCH(AE$1,[4]characters!$1:$1,0)-MATCH("character_id",[4]characters!$1:$1,0)+1),MATCH(AE$1,[4]characters!$1:$1,0)-MATCH("character_id",[4]characters!$1:$1,0)+1,FALSE),"")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66" s="28">
        <v>1</v>
      </c>
      <c r="AG166" s="75">
        <f t="shared" ca="1" si="51"/>
        <v>3</v>
      </c>
      <c r="AH166" s="81">
        <v>0</v>
      </c>
      <c r="AI166" s="28">
        <v>0</v>
      </c>
      <c r="AJ166" s="28">
        <v>0</v>
      </c>
      <c r="AK166" s="28">
        <v>0</v>
      </c>
      <c r="AL166" s="28">
        <v>0</v>
      </c>
      <c r="AM166" s="28">
        <v>1</v>
      </c>
      <c r="AN166" s="28">
        <v>1</v>
      </c>
    </row>
    <row r="167" spans="1:40" ht="21" customHeight="1" x14ac:dyDescent="0.15">
      <c r="A167" s="78" t="str">
        <f ca="1">B167&amp;"_"&amp;C167&amp;"-"&amp;G167&amp;"/"&amp;L167&amp;"&lt;lv"&amp;R167&amp;"&gt;s"&amp;AA167</f>
        <v>11008_3-5/154&lt;lv30&gt;s3</v>
      </c>
      <c r="B167" s="82">
        <v>11008</v>
      </c>
      <c r="C167" s="83">
        <v>3</v>
      </c>
      <c r="D167" s="16" t="str">
        <f t="shared" si="52"/>
        <v>11008_3</v>
      </c>
      <c r="E167" s="22" t="str">
        <f ca="1">VLOOKUP($B167,OFFSET([2]quests!$A$1,0,0,COUNTA([2]quests!$A:$A),MATCH(E$1,[2]quests!$1:$1,0)-MATCH($B$1,[2]quests!$1:$1,0)+1),MATCH(E$1,[2]quests!$1:$1,0)-MATCH($B$1,[2]quests!$1:$1,0)+1,FALSE)</f>
        <v>【日曜限定】 青と黄の素材</v>
      </c>
      <c r="F167" s="22" t="str">
        <f ca="1">VLOOKUP($D167,OFFSET([2]stages!$A$1,0,0,COUNTA([2]stages!$A:$A),MATCH(F$1,[2]stages!$2:$2,0)-MATCH($D$1,[2]stages!$2:$2,0)+1),MATCH(F$1,[2]stages!$2:$2,0)-MATCH($D$1,[2]stages!$2:$2,0)+1,FALSE)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7" s="68">
        <v>5</v>
      </c>
      <c r="H167" s="16" t="str">
        <f t="shared" si="53"/>
        <v>11008_3-5</v>
      </c>
      <c r="I167" s="22" t="e">
        <v>#N/A</v>
      </c>
      <c r="J167" s="22" t="e">
        <v>#N/A</v>
      </c>
      <c r="K167" s="70" t="s">
        <v>172</v>
      </c>
      <c r="L167" s="70">
        <v>154</v>
      </c>
      <c r="M167" s="22" t="str">
        <f ca="1">VLOOKUP($L167,OFFSET([3]enemies!$A$1,0,0,COUNTA([3]enemies!$A:$A),MATCH(M$1,[3]enemies!$1:$1,0)-MATCH($L$1,[3]enemies!$1:$1,0)+1),MATCH(M$1,[3]enemies!$1:$1,0)-MATCH($L$1,[3]enemies!$1:$1,0)+1,FALSE)</f>
        <v>始末屋 ハンナ</v>
      </c>
      <c r="N167" s="22" t="str">
        <f ca="1">VLOOKUP($L167,OFFSET([3]enemies!$A$1,0,0,COUNTA([3]enemies!$A:$A),MATCH(N$1,[3]enemies!$1:$1,0)-MATCH($L$1,[3]enemies!$1:$1,0)+1),MATCH(N$1,[3]enemies!$1:$1,0)-MATCH($L$1,[3]enemies!$1:$1,0)+1,FALSE)</f>
        <v>blue</v>
      </c>
      <c r="O167" s="22" t="str">
        <f ca="1">VLOOKUP($L167,OFFSET([4]characters!$A$1,0,0,COUNTA([4]characters!$A:$A),MATCH(O$1,[4]characters!$1:$1,0)-MATCH($L$1,[4]characters!$1:$1,0)+1),MATCH(O$1,[4]characters!$1:$1,0)-MATCH($L$1,[4]characters!$1:$1,0)+1,FALSE)</f>
        <v>PremiumW</v>
      </c>
      <c r="P167" s="22" t="str">
        <f ca="1">VLOOKUP($L167,OFFSET([3]enemies!$A$1,0,0,COUNTA([3]enemies!$A:$A),MATCH(P$1,[3]enemies!$1:$1,0)-MATCH($L$1,[3]enemies!$1:$1,0)+1),MATCH(P$1,[3]enemies!$1:$1,0)-MATCH($L$1,[3]enemies!$1:$1,0)+1,FALSE)</f>
        <v>human</v>
      </c>
      <c r="Q167" s="22">
        <f ca="1">VLOOKUP($L167,OFFSET([3]enemies!$A$1,0,0,COUNTA([3]enemies!$A:$A),MATCH(Q$1,[3]enemies!$1:$1,0)-MATCH($L$1,[3]enemies!$1:$1,0)+1),MATCH(Q$1,[3]enemies!$1:$1,0)-MATCH($L$1,[3]enemies!$1:$1,0)+1,FALSE)</f>
        <v>20</v>
      </c>
      <c r="R167" s="79">
        <v>30</v>
      </c>
      <c r="S167" s="80">
        <v>1</v>
      </c>
      <c r="T167" s="80">
        <v>1</v>
      </c>
      <c r="U167" s="79">
        <v>0</v>
      </c>
      <c r="V167" s="22" t="str">
        <f ca="1">VLOOKUP($W167,OFFSET([5]enemy_skill_sets!$B$1,0,0,COUNTA([5]enemy_skill_sets!$B:$B),MATCH(M$1,[5]enemy_skill_sets!$1:$1,0)-MATCH($W$1,[5]enemy_skill_sets!$1:$1,0)+2),MATCH(M$1,[5]enemy_skill_sets!$1:$1,0)-MATCH($W$1,[5]enemy_skill_sets!$1:$1,0)+2,FALSE)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67" s="22">
        <f ca="1">VLOOKUP($L167,OFFSET([3]enemies!$A$1,0,0,COUNTA([3]enemies!$A:$A),MATCH(W$1,[3]enemies!$1:$1,0)-MATCH($L$1,[3]enemies!$1:$1,0)+1),MATCH(W$1,[3]enemies!$1:$1,0)-MATCH($L$1,[3]enemies!$1:$1,0)+1,FALSE)</f>
        <v>154</v>
      </c>
      <c r="X167" s="81">
        <v>0</v>
      </c>
      <c r="Y167" s="81">
        <v>100</v>
      </c>
      <c r="Z167" s="81">
        <v>0</v>
      </c>
      <c r="AA167" s="22">
        <f ca="1">VLOOKUP($L167,OFFSET([3]enemies!$A$1,0,0,COUNTA([3]enemies!$A:$A),MATCH(AA$1,[3]enemies!$1:$1,0)-MATCH($L$1,[3]enemies!$1:$1,0)+1),MATCH(AA$1,[3]enemies!$1:$1,0)-MATCH($L$1,[3]enemies!$1:$1,0)+1,FALSE)</f>
        <v>3</v>
      </c>
      <c r="AB167" s="70">
        <v>154</v>
      </c>
      <c r="AC167" s="22" t="str">
        <f ca="1">IFERROR(VLOOKUP($AB167,OFFSET([4]characters!$A$1,0,0,COUNTA([4]characters!$A:$A),MATCH(AC$1,[4]characters!$1:$1,0)-MATCH("character_id",[4]characters!$1:$1,0)+1),MATCH(AC$1,[4]characters!$1:$1,0)-MATCH("character_id",[4]characters!$1:$1,0)+1,FALSE),"")</f>
        <v>始末屋 ハンナ</v>
      </c>
      <c r="AD167" s="22">
        <f ca="1">IFERROR(VLOOKUP($AB167,OFFSET([4]characters!$A$1,0,0,COUNTA([4]characters!$A:$A),MATCH(AD$1,[4]characters!$1:$1,0)-MATCH("character_id",[4]characters!$1:$1,0)+1),MATCH(AD$1,[4]characters!$1:$1,0)-MATCH("character_id",[4]characters!$1:$1,0)+1,FALSE),"")</f>
        <v>3</v>
      </c>
      <c r="AE167" s="22" t="str">
        <f ca="1">IFERROR(VLOOKUP($AB167,OFFSET([4]characters!$A$1,0,0,COUNTA([4]characters!$A:$A),MATCH(AE$1,[4]characters!$1:$1,0)-MATCH("character_id",[4]characters!$1:$1,0)+1),MATCH(AE$1,[4]characters!$1:$1,0)-MATCH("character_id",[4]characters!$1:$1,0)+1,FALSE),"")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67" s="28">
        <v>1</v>
      </c>
      <c r="AG167" s="75">
        <f t="shared" ca="1" si="51"/>
        <v>3</v>
      </c>
      <c r="AH167" s="81">
        <v>0</v>
      </c>
      <c r="AI167" s="28">
        <v>0</v>
      </c>
      <c r="AJ167" s="28">
        <v>0</v>
      </c>
      <c r="AK167" s="28">
        <v>0</v>
      </c>
      <c r="AL167" s="28">
        <v>0</v>
      </c>
      <c r="AM167" s="28">
        <v>1</v>
      </c>
      <c r="AN167" s="28">
        <v>1</v>
      </c>
    </row>
    <row r="168" spans="1:40" ht="21" customHeight="1" x14ac:dyDescent="0.15">
      <c r="A168" s="17" t="str">
        <f ca="1">B168&amp;"_"&amp;C168&amp;"-"&amp;G168&amp;"/"&amp;L168&amp;"&lt;lv"&amp;R168&amp;"&gt;s"&amp;AA168</f>
        <v>11008_3-1/115&lt;lv30&gt;s2</v>
      </c>
      <c r="B168" s="73">
        <v>11008</v>
      </c>
      <c r="C168" s="74">
        <v>3</v>
      </c>
      <c r="D168" s="2" t="str">
        <f>B168&amp;"_"&amp;C168</f>
        <v>11008_3</v>
      </c>
      <c r="E168" s="5" t="str">
        <f ca="1">VLOOKUP($B168,OFFSET([2]quests!$A$1,0,0,COUNTA([2]quests!$A:$A),MATCH(E$1,[2]quests!$1:$1,0)-MATCH($B$1,[2]quests!$1:$1,0)+1),MATCH(E$1,[2]quests!$1:$1,0)-MATCH($B$1,[2]quests!$1:$1,0)+1,FALSE)</f>
        <v>【日曜限定】 青と黄の素材</v>
      </c>
      <c r="F168" s="5" t="str">
        <f ca="1">VLOOKUP($D168,OFFSET([2]stages!$A$1,0,0,COUNTA([2]stages!$A:$A),MATCH(F$1,[2]stages!$2:$2,0)-MATCH($D$1,[2]stages!$2:$2,0)+1),MATCH(F$1,[2]stages!$2:$2,0)-MATCH($D$1,[2]stages!$2:$2,0)+1,FALSE)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8" s="25">
        <v>1</v>
      </c>
      <c r="H168" s="16" t="str">
        <f t="shared" si="53"/>
        <v>11008_3-1</v>
      </c>
      <c r="I168" s="5">
        <f ca="1">VLOOKUP($H168,OFFSET(floors!$A$1,0,0,COUNTA(floors!$A:$A),MATCH(I$1,floors!$1:$1,0)-MATCH($H$1,floors!$1:$1,0)+1),MATCH(I$1,floors!$1:$1,0)-MATCH($H$1,floors!$1:$1,0)+1,FALSE)</f>
        <v>30</v>
      </c>
      <c r="J168" s="5">
        <f ca="1">VLOOKUP($H168,OFFSET(floors!$A$1,0,0,COUNTA(floors!$A:$A),MATCH(J$1,floors!$1:$1,0)-MATCH($H$1,floors!$1:$1,0)+1),MATCH(J$1,floors!$1:$1,0)-MATCH($H$1,floors!$1:$1,0)+1,FALSE)</f>
        <v>45</v>
      </c>
      <c r="K168" s="24" t="s">
        <v>172</v>
      </c>
      <c r="L168" s="24">
        <v>115</v>
      </c>
      <c r="M168" s="20" t="str">
        <f ca="1">VLOOKUP($L168,OFFSET([3]enemies!$A$1,0,0,COUNTA([3]enemies!$A:$A),MATCH(M$1,[3]enemies!$1:$1,0)-MATCH($L$1,[3]enemies!$1:$1,0)+1),MATCH(M$1,[3]enemies!$1:$1,0)-MATCH($L$1,[3]enemies!$1:$1,0)+1,FALSE)</f>
        <v>イエローキャタップ</v>
      </c>
      <c r="N168" s="20" t="str">
        <f ca="1">VLOOKUP($L168,OFFSET([3]enemies!$A$1,0,0,COUNTA([3]enemies!$A:$A),MATCH(N$1,[3]enemies!$1:$1,0)-MATCH($L$1,[3]enemies!$1:$1,0)+1),MATCH(N$1,[3]enemies!$1:$1,0)-MATCH($L$1,[3]enemies!$1:$1,0)+1,FALSE)</f>
        <v>yellow</v>
      </c>
      <c r="O168" s="22" t="str">
        <f ca="1">VLOOKUP($L168,OFFSET([4]characters!$A$1,0,0,COUNTA([4]characters!$A:$A),MATCH(O$1,[4]characters!$1:$1,0)-MATCH($L$1,[4]characters!$1:$1,0)+1),MATCH(O$1,[4]characters!$1:$1,0)-MATCH($L$1,[4]characters!$1:$1,0)+1,FALSE)</f>
        <v>Material</v>
      </c>
      <c r="P168" s="20" t="str">
        <f ca="1">VLOOKUP($L168,OFFSET([3]enemies!$A$1,0,0,COUNTA([3]enemies!$A:$A),MATCH(P$1,[3]enemies!$1:$1,0)-MATCH($L$1,[3]enemies!$1:$1,0)+1),MATCH(P$1,[3]enemies!$1:$1,0)-MATCH($L$1,[3]enemies!$1:$1,0)+1,FALSE)</f>
        <v>unknown</v>
      </c>
      <c r="Q168" s="20">
        <f ca="1">VLOOKUP($L168,OFFSET([3]enemies!$A$1,0,0,COUNTA([3]enemies!$A:$A),MATCH(Q$1,[3]enemies!$1:$1,0)-MATCH($L$1,[3]enemies!$1:$1,0)+1),MATCH(Q$1,[3]enemies!$1:$1,0)-MATCH($L$1,[3]enemies!$1:$1,0)+1,FALSE)</f>
        <v>15</v>
      </c>
      <c r="R168" s="6">
        <v>30</v>
      </c>
      <c r="S168" s="30">
        <v>2</v>
      </c>
      <c r="T168" s="30">
        <v>1</v>
      </c>
      <c r="U168" s="6">
        <v>0</v>
      </c>
      <c r="V168" s="5" t="str">
        <f ca="1">VLOOKUP($W168,OFFSET([5]enemy_skill_sets!$B$1,0,0,COUNTA([5]enemy_skill_sets!$B:$B),MATCH(M$1,[5]enemy_skill_sets!$1:$1,0)-MATCH($W$1,[5]enemy_skill_sets!$1:$1,0)+2),MATCH(M$1,[5]enemy_skill_sets!$1:$1,0)-MATCH($W$1,[5]enemy_skill_sets!$1:$1,0)+2,FALSE)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8" s="5">
        <f ca="1">VLOOKUP($L168,OFFSET([3]enemies!$A$1,0,0,COUNTA([3]enemies!$A:$A),MATCH(W$1,[3]enemies!$1:$1,0)-MATCH($L$1,[3]enemies!$1:$1,0)+1),MATCH(W$1,[3]enemies!$1:$1,0)-MATCH($L$1,[3]enemies!$1:$1,0)+1,FALSE)</f>
        <v>0</v>
      </c>
      <c r="X168" s="7">
        <v>0</v>
      </c>
      <c r="Y168" s="7">
        <v>50</v>
      </c>
      <c r="Z168" s="7">
        <v>1</v>
      </c>
      <c r="AA168" s="20">
        <f ca="1">VLOOKUP($L168,OFFSET([3]enemies!$A$1,0,0,COUNTA([3]enemies!$A:$A),MATCH(AA$1,[3]enemies!$1:$1,0)-MATCH($L$1,[3]enemies!$1:$1,0)+1),MATCH(AA$1,[3]enemies!$1:$1,0)-MATCH($L$1,[3]enemies!$1:$1,0)+1,FALSE)</f>
        <v>2</v>
      </c>
      <c r="AB168" s="24">
        <v>115</v>
      </c>
      <c r="AC168" s="5" t="str">
        <f ca="1">IFERROR(VLOOKUP($AB168,OFFSET([4]characters!$A$1,0,0,COUNTA([4]characters!$A:$A),MATCH(AC$1,[4]characters!$1:$1,0)-MATCH("character_id",[4]characters!$1:$1,0)+1),MATCH(AC$1,[4]characters!$1:$1,0)-MATCH("character_id",[4]characters!$1:$1,0)+1,FALSE),"")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68" s="5">
        <f ca="1">IFERROR(VLOOKUP($AB168,OFFSET([4]characters!$A$1,0,0,COUNTA([4]characters!$A:$A),MATCH(AD$1,[4]characters!$1:$1,0)-MATCH("character_id",[4]characters!$1:$1,0)+1),MATCH(AD$1,[4]characters!$1:$1,0)-MATCH("character_id",[4]characters!$1:$1,0)+1,FALSE),"")</f>
        <v>4</v>
      </c>
      <c r="AE168" s="5" t="str">
        <f ca="1">IFERROR(VLOOKUP($AB168,OFFSET([4]characters!$A$1,0,0,COUNTA([4]characters!$A:$A),MATCH(AE$1,[4]characters!$1:$1,0)-MATCH("character_id",[4]characters!$1:$1,0)+1),MATCH(AE$1,[4]characters!$1:$1,0)-MATCH("character_id",[4]characters!$1:$1,0)+1,FALSE),"")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8" s="8">
        <v>1</v>
      </c>
      <c r="AG168" s="27">
        <f ca="1">AD168</f>
        <v>4</v>
      </c>
      <c r="AH168" s="130">
        <v>50</v>
      </c>
      <c r="AI168" s="8">
        <v>0</v>
      </c>
      <c r="AJ168" s="8">
        <v>0</v>
      </c>
      <c r="AK168" s="8">
        <v>0</v>
      </c>
      <c r="AL168" s="8">
        <v>0</v>
      </c>
      <c r="AM168" s="8">
        <v>1</v>
      </c>
      <c r="AN168" s="8">
        <v>1</v>
      </c>
    </row>
    <row r="169" spans="1:40" ht="21" customHeight="1" x14ac:dyDescent="0.15">
      <c r="A169" s="17" t="str">
        <f t="shared" ref="A169:A191" ca="1" si="54">B169&amp;"_"&amp;C169&amp;"-"&amp;G169&amp;"/"&amp;L169&amp;"&lt;lv"&amp;R169&amp;"&gt;s"&amp;AA169</f>
        <v>11008_3-1/39&lt;lv35&gt;s3</v>
      </c>
      <c r="B169" s="73">
        <v>11008</v>
      </c>
      <c r="C169" s="74">
        <v>3</v>
      </c>
      <c r="D169" s="2" t="str">
        <f t="shared" ref="D169:D190" si="55">B169&amp;"_"&amp;C169</f>
        <v>11008_3</v>
      </c>
      <c r="E169" s="5" t="str">
        <f ca="1">VLOOKUP($B169,OFFSET([2]quests!$A$1,0,0,COUNTA([2]quests!$A:$A),MATCH(E$1,[2]quests!$1:$1,0)-MATCH($B$1,[2]quests!$1:$1,0)+1),MATCH(E$1,[2]quests!$1:$1,0)-MATCH($B$1,[2]quests!$1:$1,0)+1,FALSE)</f>
        <v>【日曜限定】 青と黄の素材</v>
      </c>
      <c r="F169" s="5" t="str">
        <f ca="1">VLOOKUP($D169,OFFSET([2]stages!$A$1,0,0,COUNTA([2]stages!$A:$A),MATCH(F$1,[2]stages!$2:$2,0)-MATCH($D$1,[2]stages!$2:$2,0)+1),MATCH(F$1,[2]stages!$2:$2,0)-MATCH($D$1,[2]stages!$2:$2,0)+1,FALSE)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69" s="25">
        <v>1</v>
      </c>
      <c r="H169" s="16" t="str">
        <f t="shared" si="53"/>
        <v>11008_3-1</v>
      </c>
      <c r="I169" s="5">
        <f ca="1">VLOOKUP($H169,OFFSET(floors!$A$1,0,0,COUNTA(floors!$A:$A),MATCH(I$1,floors!$1:$1,0)-MATCH($H$1,floors!$1:$1,0)+1),MATCH(I$1,floors!$1:$1,0)-MATCH($H$1,floors!$1:$1,0)+1,FALSE)</f>
        <v>30</v>
      </c>
      <c r="J169" s="5">
        <f ca="1">VLOOKUP($H169,OFFSET(floors!$A$1,0,0,COUNTA(floors!$A:$A),MATCH(J$1,floors!$1:$1,0)-MATCH($H$1,floors!$1:$1,0)+1),MATCH(J$1,floors!$1:$1,0)-MATCH($H$1,floors!$1:$1,0)+1,FALSE)</f>
        <v>45</v>
      </c>
      <c r="K169" s="24" t="s">
        <v>172</v>
      </c>
      <c r="L169" s="24">
        <v>39</v>
      </c>
      <c r="M169" s="20" t="str">
        <f ca="1">VLOOKUP($L169,OFFSET([3]enemies!$A$1,0,0,COUNTA([3]enemies!$A:$A),MATCH(M$1,[3]enemies!$1:$1,0)-MATCH($L$1,[3]enemies!$1:$1,0)+1),MATCH(M$1,[3]enemies!$1:$1,0)-MATCH($L$1,[3]enemies!$1:$1,0)+1,FALSE)</f>
        <v>マーロン</v>
      </c>
      <c r="N169" s="20" t="str">
        <f ca="1">VLOOKUP($L169,OFFSET([3]enemies!$A$1,0,0,COUNTA([3]enemies!$A:$A),MATCH(N$1,[3]enemies!$1:$1,0)-MATCH($L$1,[3]enemies!$1:$1,0)+1),MATCH(N$1,[3]enemies!$1:$1,0)-MATCH($L$1,[3]enemies!$1:$1,0)+1,FALSE)</f>
        <v>yellow</v>
      </c>
      <c r="O169" s="22" t="str">
        <f ca="1">VLOOKUP($L169,OFFSET([4]characters!$A$1,0,0,COUNTA([4]characters!$A:$A),MATCH(O$1,[4]characters!$1:$1,0)-MATCH($L$1,[4]characters!$1:$1,0)+1),MATCH(O$1,[4]characters!$1:$1,0)-MATCH($L$1,[4]characters!$1:$1,0)+1,FALSE)</f>
        <v>Drop1S</v>
      </c>
      <c r="P169" s="20" t="str">
        <f ca="1">VLOOKUP($L169,OFFSET([3]enemies!$A$1,0,0,COUNTA([3]enemies!$A:$A),MATCH(P$1,[3]enemies!$1:$1,0)-MATCH($L$1,[3]enemies!$1:$1,0)+1),MATCH(P$1,[3]enemies!$1:$1,0)-MATCH($L$1,[3]enemies!$1:$1,0)+1,FALSE)</f>
        <v>human</v>
      </c>
      <c r="Q169" s="20">
        <f ca="1">VLOOKUP($L169,OFFSET([3]enemies!$A$1,0,0,COUNTA([3]enemies!$A:$A),MATCH(Q$1,[3]enemies!$1:$1,0)-MATCH($L$1,[3]enemies!$1:$1,0)+1),MATCH(Q$1,[3]enemies!$1:$1,0)-MATCH($L$1,[3]enemies!$1:$1,0)+1,FALSE)</f>
        <v>15</v>
      </c>
      <c r="R169" s="6">
        <v>35</v>
      </c>
      <c r="S169" s="30">
        <v>1</v>
      </c>
      <c r="T169" s="30">
        <v>1</v>
      </c>
      <c r="U169" s="6">
        <v>0</v>
      </c>
      <c r="V169" s="5" t="str">
        <f ca="1">VLOOKUP($W169,OFFSET([5]enemy_skill_sets!$B$1,0,0,COUNTA([5]enemy_skill_sets!$B:$B),MATCH(M$1,[5]enemy_skill_sets!$1:$1,0)-MATCH($W$1,[5]enemy_skill_sets!$1:$1,0)+2),MATCH(M$1,[5]enemy_skill_sets!$1:$1,0)-MATCH($W$1,[5]enemy_skill_sets!$1:$1,0)+2,FALSE)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69" s="5">
        <f ca="1">VLOOKUP($L169,OFFSET([3]enemies!$A$1,0,0,COUNTA([3]enemies!$A:$A),MATCH(W$1,[3]enemies!$1:$1,0)-MATCH($L$1,[3]enemies!$1:$1,0)+1),MATCH(W$1,[3]enemies!$1:$1,0)-MATCH($L$1,[3]enemies!$1:$1,0)+1,FALSE)</f>
        <v>39</v>
      </c>
      <c r="X169" s="7">
        <v>0</v>
      </c>
      <c r="Y169" s="7">
        <v>100</v>
      </c>
      <c r="Z169" s="7">
        <v>0</v>
      </c>
      <c r="AA169" s="20">
        <f ca="1">VLOOKUP($L169,OFFSET([3]enemies!$A$1,0,0,COUNTA([3]enemies!$A:$A),MATCH(AA$1,[3]enemies!$1:$1,0)-MATCH($L$1,[3]enemies!$1:$1,0)+1),MATCH(AA$1,[3]enemies!$1:$1,0)-MATCH($L$1,[3]enemies!$1:$1,0)+1,FALSE)</f>
        <v>3</v>
      </c>
      <c r="AB169" s="24">
        <v>39</v>
      </c>
      <c r="AC169" s="5" t="str">
        <f ca="1">IFERROR(VLOOKUP($AB169,OFFSET([4]characters!$A$1,0,0,COUNTA([4]characters!$A:$A),MATCH(AC$1,[4]characters!$1:$1,0)-MATCH("character_id",[4]characters!$1:$1,0)+1),MATCH(AC$1,[4]characters!$1:$1,0)-MATCH("character_id",[4]characters!$1:$1,0)+1,FALSE),"")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69" s="5">
        <f ca="1">IFERROR(VLOOKUP($AB169,OFFSET([4]characters!$A$1,0,0,COUNTA([4]characters!$A:$A),MATCH(AD$1,[4]characters!$1:$1,0)-MATCH("character_id",[4]characters!$1:$1,0)+1),MATCH(AD$1,[4]characters!$1:$1,0)-MATCH("character_id",[4]characters!$1:$1,0)+1,FALSE),"")</f>
        <v>2</v>
      </c>
      <c r="AE169" s="5" t="str">
        <f ca="1">IFERROR(VLOOKUP($AB169,OFFSET([4]characters!$A$1,0,0,COUNTA([4]characters!$A:$A),MATCH(AE$1,[4]characters!$1:$1,0)-MATCH("character_id",[4]characters!$1:$1,0)+1),MATCH(AE$1,[4]characters!$1:$1,0)-MATCH("character_id",[4]characters!$1:$1,0)+1,FALSE),"")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69" s="8">
        <v>1</v>
      </c>
      <c r="AG169" s="27">
        <f t="shared" ref="AG169:AG190" ca="1" si="56">AD169</f>
        <v>2</v>
      </c>
      <c r="AH169" s="9">
        <v>0</v>
      </c>
      <c r="AI169" s="8">
        <v>0</v>
      </c>
      <c r="AJ169" s="8">
        <v>0</v>
      </c>
      <c r="AK169" s="8">
        <v>0</v>
      </c>
      <c r="AL169" s="8">
        <v>0</v>
      </c>
      <c r="AM169" s="8">
        <v>1</v>
      </c>
      <c r="AN169" s="8">
        <v>1</v>
      </c>
    </row>
    <row r="170" spans="1:40" ht="21" customHeight="1" x14ac:dyDescent="0.15">
      <c r="A170" s="17" t="str">
        <f t="shared" ca="1" si="54"/>
        <v>11008_3-1/31&lt;lv35&gt;s2</v>
      </c>
      <c r="B170" s="73">
        <v>11008</v>
      </c>
      <c r="C170" s="74">
        <v>3</v>
      </c>
      <c r="D170" s="2" t="str">
        <f t="shared" si="55"/>
        <v>11008_3</v>
      </c>
      <c r="E170" s="5" t="str">
        <f ca="1">VLOOKUP($B170,OFFSET([2]quests!$A$1,0,0,COUNTA([2]quests!$A:$A),MATCH(E$1,[2]quests!$1:$1,0)-MATCH($B$1,[2]quests!$1:$1,0)+1),MATCH(E$1,[2]quests!$1:$1,0)-MATCH($B$1,[2]quests!$1:$1,0)+1,FALSE)</f>
        <v>【日曜限定】 青と黄の素材</v>
      </c>
      <c r="F170" s="5" t="str">
        <f ca="1">VLOOKUP($D170,OFFSET([2]stages!$A$1,0,0,COUNTA([2]stages!$A:$A),MATCH(F$1,[2]stages!$2:$2,0)-MATCH($D$1,[2]stages!$2:$2,0)+1),MATCH(F$1,[2]stages!$2:$2,0)-MATCH($D$1,[2]stages!$2:$2,0)+1,FALSE)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0" s="25">
        <v>1</v>
      </c>
      <c r="H170" s="16" t="str">
        <f t="shared" si="53"/>
        <v>11008_3-1</v>
      </c>
      <c r="I170" s="5">
        <f ca="1">VLOOKUP($H170,OFFSET(floors!$A$1,0,0,COUNTA(floors!$A:$A),MATCH(I$1,floors!$1:$1,0)-MATCH($H$1,floors!$1:$1,0)+1),MATCH(I$1,floors!$1:$1,0)-MATCH($H$1,floors!$1:$1,0)+1,FALSE)</f>
        <v>30</v>
      </c>
      <c r="J170" s="5">
        <f ca="1">VLOOKUP($H170,OFFSET(floors!$A$1,0,0,COUNTA(floors!$A:$A),MATCH(J$1,floors!$1:$1,0)-MATCH($H$1,floors!$1:$1,0)+1),MATCH(J$1,floors!$1:$1,0)-MATCH($H$1,floors!$1:$1,0)+1,FALSE)</f>
        <v>45</v>
      </c>
      <c r="K170" s="24" t="s">
        <v>172</v>
      </c>
      <c r="L170" s="24">
        <v>31</v>
      </c>
      <c r="M170" s="20" t="str">
        <f ca="1">VLOOKUP($L170,OFFSET([3]enemies!$A$1,0,0,COUNTA([3]enemies!$A:$A),MATCH(M$1,[3]enemies!$1:$1,0)-MATCH($L$1,[3]enemies!$1:$1,0)+1),MATCH(M$1,[3]enemies!$1:$1,0)-MATCH($L$1,[3]enemies!$1:$1,0)+1,FALSE)</f>
        <v>マービー</v>
      </c>
      <c r="N170" s="20" t="str">
        <f ca="1">VLOOKUP($L170,OFFSET([3]enemies!$A$1,0,0,COUNTA([3]enemies!$A:$A),MATCH(N$1,[3]enemies!$1:$1,0)-MATCH($L$1,[3]enemies!$1:$1,0)+1),MATCH(N$1,[3]enemies!$1:$1,0)-MATCH($L$1,[3]enemies!$1:$1,0)+1,FALSE)</f>
        <v>yellow</v>
      </c>
      <c r="O170" s="22" t="str">
        <f ca="1">VLOOKUP($L170,OFFSET([4]characters!$A$1,0,0,COUNTA([4]characters!$A:$A),MATCH(O$1,[4]characters!$1:$1,0)-MATCH($L$1,[4]characters!$1:$1,0)+1),MATCH(O$1,[4]characters!$1:$1,0)-MATCH($L$1,[4]characters!$1:$1,0)+1,FALSE)</f>
        <v>Drop1N</v>
      </c>
      <c r="P170" s="20" t="str">
        <f ca="1">VLOOKUP($L170,OFFSET([3]enemies!$A$1,0,0,COUNTA([3]enemies!$A:$A),MATCH(P$1,[3]enemies!$1:$1,0)-MATCH($L$1,[3]enemies!$1:$1,0)+1),MATCH(P$1,[3]enemies!$1:$1,0)-MATCH($L$1,[3]enemies!$1:$1,0)+1,FALSE)</f>
        <v>machine</v>
      </c>
      <c r="Q170" s="20">
        <f ca="1">VLOOKUP($L170,OFFSET([3]enemies!$A$1,0,0,COUNTA([3]enemies!$A:$A),MATCH(Q$1,[3]enemies!$1:$1,0)-MATCH($L$1,[3]enemies!$1:$1,0)+1),MATCH(Q$1,[3]enemies!$1:$1,0)-MATCH($L$1,[3]enemies!$1:$1,0)+1,FALSE)</f>
        <v>15</v>
      </c>
      <c r="R170" s="6">
        <v>35</v>
      </c>
      <c r="S170" s="30">
        <v>1</v>
      </c>
      <c r="T170" s="30">
        <v>1</v>
      </c>
      <c r="U170" s="6">
        <v>0</v>
      </c>
      <c r="V170" s="5" t="str">
        <f ca="1">VLOOKUP($W170,OFFSET([5]enemy_skill_sets!$B$1,0,0,COUNTA([5]enemy_skill_sets!$B:$B),MATCH(M$1,[5]enemy_skill_sets!$1:$1,0)-MATCH($W$1,[5]enemy_skill_sets!$1:$1,0)+2),MATCH(M$1,[5]enemy_skill_sets!$1:$1,0)-MATCH($W$1,[5]enemy_skill_sets!$1:$1,0)+2,FALSE)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0" s="5">
        <f ca="1">VLOOKUP($L170,OFFSET([3]enemies!$A$1,0,0,COUNTA([3]enemies!$A:$A),MATCH(W$1,[3]enemies!$1:$1,0)-MATCH($L$1,[3]enemies!$1:$1,0)+1),MATCH(W$1,[3]enemies!$1:$1,0)-MATCH($L$1,[3]enemies!$1:$1,0)+1,FALSE)</f>
        <v>0</v>
      </c>
      <c r="X170" s="7">
        <v>0</v>
      </c>
      <c r="Y170" s="7">
        <v>100</v>
      </c>
      <c r="Z170" s="7">
        <v>0</v>
      </c>
      <c r="AA170" s="20">
        <f ca="1">VLOOKUP($L170,OFFSET([3]enemies!$A$1,0,0,COUNTA([3]enemies!$A:$A),MATCH(AA$1,[3]enemies!$1:$1,0)-MATCH($L$1,[3]enemies!$1:$1,0)+1),MATCH(AA$1,[3]enemies!$1:$1,0)-MATCH($L$1,[3]enemies!$1:$1,0)+1,FALSE)</f>
        <v>2</v>
      </c>
      <c r="AB170" s="24">
        <v>31</v>
      </c>
      <c r="AC170" s="5" t="str">
        <f ca="1">IFERROR(VLOOKUP($AB170,OFFSET([4]characters!$A$1,0,0,COUNTA([4]characters!$A:$A),MATCH(AC$1,[4]characters!$1:$1,0)-MATCH("character_id",[4]characters!$1:$1,0)+1),MATCH(AC$1,[4]characters!$1:$1,0)-MATCH("character_id",[4]characters!$1:$1,0)+1,FALSE),"")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70" s="5">
        <f ca="1">IFERROR(VLOOKUP($AB170,OFFSET([4]characters!$A$1,0,0,COUNTA([4]characters!$A:$A),MATCH(AD$1,[4]characters!$1:$1,0)-MATCH("character_id",[4]characters!$1:$1,0)+1),MATCH(AD$1,[4]characters!$1:$1,0)-MATCH("character_id",[4]characters!$1:$1,0)+1,FALSE),"")</f>
        <v>1</v>
      </c>
      <c r="AE170" s="5" t="str">
        <f ca="1">IFERROR(VLOOKUP($AB170,OFFSET([4]characters!$A$1,0,0,COUNTA([4]characters!$A:$A),MATCH(AE$1,[4]characters!$1:$1,0)-MATCH("character_id",[4]characters!$1:$1,0)+1),MATCH(AE$1,[4]characters!$1:$1,0)-MATCH("character_id",[4]characters!$1:$1,0)+1,FALSE),"")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70" s="8">
        <v>1</v>
      </c>
      <c r="AG170" s="27">
        <f t="shared" ca="1" si="56"/>
        <v>1</v>
      </c>
      <c r="AH170" s="9">
        <v>0</v>
      </c>
      <c r="AI170" s="8">
        <v>0</v>
      </c>
      <c r="AJ170" s="8">
        <v>0</v>
      </c>
      <c r="AK170" s="8">
        <v>0</v>
      </c>
      <c r="AL170" s="8">
        <v>0</v>
      </c>
      <c r="AM170" s="8">
        <v>1</v>
      </c>
      <c r="AN170" s="8">
        <v>1</v>
      </c>
    </row>
    <row r="171" spans="1:40" ht="21" customHeight="1" x14ac:dyDescent="0.15">
      <c r="A171" s="17" t="str">
        <f t="shared" ca="1" si="54"/>
        <v>11008_3-1/344&lt;lv1&gt;s1</v>
      </c>
      <c r="B171" s="73">
        <v>11008</v>
      </c>
      <c r="C171" s="74">
        <v>3</v>
      </c>
      <c r="D171" s="2" t="str">
        <f t="shared" si="55"/>
        <v>11008_3</v>
      </c>
      <c r="E171" s="5" t="str">
        <f ca="1">VLOOKUP($B171,OFFSET([2]quests!$A$1,0,0,COUNTA([2]quests!$A:$A),MATCH(E$1,[2]quests!$1:$1,0)-MATCH($B$1,[2]quests!$1:$1,0)+1),MATCH(E$1,[2]quests!$1:$1,0)-MATCH($B$1,[2]quests!$1:$1,0)+1,FALSE)</f>
        <v>【日曜限定】 青と黄の素材</v>
      </c>
      <c r="F171" s="5" t="str">
        <f ca="1">VLOOKUP($D171,OFFSET([2]stages!$A$1,0,0,COUNTA([2]stages!$A:$A),MATCH(F$1,[2]stages!$2:$2,0)-MATCH($D$1,[2]stages!$2:$2,0)+1),MATCH(F$1,[2]stages!$2:$2,0)-MATCH($D$1,[2]stages!$2:$2,0)+1,FALSE)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1" s="25">
        <v>1</v>
      </c>
      <c r="H171" s="16" t="str">
        <f t="shared" si="53"/>
        <v>11008_3-1</v>
      </c>
      <c r="I171" s="5">
        <f ca="1">VLOOKUP($H171,OFFSET(floors!$A$1,0,0,COUNTA(floors!$A:$A),MATCH(I$1,floors!$1:$1,0)-MATCH($H$1,floors!$1:$1,0)+1),MATCH(I$1,floors!$1:$1,0)-MATCH($H$1,floors!$1:$1,0)+1,FALSE)</f>
        <v>30</v>
      </c>
      <c r="J171" s="5">
        <f ca="1">VLOOKUP($H171,OFFSET(floors!$A$1,0,0,COUNTA(floors!$A:$A),MATCH(J$1,floors!$1:$1,0)-MATCH($H$1,floors!$1:$1,0)+1),MATCH(J$1,floors!$1:$1,0)-MATCH($H$1,floors!$1:$1,0)+1,FALSE)</f>
        <v>45</v>
      </c>
      <c r="K171" s="24" t="s">
        <v>172</v>
      </c>
      <c r="L171" s="24">
        <v>344</v>
      </c>
      <c r="M171" s="20" t="str">
        <f ca="1">VLOOKUP($L171,OFFSET([3]enemies!$A$1,0,0,COUNTA([3]enemies!$A:$A),MATCH(M$1,[3]enemies!$1:$1,0)-MATCH($L$1,[3]enemies!$1:$1,0)+1),MATCH(M$1,[3]enemies!$1:$1,0)-MATCH($L$1,[3]enemies!$1:$1,0)+1,FALSE)</f>
        <v>雷のメタルピヨピヨ</v>
      </c>
      <c r="N171" s="20" t="str">
        <f ca="1">VLOOKUP($L171,OFFSET([3]enemies!$A$1,0,0,COUNTA([3]enemies!$A:$A),MATCH(N$1,[3]enemies!$1:$1,0)-MATCH($L$1,[3]enemies!$1:$1,0)+1),MATCH(N$1,[3]enemies!$1:$1,0)-MATCH($L$1,[3]enemies!$1:$1,0)+1,FALSE)</f>
        <v>yellow</v>
      </c>
      <c r="O171" s="22" t="str">
        <f ca="1">VLOOKUP($L171,OFFSET([4]characters!$A$1,0,0,COUNTA([4]characters!$A:$A),MATCH(O$1,[4]characters!$1:$1,0)-MATCH($L$1,[4]characters!$1:$1,0)+1),MATCH(O$1,[4]characters!$1:$1,0)-MATCH($L$1,[4]characters!$1:$1,0)+1,FALSE)</f>
        <v>Material</v>
      </c>
      <c r="P171" s="20" t="str">
        <f ca="1">VLOOKUP($L171,OFFSET([3]enemies!$A$1,0,0,COUNTA([3]enemies!$A:$A),MATCH(P$1,[3]enemies!$1:$1,0)-MATCH($L$1,[3]enemies!$1:$1,0)+1),MATCH(P$1,[3]enemies!$1:$1,0)-MATCH($L$1,[3]enemies!$1:$1,0)+1,FALSE)</f>
        <v>unknown</v>
      </c>
      <c r="Q171" s="20">
        <f ca="1">VLOOKUP($L171,OFFSET([3]enemies!$A$1,0,0,COUNTA([3]enemies!$A:$A),MATCH(Q$1,[3]enemies!$1:$1,0)-MATCH($L$1,[3]enemies!$1:$1,0)+1),MATCH(Q$1,[3]enemies!$1:$1,0)-MATCH($L$1,[3]enemies!$1:$1,0)+1,FALSE)</f>
        <v>15</v>
      </c>
      <c r="R171" s="6">
        <v>1</v>
      </c>
      <c r="S171" s="30">
        <v>1</v>
      </c>
      <c r="T171" s="30">
        <v>1</v>
      </c>
      <c r="U171" s="6">
        <v>0</v>
      </c>
      <c r="V171" s="5" t="str">
        <f ca="1">VLOOKUP($W171,OFFSET([5]enemy_skill_sets!$B$1,0,0,COUNTA([5]enemy_skill_sets!$B:$B),MATCH(M$1,[5]enemy_skill_sets!$1:$1,0)-MATCH($W$1,[5]enemy_skill_sets!$1:$1,0)+2),MATCH(M$1,[5]enemy_skill_sets!$1:$1,0)-MATCH($W$1,[5]enemy_skill_sets!$1:$1,0)+2,FALSE)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1" s="5">
        <f ca="1">VLOOKUP($L171,OFFSET([3]enemies!$A$1,0,0,COUNTA([3]enemies!$A:$A),MATCH(W$1,[3]enemies!$1:$1,0)-MATCH($L$1,[3]enemies!$1:$1,0)+1),MATCH(W$1,[3]enemies!$1:$1,0)-MATCH($L$1,[3]enemies!$1:$1,0)+1,FALSE)</f>
        <v>0</v>
      </c>
      <c r="X171" s="7">
        <v>0</v>
      </c>
      <c r="Y171" s="7">
        <v>30</v>
      </c>
      <c r="Z171" s="7">
        <v>0</v>
      </c>
      <c r="AA171" s="20">
        <f ca="1">VLOOKUP($L171,OFFSET([3]enemies!$A$1,0,0,COUNTA([3]enemies!$A:$A),MATCH(AA$1,[3]enemies!$1:$1,0)-MATCH($L$1,[3]enemies!$1:$1,0)+1),MATCH(AA$1,[3]enemies!$1:$1,0)-MATCH($L$1,[3]enemies!$1:$1,0)+1,FALSE)</f>
        <v>1</v>
      </c>
      <c r="AB171" s="24">
        <v>344</v>
      </c>
      <c r="AC171" s="5" t="str">
        <f ca="1">IFERROR(VLOOKUP($AB171,OFFSET([4]characters!$A$1,0,0,COUNTA([4]characters!$A:$A),MATCH(AC$1,[4]characters!$1:$1,0)-MATCH("character_id",[4]characters!$1:$1,0)+1),MATCH(AC$1,[4]characters!$1:$1,0)-MATCH("character_id",[4]characters!$1:$1,0)+1,FALSE),"")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71" s="5">
        <f ca="1">IFERROR(VLOOKUP($AB171,OFFSET([4]characters!$A$1,0,0,COUNTA([4]characters!$A:$A),MATCH(AD$1,[4]characters!$1:$1,0)-MATCH("character_id",[4]characters!$1:$1,0)+1),MATCH(AD$1,[4]characters!$1:$1,0)-MATCH("character_id",[4]characters!$1:$1,0)+1,FALSE),"")</f>
        <v>3</v>
      </c>
      <c r="AE171" s="5" t="str">
        <f ca="1">IFERROR(VLOOKUP($AB171,OFFSET([4]characters!$A$1,0,0,COUNTA([4]characters!$A:$A),MATCH(AE$1,[4]characters!$1:$1,0)-MATCH("character_id",[4]characters!$1:$1,0)+1),MATCH(AE$1,[4]characters!$1:$1,0)-MATCH("character_id",[4]characters!$1:$1,0)+1,FALSE),"")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1" s="8">
        <v>1</v>
      </c>
      <c r="AG171" s="27">
        <f t="shared" ca="1" si="56"/>
        <v>3</v>
      </c>
      <c r="AH171" s="9">
        <v>10</v>
      </c>
      <c r="AI171" s="8">
        <v>0</v>
      </c>
      <c r="AJ171" s="8">
        <v>0</v>
      </c>
      <c r="AK171" s="8">
        <v>0</v>
      </c>
      <c r="AL171" s="8">
        <v>0</v>
      </c>
      <c r="AM171" s="8">
        <v>1</v>
      </c>
      <c r="AN171" s="8">
        <v>1</v>
      </c>
    </row>
    <row r="172" spans="1:40" ht="21" customHeight="1" x14ac:dyDescent="0.15">
      <c r="A172" s="17" t="str">
        <f t="shared" ca="1" si="54"/>
        <v>11008_3-1/345&lt;lv1&gt;s2</v>
      </c>
      <c r="B172" s="73">
        <v>11008</v>
      </c>
      <c r="C172" s="74">
        <v>3</v>
      </c>
      <c r="D172" s="2" t="str">
        <f t="shared" si="55"/>
        <v>11008_3</v>
      </c>
      <c r="E172" s="5" t="str">
        <f ca="1">VLOOKUP($B172,OFFSET([2]quests!$A$1,0,0,COUNTA([2]quests!$A:$A),MATCH(E$1,[2]quests!$1:$1,0)-MATCH($B$1,[2]quests!$1:$1,0)+1),MATCH(E$1,[2]quests!$1:$1,0)-MATCH($B$1,[2]quests!$1:$1,0)+1,FALSE)</f>
        <v>【日曜限定】 青と黄の素材</v>
      </c>
      <c r="F172" s="5" t="str">
        <f ca="1">VLOOKUP($D172,OFFSET([2]stages!$A$1,0,0,COUNTA([2]stages!$A:$A),MATCH(F$1,[2]stages!$2:$2,0)-MATCH($D$1,[2]stages!$2:$2,0)+1),MATCH(F$1,[2]stages!$2:$2,0)-MATCH($D$1,[2]stages!$2:$2,0)+1,FALSE)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2" s="25">
        <v>1</v>
      </c>
      <c r="H172" s="16" t="str">
        <f t="shared" si="53"/>
        <v>11008_3-1</v>
      </c>
      <c r="I172" s="5">
        <f ca="1">VLOOKUP($H172,OFFSET(floors!$A$1,0,0,COUNTA(floors!$A:$A),MATCH(I$1,floors!$1:$1,0)-MATCH($H$1,floors!$1:$1,0)+1),MATCH(I$1,floors!$1:$1,0)-MATCH($H$1,floors!$1:$1,0)+1,FALSE)</f>
        <v>30</v>
      </c>
      <c r="J172" s="5">
        <f ca="1">VLOOKUP($H172,OFFSET(floors!$A$1,0,0,COUNTA(floors!$A:$A),MATCH(J$1,floors!$1:$1,0)-MATCH($H$1,floors!$1:$1,0)+1),MATCH(J$1,floors!$1:$1,0)-MATCH($H$1,floors!$1:$1,0)+1,FALSE)</f>
        <v>45</v>
      </c>
      <c r="K172" s="24" t="s">
        <v>172</v>
      </c>
      <c r="L172" s="24">
        <v>345</v>
      </c>
      <c r="M172" s="20" t="str">
        <f ca="1">VLOOKUP($L172,OFFSET([3]enemies!$A$1,0,0,COUNTA([3]enemies!$A:$A),MATCH(M$1,[3]enemies!$1:$1,0)-MATCH($L$1,[3]enemies!$1:$1,0)+1),MATCH(M$1,[3]enemies!$1:$1,0)-MATCH($L$1,[3]enemies!$1:$1,0)+1,FALSE)</f>
        <v>雷のメタルチック</v>
      </c>
      <c r="N172" s="20" t="str">
        <f ca="1">VLOOKUP($L172,OFFSET([3]enemies!$A$1,0,0,COUNTA([3]enemies!$A:$A),MATCH(N$1,[3]enemies!$1:$1,0)-MATCH($L$1,[3]enemies!$1:$1,0)+1),MATCH(N$1,[3]enemies!$1:$1,0)-MATCH($L$1,[3]enemies!$1:$1,0)+1,FALSE)</f>
        <v>yellow</v>
      </c>
      <c r="O172" s="22" t="str">
        <f ca="1">VLOOKUP($L172,OFFSET([4]characters!$A$1,0,0,COUNTA([4]characters!$A:$A),MATCH(O$1,[4]characters!$1:$1,0)-MATCH($L$1,[4]characters!$1:$1,0)+1),MATCH(O$1,[4]characters!$1:$1,0)-MATCH($L$1,[4]characters!$1:$1,0)+1,FALSE)</f>
        <v>Material</v>
      </c>
      <c r="P172" s="20" t="str">
        <f ca="1">VLOOKUP($L172,OFFSET([3]enemies!$A$1,0,0,COUNTA([3]enemies!$A:$A),MATCH(P$1,[3]enemies!$1:$1,0)-MATCH($L$1,[3]enemies!$1:$1,0)+1),MATCH(P$1,[3]enemies!$1:$1,0)-MATCH($L$1,[3]enemies!$1:$1,0)+1,FALSE)</f>
        <v>unknown</v>
      </c>
      <c r="Q172" s="20">
        <f ca="1">VLOOKUP($L172,OFFSET([3]enemies!$A$1,0,0,COUNTA([3]enemies!$A:$A),MATCH(Q$1,[3]enemies!$1:$1,0)-MATCH($L$1,[3]enemies!$1:$1,0)+1),MATCH(Q$1,[3]enemies!$1:$1,0)-MATCH($L$1,[3]enemies!$1:$1,0)+1,FALSE)</f>
        <v>15</v>
      </c>
      <c r="R172" s="6">
        <v>1</v>
      </c>
      <c r="S172" s="30">
        <v>1</v>
      </c>
      <c r="T172" s="30">
        <v>1</v>
      </c>
      <c r="U172" s="6">
        <v>0</v>
      </c>
      <c r="V172" s="5" t="str">
        <f ca="1">VLOOKUP($W172,OFFSET([5]enemy_skill_sets!$B$1,0,0,COUNTA([5]enemy_skill_sets!$B:$B),MATCH(M$1,[5]enemy_skill_sets!$1:$1,0)-MATCH($W$1,[5]enemy_skill_sets!$1:$1,0)+2),MATCH(M$1,[5]enemy_skill_sets!$1:$1,0)-MATCH($W$1,[5]enemy_skill_sets!$1:$1,0)+2,FALSE)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2" s="5">
        <f ca="1">VLOOKUP($L172,OFFSET([3]enemies!$A$1,0,0,COUNTA([3]enemies!$A:$A),MATCH(W$1,[3]enemies!$1:$1,0)-MATCH($L$1,[3]enemies!$1:$1,0)+1),MATCH(W$1,[3]enemies!$1:$1,0)-MATCH($L$1,[3]enemies!$1:$1,0)+1,FALSE)</f>
        <v>0</v>
      </c>
      <c r="X172" s="7">
        <v>0</v>
      </c>
      <c r="Y172" s="7">
        <v>30</v>
      </c>
      <c r="Z172" s="7">
        <v>0</v>
      </c>
      <c r="AA172" s="20">
        <f ca="1">VLOOKUP($L172,OFFSET([3]enemies!$A$1,0,0,COUNTA([3]enemies!$A:$A),MATCH(AA$1,[3]enemies!$1:$1,0)-MATCH($L$1,[3]enemies!$1:$1,0)+1),MATCH(AA$1,[3]enemies!$1:$1,0)-MATCH($L$1,[3]enemies!$1:$1,0)+1,FALSE)</f>
        <v>2</v>
      </c>
      <c r="AB172" s="24">
        <v>345</v>
      </c>
      <c r="AC172" s="5" t="str">
        <f ca="1">IFERROR(VLOOKUP($AB172,OFFSET([4]characters!$A$1,0,0,COUNTA([4]characters!$A:$A),MATCH(AC$1,[4]characters!$1:$1,0)-MATCH("character_id",[4]characters!$1:$1,0)+1),MATCH(AC$1,[4]characters!$1:$1,0)-MATCH("character_id",[4]characters!$1:$1,0)+1,FALSE),"")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72" s="5">
        <f ca="1">IFERROR(VLOOKUP($AB172,OFFSET([4]characters!$A$1,0,0,COUNTA([4]characters!$A:$A),MATCH(AD$1,[4]characters!$1:$1,0)-MATCH("character_id",[4]characters!$1:$1,0)+1),MATCH(AD$1,[4]characters!$1:$1,0)-MATCH("character_id",[4]characters!$1:$1,0)+1,FALSE),"")</f>
        <v>4</v>
      </c>
      <c r="AE172" s="5" t="str">
        <f ca="1">IFERROR(VLOOKUP($AB172,OFFSET([4]characters!$A$1,0,0,COUNTA([4]characters!$A:$A),MATCH(AE$1,[4]characters!$1:$1,0)-MATCH("character_id",[4]characters!$1:$1,0)+1),MATCH(AE$1,[4]characters!$1:$1,0)-MATCH("character_id",[4]characters!$1:$1,0)+1,FALSE),"")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2" s="8">
        <v>1</v>
      </c>
      <c r="AG172" s="27">
        <f t="shared" ca="1" si="56"/>
        <v>4</v>
      </c>
      <c r="AH172" s="9">
        <v>5</v>
      </c>
      <c r="AI172" s="8">
        <v>0</v>
      </c>
      <c r="AJ172" s="8">
        <v>0</v>
      </c>
      <c r="AK172" s="8">
        <v>0</v>
      </c>
      <c r="AL172" s="8">
        <v>0</v>
      </c>
      <c r="AM172" s="8">
        <v>1</v>
      </c>
      <c r="AN172" s="8">
        <v>1</v>
      </c>
    </row>
    <row r="173" spans="1:40" ht="21" customHeight="1" x14ac:dyDescent="0.15">
      <c r="A173" s="17" t="str">
        <f t="shared" ca="1" si="54"/>
        <v>11008_3-2/115&lt;lv30&gt;s2</v>
      </c>
      <c r="B173" s="73">
        <v>11008</v>
      </c>
      <c r="C173" s="74">
        <v>3</v>
      </c>
      <c r="D173" s="2" t="str">
        <f t="shared" si="55"/>
        <v>11008_3</v>
      </c>
      <c r="E173" s="5" t="str">
        <f ca="1">VLOOKUP($B173,OFFSET([2]quests!$A$1,0,0,COUNTA([2]quests!$A:$A),MATCH(E$1,[2]quests!$1:$1,0)-MATCH($B$1,[2]quests!$1:$1,0)+1),MATCH(E$1,[2]quests!$1:$1,0)-MATCH($B$1,[2]quests!$1:$1,0)+1,FALSE)</f>
        <v>【日曜限定】 青と黄の素材</v>
      </c>
      <c r="F173" s="5" t="str">
        <f ca="1">VLOOKUP($D173,OFFSET([2]stages!$A$1,0,0,COUNTA([2]stages!$A:$A),MATCH(F$1,[2]stages!$2:$2,0)-MATCH($D$1,[2]stages!$2:$2,0)+1),MATCH(F$1,[2]stages!$2:$2,0)-MATCH($D$1,[2]stages!$2:$2,0)+1,FALSE)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3" s="25">
        <v>2</v>
      </c>
      <c r="H173" s="16" t="str">
        <f t="shared" si="53"/>
        <v>11008_3-2</v>
      </c>
      <c r="I173" s="5">
        <f ca="1">VLOOKUP($H173,OFFSET(floors!$A$1,0,0,COUNTA(floors!$A:$A),MATCH(I$1,floors!$1:$1,0)-MATCH($H$1,floors!$1:$1,0)+1),MATCH(I$1,floors!$1:$1,0)-MATCH($H$1,floors!$1:$1,0)+1,FALSE)</f>
        <v>30</v>
      </c>
      <c r="J173" s="5">
        <f ca="1">VLOOKUP($H173,OFFSET(floors!$A$1,0,0,COUNTA(floors!$A:$A),MATCH(J$1,floors!$1:$1,0)-MATCH($H$1,floors!$1:$1,0)+1),MATCH(J$1,floors!$1:$1,0)-MATCH($H$1,floors!$1:$1,0)+1,FALSE)</f>
        <v>45</v>
      </c>
      <c r="K173" s="24" t="s">
        <v>172</v>
      </c>
      <c r="L173" s="24">
        <v>115</v>
      </c>
      <c r="M173" s="20" t="str">
        <f ca="1">VLOOKUP($L173,OFFSET([3]enemies!$A$1,0,0,COUNTA([3]enemies!$A:$A),MATCH(M$1,[3]enemies!$1:$1,0)-MATCH($L$1,[3]enemies!$1:$1,0)+1),MATCH(M$1,[3]enemies!$1:$1,0)-MATCH($L$1,[3]enemies!$1:$1,0)+1,FALSE)</f>
        <v>イエローキャタップ</v>
      </c>
      <c r="N173" s="20" t="str">
        <f ca="1">VLOOKUP($L173,OFFSET([3]enemies!$A$1,0,0,COUNTA([3]enemies!$A:$A),MATCH(N$1,[3]enemies!$1:$1,0)-MATCH($L$1,[3]enemies!$1:$1,0)+1),MATCH(N$1,[3]enemies!$1:$1,0)-MATCH($L$1,[3]enemies!$1:$1,0)+1,FALSE)</f>
        <v>yellow</v>
      </c>
      <c r="O173" s="22" t="str">
        <f ca="1">VLOOKUP($L173,OFFSET([4]characters!$A$1,0,0,COUNTA([4]characters!$A:$A),MATCH(O$1,[4]characters!$1:$1,0)-MATCH($L$1,[4]characters!$1:$1,0)+1),MATCH(O$1,[4]characters!$1:$1,0)-MATCH($L$1,[4]characters!$1:$1,0)+1,FALSE)</f>
        <v>Material</v>
      </c>
      <c r="P173" s="20" t="str">
        <f ca="1">VLOOKUP($L173,OFFSET([3]enemies!$A$1,0,0,COUNTA([3]enemies!$A:$A),MATCH(P$1,[3]enemies!$1:$1,0)-MATCH($L$1,[3]enemies!$1:$1,0)+1),MATCH(P$1,[3]enemies!$1:$1,0)-MATCH($L$1,[3]enemies!$1:$1,0)+1,FALSE)</f>
        <v>unknown</v>
      </c>
      <c r="Q173" s="20">
        <f ca="1">VLOOKUP($L173,OFFSET([3]enemies!$A$1,0,0,COUNTA([3]enemies!$A:$A),MATCH(Q$1,[3]enemies!$1:$1,0)-MATCH($L$1,[3]enemies!$1:$1,0)+1),MATCH(Q$1,[3]enemies!$1:$1,0)-MATCH($L$1,[3]enemies!$1:$1,0)+1,FALSE)</f>
        <v>15</v>
      </c>
      <c r="R173" s="6">
        <v>30</v>
      </c>
      <c r="S173" s="30">
        <v>2</v>
      </c>
      <c r="T173" s="30">
        <v>1</v>
      </c>
      <c r="U173" s="6">
        <v>0</v>
      </c>
      <c r="V173" s="5" t="str">
        <f ca="1">VLOOKUP($W173,OFFSET([5]enemy_skill_sets!$B$1,0,0,COUNTA([5]enemy_skill_sets!$B:$B),MATCH(M$1,[5]enemy_skill_sets!$1:$1,0)-MATCH($W$1,[5]enemy_skill_sets!$1:$1,0)+2),MATCH(M$1,[5]enemy_skill_sets!$1:$1,0)-MATCH($W$1,[5]enemy_skill_sets!$1:$1,0)+2,FALSE)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3" s="5">
        <f ca="1">VLOOKUP($L173,OFFSET([3]enemies!$A$1,0,0,COUNTA([3]enemies!$A:$A),MATCH(W$1,[3]enemies!$1:$1,0)-MATCH($L$1,[3]enemies!$1:$1,0)+1),MATCH(W$1,[3]enemies!$1:$1,0)-MATCH($L$1,[3]enemies!$1:$1,0)+1,FALSE)</f>
        <v>0</v>
      </c>
      <c r="X173" s="7">
        <v>0</v>
      </c>
      <c r="Y173" s="7">
        <v>50</v>
      </c>
      <c r="Z173" s="7">
        <v>1</v>
      </c>
      <c r="AA173" s="20">
        <f ca="1">VLOOKUP($L173,OFFSET([3]enemies!$A$1,0,0,COUNTA([3]enemies!$A:$A),MATCH(AA$1,[3]enemies!$1:$1,0)-MATCH($L$1,[3]enemies!$1:$1,0)+1),MATCH(AA$1,[3]enemies!$1:$1,0)-MATCH($L$1,[3]enemies!$1:$1,0)+1,FALSE)</f>
        <v>2</v>
      </c>
      <c r="AB173" s="24">
        <v>115</v>
      </c>
      <c r="AC173" s="5" t="str">
        <f ca="1">IFERROR(VLOOKUP($AB173,OFFSET([4]characters!$A$1,0,0,COUNTA([4]characters!$A:$A),MATCH(AC$1,[4]characters!$1:$1,0)-MATCH("character_id",[4]characters!$1:$1,0)+1),MATCH(AC$1,[4]characters!$1:$1,0)-MATCH("character_id",[4]characters!$1:$1,0)+1,FALSE),"")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73" s="5">
        <f ca="1">IFERROR(VLOOKUP($AB173,OFFSET([4]characters!$A$1,0,0,COUNTA([4]characters!$A:$A),MATCH(AD$1,[4]characters!$1:$1,0)-MATCH("character_id",[4]characters!$1:$1,0)+1),MATCH(AD$1,[4]characters!$1:$1,0)-MATCH("character_id",[4]characters!$1:$1,0)+1,FALSE),"")</f>
        <v>4</v>
      </c>
      <c r="AE173" s="5" t="str">
        <f ca="1">IFERROR(VLOOKUP($AB173,OFFSET([4]characters!$A$1,0,0,COUNTA([4]characters!$A:$A),MATCH(AE$1,[4]characters!$1:$1,0)-MATCH("character_id",[4]characters!$1:$1,0)+1),MATCH(AE$1,[4]characters!$1:$1,0)-MATCH("character_id",[4]characters!$1:$1,0)+1,FALSE),"")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3" s="8">
        <v>1</v>
      </c>
      <c r="AG173" s="27">
        <f t="shared" ca="1" si="56"/>
        <v>4</v>
      </c>
      <c r="AH173" s="130">
        <v>50</v>
      </c>
      <c r="AI173" s="8">
        <v>0</v>
      </c>
      <c r="AJ173" s="8">
        <v>0</v>
      </c>
      <c r="AK173" s="8">
        <v>0</v>
      </c>
      <c r="AL173" s="8">
        <v>0</v>
      </c>
      <c r="AM173" s="8">
        <v>1</v>
      </c>
      <c r="AN173" s="8">
        <v>1</v>
      </c>
    </row>
    <row r="174" spans="1:40" ht="21" customHeight="1" x14ac:dyDescent="0.15">
      <c r="A174" s="17" t="str">
        <f t="shared" ca="1" si="54"/>
        <v>11008_3-2/39&lt;lv35&gt;s3</v>
      </c>
      <c r="B174" s="73">
        <v>11008</v>
      </c>
      <c r="C174" s="74">
        <v>3</v>
      </c>
      <c r="D174" s="2" t="str">
        <f t="shared" si="55"/>
        <v>11008_3</v>
      </c>
      <c r="E174" s="5" t="str">
        <f ca="1">VLOOKUP($B174,OFFSET([2]quests!$A$1,0,0,COUNTA([2]quests!$A:$A),MATCH(E$1,[2]quests!$1:$1,0)-MATCH($B$1,[2]quests!$1:$1,0)+1),MATCH(E$1,[2]quests!$1:$1,0)-MATCH($B$1,[2]quests!$1:$1,0)+1,FALSE)</f>
        <v>【日曜限定】 青と黄の素材</v>
      </c>
      <c r="F174" s="5" t="str">
        <f ca="1">VLOOKUP($D174,OFFSET([2]stages!$A$1,0,0,COUNTA([2]stages!$A:$A),MATCH(F$1,[2]stages!$2:$2,0)-MATCH($D$1,[2]stages!$2:$2,0)+1),MATCH(F$1,[2]stages!$2:$2,0)-MATCH($D$1,[2]stages!$2:$2,0)+1,FALSE)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4" s="25">
        <v>2</v>
      </c>
      <c r="H174" s="16" t="str">
        <f t="shared" si="53"/>
        <v>11008_3-2</v>
      </c>
      <c r="I174" s="5">
        <f ca="1">VLOOKUP($H174,OFFSET(floors!$A$1,0,0,COUNTA(floors!$A:$A),MATCH(I$1,floors!$1:$1,0)-MATCH($H$1,floors!$1:$1,0)+1),MATCH(I$1,floors!$1:$1,0)-MATCH($H$1,floors!$1:$1,0)+1,FALSE)</f>
        <v>30</v>
      </c>
      <c r="J174" s="5">
        <f ca="1">VLOOKUP($H174,OFFSET(floors!$A$1,0,0,COUNTA(floors!$A:$A),MATCH(J$1,floors!$1:$1,0)-MATCH($H$1,floors!$1:$1,0)+1),MATCH(J$1,floors!$1:$1,0)-MATCH($H$1,floors!$1:$1,0)+1,FALSE)</f>
        <v>45</v>
      </c>
      <c r="K174" s="24" t="s">
        <v>172</v>
      </c>
      <c r="L174" s="24">
        <v>39</v>
      </c>
      <c r="M174" s="20" t="str">
        <f ca="1">VLOOKUP($L174,OFFSET([3]enemies!$A$1,0,0,COUNTA([3]enemies!$A:$A),MATCH(M$1,[3]enemies!$1:$1,0)-MATCH($L$1,[3]enemies!$1:$1,0)+1),MATCH(M$1,[3]enemies!$1:$1,0)-MATCH($L$1,[3]enemies!$1:$1,0)+1,FALSE)</f>
        <v>マーロン</v>
      </c>
      <c r="N174" s="20" t="str">
        <f ca="1">VLOOKUP($L174,OFFSET([3]enemies!$A$1,0,0,COUNTA([3]enemies!$A:$A),MATCH(N$1,[3]enemies!$1:$1,0)-MATCH($L$1,[3]enemies!$1:$1,0)+1),MATCH(N$1,[3]enemies!$1:$1,0)-MATCH($L$1,[3]enemies!$1:$1,0)+1,FALSE)</f>
        <v>yellow</v>
      </c>
      <c r="O174" s="22" t="str">
        <f ca="1">VLOOKUP($L174,OFFSET([4]characters!$A$1,0,0,COUNTA([4]characters!$A:$A),MATCH(O$1,[4]characters!$1:$1,0)-MATCH($L$1,[4]characters!$1:$1,0)+1),MATCH(O$1,[4]characters!$1:$1,0)-MATCH($L$1,[4]characters!$1:$1,0)+1,FALSE)</f>
        <v>Drop1S</v>
      </c>
      <c r="P174" s="20" t="str">
        <f ca="1">VLOOKUP($L174,OFFSET([3]enemies!$A$1,0,0,COUNTA([3]enemies!$A:$A),MATCH(P$1,[3]enemies!$1:$1,0)-MATCH($L$1,[3]enemies!$1:$1,0)+1),MATCH(P$1,[3]enemies!$1:$1,0)-MATCH($L$1,[3]enemies!$1:$1,0)+1,FALSE)</f>
        <v>human</v>
      </c>
      <c r="Q174" s="20">
        <f ca="1">VLOOKUP($L174,OFFSET([3]enemies!$A$1,0,0,COUNTA([3]enemies!$A:$A),MATCH(Q$1,[3]enemies!$1:$1,0)-MATCH($L$1,[3]enemies!$1:$1,0)+1),MATCH(Q$1,[3]enemies!$1:$1,0)-MATCH($L$1,[3]enemies!$1:$1,0)+1,FALSE)</f>
        <v>15</v>
      </c>
      <c r="R174" s="6">
        <v>35</v>
      </c>
      <c r="S174" s="30">
        <v>1</v>
      </c>
      <c r="T174" s="30">
        <v>1</v>
      </c>
      <c r="U174" s="6">
        <v>0</v>
      </c>
      <c r="V174" s="5" t="str">
        <f ca="1">VLOOKUP($W174,OFFSET([5]enemy_skill_sets!$B$1,0,0,COUNTA([5]enemy_skill_sets!$B:$B),MATCH(M$1,[5]enemy_skill_sets!$1:$1,0)-MATCH($W$1,[5]enemy_skill_sets!$1:$1,0)+2),MATCH(M$1,[5]enemy_skill_sets!$1:$1,0)-MATCH($W$1,[5]enemy_skill_sets!$1:$1,0)+2,FALSE)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74" s="5">
        <f ca="1">VLOOKUP($L174,OFFSET([3]enemies!$A$1,0,0,COUNTA([3]enemies!$A:$A),MATCH(W$1,[3]enemies!$1:$1,0)-MATCH($L$1,[3]enemies!$1:$1,0)+1),MATCH(W$1,[3]enemies!$1:$1,0)-MATCH($L$1,[3]enemies!$1:$1,0)+1,FALSE)</f>
        <v>39</v>
      </c>
      <c r="X174" s="7">
        <v>0</v>
      </c>
      <c r="Y174" s="7">
        <v>100</v>
      </c>
      <c r="Z174" s="7">
        <v>0</v>
      </c>
      <c r="AA174" s="20">
        <f ca="1">VLOOKUP($L174,OFFSET([3]enemies!$A$1,0,0,COUNTA([3]enemies!$A:$A),MATCH(AA$1,[3]enemies!$1:$1,0)-MATCH($L$1,[3]enemies!$1:$1,0)+1),MATCH(AA$1,[3]enemies!$1:$1,0)-MATCH($L$1,[3]enemies!$1:$1,0)+1,FALSE)</f>
        <v>3</v>
      </c>
      <c r="AB174" s="24">
        <v>39</v>
      </c>
      <c r="AC174" s="5" t="str">
        <f ca="1">IFERROR(VLOOKUP($AB174,OFFSET([4]characters!$A$1,0,0,COUNTA([4]characters!$A:$A),MATCH(AC$1,[4]characters!$1:$1,0)-MATCH("character_id",[4]characters!$1:$1,0)+1),MATCH(AC$1,[4]characters!$1:$1,0)-MATCH("character_id",[4]characters!$1:$1,0)+1,FALSE),"")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74" s="5">
        <f ca="1">IFERROR(VLOOKUP($AB174,OFFSET([4]characters!$A$1,0,0,COUNTA([4]characters!$A:$A),MATCH(AD$1,[4]characters!$1:$1,0)-MATCH("character_id",[4]characters!$1:$1,0)+1),MATCH(AD$1,[4]characters!$1:$1,0)-MATCH("character_id",[4]characters!$1:$1,0)+1,FALSE),"")</f>
        <v>2</v>
      </c>
      <c r="AE174" s="5" t="str">
        <f ca="1">IFERROR(VLOOKUP($AB174,OFFSET([4]characters!$A$1,0,0,COUNTA([4]characters!$A:$A),MATCH(AE$1,[4]characters!$1:$1,0)-MATCH("character_id",[4]characters!$1:$1,0)+1),MATCH(AE$1,[4]characters!$1:$1,0)-MATCH("character_id",[4]characters!$1:$1,0)+1,FALSE),"")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74" s="8">
        <v>1</v>
      </c>
      <c r="AG174" s="27">
        <f t="shared" ca="1" si="56"/>
        <v>2</v>
      </c>
      <c r="AH174" s="9">
        <v>0</v>
      </c>
      <c r="AI174" s="8">
        <v>0</v>
      </c>
      <c r="AJ174" s="8">
        <v>0</v>
      </c>
      <c r="AK174" s="8">
        <v>0</v>
      </c>
      <c r="AL174" s="8">
        <v>0</v>
      </c>
      <c r="AM174" s="8">
        <v>1</v>
      </c>
      <c r="AN174" s="8">
        <v>1</v>
      </c>
    </row>
    <row r="175" spans="1:40" ht="23" customHeight="1" x14ac:dyDescent="0.15">
      <c r="A175" s="17" t="str">
        <f t="shared" ca="1" si="54"/>
        <v>11008_3-2/31&lt;lv35&gt;s2</v>
      </c>
      <c r="B175" s="73">
        <v>11008</v>
      </c>
      <c r="C175" s="74">
        <v>3</v>
      </c>
      <c r="D175" s="2" t="str">
        <f t="shared" si="55"/>
        <v>11008_3</v>
      </c>
      <c r="E175" s="5" t="str">
        <f ca="1">VLOOKUP($B175,OFFSET([2]quests!$A$1,0,0,COUNTA([2]quests!$A:$A),MATCH(E$1,[2]quests!$1:$1,0)-MATCH($B$1,[2]quests!$1:$1,0)+1),MATCH(E$1,[2]quests!$1:$1,0)-MATCH($B$1,[2]quests!$1:$1,0)+1,FALSE)</f>
        <v>【日曜限定】 青と黄の素材</v>
      </c>
      <c r="F175" s="5" t="str">
        <f ca="1">VLOOKUP($D175,OFFSET([2]stages!$A$1,0,0,COUNTA([2]stages!$A:$A),MATCH(F$1,[2]stages!$2:$2,0)-MATCH($D$1,[2]stages!$2:$2,0)+1),MATCH(F$1,[2]stages!$2:$2,0)-MATCH($D$1,[2]stages!$2:$2,0)+1,FALSE)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5" s="25">
        <v>2</v>
      </c>
      <c r="H175" s="16" t="str">
        <f t="shared" si="53"/>
        <v>11008_3-2</v>
      </c>
      <c r="I175" s="5">
        <f ca="1">VLOOKUP($H175,OFFSET(floors!$A$1,0,0,COUNTA(floors!$A:$A),MATCH(I$1,floors!$1:$1,0)-MATCH($H$1,floors!$1:$1,0)+1),MATCH(I$1,floors!$1:$1,0)-MATCH($H$1,floors!$1:$1,0)+1,FALSE)</f>
        <v>30</v>
      </c>
      <c r="J175" s="5">
        <f ca="1">VLOOKUP($H175,OFFSET(floors!$A$1,0,0,COUNTA(floors!$A:$A),MATCH(J$1,floors!$1:$1,0)-MATCH($H$1,floors!$1:$1,0)+1),MATCH(J$1,floors!$1:$1,0)-MATCH($H$1,floors!$1:$1,0)+1,FALSE)</f>
        <v>45</v>
      </c>
      <c r="K175" s="24" t="s">
        <v>172</v>
      </c>
      <c r="L175" s="24">
        <v>31</v>
      </c>
      <c r="M175" s="20" t="str">
        <f ca="1">VLOOKUP($L175,OFFSET([3]enemies!$A$1,0,0,COUNTA([3]enemies!$A:$A),MATCH(M$1,[3]enemies!$1:$1,0)-MATCH($L$1,[3]enemies!$1:$1,0)+1),MATCH(M$1,[3]enemies!$1:$1,0)-MATCH($L$1,[3]enemies!$1:$1,0)+1,FALSE)</f>
        <v>マービー</v>
      </c>
      <c r="N175" s="20" t="str">
        <f ca="1">VLOOKUP($L175,OFFSET([3]enemies!$A$1,0,0,COUNTA([3]enemies!$A:$A),MATCH(N$1,[3]enemies!$1:$1,0)-MATCH($L$1,[3]enemies!$1:$1,0)+1),MATCH(N$1,[3]enemies!$1:$1,0)-MATCH($L$1,[3]enemies!$1:$1,0)+1,FALSE)</f>
        <v>yellow</v>
      </c>
      <c r="O175" s="22" t="str">
        <f ca="1">VLOOKUP($L175,OFFSET([4]characters!$A$1,0,0,COUNTA([4]characters!$A:$A),MATCH(O$1,[4]characters!$1:$1,0)-MATCH($L$1,[4]characters!$1:$1,0)+1),MATCH(O$1,[4]characters!$1:$1,0)-MATCH($L$1,[4]characters!$1:$1,0)+1,FALSE)</f>
        <v>Drop1N</v>
      </c>
      <c r="P175" s="20" t="str">
        <f ca="1">VLOOKUP($L175,OFFSET([3]enemies!$A$1,0,0,COUNTA([3]enemies!$A:$A),MATCH(P$1,[3]enemies!$1:$1,0)-MATCH($L$1,[3]enemies!$1:$1,0)+1),MATCH(P$1,[3]enemies!$1:$1,0)-MATCH($L$1,[3]enemies!$1:$1,0)+1,FALSE)</f>
        <v>machine</v>
      </c>
      <c r="Q175" s="20">
        <f ca="1">VLOOKUP($L175,OFFSET([3]enemies!$A$1,0,0,COUNTA([3]enemies!$A:$A),MATCH(Q$1,[3]enemies!$1:$1,0)-MATCH($L$1,[3]enemies!$1:$1,0)+1),MATCH(Q$1,[3]enemies!$1:$1,0)-MATCH($L$1,[3]enemies!$1:$1,0)+1,FALSE)</f>
        <v>15</v>
      </c>
      <c r="R175" s="6">
        <v>35</v>
      </c>
      <c r="S175" s="30">
        <v>1</v>
      </c>
      <c r="T175" s="30">
        <v>1</v>
      </c>
      <c r="U175" s="6">
        <v>0</v>
      </c>
      <c r="V175" s="5" t="str">
        <f ca="1">VLOOKUP($W175,OFFSET([5]enemy_skill_sets!$B$1,0,0,COUNTA([5]enemy_skill_sets!$B:$B),MATCH(M$1,[5]enemy_skill_sets!$1:$1,0)-MATCH($W$1,[5]enemy_skill_sets!$1:$1,0)+2),MATCH(M$1,[5]enemy_skill_sets!$1:$1,0)-MATCH($W$1,[5]enemy_skill_sets!$1:$1,0)+2,FALSE)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5" s="5">
        <f ca="1">VLOOKUP($L175,OFFSET([3]enemies!$A$1,0,0,COUNTA([3]enemies!$A:$A),MATCH(W$1,[3]enemies!$1:$1,0)-MATCH($L$1,[3]enemies!$1:$1,0)+1),MATCH(W$1,[3]enemies!$1:$1,0)-MATCH($L$1,[3]enemies!$1:$1,0)+1,FALSE)</f>
        <v>0</v>
      </c>
      <c r="X175" s="7">
        <v>0</v>
      </c>
      <c r="Y175" s="7">
        <v>100</v>
      </c>
      <c r="Z175" s="7">
        <v>0</v>
      </c>
      <c r="AA175" s="20">
        <f ca="1">VLOOKUP($L175,OFFSET([3]enemies!$A$1,0,0,COUNTA([3]enemies!$A:$A),MATCH(AA$1,[3]enemies!$1:$1,0)-MATCH($L$1,[3]enemies!$1:$1,0)+1),MATCH(AA$1,[3]enemies!$1:$1,0)-MATCH($L$1,[3]enemies!$1:$1,0)+1,FALSE)</f>
        <v>2</v>
      </c>
      <c r="AB175" s="24">
        <v>31</v>
      </c>
      <c r="AC175" s="5" t="str">
        <f ca="1">IFERROR(VLOOKUP($AB175,OFFSET([4]characters!$A$1,0,0,COUNTA([4]characters!$A:$A),MATCH(AC$1,[4]characters!$1:$1,0)-MATCH("character_id",[4]characters!$1:$1,0)+1),MATCH(AC$1,[4]characters!$1:$1,0)-MATCH("character_id",[4]characters!$1:$1,0)+1,FALSE),"")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75" s="5">
        <f ca="1">IFERROR(VLOOKUP($AB175,OFFSET([4]characters!$A$1,0,0,COUNTA([4]characters!$A:$A),MATCH(AD$1,[4]characters!$1:$1,0)-MATCH("character_id",[4]characters!$1:$1,0)+1),MATCH(AD$1,[4]characters!$1:$1,0)-MATCH("character_id",[4]characters!$1:$1,0)+1,FALSE),"")</f>
        <v>1</v>
      </c>
      <c r="AE175" s="5" t="str">
        <f ca="1">IFERROR(VLOOKUP($AB175,OFFSET([4]characters!$A$1,0,0,COUNTA([4]characters!$A:$A),MATCH(AE$1,[4]characters!$1:$1,0)-MATCH("character_id",[4]characters!$1:$1,0)+1),MATCH(AE$1,[4]characters!$1:$1,0)-MATCH("character_id",[4]characters!$1:$1,0)+1,FALSE),"")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75" s="8">
        <v>1</v>
      </c>
      <c r="AG175" s="27">
        <f t="shared" ca="1" si="56"/>
        <v>1</v>
      </c>
      <c r="AH175" s="9">
        <v>0</v>
      </c>
      <c r="AI175" s="8">
        <v>0</v>
      </c>
      <c r="AJ175" s="8">
        <v>0</v>
      </c>
      <c r="AK175" s="8">
        <v>0</v>
      </c>
      <c r="AL175" s="8">
        <v>0</v>
      </c>
      <c r="AM175" s="8">
        <v>1</v>
      </c>
      <c r="AN175" s="8">
        <v>1</v>
      </c>
    </row>
    <row r="176" spans="1:40" ht="21" customHeight="1" x14ac:dyDescent="0.15">
      <c r="A176" s="17" t="str">
        <f t="shared" ca="1" si="54"/>
        <v>11008_3-2/344&lt;lv1&gt;s1</v>
      </c>
      <c r="B176" s="73">
        <v>11008</v>
      </c>
      <c r="C176" s="74">
        <v>3</v>
      </c>
      <c r="D176" s="2" t="str">
        <f t="shared" si="55"/>
        <v>11008_3</v>
      </c>
      <c r="E176" s="5" t="str">
        <f ca="1">VLOOKUP($B176,OFFSET([2]quests!$A$1,0,0,COUNTA([2]quests!$A:$A),MATCH(E$1,[2]quests!$1:$1,0)-MATCH($B$1,[2]quests!$1:$1,0)+1),MATCH(E$1,[2]quests!$1:$1,0)-MATCH($B$1,[2]quests!$1:$1,0)+1,FALSE)</f>
        <v>【日曜限定】 青と黄の素材</v>
      </c>
      <c r="F176" s="5" t="str">
        <f ca="1">VLOOKUP($D176,OFFSET([2]stages!$A$1,0,0,COUNTA([2]stages!$A:$A),MATCH(F$1,[2]stages!$2:$2,0)-MATCH($D$1,[2]stages!$2:$2,0)+1),MATCH(F$1,[2]stages!$2:$2,0)-MATCH($D$1,[2]stages!$2:$2,0)+1,FALSE)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6" s="25">
        <v>2</v>
      </c>
      <c r="H176" s="16" t="str">
        <f t="shared" si="53"/>
        <v>11008_3-2</v>
      </c>
      <c r="I176" s="5">
        <f ca="1">VLOOKUP($H176,OFFSET(floors!$A$1,0,0,COUNTA(floors!$A:$A),MATCH(I$1,floors!$1:$1,0)-MATCH($H$1,floors!$1:$1,0)+1),MATCH(I$1,floors!$1:$1,0)-MATCH($H$1,floors!$1:$1,0)+1,FALSE)</f>
        <v>30</v>
      </c>
      <c r="J176" s="5">
        <f ca="1">VLOOKUP($H176,OFFSET(floors!$A$1,0,0,COUNTA(floors!$A:$A),MATCH(J$1,floors!$1:$1,0)-MATCH($H$1,floors!$1:$1,0)+1),MATCH(J$1,floors!$1:$1,0)-MATCH($H$1,floors!$1:$1,0)+1,FALSE)</f>
        <v>45</v>
      </c>
      <c r="K176" s="24" t="s">
        <v>172</v>
      </c>
      <c r="L176" s="24">
        <v>344</v>
      </c>
      <c r="M176" s="20" t="str">
        <f ca="1">VLOOKUP($L176,OFFSET([3]enemies!$A$1,0,0,COUNTA([3]enemies!$A:$A),MATCH(M$1,[3]enemies!$1:$1,0)-MATCH($L$1,[3]enemies!$1:$1,0)+1),MATCH(M$1,[3]enemies!$1:$1,0)-MATCH($L$1,[3]enemies!$1:$1,0)+1,FALSE)</f>
        <v>雷のメタルピヨピヨ</v>
      </c>
      <c r="N176" s="20" t="str">
        <f ca="1">VLOOKUP($L176,OFFSET([3]enemies!$A$1,0,0,COUNTA([3]enemies!$A:$A),MATCH(N$1,[3]enemies!$1:$1,0)-MATCH($L$1,[3]enemies!$1:$1,0)+1),MATCH(N$1,[3]enemies!$1:$1,0)-MATCH($L$1,[3]enemies!$1:$1,0)+1,FALSE)</f>
        <v>yellow</v>
      </c>
      <c r="O176" s="22" t="str">
        <f ca="1">VLOOKUP($L176,OFFSET([4]characters!$A$1,0,0,COUNTA([4]characters!$A:$A),MATCH(O$1,[4]characters!$1:$1,0)-MATCH($L$1,[4]characters!$1:$1,0)+1),MATCH(O$1,[4]characters!$1:$1,0)-MATCH($L$1,[4]characters!$1:$1,0)+1,FALSE)</f>
        <v>Material</v>
      </c>
      <c r="P176" s="20" t="str">
        <f ca="1">VLOOKUP($L176,OFFSET([3]enemies!$A$1,0,0,COUNTA([3]enemies!$A:$A),MATCH(P$1,[3]enemies!$1:$1,0)-MATCH($L$1,[3]enemies!$1:$1,0)+1),MATCH(P$1,[3]enemies!$1:$1,0)-MATCH($L$1,[3]enemies!$1:$1,0)+1,FALSE)</f>
        <v>unknown</v>
      </c>
      <c r="Q176" s="20">
        <f ca="1">VLOOKUP($L176,OFFSET([3]enemies!$A$1,0,0,COUNTA([3]enemies!$A:$A),MATCH(Q$1,[3]enemies!$1:$1,0)-MATCH($L$1,[3]enemies!$1:$1,0)+1),MATCH(Q$1,[3]enemies!$1:$1,0)-MATCH($L$1,[3]enemies!$1:$1,0)+1,FALSE)</f>
        <v>15</v>
      </c>
      <c r="R176" s="6">
        <v>1</v>
      </c>
      <c r="S176" s="30">
        <v>1</v>
      </c>
      <c r="T176" s="30">
        <v>1</v>
      </c>
      <c r="U176" s="6">
        <v>0</v>
      </c>
      <c r="V176" s="5" t="str">
        <f ca="1">VLOOKUP($W176,OFFSET([5]enemy_skill_sets!$B$1,0,0,COUNTA([5]enemy_skill_sets!$B:$B),MATCH(M$1,[5]enemy_skill_sets!$1:$1,0)-MATCH($W$1,[5]enemy_skill_sets!$1:$1,0)+2),MATCH(M$1,[5]enemy_skill_sets!$1:$1,0)-MATCH($W$1,[5]enemy_skill_sets!$1:$1,0)+2,FALSE)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6" s="5">
        <f ca="1">VLOOKUP($L176,OFFSET([3]enemies!$A$1,0,0,COUNTA([3]enemies!$A:$A),MATCH(W$1,[3]enemies!$1:$1,0)-MATCH($L$1,[3]enemies!$1:$1,0)+1),MATCH(W$1,[3]enemies!$1:$1,0)-MATCH($L$1,[3]enemies!$1:$1,0)+1,FALSE)</f>
        <v>0</v>
      </c>
      <c r="X176" s="7">
        <v>0</v>
      </c>
      <c r="Y176" s="7">
        <v>30</v>
      </c>
      <c r="Z176" s="7">
        <v>0</v>
      </c>
      <c r="AA176" s="20">
        <f ca="1">VLOOKUP($L176,OFFSET([3]enemies!$A$1,0,0,COUNTA([3]enemies!$A:$A),MATCH(AA$1,[3]enemies!$1:$1,0)-MATCH($L$1,[3]enemies!$1:$1,0)+1),MATCH(AA$1,[3]enemies!$1:$1,0)-MATCH($L$1,[3]enemies!$1:$1,0)+1,FALSE)</f>
        <v>1</v>
      </c>
      <c r="AB176" s="24">
        <v>344</v>
      </c>
      <c r="AC176" s="5" t="str">
        <f ca="1">IFERROR(VLOOKUP($AB176,OFFSET([4]characters!$A$1,0,0,COUNTA([4]characters!$A:$A),MATCH(AC$1,[4]characters!$1:$1,0)-MATCH("character_id",[4]characters!$1:$1,0)+1),MATCH(AC$1,[4]characters!$1:$1,0)-MATCH("character_id",[4]characters!$1:$1,0)+1,FALSE),"")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76" s="5">
        <f ca="1">IFERROR(VLOOKUP($AB176,OFFSET([4]characters!$A$1,0,0,COUNTA([4]characters!$A:$A),MATCH(AD$1,[4]characters!$1:$1,0)-MATCH("character_id",[4]characters!$1:$1,0)+1),MATCH(AD$1,[4]characters!$1:$1,0)-MATCH("character_id",[4]characters!$1:$1,0)+1,FALSE),"")</f>
        <v>3</v>
      </c>
      <c r="AE176" s="5" t="str">
        <f ca="1">IFERROR(VLOOKUP($AB176,OFFSET([4]characters!$A$1,0,0,COUNTA([4]characters!$A:$A),MATCH(AE$1,[4]characters!$1:$1,0)-MATCH("character_id",[4]characters!$1:$1,0)+1),MATCH(AE$1,[4]characters!$1:$1,0)-MATCH("character_id",[4]characters!$1:$1,0)+1,FALSE),"")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6" s="8">
        <v>1</v>
      </c>
      <c r="AG176" s="27">
        <f t="shared" ca="1" si="56"/>
        <v>3</v>
      </c>
      <c r="AH176" s="9">
        <v>10</v>
      </c>
      <c r="AI176" s="8">
        <v>0</v>
      </c>
      <c r="AJ176" s="8">
        <v>0</v>
      </c>
      <c r="AK176" s="8">
        <v>0</v>
      </c>
      <c r="AL176" s="8">
        <v>0</v>
      </c>
      <c r="AM176" s="8">
        <v>1</v>
      </c>
      <c r="AN176" s="8">
        <v>1</v>
      </c>
    </row>
    <row r="177" spans="1:40" ht="21" customHeight="1" x14ac:dyDescent="0.15">
      <c r="A177" s="17" t="str">
        <f t="shared" ca="1" si="54"/>
        <v>11008_3-2/345&lt;lv1&gt;s2</v>
      </c>
      <c r="B177" s="73">
        <v>11008</v>
      </c>
      <c r="C177" s="74">
        <v>3</v>
      </c>
      <c r="D177" s="2" t="str">
        <f t="shared" si="55"/>
        <v>11008_3</v>
      </c>
      <c r="E177" s="5" t="str">
        <f ca="1">VLOOKUP($B177,OFFSET([2]quests!$A$1,0,0,COUNTA([2]quests!$A:$A),MATCH(E$1,[2]quests!$1:$1,0)-MATCH($B$1,[2]quests!$1:$1,0)+1),MATCH(E$1,[2]quests!$1:$1,0)-MATCH($B$1,[2]quests!$1:$1,0)+1,FALSE)</f>
        <v>【日曜限定】 青と黄の素材</v>
      </c>
      <c r="F177" s="5" t="str">
        <f ca="1">VLOOKUP($D177,OFFSET([2]stages!$A$1,0,0,COUNTA([2]stages!$A:$A),MATCH(F$1,[2]stages!$2:$2,0)-MATCH($D$1,[2]stages!$2:$2,0)+1),MATCH(F$1,[2]stages!$2:$2,0)-MATCH($D$1,[2]stages!$2:$2,0)+1,FALSE)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7" s="25">
        <v>2</v>
      </c>
      <c r="H177" s="16" t="str">
        <f t="shared" si="53"/>
        <v>11008_3-2</v>
      </c>
      <c r="I177" s="5">
        <f ca="1">VLOOKUP($H177,OFFSET(floors!$A$1,0,0,COUNTA(floors!$A:$A),MATCH(I$1,floors!$1:$1,0)-MATCH($H$1,floors!$1:$1,0)+1),MATCH(I$1,floors!$1:$1,0)-MATCH($H$1,floors!$1:$1,0)+1,FALSE)</f>
        <v>30</v>
      </c>
      <c r="J177" s="5">
        <f ca="1">VLOOKUP($H177,OFFSET(floors!$A$1,0,0,COUNTA(floors!$A:$A),MATCH(J$1,floors!$1:$1,0)-MATCH($H$1,floors!$1:$1,0)+1),MATCH(J$1,floors!$1:$1,0)-MATCH($H$1,floors!$1:$1,0)+1,FALSE)</f>
        <v>45</v>
      </c>
      <c r="K177" s="24" t="s">
        <v>172</v>
      </c>
      <c r="L177" s="24">
        <v>345</v>
      </c>
      <c r="M177" s="20" t="str">
        <f ca="1">VLOOKUP($L177,OFFSET([3]enemies!$A$1,0,0,COUNTA([3]enemies!$A:$A),MATCH(M$1,[3]enemies!$1:$1,0)-MATCH($L$1,[3]enemies!$1:$1,0)+1),MATCH(M$1,[3]enemies!$1:$1,0)-MATCH($L$1,[3]enemies!$1:$1,0)+1,FALSE)</f>
        <v>雷のメタルチック</v>
      </c>
      <c r="N177" s="20" t="str">
        <f ca="1">VLOOKUP($L177,OFFSET([3]enemies!$A$1,0,0,COUNTA([3]enemies!$A:$A),MATCH(N$1,[3]enemies!$1:$1,0)-MATCH($L$1,[3]enemies!$1:$1,0)+1),MATCH(N$1,[3]enemies!$1:$1,0)-MATCH($L$1,[3]enemies!$1:$1,0)+1,FALSE)</f>
        <v>yellow</v>
      </c>
      <c r="O177" s="22" t="str">
        <f ca="1">VLOOKUP($L177,OFFSET([4]characters!$A$1,0,0,COUNTA([4]characters!$A:$A),MATCH(O$1,[4]characters!$1:$1,0)-MATCH($L$1,[4]characters!$1:$1,0)+1),MATCH(O$1,[4]characters!$1:$1,0)-MATCH($L$1,[4]characters!$1:$1,0)+1,FALSE)</f>
        <v>Material</v>
      </c>
      <c r="P177" s="20" t="str">
        <f ca="1">VLOOKUP($L177,OFFSET([3]enemies!$A$1,0,0,COUNTA([3]enemies!$A:$A),MATCH(P$1,[3]enemies!$1:$1,0)-MATCH($L$1,[3]enemies!$1:$1,0)+1),MATCH(P$1,[3]enemies!$1:$1,0)-MATCH($L$1,[3]enemies!$1:$1,0)+1,FALSE)</f>
        <v>unknown</v>
      </c>
      <c r="Q177" s="20">
        <f ca="1">VLOOKUP($L177,OFFSET([3]enemies!$A$1,0,0,COUNTA([3]enemies!$A:$A),MATCH(Q$1,[3]enemies!$1:$1,0)-MATCH($L$1,[3]enemies!$1:$1,0)+1),MATCH(Q$1,[3]enemies!$1:$1,0)-MATCH($L$1,[3]enemies!$1:$1,0)+1,FALSE)</f>
        <v>15</v>
      </c>
      <c r="R177" s="6">
        <v>1</v>
      </c>
      <c r="S177" s="30">
        <v>1</v>
      </c>
      <c r="T177" s="30">
        <v>1</v>
      </c>
      <c r="U177" s="6">
        <v>0</v>
      </c>
      <c r="V177" s="5" t="str">
        <f ca="1">VLOOKUP($W177,OFFSET([5]enemy_skill_sets!$B$1,0,0,COUNTA([5]enemy_skill_sets!$B:$B),MATCH(M$1,[5]enemy_skill_sets!$1:$1,0)-MATCH($W$1,[5]enemy_skill_sets!$1:$1,0)+2),MATCH(M$1,[5]enemy_skill_sets!$1:$1,0)-MATCH($W$1,[5]enemy_skill_sets!$1:$1,0)+2,FALSE)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7" s="5">
        <f ca="1">VLOOKUP($L177,OFFSET([3]enemies!$A$1,0,0,COUNTA([3]enemies!$A:$A),MATCH(W$1,[3]enemies!$1:$1,0)-MATCH($L$1,[3]enemies!$1:$1,0)+1),MATCH(W$1,[3]enemies!$1:$1,0)-MATCH($L$1,[3]enemies!$1:$1,0)+1,FALSE)</f>
        <v>0</v>
      </c>
      <c r="X177" s="7">
        <v>0</v>
      </c>
      <c r="Y177" s="7">
        <v>30</v>
      </c>
      <c r="Z177" s="7">
        <v>0</v>
      </c>
      <c r="AA177" s="20">
        <f ca="1">VLOOKUP($L177,OFFSET([3]enemies!$A$1,0,0,COUNTA([3]enemies!$A:$A),MATCH(AA$1,[3]enemies!$1:$1,0)-MATCH($L$1,[3]enemies!$1:$1,0)+1),MATCH(AA$1,[3]enemies!$1:$1,0)-MATCH($L$1,[3]enemies!$1:$1,0)+1,FALSE)</f>
        <v>2</v>
      </c>
      <c r="AB177" s="24">
        <v>345</v>
      </c>
      <c r="AC177" s="5" t="str">
        <f ca="1">IFERROR(VLOOKUP($AB177,OFFSET([4]characters!$A$1,0,0,COUNTA([4]characters!$A:$A),MATCH(AC$1,[4]characters!$1:$1,0)-MATCH("character_id",[4]characters!$1:$1,0)+1),MATCH(AC$1,[4]characters!$1:$1,0)-MATCH("character_id",[4]characters!$1:$1,0)+1,FALSE),"")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77" s="5">
        <f ca="1">IFERROR(VLOOKUP($AB177,OFFSET([4]characters!$A$1,0,0,COUNTA([4]characters!$A:$A),MATCH(AD$1,[4]characters!$1:$1,0)-MATCH("character_id",[4]characters!$1:$1,0)+1),MATCH(AD$1,[4]characters!$1:$1,0)-MATCH("character_id",[4]characters!$1:$1,0)+1,FALSE),"")</f>
        <v>4</v>
      </c>
      <c r="AE177" s="5" t="str">
        <f ca="1">IFERROR(VLOOKUP($AB177,OFFSET([4]characters!$A$1,0,0,COUNTA([4]characters!$A:$A),MATCH(AE$1,[4]characters!$1:$1,0)-MATCH("character_id",[4]characters!$1:$1,0)+1),MATCH(AE$1,[4]characters!$1:$1,0)-MATCH("character_id",[4]characters!$1:$1,0)+1,FALSE),"")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7" s="8">
        <v>1</v>
      </c>
      <c r="AG177" s="27">
        <f t="shared" ca="1" si="56"/>
        <v>4</v>
      </c>
      <c r="AH177" s="9">
        <v>5</v>
      </c>
      <c r="AI177" s="8">
        <v>0</v>
      </c>
      <c r="AJ177" s="8">
        <v>0</v>
      </c>
      <c r="AK177" s="8">
        <v>0</v>
      </c>
      <c r="AL177" s="8">
        <v>0</v>
      </c>
      <c r="AM177" s="8">
        <v>1</v>
      </c>
      <c r="AN177" s="8">
        <v>1</v>
      </c>
    </row>
    <row r="178" spans="1:40" ht="21" customHeight="1" x14ac:dyDescent="0.15">
      <c r="A178" s="17" t="str">
        <f t="shared" ca="1" si="54"/>
        <v>11008_3-3/115&lt;lv30&gt;s2</v>
      </c>
      <c r="B178" s="73">
        <v>11008</v>
      </c>
      <c r="C178" s="74">
        <v>3</v>
      </c>
      <c r="D178" s="2" t="str">
        <f t="shared" si="55"/>
        <v>11008_3</v>
      </c>
      <c r="E178" s="5" t="str">
        <f ca="1">VLOOKUP($B178,OFFSET([2]quests!$A$1,0,0,COUNTA([2]quests!$A:$A),MATCH(E$1,[2]quests!$1:$1,0)-MATCH($B$1,[2]quests!$1:$1,0)+1),MATCH(E$1,[2]quests!$1:$1,0)-MATCH($B$1,[2]quests!$1:$1,0)+1,FALSE)</f>
        <v>【日曜限定】 青と黄の素材</v>
      </c>
      <c r="F178" s="5" t="str">
        <f ca="1">VLOOKUP($D178,OFFSET([2]stages!$A$1,0,0,COUNTA([2]stages!$A:$A),MATCH(F$1,[2]stages!$2:$2,0)-MATCH($D$1,[2]stages!$2:$2,0)+1),MATCH(F$1,[2]stages!$2:$2,0)-MATCH($D$1,[2]stages!$2:$2,0)+1,FALSE)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8" s="25">
        <v>3</v>
      </c>
      <c r="H178" s="16" t="str">
        <f t="shared" si="53"/>
        <v>11008_3-3</v>
      </c>
      <c r="I178" s="5">
        <f ca="1">VLOOKUP($H178,OFFSET(floors!$A$1,0,0,COUNTA(floors!$A:$A),MATCH(I$1,floors!$1:$1,0)-MATCH($H$1,floors!$1:$1,0)+1),MATCH(I$1,floors!$1:$1,0)-MATCH($H$1,floors!$1:$1,0)+1,FALSE)</f>
        <v>45</v>
      </c>
      <c r="J178" s="5">
        <f ca="1">VLOOKUP($H178,OFFSET(floors!$A$1,0,0,COUNTA(floors!$A:$A),MATCH(J$1,floors!$1:$1,0)-MATCH($H$1,floors!$1:$1,0)+1),MATCH(J$1,floors!$1:$1,0)-MATCH($H$1,floors!$1:$1,0)+1,FALSE)</f>
        <v>45</v>
      </c>
      <c r="K178" s="24" t="s">
        <v>172</v>
      </c>
      <c r="L178" s="24">
        <v>115</v>
      </c>
      <c r="M178" s="20" t="str">
        <f ca="1">VLOOKUP($L178,OFFSET([3]enemies!$A$1,0,0,COUNTA([3]enemies!$A:$A),MATCH(M$1,[3]enemies!$1:$1,0)-MATCH($L$1,[3]enemies!$1:$1,0)+1),MATCH(M$1,[3]enemies!$1:$1,0)-MATCH($L$1,[3]enemies!$1:$1,0)+1,FALSE)</f>
        <v>イエローキャタップ</v>
      </c>
      <c r="N178" s="20" t="str">
        <f ca="1">VLOOKUP($L178,OFFSET([3]enemies!$A$1,0,0,COUNTA([3]enemies!$A:$A),MATCH(N$1,[3]enemies!$1:$1,0)-MATCH($L$1,[3]enemies!$1:$1,0)+1),MATCH(N$1,[3]enemies!$1:$1,0)-MATCH($L$1,[3]enemies!$1:$1,0)+1,FALSE)</f>
        <v>yellow</v>
      </c>
      <c r="O178" s="22" t="str">
        <f ca="1">VLOOKUP($L178,OFFSET([4]characters!$A$1,0,0,COUNTA([4]characters!$A:$A),MATCH(O$1,[4]characters!$1:$1,0)-MATCH($L$1,[4]characters!$1:$1,0)+1),MATCH(O$1,[4]characters!$1:$1,0)-MATCH($L$1,[4]characters!$1:$1,0)+1,FALSE)</f>
        <v>Material</v>
      </c>
      <c r="P178" s="20" t="str">
        <f ca="1">VLOOKUP($L178,OFFSET([3]enemies!$A$1,0,0,COUNTA([3]enemies!$A:$A),MATCH(P$1,[3]enemies!$1:$1,0)-MATCH($L$1,[3]enemies!$1:$1,0)+1),MATCH(P$1,[3]enemies!$1:$1,0)-MATCH($L$1,[3]enemies!$1:$1,0)+1,FALSE)</f>
        <v>unknown</v>
      </c>
      <c r="Q178" s="20">
        <f ca="1">VLOOKUP($L178,OFFSET([3]enemies!$A$1,0,0,COUNTA([3]enemies!$A:$A),MATCH(Q$1,[3]enemies!$1:$1,0)-MATCH($L$1,[3]enemies!$1:$1,0)+1),MATCH(Q$1,[3]enemies!$1:$1,0)-MATCH($L$1,[3]enemies!$1:$1,0)+1,FALSE)</f>
        <v>15</v>
      </c>
      <c r="R178" s="6">
        <v>30</v>
      </c>
      <c r="S178" s="30">
        <v>2</v>
      </c>
      <c r="T178" s="30">
        <v>1</v>
      </c>
      <c r="U178" s="6">
        <v>0</v>
      </c>
      <c r="V178" s="5" t="str">
        <f ca="1">VLOOKUP($W178,OFFSET([5]enemy_skill_sets!$B$1,0,0,COUNTA([5]enemy_skill_sets!$B:$B),MATCH(M$1,[5]enemy_skill_sets!$1:$1,0)-MATCH($W$1,[5]enemy_skill_sets!$1:$1,0)+2),MATCH(M$1,[5]enemy_skill_sets!$1:$1,0)-MATCH($W$1,[5]enemy_skill_sets!$1:$1,0)+2,FALSE)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8" s="5">
        <f ca="1">VLOOKUP($L178,OFFSET([3]enemies!$A$1,0,0,COUNTA([3]enemies!$A:$A),MATCH(W$1,[3]enemies!$1:$1,0)-MATCH($L$1,[3]enemies!$1:$1,0)+1),MATCH(W$1,[3]enemies!$1:$1,0)-MATCH($L$1,[3]enemies!$1:$1,0)+1,FALSE)</f>
        <v>0</v>
      </c>
      <c r="X178" s="7">
        <v>0</v>
      </c>
      <c r="Y178" s="7">
        <v>50</v>
      </c>
      <c r="Z178" s="7">
        <v>1</v>
      </c>
      <c r="AA178" s="20">
        <f ca="1">VLOOKUP($L178,OFFSET([3]enemies!$A$1,0,0,COUNTA([3]enemies!$A:$A),MATCH(AA$1,[3]enemies!$1:$1,0)-MATCH($L$1,[3]enemies!$1:$1,0)+1),MATCH(AA$1,[3]enemies!$1:$1,0)-MATCH($L$1,[3]enemies!$1:$1,0)+1,FALSE)</f>
        <v>2</v>
      </c>
      <c r="AB178" s="24">
        <v>115</v>
      </c>
      <c r="AC178" s="5" t="str">
        <f ca="1">IFERROR(VLOOKUP($AB178,OFFSET([4]characters!$A$1,0,0,COUNTA([4]characters!$A:$A),MATCH(AC$1,[4]characters!$1:$1,0)-MATCH("character_id",[4]characters!$1:$1,0)+1),MATCH(AC$1,[4]characters!$1:$1,0)-MATCH("character_id",[4]characters!$1:$1,0)+1,FALSE),"")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78" s="5">
        <f ca="1">IFERROR(VLOOKUP($AB178,OFFSET([4]characters!$A$1,0,0,COUNTA([4]characters!$A:$A),MATCH(AD$1,[4]characters!$1:$1,0)-MATCH("character_id",[4]characters!$1:$1,0)+1),MATCH(AD$1,[4]characters!$1:$1,0)-MATCH("character_id",[4]characters!$1:$1,0)+1,FALSE),"")</f>
        <v>4</v>
      </c>
      <c r="AE178" s="5" t="str">
        <f ca="1">IFERROR(VLOOKUP($AB178,OFFSET([4]characters!$A$1,0,0,COUNTA([4]characters!$A:$A),MATCH(AE$1,[4]characters!$1:$1,0)-MATCH("character_id",[4]characters!$1:$1,0)+1),MATCH(AE$1,[4]characters!$1:$1,0)-MATCH("character_id",[4]characters!$1:$1,0)+1,FALSE),"")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8" s="8">
        <v>1</v>
      </c>
      <c r="AG178" s="27">
        <f t="shared" ca="1" si="56"/>
        <v>4</v>
      </c>
      <c r="AH178" s="9">
        <v>50</v>
      </c>
      <c r="AI178" s="8">
        <v>0</v>
      </c>
      <c r="AJ178" s="8">
        <v>0</v>
      </c>
      <c r="AK178" s="8">
        <v>0</v>
      </c>
      <c r="AL178" s="8">
        <v>0</v>
      </c>
      <c r="AM178" s="8">
        <v>1</v>
      </c>
      <c r="AN178" s="8">
        <v>1</v>
      </c>
    </row>
    <row r="179" spans="1:40" ht="21" customHeight="1" x14ac:dyDescent="0.15">
      <c r="A179" s="17" t="str">
        <f t="shared" ca="1" si="54"/>
        <v>11008_3-3/39&lt;lv35&gt;s3</v>
      </c>
      <c r="B179" s="73">
        <v>11008</v>
      </c>
      <c r="C179" s="74">
        <v>3</v>
      </c>
      <c r="D179" s="2" t="str">
        <f t="shared" si="55"/>
        <v>11008_3</v>
      </c>
      <c r="E179" s="5" t="str">
        <f ca="1">VLOOKUP($B179,OFFSET([2]quests!$A$1,0,0,COUNTA([2]quests!$A:$A),MATCH(E$1,[2]quests!$1:$1,0)-MATCH($B$1,[2]quests!$1:$1,0)+1),MATCH(E$1,[2]quests!$1:$1,0)-MATCH($B$1,[2]quests!$1:$1,0)+1,FALSE)</f>
        <v>【日曜限定】 青と黄の素材</v>
      </c>
      <c r="F179" s="5" t="str">
        <f ca="1">VLOOKUP($D179,OFFSET([2]stages!$A$1,0,0,COUNTA([2]stages!$A:$A),MATCH(F$1,[2]stages!$2:$2,0)-MATCH($D$1,[2]stages!$2:$2,0)+1),MATCH(F$1,[2]stages!$2:$2,0)-MATCH($D$1,[2]stages!$2:$2,0)+1,FALSE)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79" s="25">
        <v>3</v>
      </c>
      <c r="H179" s="16" t="str">
        <f t="shared" si="53"/>
        <v>11008_3-3</v>
      </c>
      <c r="I179" s="5">
        <f ca="1">VLOOKUP($H179,OFFSET(floors!$A$1,0,0,COUNTA(floors!$A:$A),MATCH(I$1,floors!$1:$1,0)-MATCH($H$1,floors!$1:$1,0)+1),MATCH(I$1,floors!$1:$1,0)-MATCH($H$1,floors!$1:$1,0)+1,FALSE)</f>
        <v>45</v>
      </c>
      <c r="J179" s="5">
        <f ca="1">VLOOKUP($H179,OFFSET(floors!$A$1,0,0,COUNTA(floors!$A:$A),MATCH(J$1,floors!$1:$1,0)-MATCH($H$1,floors!$1:$1,0)+1),MATCH(J$1,floors!$1:$1,0)-MATCH($H$1,floors!$1:$1,0)+1,FALSE)</f>
        <v>45</v>
      </c>
      <c r="K179" s="24" t="s">
        <v>172</v>
      </c>
      <c r="L179" s="24">
        <v>39</v>
      </c>
      <c r="M179" s="20" t="str">
        <f ca="1">VLOOKUP($L179,OFFSET([3]enemies!$A$1,0,0,COUNTA([3]enemies!$A:$A),MATCH(M$1,[3]enemies!$1:$1,0)-MATCH($L$1,[3]enemies!$1:$1,0)+1),MATCH(M$1,[3]enemies!$1:$1,0)-MATCH($L$1,[3]enemies!$1:$1,0)+1,FALSE)</f>
        <v>マーロン</v>
      </c>
      <c r="N179" s="20" t="str">
        <f ca="1">VLOOKUP($L179,OFFSET([3]enemies!$A$1,0,0,COUNTA([3]enemies!$A:$A),MATCH(N$1,[3]enemies!$1:$1,0)-MATCH($L$1,[3]enemies!$1:$1,0)+1),MATCH(N$1,[3]enemies!$1:$1,0)-MATCH($L$1,[3]enemies!$1:$1,0)+1,FALSE)</f>
        <v>yellow</v>
      </c>
      <c r="O179" s="22" t="str">
        <f ca="1">VLOOKUP($L179,OFFSET([4]characters!$A$1,0,0,COUNTA([4]characters!$A:$A),MATCH(O$1,[4]characters!$1:$1,0)-MATCH($L$1,[4]characters!$1:$1,0)+1),MATCH(O$1,[4]characters!$1:$1,0)-MATCH($L$1,[4]characters!$1:$1,0)+1,FALSE)</f>
        <v>Drop1S</v>
      </c>
      <c r="P179" s="20" t="str">
        <f ca="1">VLOOKUP($L179,OFFSET([3]enemies!$A$1,0,0,COUNTA([3]enemies!$A:$A),MATCH(P$1,[3]enemies!$1:$1,0)-MATCH($L$1,[3]enemies!$1:$1,0)+1),MATCH(P$1,[3]enemies!$1:$1,0)-MATCH($L$1,[3]enemies!$1:$1,0)+1,FALSE)</f>
        <v>human</v>
      </c>
      <c r="Q179" s="20">
        <f ca="1">VLOOKUP($L179,OFFSET([3]enemies!$A$1,0,0,COUNTA([3]enemies!$A:$A),MATCH(Q$1,[3]enemies!$1:$1,0)-MATCH($L$1,[3]enemies!$1:$1,0)+1),MATCH(Q$1,[3]enemies!$1:$1,0)-MATCH($L$1,[3]enemies!$1:$1,0)+1,FALSE)</f>
        <v>15</v>
      </c>
      <c r="R179" s="6">
        <v>35</v>
      </c>
      <c r="S179" s="30">
        <v>1</v>
      </c>
      <c r="T179" s="30">
        <v>1</v>
      </c>
      <c r="U179" s="6">
        <v>0</v>
      </c>
      <c r="V179" s="5" t="str">
        <f ca="1">VLOOKUP($W179,OFFSET([5]enemy_skill_sets!$B$1,0,0,COUNTA([5]enemy_skill_sets!$B:$B),MATCH(M$1,[5]enemy_skill_sets!$1:$1,0)-MATCH($W$1,[5]enemy_skill_sets!$1:$1,0)+2),MATCH(M$1,[5]enemy_skill_sets!$1:$1,0)-MATCH($W$1,[5]enemy_skill_sets!$1:$1,0)+2,FALSE)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79" s="5">
        <f ca="1">VLOOKUP($L179,OFFSET([3]enemies!$A$1,0,0,COUNTA([3]enemies!$A:$A),MATCH(W$1,[3]enemies!$1:$1,0)-MATCH($L$1,[3]enemies!$1:$1,0)+1),MATCH(W$1,[3]enemies!$1:$1,0)-MATCH($L$1,[3]enemies!$1:$1,0)+1,FALSE)</f>
        <v>39</v>
      </c>
      <c r="X179" s="7">
        <v>0</v>
      </c>
      <c r="Y179" s="7">
        <v>100</v>
      </c>
      <c r="Z179" s="7">
        <v>0</v>
      </c>
      <c r="AA179" s="20">
        <f ca="1">VLOOKUP($L179,OFFSET([3]enemies!$A$1,0,0,COUNTA([3]enemies!$A:$A),MATCH(AA$1,[3]enemies!$1:$1,0)-MATCH($L$1,[3]enemies!$1:$1,0)+1),MATCH(AA$1,[3]enemies!$1:$1,0)-MATCH($L$1,[3]enemies!$1:$1,0)+1,FALSE)</f>
        <v>3</v>
      </c>
      <c r="AB179" s="24">
        <v>39</v>
      </c>
      <c r="AC179" s="5" t="str">
        <f ca="1">IFERROR(VLOOKUP($AB179,OFFSET([4]characters!$A$1,0,0,COUNTA([4]characters!$A:$A),MATCH(AC$1,[4]characters!$1:$1,0)-MATCH("character_id",[4]characters!$1:$1,0)+1),MATCH(AC$1,[4]characters!$1:$1,0)-MATCH("character_id",[4]characters!$1:$1,0)+1,FALSE),"")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79" s="5">
        <f ca="1">IFERROR(VLOOKUP($AB179,OFFSET([4]characters!$A$1,0,0,COUNTA([4]characters!$A:$A),MATCH(AD$1,[4]characters!$1:$1,0)-MATCH("character_id",[4]characters!$1:$1,0)+1),MATCH(AD$1,[4]characters!$1:$1,0)-MATCH("character_id",[4]characters!$1:$1,0)+1,FALSE),"")</f>
        <v>2</v>
      </c>
      <c r="AE179" s="5" t="str">
        <f ca="1">IFERROR(VLOOKUP($AB179,OFFSET([4]characters!$A$1,0,0,COUNTA([4]characters!$A:$A),MATCH(AE$1,[4]characters!$1:$1,0)-MATCH("character_id",[4]characters!$1:$1,0)+1),MATCH(AE$1,[4]characters!$1:$1,0)-MATCH("character_id",[4]characters!$1:$1,0)+1,FALSE),"")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79" s="8">
        <v>1</v>
      </c>
      <c r="AG179" s="27">
        <f t="shared" ca="1" si="56"/>
        <v>2</v>
      </c>
      <c r="AH179" s="9">
        <v>0</v>
      </c>
      <c r="AI179" s="8">
        <v>0</v>
      </c>
      <c r="AJ179" s="8">
        <v>0</v>
      </c>
      <c r="AK179" s="8">
        <v>0</v>
      </c>
      <c r="AL179" s="8">
        <v>0</v>
      </c>
      <c r="AM179" s="8">
        <v>1</v>
      </c>
      <c r="AN179" s="8">
        <v>1</v>
      </c>
    </row>
    <row r="180" spans="1:40" ht="21" customHeight="1" x14ac:dyDescent="0.15">
      <c r="A180" s="17" t="str">
        <f t="shared" ca="1" si="54"/>
        <v>11008_3-3/31&lt;lv35&gt;s2</v>
      </c>
      <c r="B180" s="73">
        <v>11008</v>
      </c>
      <c r="C180" s="74">
        <v>3</v>
      </c>
      <c r="D180" s="2" t="str">
        <f t="shared" si="55"/>
        <v>11008_3</v>
      </c>
      <c r="E180" s="5" t="str">
        <f ca="1">VLOOKUP($B180,OFFSET([2]quests!$A$1,0,0,COUNTA([2]quests!$A:$A),MATCH(E$1,[2]quests!$1:$1,0)-MATCH($B$1,[2]quests!$1:$1,0)+1),MATCH(E$1,[2]quests!$1:$1,0)-MATCH($B$1,[2]quests!$1:$1,0)+1,FALSE)</f>
        <v>【日曜限定】 青と黄の素材</v>
      </c>
      <c r="F180" s="5" t="str">
        <f ca="1">VLOOKUP($D180,OFFSET([2]stages!$A$1,0,0,COUNTA([2]stages!$A:$A),MATCH(F$1,[2]stages!$2:$2,0)-MATCH($D$1,[2]stages!$2:$2,0)+1),MATCH(F$1,[2]stages!$2:$2,0)-MATCH($D$1,[2]stages!$2:$2,0)+1,FALSE)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0" s="25">
        <v>3</v>
      </c>
      <c r="H180" s="16" t="str">
        <f t="shared" si="53"/>
        <v>11008_3-3</v>
      </c>
      <c r="I180" s="5">
        <f ca="1">VLOOKUP($H180,OFFSET(floors!$A$1,0,0,COUNTA(floors!$A:$A),MATCH(I$1,floors!$1:$1,0)-MATCH($H$1,floors!$1:$1,0)+1),MATCH(I$1,floors!$1:$1,0)-MATCH($H$1,floors!$1:$1,0)+1,FALSE)</f>
        <v>45</v>
      </c>
      <c r="J180" s="5">
        <f ca="1">VLOOKUP($H180,OFFSET(floors!$A$1,0,0,COUNTA(floors!$A:$A),MATCH(J$1,floors!$1:$1,0)-MATCH($H$1,floors!$1:$1,0)+1),MATCH(J$1,floors!$1:$1,0)-MATCH($H$1,floors!$1:$1,0)+1,FALSE)</f>
        <v>45</v>
      </c>
      <c r="K180" s="24" t="s">
        <v>172</v>
      </c>
      <c r="L180" s="24">
        <v>31</v>
      </c>
      <c r="M180" s="20" t="str">
        <f ca="1">VLOOKUP($L180,OFFSET([3]enemies!$A$1,0,0,COUNTA([3]enemies!$A:$A),MATCH(M$1,[3]enemies!$1:$1,0)-MATCH($L$1,[3]enemies!$1:$1,0)+1),MATCH(M$1,[3]enemies!$1:$1,0)-MATCH($L$1,[3]enemies!$1:$1,0)+1,FALSE)</f>
        <v>マービー</v>
      </c>
      <c r="N180" s="20" t="str">
        <f ca="1">VLOOKUP($L180,OFFSET([3]enemies!$A$1,0,0,COUNTA([3]enemies!$A:$A),MATCH(N$1,[3]enemies!$1:$1,0)-MATCH($L$1,[3]enemies!$1:$1,0)+1),MATCH(N$1,[3]enemies!$1:$1,0)-MATCH($L$1,[3]enemies!$1:$1,0)+1,FALSE)</f>
        <v>yellow</v>
      </c>
      <c r="O180" s="22" t="str">
        <f ca="1">VLOOKUP($L180,OFFSET([4]characters!$A$1,0,0,COUNTA([4]characters!$A:$A),MATCH(O$1,[4]characters!$1:$1,0)-MATCH($L$1,[4]characters!$1:$1,0)+1),MATCH(O$1,[4]characters!$1:$1,0)-MATCH($L$1,[4]characters!$1:$1,0)+1,FALSE)</f>
        <v>Drop1N</v>
      </c>
      <c r="P180" s="20" t="str">
        <f ca="1">VLOOKUP($L180,OFFSET([3]enemies!$A$1,0,0,COUNTA([3]enemies!$A:$A),MATCH(P$1,[3]enemies!$1:$1,0)-MATCH($L$1,[3]enemies!$1:$1,0)+1),MATCH(P$1,[3]enemies!$1:$1,0)-MATCH($L$1,[3]enemies!$1:$1,0)+1,FALSE)</f>
        <v>machine</v>
      </c>
      <c r="Q180" s="20">
        <f ca="1">VLOOKUP($L180,OFFSET([3]enemies!$A$1,0,0,COUNTA([3]enemies!$A:$A),MATCH(Q$1,[3]enemies!$1:$1,0)-MATCH($L$1,[3]enemies!$1:$1,0)+1),MATCH(Q$1,[3]enemies!$1:$1,0)-MATCH($L$1,[3]enemies!$1:$1,0)+1,FALSE)</f>
        <v>15</v>
      </c>
      <c r="R180" s="6">
        <v>35</v>
      </c>
      <c r="S180" s="30">
        <v>1</v>
      </c>
      <c r="T180" s="30">
        <v>1</v>
      </c>
      <c r="U180" s="6">
        <v>0</v>
      </c>
      <c r="V180" s="5" t="str">
        <f ca="1">VLOOKUP($W180,OFFSET([5]enemy_skill_sets!$B$1,0,0,COUNTA([5]enemy_skill_sets!$B:$B),MATCH(M$1,[5]enemy_skill_sets!$1:$1,0)-MATCH($W$1,[5]enemy_skill_sets!$1:$1,0)+2),MATCH(M$1,[5]enemy_skill_sets!$1:$1,0)-MATCH($W$1,[5]enemy_skill_sets!$1:$1,0)+2,FALSE)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0" s="5">
        <f ca="1">VLOOKUP($L180,OFFSET([3]enemies!$A$1,0,0,COUNTA([3]enemies!$A:$A),MATCH(W$1,[3]enemies!$1:$1,0)-MATCH($L$1,[3]enemies!$1:$1,0)+1),MATCH(W$1,[3]enemies!$1:$1,0)-MATCH($L$1,[3]enemies!$1:$1,0)+1,FALSE)</f>
        <v>0</v>
      </c>
      <c r="X180" s="7">
        <v>0</v>
      </c>
      <c r="Y180" s="7">
        <v>100</v>
      </c>
      <c r="Z180" s="7">
        <v>0</v>
      </c>
      <c r="AA180" s="20">
        <f ca="1">VLOOKUP($L180,OFFSET([3]enemies!$A$1,0,0,COUNTA([3]enemies!$A:$A),MATCH(AA$1,[3]enemies!$1:$1,0)-MATCH($L$1,[3]enemies!$1:$1,0)+1),MATCH(AA$1,[3]enemies!$1:$1,0)-MATCH($L$1,[3]enemies!$1:$1,0)+1,FALSE)</f>
        <v>2</v>
      </c>
      <c r="AB180" s="24">
        <v>31</v>
      </c>
      <c r="AC180" s="5" t="str">
        <f ca="1">IFERROR(VLOOKUP($AB180,OFFSET([4]characters!$A$1,0,0,COUNTA([4]characters!$A:$A),MATCH(AC$1,[4]characters!$1:$1,0)-MATCH("character_id",[4]characters!$1:$1,0)+1),MATCH(AC$1,[4]characters!$1:$1,0)-MATCH("character_id",[4]characters!$1:$1,0)+1,FALSE),"")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80" s="5">
        <f ca="1">IFERROR(VLOOKUP($AB180,OFFSET([4]characters!$A$1,0,0,COUNTA([4]characters!$A:$A),MATCH(AD$1,[4]characters!$1:$1,0)-MATCH("character_id",[4]characters!$1:$1,0)+1),MATCH(AD$1,[4]characters!$1:$1,0)-MATCH("character_id",[4]characters!$1:$1,0)+1,FALSE),"")</f>
        <v>1</v>
      </c>
      <c r="AE180" s="5" t="str">
        <f ca="1">IFERROR(VLOOKUP($AB180,OFFSET([4]characters!$A$1,0,0,COUNTA([4]characters!$A:$A),MATCH(AE$1,[4]characters!$1:$1,0)-MATCH("character_id",[4]characters!$1:$1,0)+1),MATCH(AE$1,[4]characters!$1:$1,0)-MATCH("character_id",[4]characters!$1:$1,0)+1,FALSE),"")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80" s="8">
        <v>1</v>
      </c>
      <c r="AG180" s="27">
        <f t="shared" ca="1" si="56"/>
        <v>1</v>
      </c>
      <c r="AH180" s="9">
        <v>0</v>
      </c>
      <c r="AI180" s="8">
        <v>0</v>
      </c>
      <c r="AJ180" s="8">
        <v>0</v>
      </c>
      <c r="AK180" s="8">
        <v>0</v>
      </c>
      <c r="AL180" s="8">
        <v>0</v>
      </c>
      <c r="AM180" s="8">
        <v>1</v>
      </c>
      <c r="AN180" s="8">
        <v>1</v>
      </c>
    </row>
    <row r="181" spans="1:40" ht="21" customHeight="1" x14ac:dyDescent="0.15">
      <c r="A181" s="17" t="str">
        <f t="shared" ca="1" si="54"/>
        <v>11008_3-3/344&lt;lv1&gt;s1</v>
      </c>
      <c r="B181" s="73">
        <v>11008</v>
      </c>
      <c r="C181" s="74">
        <v>3</v>
      </c>
      <c r="D181" s="2" t="str">
        <f t="shared" si="55"/>
        <v>11008_3</v>
      </c>
      <c r="E181" s="5" t="str">
        <f ca="1">VLOOKUP($B181,OFFSET([2]quests!$A$1,0,0,COUNTA([2]quests!$A:$A),MATCH(E$1,[2]quests!$1:$1,0)-MATCH($B$1,[2]quests!$1:$1,0)+1),MATCH(E$1,[2]quests!$1:$1,0)-MATCH($B$1,[2]quests!$1:$1,0)+1,FALSE)</f>
        <v>【日曜限定】 青と黄の素材</v>
      </c>
      <c r="F181" s="5" t="str">
        <f ca="1">VLOOKUP($D181,OFFSET([2]stages!$A$1,0,0,COUNTA([2]stages!$A:$A),MATCH(F$1,[2]stages!$2:$2,0)-MATCH($D$1,[2]stages!$2:$2,0)+1),MATCH(F$1,[2]stages!$2:$2,0)-MATCH($D$1,[2]stages!$2:$2,0)+1,FALSE)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1" s="25">
        <v>3</v>
      </c>
      <c r="H181" s="16" t="str">
        <f t="shared" si="53"/>
        <v>11008_3-3</v>
      </c>
      <c r="I181" s="5">
        <f ca="1">VLOOKUP($H181,OFFSET(floors!$A$1,0,0,COUNTA(floors!$A:$A),MATCH(I$1,floors!$1:$1,0)-MATCH($H$1,floors!$1:$1,0)+1),MATCH(I$1,floors!$1:$1,0)-MATCH($H$1,floors!$1:$1,0)+1,FALSE)</f>
        <v>45</v>
      </c>
      <c r="J181" s="5">
        <f ca="1">VLOOKUP($H181,OFFSET(floors!$A$1,0,0,COUNTA(floors!$A:$A),MATCH(J$1,floors!$1:$1,0)-MATCH($H$1,floors!$1:$1,0)+1),MATCH(J$1,floors!$1:$1,0)-MATCH($H$1,floors!$1:$1,0)+1,FALSE)</f>
        <v>45</v>
      </c>
      <c r="K181" s="24" t="s">
        <v>172</v>
      </c>
      <c r="L181" s="24">
        <v>344</v>
      </c>
      <c r="M181" s="20" t="str">
        <f ca="1">VLOOKUP($L181,OFFSET([3]enemies!$A$1,0,0,COUNTA([3]enemies!$A:$A),MATCH(M$1,[3]enemies!$1:$1,0)-MATCH($L$1,[3]enemies!$1:$1,0)+1),MATCH(M$1,[3]enemies!$1:$1,0)-MATCH($L$1,[3]enemies!$1:$1,0)+1,FALSE)</f>
        <v>雷のメタルピヨピヨ</v>
      </c>
      <c r="N181" s="20" t="str">
        <f ca="1">VLOOKUP($L181,OFFSET([3]enemies!$A$1,0,0,COUNTA([3]enemies!$A:$A),MATCH(N$1,[3]enemies!$1:$1,0)-MATCH($L$1,[3]enemies!$1:$1,0)+1),MATCH(N$1,[3]enemies!$1:$1,0)-MATCH($L$1,[3]enemies!$1:$1,0)+1,FALSE)</f>
        <v>yellow</v>
      </c>
      <c r="O181" s="22" t="str">
        <f ca="1">VLOOKUP($L181,OFFSET([4]characters!$A$1,0,0,COUNTA([4]characters!$A:$A),MATCH(O$1,[4]characters!$1:$1,0)-MATCH($L$1,[4]characters!$1:$1,0)+1),MATCH(O$1,[4]characters!$1:$1,0)-MATCH($L$1,[4]characters!$1:$1,0)+1,FALSE)</f>
        <v>Material</v>
      </c>
      <c r="P181" s="20" t="str">
        <f ca="1">VLOOKUP($L181,OFFSET([3]enemies!$A$1,0,0,COUNTA([3]enemies!$A:$A),MATCH(P$1,[3]enemies!$1:$1,0)-MATCH($L$1,[3]enemies!$1:$1,0)+1),MATCH(P$1,[3]enemies!$1:$1,0)-MATCH($L$1,[3]enemies!$1:$1,0)+1,FALSE)</f>
        <v>unknown</v>
      </c>
      <c r="Q181" s="20">
        <f ca="1">VLOOKUP($L181,OFFSET([3]enemies!$A$1,0,0,COUNTA([3]enemies!$A:$A),MATCH(Q$1,[3]enemies!$1:$1,0)-MATCH($L$1,[3]enemies!$1:$1,0)+1),MATCH(Q$1,[3]enemies!$1:$1,0)-MATCH($L$1,[3]enemies!$1:$1,0)+1,FALSE)</f>
        <v>15</v>
      </c>
      <c r="R181" s="6">
        <v>1</v>
      </c>
      <c r="S181" s="30">
        <v>1</v>
      </c>
      <c r="T181" s="30">
        <v>1</v>
      </c>
      <c r="U181" s="6">
        <v>0</v>
      </c>
      <c r="V181" s="5" t="str">
        <f ca="1">VLOOKUP($W181,OFFSET([5]enemy_skill_sets!$B$1,0,0,COUNTA([5]enemy_skill_sets!$B:$B),MATCH(M$1,[5]enemy_skill_sets!$1:$1,0)-MATCH($W$1,[5]enemy_skill_sets!$1:$1,0)+2),MATCH(M$1,[5]enemy_skill_sets!$1:$1,0)-MATCH($W$1,[5]enemy_skill_sets!$1:$1,0)+2,FALSE)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1" s="5">
        <f ca="1">VLOOKUP($L181,OFFSET([3]enemies!$A$1,0,0,COUNTA([3]enemies!$A:$A),MATCH(W$1,[3]enemies!$1:$1,0)-MATCH($L$1,[3]enemies!$1:$1,0)+1),MATCH(W$1,[3]enemies!$1:$1,0)-MATCH($L$1,[3]enemies!$1:$1,0)+1,FALSE)</f>
        <v>0</v>
      </c>
      <c r="X181" s="7">
        <v>0</v>
      </c>
      <c r="Y181" s="7">
        <v>30</v>
      </c>
      <c r="Z181" s="7">
        <v>0</v>
      </c>
      <c r="AA181" s="20">
        <f ca="1">VLOOKUP($L181,OFFSET([3]enemies!$A$1,0,0,COUNTA([3]enemies!$A:$A),MATCH(AA$1,[3]enemies!$1:$1,0)-MATCH($L$1,[3]enemies!$1:$1,0)+1),MATCH(AA$1,[3]enemies!$1:$1,0)-MATCH($L$1,[3]enemies!$1:$1,0)+1,FALSE)</f>
        <v>1</v>
      </c>
      <c r="AB181" s="24">
        <v>344</v>
      </c>
      <c r="AC181" s="5" t="str">
        <f ca="1">IFERROR(VLOOKUP($AB181,OFFSET([4]characters!$A$1,0,0,COUNTA([4]characters!$A:$A),MATCH(AC$1,[4]characters!$1:$1,0)-MATCH("character_id",[4]characters!$1:$1,0)+1),MATCH(AC$1,[4]characters!$1:$1,0)-MATCH("character_id",[4]characters!$1:$1,0)+1,FALSE),"")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81" s="5">
        <f ca="1">IFERROR(VLOOKUP($AB181,OFFSET([4]characters!$A$1,0,0,COUNTA([4]characters!$A:$A),MATCH(AD$1,[4]characters!$1:$1,0)-MATCH("character_id",[4]characters!$1:$1,0)+1),MATCH(AD$1,[4]characters!$1:$1,0)-MATCH("character_id",[4]characters!$1:$1,0)+1,FALSE),"")</f>
        <v>3</v>
      </c>
      <c r="AE181" s="5" t="str">
        <f ca="1">IFERROR(VLOOKUP($AB181,OFFSET([4]characters!$A$1,0,0,COUNTA([4]characters!$A:$A),MATCH(AE$1,[4]characters!$1:$1,0)-MATCH("character_id",[4]characters!$1:$1,0)+1),MATCH(AE$1,[4]characters!$1:$1,0)-MATCH("character_id",[4]characters!$1:$1,0)+1,FALSE),"")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1" s="8">
        <v>1</v>
      </c>
      <c r="AG181" s="27">
        <f t="shared" ca="1" si="56"/>
        <v>3</v>
      </c>
      <c r="AH181" s="9">
        <v>10</v>
      </c>
      <c r="AI181" s="8">
        <v>0</v>
      </c>
      <c r="AJ181" s="8">
        <v>0</v>
      </c>
      <c r="AK181" s="8">
        <v>0</v>
      </c>
      <c r="AL181" s="8">
        <v>0</v>
      </c>
      <c r="AM181" s="8">
        <v>1</v>
      </c>
      <c r="AN181" s="8">
        <v>1</v>
      </c>
    </row>
    <row r="182" spans="1:40" ht="21" customHeight="1" x14ac:dyDescent="0.15">
      <c r="A182" s="17" t="str">
        <f t="shared" ca="1" si="54"/>
        <v>11008_3-3/345&lt;lv1&gt;s2</v>
      </c>
      <c r="B182" s="73">
        <v>11008</v>
      </c>
      <c r="C182" s="74">
        <v>3</v>
      </c>
      <c r="D182" s="2" t="str">
        <f t="shared" si="55"/>
        <v>11008_3</v>
      </c>
      <c r="E182" s="5" t="str">
        <f ca="1">VLOOKUP($B182,OFFSET([2]quests!$A$1,0,0,COUNTA([2]quests!$A:$A),MATCH(E$1,[2]quests!$1:$1,0)-MATCH($B$1,[2]quests!$1:$1,0)+1),MATCH(E$1,[2]quests!$1:$1,0)-MATCH($B$1,[2]quests!$1:$1,0)+1,FALSE)</f>
        <v>【日曜限定】 青と黄の素材</v>
      </c>
      <c r="F182" s="5" t="str">
        <f ca="1">VLOOKUP($D182,OFFSET([2]stages!$A$1,0,0,COUNTA([2]stages!$A:$A),MATCH(F$1,[2]stages!$2:$2,0)-MATCH($D$1,[2]stages!$2:$2,0)+1),MATCH(F$1,[2]stages!$2:$2,0)-MATCH($D$1,[2]stages!$2:$2,0)+1,FALSE)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2" s="25">
        <v>3</v>
      </c>
      <c r="H182" s="16" t="str">
        <f t="shared" si="53"/>
        <v>11008_3-3</v>
      </c>
      <c r="I182" s="5">
        <f ca="1">VLOOKUP($H182,OFFSET(floors!$A$1,0,0,COUNTA(floors!$A:$A),MATCH(I$1,floors!$1:$1,0)-MATCH($H$1,floors!$1:$1,0)+1),MATCH(I$1,floors!$1:$1,0)-MATCH($H$1,floors!$1:$1,0)+1,FALSE)</f>
        <v>45</v>
      </c>
      <c r="J182" s="5">
        <f ca="1">VLOOKUP($H182,OFFSET(floors!$A$1,0,0,COUNTA(floors!$A:$A),MATCH(J$1,floors!$1:$1,0)-MATCH($H$1,floors!$1:$1,0)+1),MATCH(J$1,floors!$1:$1,0)-MATCH($H$1,floors!$1:$1,0)+1,FALSE)</f>
        <v>45</v>
      </c>
      <c r="K182" s="24" t="s">
        <v>172</v>
      </c>
      <c r="L182" s="24">
        <v>345</v>
      </c>
      <c r="M182" s="20" t="str">
        <f ca="1">VLOOKUP($L182,OFFSET([3]enemies!$A$1,0,0,COUNTA([3]enemies!$A:$A),MATCH(M$1,[3]enemies!$1:$1,0)-MATCH($L$1,[3]enemies!$1:$1,0)+1),MATCH(M$1,[3]enemies!$1:$1,0)-MATCH($L$1,[3]enemies!$1:$1,0)+1,FALSE)</f>
        <v>雷のメタルチック</v>
      </c>
      <c r="N182" s="20" t="str">
        <f ca="1">VLOOKUP($L182,OFFSET([3]enemies!$A$1,0,0,COUNTA([3]enemies!$A:$A),MATCH(N$1,[3]enemies!$1:$1,0)-MATCH($L$1,[3]enemies!$1:$1,0)+1),MATCH(N$1,[3]enemies!$1:$1,0)-MATCH($L$1,[3]enemies!$1:$1,0)+1,FALSE)</f>
        <v>yellow</v>
      </c>
      <c r="O182" s="22" t="str">
        <f ca="1">VLOOKUP($L182,OFFSET([4]characters!$A$1,0,0,COUNTA([4]characters!$A:$A),MATCH(O$1,[4]characters!$1:$1,0)-MATCH($L$1,[4]characters!$1:$1,0)+1),MATCH(O$1,[4]characters!$1:$1,0)-MATCH($L$1,[4]characters!$1:$1,0)+1,FALSE)</f>
        <v>Material</v>
      </c>
      <c r="P182" s="20" t="str">
        <f ca="1">VLOOKUP($L182,OFFSET([3]enemies!$A$1,0,0,COUNTA([3]enemies!$A:$A),MATCH(P$1,[3]enemies!$1:$1,0)-MATCH($L$1,[3]enemies!$1:$1,0)+1),MATCH(P$1,[3]enemies!$1:$1,0)-MATCH($L$1,[3]enemies!$1:$1,0)+1,FALSE)</f>
        <v>unknown</v>
      </c>
      <c r="Q182" s="20">
        <f ca="1">VLOOKUP($L182,OFFSET([3]enemies!$A$1,0,0,COUNTA([3]enemies!$A:$A),MATCH(Q$1,[3]enemies!$1:$1,0)-MATCH($L$1,[3]enemies!$1:$1,0)+1),MATCH(Q$1,[3]enemies!$1:$1,0)-MATCH($L$1,[3]enemies!$1:$1,0)+1,FALSE)</f>
        <v>15</v>
      </c>
      <c r="R182" s="6">
        <v>1</v>
      </c>
      <c r="S182" s="30">
        <v>1</v>
      </c>
      <c r="T182" s="30">
        <v>1</v>
      </c>
      <c r="U182" s="6">
        <v>0</v>
      </c>
      <c r="V182" s="5" t="str">
        <f ca="1">VLOOKUP($W182,OFFSET([5]enemy_skill_sets!$B$1,0,0,COUNTA([5]enemy_skill_sets!$B:$B),MATCH(M$1,[5]enemy_skill_sets!$1:$1,0)-MATCH($W$1,[5]enemy_skill_sets!$1:$1,0)+2),MATCH(M$1,[5]enemy_skill_sets!$1:$1,0)-MATCH($W$1,[5]enemy_skill_sets!$1:$1,0)+2,FALSE)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2" s="5">
        <f ca="1">VLOOKUP($L182,OFFSET([3]enemies!$A$1,0,0,COUNTA([3]enemies!$A:$A),MATCH(W$1,[3]enemies!$1:$1,0)-MATCH($L$1,[3]enemies!$1:$1,0)+1),MATCH(W$1,[3]enemies!$1:$1,0)-MATCH($L$1,[3]enemies!$1:$1,0)+1,FALSE)</f>
        <v>0</v>
      </c>
      <c r="X182" s="7">
        <v>0</v>
      </c>
      <c r="Y182" s="7">
        <v>30</v>
      </c>
      <c r="Z182" s="7">
        <v>0</v>
      </c>
      <c r="AA182" s="20">
        <f ca="1">VLOOKUP($L182,OFFSET([3]enemies!$A$1,0,0,COUNTA([3]enemies!$A:$A),MATCH(AA$1,[3]enemies!$1:$1,0)-MATCH($L$1,[3]enemies!$1:$1,0)+1),MATCH(AA$1,[3]enemies!$1:$1,0)-MATCH($L$1,[3]enemies!$1:$1,0)+1,FALSE)</f>
        <v>2</v>
      </c>
      <c r="AB182" s="24">
        <v>345</v>
      </c>
      <c r="AC182" s="5" t="str">
        <f ca="1">IFERROR(VLOOKUP($AB182,OFFSET([4]characters!$A$1,0,0,COUNTA([4]characters!$A:$A),MATCH(AC$1,[4]characters!$1:$1,0)-MATCH("character_id",[4]characters!$1:$1,0)+1),MATCH(AC$1,[4]characters!$1:$1,0)-MATCH("character_id",[4]characters!$1:$1,0)+1,FALSE),"")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82" s="5">
        <f ca="1">IFERROR(VLOOKUP($AB182,OFFSET([4]characters!$A$1,0,0,COUNTA([4]characters!$A:$A),MATCH(AD$1,[4]characters!$1:$1,0)-MATCH("character_id",[4]characters!$1:$1,0)+1),MATCH(AD$1,[4]characters!$1:$1,0)-MATCH("character_id",[4]characters!$1:$1,0)+1,FALSE),"")</f>
        <v>4</v>
      </c>
      <c r="AE182" s="5" t="str">
        <f ca="1">IFERROR(VLOOKUP($AB182,OFFSET([4]characters!$A$1,0,0,COUNTA([4]characters!$A:$A),MATCH(AE$1,[4]characters!$1:$1,0)-MATCH("character_id",[4]characters!$1:$1,0)+1),MATCH(AE$1,[4]characters!$1:$1,0)-MATCH("character_id",[4]characters!$1:$1,0)+1,FALSE),"")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2" s="8">
        <v>1</v>
      </c>
      <c r="AG182" s="27">
        <f t="shared" ca="1" si="56"/>
        <v>4</v>
      </c>
      <c r="AH182" s="9">
        <v>5</v>
      </c>
      <c r="AI182" s="8">
        <v>0</v>
      </c>
      <c r="AJ182" s="8">
        <v>0</v>
      </c>
      <c r="AK182" s="8">
        <v>0</v>
      </c>
      <c r="AL182" s="8">
        <v>0</v>
      </c>
      <c r="AM182" s="8">
        <v>1</v>
      </c>
      <c r="AN182" s="8">
        <v>1</v>
      </c>
    </row>
    <row r="183" spans="1:40" ht="21" customHeight="1" x14ac:dyDescent="0.15">
      <c r="A183" s="17" t="str">
        <f t="shared" ca="1" si="54"/>
        <v>11008_3-4/115&lt;lv30&gt;s2</v>
      </c>
      <c r="B183" s="73">
        <v>11008</v>
      </c>
      <c r="C183" s="74">
        <v>3</v>
      </c>
      <c r="D183" s="2" t="str">
        <f t="shared" si="55"/>
        <v>11008_3</v>
      </c>
      <c r="E183" s="5" t="str">
        <f ca="1">VLOOKUP($B183,OFFSET([2]quests!$A$1,0,0,COUNTA([2]quests!$A:$A),MATCH(E$1,[2]quests!$1:$1,0)-MATCH($B$1,[2]quests!$1:$1,0)+1),MATCH(E$1,[2]quests!$1:$1,0)-MATCH($B$1,[2]quests!$1:$1,0)+1,FALSE)</f>
        <v>【日曜限定】 青と黄の素材</v>
      </c>
      <c r="F183" s="5" t="str">
        <f ca="1">VLOOKUP($D183,OFFSET([2]stages!$A$1,0,0,COUNTA([2]stages!$A:$A),MATCH(F$1,[2]stages!$2:$2,0)-MATCH($D$1,[2]stages!$2:$2,0)+1),MATCH(F$1,[2]stages!$2:$2,0)-MATCH($D$1,[2]stages!$2:$2,0)+1,FALSE)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3" s="25">
        <v>4</v>
      </c>
      <c r="H183" s="16" t="str">
        <f t="shared" si="53"/>
        <v>11008_3-4</v>
      </c>
      <c r="I183" s="5">
        <f ca="1">VLOOKUP($H183,OFFSET(floors!$A$1,0,0,COUNTA(floors!$A:$A),MATCH(I$1,floors!$1:$1,0)-MATCH($H$1,floors!$1:$1,0)+1),MATCH(I$1,floors!$1:$1,0)-MATCH($H$1,floors!$1:$1,0)+1,FALSE)</f>
        <v>45</v>
      </c>
      <c r="J183" s="5">
        <f ca="1">VLOOKUP($H183,OFFSET(floors!$A$1,0,0,COUNTA(floors!$A:$A),MATCH(J$1,floors!$1:$1,0)-MATCH($H$1,floors!$1:$1,0)+1),MATCH(J$1,floors!$1:$1,0)-MATCH($H$1,floors!$1:$1,0)+1,FALSE)</f>
        <v>60</v>
      </c>
      <c r="K183" s="24" t="s">
        <v>172</v>
      </c>
      <c r="L183" s="24">
        <v>115</v>
      </c>
      <c r="M183" s="20" t="str">
        <f ca="1">VLOOKUP($L183,OFFSET([3]enemies!$A$1,0,0,COUNTA([3]enemies!$A:$A),MATCH(M$1,[3]enemies!$1:$1,0)-MATCH($L$1,[3]enemies!$1:$1,0)+1),MATCH(M$1,[3]enemies!$1:$1,0)-MATCH($L$1,[3]enemies!$1:$1,0)+1,FALSE)</f>
        <v>イエローキャタップ</v>
      </c>
      <c r="N183" s="20" t="str">
        <f ca="1">VLOOKUP($L183,OFFSET([3]enemies!$A$1,0,0,COUNTA([3]enemies!$A:$A),MATCH(N$1,[3]enemies!$1:$1,0)-MATCH($L$1,[3]enemies!$1:$1,0)+1),MATCH(N$1,[3]enemies!$1:$1,0)-MATCH($L$1,[3]enemies!$1:$1,0)+1,FALSE)</f>
        <v>yellow</v>
      </c>
      <c r="O183" s="22" t="str">
        <f ca="1">VLOOKUP($L183,OFFSET([4]characters!$A$1,0,0,COUNTA([4]characters!$A:$A),MATCH(O$1,[4]characters!$1:$1,0)-MATCH($L$1,[4]characters!$1:$1,0)+1),MATCH(O$1,[4]characters!$1:$1,0)-MATCH($L$1,[4]characters!$1:$1,0)+1,FALSE)</f>
        <v>Material</v>
      </c>
      <c r="P183" s="20" t="str">
        <f ca="1">VLOOKUP($L183,OFFSET([3]enemies!$A$1,0,0,COUNTA([3]enemies!$A:$A),MATCH(P$1,[3]enemies!$1:$1,0)-MATCH($L$1,[3]enemies!$1:$1,0)+1),MATCH(P$1,[3]enemies!$1:$1,0)-MATCH($L$1,[3]enemies!$1:$1,0)+1,FALSE)</f>
        <v>unknown</v>
      </c>
      <c r="Q183" s="20">
        <f ca="1">VLOOKUP($L183,OFFSET([3]enemies!$A$1,0,0,COUNTA([3]enemies!$A:$A),MATCH(Q$1,[3]enemies!$1:$1,0)-MATCH($L$1,[3]enemies!$1:$1,0)+1),MATCH(Q$1,[3]enemies!$1:$1,0)-MATCH($L$1,[3]enemies!$1:$1,0)+1,FALSE)</f>
        <v>15</v>
      </c>
      <c r="R183" s="6">
        <v>30</v>
      </c>
      <c r="S183" s="30">
        <v>2</v>
      </c>
      <c r="T183" s="30">
        <v>1</v>
      </c>
      <c r="U183" s="6">
        <v>0</v>
      </c>
      <c r="V183" s="5" t="str">
        <f ca="1">VLOOKUP($W183,OFFSET([5]enemy_skill_sets!$B$1,0,0,COUNTA([5]enemy_skill_sets!$B:$B),MATCH(M$1,[5]enemy_skill_sets!$1:$1,0)-MATCH($W$1,[5]enemy_skill_sets!$1:$1,0)+2),MATCH(M$1,[5]enemy_skill_sets!$1:$1,0)-MATCH($W$1,[5]enemy_skill_sets!$1:$1,0)+2,FALSE)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3" s="5">
        <f ca="1">VLOOKUP($L183,OFFSET([3]enemies!$A$1,0,0,COUNTA([3]enemies!$A:$A),MATCH(W$1,[3]enemies!$1:$1,0)-MATCH($L$1,[3]enemies!$1:$1,0)+1),MATCH(W$1,[3]enemies!$1:$1,0)-MATCH($L$1,[3]enemies!$1:$1,0)+1,FALSE)</f>
        <v>0</v>
      </c>
      <c r="X183" s="7">
        <v>0</v>
      </c>
      <c r="Y183" s="7">
        <v>50</v>
      </c>
      <c r="Z183" s="7">
        <v>1</v>
      </c>
      <c r="AA183" s="20">
        <f ca="1">VLOOKUP($L183,OFFSET([3]enemies!$A$1,0,0,COUNTA([3]enemies!$A:$A),MATCH(AA$1,[3]enemies!$1:$1,0)-MATCH($L$1,[3]enemies!$1:$1,0)+1),MATCH(AA$1,[3]enemies!$1:$1,0)-MATCH($L$1,[3]enemies!$1:$1,0)+1,FALSE)</f>
        <v>2</v>
      </c>
      <c r="AB183" s="24">
        <v>115</v>
      </c>
      <c r="AC183" s="5" t="str">
        <f ca="1">IFERROR(VLOOKUP($AB183,OFFSET([4]characters!$A$1,0,0,COUNTA([4]characters!$A:$A),MATCH(AC$1,[4]characters!$1:$1,0)-MATCH("character_id",[4]characters!$1:$1,0)+1),MATCH(AC$1,[4]characters!$1:$1,0)-MATCH("character_id",[4]characters!$1:$1,0)+1,FALSE),"")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83" s="5">
        <f ca="1">IFERROR(VLOOKUP($AB183,OFFSET([4]characters!$A$1,0,0,COUNTA([4]characters!$A:$A),MATCH(AD$1,[4]characters!$1:$1,0)-MATCH("character_id",[4]characters!$1:$1,0)+1),MATCH(AD$1,[4]characters!$1:$1,0)-MATCH("character_id",[4]characters!$1:$1,0)+1,FALSE),"")</f>
        <v>4</v>
      </c>
      <c r="AE183" s="5" t="str">
        <f ca="1">IFERROR(VLOOKUP($AB183,OFFSET([4]characters!$A$1,0,0,COUNTA([4]characters!$A:$A),MATCH(AE$1,[4]characters!$1:$1,0)-MATCH("character_id",[4]characters!$1:$1,0)+1),MATCH(AE$1,[4]characters!$1:$1,0)-MATCH("character_id",[4]characters!$1:$1,0)+1,FALSE),"")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3" s="8">
        <v>1</v>
      </c>
      <c r="AG183" s="27">
        <f t="shared" ca="1" si="56"/>
        <v>4</v>
      </c>
      <c r="AH183" s="9">
        <v>100</v>
      </c>
      <c r="AI183" s="8">
        <v>0</v>
      </c>
      <c r="AJ183" s="8">
        <v>0</v>
      </c>
      <c r="AK183" s="8">
        <v>0</v>
      </c>
      <c r="AL183" s="8">
        <v>0</v>
      </c>
      <c r="AM183" s="8">
        <v>1</v>
      </c>
      <c r="AN183" s="8">
        <v>1</v>
      </c>
    </row>
    <row r="184" spans="1:40" ht="21" customHeight="1" x14ac:dyDescent="0.15">
      <c r="A184" s="17" t="str">
        <f t="shared" ca="1" si="54"/>
        <v>11008_3-4/39&lt;lv35&gt;s3</v>
      </c>
      <c r="B184" s="73">
        <v>11008</v>
      </c>
      <c r="C184" s="74">
        <v>3</v>
      </c>
      <c r="D184" s="2" t="str">
        <f t="shared" si="55"/>
        <v>11008_3</v>
      </c>
      <c r="E184" s="5" t="str">
        <f ca="1">VLOOKUP($B184,OFFSET([2]quests!$A$1,0,0,COUNTA([2]quests!$A:$A),MATCH(E$1,[2]quests!$1:$1,0)-MATCH($B$1,[2]quests!$1:$1,0)+1),MATCH(E$1,[2]quests!$1:$1,0)-MATCH($B$1,[2]quests!$1:$1,0)+1,FALSE)</f>
        <v>【日曜限定】 青と黄の素材</v>
      </c>
      <c r="F184" s="5" t="str">
        <f ca="1">VLOOKUP($D184,OFFSET([2]stages!$A$1,0,0,COUNTA([2]stages!$A:$A),MATCH(F$1,[2]stages!$2:$2,0)-MATCH($D$1,[2]stages!$2:$2,0)+1),MATCH(F$1,[2]stages!$2:$2,0)-MATCH($D$1,[2]stages!$2:$2,0)+1,FALSE)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4" s="25">
        <v>4</v>
      </c>
      <c r="H184" s="16" t="str">
        <f t="shared" si="53"/>
        <v>11008_3-4</v>
      </c>
      <c r="I184" s="5">
        <f ca="1">VLOOKUP($H184,OFFSET(floors!$A$1,0,0,COUNTA(floors!$A:$A),MATCH(I$1,floors!$1:$1,0)-MATCH($H$1,floors!$1:$1,0)+1),MATCH(I$1,floors!$1:$1,0)-MATCH($H$1,floors!$1:$1,0)+1,FALSE)</f>
        <v>45</v>
      </c>
      <c r="J184" s="5">
        <f ca="1">VLOOKUP($H184,OFFSET(floors!$A$1,0,0,COUNTA(floors!$A:$A),MATCH(J$1,floors!$1:$1,0)-MATCH($H$1,floors!$1:$1,0)+1),MATCH(J$1,floors!$1:$1,0)-MATCH($H$1,floors!$1:$1,0)+1,FALSE)</f>
        <v>60</v>
      </c>
      <c r="K184" s="24" t="s">
        <v>172</v>
      </c>
      <c r="L184" s="24">
        <v>39</v>
      </c>
      <c r="M184" s="20" t="str">
        <f ca="1">VLOOKUP($L184,OFFSET([3]enemies!$A$1,0,0,COUNTA([3]enemies!$A:$A),MATCH(M$1,[3]enemies!$1:$1,0)-MATCH($L$1,[3]enemies!$1:$1,0)+1),MATCH(M$1,[3]enemies!$1:$1,0)-MATCH($L$1,[3]enemies!$1:$1,0)+1,FALSE)</f>
        <v>マーロン</v>
      </c>
      <c r="N184" s="20" t="str">
        <f ca="1">VLOOKUP($L184,OFFSET([3]enemies!$A$1,0,0,COUNTA([3]enemies!$A:$A),MATCH(N$1,[3]enemies!$1:$1,0)-MATCH($L$1,[3]enemies!$1:$1,0)+1),MATCH(N$1,[3]enemies!$1:$1,0)-MATCH($L$1,[3]enemies!$1:$1,0)+1,FALSE)</f>
        <v>yellow</v>
      </c>
      <c r="O184" s="22" t="str">
        <f ca="1">VLOOKUP($L184,OFFSET([4]characters!$A$1,0,0,COUNTA([4]characters!$A:$A),MATCH(O$1,[4]characters!$1:$1,0)-MATCH($L$1,[4]characters!$1:$1,0)+1),MATCH(O$1,[4]characters!$1:$1,0)-MATCH($L$1,[4]characters!$1:$1,0)+1,FALSE)</f>
        <v>Drop1S</v>
      </c>
      <c r="P184" s="20" t="str">
        <f ca="1">VLOOKUP($L184,OFFSET([3]enemies!$A$1,0,0,COUNTA([3]enemies!$A:$A),MATCH(P$1,[3]enemies!$1:$1,0)-MATCH($L$1,[3]enemies!$1:$1,0)+1),MATCH(P$1,[3]enemies!$1:$1,0)-MATCH($L$1,[3]enemies!$1:$1,0)+1,FALSE)</f>
        <v>human</v>
      </c>
      <c r="Q184" s="20">
        <f ca="1">VLOOKUP($L184,OFFSET([3]enemies!$A$1,0,0,COUNTA([3]enemies!$A:$A),MATCH(Q$1,[3]enemies!$1:$1,0)-MATCH($L$1,[3]enemies!$1:$1,0)+1),MATCH(Q$1,[3]enemies!$1:$1,0)-MATCH($L$1,[3]enemies!$1:$1,0)+1,FALSE)</f>
        <v>15</v>
      </c>
      <c r="R184" s="6">
        <v>35</v>
      </c>
      <c r="S184" s="30">
        <v>1</v>
      </c>
      <c r="T184" s="30">
        <v>1</v>
      </c>
      <c r="U184" s="6">
        <v>0</v>
      </c>
      <c r="V184" s="5" t="str">
        <f ca="1">VLOOKUP($W184,OFFSET([5]enemy_skill_sets!$B$1,0,0,COUNTA([5]enemy_skill_sets!$B:$B),MATCH(M$1,[5]enemy_skill_sets!$1:$1,0)-MATCH($W$1,[5]enemy_skill_sets!$1:$1,0)+2),MATCH(M$1,[5]enemy_skill_sets!$1:$1,0)-MATCH($W$1,[5]enemy_skill_sets!$1:$1,0)+2,FALSE)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84" s="5">
        <f ca="1">VLOOKUP($L184,OFFSET([3]enemies!$A$1,0,0,COUNTA([3]enemies!$A:$A),MATCH(W$1,[3]enemies!$1:$1,0)-MATCH($L$1,[3]enemies!$1:$1,0)+1),MATCH(W$1,[3]enemies!$1:$1,0)-MATCH($L$1,[3]enemies!$1:$1,0)+1,FALSE)</f>
        <v>39</v>
      </c>
      <c r="X184" s="7">
        <v>0</v>
      </c>
      <c r="Y184" s="7">
        <v>100</v>
      </c>
      <c r="Z184" s="7">
        <v>0</v>
      </c>
      <c r="AA184" s="20">
        <f ca="1">VLOOKUP($L184,OFFSET([3]enemies!$A$1,0,0,COUNTA([3]enemies!$A:$A),MATCH(AA$1,[3]enemies!$1:$1,0)-MATCH($L$1,[3]enemies!$1:$1,0)+1),MATCH(AA$1,[3]enemies!$1:$1,0)-MATCH($L$1,[3]enemies!$1:$1,0)+1,FALSE)</f>
        <v>3</v>
      </c>
      <c r="AB184" s="24">
        <v>39</v>
      </c>
      <c r="AC184" s="5" t="str">
        <f ca="1">IFERROR(VLOOKUP($AB184,OFFSET([4]characters!$A$1,0,0,COUNTA([4]characters!$A:$A),MATCH(AC$1,[4]characters!$1:$1,0)-MATCH("character_id",[4]characters!$1:$1,0)+1),MATCH(AC$1,[4]characters!$1:$1,0)-MATCH("character_id",[4]characters!$1:$1,0)+1,FALSE),"")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84" s="5">
        <f ca="1">IFERROR(VLOOKUP($AB184,OFFSET([4]characters!$A$1,0,0,COUNTA([4]characters!$A:$A),MATCH(AD$1,[4]characters!$1:$1,0)-MATCH("character_id",[4]characters!$1:$1,0)+1),MATCH(AD$1,[4]characters!$1:$1,0)-MATCH("character_id",[4]characters!$1:$1,0)+1,FALSE),"")</f>
        <v>2</v>
      </c>
      <c r="AE184" s="5" t="str">
        <f ca="1">IFERROR(VLOOKUP($AB184,OFFSET([4]characters!$A$1,0,0,COUNTA([4]characters!$A:$A),MATCH(AE$1,[4]characters!$1:$1,0)-MATCH("character_id",[4]characters!$1:$1,0)+1),MATCH(AE$1,[4]characters!$1:$1,0)-MATCH("character_id",[4]characters!$1:$1,0)+1,FALSE),"")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84" s="8">
        <v>1</v>
      </c>
      <c r="AG184" s="27">
        <f t="shared" ca="1" si="56"/>
        <v>2</v>
      </c>
      <c r="AH184" s="9">
        <v>0</v>
      </c>
      <c r="AI184" s="8">
        <v>0</v>
      </c>
      <c r="AJ184" s="8">
        <v>0</v>
      </c>
      <c r="AK184" s="8">
        <v>0</v>
      </c>
      <c r="AL184" s="8">
        <v>0</v>
      </c>
      <c r="AM184" s="8">
        <v>1</v>
      </c>
      <c r="AN184" s="8">
        <v>1</v>
      </c>
    </row>
    <row r="185" spans="1:40" ht="21" customHeight="1" x14ac:dyDescent="0.15">
      <c r="A185" s="17" t="str">
        <f t="shared" ca="1" si="54"/>
        <v>11008_3-4/31&lt;lv35&gt;s2</v>
      </c>
      <c r="B185" s="73">
        <v>11008</v>
      </c>
      <c r="C185" s="74">
        <v>3</v>
      </c>
      <c r="D185" s="2" t="str">
        <f t="shared" si="55"/>
        <v>11008_3</v>
      </c>
      <c r="E185" s="5" t="str">
        <f ca="1">VLOOKUP($B185,OFFSET([2]quests!$A$1,0,0,COUNTA([2]quests!$A:$A),MATCH(E$1,[2]quests!$1:$1,0)-MATCH($B$1,[2]quests!$1:$1,0)+1),MATCH(E$1,[2]quests!$1:$1,0)-MATCH($B$1,[2]quests!$1:$1,0)+1,FALSE)</f>
        <v>【日曜限定】 青と黄の素材</v>
      </c>
      <c r="F185" s="5" t="str">
        <f ca="1">VLOOKUP($D185,OFFSET([2]stages!$A$1,0,0,COUNTA([2]stages!$A:$A),MATCH(F$1,[2]stages!$2:$2,0)-MATCH($D$1,[2]stages!$2:$2,0)+1),MATCH(F$1,[2]stages!$2:$2,0)-MATCH($D$1,[2]stages!$2:$2,0)+1,FALSE)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5" s="25">
        <v>4</v>
      </c>
      <c r="H185" s="16" t="str">
        <f t="shared" si="53"/>
        <v>11008_3-4</v>
      </c>
      <c r="I185" s="5">
        <f ca="1">VLOOKUP($H185,OFFSET(floors!$A$1,0,0,COUNTA(floors!$A:$A),MATCH(I$1,floors!$1:$1,0)-MATCH($H$1,floors!$1:$1,0)+1),MATCH(I$1,floors!$1:$1,0)-MATCH($H$1,floors!$1:$1,0)+1,FALSE)</f>
        <v>45</v>
      </c>
      <c r="J185" s="5">
        <f ca="1">VLOOKUP($H185,OFFSET(floors!$A$1,0,0,COUNTA(floors!$A:$A),MATCH(J$1,floors!$1:$1,0)-MATCH($H$1,floors!$1:$1,0)+1),MATCH(J$1,floors!$1:$1,0)-MATCH($H$1,floors!$1:$1,0)+1,FALSE)</f>
        <v>60</v>
      </c>
      <c r="K185" s="24" t="s">
        <v>172</v>
      </c>
      <c r="L185" s="24">
        <v>31</v>
      </c>
      <c r="M185" s="20" t="str">
        <f ca="1">VLOOKUP($L185,OFFSET([3]enemies!$A$1,0,0,COUNTA([3]enemies!$A:$A),MATCH(M$1,[3]enemies!$1:$1,0)-MATCH($L$1,[3]enemies!$1:$1,0)+1),MATCH(M$1,[3]enemies!$1:$1,0)-MATCH($L$1,[3]enemies!$1:$1,0)+1,FALSE)</f>
        <v>マービー</v>
      </c>
      <c r="N185" s="20" t="str">
        <f ca="1">VLOOKUP($L185,OFFSET([3]enemies!$A$1,0,0,COUNTA([3]enemies!$A:$A),MATCH(N$1,[3]enemies!$1:$1,0)-MATCH($L$1,[3]enemies!$1:$1,0)+1),MATCH(N$1,[3]enemies!$1:$1,0)-MATCH($L$1,[3]enemies!$1:$1,0)+1,FALSE)</f>
        <v>yellow</v>
      </c>
      <c r="O185" s="22" t="str">
        <f ca="1">VLOOKUP($L185,OFFSET([4]characters!$A$1,0,0,COUNTA([4]characters!$A:$A),MATCH(O$1,[4]characters!$1:$1,0)-MATCH($L$1,[4]characters!$1:$1,0)+1),MATCH(O$1,[4]characters!$1:$1,0)-MATCH($L$1,[4]characters!$1:$1,0)+1,FALSE)</f>
        <v>Drop1N</v>
      </c>
      <c r="P185" s="20" t="str">
        <f ca="1">VLOOKUP($L185,OFFSET([3]enemies!$A$1,0,0,COUNTA([3]enemies!$A:$A),MATCH(P$1,[3]enemies!$1:$1,0)-MATCH($L$1,[3]enemies!$1:$1,0)+1),MATCH(P$1,[3]enemies!$1:$1,0)-MATCH($L$1,[3]enemies!$1:$1,0)+1,FALSE)</f>
        <v>machine</v>
      </c>
      <c r="Q185" s="20">
        <f ca="1">VLOOKUP($L185,OFFSET([3]enemies!$A$1,0,0,COUNTA([3]enemies!$A:$A),MATCH(Q$1,[3]enemies!$1:$1,0)-MATCH($L$1,[3]enemies!$1:$1,0)+1),MATCH(Q$1,[3]enemies!$1:$1,0)-MATCH($L$1,[3]enemies!$1:$1,0)+1,FALSE)</f>
        <v>15</v>
      </c>
      <c r="R185" s="6">
        <v>35</v>
      </c>
      <c r="S185" s="30">
        <v>1</v>
      </c>
      <c r="T185" s="30">
        <v>1</v>
      </c>
      <c r="U185" s="6">
        <v>0</v>
      </c>
      <c r="V185" s="5" t="str">
        <f ca="1">VLOOKUP($W185,OFFSET([5]enemy_skill_sets!$B$1,0,0,COUNTA([5]enemy_skill_sets!$B:$B),MATCH(M$1,[5]enemy_skill_sets!$1:$1,0)-MATCH($W$1,[5]enemy_skill_sets!$1:$1,0)+2),MATCH(M$1,[5]enemy_skill_sets!$1:$1,0)-MATCH($W$1,[5]enemy_skill_sets!$1:$1,0)+2,FALSE)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5" s="5">
        <f ca="1">VLOOKUP($L185,OFFSET([3]enemies!$A$1,0,0,COUNTA([3]enemies!$A:$A),MATCH(W$1,[3]enemies!$1:$1,0)-MATCH($L$1,[3]enemies!$1:$1,0)+1),MATCH(W$1,[3]enemies!$1:$1,0)-MATCH($L$1,[3]enemies!$1:$1,0)+1,FALSE)</f>
        <v>0</v>
      </c>
      <c r="X185" s="7">
        <v>0</v>
      </c>
      <c r="Y185" s="7">
        <v>100</v>
      </c>
      <c r="Z185" s="7">
        <v>0</v>
      </c>
      <c r="AA185" s="20">
        <f ca="1">VLOOKUP($L185,OFFSET([3]enemies!$A$1,0,0,COUNTA([3]enemies!$A:$A),MATCH(AA$1,[3]enemies!$1:$1,0)-MATCH($L$1,[3]enemies!$1:$1,0)+1),MATCH(AA$1,[3]enemies!$1:$1,0)-MATCH($L$1,[3]enemies!$1:$1,0)+1,FALSE)</f>
        <v>2</v>
      </c>
      <c r="AB185" s="24">
        <v>31</v>
      </c>
      <c r="AC185" s="5" t="str">
        <f ca="1">IFERROR(VLOOKUP($AB185,OFFSET([4]characters!$A$1,0,0,COUNTA([4]characters!$A:$A),MATCH(AC$1,[4]characters!$1:$1,0)-MATCH("character_id",[4]characters!$1:$1,0)+1),MATCH(AC$1,[4]characters!$1:$1,0)-MATCH("character_id",[4]characters!$1:$1,0)+1,FALSE),"")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85" s="5">
        <f ca="1">IFERROR(VLOOKUP($AB185,OFFSET([4]characters!$A$1,0,0,COUNTA([4]characters!$A:$A),MATCH(AD$1,[4]characters!$1:$1,0)-MATCH("character_id",[4]characters!$1:$1,0)+1),MATCH(AD$1,[4]characters!$1:$1,0)-MATCH("character_id",[4]characters!$1:$1,0)+1,FALSE),"")</f>
        <v>1</v>
      </c>
      <c r="AE185" s="5" t="str">
        <f ca="1">IFERROR(VLOOKUP($AB185,OFFSET([4]characters!$A$1,0,0,COUNTA([4]characters!$A:$A),MATCH(AE$1,[4]characters!$1:$1,0)-MATCH("character_id",[4]characters!$1:$1,0)+1),MATCH(AE$1,[4]characters!$1:$1,0)-MATCH("character_id",[4]characters!$1:$1,0)+1,FALSE),"")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85" s="8">
        <v>1</v>
      </c>
      <c r="AG185" s="27">
        <f t="shared" ca="1" si="56"/>
        <v>1</v>
      </c>
      <c r="AH185" s="9">
        <v>0</v>
      </c>
      <c r="AI185" s="8">
        <v>0</v>
      </c>
      <c r="AJ185" s="8">
        <v>0</v>
      </c>
      <c r="AK185" s="8">
        <v>0</v>
      </c>
      <c r="AL185" s="8">
        <v>0</v>
      </c>
      <c r="AM185" s="8">
        <v>1</v>
      </c>
      <c r="AN185" s="8">
        <v>1</v>
      </c>
    </row>
    <row r="186" spans="1:40" ht="21" customHeight="1" x14ac:dyDescent="0.15">
      <c r="A186" s="17" t="str">
        <f t="shared" ca="1" si="54"/>
        <v>11008_3-5/115&lt;lv30&gt;s2</v>
      </c>
      <c r="B186" s="73">
        <v>11008</v>
      </c>
      <c r="C186" s="74">
        <v>3</v>
      </c>
      <c r="D186" s="2" t="str">
        <f t="shared" si="55"/>
        <v>11008_3</v>
      </c>
      <c r="E186" s="5" t="str">
        <f ca="1">VLOOKUP($B186,OFFSET([2]quests!$A$1,0,0,COUNTA([2]quests!$A:$A),MATCH(E$1,[2]quests!$1:$1,0)-MATCH($B$1,[2]quests!$1:$1,0)+1),MATCH(E$1,[2]quests!$1:$1,0)-MATCH($B$1,[2]quests!$1:$1,0)+1,FALSE)</f>
        <v>【日曜限定】 青と黄の素材</v>
      </c>
      <c r="F186" s="5" t="str">
        <f ca="1">VLOOKUP($D186,OFFSET([2]stages!$A$1,0,0,COUNTA([2]stages!$A:$A),MATCH(F$1,[2]stages!$2:$2,0)-MATCH($D$1,[2]stages!$2:$2,0)+1),MATCH(F$1,[2]stages!$2:$2,0)-MATCH($D$1,[2]stages!$2:$2,0)+1,FALSE)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6" s="25">
        <v>5</v>
      </c>
      <c r="H186" s="16" t="str">
        <f t="shared" si="53"/>
        <v>11008_3-5</v>
      </c>
      <c r="I186" s="5">
        <f ca="1">VLOOKUP($H186,OFFSET(floors!$A$1,0,0,COUNTA(floors!$A:$A),MATCH(I$1,floors!$1:$1,0)-MATCH($H$1,floors!$1:$1,0)+1),MATCH(I$1,floors!$1:$1,0)-MATCH($H$1,floors!$1:$1,0)+1,FALSE)</f>
        <v>60</v>
      </c>
      <c r="J186" s="5">
        <f ca="1">VLOOKUP($H186,OFFSET(floors!$A$1,0,0,COUNTA(floors!$A:$A),MATCH(J$1,floors!$1:$1,0)-MATCH($H$1,floors!$1:$1,0)+1),MATCH(J$1,floors!$1:$1,0)-MATCH($H$1,floors!$1:$1,0)+1,FALSE)</f>
        <v>60</v>
      </c>
      <c r="K186" s="24" t="s">
        <v>172</v>
      </c>
      <c r="L186" s="24">
        <v>115</v>
      </c>
      <c r="M186" s="20" t="str">
        <f ca="1">VLOOKUP($L186,OFFSET([3]enemies!$A$1,0,0,COUNTA([3]enemies!$A:$A),MATCH(M$1,[3]enemies!$1:$1,0)-MATCH($L$1,[3]enemies!$1:$1,0)+1),MATCH(M$1,[3]enemies!$1:$1,0)-MATCH($L$1,[3]enemies!$1:$1,0)+1,FALSE)</f>
        <v>イエローキャタップ</v>
      </c>
      <c r="N186" s="20" t="str">
        <f ca="1">VLOOKUP($L186,OFFSET([3]enemies!$A$1,0,0,COUNTA([3]enemies!$A:$A),MATCH(N$1,[3]enemies!$1:$1,0)-MATCH($L$1,[3]enemies!$1:$1,0)+1),MATCH(N$1,[3]enemies!$1:$1,0)-MATCH($L$1,[3]enemies!$1:$1,0)+1,FALSE)</f>
        <v>yellow</v>
      </c>
      <c r="O186" s="22" t="str">
        <f ca="1">VLOOKUP($L186,OFFSET([4]characters!$A$1,0,0,COUNTA([4]characters!$A:$A),MATCH(O$1,[4]characters!$1:$1,0)-MATCH($L$1,[4]characters!$1:$1,0)+1),MATCH(O$1,[4]characters!$1:$1,0)-MATCH($L$1,[4]characters!$1:$1,0)+1,FALSE)</f>
        <v>Material</v>
      </c>
      <c r="P186" s="20" t="str">
        <f ca="1">VLOOKUP($L186,OFFSET([3]enemies!$A$1,0,0,COUNTA([3]enemies!$A:$A),MATCH(P$1,[3]enemies!$1:$1,0)-MATCH($L$1,[3]enemies!$1:$1,0)+1),MATCH(P$1,[3]enemies!$1:$1,0)-MATCH($L$1,[3]enemies!$1:$1,0)+1,FALSE)</f>
        <v>unknown</v>
      </c>
      <c r="Q186" s="20">
        <f ca="1">VLOOKUP($L186,OFFSET([3]enemies!$A$1,0,0,COUNTA([3]enemies!$A:$A),MATCH(Q$1,[3]enemies!$1:$1,0)-MATCH($L$1,[3]enemies!$1:$1,0)+1),MATCH(Q$1,[3]enemies!$1:$1,0)-MATCH($L$1,[3]enemies!$1:$1,0)+1,FALSE)</f>
        <v>15</v>
      </c>
      <c r="R186" s="6">
        <v>30</v>
      </c>
      <c r="S186" s="30">
        <v>2</v>
      </c>
      <c r="T186" s="30">
        <v>1</v>
      </c>
      <c r="U186" s="6">
        <v>0</v>
      </c>
      <c r="V186" s="5" t="str">
        <f ca="1">VLOOKUP($W186,OFFSET([5]enemy_skill_sets!$B$1,0,0,COUNTA([5]enemy_skill_sets!$B:$B),MATCH(M$1,[5]enemy_skill_sets!$1:$1,0)-MATCH($W$1,[5]enemy_skill_sets!$1:$1,0)+2),MATCH(M$1,[5]enemy_skill_sets!$1:$1,0)-MATCH($W$1,[5]enemy_skill_sets!$1:$1,0)+2,FALSE)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6" s="5">
        <f ca="1">VLOOKUP($L186,OFFSET([3]enemies!$A$1,0,0,COUNTA([3]enemies!$A:$A),MATCH(W$1,[3]enemies!$1:$1,0)-MATCH($L$1,[3]enemies!$1:$1,0)+1),MATCH(W$1,[3]enemies!$1:$1,0)-MATCH($L$1,[3]enemies!$1:$1,0)+1,FALSE)</f>
        <v>0</v>
      </c>
      <c r="X186" s="7">
        <v>0</v>
      </c>
      <c r="Y186" s="7">
        <v>100</v>
      </c>
      <c r="Z186" s="7">
        <v>2</v>
      </c>
      <c r="AA186" s="20">
        <f ca="1">VLOOKUP($L186,OFFSET([3]enemies!$A$1,0,0,COUNTA([3]enemies!$A:$A),MATCH(AA$1,[3]enemies!$1:$1,0)-MATCH($L$1,[3]enemies!$1:$1,0)+1),MATCH(AA$1,[3]enemies!$1:$1,0)-MATCH($L$1,[3]enemies!$1:$1,0)+1,FALSE)</f>
        <v>2</v>
      </c>
      <c r="AB186" s="24">
        <v>115</v>
      </c>
      <c r="AC186" s="5" t="str">
        <f ca="1">IFERROR(VLOOKUP($AB186,OFFSET([4]characters!$A$1,0,0,COUNTA([4]characters!$A:$A),MATCH(AC$1,[4]characters!$1:$1,0)-MATCH("character_id",[4]characters!$1:$1,0)+1),MATCH(AC$1,[4]characters!$1:$1,0)-MATCH("character_id",[4]characters!$1:$1,0)+1,FALSE),"")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86" s="5">
        <f ca="1">IFERROR(VLOOKUP($AB186,OFFSET([4]characters!$A$1,0,0,COUNTA([4]characters!$A:$A),MATCH(AD$1,[4]characters!$1:$1,0)-MATCH("character_id",[4]characters!$1:$1,0)+1),MATCH(AD$1,[4]characters!$1:$1,0)-MATCH("character_id",[4]characters!$1:$1,0)+1,FALSE),"")</f>
        <v>4</v>
      </c>
      <c r="AE186" s="5" t="str">
        <f ca="1">IFERROR(VLOOKUP($AB186,OFFSET([4]characters!$A$1,0,0,COUNTA([4]characters!$A:$A),MATCH(AE$1,[4]characters!$1:$1,0)-MATCH("character_id",[4]characters!$1:$1,0)+1),MATCH(AE$1,[4]characters!$1:$1,0)-MATCH("character_id",[4]characters!$1:$1,0)+1,FALSE),"")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6" s="8">
        <v>1</v>
      </c>
      <c r="AG186" s="27">
        <f t="shared" ca="1" si="56"/>
        <v>4</v>
      </c>
      <c r="AH186" s="130">
        <v>50</v>
      </c>
      <c r="AI186" s="8">
        <v>0</v>
      </c>
      <c r="AJ186" s="8">
        <v>0</v>
      </c>
      <c r="AK186" s="8">
        <v>0</v>
      </c>
      <c r="AL186" s="8">
        <v>0</v>
      </c>
      <c r="AM186" s="8">
        <v>1</v>
      </c>
      <c r="AN186" s="8">
        <v>1</v>
      </c>
    </row>
    <row r="187" spans="1:40" ht="21" customHeight="1" x14ac:dyDescent="0.15">
      <c r="A187" s="17" t="str">
        <f t="shared" ca="1" si="54"/>
        <v>11008_3-5/132&lt;lv30&gt;s3</v>
      </c>
      <c r="B187" s="73">
        <v>11008</v>
      </c>
      <c r="C187" s="74">
        <v>3</v>
      </c>
      <c r="D187" s="2" t="str">
        <f t="shared" si="55"/>
        <v>11008_3</v>
      </c>
      <c r="E187" s="5" t="str">
        <f ca="1">VLOOKUP($B187,OFFSET([2]quests!$A$1,0,0,COUNTA([2]quests!$A:$A),MATCH(E$1,[2]quests!$1:$1,0)-MATCH($B$1,[2]quests!$1:$1,0)+1),MATCH(E$1,[2]quests!$1:$1,0)-MATCH($B$1,[2]quests!$1:$1,0)+1,FALSE)</f>
        <v>【日曜限定】 青と黄の素材</v>
      </c>
      <c r="F187" s="5" t="str">
        <f ca="1">VLOOKUP($D187,OFFSET([2]stages!$A$1,0,0,COUNTA([2]stages!$A:$A),MATCH(F$1,[2]stages!$2:$2,0)-MATCH($D$1,[2]stages!$2:$2,0)+1),MATCH(F$1,[2]stages!$2:$2,0)-MATCH($D$1,[2]stages!$2:$2,0)+1,FALSE)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7" s="25">
        <v>5</v>
      </c>
      <c r="H187" s="16" t="str">
        <f t="shared" si="53"/>
        <v>11008_3-5</v>
      </c>
      <c r="I187" s="5">
        <f ca="1">VLOOKUP($H187,OFFSET(floors!$A$1,0,0,COUNTA(floors!$A:$A),MATCH(I$1,floors!$1:$1,0)-MATCH($H$1,floors!$1:$1,0)+1),MATCH(I$1,floors!$1:$1,0)-MATCH($H$1,floors!$1:$1,0)+1,FALSE)</f>
        <v>60</v>
      </c>
      <c r="J187" s="5">
        <f ca="1">VLOOKUP($H187,OFFSET(floors!$A$1,0,0,COUNTA(floors!$A:$A),MATCH(J$1,floors!$1:$1,0)-MATCH($H$1,floors!$1:$1,0)+1),MATCH(J$1,floors!$1:$1,0)-MATCH($H$1,floors!$1:$1,0)+1,FALSE)</f>
        <v>60</v>
      </c>
      <c r="K187" s="24" t="s">
        <v>172</v>
      </c>
      <c r="L187" s="24">
        <v>132</v>
      </c>
      <c r="M187" s="20" t="str">
        <f ca="1">VLOOKUP($L187,OFFSET([3]enemies!$A$1,0,0,COUNTA([3]enemies!$A:$A),MATCH(M$1,[3]enemies!$1:$1,0)-MATCH($L$1,[3]enemies!$1:$1,0)+1),MATCH(M$1,[3]enemies!$1:$1,0)-MATCH($L$1,[3]enemies!$1:$1,0)+1,FALSE)</f>
        <v>鳥人ハヤト</v>
      </c>
      <c r="N187" s="20" t="str">
        <f ca="1">VLOOKUP($L187,OFFSET([3]enemies!$A$1,0,0,COUNTA([3]enemies!$A:$A),MATCH(N$1,[3]enemies!$1:$1,0)-MATCH($L$1,[3]enemies!$1:$1,0)+1),MATCH(N$1,[3]enemies!$1:$1,0)-MATCH($L$1,[3]enemies!$1:$1,0)+1,FALSE)</f>
        <v>yellow</v>
      </c>
      <c r="O187" s="22" t="str">
        <f ca="1">VLOOKUP($L187,OFFSET([4]characters!$A$1,0,0,COUNTA([4]characters!$A:$A),MATCH(O$1,[4]characters!$1:$1,0)-MATCH($L$1,[4]characters!$1:$1,0)+1),MATCH(O$1,[4]characters!$1:$1,0)-MATCH($L$1,[4]characters!$1:$1,0)+1,FALSE)</f>
        <v>PremiumW</v>
      </c>
      <c r="P187" s="20" t="str">
        <f ca="1">VLOOKUP($L187,OFFSET([3]enemies!$A$1,0,0,COUNTA([3]enemies!$A:$A),MATCH(P$1,[3]enemies!$1:$1,0)-MATCH($L$1,[3]enemies!$1:$1,0)+1),MATCH(P$1,[3]enemies!$1:$1,0)-MATCH($L$1,[3]enemies!$1:$1,0)+1,FALSE)</f>
        <v>human</v>
      </c>
      <c r="Q187" s="20">
        <f ca="1">VLOOKUP($L187,OFFSET([3]enemies!$A$1,0,0,COUNTA([3]enemies!$A:$A),MATCH(Q$1,[3]enemies!$1:$1,0)-MATCH($L$1,[3]enemies!$1:$1,0)+1),MATCH(Q$1,[3]enemies!$1:$1,0)-MATCH($L$1,[3]enemies!$1:$1,0)+1,FALSE)</f>
        <v>20</v>
      </c>
      <c r="R187" s="6">
        <v>30</v>
      </c>
      <c r="S187" s="30">
        <v>1</v>
      </c>
      <c r="T187" s="30">
        <v>1</v>
      </c>
      <c r="U187" s="6">
        <v>0</v>
      </c>
      <c r="V187" s="5" t="str">
        <f ca="1">VLOOKUP($W187,OFFSET([5]enemy_skill_sets!$B$1,0,0,COUNTA([5]enemy_skill_sets!$B:$B),MATCH(M$1,[5]enemy_skill_sets!$1:$1,0)-MATCH($W$1,[5]enemy_skill_sets!$1:$1,0)+2),MATCH(M$1,[5]enemy_skill_sets!$1:$1,0)-MATCH($W$1,[5]enemy_skill_sets!$1:$1,0)+2,FALSE)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7" s="5">
        <f ca="1">VLOOKUP($L187,OFFSET([3]enemies!$A$1,0,0,COUNTA([3]enemies!$A:$A),MATCH(W$1,[3]enemies!$1:$1,0)-MATCH($L$1,[3]enemies!$1:$1,0)+1),MATCH(W$1,[3]enemies!$1:$1,0)-MATCH($L$1,[3]enemies!$1:$1,0)+1,FALSE)</f>
        <v>0</v>
      </c>
      <c r="X187" s="7">
        <v>0</v>
      </c>
      <c r="Y187" s="7">
        <v>100</v>
      </c>
      <c r="Z187" s="7">
        <v>0</v>
      </c>
      <c r="AA187" s="20">
        <f ca="1">VLOOKUP($L187,OFFSET([3]enemies!$A$1,0,0,COUNTA([3]enemies!$A:$A),MATCH(AA$1,[3]enemies!$1:$1,0)-MATCH($L$1,[3]enemies!$1:$1,0)+1),MATCH(AA$1,[3]enemies!$1:$1,0)-MATCH($L$1,[3]enemies!$1:$1,0)+1,FALSE)</f>
        <v>3</v>
      </c>
      <c r="AB187" s="24">
        <v>132</v>
      </c>
      <c r="AC187" s="5" t="str">
        <f ca="1">IFERROR(VLOOKUP($AB187,OFFSET([4]characters!$A$1,0,0,COUNTA([4]characters!$A:$A),MATCH(AC$1,[4]characters!$1:$1,0)-MATCH("character_id",[4]characters!$1:$1,0)+1),MATCH(AC$1,[4]characters!$1:$1,0)-MATCH("character_id",[4]characters!$1:$1,0)+1,FALSE),"")</f>
        <v>鳥人ハヤト</v>
      </c>
      <c r="AD187" s="5">
        <f ca="1">IFERROR(VLOOKUP($AB187,OFFSET([4]characters!$A$1,0,0,COUNTA([4]characters!$A:$A),MATCH(AD$1,[4]characters!$1:$1,0)-MATCH("character_id",[4]characters!$1:$1,0)+1),MATCH(AD$1,[4]characters!$1:$1,0)-MATCH("character_id",[4]characters!$1:$1,0)+1,FALSE),"")</f>
        <v>3</v>
      </c>
      <c r="AE187" s="5" t="str">
        <f ca="1">IFERROR(VLOOKUP($AB187,OFFSET([4]characters!$A$1,0,0,COUNTA([4]characters!$A:$A),MATCH(AE$1,[4]characters!$1:$1,0)-MATCH("character_id",[4]characters!$1:$1,0)+1),MATCH(AE$1,[4]characters!$1:$1,0)-MATCH("character_id",[4]characters!$1:$1,0)+1,FALSE),"")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87" s="8">
        <v>1</v>
      </c>
      <c r="AG187" s="27">
        <f t="shared" ca="1" si="56"/>
        <v>3</v>
      </c>
      <c r="AH187" s="9">
        <v>0</v>
      </c>
      <c r="AI187" s="8">
        <v>0</v>
      </c>
      <c r="AJ187" s="8">
        <v>0</v>
      </c>
      <c r="AK187" s="8">
        <v>0</v>
      </c>
      <c r="AL187" s="8">
        <v>0</v>
      </c>
      <c r="AM187" s="8">
        <v>1</v>
      </c>
      <c r="AN187" s="8">
        <v>1</v>
      </c>
    </row>
    <row r="188" spans="1:40" ht="21" customHeight="1" x14ac:dyDescent="0.15">
      <c r="A188" s="17" t="str">
        <f t="shared" ca="1" si="54"/>
        <v>11008_3-5/140&lt;lv30&gt;s2</v>
      </c>
      <c r="B188" s="73">
        <v>11008</v>
      </c>
      <c r="C188" s="74">
        <v>3</v>
      </c>
      <c r="D188" s="2" t="str">
        <f t="shared" si="55"/>
        <v>11008_3</v>
      </c>
      <c r="E188" s="5" t="str">
        <f ca="1">VLOOKUP($B188,OFFSET([2]quests!$A$1,0,0,COUNTA([2]quests!$A:$A),MATCH(E$1,[2]quests!$1:$1,0)-MATCH($B$1,[2]quests!$1:$1,0)+1),MATCH(E$1,[2]quests!$1:$1,0)-MATCH($B$1,[2]quests!$1:$1,0)+1,FALSE)</f>
        <v>【日曜限定】 青と黄の素材</v>
      </c>
      <c r="F188" s="5" t="str">
        <f ca="1">VLOOKUP($D188,OFFSET([2]stages!$A$1,0,0,COUNTA([2]stages!$A:$A),MATCH(F$1,[2]stages!$2:$2,0)-MATCH($D$1,[2]stages!$2:$2,0)+1),MATCH(F$1,[2]stages!$2:$2,0)-MATCH($D$1,[2]stages!$2:$2,0)+1,FALSE)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8" s="25">
        <v>5</v>
      </c>
      <c r="H188" s="16" t="str">
        <f t="shared" si="53"/>
        <v>11008_3-5</v>
      </c>
      <c r="I188" s="5">
        <f ca="1">VLOOKUP($H188,OFFSET(floors!$A$1,0,0,COUNTA(floors!$A:$A),MATCH(I$1,floors!$1:$1,0)-MATCH($H$1,floors!$1:$1,0)+1),MATCH(I$1,floors!$1:$1,0)-MATCH($H$1,floors!$1:$1,0)+1,FALSE)</f>
        <v>60</v>
      </c>
      <c r="J188" s="5">
        <f ca="1">VLOOKUP($H188,OFFSET(floors!$A$1,0,0,COUNTA(floors!$A:$A),MATCH(J$1,floors!$1:$1,0)-MATCH($H$1,floors!$1:$1,0)+1),MATCH(J$1,floors!$1:$1,0)-MATCH($H$1,floors!$1:$1,0)+1,FALSE)</f>
        <v>60</v>
      </c>
      <c r="K188" s="24" t="s">
        <v>172</v>
      </c>
      <c r="L188" s="24">
        <v>140</v>
      </c>
      <c r="M188" s="20" t="str">
        <f ca="1">VLOOKUP($L188,OFFSET([3]enemies!$A$1,0,0,COUNTA([3]enemies!$A:$A),MATCH(M$1,[3]enemies!$1:$1,0)-MATCH($L$1,[3]enemies!$1:$1,0)+1),MATCH(M$1,[3]enemies!$1:$1,0)-MATCH($L$1,[3]enemies!$1:$1,0)+1,FALSE)</f>
        <v>秋祭のタマモ</v>
      </c>
      <c r="N188" s="20" t="str">
        <f ca="1">VLOOKUP($L188,OFFSET([3]enemies!$A$1,0,0,COUNTA([3]enemies!$A:$A),MATCH(N$1,[3]enemies!$1:$1,0)-MATCH($L$1,[3]enemies!$1:$1,0)+1),MATCH(N$1,[3]enemies!$1:$1,0)-MATCH($L$1,[3]enemies!$1:$1,0)+1,FALSE)</f>
        <v>yellow</v>
      </c>
      <c r="O188" s="22" t="str">
        <f ca="1">VLOOKUP($L188,OFFSET([4]characters!$A$1,0,0,COUNTA([4]characters!$A:$A),MATCH(O$1,[4]characters!$1:$1,0)-MATCH($L$1,[4]characters!$1:$1,0)+1),MATCH(O$1,[4]characters!$1:$1,0)-MATCH($L$1,[4]characters!$1:$1,0)+1,FALSE)</f>
        <v>PremiumW</v>
      </c>
      <c r="P188" s="20" t="str">
        <f ca="1">VLOOKUP($L188,OFFSET([3]enemies!$A$1,0,0,COUNTA([3]enemies!$A:$A),MATCH(P$1,[3]enemies!$1:$1,0)-MATCH($L$1,[3]enemies!$1:$1,0)+1),MATCH(P$1,[3]enemies!$1:$1,0)-MATCH($L$1,[3]enemies!$1:$1,0)+1,FALSE)</f>
        <v>animal</v>
      </c>
      <c r="Q188" s="20">
        <f ca="1">VLOOKUP($L188,OFFSET([3]enemies!$A$1,0,0,COUNTA([3]enemies!$A:$A),MATCH(Q$1,[3]enemies!$1:$1,0)-MATCH($L$1,[3]enemies!$1:$1,0)+1),MATCH(Q$1,[3]enemies!$1:$1,0)-MATCH($L$1,[3]enemies!$1:$1,0)+1,FALSE)</f>
        <v>20</v>
      </c>
      <c r="R188" s="6">
        <v>30</v>
      </c>
      <c r="S188" s="30">
        <v>1</v>
      </c>
      <c r="T188" s="30">
        <v>1</v>
      </c>
      <c r="U188" s="6">
        <v>0</v>
      </c>
      <c r="V188" s="5" t="str">
        <f ca="1">VLOOKUP($W188,OFFSET([5]enemy_skill_sets!$B$1,0,0,COUNTA([5]enemy_skill_sets!$B:$B),MATCH(M$1,[5]enemy_skill_sets!$1:$1,0)-MATCH($W$1,[5]enemy_skill_sets!$1:$1,0)+2),MATCH(M$1,[5]enemy_skill_sets!$1:$1,0)-MATCH($W$1,[5]enemy_skill_sets!$1:$1,0)+2,FALSE)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8" s="5">
        <f ca="1">VLOOKUP($L188,OFFSET([3]enemies!$A$1,0,0,COUNTA([3]enemies!$A:$A),MATCH(W$1,[3]enemies!$1:$1,0)-MATCH($L$1,[3]enemies!$1:$1,0)+1),MATCH(W$1,[3]enemies!$1:$1,0)-MATCH($L$1,[3]enemies!$1:$1,0)+1,FALSE)</f>
        <v>0</v>
      </c>
      <c r="X188" s="7">
        <v>0</v>
      </c>
      <c r="Y188" s="7">
        <v>100</v>
      </c>
      <c r="Z188" s="7">
        <v>0</v>
      </c>
      <c r="AA188" s="20">
        <f ca="1">VLOOKUP($L188,OFFSET([3]enemies!$A$1,0,0,COUNTA([3]enemies!$A:$A),MATCH(AA$1,[3]enemies!$1:$1,0)-MATCH($L$1,[3]enemies!$1:$1,0)+1),MATCH(AA$1,[3]enemies!$1:$1,0)-MATCH($L$1,[3]enemies!$1:$1,0)+1,FALSE)</f>
        <v>2</v>
      </c>
      <c r="AB188" s="24">
        <v>140</v>
      </c>
      <c r="AC188" s="5" t="str">
        <f ca="1">IFERROR(VLOOKUP($AB188,OFFSET([4]characters!$A$1,0,0,COUNTA([4]characters!$A:$A),MATCH(AC$1,[4]characters!$1:$1,0)-MATCH("character_id",[4]characters!$1:$1,0)+1),MATCH(AC$1,[4]characters!$1:$1,0)-MATCH("character_id",[4]characters!$1:$1,0)+1,FALSE),"")</f>
        <v>秋祭のタマモ</v>
      </c>
      <c r="AD188" s="5">
        <f ca="1">IFERROR(VLOOKUP($AB188,OFFSET([4]characters!$A$1,0,0,COUNTA([4]characters!$A:$A),MATCH(AD$1,[4]characters!$1:$1,0)-MATCH("character_id",[4]characters!$1:$1,0)+1),MATCH(AD$1,[4]characters!$1:$1,0)-MATCH("character_id",[4]characters!$1:$1,0)+1,FALSE),"")</f>
        <v>3</v>
      </c>
      <c r="AE188" s="5" t="str">
        <f ca="1">IFERROR(VLOOKUP($AB188,OFFSET([4]characters!$A$1,0,0,COUNTA([4]characters!$A:$A),MATCH(AE$1,[4]characters!$1:$1,0)-MATCH("character_id",[4]characters!$1:$1,0)+1),MATCH(AE$1,[4]characters!$1:$1,0)-MATCH("character_id",[4]characters!$1:$1,0)+1,FALSE),"")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88" s="8">
        <v>1</v>
      </c>
      <c r="AG188" s="27">
        <f t="shared" ca="1" si="56"/>
        <v>3</v>
      </c>
      <c r="AH188" s="9">
        <v>0</v>
      </c>
      <c r="AI188" s="8">
        <v>0</v>
      </c>
      <c r="AJ188" s="8">
        <v>0</v>
      </c>
      <c r="AK188" s="8">
        <v>0</v>
      </c>
      <c r="AL188" s="8">
        <v>0</v>
      </c>
      <c r="AM188" s="8">
        <v>1</v>
      </c>
      <c r="AN188" s="8">
        <v>1</v>
      </c>
    </row>
    <row r="189" spans="1:40" ht="21" customHeight="1" x14ac:dyDescent="0.15">
      <c r="A189" s="17" t="str">
        <f t="shared" ca="1" si="54"/>
        <v>11008_3-5/148&lt;lv30&gt;s2</v>
      </c>
      <c r="B189" s="73">
        <v>11008</v>
      </c>
      <c r="C189" s="74">
        <v>3</v>
      </c>
      <c r="D189" s="2" t="str">
        <f t="shared" si="55"/>
        <v>11008_3</v>
      </c>
      <c r="E189" s="5" t="str">
        <f ca="1">VLOOKUP($B189,OFFSET([2]quests!$A$1,0,0,COUNTA([2]quests!$A:$A),MATCH(E$1,[2]quests!$1:$1,0)-MATCH($B$1,[2]quests!$1:$1,0)+1),MATCH(E$1,[2]quests!$1:$1,0)-MATCH($B$1,[2]quests!$1:$1,0)+1,FALSE)</f>
        <v>【日曜限定】 青と黄の素材</v>
      </c>
      <c r="F189" s="5" t="str">
        <f ca="1">VLOOKUP($D189,OFFSET([2]stages!$A$1,0,0,COUNTA([2]stages!$A:$A),MATCH(F$1,[2]stages!$2:$2,0)-MATCH($D$1,[2]stages!$2:$2,0)+1),MATCH(F$1,[2]stages!$2:$2,0)-MATCH($D$1,[2]stages!$2:$2,0)+1,FALSE)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89" s="25">
        <v>5</v>
      </c>
      <c r="H189" s="16" t="str">
        <f t="shared" si="53"/>
        <v>11008_3-5</v>
      </c>
      <c r="I189" s="5">
        <f ca="1">VLOOKUP($H189,OFFSET(floors!$A$1,0,0,COUNTA(floors!$A:$A),MATCH(I$1,floors!$1:$1,0)-MATCH($H$1,floors!$1:$1,0)+1),MATCH(I$1,floors!$1:$1,0)-MATCH($H$1,floors!$1:$1,0)+1,FALSE)</f>
        <v>60</v>
      </c>
      <c r="J189" s="5">
        <f ca="1">VLOOKUP($H189,OFFSET(floors!$A$1,0,0,COUNTA(floors!$A:$A),MATCH(J$1,floors!$1:$1,0)-MATCH($H$1,floors!$1:$1,0)+1),MATCH(J$1,floors!$1:$1,0)-MATCH($H$1,floors!$1:$1,0)+1,FALSE)</f>
        <v>60</v>
      </c>
      <c r="K189" s="24" t="s">
        <v>172</v>
      </c>
      <c r="L189" s="24">
        <v>148</v>
      </c>
      <c r="M189" s="20" t="str">
        <f ca="1">VLOOKUP($L189,OFFSET([3]enemies!$A$1,0,0,COUNTA([3]enemies!$A:$A),MATCH(M$1,[3]enemies!$1:$1,0)-MATCH($L$1,[3]enemies!$1:$1,0)+1),MATCH(M$1,[3]enemies!$1:$1,0)-MATCH($L$1,[3]enemies!$1:$1,0)+1,FALSE)</f>
        <v>シンデレラ</v>
      </c>
      <c r="N189" s="20" t="str">
        <f ca="1">VLOOKUP($L189,OFFSET([3]enemies!$A$1,0,0,COUNTA([3]enemies!$A:$A),MATCH(N$1,[3]enemies!$1:$1,0)-MATCH($L$1,[3]enemies!$1:$1,0)+1),MATCH(N$1,[3]enemies!$1:$1,0)-MATCH($L$1,[3]enemies!$1:$1,0)+1,FALSE)</f>
        <v>yellow</v>
      </c>
      <c r="O189" s="22" t="str">
        <f ca="1">VLOOKUP($L189,OFFSET([4]characters!$A$1,0,0,COUNTA([4]characters!$A:$A),MATCH(O$1,[4]characters!$1:$1,0)-MATCH($L$1,[4]characters!$1:$1,0)+1),MATCH(O$1,[4]characters!$1:$1,0)-MATCH($L$1,[4]characters!$1:$1,0)+1,FALSE)</f>
        <v>PremiumW</v>
      </c>
      <c r="P189" s="20" t="str">
        <f ca="1">VLOOKUP($L189,OFFSET([3]enemies!$A$1,0,0,COUNTA([3]enemies!$A:$A),MATCH(P$1,[3]enemies!$1:$1,0)-MATCH($L$1,[3]enemies!$1:$1,0)+1),MATCH(P$1,[3]enemies!$1:$1,0)-MATCH($L$1,[3]enemies!$1:$1,0)+1,FALSE)</f>
        <v>human</v>
      </c>
      <c r="Q189" s="20">
        <f ca="1">VLOOKUP($L189,OFFSET([3]enemies!$A$1,0,0,COUNTA([3]enemies!$A:$A),MATCH(Q$1,[3]enemies!$1:$1,0)-MATCH($L$1,[3]enemies!$1:$1,0)+1),MATCH(Q$1,[3]enemies!$1:$1,0)-MATCH($L$1,[3]enemies!$1:$1,0)+1,FALSE)</f>
        <v>20</v>
      </c>
      <c r="R189" s="6">
        <v>30</v>
      </c>
      <c r="S189" s="30">
        <v>1</v>
      </c>
      <c r="T189" s="30">
        <v>1</v>
      </c>
      <c r="U189" s="6">
        <v>0</v>
      </c>
      <c r="V189" s="5" t="str">
        <f ca="1">VLOOKUP($W189,OFFSET([5]enemy_skill_sets!$B$1,0,0,COUNTA([5]enemy_skill_sets!$B:$B),MATCH(M$1,[5]enemy_skill_sets!$1:$1,0)-MATCH($W$1,[5]enemy_skill_sets!$1:$1,0)+2),MATCH(M$1,[5]enemy_skill_sets!$1:$1,0)-MATCH($W$1,[5]enemy_skill_sets!$1:$1,0)+2,FALSE)</f>
        <v>舞踏会に想いを馳せている</v>
      </c>
      <c r="W189" s="5">
        <f ca="1">VLOOKUP($L189,OFFSET([3]enemies!$A$1,0,0,COUNTA([3]enemies!$A:$A),MATCH(W$1,[3]enemies!$1:$1,0)-MATCH($L$1,[3]enemies!$1:$1,0)+1),MATCH(W$1,[3]enemies!$1:$1,0)-MATCH($L$1,[3]enemies!$1:$1,0)+1,FALSE)</f>
        <v>148</v>
      </c>
      <c r="X189" s="7">
        <v>0</v>
      </c>
      <c r="Y189" s="7">
        <v>100</v>
      </c>
      <c r="Z189" s="7">
        <v>0</v>
      </c>
      <c r="AA189" s="20">
        <f ca="1">VLOOKUP($L189,OFFSET([3]enemies!$A$1,0,0,COUNTA([3]enemies!$A:$A),MATCH(AA$1,[3]enemies!$1:$1,0)-MATCH($L$1,[3]enemies!$1:$1,0)+1),MATCH(AA$1,[3]enemies!$1:$1,0)-MATCH($L$1,[3]enemies!$1:$1,0)+1,FALSE)</f>
        <v>2</v>
      </c>
      <c r="AB189" s="24">
        <v>148</v>
      </c>
      <c r="AC189" s="5" t="str">
        <f ca="1">IFERROR(VLOOKUP($AB189,OFFSET([4]characters!$A$1,0,0,COUNTA([4]characters!$A:$A),MATCH(AC$1,[4]characters!$1:$1,0)-MATCH("character_id",[4]characters!$1:$1,0)+1),MATCH(AC$1,[4]characters!$1:$1,0)-MATCH("character_id",[4]characters!$1:$1,0)+1,FALSE),"")</f>
        <v>シンデレラ</v>
      </c>
      <c r="AD189" s="5">
        <f ca="1">IFERROR(VLOOKUP($AB189,OFFSET([4]characters!$A$1,0,0,COUNTA([4]characters!$A:$A),MATCH(AD$1,[4]characters!$1:$1,0)-MATCH("character_id",[4]characters!$1:$1,0)+1),MATCH(AD$1,[4]characters!$1:$1,0)-MATCH("character_id",[4]characters!$1:$1,0)+1,FALSE),"")</f>
        <v>3</v>
      </c>
      <c r="AE189" s="5" t="str">
        <f ca="1">IFERROR(VLOOKUP($AB189,OFFSET([4]characters!$A$1,0,0,COUNTA([4]characters!$A:$A),MATCH(AE$1,[4]characters!$1:$1,0)-MATCH("character_id",[4]characters!$1:$1,0)+1),MATCH(AE$1,[4]characters!$1:$1,0)-MATCH("character_id",[4]characters!$1:$1,0)+1,FALSE),"")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89" s="8">
        <v>1</v>
      </c>
      <c r="AG189" s="27">
        <f t="shared" ca="1" si="56"/>
        <v>3</v>
      </c>
      <c r="AH189" s="9">
        <v>0</v>
      </c>
      <c r="AI189" s="8">
        <v>0</v>
      </c>
      <c r="AJ189" s="8">
        <v>0</v>
      </c>
      <c r="AK189" s="8">
        <v>0</v>
      </c>
      <c r="AL189" s="8">
        <v>0</v>
      </c>
      <c r="AM189" s="8">
        <v>1</v>
      </c>
      <c r="AN189" s="8">
        <v>1</v>
      </c>
    </row>
    <row r="190" spans="1:40" ht="21" customHeight="1" x14ac:dyDescent="0.15">
      <c r="A190" s="17" t="str">
        <f t="shared" ca="1" si="54"/>
        <v>11008_3-5/156&lt;lv30&gt;s2</v>
      </c>
      <c r="B190" s="73">
        <v>11008</v>
      </c>
      <c r="C190" s="74">
        <v>3</v>
      </c>
      <c r="D190" s="2" t="str">
        <f t="shared" si="55"/>
        <v>11008_3</v>
      </c>
      <c r="E190" s="5" t="str">
        <f ca="1">VLOOKUP($B190,OFFSET([2]quests!$A$1,0,0,COUNTA([2]quests!$A:$A),MATCH(E$1,[2]quests!$1:$1,0)-MATCH($B$1,[2]quests!$1:$1,0)+1),MATCH(E$1,[2]quests!$1:$1,0)-MATCH($B$1,[2]quests!$1:$1,0)+1,FALSE)</f>
        <v>【日曜限定】 青と黄の素材</v>
      </c>
      <c r="F190" s="5" t="str">
        <f ca="1">VLOOKUP($D190,OFFSET([2]stages!$A$1,0,0,COUNTA([2]stages!$A:$A),MATCH(F$1,[2]stages!$2:$2,0)-MATCH($D$1,[2]stages!$2:$2,0)+1),MATCH(F$1,[2]stages!$2:$2,0)-MATCH($D$1,[2]stages!$2:$2,0)+1,FALSE)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90" s="25">
        <v>5</v>
      </c>
      <c r="H190" s="16" t="str">
        <f t="shared" si="53"/>
        <v>11008_3-5</v>
      </c>
      <c r="I190" s="5">
        <f ca="1">VLOOKUP($H190,OFFSET(floors!$A$1,0,0,COUNTA(floors!$A:$A),MATCH(I$1,floors!$1:$1,0)-MATCH($H$1,floors!$1:$1,0)+1),MATCH(I$1,floors!$1:$1,0)-MATCH($H$1,floors!$1:$1,0)+1,FALSE)</f>
        <v>60</v>
      </c>
      <c r="J190" s="5">
        <f ca="1">VLOOKUP($H190,OFFSET(floors!$A$1,0,0,COUNTA(floors!$A:$A),MATCH(J$1,floors!$1:$1,0)-MATCH($H$1,floors!$1:$1,0)+1),MATCH(J$1,floors!$1:$1,0)-MATCH($H$1,floors!$1:$1,0)+1,FALSE)</f>
        <v>60</v>
      </c>
      <c r="K190" s="24" t="s">
        <v>172</v>
      </c>
      <c r="L190" s="24">
        <v>156</v>
      </c>
      <c r="M190" s="20" t="str">
        <f ca="1">VLOOKUP($L190,OFFSET([3]enemies!$A$1,0,0,COUNTA([3]enemies!$A:$A),MATCH(M$1,[3]enemies!$1:$1,0)-MATCH($L$1,[3]enemies!$1:$1,0)+1),MATCH(M$1,[3]enemies!$1:$1,0)-MATCH($L$1,[3]enemies!$1:$1,0)+1,FALSE)</f>
        <v>踊り子 エレナ</v>
      </c>
      <c r="N190" s="20" t="str">
        <f ca="1">VLOOKUP($L190,OFFSET([3]enemies!$A$1,0,0,COUNTA([3]enemies!$A:$A),MATCH(N$1,[3]enemies!$1:$1,0)-MATCH($L$1,[3]enemies!$1:$1,0)+1),MATCH(N$1,[3]enemies!$1:$1,0)-MATCH($L$1,[3]enemies!$1:$1,0)+1,FALSE)</f>
        <v>yellow</v>
      </c>
      <c r="O190" s="22" t="str">
        <f ca="1">VLOOKUP($L190,OFFSET([4]characters!$A$1,0,0,COUNTA([4]characters!$A:$A),MATCH(O$1,[4]characters!$1:$1,0)-MATCH($L$1,[4]characters!$1:$1,0)+1),MATCH(O$1,[4]characters!$1:$1,0)-MATCH($L$1,[4]characters!$1:$1,0)+1,FALSE)</f>
        <v>PremiumW</v>
      </c>
      <c r="P190" s="20" t="str">
        <f ca="1">VLOOKUP($L190,OFFSET([3]enemies!$A$1,0,0,COUNTA([3]enemies!$A:$A),MATCH(P$1,[3]enemies!$1:$1,0)-MATCH($L$1,[3]enemies!$1:$1,0)+1),MATCH(P$1,[3]enemies!$1:$1,0)-MATCH($L$1,[3]enemies!$1:$1,0)+1,FALSE)</f>
        <v>human</v>
      </c>
      <c r="Q190" s="20">
        <f ca="1">VLOOKUP($L190,OFFSET([3]enemies!$A$1,0,0,COUNTA([3]enemies!$A:$A),MATCH(Q$1,[3]enemies!$1:$1,0)-MATCH($L$1,[3]enemies!$1:$1,0)+1),MATCH(Q$1,[3]enemies!$1:$1,0)-MATCH($L$1,[3]enemies!$1:$1,0)+1,FALSE)</f>
        <v>20</v>
      </c>
      <c r="R190" s="6">
        <v>30</v>
      </c>
      <c r="S190" s="30">
        <v>1</v>
      </c>
      <c r="T190" s="30">
        <v>1</v>
      </c>
      <c r="U190" s="6">
        <v>0</v>
      </c>
      <c r="V190" s="5" t="str">
        <f ca="1">VLOOKUP($W190,OFFSET([5]enemy_skill_sets!$B$1,0,0,COUNTA([5]enemy_skill_sets!$B:$B),MATCH(M$1,[5]enemy_skill_sets!$1:$1,0)-MATCH($W$1,[5]enemy_skill_sets!$1:$1,0)+2),MATCH(M$1,[5]enemy_skill_sets!$1:$1,0)-MATCH($W$1,[5]enemy_skill_sets!$1:$1,0)+2,FALSE)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90" s="5">
        <f ca="1">VLOOKUP($L190,OFFSET([3]enemies!$A$1,0,0,COUNTA([3]enemies!$A:$A),MATCH(W$1,[3]enemies!$1:$1,0)-MATCH($L$1,[3]enemies!$1:$1,0)+1),MATCH(W$1,[3]enemies!$1:$1,0)-MATCH($L$1,[3]enemies!$1:$1,0)+1,FALSE)</f>
        <v>156</v>
      </c>
      <c r="X190" s="7">
        <v>0</v>
      </c>
      <c r="Y190" s="7">
        <v>100</v>
      </c>
      <c r="Z190" s="7">
        <v>0</v>
      </c>
      <c r="AA190" s="20">
        <f ca="1">VLOOKUP($L190,OFFSET([3]enemies!$A$1,0,0,COUNTA([3]enemies!$A:$A),MATCH(AA$1,[3]enemies!$1:$1,0)-MATCH($L$1,[3]enemies!$1:$1,0)+1),MATCH(AA$1,[3]enemies!$1:$1,0)-MATCH($L$1,[3]enemies!$1:$1,0)+1,FALSE)</f>
        <v>2</v>
      </c>
      <c r="AB190" s="24">
        <v>156</v>
      </c>
      <c r="AC190" s="5" t="str">
        <f ca="1">IFERROR(VLOOKUP($AB190,OFFSET([4]characters!$A$1,0,0,COUNTA([4]characters!$A:$A),MATCH(AC$1,[4]characters!$1:$1,0)-MATCH("character_id",[4]characters!$1:$1,0)+1),MATCH(AC$1,[4]characters!$1:$1,0)-MATCH("character_id",[4]characters!$1:$1,0)+1,FALSE),"")</f>
        <v>踊り子 エレナ</v>
      </c>
      <c r="AD190" s="5">
        <f ca="1">IFERROR(VLOOKUP($AB190,OFFSET([4]characters!$A$1,0,0,COUNTA([4]characters!$A:$A),MATCH(AD$1,[4]characters!$1:$1,0)-MATCH("character_id",[4]characters!$1:$1,0)+1),MATCH(AD$1,[4]characters!$1:$1,0)-MATCH("character_id",[4]characters!$1:$1,0)+1,FALSE),"")</f>
        <v>3</v>
      </c>
      <c r="AE190" s="5" t="str">
        <f ca="1">IFERROR(VLOOKUP($AB190,OFFSET([4]characters!$A$1,0,0,COUNTA([4]characters!$A:$A),MATCH(AE$1,[4]characters!$1:$1,0)-MATCH("character_id",[4]characters!$1:$1,0)+1),MATCH(AE$1,[4]characters!$1:$1,0)-MATCH("character_id",[4]characters!$1:$1,0)+1,FALSE),"")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90" s="8">
        <v>1</v>
      </c>
      <c r="AG190" s="27">
        <f t="shared" ca="1" si="56"/>
        <v>3</v>
      </c>
      <c r="AH190" s="9">
        <v>0</v>
      </c>
      <c r="AI190" s="8">
        <v>0</v>
      </c>
      <c r="AJ190" s="8">
        <v>0</v>
      </c>
      <c r="AK190" s="8">
        <v>0</v>
      </c>
      <c r="AL190" s="8">
        <v>0</v>
      </c>
      <c r="AM190" s="8">
        <v>1</v>
      </c>
      <c r="AN190" s="8">
        <v>1</v>
      </c>
    </row>
    <row r="191" spans="1:40" s="11" customFormat="1" ht="21" customHeight="1" x14ac:dyDescent="0.15">
      <c r="A191" s="23" t="str">
        <f t="shared" ca="1" si="54"/>
        <v>11008_3-5/837&lt;lv30&gt;s3</v>
      </c>
      <c r="B191" s="8">
        <v>11008</v>
      </c>
      <c r="C191" s="25">
        <v>3</v>
      </c>
      <c r="D191" s="25" t="str">
        <f>B191&amp;"_"&amp;C191</f>
        <v>11008_3</v>
      </c>
      <c r="E191" s="103" t="str">
        <f ca="1">VLOOKUP($B191,OFFSET([2]quests!$A$1,0,0,COUNTA([2]quests!$A:$A),MATCH(E$1,[2]quests!$1:$1,0)-MATCH($B$1,[2]quests!$1:$1,0)+1),MATCH(E$1,[2]quests!$1:$1,0)-MATCH($B$1,[2]quests!$1:$1,0)+1,FALSE)</f>
        <v>【日曜限定】 青と黄の素材</v>
      </c>
      <c r="F191" s="103" t="str">
        <f ca="1">VLOOKUP($D191,OFFSET([2]stages!$A$1,0,0,COUNTA([2]stages!$A:$A),MATCH(F$1,[2]stages!$2:$2,0)-MATCH($D$1,[2]stages!$2:$2,0)+1),MATCH(F$1,[2]stages!$2:$2,0)-MATCH($D$1,[2]stages!$2:$2,0)+1,FALSE)</f>
        <v xml:space="preserve">【上級】水と雷のイモムシ </v>
      </c>
      <c r="G191" s="25">
        <v>5</v>
      </c>
      <c r="H191" s="68" t="str">
        <f>B191&amp;"_"&amp;C191&amp;"-"&amp;G191</f>
        <v>11008_3-5</v>
      </c>
      <c r="I191" s="103">
        <f ca="1">VLOOKUP($H191,OFFSET(floors!$A$1,0,0,COUNTA(floors!$A:$A),MATCH(I$1,floors!$1:$1,0)-MATCH($H$1,floors!$1:$1,0)+1),MATCH(I$1,floors!$1:$1,0)-MATCH($H$1,floors!$1:$1,0)+1,FALSE)</f>
        <v>60</v>
      </c>
      <c r="J191" s="103">
        <f ca="1">VLOOKUP($H191,OFFSET(floors!$A$1,0,0,COUNTA(floors!$A:$A),MATCH(J$1,floors!$1:$1,0)-MATCH($H$1,floors!$1:$1,0)+1),MATCH(J$1,floors!$1:$1,0)-MATCH($H$1,floors!$1:$1,0)+1,FALSE)</f>
        <v>60</v>
      </c>
      <c r="K191" s="25" t="s">
        <v>172</v>
      </c>
      <c r="L191" s="25">
        <v>837</v>
      </c>
      <c r="M191" s="104" t="str">
        <f ca="1">VLOOKUP($L191,OFFSET([3]enemies!$A$1,0,0,COUNTA([3]enemies!$A:$A),MATCH(M$1,[3]enemies!$1:$1,0)-MATCH($L$1,[3]enemies!$1:$1,0)+1),MATCH(M$1,[3]enemies!$1:$1,0)-MATCH($L$1,[3]enemies!$1:$1,0)+1,FALSE)</f>
        <v>リトルハンプティ</v>
      </c>
      <c r="N191" s="104" t="str">
        <f ca="1">VLOOKUP($L191,OFFSET([3]enemies!$A$1,0,0,COUNTA([3]enemies!$A:$A),MATCH(N$1,[3]enemies!$1:$1,0)-MATCH($L$1,[3]enemies!$1:$1,0)+1),MATCH(N$1,[3]enemies!$1:$1,0)-MATCH($L$1,[3]enemies!$1:$1,0)+1,FALSE)</f>
        <v>yellow</v>
      </c>
      <c r="O191" s="69" t="str">
        <f ca="1">VLOOKUP($L191,OFFSET([4]characters!$A$1,0,0,COUNTA([4]characters!$A:$A),MATCH(O$1,[4]characters!$1:$1,0)-MATCH($L$1,[4]characters!$1:$1,0)+1),MATCH(O$1,[4]characters!$1:$1,0)-MATCH($L$1,[4]characters!$1:$1,0)+1,FALSE)</f>
        <v>Material</v>
      </c>
      <c r="P191" s="104" t="str">
        <f ca="1">VLOOKUP($L191,OFFSET([3]enemies!$A$1,0,0,COUNTA([3]enemies!$A:$A),MATCH(P$1,[3]enemies!$1:$1,0)-MATCH($L$1,[3]enemies!$1:$1,0)+1),MATCH(P$1,[3]enemies!$1:$1,0)-MATCH($L$1,[3]enemies!$1:$1,0)+1,FALSE)</f>
        <v>unknown</v>
      </c>
      <c r="Q191" s="104">
        <f ca="1">VLOOKUP($L191,OFFSET([3]enemies!$A$1,0,0,COUNTA([3]enemies!$A:$A),MATCH(Q$1,[3]enemies!$1:$1,0)-MATCH($L$1,[3]enemies!$1:$1,0)+1),MATCH(Q$1,[3]enemies!$1:$1,0)-MATCH($L$1,[3]enemies!$1:$1,0)+1,FALSE)</f>
        <v>60</v>
      </c>
      <c r="R191" s="101">
        <v>30</v>
      </c>
      <c r="S191" s="102">
        <v>10</v>
      </c>
      <c r="T191" s="102">
        <v>30</v>
      </c>
      <c r="U191" s="101">
        <v>0</v>
      </c>
      <c r="V191" s="103" t="str">
        <f ca="1">VLOOKUP($W191,OFFSET([5]enemy_skill_sets!$B$1,0,0,COUNTA([5]enemy_skill_sets!$B:$B),MATCH(M$1,[5]enemy_skill_sets!$1:$1,0)-MATCH($W$1,[5]enemy_skill_sets!$1:$1,0)+2),MATCH(M$1,[5]enemy_skill_sets!$1:$1,0)-MATCH($W$1,[5]enemy_skill_sets!$1:$1,0)+2,FALSE)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1" s="103">
        <f ca="1">VLOOKUP($L191,OFFSET([3]enemies!$A$1,0,0,COUNTA([3]enemies!$A:$A),MATCH(W$1,[3]enemies!$1:$1,0)-MATCH($L$1,[3]enemies!$1:$1,0)+1),MATCH(W$1,[3]enemies!$1:$1,0)-MATCH($L$1,[3]enemies!$1:$1,0)+1,FALSE)</f>
        <v>0</v>
      </c>
      <c r="X191" s="105">
        <v>0</v>
      </c>
      <c r="Y191" s="105">
        <v>10</v>
      </c>
      <c r="Z191" s="105">
        <v>1</v>
      </c>
      <c r="AA191" s="104">
        <f ca="1">VLOOKUP($L191,OFFSET([3]enemies!$A$1,0,0,COUNTA([3]enemies!$A:$A),MATCH(AA$1,[3]enemies!$1:$1,0)-MATCH($L$1,[3]enemies!$1:$1,0)+1),MATCH(AA$1,[3]enemies!$1:$1,0)-MATCH($L$1,[3]enemies!$1:$1,0)+1,FALSE)</f>
        <v>3</v>
      </c>
      <c r="AB191" s="25">
        <v>837</v>
      </c>
      <c r="AC191" s="103" t="str">
        <f ca="1">IFERROR(VLOOKUP($AB191,OFFSET([4]characters!$A$1,0,0,COUNTA([4]characters!$A:$A),MATCH(AC$1,[4]characters!$1:$1,0)-MATCH("character_id",[4]characters!$1:$1,0)+1),MATCH(AC$1,[4]characters!$1:$1,0)-MATCH("character_id",[4]characters!$1:$1,0)+1,FALSE),"")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191" s="103">
        <f ca="1">IFERROR(VLOOKUP($AB191,OFFSET([4]characters!$A$1,0,0,COUNTA([4]characters!$A:$A),MATCH(AD$1,[4]characters!$1:$1,0)-MATCH("character_id",[4]characters!$1:$1,0)+1),MATCH(AD$1,[4]characters!$1:$1,0)-MATCH("character_id",[4]characters!$1:$1,0)+1,FALSE),"")</f>
        <v>6</v>
      </c>
      <c r="AE191" s="103" t="str">
        <f ca="1">IFERROR(VLOOKUP($AB191,OFFSET([4]characters!$A$1,0,0,COUNTA([4]characters!$A:$A),MATCH(AE$1,[4]characters!$1:$1,0)-MATCH("character_id",[4]characters!$1:$1,0)+1),MATCH(AE$1,[4]characters!$1:$1,0)-MATCH("character_id",[4]characters!$1:$1,0)+1,FALSE),"")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1" s="8">
        <v>1</v>
      </c>
      <c r="AG191" s="8">
        <f ca="1">AD191</f>
        <v>6</v>
      </c>
      <c r="AH191" s="106">
        <v>33</v>
      </c>
      <c r="AI191" s="8">
        <v>0</v>
      </c>
      <c r="AJ191" s="8">
        <v>0</v>
      </c>
      <c r="AK191" s="8">
        <v>0</v>
      </c>
      <c r="AL191" s="8">
        <v>0</v>
      </c>
      <c r="AM191" s="8">
        <v>1</v>
      </c>
      <c r="AN191" s="8">
        <v>1</v>
      </c>
    </row>
    <row r="192" spans="1:40" ht="21" customHeight="1" x14ac:dyDescent="0.15">
      <c r="A192" s="17" t="str">
        <f t="shared" ca="1" si="46"/>
        <v>11101_4-1/115&lt;lv30&gt;s2</v>
      </c>
      <c r="B192" s="73">
        <v>11101</v>
      </c>
      <c r="C192" s="74">
        <v>4</v>
      </c>
      <c r="D192" s="2" t="str">
        <f>B192&amp;"_"&amp;C192</f>
        <v>11101_4</v>
      </c>
      <c r="E192" s="5" t="str">
        <f ca="1">VLOOKUP($B192,OFFSET([2]quests!$A$1,0,0,COUNTA([2]quests!$A:$A),MATCH(E$1,[2]quests!$1:$1,0)-MATCH($B$1,[2]quests!$1:$1,0)+1),MATCH(E$1,[2]quests!$1:$1,0)-MATCH($B$1,[2]quests!$1:$1,0)+1,FALSE)</f>
        <v>【期間限定】 黄の素材</v>
      </c>
      <c r="F192" s="5" t="str">
        <f ca="1">VLOOKUP($D192,OFFSET([2]stages!$A$1,0,0,COUNTA([2]stages!$A:$A),MATCH(F$1,[2]stages!$2:$2,0)-MATCH($D$1,[2]stages!$2:$2,0)+1),MATCH(F$1,[2]stages!$2:$2,0)-MATCH($D$1,[2]stages!$2:$2,0)+1,FALSE)</f>
        <v>【上級】雷のイモムシ</v>
      </c>
      <c r="G192" s="25">
        <v>1</v>
      </c>
      <c r="H192" s="16" t="str">
        <f t="shared" si="48"/>
        <v>11101_4-1</v>
      </c>
      <c r="I192" s="5">
        <f ca="1">VLOOKUP($H192,OFFSET(floors!$A$1,0,0,COUNTA(floors!$A:$A),MATCH(I$1,floors!$1:$1,0)-MATCH($H$1,floors!$1:$1,0)+1),MATCH(I$1,floors!$1:$1,0)-MATCH($H$1,floors!$1:$1,0)+1,FALSE)</f>
        <v>30</v>
      </c>
      <c r="J192" s="5">
        <f ca="1">VLOOKUP($H192,OFFSET(floors!$A$1,0,0,COUNTA(floors!$A:$A),MATCH(J$1,floors!$1:$1,0)-MATCH($H$1,floors!$1:$1,0)+1),MATCH(J$1,floors!$1:$1,0)-MATCH($H$1,floors!$1:$1,0)+1,FALSE)</f>
        <v>45</v>
      </c>
      <c r="K192" s="24" t="s">
        <v>209</v>
      </c>
      <c r="L192" s="24">
        <v>115</v>
      </c>
      <c r="M192" s="20" t="str">
        <f ca="1">VLOOKUP($L192,OFFSET([3]enemies!$A$1,0,0,COUNTA([3]enemies!$A:$A),MATCH(M$1,[3]enemies!$1:$1,0)-MATCH($L$1,[3]enemies!$1:$1,0)+1),MATCH(M$1,[3]enemies!$1:$1,0)-MATCH($L$1,[3]enemies!$1:$1,0)+1,FALSE)</f>
        <v>イエローキャタップ</v>
      </c>
      <c r="N192" s="20" t="str">
        <f ca="1">VLOOKUP($L192,OFFSET([3]enemies!$A$1,0,0,COUNTA([3]enemies!$A:$A),MATCH(N$1,[3]enemies!$1:$1,0)-MATCH($L$1,[3]enemies!$1:$1,0)+1),MATCH(N$1,[3]enemies!$1:$1,0)-MATCH($L$1,[3]enemies!$1:$1,0)+1,FALSE)</f>
        <v>yellow</v>
      </c>
      <c r="O192" s="22" t="str">
        <f ca="1">VLOOKUP($L192,OFFSET([4]characters!$A$1,0,0,COUNTA([4]characters!$A:$A),MATCH(O$1,[4]characters!$1:$1,0)-MATCH($L$1,[4]characters!$1:$1,0)+1),MATCH(O$1,[4]characters!$1:$1,0)-MATCH($L$1,[4]characters!$1:$1,0)+1,FALSE)</f>
        <v>Material</v>
      </c>
      <c r="P192" s="20" t="str">
        <f ca="1">VLOOKUP($L192,OFFSET([3]enemies!$A$1,0,0,COUNTA([3]enemies!$A:$A),MATCH(P$1,[3]enemies!$1:$1,0)-MATCH($L$1,[3]enemies!$1:$1,0)+1),MATCH(P$1,[3]enemies!$1:$1,0)-MATCH($L$1,[3]enemies!$1:$1,0)+1,FALSE)</f>
        <v>unknown</v>
      </c>
      <c r="Q192" s="20">
        <f ca="1">VLOOKUP($L192,OFFSET([3]enemies!$A$1,0,0,COUNTA([3]enemies!$A:$A),MATCH(Q$1,[3]enemies!$1:$1,0)-MATCH($L$1,[3]enemies!$1:$1,0)+1),MATCH(Q$1,[3]enemies!$1:$1,0)-MATCH($L$1,[3]enemies!$1:$1,0)+1,FALSE)</f>
        <v>15</v>
      </c>
      <c r="R192" s="6">
        <v>30</v>
      </c>
      <c r="S192" s="30">
        <v>2</v>
      </c>
      <c r="T192" s="30">
        <v>1</v>
      </c>
      <c r="U192" s="6">
        <v>0</v>
      </c>
      <c r="V192" s="5" t="str">
        <f ca="1">VLOOKUP($W192,OFFSET([5]enemy_skill_sets!$B$1,0,0,COUNTA([5]enemy_skill_sets!$B:$B),MATCH(M$1,[5]enemy_skill_sets!$1:$1,0)-MATCH($W$1,[5]enemy_skill_sets!$1:$1,0)+2),MATCH(M$1,[5]enemy_skill_sets!$1:$1,0)-MATCH($W$1,[5]enemy_skill_sets!$1:$1,0)+2,FALSE)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2" s="5">
        <f ca="1">VLOOKUP($L192,OFFSET([3]enemies!$A$1,0,0,COUNTA([3]enemies!$A:$A),MATCH(W$1,[3]enemies!$1:$1,0)-MATCH($L$1,[3]enemies!$1:$1,0)+1),MATCH(W$1,[3]enemies!$1:$1,0)-MATCH($L$1,[3]enemies!$1:$1,0)+1,FALSE)</f>
        <v>0</v>
      </c>
      <c r="X192" s="7">
        <v>1</v>
      </c>
      <c r="Y192" s="7">
        <v>100</v>
      </c>
      <c r="Z192" s="7">
        <v>1</v>
      </c>
      <c r="AA192" s="20">
        <f ca="1">VLOOKUP($L192,OFFSET([3]enemies!$A$1,0,0,COUNTA([3]enemies!$A:$A),MATCH(AA$1,[3]enemies!$1:$1,0)-MATCH($L$1,[3]enemies!$1:$1,0)+1),MATCH(AA$1,[3]enemies!$1:$1,0)-MATCH($L$1,[3]enemies!$1:$1,0)+1,FALSE)</f>
        <v>2</v>
      </c>
      <c r="AB192" s="24">
        <v>115</v>
      </c>
      <c r="AC192" s="5" t="str">
        <f ca="1">IFERROR(VLOOKUP($AB192,OFFSET([4]characters!$A$1,0,0,COUNTA([4]characters!$A:$A),MATCH(AC$1,[4]characters!$1:$1,0)-MATCH("character_id",[4]characters!$1:$1,0)+1),MATCH(AC$1,[4]characters!$1:$1,0)-MATCH("character_id",[4]characters!$1:$1,0)+1,FALSE),"")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92" s="5">
        <f ca="1">IFERROR(VLOOKUP($AB192,OFFSET([4]characters!$A$1,0,0,COUNTA([4]characters!$A:$A),MATCH(AD$1,[4]characters!$1:$1,0)-MATCH("character_id",[4]characters!$1:$1,0)+1),MATCH(AD$1,[4]characters!$1:$1,0)-MATCH("character_id",[4]characters!$1:$1,0)+1,FALSE),"")</f>
        <v>4</v>
      </c>
      <c r="AE192" s="5" t="str">
        <f ca="1">IFERROR(VLOOKUP($AB192,OFFSET([4]characters!$A$1,0,0,COUNTA([4]characters!$A:$A),MATCH(AE$1,[4]characters!$1:$1,0)-MATCH("character_id",[4]characters!$1:$1,0)+1),MATCH(AE$1,[4]characters!$1:$1,0)-MATCH("character_id",[4]characters!$1:$1,0)+1,FALSE),"")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2" s="8">
        <v>1</v>
      </c>
      <c r="AG192" s="27">
        <f ca="1">AD192</f>
        <v>4</v>
      </c>
      <c r="AH192" s="130">
        <v>50</v>
      </c>
      <c r="AI192" s="8">
        <v>0</v>
      </c>
      <c r="AJ192" s="8">
        <v>0</v>
      </c>
      <c r="AK192" s="8">
        <v>0</v>
      </c>
      <c r="AL192" s="8">
        <v>0</v>
      </c>
      <c r="AM192" s="8">
        <v>1</v>
      </c>
      <c r="AN192" s="8">
        <v>1</v>
      </c>
    </row>
    <row r="193" spans="1:40" ht="21" customHeight="1" x14ac:dyDescent="0.15">
      <c r="A193" s="17" t="str">
        <f t="shared" ref="A193:A234" ca="1" si="57">B193&amp;"_"&amp;C193&amp;"-"&amp;G193&amp;"/"&amp;L193&amp;"&lt;lv"&amp;R193&amp;"&gt;s"&amp;AA193</f>
        <v>11101_4-1/39&lt;lv35&gt;s3</v>
      </c>
      <c r="B193" s="73">
        <v>11101</v>
      </c>
      <c r="C193" s="74">
        <v>4</v>
      </c>
      <c r="D193" s="2" t="str">
        <f t="shared" ref="D193:D214" si="58">B193&amp;"_"&amp;C193</f>
        <v>11101_4</v>
      </c>
      <c r="E193" s="5" t="str">
        <f ca="1">VLOOKUP($B193,OFFSET([2]quests!$A$1,0,0,COUNTA([2]quests!$A:$A),MATCH(E$1,[2]quests!$1:$1,0)-MATCH($B$1,[2]quests!$1:$1,0)+1),MATCH(E$1,[2]quests!$1:$1,0)-MATCH($B$1,[2]quests!$1:$1,0)+1,FALSE)</f>
        <v>【期間限定】 黄の素材</v>
      </c>
      <c r="F193" s="5" t="str">
        <f ca="1">VLOOKUP($D193,OFFSET([2]stages!$A$1,0,0,COUNTA([2]stages!$A:$A),MATCH(F$1,[2]stages!$2:$2,0)-MATCH($D$1,[2]stages!$2:$2,0)+1),MATCH(F$1,[2]stages!$2:$2,0)-MATCH($D$1,[2]stages!$2:$2,0)+1,FALSE)</f>
        <v>【上級】雷のイモムシ</v>
      </c>
      <c r="G193" s="25">
        <v>1</v>
      </c>
      <c r="H193" s="16" t="str">
        <f t="shared" si="48"/>
        <v>11101_4-1</v>
      </c>
      <c r="I193" s="5">
        <f ca="1">VLOOKUP($H193,OFFSET(floors!$A$1,0,0,COUNTA(floors!$A:$A),MATCH(I$1,floors!$1:$1,0)-MATCH($H$1,floors!$1:$1,0)+1),MATCH(I$1,floors!$1:$1,0)-MATCH($H$1,floors!$1:$1,0)+1,FALSE)</f>
        <v>30</v>
      </c>
      <c r="J193" s="5">
        <f ca="1">VLOOKUP($H193,OFFSET(floors!$A$1,0,0,COUNTA(floors!$A:$A),MATCH(J$1,floors!$1:$1,0)-MATCH($H$1,floors!$1:$1,0)+1),MATCH(J$1,floors!$1:$1,0)-MATCH($H$1,floors!$1:$1,0)+1,FALSE)</f>
        <v>45</v>
      </c>
      <c r="K193" s="24" t="s">
        <v>209</v>
      </c>
      <c r="L193" s="24">
        <v>39</v>
      </c>
      <c r="M193" s="20" t="str">
        <f ca="1">VLOOKUP($L193,OFFSET([3]enemies!$A$1,0,0,COUNTA([3]enemies!$A:$A),MATCH(M$1,[3]enemies!$1:$1,0)-MATCH($L$1,[3]enemies!$1:$1,0)+1),MATCH(M$1,[3]enemies!$1:$1,0)-MATCH($L$1,[3]enemies!$1:$1,0)+1,FALSE)</f>
        <v>マーロン</v>
      </c>
      <c r="N193" s="20" t="str">
        <f ca="1">VLOOKUP($L193,OFFSET([3]enemies!$A$1,0,0,COUNTA([3]enemies!$A:$A),MATCH(N$1,[3]enemies!$1:$1,0)-MATCH($L$1,[3]enemies!$1:$1,0)+1),MATCH(N$1,[3]enemies!$1:$1,0)-MATCH($L$1,[3]enemies!$1:$1,0)+1,FALSE)</f>
        <v>yellow</v>
      </c>
      <c r="O193" s="22" t="str">
        <f ca="1">VLOOKUP($L193,OFFSET([4]characters!$A$1,0,0,COUNTA([4]characters!$A:$A),MATCH(O$1,[4]characters!$1:$1,0)-MATCH($L$1,[4]characters!$1:$1,0)+1),MATCH(O$1,[4]characters!$1:$1,0)-MATCH($L$1,[4]characters!$1:$1,0)+1,FALSE)</f>
        <v>Drop1S</v>
      </c>
      <c r="P193" s="20" t="str">
        <f ca="1">VLOOKUP($L193,OFFSET([3]enemies!$A$1,0,0,COUNTA([3]enemies!$A:$A),MATCH(P$1,[3]enemies!$1:$1,0)-MATCH($L$1,[3]enemies!$1:$1,0)+1),MATCH(P$1,[3]enemies!$1:$1,0)-MATCH($L$1,[3]enemies!$1:$1,0)+1,FALSE)</f>
        <v>human</v>
      </c>
      <c r="Q193" s="20">
        <f ca="1">VLOOKUP($L193,OFFSET([3]enemies!$A$1,0,0,COUNTA([3]enemies!$A:$A),MATCH(Q$1,[3]enemies!$1:$1,0)-MATCH($L$1,[3]enemies!$1:$1,0)+1),MATCH(Q$1,[3]enemies!$1:$1,0)-MATCH($L$1,[3]enemies!$1:$1,0)+1,FALSE)</f>
        <v>15</v>
      </c>
      <c r="R193" s="6">
        <v>35</v>
      </c>
      <c r="S193" s="30">
        <v>1</v>
      </c>
      <c r="T193" s="30">
        <v>1</v>
      </c>
      <c r="U193" s="6">
        <v>0</v>
      </c>
      <c r="V193" s="5" t="str">
        <f ca="1">VLOOKUP($W193,OFFSET([5]enemy_skill_sets!$B$1,0,0,COUNTA([5]enemy_skill_sets!$B:$B),MATCH(M$1,[5]enemy_skill_sets!$1:$1,0)-MATCH($W$1,[5]enemy_skill_sets!$1:$1,0)+2),MATCH(M$1,[5]enemy_skill_sets!$1:$1,0)-MATCH($W$1,[5]enemy_skill_sets!$1:$1,0)+2,FALSE)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93" s="5">
        <f ca="1">VLOOKUP($L193,OFFSET([3]enemies!$A$1,0,0,COUNTA([3]enemies!$A:$A),MATCH(W$1,[3]enemies!$1:$1,0)-MATCH($L$1,[3]enemies!$1:$1,0)+1),MATCH(W$1,[3]enemies!$1:$1,0)-MATCH($L$1,[3]enemies!$1:$1,0)+1,FALSE)</f>
        <v>39</v>
      </c>
      <c r="X193" s="7">
        <v>0</v>
      </c>
      <c r="Y193" s="7">
        <v>100</v>
      </c>
      <c r="Z193" s="7">
        <v>0</v>
      </c>
      <c r="AA193" s="20">
        <f ca="1">VLOOKUP($L193,OFFSET([3]enemies!$A$1,0,0,COUNTA([3]enemies!$A:$A),MATCH(AA$1,[3]enemies!$1:$1,0)-MATCH($L$1,[3]enemies!$1:$1,0)+1),MATCH(AA$1,[3]enemies!$1:$1,0)-MATCH($L$1,[3]enemies!$1:$1,0)+1,FALSE)</f>
        <v>3</v>
      </c>
      <c r="AB193" s="24">
        <v>39</v>
      </c>
      <c r="AC193" s="5" t="str">
        <f ca="1">IFERROR(VLOOKUP($AB193,OFFSET([4]characters!$A$1,0,0,COUNTA([4]characters!$A:$A),MATCH(AC$1,[4]characters!$1:$1,0)-MATCH("character_id",[4]characters!$1:$1,0)+1),MATCH(AC$1,[4]characters!$1:$1,0)-MATCH("character_id",[4]characters!$1:$1,0)+1,FALSE),"")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93" s="5">
        <f ca="1">IFERROR(VLOOKUP($AB193,OFFSET([4]characters!$A$1,0,0,COUNTA([4]characters!$A:$A),MATCH(AD$1,[4]characters!$1:$1,0)-MATCH("character_id",[4]characters!$1:$1,0)+1),MATCH(AD$1,[4]characters!$1:$1,0)-MATCH("character_id",[4]characters!$1:$1,0)+1,FALSE),"")</f>
        <v>2</v>
      </c>
      <c r="AE193" s="5" t="str">
        <f ca="1">IFERROR(VLOOKUP($AB193,OFFSET([4]characters!$A$1,0,0,COUNTA([4]characters!$A:$A),MATCH(AE$1,[4]characters!$1:$1,0)-MATCH("character_id",[4]characters!$1:$1,0)+1),MATCH(AE$1,[4]characters!$1:$1,0)-MATCH("character_id",[4]characters!$1:$1,0)+1,FALSE),"")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93" s="8">
        <v>1</v>
      </c>
      <c r="AG193" s="27">
        <f t="shared" ref="AG193:AG214" ca="1" si="59">AD193</f>
        <v>2</v>
      </c>
      <c r="AH193" s="9">
        <v>0</v>
      </c>
      <c r="AI193" s="8">
        <v>0</v>
      </c>
      <c r="AJ193" s="8">
        <v>0</v>
      </c>
      <c r="AK193" s="8">
        <v>0</v>
      </c>
      <c r="AL193" s="8">
        <v>0</v>
      </c>
      <c r="AM193" s="8">
        <v>1</v>
      </c>
      <c r="AN193" s="8">
        <v>1</v>
      </c>
    </row>
    <row r="194" spans="1:40" ht="21" customHeight="1" x14ac:dyDescent="0.15">
      <c r="A194" s="17" t="str">
        <f t="shared" ca="1" si="57"/>
        <v>11101_4-1/31&lt;lv35&gt;s2</v>
      </c>
      <c r="B194" s="73">
        <v>11101</v>
      </c>
      <c r="C194" s="74">
        <v>4</v>
      </c>
      <c r="D194" s="2" t="str">
        <f t="shared" si="58"/>
        <v>11101_4</v>
      </c>
      <c r="E194" s="5" t="str">
        <f ca="1">VLOOKUP($B194,OFFSET([2]quests!$A$1,0,0,COUNTA([2]quests!$A:$A),MATCH(E$1,[2]quests!$1:$1,0)-MATCH($B$1,[2]quests!$1:$1,0)+1),MATCH(E$1,[2]quests!$1:$1,0)-MATCH($B$1,[2]quests!$1:$1,0)+1,FALSE)</f>
        <v>【期間限定】 黄の素材</v>
      </c>
      <c r="F194" s="5" t="str">
        <f ca="1">VLOOKUP($D194,OFFSET([2]stages!$A$1,0,0,COUNTA([2]stages!$A:$A),MATCH(F$1,[2]stages!$2:$2,0)-MATCH($D$1,[2]stages!$2:$2,0)+1),MATCH(F$1,[2]stages!$2:$2,0)-MATCH($D$1,[2]stages!$2:$2,0)+1,FALSE)</f>
        <v>【上級】雷のイモムシ</v>
      </c>
      <c r="G194" s="25">
        <v>1</v>
      </c>
      <c r="H194" s="16" t="str">
        <f t="shared" si="48"/>
        <v>11101_4-1</v>
      </c>
      <c r="I194" s="5">
        <f ca="1">VLOOKUP($H194,OFFSET(floors!$A$1,0,0,COUNTA(floors!$A:$A),MATCH(I$1,floors!$1:$1,0)-MATCH($H$1,floors!$1:$1,0)+1),MATCH(I$1,floors!$1:$1,0)-MATCH($H$1,floors!$1:$1,0)+1,FALSE)</f>
        <v>30</v>
      </c>
      <c r="J194" s="5">
        <f ca="1">VLOOKUP($H194,OFFSET(floors!$A$1,0,0,COUNTA(floors!$A:$A),MATCH(J$1,floors!$1:$1,0)-MATCH($H$1,floors!$1:$1,0)+1),MATCH(J$1,floors!$1:$1,0)-MATCH($H$1,floors!$1:$1,0)+1,FALSE)</f>
        <v>45</v>
      </c>
      <c r="K194" s="24" t="s">
        <v>209</v>
      </c>
      <c r="L194" s="24">
        <v>31</v>
      </c>
      <c r="M194" s="20" t="str">
        <f ca="1">VLOOKUP($L194,OFFSET([3]enemies!$A$1,0,0,COUNTA([3]enemies!$A:$A),MATCH(M$1,[3]enemies!$1:$1,0)-MATCH($L$1,[3]enemies!$1:$1,0)+1),MATCH(M$1,[3]enemies!$1:$1,0)-MATCH($L$1,[3]enemies!$1:$1,0)+1,FALSE)</f>
        <v>マービー</v>
      </c>
      <c r="N194" s="20" t="str">
        <f ca="1">VLOOKUP($L194,OFFSET([3]enemies!$A$1,0,0,COUNTA([3]enemies!$A:$A),MATCH(N$1,[3]enemies!$1:$1,0)-MATCH($L$1,[3]enemies!$1:$1,0)+1),MATCH(N$1,[3]enemies!$1:$1,0)-MATCH($L$1,[3]enemies!$1:$1,0)+1,FALSE)</f>
        <v>yellow</v>
      </c>
      <c r="O194" s="22" t="str">
        <f ca="1">VLOOKUP($L194,OFFSET([4]characters!$A$1,0,0,COUNTA([4]characters!$A:$A),MATCH(O$1,[4]characters!$1:$1,0)-MATCH($L$1,[4]characters!$1:$1,0)+1),MATCH(O$1,[4]characters!$1:$1,0)-MATCH($L$1,[4]characters!$1:$1,0)+1,FALSE)</f>
        <v>Drop1N</v>
      </c>
      <c r="P194" s="20" t="str">
        <f ca="1">VLOOKUP($L194,OFFSET([3]enemies!$A$1,0,0,COUNTA([3]enemies!$A:$A),MATCH(P$1,[3]enemies!$1:$1,0)-MATCH($L$1,[3]enemies!$1:$1,0)+1),MATCH(P$1,[3]enemies!$1:$1,0)-MATCH($L$1,[3]enemies!$1:$1,0)+1,FALSE)</f>
        <v>machine</v>
      </c>
      <c r="Q194" s="20">
        <f ca="1">VLOOKUP($L194,OFFSET([3]enemies!$A$1,0,0,COUNTA([3]enemies!$A:$A),MATCH(Q$1,[3]enemies!$1:$1,0)-MATCH($L$1,[3]enemies!$1:$1,0)+1),MATCH(Q$1,[3]enemies!$1:$1,0)-MATCH($L$1,[3]enemies!$1:$1,0)+1,FALSE)</f>
        <v>15</v>
      </c>
      <c r="R194" s="6">
        <v>35</v>
      </c>
      <c r="S194" s="30">
        <v>1</v>
      </c>
      <c r="T194" s="30">
        <v>1</v>
      </c>
      <c r="U194" s="6">
        <v>0</v>
      </c>
      <c r="V194" s="5" t="str">
        <f ca="1">VLOOKUP($W194,OFFSET([5]enemy_skill_sets!$B$1,0,0,COUNTA([5]enemy_skill_sets!$B:$B),MATCH(M$1,[5]enemy_skill_sets!$1:$1,0)-MATCH($W$1,[5]enemy_skill_sets!$1:$1,0)+2),MATCH(M$1,[5]enemy_skill_sets!$1:$1,0)-MATCH($W$1,[5]enemy_skill_sets!$1:$1,0)+2,FALSE)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4" s="5">
        <f ca="1">VLOOKUP($L194,OFFSET([3]enemies!$A$1,0,0,COUNTA([3]enemies!$A:$A),MATCH(W$1,[3]enemies!$1:$1,0)-MATCH($L$1,[3]enemies!$1:$1,0)+1),MATCH(W$1,[3]enemies!$1:$1,0)-MATCH($L$1,[3]enemies!$1:$1,0)+1,FALSE)</f>
        <v>0</v>
      </c>
      <c r="X194" s="7">
        <v>0</v>
      </c>
      <c r="Y194" s="7">
        <v>100</v>
      </c>
      <c r="Z194" s="7">
        <v>0</v>
      </c>
      <c r="AA194" s="20">
        <f ca="1">VLOOKUP($L194,OFFSET([3]enemies!$A$1,0,0,COUNTA([3]enemies!$A:$A),MATCH(AA$1,[3]enemies!$1:$1,0)-MATCH($L$1,[3]enemies!$1:$1,0)+1),MATCH(AA$1,[3]enemies!$1:$1,0)-MATCH($L$1,[3]enemies!$1:$1,0)+1,FALSE)</f>
        <v>2</v>
      </c>
      <c r="AB194" s="24">
        <v>31</v>
      </c>
      <c r="AC194" s="5" t="str">
        <f ca="1">IFERROR(VLOOKUP($AB194,OFFSET([4]characters!$A$1,0,0,COUNTA([4]characters!$A:$A),MATCH(AC$1,[4]characters!$1:$1,0)-MATCH("character_id",[4]characters!$1:$1,0)+1),MATCH(AC$1,[4]characters!$1:$1,0)-MATCH("character_id",[4]characters!$1:$1,0)+1,FALSE),"")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94" s="5">
        <f ca="1">IFERROR(VLOOKUP($AB194,OFFSET([4]characters!$A$1,0,0,COUNTA([4]characters!$A:$A),MATCH(AD$1,[4]characters!$1:$1,0)-MATCH("character_id",[4]characters!$1:$1,0)+1),MATCH(AD$1,[4]characters!$1:$1,0)-MATCH("character_id",[4]characters!$1:$1,0)+1,FALSE),"")</f>
        <v>1</v>
      </c>
      <c r="AE194" s="5" t="str">
        <f ca="1">IFERROR(VLOOKUP($AB194,OFFSET([4]characters!$A$1,0,0,COUNTA([4]characters!$A:$A),MATCH(AE$1,[4]characters!$1:$1,0)-MATCH("character_id",[4]characters!$1:$1,0)+1),MATCH(AE$1,[4]characters!$1:$1,0)-MATCH("character_id",[4]characters!$1:$1,0)+1,FALSE),"")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4" s="8">
        <v>1</v>
      </c>
      <c r="AG194" s="27">
        <f t="shared" ca="1" si="59"/>
        <v>1</v>
      </c>
      <c r="AH194" s="9">
        <v>0</v>
      </c>
      <c r="AI194" s="8">
        <v>0</v>
      </c>
      <c r="AJ194" s="8">
        <v>0</v>
      </c>
      <c r="AK194" s="8">
        <v>0</v>
      </c>
      <c r="AL194" s="8">
        <v>0</v>
      </c>
      <c r="AM194" s="8">
        <v>1</v>
      </c>
      <c r="AN194" s="8">
        <v>1</v>
      </c>
    </row>
    <row r="195" spans="1:40" ht="21" customHeight="1" x14ac:dyDescent="0.15">
      <c r="A195" s="17" t="str">
        <f t="shared" ca="1" si="57"/>
        <v>11101_4-1/344&lt;lv1&gt;s1</v>
      </c>
      <c r="B195" s="73">
        <v>11101</v>
      </c>
      <c r="C195" s="74">
        <v>4</v>
      </c>
      <c r="D195" s="2" t="str">
        <f t="shared" si="58"/>
        <v>11101_4</v>
      </c>
      <c r="E195" s="5" t="str">
        <f ca="1">VLOOKUP($B195,OFFSET([2]quests!$A$1,0,0,COUNTA([2]quests!$A:$A),MATCH(E$1,[2]quests!$1:$1,0)-MATCH($B$1,[2]quests!$1:$1,0)+1),MATCH(E$1,[2]quests!$1:$1,0)-MATCH($B$1,[2]quests!$1:$1,0)+1,FALSE)</f>
        <v>【期間限定】 黄の素材</v>
      </c>
      <c r="F195" s="5" t="str">
        <f ca="1">VLOOKUP($D195,OFFSET([2]stages!$A$1,0,0,COUNTA([2]stages!$A:$A),MATCH(F$1,[2]stages!$2:$2,0)-MATCH($D$1,[2]stages!$2:$2,0)+1),MATCH(F$1,[2]stages!$2:$2,0)-MATCH($D$1,[2]stages!$2:$2,0)+1,FALSE)</f>
        <v>【上級】雷のイモムシ</v>
      </c>
      <c r="G195" s="25">
        <v>1</v>
      </c>
      <c r="H195" s="16" t="str">
        <f t="shared" si="48"/>
        <v>11101_4-1</v>
      </c>
      <c r="I195" s="5">
        <f ca="1">VLOOKUP($H195,OFFSET(floors!$A$1,0,0,COUNTA(floors!$A:$A),MATCH(I$1,floors!$1:$1,0)-MATCH($H$1,floors!$1:$1,0)+1),MATCH(I$1,floors!$1:$1,0)-MATCH($H$1,floors!$1:$1,0)+1,FALSE)</f>
        <v>30</v>
      </c>
      <c r="J195" s="5">
        <f ca="1">VLOOKUP($H195,OFFSET(floors!$A$1,0,0,COUNTA(floors!$A:$A),MATCH(J$1,floors!$1:$1,0)-MATCH($H$1,floors!$1:$1,0)+1),MATCH(J$1,floors!$1:$1,0)-MATCH($H$1,floors!$1:$1,0)+1,FALSE)</f>
        <v>45</v>
      </c>
      <c r="K195" s="24" t="s">
        <v>209</v>
      </c>
      <c r="L195" s="24">
        <v>344</v>
      </c>
      <c r="M195" s="20" t="str">
        <f ca="1">VLOOKUP($L195,OFFSET([3]enemies!$A$1,0,0,COUNTA([3]enemies!$A:$A),MATCH(M$1,[3]enemies!$1:$1,0)-MATCH($L$1,[3]enemies!$1:$1,0)+1),MATCH(M$1,[3]enemies!$1:$1,0)-MATCH($L$1,[3]enemies!$1:$1,0)+1,FALSE)</f>
        <v>雷のメタルピヨピヨ</v>
      </c>
      <c r="N195" s="20" t="str">
        <f ca="1">VLOOKUP($L195,OFFSET([3]enemies!$A$1,0,0,COUNTA([3]enemies!$A:$A),MATCH(N$1,[3]enemies!$1:$1,0)-MATCH($L$1,[3]enemies!$1:$1,0)+1),MATCH(N$1,[3]enemies!$1:$1,0)-MATCH($L$1,[3]enemies!$1:$1,0)+1,FALSE)</f>
        <v>yellow</v>
      </c>
      <c r="O195" s="22" t="str">
        <f ca="1">VLOOKUP($L195,OFFSET([4]characters!$A$1,0,0,COUNTA([4]characters!$A:$A),MATCH(O$1,[4]characters!$1:$1,0)-MATCH($L$1,[4]characters!$1:$1,0)+1),MATCH(O$1,[4]characters!$1:$1,0)-MATCH($L$1,[4]characters!$1:$1,0)+1,FALSE)</f>
        <v>Material</v>
      </c>
      <c r="P195" s="20" t="str">
        <f ca="1">VLOOKUP($L195,OFFSET([3]enemies!$A$1,0,0,COUNTA([3]enemies!$A:$A),MATCH(P$1,[3]enemies!$1:$1,0)-MATCH($L$1,[3]enemies!$1:$1,0)+1),MATCH(P$1,[3]enemies!$1:$1,0)-MATCH($L$1,[3]enemies!$1:$1,0)+1,FALSE)</f>
        <v>unknown</v>
      </c>
      <c r="Q195" s="20">
        <f ca="1">VLOOKUP($L195,OFFSET([3]enemies!$A$1,0,0,COUNTA([3]enemies!$A:$A),MATCH(Q$1,[3]enemies!$1:$1,0)-MATCH($L$1,[3]enemies!$1:$1,0)+1),MATCH(Q$1,[3]enemies!$1:$1,0)-MATCH($L$1,[3]enemies!$1:$1,0)+1,FALSE)</f>
        <v>15</v>
      </c>
      <c r="R195" s="6">
        <v>1</v>
      </c>
      <c r="S195" s="30">
        <v>1</v>
      </c>
      <c r="T195" s="30">
        <v>1</v>
      </c>
      <c r="U195" s="6">
        <v>0</v>
      </c>
      <c r="V195" s="5" t="str">
        <f ca="1">VLOOKUP($W195,OFFSET([5]enemy_skill_sets!$B$1,0,0,COUNTA([5]enemy_skill_sets!$B:$B),MATCH(M$1,[5]enemy_skill_sets!$1:$1,0)-MATCH($W$1,[5]enemy_skill_sets!$1:$1,0)+2),MATCH(M$1,[5]enemy_skill_sets!$1:$1,0)-MATCH($W$1,[5]enemy_skill_sets!$1:$1,0)+2,FALSE)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5" s="5">
        <f ca="1">VLOOKUP($L195,OFFSET([3]enemies!$A$1,0,0,COUNTA([3]enemies!$A:$A),MATCH(W$1,[3]enemies!$1:$1,0)-MATCH($L$1,[3]enemies!$1:$1,0)+1),MATCH(W$1,[3]enemies!$1:$1,0)-MATCH($L$1,[3]enemies!$1:$1,0)+1,FALSE)</f>
        <v>0</v>
      </c>
      <c r="X195" s="7">
        <v>0</v>
      </c>
      <c r="Y195" s="7">
        <v>30</v>
      </c>
      <c r="Z195" s="7">
        <v>0</v>
      </c>
      <c r="AA195" s="20">
        <f ca="1">VLOOKUP($L195,OFFSET([3]enemies!$A$1,0,0,COUNTA([3]enemies!$A:$A),MATCH(AA$1,[3]enemies!$1:$1,0)-MATCH($L$1,[3]enemies!$1:$1,0)+1),MATCH(AA$1,[3]enemies!$1:$1,0)-MATCH($L$1,[3]enemies!$1:$1,0)+1,FALSE)</f>
        <v>1</v>
      </c>
      <c r="AB195" s="24">
        <v>344</v>
      </c>
      <c r="AC195" s="5" t="str">
        <f ca="1">IFERROR(VLOOKUP($AB195,OFFSET([4]characters!$A$1,0,0,COUNTA([4]characters!$A:$A),MATCH(AC$1,[4]characters!$1:$1,0)-MATCH("character_id",[4]characters!$1:$1,0)+1),MATCH(AC$1,[4]characters!$1:$1,0)-MATCH("character_id",[4]characters!$1:$1,0)+1,FALSE),"")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95" s="5">
        <f ca="1">IFERROR(VLOOKUP($AB195,OFFSET([4]characters!$A$1,0,0,COUNTA([4]characters!$A:$A),MATCH(AD$1,[4]characters!$1:$1,0)-MATCH("character_id",[4]characters!$1:$1,0)+1),MATCH(AD$1,[4]characters!$1:$1,0)-MATCH("character_id",[4]characters!$1:$1,0)+1,FALSE),"")</f>
        <v>3</v>
      </c>
      <c r="AE195" s="5" t="str">
        <f ca="1">IFERROR(VLOOKUP($AB195,OFFSET([4]characters!$A$1,0,0,COUNTA([4]characters!$A:$A),MATCH(AE$1,[4]characters!$1:$1,0)-MATCH("character_id",[4]characters!$1:$1,0)+1),MATCH(AE$1,[4]characters!$1:$1,0)-MATCH("character_id",[4]characters!$1:$1,0)+1,FALSE),"")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5" s="8">
        <v>1</v>
      </c>
      <c r="AG195" s="27">
        <f t="shared" ca="1" si="59"/>
        <v>3</v>
      </c>
      <c r="AH195" s="9">
        <v>10</v>
      </c>
      <c r="AI195" s="8">
        <v>0</v>
      </c>
      <c r="AJ195" s="8">
        <v>0</v>
      </c>
      <c r="AK195" s="8">
        <v>0</v>
      </c>
      <c r="AL195" s="8">
        <v>0</v>
      </c>
      <c r="AM195" s="8">
        <v>1</v>
      </c>
      <c r="AN195" s="8">
        <v>1</v>
      </c>
    </row>
    <row r="196" spans="1:40" ht="21" customHeight="1" x14ac:dyDescent="0.15">
      <c r="A196" s="17" t="str">
        <f t="shared" ca="1" si="57"/>
        <v>11101_4-1/345&lt;lv1&gt;s2</v>
      </c>
      <c r="B196" s="73">
        <v>11101</v>
      </c>
      <c r="C196" s="74">
        <v>4</v>
      </c>
      <c r="D196" s="2" t="str">
        <f t="shared" si="58"/>
        <v>11101_4</v>
      </c>
      <c r="E196" s="5" t="str">
        <f ca="1">VLOOKUP($B196,OFFSET([2]quests!$A$1,0,0,COUNTA([2]quests!$A:$A),MATCH(E$1,[2]quests!$1:$1,0)-MATCH($B$1,[2]quests!$1:$1,0)+1),MATCH(E$1,[2]quests!$1:$1,0)-MATCH($B$1,[2]quests!$1:$1,0)+1,FALSE)</f>
        <v>【期間限定】 黄の素材</v>
      </c>
      <c r="F196" s="5" t="str">
        <f ca="1">VLOOKUP($D196,OFFSET([2]stages!$A$1,0,0,COUNTA([2]stages!$A:$A),MATCH(F$1,[2]stages!$2:$2,0)-MATCH($D$1,[2]stages!$2:$2,0)+1),MATCH(F$1,[2]stages!$2:$2,0)-MATCH($D$1,[2]stages!$2:$2,0)+1,FALSE)</f>
        <v>【上級】雷のイモムシ</v>
      </c>
      <c r="G196" s="25">
        <v>1</v>
      </c>
      <c r="H196" s="16" t="str">
        <f t="shared" si="48"/>
        <v>11101_4-1</v>
      </c>
      <c r="I196" s="5">
        <f ca="1">VLOOKUP($H196,OFFSET(floors!$A$1,0,0,COUNTA(floors!$A:$A),MATCH(I$1,floors!$1:$1,0)-MATCH($H$1,floors!$1:$1,0)+1),MATCH(I$1,floors!$1:$1,0)-MATCH($H$1,floors!$1:$1,0)+1,FALSE)</f>
        <v>30</v>
      </c>
      <c r="J196" s="5">
        <f ca="1">VLOOKUP($H196,OFFSET(floors!$A$1,0,0,COUNTA(floors!$A:$A),MATCH(J$1,floors!$1:$1,0)-MATCH($H$1,floors!$1:$1,0)+1),MATCH(J$1,floors!$1:$1,0)-MATCH($H$1,floors!$1:$1,0)+1,FALSE)</f>
        <v>45</v>
      </c>
      <c r="K196" s="24" t="s">
        <v>209</v>
      </c>
      <c r="L196" s="24">
        <v>345</v>
      </c>
      <c r="M196" s="20" t="str">
        <f ca="1">VLOOKUP($L196,OFFSET([3]enemies!$A$1,0,0,COUNTA([3]enemies!$A:$A),MATCH(M$1,[3]enemies!$1:$1,0)-MATCH($L$1,[3]enemies!$1:$1,0)+1),MATCH(M$1,[3]enemies!$1:$1,0)-MATCH($L$1,[3]enemies!$1:$1,0)+1,FALSE)</f>
        <v>雷のメタルチック</v>
      </c>
      <c r="N196" s="20" t="str">
        <f ca="1">VLOOKUP($L196,OFFSET([3]enemies!$A$1,0,0,COUNTA([3]enemies!$A:$A),MATCH(N$1,[3]enemies!$1:$1,0)-MATCH($L$1,[3]enemies!$1:$1,0)+1),MATCH(N$1,[3]enemies!$1:$1,0)-MATCH($L$1,[3]enemies!$1:$1,0)+1,FALSE)</f>
        <v>yellow</v>
      </c>
      <c r="O196" s="22" t="str">
        <f ca="1">VLOOKUP($L196,OFFSET([4]characters!$A$1,0,0,COUNTA([4]characters!$A:$A),MATCH(O$1,[4]characters!$1:$1,0)-MATCH($L$1,[4]characters!$1:$1,0)+1),MATCH(O$1,[4]characters!$1:$1,0)-MATCH($L$1,[4]characters!$1:$1,0)+1,FALSE)</f>
        <v>Material</v>
      </c>
      <c r="P196" s="20" t="str">
        <f ca="1">VLOOKUP($L196,OFFSET([3]enemies!$A$1,0,0,COUNTA([3]enemies!$A:$A),MATCH(P$1,[3]enemies!$1:$1,0)-MATCH($L$1,[3]enemies!$1:$1,0)+1),MATCH(P$1,[3]enemies!$1:$1,0)-MATCH($L$1,[3]enemies!$1:$1,0)+1,FALSE)</f>
        <v>unknown</v>
      </c>
      <c r="Q196" s="20">
        <f ca="1">VLOOKUP($L196,OFFSET([3]enemies!$A$1,0,0,COUNTA([3]enemies!$A:$A),MATCH(Q$1,[3]enemies!$1:$1,0)-MATCH($L$1,[3]enemies!$1:$1,0)+1),MATCH(Q$1,[3]enemies!$1:$1,0)-MATCH($L$1,[3]enemies!$1:$1,0)+1,FALSE)</f>
        <v>15</v>
      </c>
      <c r="R196" s="6">
        <v>1</v>
      </c>
      <c r="S196" s="30">
        <v>1</v>
      </c>
      <c r="T196" s="30">
        <v>1</v>
      </c>
      <c r="U196" s="6">
        <v>0</v>
      </c>
      <c r="V196" s="5" t="str">
        <f ca="1">VLOOKUP($W196,OFFSET([5]enemy_skill_sets!$B$1,0,0,COUNTA([5]enemy_skill_sets!$B:$B),MATCH(M$1,[5]enemy_skill_sets!$1:$1,0)-MATCH($W$1,[5]enemy_skill_sets!$1:$1,0)+2),MATCH(M$1,[5]enemy_skill_sets!$1:$1,0)-MATCH($W$1,[5]enemy_skill_sets!$1:$1,0)+2,FALSE)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6" s="5">
        <f ca="1">VLOOKUP($L196,OFFSET([3]enemies!$A$1,0,0,COUNTA([3]enemies!$A:$A),MATCH(W$1,[3]enemies!$1:$1,0)-MATCH($L$1,[3]enemies!$1:$1,0)+1),MATCH(W$1,[3]enemies!$1:$1,0)-MATCH($L$1,[3]enemies!$1:$1,0)+1,FALSE)</f>
        <v>0</v>
      </c>
      <c r="X196" s="7">
        <v>0</v>
      </c>
      <c r="Y196" s="7">
        <v>30</v>
      </c>
      <c r="Z196" s="7">
        <v>0</v>
      </c>
      <c r="AA196" s="20">
        <f ca="1">VLOOKUP($L196,OFFSET([3]enemies!$A$1,0,0,COUNTA([3]enemies!$A:$A),MATCH(AA$1,[3]enemies!$1:$1,0)-MATCH($L$1,[3]enemies!$1:$1,0)+1),MATCH(AA$1,[3]enemies!$1:$1,0)-MATCH($L$1,[3]enemies!$1:$1,0)+1,FALSE)</f>
        <v>2</v>
      </c>
      <c r="AB196" s="24">
        <v>345</v>
      </c>
      <c r="AC196" s="5" t="str">
        <f ca="1">IFERROR(VLOOKUP($AB196,OFFSET([4]characters!$A$1,0,0,COUNTA([4]characters!$A:$A),MATCH(AC$1,[4]characters!$1:$1,0)-MATCH("character_id",[4]characters!$1:$1,0)+1),MATCH(AC$1,[4]characters!$1:$1,0)-MATCH("character_id",[4]characters!$1:$1,0)+1,FALSE),"")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96" s="5">
        <f ca="1">IFERROR(VLOOKUP($AB196,OFFSET([4]characters!$A$1,0,0,COUNTA([4]characters!$A:$A),MATCH(AD$1,[4]characters!$1:$1,0)-MATCH("character_id",[4]characters!$1:$1,0)+1),MATCH(AD$1,[4]characters!$1:$1,0)-MATCH("character_id",[4]characters!$1:$1,0)+1,FALSE),"")</f>
        <v>4</v>
      </c>
      <c r="AE196" s="5" t="str">
        <f ca="1">IFERROR(VLOOKUP($AB196,OFFSET([4]characters!$A$1,0,0,COUNTA([4]characters!$A:$A),MATCH(AE$1,[4]characters!$1:$1,0)-MATCH("character_id",[4]characters!$1:$1,0)+1),MATCH(AE$1,[4]characters!$1:$1,0)-MATCH("character_id",[4]characters!$1:$1,0)+1,FALSE),"")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6" s="8">
        <v>1</v>
      </c>
      <c r="AG196" s="27">
        <f t="shared" ca="1" si="59"/>
        <v>4</v>
      </c>
      <c r="AH196" s="9">
        <v>5</v>
      </c>
      <c r="AI196" s="8">
        <v>0</v>
      </c>
      <c r="AJ196" s="8">
        <v>0</v>
      </c>
      <c r="AK196" s="8">
        <v>0</v>
      </c>
      <c r="AL196" s="8">
        <v>0</v>
      </c>
      <c r="AM196" s="8">
        <v>1</v>
      </c>
      <c r="AN196" s="8">
        <v>1</v>
      </c>
    </row>
    <row r="197" spans="1:40" ht="21" customHeight="1" x14ac:dyDescent="0.15">
      <c r="A197" s="17" t="str">
        <f t="shared" ca="1" si="57"/>
        <v>11101_4-2/115&lt;lv30&gt;s2</v>
      </c>
      <c r="B197" s="73">
        <v>11101</v>
      </c>
      <c r="C197" s="74">
        <v>4</v>
      </c>
      <c r="D197" s="2" t="str">
        <f t="shared" si="58"/>
        <v>11101_4</v>
      </c>
      <c r="E197" s="5" t="str">
        <f ca="1">VLOOKUP($B197,OFFSET([2]quests!$A$1,0,0,COUNTA([2]quests!$A:$A),MATCH(E$1,[2]quests!$1:$1,0)-MATCH($B$1,[2]quests!$1:$1,0)+1),MATCH(E$1,[2]quests!$1:$1,0)-MATCH($B$1,[2]quests!$1:$1,0)+1,FALSE)</f>
        <v>【期間限定】 黄の素材</v>
      </c>
      <c r="F197" s="5" t="str">
        <f ca="1">VLOOKUP($D197,OFFSET([2]stages!$A$1,0,0,COUNTA([2]stages!$A:$A),MATCH(F$1,[2]stages!$2:$2,0)-MATCH($D$1,[2]stages!$2:$2,0)+1),MATCH(F$1,[2]stages!$2:$2,0)-MATCH($D$1,[2]stages!$2:$2,0)+1,FALSE)</f>
        <v>【上級】雷のイモムシ</v>
      </c>
      <c r="G197" s="25">
        <v>2</v>
      </c>
      <c r="H197" s="16" t="str">
        <f t="shared" si="48"/>
        <v>11101_4-2</v>
      </c>
      <c r="I197" s="5">
        <f ca="1">VLOOKUP($H197,OFFSET(floors!$A$1,0,0,COUNTA(floors!$A:$A),MATCH(I$1,floors!$1:$1,0)-MATCH($H$1,floors!$1:$1,0)+1),MATCH(I$1,floors!$1:$1,0)-MATCH($H$1,floors!$1:$1,0)+1,FALSE)</f>
        <v>30</v>
      </c>
      <c r="J197" s="5">
        <f ca="1">VLOOKUP($H197,OFFSET(floors!$A$1,0,0,COUNTA(floors!$A:$A),MATCH(J$1,floors!$1:$1,0)-MATCH($H$1,floors!$1:$1,0)+1),MATCH(J$1,floors!$1:$1,0)-MATCH($H$1,floors!$1:$1,0)+1,FALSE)</f>
        <v>45</v>
      </c>
      <c r="K197" s="24" t="s">
        <v>209</v>
      </c>
      <c r="L197" s="24">
        <v>115</v>
      </c>
      <c r="M197" s="20" t="str">
        <f ca="1">VLOOKUP($L197,OFFSET([3]enemies!$A$1,0,0,COUNTA([3]enemies!$A:$A),MATCH(M$1,[3]enemies!$1:$1,0)-MATCH($L$1,[3]enemies!$1:$1,0)+1),MATCH(M$1,[3]enemies!$1:$1,0)-MATCH($L$1,[3]enemies!$1:$1,0)+1,FALSE)</f>
        <v>イエローキャタップ</v>
      </c>
      <c r="N197" s="20" t="str">
        <f ca="1">VLOOKUP($L197,OFFSET([3]enemies!$A$1,0,0,COUNTA([3]enemies!$A:$A),MATCH(N$1,[3]enemies!$1:$1,0)-MATCH($L$1,[3]enemies!$1:$1,0)+1),MATCH(N$1,[3]enemies!$1:$1,0)-MATCH($L$1,[3]enemies!$1:$1,0)+1,FALSE)</f>
        <v>yellow</v>
      </c>
      <c r="O197" s="22" t="str">
        <f ca="1">VLOOKUP($L197,OFFSET([4]characters!$A$1,0,0,COUNTA([4]characters!$A:$A),MATCH(O$1,[4]characters!$1:$1,0)-MATCH($L$1,[4]characters!$1:$1,0)+1),MATCH(O$1,[4]characters!$1:$1,0)-MATCH($L$1,[4]characters!$1:$1,0)+1,FALSE)</f>
        <v>Material</v>
      </c>
      <c r="P197" s="20" t="str">
        <f ca="1">VLOOKUP($L197,OFFSET([3]enemies!$A$1,0,0,COUNTA([3]enemies!$A:$A),MATCH(P$1,[3]enemies!$1:$1,0)-MATCH($L$1,[3]enemies!$1:$1,0)+1),MATCH(P$1,[3]enemies!$1:$1,0)-MATCH($L$1,[3]enemies!$1:$1,0)+1,FALSE)</f>
        <v>unknown</v>
      </c>
      <c r="Q197" s="20">
        <f ca="1">VLOOKUP($L197,OFFSET([3]enemies!$A$1,0,0,COUNTA([3]enemies!$A:$A),MATCH(Q$1,[3]enemies!$1:$1,0)-MATCH($L$1,[3]enemies!$1:$1,0)+1),MATCH(Q$1,[3]enemies!$1:$1,0)-MATCH($L$1,[3]enemies!$1:$1,0)+1,FALSE)</f>
        <v>15</v>
      </c>
      <c r="R197" s="6">
        <v>30</v>
      </c>
      <c r="S197" s="30">
        <v>2</v>
      </c>
      <c r="T197" s="30">
        <v>1</v>
      </c>
      <c r="U197" s="6">
        <v>0</v>
      </c>
      <c r="V197" s="5" t="str">
        <f ca="1">VLOOKUP($W197,OFFSET([5]enemy_skill_sets!$B$1,0,0,COUNTA([5]enemy_skill_sets!$B:$B),MATCH(M$1,[5]enemy_skill_sets!$1:$1,0)-MATCH($W$1,[5]enemy_skill_sets!$1:$1,0)+2),MATCH(M$1,[5]enemy_skill_sets!$1:$1,0)-MATCH($W$1,[5]enemy_skill_sets!$1:$1,0)+2,FALSE)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7" s="5">
        <f ca="1">VLOOKUP($L197,OFFSET([3]enemies!$A$1,0,0,COUNTA([3]enemies!$A:$A),MATCH(W$1,[3]enemies!$1:$1,0)-MATCH($L$1,[3]enemies!$1:$1,0)+1),MATCH(W$1,[3]enemies!$1:$1,0)-MATCH($L$1,[3]enemies!$1:$1,0)+1,FALSE)</f>
        <v>0</v>
      </c>
      <c r="X197" s="7">
        <v>1</v>
      </c>
      <c r="Y197" s="7">
        <v>100</v>
      </c>
      <c r="Z197" s="7">
        <v>1</v>
      </c>
      <c r="AA197" s="20">
        <f ca="1">VLOOKUP($L197,OFFSET([3]enemies!$A$1,0,0,COUNTA([3]enemies!$A:$A),MATCH(AA$1,[3]enemies!$1:$1,0)-MATCH($L$1,[3]enemies!$1:$1,0)+1),MATCH(AA$1,[3]enemies!$1:$1,0)-MATCH($L$1,[3]enemies!$1:$1,0)+1,FALSE)</f>
        <v>2</v>
      </c>
      <c r="AB197" s="24">
        <v>115</v>
      </c>
      <c r="AC197" s="5" t="str">
        <f ca="1">IFERROR(VLOOKUP($AB197,OFFSET([4]characters!$A$1,0,0,COUNTA([4]characters!$A:$A),MATCH(AC$1,[4]characters!$1:$1,0)-MATCH("character_id",[4]characters!$1:$1,0)+1),MATCH(AC$1,[4]characters!$1:$1,0)-MATCH("character_id",[4]characters!$1:$1,0)+1,FALSE),"")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97" s="5">
        <f ca="1">IFERROR(VLOOKUP($AB197,OFFSET([4]characters!$A$1,0,0,COUNTA([4]characters!$A:$A),MATCH(AD$1,[4]characters!$1:$1,0)-MATCH("character_id",[4]characters!$1:$1,0)+1),MATCH(AD$1,[4]characters!$1:$1,0)-MATCH("character_id",[4]characters!$1:$1,0)+1,FALSE),"")</f>
        <v>4</v>
      </c>
      <c r="AE197" s="5" t="str">
        <f ca="1">IFERROR(VLOOKUP($AB197,OFFSET([4]characters!$A$1,0,0,COUNTA([4]characters!$A:$A),MATCH(AE$1,[4]characters!$1:$1,0)-MATCH("character_id",[4]characters!$1:$1,0)+1),MATCH(AE$1,[4]characters!$1:$1,0)-MATCH("character_id",[4]characters!$1:$1,0)+1,FALSE),"")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7" s="8">
        <v>1</v>
      </c>
      <c r="AG197" s="27">
        <f t="shared" ca="1" si="59"/>
        <v>4</v>
      </c>
      <c r="AH197" s="130">
        <v>50</v>
      </c>
      <c r="AI197" s="8">
        <v>0</v>
      </c>
      <c r="AJ197" s="8">
        <v>0</v>
      </c>
      <c r="AK197" s="8">
        <v>0</v>
      </c>
      <c r="AL197" s="8">
        <v>0</v>
      </c>
      <c r="AM197" s="8">
        <v>1</v>
      </c>
      <c r="AN197" s="8">
        <v>1</v>
      </c>
    </row>
    <row r="198" spans="1:40" ht="21" customHeight="1" x14ac:dyDescent="0.15">
      <c r="A198" s="17" t="str">
        <f t="shared" ca="1" si="57"/>
        <v>11101_4-2/39&lt;lv35&gt;s3</v>
      </c>
      <c r="B198" s="73">
        <v>11101</v>
      </c>
      <c r="C198" s="74">
        <v>4</v>
      </c>
      <c r="D198" s="2" t="str">
        <f t="shared" si="58"/>
        <v>11101_4</v>
      </c>
      <c r="E198" s="5" t="str">
        <f ca="1">VLOOKUP($B198,OFFSET([2]quests!$A$1,0,0,COUNTA([2]quests!$A:$A),MATCH(E$1,[2]quests!$1:$1,0)-MATCH($B$1,[2]quests!$1:$1,0)+1),MATCH(E$1,[2]quests!$1:$1,0)-MATCH($B$1,[2]quests!$1:$1,0)+1,FALSE)</f>
        <v>【期間限定】 黄の素材</v>
      </c>
      <c r="F198" s="5" t="str">
        <f ca="1">VLOOKUP($D198,OFFSET([2]stages!$A$1,0,0,COUNTA([2]stages!$A:$A),MATCH(F$1,[2]stages!$2:$2,0)-MATCH($D$1,[2]stages!$2:$2,0)+1),MATCH(F$1,[2]stages!$2:$2,0)-MATCH($D$1,[2]stages!$2:$2,0)+1,FALSE)</f>
        <v>【上級】雷のイモムシ</v>
      </c>
      <c r="G198" s="25">
        <v>2</v>
      </c>
      <c r="H198" s="16" t="str">
        <f t="shared" si="48"/>
        <v>11101_4-2</v>
      </c>
      <c r="I198" s="5">
        <f ca="1">VLOOKUP($H198,OFFSET(floors!$A$1,0,0,COUNTA(floors!$A:$A),MATCH(I$1,floors!$1:$1,0)-MATCH($H$1,floors!$1:$1,0)+1),MATCH(I$1,floors!$1:$1,0)-MATCH($H$1,floors!$1:$1,0)+1,FALSE)</f>
        <v>30</v>
      </c>
      <c r="J198" s="5">
        <f ca="1">VLOOKUP($H198,OFFSET(floors!$A$1,0,0,COUNTA(floors!$A:$A),MATCH(J$1,floors!$1:$1,0)-MATCH($H$1,floors!$1:$1,0)+1),MATCH(J$1,floors!$1:$1,0)-MATCH($H$1,floors!$1:$1,0)+1,FALSE)</f>
        <v>45</v>
      </c>
      <c r="K198" s="24" t="s">
        <v>209</v>
      </c>
      <c r="L198" s="24">
        <v>39</v>
      </c>
      <c r="M198" s="20" t="str">
        <f ca="1">VLOOKUP($L198,OFFSET([3]enemies!$A$1,0,0,COUNTA([3]enemies!$A:$A),MATCH(M$1,[3]enemies!$1:$1,0)-MATCH($L$1,[3]enemies!$1:$1,0)+1),MATCH(M$1,[3]enemies!$1:$1,0)-MATCH($L$1,[3]enemies!$1:$1,0)+1,FALSE)</f>
        <v>マーロン</v>
      </c>
      <c r="N198" s="20" t="str">
        <f ca="1">VLOOKUP($L198,OFFSET([3]enemies!$A$1,0,0,COUNTA([3]enemies!$A:$A),MATCH(N$1,[3]enemies!$1:$1,0)-MATCH($L$1,[3]enemies!$1:$1,0)+1),MATCH(N$1,[3]enemies!$1:$1,0)-MATCH($L$1,[3]enemies!$1:$1,0)+1,FALSE)</f>
        <v>yellow</v>
      </c>
      <c r="O198" s="22" t="str">
        <f ca="1">VLOOKUP($L198,OFFSET([4]characters!$A$1,0,0,COUNTA([4]characters!$A:$A),MATCH(O$1,[4]characters!$1:$1,0)-MATCH($L$1,[4]characters!$1:$1,0)+1),MATCH(O$1,[4]characters!$1:$1,0)-MATCH($L$1,[4]characters!$1:$1,0)+1,FALSE)</f>
        <v>Drop1S</v>
      </c>
      <c r="P198" s="20" t="str">
        <f ca="1">VLOOKUP($L198,OFFSET([3]enemies!$A$1,0,0,COUNTA([3]enemies!$A:$A),MATCH(P$1,[3]enemies!$1:$1,0)-MATCH($L$1,[3]enemies!$1:$1,0)+1),MATCH(P$1,[3]enemies!$1:$1,0)-MATCH($L$1,[3]enemies!$1:$1,0)+1,FALSE)</f>
        <v>human</v>
      </c>
      <c r="Q198" s="20">
        <f ca="1">VLOOKUP($L198,OFFSET([3]enemies!$A$1,0,0,COUNTA([3]enemies!$A:$A),MATCH(Q$1,[3]enemies!$1:$1,0)-MATCH($L$1,[3]enemies!$1:$1,0)+1),MATCH(Q$1,[3]enemies!$1:$1,0)-MATCH($L$1,[3]enemies!$1:$1,0)+1,FALSE)</f>
        <v>15</v>
      </c>
      <c r="R198" s="6">
        <v>35</v>
      </c>
      <c r="S198" s="30">
        <v>1</v>
      </c>
      <c r="T198" s="30">
        <v>1</v>
      </c>
      <c r="U198" s="6">
        <v>0</v>
      </c>
      <c r="V198" s="5" t="str">
        <f ca="1">VLOOKUP($W198,OFFSET([5]enemy_skill_sets!$B$1,0,0,COUNTA([5]enemy_skill_sets!$B:$B),MATCH(M$1,[5]enemy_skill_sets!$1:$1,0)-MATCH($W$1,[5]enemy_skill_sets!$1:$1,0)+2),MATCH(M$1,[5]enemy_skill_sets!$1:$1,0)-MATCH($W$1,[5]enemy_skill_sets!$1:$1,0)+2,FALSE)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98" s="5">
        <f ca="1">VLOOKUP($L198,OFFSET([3]enemies!$A$1,0,0,COUNTA([3]enemies!$A:$A),MATCH(W$1,[3]enemies!$1:$1,0)-MATCH($L$1,[3]enemies!$1:$1,0)+1),MATCH(W$1,[3]enemies!$1:$1,0)-MATCH($L$1,[3]enemies!$1:$1,0)+1,FALSE)</f>
        <v>39</v>
      </c>
      <c r="X198" s="7">
        <v>0</v>
      </c>
      <c r="Y198" s="7">
        <v>100</v>
      </c>
      <c r="Z198" s="7">
        <v>0</v>
      </c>
      <c r="AA198" s="20">
        <f ca="1">VLOOKUP($L198,OFFSET([3]enemies!$A$1,0,0,COUNTA([3]enemies!$A:$A),MATCH(AA$1,[3]enemies!$1:$1,0)-MATCH($L$1,[3]enemies!$1:$1,0)+1),MATCH(AA$1,[3]enemies!$1:$1,0)-MATCH($L$1,[3]enemies!$1:$1,0)+1,FALSE)</f>
        <v>3</v>
      </c>
      <c r="AB198" s="24">
        <v>39</v>
      </c>
      <c r="AC198" s="5" t="str">
        <f ca="1">IFERROR(VLOOKUP($AB198,OFFSET([4]characters!$A$1,0,0,COUNTA([4]characters!$A:$A),MATCH(AC$1,[4]characters!$1:$1,0)-MATCH("character_id",[4]characters!$1:$1,0)+1),MATCH(AC$1,[4]characters!$1:$1,0)-MATCH("character_id",[4]characters!$1:$1,0)+1,FALSE),"")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98" s="5">
        <f ca="1">IFERROR(VLOOKUP($AB198,OFFSET([4]characters!$A$1,0,0,COUNTA([4]characters!$A:$A),MATCH(AD$1,[4]characters!$1:$1,0)-MATCH("character_id",[4]characters!$1:$1,0)+1),MATCH(AD$1,[4]characters!$1:$1,0)-MATCH("character_id",[4]characters!$1:$1,0)+1,FALSE),"")</f>
        <v>2</v>
      </c>
      <c r="AE198" s="5" t="str">
        <f ca="1">IFERROR(VLOOKUP($AB198,OFFSET([4]characters!$A$1,0,0,COUNTA([4]characters!$A:$A),MATCH(AE$1,[4]characters!$1:$1,0)-MATCH("character_id",[4]characters!$1:$1,0)+1),MATCH(AE$1,[4]characters!$1:$1,0)-MATCH("character_id",[4]characters!$1:$1,0)+1,FALSE),"")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98" s="8">
        <v>1</v>
      </c>
      <c r="AG198" s="27">
        <f t="shared" ca="1" si="59"/>
        <v>2</v>
      </c>
      <c r="AH198" s="9">
        <v>0</v>
      </c>
      <c r="AI198" s="8">
        <v>0</v>
      </c>
      <c r="AJ198" s="8">
        <v>0</v>
      </c>
      <c r="AK198" s="8">
        <v>0</v>
      </c>
      <c r="AL198" s="8">
        <v>0</v>
      </c>
      <c r="AM198" s="8">
        <v>1</v>
      </c>
      <c r="AN198" s="8">
        <v>1</v>
      </c>
    </row>
    <row r="199" spans="1:40" ht="23" customHeight="1" x14ac:dyDescent="0.15">
      <c r="A199" s="17" t="str">
        <f t="shared" ca="1" si="57"/>
        <v>11101_4-2/31&lt;lv35&gt;s2</v>
      </c>
      <c r="B199" s="73">
        <v>11101</v>
      </c>
      <c r="C199" s="74">
        <v>4</v>
      </c>
      <c r="D199" s="2" t="str">
        <f t="shared" si="58"/>
        <v>11101_4</v>
      </c>
      <c r="E199" s="5" t="str">
        <f ca="1">VLOOKUP($B199,OFFSET([2]quests!$A$1,0,0,COUNTA([2]quests!$A:$A),MATCH(E$1,[2]quests!$1:$1,0)-MATCH($B$1,[2]quests!$1:$1,0)+1),MATCH(E$1,[2]quests!$1:$1,0)-MATCH($B$1,[2]quests!$1:$1,0)+1,FALSE)</f>
        <v>【期間限定】 黄の素材</v>
      </c>
      <c r="F199" s="5" t="str">
        <f ca="1">VLOOKUP($D199,OFFSET([2]stages!$A$1,0,0,COUNTA([2]stages!$A:$A),MATCH(F$1,[2]stages!$2:$2,0)-MATCH($D$1,[2]stages!$2:$2,0)+1),MATCH(F$1,[2]stages!$2:$2,0)-MATCH($D$1,[2]stages!$2:$2,0)+1,FALSE)</f>
        <v>【上級】雷のイモムシ</v>
      </c>
      <c r="G199" s="25">
        <v>2</v>
      </c>
      <c r="H199" s="16" t="str">
        <f t="shared" si="48"/>
        <v>11101_4-2</v>
      </c>
      <c r="I199" s="5">
        <f ca="1">VLOOKUP($H199,OFFSET(floors!$A$1,0,0,COUNTA(floors!$A:$A),MATCH(I$1,floors!$1:$1,0)-MATCH($H$1,floors!$1:$1,0)+1),MATCH(I$1,floors!$1:$1,0)-MATCH($H$1,floors!$1:$1,0)+1,FALSE)</f>
        <v>30</v>
      </c>
      <c r="J199" s="5">
        <f ca="1">VLOOKUP($H199,OFFSET(floors!$A$1,0,0,COUNTA(floors!$A:$A),MATCH(J$1,floors!$1:$1,0)-MATCH($H$1,floors!$1:$1,0)+1),MATCH(J$1,floors!$1:$1,0)-MATCH($H$1,floors!$1:$1,0)+1,FALSE)</f>
        <v>45</v>
      </c>
      <c r="K199" s="24" t="s">
        <v>209</v>
      </c>
      <c r="L199" s="24">
        <v>31</v>
      </c>
      <c r="M199" s="20" t="str">
        <f ca="1">VLOOKUP($L199,OFFSET([3]enemies!$A$1,0,0,COUNTA([3]enemies!$A:$A),MATCH(M$1,[3]enemies!$1:$1,0)-MATCH($L$1,[3]enemies!$1:$1,0)+1),MATCH(M$1,[3]enemies!$1:$1,0)-MATCH($L$1,[3]enemies!$1:$1,0)+1,FALSE)</f>
        <v>マービー</v>
      </c>
      <c r="N199" s="20" t="str">
        <f ca="1">VLOOKUP($L199,OFFSET([3]enemies!$A$1,0,0,COUNTA([3]enemies!$A:$A),MATCH(N$1,[3]enemies!$1:$1,0)-MATCH($L$1,[3]enemies!$1:$1,0)+1),MATCH(N$1,[3]enemies!$1:$1,0)-MATCH($L$1,[3]enemies!$1:$1,0)+1,FALSE)</f>
        <v>yellow</v>
      </c>
      <c r="O199" s="22" t="str">
        <f ca="1">VLOOKUP($L199,OFFSET([4]characters!$A$1,0,0,COUNTA([4]characters!$A:$A),MATCH(O$1,[4]characters!$1:$1,0)-MATCH($L$1,[4]characters!$1:$1,0)+1),MATCH(O$1,[4]characters!$1:$1,0)-MATCH($L$1,[4]characters!$1:$1,0)+1,FALSE)</f>
        <v>Drop1N</v>
      </c>
      <c r="P199" s="20" t="str">
        <f ca="1">VLOOKUP($L199,OFFSET([3]enemies!$A$1,0,0,COUNTA([3]enemies!$A:$A),MATCH(P$1,[3]enemies!$1:$1,0)-MATCH($L$1,[3]enemies!$1:$1,0)+1),MATCH(P$1,[3]enemies!$1:$1,0)-MATCH($L$1,[3]enemies!$1:$1,0)+1,FALSE)</f>
        <v>machine</v>
      </c>
      <c r="Q199" s="20">
        <f ca="1">VLOOKUP($L199,OFFSET([3]enemies!$A$1,0,0,COUNTA([3]enemies!$A:$A),MATCH(Q$1,[3]enemies!$1:$1,0)-MATCH($L$1,[3]enemies!$1:$1,0)+1),MATCH(Q$1,[3]enemies!$1:$1,0)-MATCH($L$1,[3]enemies!$1:$1,0)+1,FALSE)</f>
        <v>15</v>
      </c>
      <c r="R199" s="6">
        <v>35</v>
      </c>
      <c r="S199" s="30">
        <v>1</v>
      </c>
      <c r="T199" s="30">
        <v>1</v>
      </c>
      <c r="U199" s="6">
        <v>0</v>
      </c>
      <c r="V199" s="5" t="str">
        <f ca="1">VLOOKUP($W199,OFFSET([5]enemy_skill_sets!$B$1,0,0,COUNTA([5]enemy_skill_sets!$B:$B),MATCH(M$1,[5]enemy_skill_sets!$1:$1,0)-MATCH($W$1,[5]enemy_skill_sets!$1:$1,0)+2),MATCH(M$1,[5]enemy_skill_sets!$1:$1,0)-MATCH($W$1,[5]enemy_skill_sets!$1:$1,0)+2,FALSE)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9" s="5">
        <f ca="1">VLOOKUP($L199,OFFSET([3]enemies!$A$1,0,0,COUNTA([3]enemies!$A:$A),MATCH(W$1,[3]enemies!$1:$1,0)-MATCH($L$1,[3]enemies!$1:$1,0)+1),MATCH(W$1,[3]enemies!$1:$1,0)-MATCH($L$1,[3]enemies!$1:$1,0)+1,FALSE)</f>
        <v>0</v>
      </c>
      <c r="X199" s="7">
        <v>0</v>
      </c>
      <c r="Y199" s="7">
        <v>100</v>
      </c>
      <c r="Z199" s="7">
        <v>0</v>
      </c>
      <c r="AA199" s="20">
        <f ca="1">VLOOKUP($L199,OFFSET([3]enemies!$A$1,0,0,COUNTA([3]enemies!$A:$A),MATCH(AA$1,[3]enemies!$1:$1,0)-MATCH($L$1,[3]enemies!$1:$1,0)+1),MATCH(AA$1,[3]enemies!$1:$1,0)-MATCH($L$1,[3]enemies!$1:$1,0)+1,FALSE)</f>
        <v>2</v>
      </c>
      <c r="AB199" s="24">
        <v>31</v>
      </c>
      <c r="AC199" s="5" t="str">
        <f ca="1">IFERROR(VLOOKUP($AB199,OFFSET([4]characters!$A$1,0,0,COUNTA([4]characters!$A:$A),MATCH(AC$1,[4]characters!$1:$1,0)-MATCH("character_id",[4]characters!$1:$1,0)+1),MATCH(AC$1,[4]characters!$1:$1,0)-MATCH("character_id",[4]characters!$1:$1,0)+1,FALSE),"")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99" s="5">
        <f ca="1">IFERROR(VLOOKUP($AB199,OFFSET([4]characters!$A$1,0,0,COUNTA([4]characters!$A:$A),MATCH(AD$1,[4]characters!$1:$1,0)-MATCH("character_id",[4]characters!$1:$1,0)+1),MATCH(AD$1,[4]characters!$1:$1,0)-MATCH("character_id",[4]characters!$1:$1,0)+1,FALSE),"")</f>
        <v>1</v>
      </c>
      <c r="AE199" s="5" t="str">
        <f ca="1">IFERROR(VLOOKUP($AB199,OFFSET([4]characters!$A$1,0,0,COUNTA([4]characters!$A:$A),MATCH(AE$1,[4]characters!$1:$1,0)-MATCH("character_id",[4]characters!$1:$1,0)+1),MATCH(AE$1,[4]characters!$1:$1,0)-MATCH("character_id",[4]characters!$1:$1,0)+1,FALSE),"")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9" s="8">
        <v>1</v>
      </c>
      <c r="AG199" s="27">
        <f t="shared" ca="1" si="59"/>
        <v>1</v>
      </c>
      <c r="AH199" s="9">
        <v>0</v>
      </c>
      <c r="AI199" s="8">
        <v>0</v>
      </c>
      <c r="AJ199" s="8">
        <v>0</v>
      </c>
      <c r="AK199" s="8">
        <v>0</v>
      </c>
      <c r="AL199" s="8">
        <v>0</v>
      </c>
      <c r="AM199" s="8">
        <v>1</v>
      </c>
      <c r="AN199" s="8">
        <v>1</v>
      </c>
    </row>
    <row r="200" spans="1:40" ht="21" customHeight="1" x14ac:dyDescent="0.15">
      <c r="A200" s="17" t="str">
        <f t="shared" ca="1" si="57"/>
        <v>11101_4-2/344&lt;lv1&gt;s1</v>
      </c>
      <c r="B200" s="73">
        <v>11101</v>
      </c>
      <c r="C200" s="74">
        <v>4</v>
      </c>
      <c r="D200" s="2" t="str">
        <f t="shared" si="58"/>
        <v>11101_4</v>
      </c>
      <c r="E200" s="5" t="str">
        <f ca="1">VLOOKUP($B200,OFFSET([2]quests!$A$1,0,0,COUNTA([2]quests!$A:$A),MATCH(E$1,[2]quests!$1:$1,0)-MATCH($B$1,[2]quests!$1:$1,0)+1),MATCH(E$1,[2]quests!$1:$1,0)-MATCH($B$1,[2]quests!$1:$1,0)+1,FALSE)</f>
        <v>【期間限定】 黄の素材</v>
      </c>
      <c r="F200" s="5" t="str">
        <f ca="1">VLOOKUP($D200,OFFSET([2]stages!$A$1,0,0,COUNTA([2]stages!$A:$A),MATCH(F$1,[2]stages!$2:$2,0)-MATCH($D$1,[2]stages!$2:$2,0)+1),MATCH(F$1,[2]stages!$2:$2,0)-MATCH($D$1,[2]stages!$2:$2,0)+1,FALSE)</f>
        <v>【上級】雷のイモムシ</v>
      </c>
      <c r="G200" s="25">
        <v>2</v>
      </c>
      <c r="H200" s="16" t="str">
        <f t="shared" si="48"/>
        <v>11101_4-2</v>
      </c>
      <c r="I200" s="5">
        <f ca="1">VLOOKUP($H200,OFFSET(floors!$A$1,0,0,COUNTA(floors!$A:$A),MATCH(I$1,floors!$1:$1,0)-MATCH($H$1,floors!$1:$1,0)+1),MATCH(I$1,floors!$1:$1,0)-MATCH($H$1,floors!$1:$1,0)+1,FALSE)</f>
        <v>30</v>
      </c>
      <c r="J200" s="5">
        <f ca="1">VLOOKUP($H200,OFFSET(floors!$A$1,0,0,COUNTA(floors!$A:$A),MATCH(J$1,floors!$1:$1,0)-MATCH($H$1,floors!$1:$1,0)+1),MATCH(J$1,floors!$1:$1,0)-MATCH($H$1,floors!$1:$1,0)+1,FALSE)</f>
        <v>45</v>
      </c>
      <c r="K200" s="24" t="s">
        <v>209</v>
      </c>
      <c r="L200" s="24">
        <v>344</v>
      </c>
      <c r="M200" s="20" t="str">
        <f ca="1">VLOOKUP($L200,OFFSET([3]enemies!$A$1,0,0,COUNTA([3]enemies!$A:$A),MATCH(M$1,[3]enemies!$1:$1,0)-MATCH($L$1,[3]enemies!$1:$1,0)+1),MATCH(M$1,[3]enemies!$1:$1,0)-MATCH($L$1,[3]enemies!$1:$1,0)+1,FALSE)</f>
        <v>雷のメタルピヨピヨ</v>
      </c>
      <c r="N200" s="20" t="str">
        <f ca="1">VLOOKUP($L200,OFFSET([3]enemies!$A$1,0,0,COUNTA([3]enemies!$A:$A),MATCH(N$1,[3]enemies!$1:$1,0)-MATCH($L$1,[3]enemies!$1:$1,0)+1),MATCH(N$1,[3]enemies!$1:$1,0)-MATCH($L$1,[3]enemies!$1:$1,0)+1,FALSE)</f>
        <v>yellow</v>
      </c>
      <c r="O200" s="22" t="str">
        <f ca="1">VLOOKUP($L200,OFFSET([4]characters!$A$1,0,0,COUNTA([4]characters!$A:$A),MATCH(O$1,[4]characters!$1:$1,0)-MATCH($L$1,[4]characters!$1:$1,0)+1),MATCH(O$1,[4]characters!$1:$1,0)-MATCH($L$1,[4]characters!$1:$1,0)+1,FALSE)</f>
        <v>Material</v>
      </c>
      <c r="P200" s="20" t="str">
        <f ca="1">VLOOKUP($L200,OFFSET([3]enemies!$A$1,0,0,COUNTA([3]enemies!$A:$A),MATCH(P$1,[3]enemies!$1:$1,0)-MATCH($L$1,[3]enemies!$1:$1,0)+1),MATCH(P$1,[3]enemies!$1:$1,0)-MATCH($L$1,[3]enemies!$1:$1,0)+1,FALSE)</f>
        <v>unknown</v>
      </c>
      <c r="Q200" s="20">
        <f ca="1">VLOOKUP($L200,OFFSET([3]enemies!$A$1,0,0,COUNTA([3]enemies!$A:$A),MATCH(Q$1,[3]enemies!$1:$1,0)-MATCH($L$1,[3]enemies!$1:$1,0)+1),MATCH(Q$1,[3]enemies!$1:$1,0)-MATCH($L$1,[3]enemies!$1:$1,0)+1,FALSE)</f>
        <v>15</v>
      </c>
      <c r="R200" s="6">
        <v>1</v>
      </c>
      <c r="S200" s="30">
        <v>1</v>
      </c>
      <c r="T200" s="30">
        <v>1</v>
      </c>
      <c r="U200" s="6">
        <v>0</v>
      </c>
      <c r="V200" s="5" t="str">
        <f ca="1">VLOOKUP($W200,OFFSET([5]enemy_skill_sets!$B$1,0,0,COUNTA([5]enemy_skill_sets!$B:$B),MATCH(M$1,[5]enemy_skill_sets!$1:$1,0)-MATCH($W$1,[5]enemy_skill_sets!$1:$1,0)+2),MATCH(M$1,[5]enemy_skill_sets!$1:$1,0)-MATCH($W$1,[5]enemy_skill_sets!$1:$1,0)+2,FALSE)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0" s="5">
        <f ca="1">VLOOKUP($L200,OFFSET([3]enemies!$A$1,0,0,COUNTA([3]enemies!$A:$A),MATCH(W$1,[3]enemies!$1:$1,0)-MATCH($L$1,[3]enemies!$1:$1,0)+1),MATCH(W$1,[3]enemies!$1:$1,0)-MATCH($L$1,[3]enemies!$1:$1,0)+1,FALSE)</f>
        <v>0</v>
      </c>
      <c r="X200" s="7">
        <v>0</v>
      </c>
      <c r="Y200" s="7">
        <v>30</v>
      </c>
      <c r="Z200" s="7">
        <v>0</v>
      </c>
      <c r="AA200" s="20">
        <f ca="1">VLOOKUP($L200,OFFSET([3]enemies!$A$1,0,0,COUNTA([3]enemies!$A:$A),MATCH(AA$1,[3]enemies!$1:$1,0)-MATCH($L$1,[3]enemies!$1:$1,0)+1),MATCH(AA$1,[3]enemies!$1:$1,0)-MATCH($L$1,[3]enemies!$1:$1,0)+1,FALSE)</f>
        <v>1</v>
      </c>
      <c r="AB200" s="24">
        <v>344</v>
      </c>
      <c r="AC200" s="5" t="str">
        <f ca="1">IFERROR(VLOOKUP($AB200,OFFSET([4]characters!$A$1,0,0,COUNTA([4]characters!$A:$A),MATCH(AC$1,[4]characters!$1:$1,0)-MATCH("character_id",[4]characters!$1:$1,0)+1),MATCH(AC$1,[4]characters!$1:$1,0)-MATCH("character_id",[4]characters!$1:$1,0)+1,FALSE),"")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200" s="5">
        <f ca="1">IFERROR(VLOOKUP($AB200,OFFSET([4]characters!$A$1,0,0,COUNTA([4]characters!$A:$A),MATCH(AD$1,[4]characters!$1:$1,0)-MATCH("character_id",[4]characters!$1:$1,0)+1),MATCH(AD$1,[4]characters!$1:$1,0)-MATCH("character_id",[4]characters!$1:$1,0)+1,FALSE),"")</f>
        <v>3</v>
      </c>
      <c r="AE200" s="5" t="str">
        <f ca="1">IFERROR(VLOOKUP($AB200,OFFSET([4]characters!$A$1,0,0,COUNTA([4]characters!$A:$A),MATCH(AE$1,[4]characters!$1:$1,0)-MATCH("character_id",[4]characters!$1:$1,0)+1),MATCH(AE$1,[4]characters!$1:$1,0)-MATCH("character_id",[4]characters!$1:$1,0)+1,FALSE),"")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0" s="8">
        <v>1</v>
      </c>
      <c r="AG200" s="27">
        <f t="shared" ca="1" si="59"/>
        <v>3</v>
      </c>
      <c r="AH200" s="9">
        <v>10</v>
      </c>
      <c r="AI200" s="8">
        <v>0</v>
      </c>
      <c r="AJ200" s="8">
        <v>0</v>
      </c>
      <c r="AK200" s="8">
        <v>0</v>
      </c>
      <c r="AL200" s="8">
        <v>0</v>
      </c>
      <c r="AM200" s="8">
        <v>1</v>
      </c>
      <c r="AN200" s="8">
        <v>1</v>
      </c>
    </row>
    <row r="201" spans="1:40" ht="21" customHeight="1" x14ac:dyDescent="0.15">
      <c r="A201" s="17" t="str">
        <f t="shared" ca="1" si="57"/>
        <v>11101_4-2/345&lt;lv1&gt;s2</v>
      </c>
      <c r="B201" s="73">
        <v>11101</v>
      </c>
      <c r="C201" s="74">
        <v>4</v>
      </c>
      <c r="D201" s="2" t="str">
        <f t="shared" si="58"/>
        <v>11101_4</v>
      </c>
      <c r="E201" s="5" t="str">
        <f ca="1">VLOOKUP($B201,OFFSET([2]quests!$A$1,0,0,COUNTA([2]quests!$A:$A),MATCH(E$1,[2]quests!$1:$1,0)-MATCH($B$1,[2]quests!$1:$1,0)+1),MATCH(E$1,[2]quests!$1:$1,0)-MATCH($B$1,[2]quests!$1:$1,0)+1,FALSE)</f>
        <v>【期間限定】 黄の素材</v>
      </c>
      <c r="F201" s="5" t="str">
        <f ca="1">VLOOKUP($D201,OFFSET([2]stages!$A$1,0,0,COUNTA([2]stages!$A:$A),MATCH(F$1,[2]stages!$2:$2,0)-MATCH($D$1,[2]stages!$2:$2,0)+1),MATCH(F$1,[2]stages!$2:$2,0)-MATCH($D$1,[2]stages!$2:$2,0)+1,FALSE)</f>
        <v>【上級】雷のイモムシ</v>
      </c>
      <c r="G201" s="25">
        <v>2</v>
      </c>
      <c r="H201" s="16" t="str">
        <f t="shared" si="48"/>
        <v>11101_4-2</v>
      </c>
      <c r="I201" s="5">
        <f ca="1">VLOOKUP($H201,OFFSET(floors!$A$1,0,0,COUNTA(floors!$A:$A),MATCH(I$1,floors!$1:$1,0)-MATCH($H$1,floors!$1:$1,0)+1),MATCH(I$1,floors!$1:$1,0)-MATCH($H$1,floors!$1:$1,0)+1,FALSE)</f>
        <v>30</v>
      </c>
      <c r="J201" s="5">
        <f ca="1">VLOOKUP($H201,OFFSET(floors!$A$1,0,0,COUNTA(floors!$A:$A),MATCH(J$1,floors!$1:$1,0)-MATCH($H$1,floors!$1:$1,0)+1),MATCH(J$1,floors!$1:$1,0)-MATCH($H$1,floors!$1:$1,0)+1,FALSE)</f>
        <v>45</v>
      </c>
      <c r="K201" s="24" t="s">
        <v>209</v>
      </c>
      <c r="L201" s="24">
        <v>345</v>
      </c>
      <c r="M201" s="20" t="str">
        <f ca="1">VLOOKUP($L201,OFFSET([3]enemies!$A$1,0,0,COUNTA([3]enemies!$A:$A),MATCH(M$1,[3]enemies!$1:$1,0)-MATCH($L$1,[3]enemies!$1:$1,0)+1),MATCH(M$1,[3]enemies!$1:$1,0)-MATCH($L$1,[3]enemies!$1:$1,0)+1,FALSE)</f>
        <v>雷のメタルチック</v>
      </c>
      <c r="N201" s="20" t="str">
        <f ca="1">VLOOKUP($L201,OFFSET([3]enemies!$A$1,0,0,COUNTA([3]enemies!$A:$A),MATCH(N$1,[3]enemies!$1:$1,0)-MATCH($L$1,[3]enemies!$1:$1,0)+1),MATCH(N$1,[3]enemies!$1:$1,0)-MATCH($L$1,[3]enemies!$1:$1,0)+1,FALSE)</f>
        <v>yellow</v>
      </c>
      <c r="O201" s="22" t="str">
        <f ca="1">VLOOKUP($L201,OFFSET([4]characters!$A$1,0,0,COUNTA([4]characters!$A:$A),MATCH(O$1,[4]characters!$1:$1,0)-MATCH($L$1,[4]characters!$1:$1,0)+1),MATCH(O$1,[4]characters!$1:$1,0)-MATCH($L$1,[4]characters!$1:$1,0)+1,FALSE)</f>
        <v>Material</v>
      </c>
      <c r="P201" s="20" t="str">
        <f ca="1">VLOOKUP($L201,OFFSET([3]enemies!$A$1,0,0,COUNTA([3]enemies!$A:$A),MATCH(P$1,[3]enemies!$1:$1,0)-MATCH($L$1,[3]enemies!$1:$1,0)+1),MATCH(P$1,[3]enemies!$1:$1,0)-MATCH($L$1,[3]enemies!$1:$1,0)+1,FALSE)</f>
        <v>unknown</v>
      </c>
      <c r="Q201" s="20">
        <f ca="1">VLOOKUP($L201,OFFSET([3]enemies!$A$1,0,0,COUNTA([3]enemies!$A:$A),MATCH(Q$1,[3]enemies!$1:$1,0)-MATCH($L$1,[3]enemies!$1:$1,0)+1),MATCH(Q$1,[3]enemies!$1:$1,0)-MATCH($L$1,[3]enemies!$1:$1,0)+1,FALSE)</f>
        <v>15</v>
      </c>
      <c r="R201" s="6">
        <v>1</v>
      </c>
      <c r="S201" s="30">
        <v>1</v>
      </c>
      <c r="T201" s="30">
        <v>1</v>
      </c>
      <c r="U201" s="6">
        <v>0</v>
      </c>
      <c r="V201" s="5" t="str">
        <f ca="1">VLOOKUP($W201,OFFSET([5]enemy_skill_sets!$B$1,0,0,COUNTA([5]enemy_skill_sets!$B:$B),MATCH(M$1,[5]enemy_skill_sets!$1:$1,0)-MATCH($W$1,[5]enemy_skill_sets!$1:$1,0)+2),MATCH(M$1,[5]enemy_skill_sets!$1:$1,0)-MATCH($W$1,[5]enemy_skill_sets!$1:$1,0)+2,FALSE)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1" s="5">
        <f ca="1">VLOOKUP($L201,OFFSET([3]enemies!$A$1,0,0,COUNTA([3]enemies!$A:$A),MATCH(W$1,[3]enemies!$1:$1,0)-MATCH($L$1,[3]enemies!$1:$1,0)+1),MATCH(W$1,[3]enemies!$1:$1,0)-MATCH($L$1,[3]enemies!$1:$1,0)+1,FALSE)</f>
        <v>0</v>
      </c>
      <c r="X201" s="7">
        <v>0</v>
      </c>
      <c r="Y201" s="7">
        <v>30</v>
      </c>
      <c r="Z201" s="7">
        <v>0</v>
      </c>
      <c r="AA201" s="20">
        <f ca="1">VLOOKUP($L201,OFFSET([3]enemies!$A$1,0,0,COUNTA([3]enemies!$A:$A),MATCH(AA$1,[3]enemies!$1:$1,0)-MATCH($L$1,[3]enemies!$1:$1,0)+1),MATCH(AA$1,[3]enemies!$1:$1,0)-MATCH($L$1,[3]enemies!$1:$1,0)+1,FALSE)</f>
        <v>2</v>
      </c>
      <c r="AB201" s="24">
        <v>345</v>
      </c>
      <c r="AC201" s="5" t="str">
        <f ca="1">IFERROR(VLOOKUP($AB201,OFFSET([4]characters!$A$1,0,0,COUNTA([4]characters!$A:$A),MATCH(AC$1,[4]characters!$1:$1,0)-MATCH("character_id",[4]characters!$1:$1,0)+1),MATCH(AC$1,[4]characters!$1:$1,0)-MATCH("character_id",[4]characters!$1:$1,0)+1,FALSE),"")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201" s="5">
        <f ca="1">IFERROR(VLOOKUP($AB201,OFFSET([4]characters!$A$1,0,0,COUNTA([4]characters!$A:$A),MATCH(AD$1,[4]characters!$1:$1,0)-MATCH("character_id",[4]characters!$1:$1,0)+1),MATCH(AD$1,[4]characters!$1:$1,0)-MATCH("character_id",[4]characters!$1:$1,0)+1,FALSE),"")</f>
        <v>4</v>
      </c>
      <c r="AE201" s="5" t="str">
        <f ca="1">IFERROR(VLOOKUP($AB201,OFFSET([4]characters!$A$1,0,0,COUNTA([4]characters!$A:$A),MATCH(AE$1,[4]characters!$1:$1,0)-MATCH("character_id",[4]characters!$1:$1,0)+1),MATCH(AE$1,[4]characters!$1:$1,0)-MATCH("character_id",[4]characters!$1:$1,0)+1,FALSE),"")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1" s="8">
        <v>1</v>
      </c>
      <c r="AG201" s="27">
        <f t="shared" ca="1" si="59"/>
        <v>4</v>
      </c>
      <c r="AH201" s="9">
        <v>5</v>
      </c>
      <c r="AI201" s="8">
        <v>0</v>
      </c>
      <c r="AJ201" s="8">
        <v>0</v>
      </c>
      <c r="AK201" s="8">
        <v>0</v>
      </c>
      <c r="AL201" s="8">
        <v>0</v>
      </c>
      <c r="AM201" s="8">
        <v>1</v>
      </c>
      <c r="AN201" s="8">
        <v>1</v>
      </c>
    </row>
    <row r="202" spans="1:40" ht="21" customHeight="1" x14ac:dyDescent="0.15">
      <c r="A202" s="17" t="str">
        <f t="shared" ca="1" si="57"/>
        <v>11101_4-3/115&lt;lv30&gt;s2</v>
      </c>
      <c r="B202" s="73">
        <v>11101</v>
      </c>
      <c r="C202" s="74">
        <v>4</v>
      </c>
      <c r="D202" s="2" t="str">
        <f t="shared" si="58"/>
        <v>11101_4</v>
      </c>
      <c r="E202" s="5" t="str">
        <f ca="1">VLOOKUP($B202,OFFSET([2]quests!$A$1,0,0,COUNTA([2]quests!$A:$A),MATCH(E$1,[2]quests!$1:$1,0)-MATCH($B$1,[2]quests!$1:$1,0)+1),MATCH(E$1,[2]quests!$1:$1,0)-MATCH($B$1,[2]quests!$1:$1,0)+1,FALSE)</f>
        <v>【期間限定】 黄の素材</v>
      </c>
      <c r="F202" s="5" t="str">
        <f ca="1">VLOOKUP($D202,OFFSET([2]stages!$A$1,0,0,COUNTA([2]stages!$A:$A),MATCH(F$1,[2]stages!$2:$2,0)-MATCH($D$1,[2]stages!$2:$2,0)+1),MATCH(F$1,[2]stages!$2:$2,0)-MATCH($D$1,[2]stages!$2:$2,0)+1,FALSE)</f>
        <v>【上級】雷のイモムシ</v>
      </c>
      <c r="G202" s="25">
        <v>3</v>
      </c>
      <c r="H202" s="16" t="str">
        <f t="shared" si="48"/>
        <v>11101_4-3</v>
      </c>
      <c r="I202" s="5">
        <f ca="1">VLOOKUP($H202,OFFSET(floors!$A$1,0,0,COUNTA(floors!$A:$A),MATCH(I$1,floors!$1:$1,0)-MATCH($H$1,floors!$1:$1,0)+1),MATCH(I$1,floors!$1:$1,0)-MATCH($H$1,floors!$1:$1,0)+1,FALSE)</f>
        <v>45</v>
      </c>
      <c r="J202" s="5">
        <f ca="1">VLOOKUP($H202,OFFSET(floors!$A$1,0,0,COUNTA(floors!$A:$A),MATCH(J$1,floors!$1:$1,0)-MATCH($H$1,floors!$1:$1,0)+1),MATCH(J$1,floors!$1:$1,0)-MATCH($H$1,floors!$1:$1,0)+1,FALSE)</f>
        <v>45</v>
      </c>
      <c r="K202" s="24" t="s">
        <v>209</v>
      </c>
      <c r="L202" s="24">
        <v>115</v>
      </c>
      <c r="M202" s="20" t="str">
        <f ca="1">VLOOKUP($L202,OFFSET([3]enemies!$A$1,0,0,COUNTA([3]enemies!$A:$A),MATCH(M$1,[3]enemies!$1:$1,0)-MATCH($L$1,[3]enemies!$1:$1,0)+1),MATCH(M$1,[3]enemies!$1:$1,0)-MATCH($L$1,[3]enemies!$1:$1,0)+1,FALSE)</f>
        <v>イエローキャタップ</v>
      </c>
      <c r="N202" s="20" t="str">
        <f ca="1">VLOOKUP($L202,OFFSET([3]enemies!$A$1,0,0,COUNTA([3]enemies!$A:$A),MATCH(N$1,[3]enemies!$1:$1,0)-MATCH($L$1,[3]enemies!$1:$1,0)+1),MATCH(N$1,[3]enemies!$1:$1,0)-MATCH($L$1,[3]enemies!$1:$1,0)+1,FALSE)</f>
        <v>yellow</v>
      </c>
      <c r="O202" s="22" t="str">
        <f ca="1">VLOOKUP($L202,OFFSET([4]characters!$A$1,0,0,COUNTA([4]characters!$A:$A),MATCH(O$1,[4]characters!$1:$1,0)-MATCH($L$1,[4]characters!$1:$1,0)+1),MATCH(O$1,[4]characters!$1:$1,0)-MATCH($L$1,[4]characters!$1:$1,0)+1,FALSE)</f>
        <v>Material</v>
      </c>
      <c r="P202" s="20" t="str">
        <f ca="1">VLOOKUP($L202,OFFSET([3]enemies!$A$1,0,0,COUNTA([3]enemies!$A:$A),MATCH(P$1,[3]enemies!$1:$1,0)-MATCH($L$1,[3]enemies!$1:$1,0)+1),MATCH(P$1,[3]enemies!$1:$1,0)-MATCH($L$1,[3]enemies!$1:$1,0)+1,FALSE)</f>
        <v>unknown</v>
      </c>
      <c r="Q202" s="20">
        <f ca="1">VLOOKUP($L202,OFFSET([3]enemies!$A$1,0,0,COUNTA([3]enemies!$A:$A),MATCH(Q$1,[3]enemies!$1:$1,0)-MATCH($L$1,[3]enemies!$1:$1,0)+1),MATCH(Q$1,[3]enemies!$1:$1,0)-MATCH($L$1,[3]enemies!$1:$1,0)+1,FALSE)</f>
        <v>15</v>
      </c>
      <c r="R202" s="6">
        <v>30</v>
      </c>
      <c r="S202" s="30">
        <v>2</v>
      </c>
      <c r="T202" s="30">
        <v>1</v>
      </c>
      <c r="U202" s="6">
        <v>0</v>
      </c>
      <c r="V202" s="5" t="str">
        <f ca="1">VLOOKUP($W202,OFFSET([5]enemy_skill_sets!$B$1,0,0,COUNTA([5]enemy_skill_sets!$B:$B),MATCH(M$1,[5]enemy_skill_sets!$1:$1,0)-MATCH($W$1,[5]enemy_skill_sets!$1:$1,0)+2),MATCH(M$1,[5]enemy_skill_sets!$1:$1,0)-MATCH($W$1,[5]enemy_skill_sets!$1:$1,0)+2,FALSE)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2" s="5">
        <f ca="1">VLOOKUP($L202,OFFSET([3]enemies!$A$1,0,0,COUNTA([3]enemies!$A:$A),MATCH(W$1,[3]enemies!$1:$1,0)-MATCH($L$1,[3]enemies!$1:$1,0)+1),MATCH(W$1,[3]enemies!$1:$1,0)-MATCH($L$1,[3]enemies!$1:$1,0)+1,FALSE)</f>
        <v>0</v>
      </c>
      <c r="X202" s="7">
        <v>1</v>
      </c>
      <c r="Y202" s="7">
        <v>100</v>
      </c>
      <c r="Z202" s="7">
        <v>1</v>
      </c>
      <c r="AA202" s="20">
        <f ca="1">VLOOKUP($L202,OFFSET([3]enemies!$A$1,0,0,COUNTA([3]enemies!$A:$A),MATCH(AA$1,[3]enemies!$1:$1,0)-MATCH($L$1,[3]enemies!$1:$1,0)+1),MATCH(AA$1,[3]enemies!$1:$1,0)-MATCH($L$1,[3]enemies!$1:$1,0)+1,FALSE)</f>
        <v>2</v>
      </c>
      <c r="AB202" s="24">
        <v>115</v>
      </c>
      <c r="AC202" s="5" t="str">
        <f ca="1">IFERROR(VLOOKUP($AB202,OFFSET([4]characters!$A$1,0,0,COUNTA([4]characters!$A:$A),MATCH(AC$1,[4]characters!$1:$1,0)-MATCH("character_id",[4]characters!$1:$1,0)+1),MATCH(AC$1,[4]characters!$1:$1,0)-MATCH("character_id",[4]characters!$1:$1,0)+1,FALSE),"")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02" s="5">
        <f ca="1">IFERROR(VLOOKUP($AB202,OFFSET([4]characters!$A$1,0,0,COUNTA([4]characters!$A:$A),MATCH(AD$1,[4]characters!$1:$1,0)-MATCH("character_id",[4]characters!$1:$1,0)+1),MATCH(AD$1,[4]characters!$1:$1,0)-MATCH("character_id",[4]characters!$1:$1,0)+1,FALSE),"")</f>
        <v>4</v>
      </c>
      <c r="AE202" s="5" t="str">
        <f ca="1">IFERROR(VLOOKUP($AB202,OFFSET([4]characters!$A$1,0,0,COUNTA([4]characters!$A:$A),MATCH(AE$1,[4]characters!$1:$1,0)-MATCH("character_id",[4]characters!$1:$1,0)+1),MATCH(AE$1,[4]characters!$1:$1,0)-MATCH("character_id",[4]characters!$1:$1,0)+1,FALSE),"")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2" s="8">
        <v>1</v>
      </c>
      <c r="AG202" s="27">
        <f t="shared" ca="1" si="59"/>
        <v>4</v>
      </c>
      <c r="AH202" s="9">
        <v>50</v>
      </c>
      <c r="AI202" s="8">
        <v>0</v>
      </c>
      <c r="AJ202" s="8">
        <v>0</v>
      </c>
      <c r="AK202" s="8">
        <v>0</v>
      </c>
      <c r="AL202" s="8">
        <v>0</v>
      </c>
      <c r="AM202" s="8">
        <v>1</v>
      </c>
      <c r="AN202" s="8">
        <v>1</v>
      </c>
    </row>
    <row r="203" spans="1:40" ht="21" customHeight="1" x14ac:dyDescent="0.15">
      <c r="A203" s="17" t="str">
        <f t="shared" ca="1" si="57"/>
        <v>11101_4-3/39&lt;lv35&gt;s3</v>
      </c>
      <c r="B203" s="73">
        <v>11101</v>
      </c>
      <c r="C203" s="74">
        <v>4</v>
      </c>
      <c r="D203" s="2" t="str">
        <f t="shared" si="58"/>
        <v>11101_4</v>
      </c>
      <c r="E203" s="5" t="str">
        <f ca="1">VLOOKUP($B203,OFFSET([2]quests!$A$1,0,0,COUNTA([2]quests!$A:$A),MATCH(E$1,[2]quests!$1:$1,0)-MATCH($B$1,[2]quests!$1:$1,0)+1),MATCH(E$1,[2]quests!$1:$1,0)-MATCH($B$1,[2]quests!$1:$1,0)+1,FALSE)</f>
        <v>【期間限定】 黄の素材</v>
      </c>
      <c r="F203" s="5" t="str">
        <f ca="1">VLOOKUP($D203,OFFSET([2]stages!$A$1,0,0,COUNTA([2]stages!$A:$A),MATCH(F$1,[2]stages!$2:$2,0)-MATCH($D$1,[2]stages!$2:$2,0)+1),MATCH(F$1,[2]stages!$2:$2,0)-MATCH($D$1,[2]stages!$2:$2,0)+1,FALSE)</f>
        <v>【上級】雷のイモムシ</v>
      </c>
      <c r="G203" s="25">
        <v>3</v>
      </c>
      <c r="H203" s="16" t="str">
        <f t="shared" si="48"/>
        <v>11101_4-3</v>
      </c>
      <c r="I203" s="5">
        <f ca="1">VLOOKUP($H203,OFFSET(floors!$A$1,0,0,COUNTA(floors!$A:$A),MATCH(I$1,floors!$1:$1,0)-MATCH($H$1,floors!$1:$1,0)+1),MATCH(I$1,floors!$1:$1,0)-MATCH($H$1,floors!$1:$1,0)+1,FALSE)</f>
        <v>45</v>
      </c>
      <c r="J203" s="5">
        <f ca="1">VLOOKUP($H203,OFFSET(floors!$A$1,0,0,COUNTA(floors!$A:$A),MATCH(J$1,floors!$1:$1,0)-MATCH($H$1,floors!$1:$1,0)+1),MATCH(J$1,floors!$1:$1,0)-MATCH($H$1,floors!$1:$1,0)+1,FALSE)</f>
        <v>45</v>
      </c>
      <c r="K203" s="24" t="s">
        <v>209</v>
      </c>
      <c r="L203" s="24">
        <v>39</v>
      </c>
      <c r="M203" s="20" t="str">
        <f ca="1">VLOOKUP($L203,OFFSET([3]enemies!$A$1,0,0,COUNTA([3]enemies!$A:$A),MATCH(M$1,[3]enemies!$1:$1,0)-MATCH($L$1,[3]enemies!$1:$1,0)+1),MATCH(M$1,[3]enemies!$1:$1,0)-MATCH($L$1,[3]enemies!$1:$1,0)+1,FALSE)</f>
        <v>マーロン</v>
      </c>
      <c r="N203" s="20" t="str">
        <f ca="1">VLOOKUP($L203,OFFSET([3]enemies!$A$1,0,0,COUNTA([3]enemies!$A:$A),MATCH(N$1,[3]enemies!$1:$1,0)-MATCH($L$1,[3]enemies!$1:$1,0)+1),MATCH(N$1,[3]enemies!$1:$1,0)-MATCH($L$1,[3]enemies!$1:$1,0)+1,FALSE)</f>
        <v>yellow</v>
      </c>
      <c r="O203" s="22" t="str">
        <f ca="1">VLOOKUP($L203,OFFSET([4]characters!$A$1,0,0,COUNTA([4]characters!$A:$A),MATCH(O$1,[4]characters!$1:$1,0)-MATCH($L$1,[4]characters!$1:$1,0)+1),MATCH(O$1,[4]characters!$1:$1,0)-MATCH($L$1,[4]characters!$1:$1,0)+1,FALSE)</f>
        <v>Drop1S</v>
      </c>
      <c r="P203" s="20" t="str">
        <f ca="1">VLOOKUP($L203,OFFSET([3]enemies!$A$1,0,0,COUNTA([3]enemies!$A:$A),MATCH(P$1,[3]enemies!$1:$1,0)-MATCH($L$1,[3]enemies!$1:$1,0)+1),MATCH(P$1,[3]enemies!$1:$1,0)-MATCH($L$1,[3]enemies!$1:$1,0)+1,FALSE)</f>
        <v>human</v>
      </c>
      <c r="Q203" s="20">
        <f ca="1">VLOOKUP($L203,OFFSET([3]enemies!$A$1,0,0,COUNTA([3]enemies!$A:$A),MATCH(Q$1,[3]enemies!$1:$1,0)-MATCH($L$1,[3]enemies!$1:$1,0)+1),MATCH(Q$1,[3]enemies!$1:$1,0)-MATCH($L$1,[3]enemies!$1:$1,0)+1,FALSE)</f>
        <v>15</v>
      </c>
      <c r="R203" s="6">
        <v>35</v>
      </c>
      <c r="S203" s="30">
        <v>1</v>
      </c>
      <c r="T203" s="30">
        <v>1</v>
      </c>
      <c r="U203" s="6">
        <v>0</v>
      </c>
      <c r="V203" s="5" t="str">
        <f ca="1">VLOOKUP($W203,OFFSET([5]enemy_skill_sets!$B$1,0,0,COUNTA([5]enemy_skill_sets!$B:$B),MATCH(M$1,[5]enemy_skill_sets!$1:$1,0)-MATCH($W$1,[5]enemy_skill_sets!$1:$1,0)+2),MATCH(M$1,[5]enemy_skill_sets!$1:$1,0)-MATCH($W$1,[5]enemy_skill_sets!$1:$1,0)+2,FALSE)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03" s="5">
        <f ca="1">VLOOKUP($L203,OFFSET([3]enemies!$A$1,0,0,COUNTA([3]enemies!$A:$A),MATCH(W$1,[3]enemies!$1:$1,0)-MATCH($L$1,[3]enemies!$1:$1,0)+1),MATCH(W$1,[3]enemies!$1:$1,0)-MATCH($L$1,[3]enemies!$1:$1,0)+1,FALSE)</f>
        <v>39</v>
      </c>
      <c r="X203" s="7">
        <v>0</v>
      </c>
      <c r="Y203" s="7">
        <v>100</v>
      </c>
      <c r="Z203" s="7">
        <v>0</v>
      </c>
      <c r="AA203" s="20">
        <f ca="1">VLOOKUP($L203,OFFSET([3]enemies!$A$1,0,0,COUNTA([3]enemies!$A:$A),MATCH(AA$1,[3]enemies!$1:$1,0)-MATCH($L$1,[3]enemies!$1:$1,0)+1),MATCH(AA$1,[3]enemies!$1:$1,0)-MATCH($L$1,[3]enemies!$1:$1,0)+1,FALSE)</f>
        <v>3</v>
      </c>
      <c r="AB203" s="24">
        <v>39</v>
      </c>
      <c r="AC203" s="5" t="str">
        <f ca="1">IFERROR(VLOOKUP($AB203,OFFSET([4]characters!$A$1,0,0,COUNTA([4]characters!$A:$A),MATCH(AC$1,[4]characters!$1:$1,0)-MATCH("character_id",[4]characters!$1:$1,0)+1),MATCH(AC$1,[4]characters!$1:$1,0)-MATCH("character_id",[4]characters!$1:$1,0)+1,FALSE),"")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03" s="5">
        <f ca="1">IFERROR(VLOOKUP($AB203,OFFSET([4]characters!$A$1,0,0,COUNTA([4]characters!$A:$A),MATCH(AD$1,[4]characters!$1:$1,0)-MATCH("character_id",[4]characters!$1:$1,0)+1),MATCH(AD$1,[4]characters!$1:$1,0)-MATCH("character_id",[4]characters!$1:$1,0)+1,FALSE),"")</f>
        <v>2</v>
      </c>
      <c r="AE203" s="5" t="str">
        <f ca="1">IFERROR(VLOOKUP($AB203,OFFSET([4]characters!$A$1,0,0,COUNTA([4]characters!$A:$A),MATCH(AE$1,[4]characters!$1:$1,0)-MATCH("character_id",[4]characters!$1:$1,0)+1),MATCH(AE$1,[4]characters!$1:$1,0)-MATCH("character_id",[4]characters!$1:$1,0)+1,FALSE),"")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03" s="8">
        <v>1</v>
      </c>
      <c r="AG203" s="27">
        <f t="shared" ca="1" si="59"/>
        <v>2</v>
      </c>
      <c r="AH203" s="9">
        <v>0</v>
      </c>
      <c r="AI203" s="8">
        <v>0</v>
      </c>
      <c r="AJ203" s="8">
        <v>0</v>
      </c>
      <c r="AK203" s="8">
        <v>0</v>
      </c>
      <c r="AL203" s="8">
        <v>0</v>
      </c>
      <c r="AM203" s="8">
        <v>1</v>
      </c>
      <c r="AN203" s="8">
        <v>1</v>
      </c>
    </row>
    <row r="204" spans="1:40" ht="21" customHeight="1" x14ac:dyDescent="0.15">
      <c r="A204" s="17" t="str">
        <f t="shared" ca="1" si="57"/>
        <v>11101_4-3/31&lt;lv35&gt;s2</v>
      </c>
      <c r="B204" s="73">
        <v>11101</v>
      </c>
      <c r="C204" s="74">
        <v>4</v>
      </c>
      <c r="D204" s="2" t="str">
        <f t="shared" si="58"/>
        <v>11101_4</v>
      </c>
      <c r="E204" s="5" t="str">
        <f ca="1">VLOOKUP($B204,OFFSET([2]quests!$A$1,0,0,COUNTA([2]quests!$A:$A),MATCH(E$1,[2]quests!$1:$1,0)-MATCH($B$1,[2]quests!$1:$1,0)+1),MATCH(E$1,[2]quests!$1:$1,0)-MATCH($B$1,[2]quests!$1:$1,0)+1,FALSE)</f>
        <v>【期間限定】 黄の素材</v>
      </c>
      <c r="F204" s="5" t="str">
        <f ca="1">VLOOKUP($D204,OFFSET([2]stages!$A$1,0,0,COUNTA([2]stages!$A:$A),MATCH(F$1,[2]stages!$2:$2,0)-MATCH($D$1,[2]stages!$2:$2,0)+1),MATCH(F$1,[2]stages!$2:$2,0)-MATCH($D$1,[2]stages!$2:$2,0)+1,FALSE)</f>
        <v>【上級】雷のイモムシ</v>
      </c>
      <c r="G204" s="25">
        <v>3</v>
      </c>
      <c r="H204" s="16" t="str">
        <f t="shared" si="48"/>
        <v>11101_4-3</v>
      </c>
      <c r="I204" s="5">
        <f ca="1">VLOOKUP($H204,OFFSET(floors!$A$1,0,0,COUNTA(floors!$A:$A),MATCH(I$1,floors!$1:$1,0)-MATCH($H$1,floors!$1:$1,0)+1),MATCH(I$1,floors!$1:$1,0)-MATCH($H$1,floors!$1:$1,0)+1,FALSE)</f>
        <v>45</v>
      </c>
      <c r="J204" s="5">
        <f ca="1">VLOOKUP($H204,OFFSET(floors!$A$1,0,0,COUNTA(floors!$A:$A),MATCH(J$1,floors!$1:$1,0)-MATCH($H$1,floors!$1:$1,0)+1),MATCH(J$1,floors!$1:$1,0)-MATCH($H$1,floors!$1:$1,0)+1,FALSE)</f>
        <v>45</v>
      </c>
      <c r="K204" s="24" t="s">
        <v>209</v>
      </c>
      <c r="L204" s="24">
        <v>31</v>
      </c>
      <c r="M204" s="20" t="str">
        <f ca="1">VLOOKUP($L204,OFFSET([3]enemies!$A$1,0,0,COUNTA([3]enemies!$A:$A),MATCH(M$1,[3]enemies!$1:$1,0)-MATCH($L$1,[3]enemies!$1:$1,0)+1),MATCH(M$1,[3]enemies!$1:$1,0)-MATCH($L$1,[3]enemies!$1:$1,0)+1,FALSE)</f>
        <v>マービー</v>
      </c>
      <c r="N204" s="20" t="str">
        <f ca="1">VLOOKUP($L204,OFFSET([3]enemies!$A$1,0,0,COUNTA([3]enemies!$A:$A),MATCH(N$1,[3]enemies!$1:$1,0)-MATCH($L$1,[3]enemies!$1:$1,0)+1),MATCH(N$1,[3]enemies!$1:$1,0)-MATCH($L$1,[3]enemies!$1:$1,0)+1,FALSE)</f>
        <v>yellow</v>
      </c>
      <c r="O204" s="22" t="str">
        <f ca="1">VLOOKUP($L204,OFFSET([4]characters!$A$1,0,0,COUNTA([4]characters!$A:$A),MATCH(O$1,[4]characters!$1:$1,0)-MATCH($L$1,[4]characters!$1:$1,0)+1),MATCH(O$1,[4]characters!$1:$1,0)-MATCH($L$1,[4]characters!$1:$1,0)+1,FALSE)</f>
        <v>Drop1N</v>
      </c>
      <c r="P204" s="20" t="str">
        <f ca="1">VLOOKUP($L204,OFFSET([3]enemies!$A$1,0,0,COUNTA([3]enemies!$A:$A),MATCH(P$1,[3]enemies!$1:$1,0)-MATCH($L$1,[3]enemies!$1:$1,0)+1),MATCH(P$1,[3]enemies!$1:$1,0)-MATCH($L$1,[3]enemies!$1:$1,0)+1,FALSE)</f>
        <v>machine</v>
      </c>
      <c r="Q204" s="20">
        <f ca="1">VLOOKUP($L204,OFFSET([3]enemies!$A$1,0,0,COUNTA([3]enemies!$A:$A),MATCH(Q$1,[3]enemies!$1:$1,0)-MATCH($L$1,[3]enemies!$1:$1,0)+1),MATCH(Q$1,[3]enemies!$1:$1,0)-MATCH($L$1,[3]enemies!$1:$1,0)+1,FALSE)</f>
        <v>15</v>
      </c>
      <c r="R204" s="6">
        <v>35</v>
      </c>
      <c r="S204" s="30">
        <v>1</v>
      </c>
      <c r="T204" s="30">
        <v>1</v>
      </c>
      <c r="U204" s="6">
        <v>0</v>
      </c>
      <c r="V204" s="5" t="str">
        <f ca="1">VLOOKUP($W204,OFFSET([5]enemy_skill_sets!$B$1,0,0,COUNTA([5]enemy_skill_sets!$B:$B),MATCH(M$1,[5]enemy_skill_sets!$1:$1,0)-MATCH($W$1,[5]enemy_skill_sets!$1:$1,0)+2),MATCH(M$1,[5]enemy_skill_sets!$1:$1,0)-MATCH($W$1,[5]enemy_skill_sets!$1:$1,0)+2,FALSE)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4" s="5">
        <f ca="1">VLOOKUP($L204,OFFSET([3]enemies!$A$1,0,0,COUNTA([3]enemies!$A:$A),MATCH(W$1,[3]enemies!$1:$1,0)-MATCH($L$1,[3]enemies!$1:$1,0)+1),MATCH(W$1,[3]enemies!$1:$1,0)-MATCH($L$1,[3]enemies!$1:$1,0)+1,FALSE)</f>
        <v>0</v>
      </c>
      <c r="X204" s="7">
        <v>0</v>
      </c>
      <c r="Y204" s="7">
        <v>100</v>
      </c>
      <c r="Z204" s="7">
        <v>0</v>
      </c>
      <c r="AA204" s="20">
        <f ca="1">VLOOKUP($L204,OFFSET([3]enemies!$A$1,0,0,COUNTA([3]enemies!$A:$A),MATCH(AA$1,[3]enemies!$1:$1,0)-MATCH($L$1,[3]enemies!$1:$1,0)+1),MATCH(AA$1,[3]enemies!$1:$1,0)-MATCH($L$1,[3]enemies!$1:$1,0)+1,FALSE)</f>
        <v>2</v>
      </c>
      <c r="AB204" s="24">
        <v>31</v>
      </c>
      <c r="AC204" s="5" t="str">
        <f ca="1">IFERROR(VLOOKUP($AB204,OFFSET([4]characters!$A$1,0,0,COUNTA([4]characters!$A:$A),MATCH(AC$1,[4]characters!$1:$1,0)-MATCH("character_id",[4]characters!$1:$1,0)+1),MATCH(AC$1,[4]characters!$1:$1,0)-MATCH("character_id",[4]characters!$1:$1,0)+1,FALSE),"")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04" s="5">
        <f ca="1">IFERROR(VLOOKUP($AB204,OFFSET([4]characters!$A$1,0,0,COUNTA([4]characters!$A:$A),MATCH(AD$1,[4]characters!$1:$1,0)-MATCH("character_id",[4]characters!$1:$1,0)+1),MATCH(AD$1,[4]characters!$1:$1,0)-MATCH("character_id",[4]characters!$1:$1,0)+1,FALSE),"")</f>
        <v>1</v>
      </c>
      <c r="AE204" s="5" t="str">
        <f ca="1">IFERROR(VLOOKUP($AB204,OFFSET([4]characters!$A$1,0,0,COUNTA([4]characters!$A:$A),MATCH(AE$1,[4]characters!$1:$1,0)-MATCH("character_id",[4]characters!$1:$1,0)+1),MATCH(AE$1,[4]characters!$1:$1,0)-MATCH("character_id",[4]characters!$1:$1,0)+1,FALSE),"")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04" s="8">
        <v>1</v>
      </c>
      <c r="AG204" s="27">
        <f t="shared" ca="1" si="59"/>
        <v>1</v>
      </c>
      <c r="AH204" s="9">
        <v>0</v>
      </c>
      <c r="AI204" s="8">
        <v>0</v>
      </c>
      <c r="AJ204" s="8">
        <v>0</v>
      </c>
      <c r="AK204" s="8">
        <v>0</v>
      </c>
      <c r="AL204" s="8">
        <v>0</v>
      </c>
      <c r="AM204" s="8">
        <v>1</v>
      </c>
      <c r="AN204" s="8">
        <v>1</v>
      </c>
    </row>
    <row r="205" spans="1:40" ht="21" customHeight="1" x14ac:dyDescent="0.15">
      <c r="A205" s="17" t="str">
        <f t="shared" ca="1" si="57"/>
        <v>11101_4-3/344&lt;lv1&gt;s1</v>
      </c>
      <c r="B205" s="73">
        <v>11101</v>
      </c>
      <c r="C205" s="74">
        <v>4</v>
      </c>
      <c r="D205" s="2" t="str">
        <f t="shared" si="58"/>
        <v>11101_4</v>
      </c>
      <c r="E205" s="5" t="str">
        <f ca="1">VLOOKUP($B205,OFFSET([2]quests!$A$1,0,0,COUNTA([2]quests!$A:$A),MATCH(E$1,[2]quests!$1:$1,0)-MATCH($B$1,[2]quests!$1:$1,0)+1),MATCH(E$1,[2]quests!$1:$1,0)-MATCH($B$1,[2]quests!$1:$1,0)+1,FALSE)</f>
        <v>【期間限定】 黄の素材</v>
      </c>
      <c r="F205" s="5" t="str">
        <f ca="1">VLOOKUP($D205,OFFSET([2]stages!$A$1,0,0,COUNTA([2]stages!$A:$A),MATCH(F$1,[2]stages!$2:$2,0)-MATCH($D$1,[2]stages!$2:$2,0)+1),MATCH(F$1,[2]stages!$2:$2,0)-MATCH($D$1,[2]stages!$2:$2,0)+1,FALSE)</f>
        <v>【上級】雷のイモムシ</v>
      </c>
      <c r="G205" s="25">
        <v>3</v>
      </c>
      <c r="H205" s="16" t="str">
        <f t="shared" si="48"/>
        <v>11101_4-3</v>
      </c>
      <c r="I205" s="5">
        <f ca="1">VLOOKUP($H205,OFFSET(floors!$A$1,0,0,COUNTA(floors!$A:$A),MATCH(I$1,floors!$1:$1,0)-MATCH($H$1,floors!$1:$1,0)+1),MATCH(I$1,floors!$1:$1,0)-MATCH($H$1,floors!$1:$1,0)+1,FALSE)</f>
        <v>45</v>
      </c>
      <c r="J205" s="5">
        <f ca="1">VLOOKUP($H205,OFFSET(floors!$A$1,0,0,COUNTA(floors!$A:$A),MATCH(J$1,floors!$1:$1,0)-MATCH($H$1,floors!$1:$1,0)+1),MATCH(J$1,floors!$1:$1,0)-MATCH($H$1,floors!$1:$1,0)+1,FALSE)</f>
        <v>45</v>
      </c>
      <c r="K205" s="24" t="s">
        <v>209</v>
      </c>
      <c r="L205" s="24">
        <v>344</v>
      </c>
      <c r="M205" s="20" t="str">
        <f ca="1">VLOOKUP($L205,OFFSET([3]enemies!$A$1,0,0,COUNTA([3]enemies!$A:$A),MATCH(M$1,[3]enemies!$1:$1,0)-MATCH($L$1,[3]enemies!$1:$1,0)+1),MATCH(M$1,[3]enemies!$1:$1,0)-MATCH($L$1,[3]enemies!$1:$1,0)+1,FALSE)</f>
        <v>雷のメタルピヨピヨ</v>
      </c>
      <c r="N205" s="20" t="str">
        <f ca="1">VLOOKUP($L205,OFFSET([3]enemies!$A$1,0,0,COUNTA([3]enemies!$A:$A),MATCH(N$1,[3]enemies!$1:$1,0)-MATCH($L$1,[3]enemies!$1:$1,0)+1),MATCH(N$1,[3]enemies!$1:$1,0)-MATCH($L$1,[3]enemies!$1:$1,0)+1,FALSE)</f>
        <v>yellow</v>
      </c>
      <c r="O205" s="22" t="str">
        <f ca="1">VLOOKUP($L205,OFFSET([4]characters!$A$1,0,0,COUNTA([4]characters!$A:$A),MATCH(O$1,[4]characters!$1:$1,0)-MATCH($L$1,[4]characters!$1:$1,0)+1),MATCH(O$1,[4]characters!$1:$1,0)-MATCH($L$1,[4]characters!$1:$1,0)+1,FALSE)</f>
        <v>Material</v>
      </c>
      <c r="P205" s="20" t="str">
        <f ca="1">VLOOKUP($L205,OFFSET([3]enemies!$A$1,0,0,COUNTA([3]enemies!$A:$A),MATCH(P$1,[3]enemies!$1:$1,0)-MATCH($L$1,[3]enemies!$1:$1,0)+1),MATCH(P$1,[3]enemies!$1:$1,0)-MATCH($L$1,[3]enemies!$1:$1,0)+1,FALSE)</f>
        <v>unknown</v>
      </c>
      <c r="Q205" s="20">
        <f ca="1">VLOOKUP($L205,OFFSET([3]enemies!$A$1,0,0,COUNTA([3]enemies!$A:$A),MATCH(Q$1,[3]enemies!$1:$1,0)-MATCH($L$1,[3]enemies!$1:$1,0)+1),MATCH(Q$1,[3]enemies!$1:$1,0)-MATCH($L$1,[3]enemies!$1:$1,0)+1,FALSE)</f>
        <v>15</v>
      </c>
      <c r="R205" s="6">
        <v>1</v>
      </c>
      <c r="S205" s="30">
        <v>1</v>
      </c>
      <c r="T205" s="30">
        <v>1</v>
      </c>
      <c r="U205" s="6">
        <v>0</v>
      </c>
      <c r="V205" s="5" t="str">
        <f ca="1">VLOOKUP($W205,OFFSET([5]enemy_skill_sets!$B$1,0,0,COUNTA([5]enemy_skill_sets!$B:$B),MATCH(M$1,[5]enemy_skill_sets!$1:$1,0)-MATCH($W$1,[5]enemy_skill_sets!$1:$1,0)+2),MATCH(M$1,[5]enemy_skill_sets!$1:$1,0)-MATCH($W$1,[5]enemy_skill_sets!$1:$1,0)+2,FALSE)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5" s="5">
        <f ca="1">VLOOKUP($L205,OFFSET([3]enemies!$A$1,0,0,COUNTA([3]enemies!$A:$A),MATCH(W$1,[3]enemies!$1:$1,0)-MATCH($L$1,[3]enemies!$1:$1,0)+1),MATCH(W$1,[3]enemies!$1:$1,0)-MATCH($L$1,[3]enemies!$1:$1,0)+1,FALSE)</f>
        <v>0</v>
      </c>
      <c r="X205" s="7">
        <v>0</v>
      </c>
      <c r="Y205" s="7">
        <v>30</v>
      </c>
      <c r="Z205" s="7">
        <v>0</v>
      </c>
      <c r="AA205" s="20">
        <f ca="1">VLOOKUP($L205,OFFSET([3]enemies!$A$1,0,0,COUNTA([3]enemies!$A:$A),MATCH(AA$1,[3]enemies!$1:$1,0)-MATCH($L$1,[3]enemies!$1:$1,0)+1),MATCH(AA$1,[3]enemies!$1:$1,0)-MATCH($L$1,[3]enemies!$1:$1,0)+1,FALSE)</f>
        <v>1</v>
      </c>
      <c r="AB205" s="24">
        <v>344</v>
      </c>
      <c r="AC205" s="5" t="str">
        <f ca="1">IFERROR(VLOOKUP($AB205,OFFSET([4]characters!$A$1,0,0,COUNTA([4]characters!$A:$A),MATCH(AC$1,[4]characters!$1:$1,0)-MATCH("character_id",[4]characters!$1:$1,0)+1),MATCH(AC$1,[4]characters!$1:$1,0)-MATCH("character_id",[4]characters!$1:$1,0)+1,FALSE),"")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205" s="5">
        <f ca="1">IFERROR(VLOOKUP($AB205,OFFSET([4]characters!$A$1,0,0,COUNTA([4]characters!$A:$A),MATCH(AD$1,[4]characters!$1:$1,0)-MATCH("character_id",[4]characters!$1:$1,0)+1),MATCH(AD$1,[4]characters!$1:$1,0)-MATCH("character_id",[4]characters!$1:$1,0)+1,FALSE),"")</f>
        <v>3</v>
      </c>
      <c r="AE205" s="5" t="str">
        <f ca="1">IFERROR(VLOOKUP($AB205,OFFSET([4]characters!$A$1,0,0,COUNTA([4]characters!$A:$A),MATCH(AE$1,[4]characters!$1:$1,0)-MATCH("character_id",[4]characters!$1:$1,0)+1),MATCH(AE$1,[4]characters!$1:$1,0)-MATCH("character_id",[4]characters!$1:$1,0)+1,FALSE),"")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5" s="8">
        <v>1</v>
      </c>
      <c r="AG205" s="27">
        <f t="shared" ca="1" si="59"/>
        <v>3</v>
      </c>
      <c r="AH205" s="9">
        <v>10</v>
      </c>
      <c r="AI205" s="8">
        <v>0</v>
      </c>
      <c r="AJ205" s="8">
        <v>0</v>
      </c>
      <c r="AK205" s="8">
        <v>0</v>
      </c>
      <c r="AL205" s="8">
        <v>0</v>
      </c>
      <c r="AM205" s="8">
        <v>1</v>
      </c>
      <c r="AN205" s="8">
        <v>1</v>
      </c>
    </row>
    <row r="206" spans="1:40" ht="21" customHeight="1" x14ac:dyDescent="0.15">
      <c r="A206" s="17" t="str">
        <f t="shared" ca="1" si="57"/>
        <v>11101_4-3/345&lt;lv1&gt;s2</v>
      </c>
      <c r="B206" s="73">
        <v>11101</v>
      </c>
      <c r="C206" s="74">
        <v>4</v>
      </c>
      <c r="D206" s="2" t="str">
        <f t="shared" si="58"/>
        <v>11101_4</v>
      </c>
      <c r="E206" s="5" t="str">
        <f ca="1">VLOOKUP($B206,OFFSET([2]quests!$A$1,0,0,COUNTA([2]quests!$A:$A),MATCH(E$1,[2]quests!$1:$1,0)-MATCH($B$1,[2]quests!$1:$1,0)+1),MATCH(E$1,[2]quests!$1:$1,0)-MATCH($B$1,[2]quests!$1:$1,0)+1,FALSE)</f>
        <v>【期間限定】 黄の素材</v>
      </c>
      <c r="F206" s="5" t="str">
        <f ca="1">VLOOKUP($D206,OFFSET([2]stages!$A$1,0,0,COUNTA([2]stages!$A:$A),MATCH(F$1,[2]stages!$2:$2,0)-MATCH($D$1,[2]stages!$2:$2,0)+1),MATCH(F$1,[2]stages!$2:$2,0)-MATCH($D$1,[2]stages!$2:$2,0)+1,FALSE)</f>
        <v>【上級】雷のイモムシ</v>
      </c>
      <c r="G206" s="25">
        <v>3</v>
      </c>
      <c r="H206" s="16" t="str">
        <f t="shared" si="48"/>
        <v>11101_4-3</v>
      </c>
      <c r="I206" s="5">
        <f ca="1">VLOOKUP($H206,OFFSET(floors!$A$1,0,0,COUNTA(floors!$A:$A),MATCH(I$1,floors!$1:$1,0)-MATCH($H$1,floors!$1:$1,0)+1),MATCH(I$1,floors!$1:$1,0)-MATCH($H$1,floors!$1:$1,0)+1,FALSE)</f>
        <v>45</v>
      </c>
      <c r="J206" s="5">
        <f ca="1">VLOOKUP($H206,OFFSET(floors!$A$1,0,0,COUNTA(floors!$A:$A),MATCH(J$1,floors!$1:$1,0)-MATCH($H$1,floors!$1:$1,0)+1),MATCH(J$1,floors!$1:$1,0)-MATCH($H$1,floors!$1:$1,0)+1,FALSE)</f>
        <v>45</v>
      </c>
      <c r="K206" s="24" t="s">
        <v>209</v>
      </c>
      <c r="L206" s="24">
        <v>345</v>
      </c>
      <c r="M206" s="20" t="str">
        <f ca="1">VLOOKUP($L206,OFFSET([3]enemies!$A$1,0,0,COUNTA([3]enemies!$A:$A),MATCH(M$1,[3]enemies!$1:$1,0)-MATCH($L$1,[3]enemies!$1:$1,0)+1),MATCH(M$1,[3]enemies!$1:$1,0)-MATCH($L$1,[3]enemies!$1:$1,0)+1,FALSE)</f>
        <v>雷のメタルチック</v>
      </c>
      <c r="N206" s="20" t="str">
        <f ca="1">VLOOKUP($L206,OFFSET([3]enemies!$A$1,0,0,COUNTA([3]enemies!$A:$A),MATCH(N$1,[3]enemies!$1:$1,0)-MATCH($L$1,[3]enemies!$1:$1,0)+1),MATCH(N$1,[3]enemies!$1:$1,0)-MATCH($L$1,[3]enemies!$1:$1,0)+1,FALSE)</f>
        <v>yellow</v>
      </c>
      <c r="O206" s="22" t="str">
        <f ca="1">VLOOKUP($L206,OFFSET([4]characters!$A$1,0,0,COUNTA([4]characters!$A:$A),MATCH(O$1,[4]characters!$1:$1,0)-MATCH($L$1,[4]characters!$1:$1,0)+1),MATCH(O$1,[4]characters!$1:$1,0)-MATCH($L$1,[4]characters!$1:$1,0)+1,FALSE)</f>
        <v>Material</v>
      </c>
      <c r="P206" s="20" t="str">
        <f ca="1">VLOOKUP($L206,OFFSET([3]enemies!$A$1,0,0,COUNTA([3]enemies!$A:$A),MATCH(P$1,[3]enemies!$1:$1,0)-MATCH($L$1,[3]enemies!$1:$1,0)+1),MATCH(P$1,[3]enemies!$1:$1,0)-MATCH($L$1,[3]enemies!$1:$1,0)+1,FALSE)</f>
        <v>unknown</v>
      </c>
      <c r="Q206" s="20">
        <f ca="1">VLOOKUP($L206,OFFSET([3]enemies!$A$1,0,0,COUNTA([3]enemies!$A:$A),MATCH(Q$1,[3]enemies!$1:$1,0)-MATCH($L$1,[3]enemies!$1:$1,0)+1),MATCH(Q$1,[3]enemies!$1:$1,0)-MATCH($L$1,[3]enemies!$1:$1,0)+1,FALSE)</f>
        <v>15</v>
      </c>
      <c r="R206" s="6">
        <v>1</v>
      </c>
      <c r="S206" s="30">
        <v>1</v>
      </c>
      <c r="T206" s="30">
        <v>1</v>
      </c>
      <c r="U206" s="6">
        <v>0</v>
      </c>
      <c r="V206" s="5" t="str">
        <f ca="1">VLOOKUP($W206,OFFSET([5]enemy_skill_sets!$B$1,0,0,COUNTA([5]enemy_skill_sets!$B:$B),MATCH(M$1,[5]enemy_skill_sets!$1:$1,0)-MATCH($W$1,[5]enemy_skill_sets!$1:$1,0)+2),MATCH(M$1,[5]enemy_skill_sets!$1:$1,0)-MATCH($W$1,[5]enemy_skill_sets!$1:$1,0)+2,FALSE)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6" s="5">
        <f ca="1">VLOOKUP($L206,OFFSET([3]enemies!$A$1,0,0,COUNTA([3]enemies!$A:$A),MATCH(W$1,[3]enemies!$1:$1,0)-MATCH($L$1,[3]enemies!$1:$1,0)+1),MATCH(W$1,[3]enemies!$1:$1,0)-MATCH($L$1,[3]enemies!$1:$1,0)+1,FALSE)</f>
        <v>0</v>
      </c>
      <c r="X206" s="7">
        <v>0</v>
      </c>
      <c r="Y206" s="7">
        <v>30</v>
      </c>
      <c r="Z206" s="7">
        <v>0</v>
      </c>
      <c r="AA206" s="20">
        <f ca="1">VLOOKUP($L206,OFFSET([3]enemies!$A$1,0,0,COUNTA([3]enemies!$A:$A),MATCH(AA$1,[3]enemies!$1:$1,0)-MATCH($L$1,[3]enemies!$1:$1,0)+1),MATCH(AA$1,[3]enemies!$1:$1,0)-MATCH($L$1,[3]enemies!$1:$1,0)+1,FALSE)</f>
        <v>2</v>
      </c>
      <c r="AB206" s="24">
        <v>345</v>
      </c>
      <c r="AC206" s="5" t="str">
        <f ca="1">IFERROR(VLOOKUP($AB206,OFFSET([4]characters!$A$1,0,0,COUNTA([4]characters!$A:$A),MATCH(AC$1,[4]characters!$1:$1,0)-MATCH("character_id",[4]characters!$1:$1,0)+1),MATCH(AC$1,[4]characters!$1:$1,0)-MATCH("character_id",[4]characters!$1:$1,0)+1,FALSE),"")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206" s="5">
        <f ca="1">IFERROR(VLOOKUP($AB206,OFFSET([4]characters!$A$1,0,0,COUNTA([4]characters!$A:$A),MATCH(AD$1,[4]characters!$1:$1,0)-MATCH("character_id",[4]characters!$1:$1,0)+1),MATCH(AD$1,[4]characters!$1:$1,0)-MATCH("character_id",[4]characters!$1:$1,0)+1,FALSE),"")</f>
        <v>4</v>
      </c>
      <c r="AE206" s="5" t="str">
        <f ca="1">IFERROR(VLOOKUP($AB206,OFFSET([4]characters!$A$1,0,0,COUNTA([4]characters!$A:$A),MATCH(AE$1,[4]characters!$1:$1,0)-MATCH("character_id",[4]characters!$1:$1,0)+1),MATCH(AE$1,[4]characters!$1:$1,0)-MATCH("character_id",[4]characters!$1:$1,0)+1,FALSE),"")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6" s="8">
        <v>1</v>
      </c>
      <c r="AG206" s="27">
        <f t="shared" ca="1" si="59"/>
        <v>4</v>
      </c>
      <c r="AH206" s="9">
        <v>5</v>
      </c>
      <c r="AI206" s="8">
        <v>0</v>
      </c>
      <c r="AJ206" s="8">
        <v>0</v>
      </c>
      <c r="AK206" s="8">
        <v>0</v>
      </c>
      <c r="AL206" s="8">
        <v>0</v>
      </c>
      <c r="AM206" s="8">
        <v>1</v>
      </c>
      <c r="AN206" s="8">
        <v>1</v>
      </c>
    </row>
    <row r="207" spans="1:40" ht="21" customHeight="1" x14ac:dyDescent="0.15">
      <c r="A207" s="17" t="str">
        <f t="shared" ca="1" si="57"/>
        <v>11101_4-4/115&lt;lv30&gt;s2</v>
      </c>
      <c r="B207" s="73">
        <v>11101</v>
      </c>
      <c r="C207" s="74">
        <v>4</v>
      </c>
      <c r="D207" s="2" t="str">
        <f t="shared" si="58"/>
        <v>11101_4</v>
      </c>
      <c r="E207" s="5" t="str">
        <f ca="1">VLOOKUP($B207,OFFSET([2]quests!$A$1,0,0,COUNTA([2]quests!$A:$A),MATCH(E$1,[2]quests!$1:$1,0)-MATCH($B$1,[2]quests!$1:$1,0)+1),MATCH(E$1,[2]quests!$1:$1,0)-MATCH($B$1,[2]quests!$1:$1,0)+1,FALSE)</f>
        <v>【期間限定】 黄の素材</v>
      </c>
      <c r="F207" s="5" t="str">
        <f ca="1">VLOOKUP($D207,OFFSET([2]stages!$A$1,0,0,COUNTA([2]stages!$A:$A),MATCH(F$1,[2]stages!$2:$2,0)-MATCH($D$1,[2]stages!$2:$2,0)+1),MATCH(F$1,[2]stages!$2:$2,0)-MATCH($D$1,[2]stages!$2:$2,0)+1,FALSE)</f>
        <v>【上級】雷のイモムシ</v>
      </c>
      <c r="G207" s="25">
        <v>4</v>
      </c>
      <c r="H207" s="16" t="str">
        <f t="shared" si="48"/>
        <v>11101_4-4</v>
      </c>
      <c r="I207" s="5">
        <f ca="1">VLOOKUP($H207,OFFSET(floors!$A$1,0,0,COUNTA(floors!$A:$A),MATCH(I$1,floors!$1:$1,0)-MATCH($H$1,floors!$1:$1,0)+1),MATCH(I$1,floors!$1:$1,0)-MATCH($H$1,floors!$1:$1,0)+1,FALSE)</f>
        <v>45</v>
      </c>
      <c r="J207" s="5">
        <f ca="1">VLOOKUP($H207,OFFSET(floors!$A$1,0,0,COUNTA(floors!$A:$A),MATCH(J$1,floors!$1:$1,0)-MATCH($H$1,floors!$1:$1,0)+1),MATCH(J$1,floors!$1:$1,0)-MATCH($H$1,floors!$1:$1,0)+1,FALSE)</f>
        <v>60</v>
      </c>
      <c r="K207" s="24" t="s">
        <v>209</v>
      </c>
      <c r="L207" s="24">
        <v>115</v>
      </c>
      <c r="M207" s="20" t="str">
        <f ca="1">VLOOKUP($L207,OFFSET([3]enemies!$A$1,0,0,COUNTA([3]enemies!$A:$A),MATCH(M$1,[3]enemies!$1:$1,0)-MATCH($L$1,[3]enemies!$1:$1,0)+1),MATCH(M$1,[3]enemies!$1:$1,0)-MATCH($L$1,[3]enemies!$1:$1,0)+1,FALSE)</f>
        <v>イエローキャタップ</v>
      </c>
      <c r="N207" s="20" t="str">
        <f ca="1">VLOOKUP($L207,OFFSET([3]enemies!$A$1,0,0,COUNTA([3]enemies!$A:$A),MATCH(N$1,[3]enemies!$1:$1,0)-MATCH($L$1,[3]enemies!$1:$1,0)+1),MATCH(N$1,[3]enemies!$1:$1,0)-MATCH($L$1,[3]enemies!$1:$1,0)+1,FALSE)</f>
        <v>yellow</v>
      </c>
      <c r="O207" s="22" t="str">
        <f ca="1">VLOOKUP($L207,OFFSET([4]characters!$A$1,0,0,COUNTA([4]characters!$A:$A),MATCH(O$1,[4]characters!$1:$1,0)-MATCH($L$1,[4]characters!$1:$1,0)+1),MATCH(O$1,[4]characters!$1:$1,0)-MATCH($L$1,[4]characters!$1:$1,0)+1,FALSE)</f>
        <v>Material</v>
      </c>
      <c r="P207" s="20" t="str">
        <f ca="1">VLOOKUP($L207,OFFSET([3]enemies!$A$1,0,0,COUNTA([3]enemies!$A:$A),MATCH(P$1,[3]enemies!$1:$1,0)-MATCH($L$1,[3]enemies!$1:$1,0)+1),MATCH(P$1,[3]enemies!$1:$1,0)-MATCH($L$1,[3]enemies!$1:$1,0)+1,FALSE)</f>
        <v>unknown</v>
      </c>
      <c r="Q207" s="20">
        <f ca="1">VLOOKUP($L207,OFFSET([3]enemies!$A$1,0,0,COUNTA([3]enemies!$A:$A),MATCH(Q$1,[3]enemies!$1:$1,0)-MATCH($L$1,[3]enemies!$1:$1,0)+1),MATCH(Q$1,[3]enemies!$1:$1,0)-MATCH($L$1,[3]enemies!$1:$1,0)+1,FALSE)</f>
        <v>15</v>
      </c>
      <c r="R207" s="6">
        <v>30</v>
      </c>
      <c r="S207" s="30">
        <v>2</v>
      </c>
      <c r="T207" s="30">
        <v>1</v>
      </c>
      <c r="U207" s="6">
        <v>0</v>
      </c>
      <c r="V207" s="5" t="str">
        <f ca="1">VLOOKUP($W207,OFFSET([5]enemy_skill_sets!$B$1,0,0,COUNTA([5]enemy_skill_sets!$B:$B),MATCH(M$1,[5]enemy_skill_sets!$1:$1,0)-MATCH($W$1,[5]enemy_skill_sets!$1:$1,0)+2),MATCH(M$1,[5]enemy_skill_sets!$1:$1,0)-MATCH($W$1,[5]enemy_skill_sets!$1:$1,0)+2,FALSE)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7" s="5">
        <f ca="1">VLOOKUP($L207,OFFSET([3]enemies!$A$1,0,0,COUNTA([3]enemies!$A:$A),MATCH(W$1,[3]enemies!$1:$1,0)-MATCH($L$1,[3]enemies!$1:$1,0)+1),MATCH(W$1,[3]enemies!$1:$1,0)-MATCH($L$1,[3]enemies!$1:$1,0)+1,FALSE)</f>
        <v>0</v>
      </c>
      <c r="X207" s="7">
        <v>1</v>
      </c>
      <c r="Y207" s="7">
        <v>100</v>
      </c>
      <c r="Z207" s="7">
        <v>1</v>
      </c>
      <c r="AA207" s="20">
        <f ca="1">VLOOKUP($L207,OFFSET([3]enemies!$A$1,0,0,COUNTA([3]enemies!$A:$A),MATCH(AA$1,[3]enemies!$1:$1,0)-MATCH($L$1,[3]enemies!$1:$1,0)+1),MATCH(AA$1,[3]enemies!$1:$1,0)-MATCH($L$1,[3]enemies!$1:$1,0)+1,FALSE)</f>
        <v>2</v>
      </c>
      <c r="AB207" s="24">
        <v>115</v>
      </c>
      <c r="AC207" s="5" t="str">
        <f ca="1">IFERROR(VLOOKUP($AB207,OFFSET([4]characters!$A$1,0,0,COUNTA([4]characters!$A:$A),MATCH(AC$1,[4]characters!$1:$1,0)-MATCH("character_id",[4]characters!$1:$1,0)+1),MATCH(AC$1,[4]characters!$1:$1,0)-MATCH("character_id",[4]characters!$1:$1,0)+1,FALSE),"")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07" s="5">
        <f ca="1">IFERROR(VLOOKUP($AB207,OFFSET([4]characters!$A$1,0,0,COUNTA([4]characters!$A:$A),MATCH(AD$1,[4]characters!$1:$1,0)-MATCH("character_id",[4]characters!$1:$1,0)+1),MATCH(AD$1,[4]characters!$1:$1,0)-MATCH("character_id",[4]characters!$1:$1,0)+1,FALSE),"")</f>
        <v>4</v>
      </c>
      <c r="AE207" s="5" t="str">
        <f ca="1">IFERROR(VLOOKUP($AB207,OFFSET([4]characters!$A$1,0,0,COUNTA([4]characters!$A:$A),MATCH(AE$1,[4]characters!$1:$1,0)-MATCH("character_id",[4]characters!$1:$1,0)+1),MATCH(AE$1,[4]characters!$1:$1,0)-MATCH("character_id",[4]characters!$1:$1,0)+1,FALSE),"")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7" s="8">
        <v>1</v>
      </c>
      <c r="AG207" s="27">
        <f t="shared" ca="1" si="59"/>
        <v>4</v>
      </c>
      <c r="AH207" s="9">
        <v>100</v>
      </c>
      <c r="AI207" s="8">
        <v>0</v>
      </c>
      <c r="AJ207" s="8">
        <v>0</v>
      </c>
      <c r="AK207" s="8">
        <v>0</v>
      </c>
      <c r="AL207" s="8">
        <v>0</v>
      </c>
      <c r="AM207" s="8">
        <v>1</v>
      </c>
      <c r="AN207" s="8">
        <v>1</v>
      </c>
    </row>
    <row r="208" spans="1:40" ht="21" customHeight="1" x14ac:dyDescent="0.15">
      <c r="A208" s="17" t="str">
        <f t="shared" ca="1" si="57"/>
        <v>11101_4-4/39&lt;lv35&gt;s3</v>
      </c>
      <c r="B208" s="73">
        <v>11101</v>
      </c>
      <c r="C208" s="74">
        <v>4</v>
      </c>
      <c r="D208" s="2" t="str">
        <f t="shared" si="58"/>
        <v>11101_4</v>
      </c>
      <c r="E208" s="5" t="str">
        <f ca="1">VLOOKUP($B208,OFFSET([2]quests!$A$1,0,0,COUNTA([2]quests!$A:$A),MATCH(E$1,[2]quests!$1:$1,0)-MATCH($B$1,[2]quests!$1:$1,0)+1),MATCH(E$1,[2]quests!$1:$1,0)-MATCH($B$1,[2]quests!$1:$1,0)+1,FALSE)</f>
        <v>【期間限定】 黄の素材</v>
      </c>
      <c r="F208" s="5" t="str">
        <f ca="1">VLOOKUP($D208,OFFSET([2]stages!$A$1,0,0,COUNTA([2]stages!$A:$A),MATCH(F$1,[2]stages!$2:$2,0)-MATCH($D$1,[2]stages!$2:$2,0)+1),MATCH(F$1,[2]stages!$2:$2,0)-MATCH($D$1,[2]stages!$2:$2,0)+1,FALSE)</f>
        <v>【上級】雷のイモムシ</v>
      </c>
      <c r="G208" s="25">
        <v>4</v>
      </c>
      <c r="H208" s="16" t="str">
        <f t="shared" si="48"/>
        <v>11101_4-4</v>
      </c>
      <c r="I208" s="5">
        <f ca="1">VLOOKUP($H208,OFFSET(floors!$A$1,0,0,COUNTA(floors!$A:$A),MATCH(I$1,floors!$1:$1,0)-MATCH($H$1,floors!$1:$1,0)+1),MATCH(I$1,floors!$1:$1,0)-MATCH($H$1,floors!$1:$1,0)+1,FALSE)</f>
        <v>45</v>
      </c>
      <c r="J208" s="5">
        <f ca="1">VLOOKUP($H208,OFFSET(floors!$A$1,0,0,COUNTA(floors!$A:$A),MATCH(J$1,floors!$1:$1,0)-MATCH($H$1,floors!$1:$1,0)+1),MATCH(J$1,floors!$1:$1,0)-MATCH($H$1,floors!$1:$1,0)+1,FALSE)</f>
        <v>60</v>
      </c>
      <c r="K208" s="24" t="s">
        <v>209</v>
      </c>
      <c r="L208" s="24">
        <v>39</v>
      </c>
      <c r="M208" s="20" t="str">
        <f ca="1">VLOOKUP($L208,OFFSET([3]enemies!$A$1,0,0,COUNTA([3]enemies!$A:$A),MATCH(M$1,[3]enemies!$1:$1,0)-MATCH($L$1,[3]enemies!$1:$1,0)+1),MATCH(M$1,[3]enemies!$1:$1,0)-MATCH($L$1,[3]enemies!$1:$1,0)+1,FALSE)</f>
        <v>マーロン</v>
      </c>
      <c r="N208" s="20" t="str">
        <f ca="1">VLOOKUP($L208,OFFSET([3]enemies!$A$1,0,0,COUNTA([3]enemies!$A:$A),MATCH(N$1,[3]enemies!$1:$1,0)-MATCH($L$1,[3]enemies!$1:$1,0)+1),MATCH(N$1,[3]enemies!$1:$1,0)-MATCH($L$1,[3]enemies!$1:$1,0)+1,FALSE)</f>
        <v>yellow</v>
      </c>
      <c r="O208" s="22" t="str">
        <f ca="1">VLOOKUP($L208,OFFSET([4]characters!$A$1,0,0,COUNTA([4]characters!$A:$A),MATCH(O$1,[4]characters!$1:$1,0)-MATCH($L$1,[4]characters!$1:$1,0)+1),MATCH(O$1,[4]characters!$1:$1,0)-MATCH($L$1,[4]characters!$1:$1,0)+1,FALSE)</f>
        <v>Drop1S</v>
      </c>
      <c r="P208" s="20" t="str">
        <f ca="1">VLOOKUP($L208,OFFSET([3]enemies!$A$1,0,0,COUNTA([3]enemies!$A:$A),MATCH(P$1,[3]enemies!$1:$1,0)-MATCH($L$1,[3]enemies!$1:$1,0)+1),MATCH(P$1,[3]enemies!$1:$1,0)-MATCH($L$1,[3]enemies!$1:$1,0)+1,FALSE)</f>
        <v>human</v>
      </c>
      <c r="Q208" s="20">
        <f ca="1">VLOOKUP($L208,OFFSET([3]enemies!$A$1,0,0,COUNTA([3]enemies!$A:$A),MATCH(Q$1,[3]enemies!$1:$1,0)-MATCH($L$1,[3]enemies!$1:$1,0)+1),MATCH(Q$1,[3]enemies!$1:$1,0)-MATCH($L$1,[3]enemies!$1:$1,0)+1,FALSE)</f>
        <v>15</v>
      </c>
      <c r="R208" s="6">
        <v>35</v>
      </c>
      <c r="S208" s="30">
        <v>1</v>
      </c>
      <c r="T208" s="30">
        <v>1</v>
      </c>
      <c r="U208" s="6">
        <v>0</v>
      </c>
      <c r="V208" s="5" t="str">
        <f ca="1">VLOOKUP($W208,OFFSET([5]enemy_skill_sets!$B$1,0,0,COUNTA([5]enemy_skill_sets!$B:$B),MATCH(M$1,[5]enemy_skill_sets!$1:$1,0)-MATCH($W$1,[5]enemy_skill_sets!$1:$1,0)+2),MATCH(M$1,[5]enemy_skill_sets!$1:$1,0)-MATCH($W$1,[5]enemy_skill_sets!$1:$1,0)+2,FALSE)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08" s="5">
        <f ca="1">VLOOKUP($L208,OFFSET([3]enemies!$A$1,0,0,COUNTA([3]enemies!$A:$A),MATCH(W$1,[3]enemies!$1:$1,0)-MATCH($L$1,[3]enemies!$1:$1,0)+1),MATCH(W$1,[3]enemies!$1:$1,0)-MATCH($L$1,[3]enemies!$1:$1,0)+1,FALSE)</f>
        <v>39</v>
      </c>
      <c r="X208" s="7">
        <v>0</v>
      </c>
      <c r="Y208" s="7">
        <v>100</v>
      </c>
      <c r="Z208" s="7">
        <v>0</v>
      </c>
      <c r="AA208" s="20">
        <f ca="1">VLOOKUP($L208,OFFSET([3]enemies!$A$1,0,0,COUNTA([3]enemies!$A:$A),MATCH(AA$1,[3]enemies!$1:$1,0)-MATCH($L$1,[3]enemies!$1:$1,0)+1),MATCH(AA$1,[3]enemies!$1:$1,0)-MATCH($L$1,[3]enemies!$1:$1,0)+1,FALSE)</f>
        <v>3</v>
      </c>
      <c r="AB208" s="24">
        <v>39</v>
      </c>
      <c r="AC208" s="5" t="str">
        <f ca="1">IFERROR(VLOOKUP($AB208,OFFSET([4]characters!$A$1,0,0,COUNTA([4]characters!$A:$A),MATCH(AC$1,[4]characters!$1:$1,0)-MATCH("character_id",[4]characters!$1:$1,0)+1),MATCH(AC$1,[4]characters!$1:$1,0)-MATCH("character_id",[4]characters!$1:$1,0)+1,FALSE),"")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08" s="5">
        <f ca="1">IFERROR(VLOOKUP($AB208,OFFSET([4]characters!$A$1,0,0,COUNTA([4]characters!$A:$A),MATCH(AD$1,[4]characters!$1:$1,0)-MATCH("character_id",[4]characters!$1:$1,0)+1),MATCH(AD$1,[4]characters!$1:$1,0)-MATCH("character_id",[4]characters!$1:$1,0)+1,FALSE),"")</f>
        <v>2</v>
      </c>
      <c r="AE208" s="5" t="str">
        <f ca="1">IFERROR(VLOOKUP($AB208,OFFSET([4]characters!$A$1,0,0,COUNTA([4]characters!$A:$A),MATCH(AE$1,[4]characters!$1:$1,0)-MATCH("character_id",[4]characters!$1:$1,0)+1),MATCH(AE$1,[4]characters!$1:$1,0)-MATCH("character_id",[4]characters!$1:$1,0)+1,FALSE),"")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08" s="8">
        <v>1</v>
      </c>
      <c r="AG208" s="27">
        <f t="shared" ca="1" si="59"/>
        <v>2</v>
      </c>
      <c r="AH208" s="9">
        <v>0</v>
      </c>
      <c r="AI208" s="8">
        <v>0</v>
      </c>
      <c r="AJ208" s="8">
        <v>0</v>
      </c>
      <c r="AK208" s="8">
        <v>0</v>
      </c>
      <c r="AL208" s="8">
        <v>0</v>
      </c>
      <c r="AM208" s="8">
        <v>1</v>
      </c>
      <c r="AN208" s="8">
        <v>1</v>
      </c>
    </row>
    <row r="209" spans="1:40" ht="21" customHeight="1" x14ac:dyDescent="0.15">
      <c r="A209" s="17" t="str">
        <f t="shared" ca="1" si="57"/>
        <v>11101_4-4/31&lt;lv35&gt;s2</v>
      </c>
      <c r="B209" s="73">
        <v>11101</v>
      </c>
      <c r="C209" s="74">
        <v>4</v>
      </c>
      <c r="D209" s="2" t="str">
        <f t="shared" si="58"/>
        <v>11101_4</v>
      </c>
      <c r="E209" s="5" t="str">
        <f ca="1">VLOOKUP($B209,OFFSET([2]quests!$A$1,0,0,COUNTA([2]quests!$A:$A),MATCH(E$1,[2]quests!$1:$1,0)-MATCH($B$1,[2]quests!$1:$1,0)+1),MATCH(E$1,[2]quests!$1:$1,0)-MATCH($B$1,[2]quests!$1:$1,0)+1,FALSE)</f>
        <v>【期間限定】 黄の素材</v>
      </c>
      <c r="F209" s="5" t="str">
        <f ca="1">VLOOKUP($D209,OFFSET([2]stages!$A$1,0,0,COUNTA([2]stages!$A:$A),MATCH(F$1,[2]stages!$2:$2,0)-MATCH($D$1,[2]stages!$2:$2,0)+1),MATCH(F$1,[2]stages!$2:$2,0)-MATCH($D$1,[2]stages!$2:$2,0)+1,FALSE)</f>
        <v>【上級】雷のイモムシ</v>
      </c>
      <c r="G209" s="25">
        <v>4</v>
      </c>
      <c r="H209" s="16" t="str">
        <f t="shared" si="48"/>
        <v>11101_4-4</v>
      </c>
      <c r="I209" s="5">
        <f ca="1">VLOOKUP($H209,OFFSET(floors!$A$1,0,0,COUNTA(floors!$A:$A),MATCH(I$1,floors!$1:$1,0)-MATCH($H$1,floors!$1:$1,0)+1),MATCH(I$1,floors!$1:$1,0)-MATCH($H$1,floors!$1:$1,0)+1,FALSE)</f>
        <v>45</v>
      </c>
      <c r="J209" s="5">
        <f ca="1">VLOOKUP($H209,OFFSET(floors!$A$1,0,0,COUNTA(floors!$A:$A),MATCH(J$1,floors!$1:$1,0)-MATCH($H$1,floors!$1:$1,0)+1),MATCH(J$1,floors!$1:$1,0)-MATCH($H$1,floors!$1:$1,0)+1,FALSE)</f>
        <v>60</v>
      </c>
      <c r="K209" s="24" t="s">
        <v>209</v>
      </c>
      <c r="L209" s="24">
        <v>31</v>
      </c>
      <c r="M209" s="20" t="str">
        <f ca="1">VLOOKUP($L209,OFFSET([3]enemies!$A$1,0,0,COUNTA([3]enemies!$A:$A),MATCH(M$1,[3]enemies!$1:$1,0)-MATCH($L$1,[3]enemies!$1:$1,0)+1),MATCH(M$1,[3]enemies!$1:$1,0)-MATCH($L$1,[3]enemies!$1:$1,0)+1,FALSE)</f>
        <v>マービー</v>
      </c>
      <c r="N209" s="20" t="str">
        <f ca="1">VLOOKUP($L209,OFFSET([3]enemies!$A$1,0,0,COUNTA([3]enemies!$A:$A),MATCH(N$1,[3]enemies!$1:$1,0)-MATCH($L$1,[3]enemies!$1:$1,0)+1),MATCH(N$1,[3]enemies!$1:$1,0)-MATCH($L$1,[3]enemies!$1:$1,0)+1,FALSE)</f>
        <v>yellow</v>
      </c>
      <c r="O209" s="22" t="str">
        <f ca="1">VLOOKUP($L209,OFFSET([4]characters!$A$1,0,0,COUNTA([4]characters!$A:$A),MATCH(O$1,[4]characters!$1:$1,0)-MATCH($L$1,[4]characters!$1:$1,0)+1),MATCH(O$1,[4]characters!$1:$1,0)-MATCH($L$1,[4]characters!$1:$1,0)+1,FALSE)</f>
        <v>Drop1N</v>
      </c>
      <c r="P209" s="20" t="str">
        <f ca="1">VLOOKUP($L209,OFFSET([3]enemies!$A$1,0,0,COUNTA([3]enemies!$A:$A),MATCH(P$1,[3]enemies!$1:$1,0)-MATCH($L$1,[3]enemies!$1:$1,0)+1),MATCH(P$1,[3]enemies!$1:$1,0)-MATCH($L$1,[3]enemies!$1:$1,0)+1,FALSE)</f>
        <v>machine</v>
      </c>
      <c r="Q209" s="20">
        <f ca="1">VLOOKUP($L209,OFFSET([3]enemies!$A$1,0,0,COUNTA([3]enemies!$A:$A),MATCH(Q$1,[3]enemies!$1:$1,0)-MATCH($L$1,[3]enemies!$1:$1,0)+1),MATCH(Q$1,[3]enemies!$1:$1,0)-MATCH($L$1,[3]enemies!$1:$1,0)+1,FALSE)</f>
        <v>15</v>
      </c>
      <c r="R209" s="6">
        <v>35</v>
      </c>
      <c r="S209" s="30">
        <v>1</v>
      </c>
      <c r="T209" s="30">
        <v>1</v>
      </c>
      <c r="U209" s="6">
        <v>0</v>
      </c>
      <c r="V209" s="5" t="str">
        <f ca="1">VLOOKUP($W209,OFFSET([5]enemy_skill_sets!$B$1,0,0,COUNTA([5]enemy_skill_sets!$B:$B),MATCH(M$1,[5]enemy_skill_sets!$1:$1,0)-MATCH($W$1,[5]enemy_skill_sets!$1:$1,0)+2),MATCH(M$1,[5]enemy_skill_sets!$1:$1,0)-MATCH($W$1,[5]enemy_skill_sets!$1:$1,0)+2,FALSE)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9" s="5">
        <f ca="1">VLOOKUP($L209,OFFSET([3]enemies!$A$1,0,0,COUNTA([3]enemies!$A:$A),MATCH(W$1,[3]enemies!$1:$1,0)-MATCH($L$1,[3]enemies!$1:$1,0)+1),MATCH(W$1,[3]enemies!$1:$1,0)-MATCH($L$1,[3]enemies!$1:$1,0)+1,FALSE)</f>
        <v>0</v>
      </c>
      <c r="X209" s="7">
        <v>0</v>
      </c>
      <c r="Y209" s="7">
        <v>100</v>
      </c>
      <c r="Z209" s="7">
        <v>0</v>
      </c>
      <c r="AA209" s="20">
        <f ca="1">VLOOKUP($L209,OFFSET([3]enemies!$A$1,0,0,COUNTA([3]enemies!$A:$A),MATCH(AA$1,[3]enemies!$1:$1,0)-MATCH($L$1,[3]enemies!$1:$1,0)+1),MATCH(AA$1,[3]enemies!$1:$1,0)-MATCH($L$1,[3]enemies!$1:$1,0)+1,FALSE)</f>
        <v>2</v>
      </c>
      <c r="AB209" s="24">
        <v>31</v>
      </c>
      <c r="AC209" s="5" t="str">
        <f ca="1">IFERROR(VLOOKUP($AB209,OFFSET([4]characters!$A$1,0,0,COUNTA([4]characters!$A:$A),MATCH(AC$1,[4]characters!$1:$1,0)-MATCH("character_id",[4]characters!$1:$1,0)+1),MATCH(AC$1,[4]characters!$1:$1,0)-MATCH("character_id",[4]characters!$1:$1,0)+1,FALSE),"")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09" s="5">
        <f ca="1">IFERROR(VLOOKUP($AB209,OFFSET([4]characters!$A$1,0,0,COUNTA([4]characters!$A:$A),MATCH(AD$1,[4]characters!$1:$1,0)-MATCH("character_id",[4]characters!$1:$1,0)+1),MATCH(AD$1,[4]characters!$1:$1,0)-MATCH("character_id",[4]characters!$1:$1,0)+1,FALSE),"")</f>
        <v>1</v>
      </c>
      <c r="AE209" s="5" t="str">
        <f ca="1">IFERROR(VLOOKUP($AB209,OFFSET([4]characters!$A$1,0,0,COUNTA([4]characters!$A:$A),MATCH(AE$1,[4]characters!$1:$1,0)-MATCH("character_id",[4]characters!$1:$1,0)+1),MATCH(AE$1,[4]characters!$1:$1,0)-MATCH("character_id",[4]characters!$1:$1,0)+1,FALSE),"")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09" s="8">
        <v>1</v>
      </c>
      <c r="AG209" s="27">
        <f t="shared" ca="1" si="59"/>
        <v>1</v>
      </c>
      <c r="AH209" s="9">
        <v>0</v>
      </c>
      <c r="AI209" s="8">
        <v>0</v>
      </c>
      <c r="AJ209" s="8">
        <v>0</v>
      </c>
      <c r="AK209" s="8">
        <v>0</v>
      </c>
      <c r="AL209" s="8">
        <v>0</v>
      </c>
      <c r="AM209" s="8">
        <v>1</v>
      </c>
      <c r="AN209" s="8">
        <v>1</v>
      </c>
    </row>
    <row r="210" spans="1:40" ht="21" customHeight="1" x14ac:dyDescent="0.15">
      <c r="A210" s="17" t="str">
        <f t="shared" ca="1" si="57"/>
        <v>11101_4-5/115&lt;lv30&gt;s2</v>
      </c>
      <c r="B210" s="73">
        <v>11101</v>
      </c>
      <c r="C210" s="74">
        <v>4</v>
      </c>
      <c r="D210" s="2" t="str">
        <f t="shared" si="58"/>
        <v>11101_4</v>
      </c>
      <c r="E210" s="5" t="str">
        <f ca="1">VLOOKUP($B210,OFFSET([2]quests!$A$1,0,0,COUNTA([2]quests!$A:$A),MATCH(E$1,[2]quests!$1:$1,0)-MATCH($B$1,[2]quests!$1:$1,0)+1),MATCH(E$1,[2]quests!$1:$1,0)-MATCH($B$1,[2]quests!$1:$1,0)+1,FALSE)</f>
        <v>【期間限定】 黄の素材</v>
      </c>
      <c r="F210" s="5" t="str">
        <f ca="1">VLOOKUP($D210,OFFSET([2]stages!$A$1,0,0,COUNTA([2]stages!$A:$A),MATCH(F$1,[2]stages!$2:$2,0)-MATCH($D$1,[2]stages!$2:$2,0)+1),MATCH(F$1,[2]stages!$2:$2,0)-MATCH($D$1,[2]stages!$2:$2,0)+1,FALSE)</f>
        <v>【上級】雷のイモムシ</v>
      </c>
      <c r="G210" s="25">
        <v>5</v>
      </c>
      <c r="H210" s="16" t="str">
        <f t="shared" si="48"/>
        <v>11101_4-5</v>
      </c>
      <c r="I210" s="5">
        <f ca="1">VLOOKUP($H210,OFFSET(floors!$A$1,0,0,COUNTA(floors!$A:$A),MATCH(I$1,floors!$1:$1,0)-MATCH($H$1,floors!$1:$1,0)+1),MATCH(I$1,floors!$1:$1,0)-MATCH($H$1,floors!$1:$1,0)+1,FALSE)</f>
        <v>60</v>
      </c>
      <c r="J210" s="5">
        <f ca="1">VLOOKUP($H210,OFFSET(floors!$A$1,0,0,COUNTA(floors!$A:$A),MATCH(J$1,floors!$1:$1,0)-MATCH($H$1,floors!$1:$1,0)+1),MATCH(J$1,floors!$1:$1,0)-MATCH($H$1,floors!$1:$1,0)+1,FALSE)</f>
        <v>60</v>
      </c>
      <c r="K210" s="24" t="s">
        <v>209</v>
      </c>
      <c r="L210" s="24">
        <v>115</v>
      </c>
      <c r="M210" s="20" t="str">
        <f ca="1">VLOOKUP($L210,OFFSET([3]enemies!$A$1,0,0,COUNTA([3]enemies!$A:$A),MATCH(M$1,[3]enemies!$1:$1,0)-MATCH($L$1,[3]enemies!$1:$1,0)+1),MATCH(M$1,[3]enemies!$1:$1,0)-MATCH($L$1,[3]enemies!$1:$1,0)+1,FALSE)</f>
        <v>イエローキャタップ</v>
      </c>
      <c r="N210" s="20" t="str">
        <f ca="1">VLOOKUP($L210,OFFSET([3]enemies!$A$1,0,0,COUNTA([3]enemies!$A:$A),MATCH(N$1,[3]enemies!$1:$1,0)-MATCH($L$1,[3]enemies!$1:$1,0)+1),MATCH(N$1,[3]enemies!$1:$1,0)-MATCH($L$1,[3]enemies!$1:$1,0)+1,FALSE)</f>
        <v>yellow</v>
      </c>
      <c r="O210" s="22" t="str">
        <f ca="1">VLOOKUP($L210,OFFSET([4]characters!$A$1,0,0,COUNTA([4]characters!$A:$A),MATCH(O$1,[4]characters!$1:$1,0)-MATCH($L$1,[4]characters!$1:$1,0)+1),MATCH(O$1,[4]characters!$1:$1,0)-MATCH($L$1,[4]characters!$1:$1,0)+1,FALSE)</f>
        <v>Material</v>
      </c>
      <c r="P210" s="20" t="str">
        <f ca="1">VLOOKUP($L210,OFFSET([3]enemies!$A$1,0,0,COUNTA([3]enemies!$A:$A),MATCH(P$1,[3]enemies!$1:$1,0)-MATCH($L$1,[3]enemies!$1:$1,0)+1),MATCH(P$1,[3]enemies!$1:$1,0)-MATCH($L$1,[3]enemies!$1:$1,0)+1,FALSE)</f>
        <v>unknown</v>
      </c>
      <c r="Q210" s="20">
        <f ca="1">VLOOKUP($L210,OFFSET([3]enemies!$A$1,0,0,COUNTA([3]enemies!$A:$A),MATCH(Q$1,[3]enemies!$1:$1,0)-MATCH($L$1,[3]enemies!$1:$1,0)+1),MATCH(Q$1,[3]enemies!$1:$1,0)-MATCH($L$1,[3]enemies!$1:$1,0)+1,FALSE)</f>
        <v>15</v>
      </c>
      <c r="R210" s="6">
        <v>30</v>
      </c>
      <c r="S210" s="30">
        <v>2</v>
      </c>
      <c r="T210" s="30">
        <v>1</v>
      </c>
      <c r="U210" s="6">
        <v>0</v>
      </c>
      <c r="V210" s="5" t="str">
        <f ca="1">VLOOKUP($W210,OFFSET([5]enemy_skill_sets!$B$1,0,0,COUNTA([5]enemy_skill_sets!$B:$B),MATCH(M$1,[5]enemy_skill_sets!$1:$1,0)-MATCH($W$1,[5]enemy_skill_sets!$1:$1,0)+2),MATCH(M$1,[5]enemy_skill_sets!$1:$1,0)-MATCH($W$1,[5]enemy_skill_sets!$1:$1,0)+2,FALSE)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0" s="5">
        <f ca="1">VLOOKUP($L210,OFFSET([3]enemies!$A$1,0,0,COUNTA([3]enemies!$A:$A),MATCH(W$1,[3]enemies!$1:$1,0)-MATCH($L$1,[3]enemies!$1:$1,0)+1),MATCH(W$1,[3]enemies!$1:$1,0)-MATCH($L$1,[3]enemies!$1:$1,0)+1,FALSE)</f>
        <v>0</v>
      </c>
      <c r="X210" s="7">
        <v>0</v>
      </c>
      <c r="Y210" s="7">
        <v>100</v>
      </c>
      <c r="Z210" s="7">
        <v>2</v>
      </c>
      <c r="AA210" s="20">
        <f ca="1">VLOOKUP($L210,OFFSET([3]enemies!$A$1,0,0,COUNTA([3]enemies!$A:$A),MATCH(AA$1,[3]enemies!$1:$1,0)-MATCH($L$1,[3]enemies!$1:$1,0)+1),MATCH(AA$1,[3]enemies!$1:$1,0)-MATCH($L$1,[3]enemies!$1:$1,0)+1,FALSE)</f>
        <v>2</v>
      </c>
      <c r="AB210" s="24">
        <v>115</v>
      </c>
      <c r="AC210" s="5" t="str">
        <f ca="1">IFERROR(VLOOKUP($AB210,OFFSET([4]characters!$A$1,0,0,COUNTA([4]characters!$A:$A),MATCH(AC$1,[4]characters!$1:$1,0)-MATCH("character_id",[4]characters!$1:$1,0)+1),MATCH(AC$1,[4]characters!$1:$1,0)-MATCH("character_id",[4]characters!$1:$1,0)+1,FALSE),"")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10" s="5">
        <f ca="1">IFERROR(VLOOKUP($AB210,OFFSET([4]characters!$A$1,0,0,COUNTA([4]characters!$A:$A),MATCH(AD$1,[4]characters!$1:$1,0)-MATCH("character_id",[4]characters!$1:$1,0)+1),MATCH(AD$1,[4]characters!$1:$1,0)-MATCH("character_id",[4]characters!$1:$1,0)+1,FALSE),"")</f>
        <v>4</v>
      </c>
      <c r="AE210" s="5" t="str">
        <f ca="1">IFERROR(VLOOKUP($AB210,OFFSET([4]characters!$A$1,0,0,COUNTA([4]characters!$A:$A),MATCH(AE$1,[4]characters!$1:$1,0)-MATCH("character_id",[4]characters!$1:$1,0)+1),MATCH(AE$1,[4]characters!$1:$1,0)-MATCH("character_id",[4]characters!$1:$1,0)+1,FALSE),"")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0" s="8">
        <v>1</v>
      </c>
      <c r="AG210" s="27">
        <f t="shared" ca="1" si="59"/>
        <v>4</v>
      </c>
      <c r="AH210" s="130">
        <v>50</v>
      </c>
      <c r="AI210" s="8">
        <v>0</v>
      </c>
      <c r="AJ210" s="8">
        <v>0</v>
      </c>
      <c r="AK210" s="8">
        <v>0</v>
      </c>
      <c r="AL210" s="8">
        <v>0</v>
      </c>
      <c r="AM210" s="8">
        <v>1</v>
      </c>
      <c r="AN210" s="8">
        <v>1</v>
      </c>
    </row>
    <row r="211" spans="1:40" ht="21" customHeight="1" x14ac:dyDescent="0.15">
      <c r="A211" s="17" t="str">
        <f t="shared" ca="1" si="57"/>
        <v>11101_4-5/132&lt;lv30&gt;s3</v>
      </c>
      <c r="B211" s="73">
        <v>11101</v>
      </c>
      <c r="C211" s="74">
        <v>4</v>
      </c>
      <c r="D211" s="2" t="str">
        <f t="shared" si="58"/>
        <v>11101_4</v>
      </c>
      <c r="E211" s="5" t="str">
        <f ca="1">VLOOKUP($B211,OFFSET([2]quests!$A$1,0,0,COUNTA([2]quests!$A:$A),MATCH(E$1,[2]quests!$1:$1,0)-MATCH($B$1,[2]quests!$1:$1,0)+1),MATCH(E$1,[2]quests!$1:$1,0)-MATCH($B$1,[2]quests!$1:$1,0)+1,FALSE)</f>
        <v>【期間限定】 黄の素材</v>
      </c>
      <c r="F211" s="5" t="str">
        <f ca="1">VLOOKUP($D211,OFFSET([2]stages!$A$1,0,0,COUNTA([2]stages!$A:$A),MATCH(F$1,[2]stages!$2:$2,0)-MATCH($D$1,[2]stages!$2:$2,0)+1),MATCH(F$1,[2]stages!$2:$2,0)-MATCH($D$1,[2]stages!$2:$2,0)+1,FALSE)</f>
        <v>【上級】雷のイモムシ</v>
      </c>
      <c r="G211" s="25">
        <v>5</v>
      </c>
      <c r="H211" s="16" t="str">
        <f t="shared" si="48"/>
        <v>11101_4-5</v>
      </c>
      <c r="I211" s="5">
        <f ca="1">VLOOKUP($H211,OFFSET(floors!$A$1,0,0,COUNTA(floors!$A:$A),MATCH(I$1,floors!$1:$1,0)-MATCH($H$1,floors!$1:$1,0)+1),MATCH(I$1,floors!$1:$1,0)-MATCH($H$1,floors!$1:$1,0)+1,FALSE)</f>
        <v>60</v>
      </c>
      <c r="J211" s="5">
        <f ca="1">VLOOKUP($H211,OFFSET(floors!$A$1,0,0,COUNTA(floors!$A:$A),MATCH(J$1,floors!$1:$1,0)-MATCH($H$1,floors!$1:$1,0)+1),MATCH(J$1,floors!$1:$1,0)-MATCH($H$1,floors!$1:$1,0)+1,FALSE)</f>
        <v>60</v>
      </c>
      <c r="K211" s="24" t="s">
        <v>209</v>
      </c>
      <c r="L211" s="24">
        <v>132</v>
      </c>
      <c r="M211" s="20" t="str">
        <f ca="1">VLOOKUP($L211,OFFSET([3]enemies!$A$1,0,0,COUNTA([3]enemies!$A:$A),MATCH(M$1,[3]enemies!$1:$1,0)-MATCH($L$1,[3]enemies!$1:$1,0)+1),MATCH(M$1,[3]enemies!$1:$1,0)-MATCH($L$1,[3]enemies!$1:$1,0)+1,FALSE)</f>
        <v>鳥人ハヤト</v>
      </c>
      <c r="N211" s="20" t="str">
        <f ca="1">VLOOKUP($L211,OFFSET([3]enemies!$A$1,0,0,COUNTA([3]enemies!$A:$A),MATCH(N$1,[3]enemies!$1:$1,0)-MATCH($L$1,[3]enemies!$1:$1,0)+1),MATCH(N$1,[3]enemies!$1:$1,0)-MATCH($L$1,[3]enemies!$1:$1,0)+1,FALSE)</f>
        <v>yellow</v>
      </c>
      <c r="O211" s="22" t="str">
        <f ca="1">VLOOKUP($L211,OFFSET([4]characters!$A$1,0,0,COUNTA([4]characters!$A:$A),MATCH(O$1,[4]characters!$1:$1,0)-MATCH($L$1,[4]characters!$1:$1,0)+1),MATCH(O$1,[4]characters!$1:$1,0)-MATCH($L$1,[4]characters!$1:$1,0)+1,FALSE)</f>
        <v>PremiumW</v>
      </c>
      <c r="P211" s="20" t="str">
        <f ca="1">VLOOKUP($L211,OFFSET([3]enemies!$A$1,0,0,COUNTA([3]enemies!$A:$A),MATCH(P$1,[3]enemies!$1:$1,0)-MATCH($L$1,[3]enemies!$1:$1,0)+1),MATCH(P$1,[3]enemies!$1:$1,0)-MATCH($L$1,[3]enemies!$1:$1,0)+1,FALSE)</f>
        <v>human</v>
      </c>
      <c r="Q211" s="20">
        <f ca="1">VLOOKUP($L211,OFFSET([3]enemies!$A$1,0,0,COUNTA([3]enemies!$A:$A),MATCH(Q$1,[3]enemies!$1:$1,0)-MATCH($L$1,[3]enemies!$1:$1,0)+1),MATCH(Q$1,[3]enemies!$1:$1,0)-MATCH($L$1,[3]enemies!$1:$1,0)+1,FALSE)</f>
        <v>20</v>
      </c>
      <c r="R211" s="6">
        <v>30</v>
      </c>
      <c r="S211" s="30">
        <v>1</v>
      </c>
      <c r="T211" s="30">
        <v>1</v>
      </c>
      <c r="U211" s="6">
        <v>0</v>
      </c>
      <c r="V211" s="5" t="str">
        <f ca="1">VLOOKUP($W211,OFFSET([5]enemy_skill_sets!$B$1,0,0,COUNTA([5]enemy_skill_sets!$B:$B),MATCH(M$1,[5]enemy_skill_sets!$1:$1,0)-MATCH($W$1,[5]enemy_skill_sets!$1:$1,0)+2),MATCH(M$1,[5]enemy_skill_sets!$1:$1,0)-MATCH($W$1,[5]enemy_skill_sets!$1:$1,0)+2,FALSE)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1" s="5">
        <f ca="1">VLOOKUP($L211,OFFSET([3]enemies!$A$1,0,0,COUNTA([3]enemies!$A:$A),MATCH(W$1,[3]enemies!$1:$1,0)-MATCH($L$1,[3]enemies!$1:$1,0)+1),MATCH(W$1,[3]enemies!$1:$1,0)-MATCH($L$1,[3]enemies!$1:$1,0)+1,FALSE)</f>
        <v>0</v>
      </c>
      <c r="X211" s="7">
        <v>0</v>
      </c>
      <c r="Y211" s="7">
        <v>100</v>
      </c>
      <c r="Z211" s="7">
        <v>0</v>
      </c>
      <c r="AA211" s="20">
        <f ca="1">VLOOKUP($L211,OFFSET([3]enemies!$A$1,0,0,COUNTA([3]enemies!$A:$A),MATCH(AA$1,[3]enemies!$1:$1,0)-MATCH($L$1,[3]enemies!$1:$1,0)+1),MATCH(AA$1,[3]enemies!$1:$1,0)-MATCH($L$1,[3]enemies!$1:$1,0)+1,FALSE)</f>
        <v>3</v>
      </c>
      <c r="AB211" s="24">
        <v>132</v>
      </c>
      <c r="AC211" s="5" t="str">
        <f ca="1">IFERROR(VLOOKUP($AB211,OFFSET([4]characters!$A$1,0,0,COUNTA([4]characters!$A:$A),MATCH(AC$1,[4]characters!$1:$1,0)-MATCH("character_id",[4]characters!$1:$1,0)+1),MATCH(AC$1,[4]characters!$1:$1,0)-MATCH("character_id",[4]characters!$1:$1,0)+1,FALSE),"")</f>
        <v>鳥人ハヤト</v>
      </c>
      <c r="AD211" s="5">
        <f ca="1">IFERROR(VLOOKUP($AB211,OFFSET([4]characters!$A$1,0,0,COUNTA([4]characters!$A:$A),MATCH(AD$1,[4]characters!$1:$1,0)-MATCH("character_id",[4]characters!$1:$1,0)+1),MATCH(AD$1,[4]characters!$1:$1,0)-MATCH("character_id",[4]characters!$1:$1,0)+1,FALSE),"")</f>
        <v>3</v>
      </c>
      <c r="AE211" s="5" t="str">
        <f ca="1">IFERROR(VLOOKUP($AB211,OFFSET([4]characters!$A$1,0,0,COUNTA([4]characters!$A:$A),MATCH(AE$1,[4]characters!$1:$1,0)-MATCH("character_id",[4]characters!$1:$1,0)+1),MATCH(AE$1,[4]characters!$1:$1,0)-MATCH("character_id",[4]characters!$1:$1,0)+1,FALSE),"")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11" s="8">
        <v>1</v>
      </c>
      <c r="AG211" s="27">
        <f t="shared" ca="1" si="59"/>
        <v>3</v>
      </c>
      <c r="AH211" s="9">
        <v>0</v>
      </c>
      <c r="AI211" s="8">
        <v>0</v>
      </c>
      <c r="AJ211" s="8">
        <v>0</v>
      </c>
      <c r="AK211" s="8">
        <v>0</v>
      </c>
      <c r="AL211" s="8">
        <v>0</v>
      </c>
      <c r="AM211" s="8">
        <v>1</v>
      </c>
      <c r="AN211" s="8">
        <v>1</v>
      </c>
    </row>
    <row r="212" spans="1:40" ht="21" customHeight="1" x14ac:dyDescent="0.15">
      <c r="A212" s="17" t="str">
        <f t="shared" ca="1" si="57"/>
        <v>11101_4-5/140&lt;lv30&gt;s2</v>
      </c>
      <c r="B212" s="73">
        <v>11101</v>
      </c>
      <c r="C212" s="74">
        <v>4</v>
      </c>
      <c r="D212" s="2" t="str">
        <f t="shared" si="58"/>
        <v>11101_4</v>
      </c>
      <c r="E212" s="5" t="str">
        <f ca="1">VLOOKUP($B212,OFFSET([2]quests!$A$1,0,0,COUNTA([2]quests!$A:$A),MATCH(E$1,[2]quests!$1:$1,0)-MATCH($B$1,[2]quests!$1:$1,0)+1),MATCH(E$1,[2]quests!$1:$1,0)-MATCH($B$1,[2]quests!$1:$1,0)+1,FALSE)</f>
        <v>【期間限定】 黄の素材</v>
      </c>
      <c r="F212" s="5" t="str">
        <f ca="1">VLOOKUP($D212,OFFSET([2]stages!$A$1,0,0,COUNTA([2]stages!$A:$A),MATCH(F$1,[2]stages!$2:$2,0)-MATCH($D$1,[2]stages!$2:$2,0)+1),MATCH(F$1,[2]stages!$2:$2,0)-MATCH($D$1,[2]stages!$2:$2,0)+1,FALSE)</f>
        <v>【上級】雷のイモムシ</v>
      </c>
      <c r="G212" s="25">
        <v>5</v>
      </c>
      <c r="H212" s="16" t="str">
        <f t="shared" si="48"/>
        <v>11101_4-5</v>
      </c>
      <c r="I212" s="5">
        <f ca="1">VLOOKUP($H212,OFFSET(floors!$A$1,0,0,COUNTA(floors!$A:$A),MATCH(I$1,floors!$1:$1,0)-MATCH($H$1,floors!$1:$1,0)+1),MATCH(I$1,floors!$1:$1,0)-MATCH($H$1,floors!$1:$1,0)+1,FALSE)</f>
        <v>60</v>
      </c>
      <c r="J212" s="5">
        <f ca="1">VLOOKUP($H212,OFFSET(floors!$A$1,0,0,COUNTA(floors!$A:$A),MATCH(J$1,floors!$1:$1,0)-MATCH($H$1,floors!$1:$1,0)+1),MATCH(J$1,floors!$1:$1,0)-MATCH($H$1,floors!$1:$1,0)+1,FALSE)</f>
        <v>60</v>
      </c>
      <c r="K212" s="24" t="s">
        <v>209</v>
      </c>
      <c r="L212" s="24">
        <v>140</v>
      </c>
      <c r="M212" s="20" t="str">
        <f ca="1">VLOOKUP($L212,OFFSET([3]enemies!$A$1,0,0,COUNTA([3]enemies!$A:$A),MATCH(M$1,[3]enemies!$1:$1,0)-MATCH($L$1,[3]enemies!$1:$1,0)+1),MATCH(M$1,[3]enemies!$1:$1,0)-MATCH($L$1,[3]enemies!$1:$1,0)+1,FALSE)</f>
        <v>秋祭のタマモ</v>
      </c>
      <c r="N212" s="20" t="str">
        <f ca="1">VLOOKUP($L212,OFFSET([3]enemies!$A$1,0,0,COUNTA([3]enemies!$A:$A),MATCH(N$1,[3]enemies!$1:$1,0)-MATCH($L$1,[3]enemies!$1:$1,0)+1),MATCH(N$1,[3]enemies!$1:$1,0)-MATCH($L$1,[3]enemies!$1:$1,0)+1,FALSE)</f>
        <v>yellow</v>
      </c>
      <c r="O212" s="22" t="str">
        <f ca="1">VLOOKUP($L212,OFFSET([4]characters!$A$1,0,0,COUNTA([4]characters!$A:$A),MATCH(O$1,[4]characters!$1:$1,0)-MATCH($L$1,[4]characters!$1:$1,0)+1),MATCH(O$1,[4]characters!$1:$1,0)-MATCH($L$1,[4]characters!$1:$1,0)+1,FALSE)</f>
        <v>PremiumW</v>
      </c>
      <c r="P212" s="20" t="str">
        <f ca="1">VLOOKUP($L212,OFFSET([3]enemies!$A$1,0,0,COUNTA([3]enemies!$A:$A),MATCH(P$1,[3]enemies!$1:$1,0)-MATCH($L$1,[3]enemies!$1:$1,0)+1),MATCH(P$1,[3]enemies!$1:$1,0)-MATCH($L$1,[3]enemies!$1:$1,0)+1,FALSE)</f>
        <v>animal</v>
      </c>
      <c r="Q212" s="20">
        <f ca="1">VLOOKUP($L212,OFFSET([3]enemies!$A$1,0,0,COUNTA([3]enemies!$A:$A),MATCH(Q$1,[3]enemies!$1:$1,0)-MATCH($L$1,[3]enemies!$1:$1,0)+1),MATCH(Q$1,[3]enemies!$1:$1,0)-MATCH($L$1,[3]enemies!$1:$1,0)+1,FALSE)</f>
        <v>20</v>
      </c>
      <c r="R212" s="6">
        <v>30</v>
      </c>
      <c r="S212" s="30">
        <v>1</v>
      </c>
      <c r="T212" s="30">
        <v>1</v>
      </c>
      <c r="U212" s="6">
        <v>0</v>
      </c>
      <c r="V212" s="5" t="str">
        <f ca="1">VLOOKUP($W212,OFFSET([5]enemy_skill_sets!$B$1,0,0,COUNTA([5]enemy_skill_sets!$B:$B),MATCH(M$1,[5]enemy_skill_sets!$1:$1,0)-MATCH($W$1,[5]enemy_skill_sets!$1:$1,0)+2),MATCH(M$1,[5]enemy_skill_sets!$1:$1,0)-MATCH($W$1,[5]enemy_skill_sets!$1:$1,0)+2,FALSE)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2" s="5">
        <f ca="1">VLOOKUP($L212,OFFSET([3]enemies!$A$1,0,0,COUNTA([3]enemies!$A:$A),MATCH(W$1,[3]enemies!$1:$1,0)-MATCH($L$1,[3]enemies!$1:$1,0)+1),MATCH(W$1,[3]enemies!$1:$1,0)-MATCH($L$1,[3]enemies!$1:$1,0)+1,FALSE)</f>
        <v>0</v>
      </c>
      <c r="X212" s="7">
        <v>0</v>
      </c>
      <c r="Y212" s="7">
        <v>100</v>
      </c>
      <c r="Z212" s="7">
        <v>0</v>
      </c>
      <c r="AA212" s="20">
        <f ca="1">VLOOKUP($L212,OFFSET([3]enemies!$A$1,0,0,COUNTA([3]enemies!$A:$A),MATCH(AA$1,[3]enemies!$1:$1,0)-MATCH($L$1,[3]enemies!$1:$1,0)+1),MATCH(AA$1,[3]enemies!$1:$1,0)-MATCH($L$1,[3]enemies!$1:$1,0)+1,FALSE)</f>
        <v>2</v>
      </c>
      <c r="AB212" s="24">
        <v>140</v>
      </c>
      <c r="AC212" s="5" t="str">
        <f ca="1">IFERROR(VLOOKUP($AB212,OFFSET([4]characters!$A$1,0,0,COUNTA([4]characters!$A:$A),MATCH(AC$1,[4]characters!$1:$1,0)-MATCH("character_id",[4]characters!$1:$1,0)+1),MATCH(AC$1,[4]characters!$1:$1,0)-MATCH("character_id",[4]characters!$1:$1,0)+1,FALSE),"")</f>
        <v>秋祭のタマモ</v>
      </c>
      <c r="AD212" s="5">
        <f ca="1">IFERROR(VLOOKUP($AB212,OFFSET([4]characters!$A$1,0,0,COUNTA([4]characters!$A:$A),MATCH(AD$1,[4]characters!$1:$1,0)-MATCH("character_id",[4]characters!$1:$1,0)+1),MATCH(AD$1,[4]characters!$1:$1,0)-MATCH("character_id",[4]characters!$1:$1,0)+1,FALSE),"")</f>
        <v>3</v>
      </c>
      <c r="AE212" s="5" t="str">
        <f ca="1">IFERROR(VLOOKUP($AB212,OFFSET([4]characters!$A$1,0,0,COUNTA([4]characters!$A:$A),MATCH(AE$1,[4]characters!$1:$1,0)-MATCH("character_id",[4]characters!$1:$1,0)+1),MATCH(AE$1,[4]characters!$1:$1,0)-MATCH("character_id",[4]characters!$1:$1,0)+1,FALSE),"")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12" s="8">
        <v>1</v>
      </c>
      <c r="AG212" s="27">
        <f t="shared" ca="1" si="59"/>
        <v>3</v>
      </c>
      <c r="AH212" s="9">
        <v>0</v>
      </c>
      <c r="AI212" s="8">
        <v>0</v>
      </c>
      <c r="AJ212" s="8">
        <v>0</v>
      </c>
      <c r="AK212" s="8">
        <v>0</v>
      </c>
      <c r="AL212" s="8">
        <v>0</v>
      </c>
      <c r="AM212" s="8">
        <v>1</v>
      </c>
      <c r="AN212" s="8">
        <v>1</v>
      </c>
    </row>
    <row r="213" spans="1:40" ht="21" customHeight="1" x14ac:dyDescent="0.15">
      <c r="A213" s="17" t="str">
        <f t="shared" ca="1" si="57"/>
        <v>11101_4-5/148&lt;lv30&gt;s2</v>
      </c>
      <c r="B213" s="73">
        <v>11101</v>
      </c>
      <c r="C213" s="74">
        <v>4</v>
      </c>
      <c r="D213" s="2" t="str">
        <f t="shared" si="58"/>
        <v>11101_4</v>
      </c>
      <c r="E213" s="5" t="str">
        <f ca="1">VLOOKUP($B213,OFFSET([2]quests!$A$1,0,0,COUNTA([2]quests!$A:$A),MATCH(E$1,[2]quests!$1:$1,0)-MATCH($B$1,[2]quests!$1:$1,0)+1),MATCH(E$1,[2]quests!$1:$1,0)-MATCH($B$1,[2]quests!$1:$1,0)+1,FALSE)</f>
        <v>【期間限定】 黄の素材</v>
      </c>
      <c r="F213" s="5" t="str">
        <f ca="1">VLOOKUP($D213,OFFSET([2]stages!$A$1,0,0,COUNTA([2]stages!$A:$A),MATCH(F$1,[2]stages!$2:$2,0)-MATCH($D$1,[2]stages!$2:$2,0)+1),MATCH(F$1,[2]stages!$2:$2,0)-MATCH($D$1,[2]stages!$2:$2,0)+1,FALSE)</f>
        <v>【上級】雷のイモムシ</v>
      </c>
      <c r="G213" s="25">
        <v>5</v>
      </c>
      <c r="H213" s="16" t="str">
        <f t="shared" si="48"/>
        <v>11101_4-5</v>
      </c>
      <c r="I213" s="5">
        <f ca="1">VLOOKUP($H213,OFFSET(floors!$A$1,0,0,COUNTA(floors!$A:$A),MATCH(I$1,floors!$1:$1,0)-MATCH($H$1,floors!$1:$1,0)+1),MATCH(I$1,floors!$1:$1,0)-MATCH($H$1,floors!$1:$1,0)+1,FALSE)</f>
        <v>60</v>
      </c>
      <c r="J213" s="5">
        <f ca="1">VLOOKUP($H213,OFFSET(floors!$A$1,0,0,COUNTA(floors!$A:$A),MATCH(J$1,floors!$1:$1,0)-MATCH($H$1,floors!$1:$1,0)+1),MATCH(J$1,floors!$1:$1,0)-MATCH($H$1,floors!$1:$1,0)+1,FALSE)</f>
        <v>60</v>
      </c>
      <c r="K213" s="24" t="s">
        <v>209</v>
      </c>
      <c r="L213" s="24">
        <v>148</v>
      </c>
      <c r="M213" s="20" t="str">
        <f ca="1">VLOOKUP($L213,OFFSET([3]enemies!$A$1,0,0,COUNTA([3]enemies!$A:$A),MATCH(M$1,[3]enemies!$1:$1,0)-MATCH($L$1,[3]enemies!$1:$1,0)+1),MATCH(M$1,[3]enemies!$1:$1,0)-MATCH($L$1,[3]enemies!$1:$1,0)+1,FALSE)</f>
        <v>シンデレラ</v>
      </c>
      <c r="N213" s="20" t="str">
        <f ca="1">VLOOKUP($L213,OFFSET([3]enemies!$A$1,0,0,COUNTA([3]enemies!$A:$A),MATCH(N$1,[3]enemies!$1:$1,0)-MATCH($L$1,[3]enemies!$1:$1,0)+1),MATCH(N$1,[3]enemies!$1:$1,0)-MATCH($L$1,[3]enemies!$1:$1,0)+1,FALSE)</f>
        <v>yellow</v>
      </c>
      <c r="O213" s="22" t="str">
        <f ca="1">VLOOKUP($L213,OFFSET([4]characters!$A$1,0,0,COUNTA([4]characters!$A:$A),MATCH(O$1,[4]characters!$1:$1,0)-MATCH($L$1,[4]characters!$1:$1,0)+1),MATCH(O$1,[4]characters!$1:$1,0)-MATCH($L$1,[4]characters!$1:$1,0)+1,FALSE)</f>
        <v>PremiumW</v>
      </c>
      <c r="P213" s="20" t="str">
        <f ca="1">VLOOKUP($L213,OFFSET([3]enemies!$A$1,0,0,COUNTA([3]enemies!$A:$A),MATCH(P$1,[3]enemies!$1:$1,0)-MATCH($L$1,[3]enemies!$1:$1,0)+1),MATCH(P$1,[3]enemies!$1:$1,0)-MATCH($L$1,[3]enemies!$1:$1,0)+1,FALSE)</f>
        <v>human</v>
      </c>
      <c r="Q213" s="20">
        <f ca="1">VLOOKUP($L213,OFFSET([3]enemies!$A$1,0,0,COUNTA([3]enemies!$A:$A),MATCH(Q$1,[3]enemies!$1:$1,0)-MATCH($L$1,[3]enemies!$1:$1,0)+1),MATCH(Q$1,[3]enemies!$1:$1,0)-MATCH($L$1,[3]enemies!$1:$1,0)+1,FALSE)</f>
        <v>20</v>
      </c>
      <c r="R213" s="6">
        <v>30</v>
      </c>
      <c r="S213" s="30">
        <v>1</v>
      </c>
      <c r="T213" s="30">
        <v>1</v>
      </c>
      <c r="U213" s="6">
        <v>0</v>
      </c>
      <c r="V213" s="5" t="str">
        <f ca="1">VLOOKUP($W213,OFFSET([5]enemy_skill_sets!$B$1,0,0,COUNTA([5]enemy_skill_sets!$B:$B),MATCH(M$1,[5]enemy_skill_sets!$1:$1,0)-MATCH($W$1,[5]enemy_skill_sets!$1:$1,0)+2),MATCH(M$1,[5]enemy_skill_sets!$1:$1,0)-MATCH($W$1,[5]enemy_skill_sets!$1:$1,0)+2,FALSE)</f>
        <v>舞踏会に想いを馳せている</v>
      </c>
      <c r="W213" s="5">
        <f ca="1">VLOOKUP($L213,OFFSET([3]enemies!$A$1,0,0,COUNTA([3]enemies!$A:$A),MATCH(W$1,[3]enemies!$1:$1,0)-MATCH($L$1,[3]enemies!$1:$1,0)+1),MATCH(W$1,[3]enemies!$1:$1,0)-MATCH($L$1,[3]enemies!$1:$1,0)+1,FALSE)</f>
        <v>148</v>
      </c>
      <c r="X213" s="7">
        <v>0</v>
      </c>
      <c r="Y213" s="7">
        <v>100</v>
      </c>
      <c r="Z213" s="7">
        <v>0</v>
      </c>
      <c r="AA213" s="20">
        <f ca="1">VLOOKUP($L213,OFFSET([3]enemies!$A$1,0,0,COUNTA([3]enemies!$A:$A),MATCH(AA$1,[3]enemies!$1:$1,0)-MATCH($L$1,[3]enemies!$1:$1,0)+1),MATCH(AA$1,[3]enemies!$1:$1,0)-MATCH($L$1,[3]enemies!$1:$1,0)+1,FALSE)</f>
        <v>2</v>
      </c>
      <c r="AB213" s="24">
        <v>148</v>
      </c>
      <c r="AC213" s="5" t="str">
        <f ca="1">IFERROR(VLOOKUP($AB213,OFFSET([4]characters!$A$1,0,0,COUNTA([4]characters!$A:$A),MATCH(AC$1,[4]characters!$1:$1,0)-MATCH("character_id",[4]characters!$1:$1,0)+1),MATCH(AC$1,[4]characters!$1:$1,0)-MATCH("character_id",[4]characters!$1:$1,0)+1,FALSE),"")</f>
        <v>シンデレラ</v>
      </c>
      <c r="AD213" s="5">
        <f ca="1">IFERROR(VLOOKUP($AB213,OFFSET([4]characters!$A$1,0,0,COUNTA([4]characters!$A:$A),MATCH(AD$1,[4]characters!$1:$1,0)-MATCH("character_id",[4]characters!$1:$1,0)+1),MATCH(AD$1,[4]characters!$1:$1,0)-MATCH("character_id",[4]characters!$1:$1,0)+1,FALSE),"")</f>
        <v>3</v>
      </c>
      <c r="AE213" s="5" t="str">
        <f ca="1">IFERROR(VLOOKUP($AB213,OFFSET([4]characters!$A$1,0,0,COUNTA([4]characters!$A:$A),MATCH(AE$1,[4]characters!$1:$1,0)-MATCH("character_id",[4]characters!$1:$1,0)+1),MATCH(AE$1,[4]characters!$1:$1,0)-MATCH("character_id",[4]characters!$1:$1,0)+1,FALSE),"")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13" s="8">
        <v>1</v>
      </c>
      <c r="AG213" s="27">
        <f t="shared" ca="1" si="59"/>
        <v>3</v>
      </c>
      <c r="AH213" s="9">
        <v>0</v>
      </c>
      <c r="AI213" s="8">
        <v>0</v>
      </c>
      <c r="AJ213" s="8">
        <v>0</v>
      </c>
      <c r="AK213" s="8">
        <v>0</v>
      </c>
      <c r="AL213" s="8">
        <v>0</v>
      </c>
      <c r="AM213" s="8">
        <v>1</v>
      </c>
      <c r="AN213" s="8">
        <v>1</v>
      </c>
    </row>
    <row r="214" spans="1:40" ht="21" customHeight="1" x14ac:dyDescent="0.15">
      <c r="A214" s="17" t="str">
        <f t="shared" ca="1" si="57"/>
        <v>11101_4-5/156&lt;lv30&gt;s2</v>
      </c>
      <c r="B214" s="73">
        <v>11101</v>
      </c>
      <c r="C214" s="74">
        <v>4</v>
      </c>
      <c r="D214" s="2" t="str">
        <f t="shared" si="58"/>
        <v>11101_4</v>
      </c>
      <c r="E214" s="5" t="str">
        <f ca="1">VLOOKUP($B214,OFFSET([2]quests!$A$1,0,0,COUNTA([2]quests!$A:$A),MATCH(E$1,[2]quests!$1:$1,0)-MATCH($B$1,[2]quests!$1:$1,0)+1),MATCH(E$1,[2]quests!$1:$1,0)-MATCH($B$1,[2]quests!$1:$1,0)+1,FALSE)</f>
        <v>【期間限定】 黄の素材</v>
      </c>
      <c r="F214" s="5" t="str">
        <f ca="1">VLOOKUP($D214,OFFSET([2]stages!$A$1,0,0,COUNTA([2]stages!$A:$A),MATCH(F$1,[2]stages!$2:$2,0)-MATCH($D$1,[2]stages!$2:$2,0)+1),MATCH(F$1,[2]stages!$2:$2,0)-MATCH($D$1,[2]stages!$2:$2,0)+1,FALSE)</f>
        <v>【上級】雷のイモムシ</v>
      </c>
      <c r="G214" s="25">
        <v>5</v>
      </c>
      <c r="H214" s="16" t="str">
        <f t="shared" si="48"/>
        <v>11101_4-5</v>
      </c>
      <c r="I214" s="5">
        <f ca="1">VLOOKUP($H214,OFFSET(floors!$A$1,0,0,COUNTA(floors!$A:$A),MATCH(I$1,floors!$1:$1,0)-MATCH($H$1,floors!$1:$1,0)+1),MATCH(I$1,floors!$1:$1,0)-MATCH($H$1,floors!$1:$1,0)+1,FALSE)</f>
        <v>60</v>
      </c>
      <c r="J214" s="5">
        <f ca="1">VLOOKUP($H214,OFFSET(floors!$A$1,0,0,COUNTA(floors!$A:$A),MATCH(J$1,floors!$1:$1,0)-MATCH($H$1,floors!$1:$1,0)+1),MATCH(J$1,floors!$1:$1,0)-MATCH($H$1,floors!$1:$1,0)+1,FALSE)</f>
        <v>60</v>
      </c>
      <c r="K214" s="24" t="s">
        <v>172</v>
      </c>
      <c r="L214" s="24">
        <v>156</v>
      </c>
      <c r="M214" s="20" t="str">
        <f ca="1">VLOOKUP($L214,OFFSET([3]enemies!$A$1,0,0,COUNTA([3]enemies!$A:$A),MATCH(M$1,[3]enemies!$1:$1,0)-MATCH($L$1,[3]enemies!$1:$1,0)+1),MATCH(M$1,[3]enemies!$1:$1,0)-MATCH($L$1,[3]enemies!$1:$1,0)+1,FALSE)</f>
        <v>踊り子 エレナ</v>
      </c>
      <c r="N214" s="20" t="str">
        <f ca="1">VLOOKUP($L214,OFFSET([3]enemies!$A$1,0,0,COUNTA([3]enemies!$A:$A),MATCH(N$1,[3]enemies!$1:$1,0)-MATCH($L$1,[3]enemies!$1:$1,0)+1),MATCH(N$1,[3]enemies!$1:$1,0)-MATCH($L$1,[3]enemies!$1:$1,0)+1,FALSE)</f>
        <v>yellow</v>
      </c>
      <c r="O214" s="22" t="str">
        <f ca="1">VLOOKUP($L214,OFFSET([4]characters!$A$1,0,0,COUNTA([4]characters!$A:$A),MATCH(O$1,[4]characters!$1:$1,0)-MATCH($L$1,[4]characters!$1:$1,0)+1),MATCH(O$1,[4]characters!$1:$1,0)-MATCH($L$1,[4]characters!$1:$1,0)+1,FALSE)</f>
        <v>PremiumW</v>
      </c>
      <c r="P214" s="20" t="str">
        <f ca="1">VLOOKUP($L214,OFFSET([3]enemies!$A$1,0,0,COUNTA([3]enemies!$A:$A),MATCH(P$1,[3]enemies!$1:$1,0)-MATCH($L$1,[3]enemies!$1:$1,0)+1),MATCH(P$1,[3]enemies!$1:$1,0)-MATCH($L$1,[3]enemies!$1:$1,0)+1,FALSE)</f>
        <v>human</v>
      </c>
      <c r="Q214" s="20">
        <f ca="1">VLOOKUP($L214,OFFSET([3]enemies!$A$1,0,0,COUNTA([3]enemies!$A:$A),MATCH(Q$1,[3]enemies!$1:$1,0)-MATCH($L$1,[3]enemies!$1:$1,0)+1),MATCH(Q$1,[3]enemies!$1:$1,0)-MATCH($L$1,[3]enemies!$1:$1,0)+1,FALSE)</f>
        <v>20</v>
      </c>
      <c r="R214" s="6">
        <v>30</v>
      </c>
      <c r="S214" s="30">
        <v>1</v>
      </c>
      <c r="T214" s="30">
        <v>1</v>
      </c>
      <c r="U214" s="6">
        <v>0</v>
      </c>
      <c r="V214" s="5" t="str">
        <f ca="1">VLOOKUP($W214,OFFSET([5]enemy_skill_sets!$B$1,0,0,COUNTA([5]enemy_skill_sets!$B:$B),MATCH(M$1,[5]enemy_skill_sets!$1:$1,0)-MATCH($W$1,[5]enemy_skill_sets!$1:$1,0)+2),MATCH(M$1,[5]enemy_skill_sets!$1:$1,0)-MATCH($W$1,[5]enemy_skill_sets!$1:$1,0)+2,FALSE)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14" s="5">
        <f ca="1">VLOOKUP($L214,OFFSET([3]enemies!$A$1,0,0,COUNTA([3]enemies!$A:$A),MATCH(W$1,[3]enemies!$1:$1,0)-MATCH($L$1,[3]enemies!$1:$1,0)+1),MATCH(W$1,[3]enemies!$1:$1,0)-MATCH($L$1,[3]enemies!$1:$1,0)+1,FALSE)</f>
        <v>156</v>
      </c>
      <c r="X214" s="7">
        <v>0</v>
      </c>
      <c r="Y214" s="7">
        <v>100</v>
      </c>
      <c r="Z214" s="7">
        <v>0</v>
      </c>
      <c r="AA214" s="20">
        <f ca="1">VLOOKUP($L214,OFFSET([3]enemies!$A$1,0,0,COUNTA([3]enemies!$A:$A),MATCH(AA$1,[3]enemies!$1:$1,0)-MATCH($L$1,[3]enemies!$1:$1,0)+1),MATCH(AA$1,[3]enemies!$1:$1,0)-MATCH($L$1,[3]enemies!$1:$1,0)+1,FALSE)</f>
        <v>2</v>
      </c>
      <c r="AB214" s="24">
        <v>156</v>
      </c>
      <c r="AC214" s="5" t="str">
        <f ca="1">IFERROR(VLOOKUP($AB214,OFFSET([4]characters!$A$1,0,0,COUNTA([4]characters!$A:$A),MATCH(AC$1,[4]characters!$1:$1,0)-MATCH("character_id",[4]characters!$1:$1,0)+1),MATCH(AC$1,[4]characters!$1:$1,0)-MATCH("character_id",[4]characters!$1:$1,0)+1,FALSE),"")</f>
        <v>踊り子 エレナ</v>
      </c>
      <c r="AD214" s="5">
        <f ca="1">IFERROR(VLOOKUP($AB214,OFFSET([4]characters!$A$1,0,0,COUNTA([4]characters!$A:$A),MATCH(AD$1,[4]characters!$1:$1,0)-MATCH("character_id",[4]characters!$1:$1,0)+1),MATCH(AD$1,[4]characters!$1:$1,0)-MATCH("character_id",[4]characters!$1:$1,0)+1,FALSE),"")</f>
        <v>3</v>
      </c>
      <c r="AE214" s="5" t="str">
        <f ca="1">IFERROR(VLOOKUP($AB214,OFFSET([4]characters!$A$1,0,0,COUNTA([4]characters!$A:$A),MATCH(AE$1,[4]characters!$1:$1,0)-MATCH("character_id",[4]characters!$1:$1,0)+1),MATCH(AE$1,[4]characters!$1:$1,0)-MATCH("character_id",[4]characters!$1:$1,0)+1,FALSE),"")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14" s="8">
        <v>1</v>
      </c>
      <c r="AG214" s="27">
        <f t="shared" ca="1" si="59"/>
        <v>3</v>
      </c>
      <c r="AH214" s="9">
        <v>0</v>
      </c>
      <c r="AI214" s="8">
        <v>0</v>
      </c>
      <c r="AJ214" s="8">
        <v>0</v>
      </c>
      <c r="AK214" s="8">
        <v>0</v>
      </c>
      <c r="AL214" s="8">
        <v>0</v>
      </c>
      <c r="AM214" s="8">
        <v>1</v>
      </c>
      <c r="AN214" s="8">
        <v>1</v>
      </c>
    </row>
    <row r="215" spans="1:40" ht="21" customHeight="1" x14ac:dyDescent="0.15">
      <c r="A215" s="17" t="str">
        <f t="shared" ca="1" si="57"/>
        <v>11101_4-5/837&lt;lv30&gt;s3</v>
      </c>
      <c r="B215" s="73">
        <v>11101</v>
      </c>
      <c r="C215" s="74">
        <v>4</v>
      </c>
      <c r="D215" s="2" t="str">
        <f>B215&amp;"_"&amp;C215</f>
        <v>11101_4</v>
      </c>
      <c r="E215" s="5" t="str">
        <f ca="1">VLOOKUP($B215,OFFSET([2]quests!$A$1,0,0,COUNTA([2]quests!$A:$A),MATCH(E$1,[2]quests!$1:$1,0)-MATCH($B$1,[2]quests!$1:$1,0)+1),MATCH(E$1,[2]quests!$1:$1,0)-MATCH($B$1,[2]quests!$1:$1,0)+1,FALSE)</f>
        <v>【期間限定】 黄の素材</v>
      </c>
      <c r="F215" s="5" t="str">
        <f ca="1">VLOOKUP($D215,OFFSET([2]stages!$A$1,0,0,COUNTA([2]stages!$A:$A),MATCH(F$1,[2]stages!$2:$2,0)-MATCH($D$1,[2]stages!$2:$2,0)+1),MATCH(F$1,[2]stages!$2:$2,0)-MATCH($D$1,[2]stages!$2:$2,0)+1,FALSE)</f>
        <v>【上級】雷のイモムシ</v>
      </c>
      <c r="G215" s="25">
        <v>5</v>
      </c>
      <c r="H215" s="16" t="str">
        <f>B215&amp;"_"&amp;C215&amp;"-"&amp;G215</f>
        <v>11101_4-5</v>
      </c>
      <c r="I215" s="5">
        <f ca="1">VLOOKUP($H215,OFFSET(floors!$A$1,0,0,COUNTA(floors!$A:$A),MATCH(I$1,floors!$1:$1,0)-MATCH($H$1,floors!$1:$1,0)+1),MATCH(I$1,floors!$1:$1,0)-MATCH($H$1,floors!$1:$1,0)+1,FALSE)</f>
        <v>60</v>
      </c>
      <c r="J215" s="5">
        <f ca="1">VLOOKUP($H215,OFFSET(floors!$A$1,0,0,COUNTA(floors!$A:$A),MATCH(J$1,floors!$1:$1,0)-MATCH($H$1,floors!$1:$1,0)+1),MATCH(J$1,floors!$1:$1,0)-MATCH($H$1,floors!$1:$1,0)+1,FALSE)</f>
        <v>60</v>
      </c>
      <c r="K215" s="24" t="s">
        <v>209</v>
      </c>
      <c r="L215" s="24">
        <v>837</v>
      </c>
      <c r="M215" s="20" t="str">
        <f ca="1">VLOOKUP($L215,OFFSET([3]enemies!$A$1,0,0,COUNTA([3]enemies!$A:$A),MATCH(M$1,[3]enemies!$1:$1,0)-MATCH($L$1,[3]enemies!$1:$1,0)+1),MATCH(M$1,[3]enemies!$1:$1,0)-MATCH($L$1,[3]enemies!$1:$1,0)+1,FALSE)</f>
        <v>リトルハンプティ</v>
      </c>
      <c r="N215" s="20" t="str">
        <f ca="1">VLOOKUP($L215,OFFSET([3]enemies!$A$1,0,0,COUNTA([3]enemies!$A:$A),MATCH(N$1,[3]enemies!$1:$1,0)-MATCH($L$1,[3]enemies!$1:$1,0)+1),MATCH(N$1,[3]enemies!$1:$1,0)-MATCH($L$1,[3]enemies!$1:$1,0)+1,FALSE)</f>
        <v>yellow</v>
      </c>
      <c r="O215" s="22" t="str">
        <f ca="1">VLOOKUP($L215,OFFSET([4]characters!$A$1,0,0,COUNTA([4]characters!$A:$A),MATCH(O$1,[4]characters!$1:$1,0)-MATCH($L$1,[4]characters!$1:$1,0)+1),MATCH(O$1,[4]characters!$1:$1,0)-MATCH($L$1,[4]characters!$1:$1,0)+1,FALSE)</f>
        <v>Material</v>
      </c>
      <c r="P215" s="20" t="str">
        <f ca="1">VLOOKUP($L215,OFFSET([3]enemies!$A$1,0,0,COUNTA([3]enemies!$A:$A),MATCH(P$1,[3]enemies!$1:$1,0)-MATCH($L$1,[3]enemies!$1:$1,0)+1),MATCH(P$1,[3]enemies!$1:$1,0)-MATCH($L$1,[3]enemies!$1:$1,0)+1,FALSE)</f>
        <v>unknown</v>
      </c>
      <c r="Q215" s="20">
        <f ca="1">VLOOKUP($L215,OFFSET([3]enemies!$A$1,0,0,COUNTA([3]enemies!$A:$A),MATCH(Q$1,[3]enemies!$1:$1,0)-MATCH($L$1,[3]enemies!$1:$1,0)+1),MATCH(Q$1,[3]enemies!$1:$1,0)-MATCH($L$1,[3]enemies!$1:$1,0)+1,FALSE)</f>
        <v>60</v>
      </c>
      <c r="R215" s="6">
        <v>30</v>
      </c>
      <c r="S215" s="30">
        <v>10</v>
      </c>
      <c r="T215" s="30">
        <v>30</v>
      </c>
      <c r="U215" s="6">
        <v>0</v>
      </c>
      <c r="V215" s="5" t="str">
        <f ca="1">VLOOKUP($W215,OFFSET([5]enemy_skill_sets!$B$1,0,0,COUNTA([5]enemy_skill_sets!$B:$B),MATCH(M$1,[5]enemy_skill_sets!$1:$1,0)-MATCH($W$1,[5]enemy_skill_sets!$1:$1,0)+2),MATCH(M$1,[5]enemy_skill_sets!$1:$1,0)-MATCH($W$1,[5]enemy_skill_sets!$1:$1,0)+2,FALSE)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5" s="5">
        <f ca="1">VLOOKUP($L215,OFFSET([3]enemies!$A$1,0,0,COUNTA([3]enemies!$A:$A),MATCH(W$1,[3]enemies!$1:$1,0)-MATCH($L$1,[3]enemies!$1:$1,0)+1),MATCH(W$1,[3]enemies!$1:$1,0)-MATCH($L$1,[3]enemies!$1:$1,0)+1,FALSE)</f>
        <v>0</v>
      </c>
      <c r="X215" s="7">
        <v>0</v>
      </c>
      <c r="Y215" s="7">
        <v>10</v>
      </c>
      <c r="Z215" s="7">
        <v>1</v>
      </c>
      <c r="AA215" s="20">
        <f ca="1">VLOOKUP($L215,OFFSET([3]enemies!$A$1,0,0,COUNTA([3]enemies!$A:$A),MATCH(AA$1,[3]enemies!$1:$1,0)-MATCH($L$1,[3]enemies!$1:$1,0)+1),MATCH(AA$1,[3]enemies!$1:$1,0)-MATCH($L$1,[3]enemies!$1:$1,0)+1,FALSE)</f>
        <v>3</v>
      </c>
      <c r="AB215" s="24">
        <v>837</v>
      </c>
      <c r="AC215" s="5" t="str">
        <f ca="1">IFERROR(VLOOKUP($AB215,OFFSET([4]characters!$A$1,0,0,COUNTA([4]characters!$A:$A),MATCH(AC$1,[4]characters!$1:$1,0)-MATCH("character_id",[4]characters!$1:$1,0)+1),MATCH(AC$1,[4]characters!$1:$1,0)-MATCH("character_id",[4]characters!$1:$1,0)+1,FALSE),"")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215" s="5">
        <f ca="1">IFERROR(VLOOKUP($AB215,OFFSET([4]characters!$A$1,0,0,COUNTA([4]characters!$A:$A),MATCH(AD$1,[4]characters!$1:$1,0)-MATCH("character_id",[4]characters!$1:$1,0)+1),MATCH(AD$1,[4]characters!$1:$1,0)-MATCH("character_id",[4]characters!$1:$1,0)+1,FALSE),"")</f>
        <v>6</v>
      </c>
      <c r="AE215" s="5" t="str">
        <f ca="1">IFERROR(VLOOKUP($AB215,OFFSET([4]characters!$A$1,0,0,COUNTA([4]characters!$A:$A),MATCH(AE$1,[4]characters!$1:$1,0)-MATCH("character_id",[4]characters!$1:$1,0)+1),MATCH(AE$1,[4]characters!$1:$1,0)-MATCH("character_id",[4]characters!$1:$1,0)+1,FALSE),"")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5" s="8">
        <v>1</v>
      </c>
      <c r="AG215" s="27">
        <f ca="1">AD215</f>
        <v>6</v>
      </c>
      <c r="AH215" s="9">
        <v>33</v>
      </c>
      <c r="AI215" s="8">
        <v>0</v>
      </c>
      <c r="AJ215" s="8">
        <v>0</v>
      </c>
      <c r="AK215" s="8">
        <v>0</v>
      </c>
      <c r="AL215" s="8">
        <v>0</v>
      </c>
      <c r="AM215" s="8">
        <v>1</v>
      </c>
      <c r="AN215" s="8">
        <v>1</v>
      </c>
    </row>
    <row r="216" spans="1:40" ht="21" customHeight="1" x14ac:dyDescent="0.15">
      <c r="A216" s="78" t="str">
        <f t="shared" ca="1" si="57"/>
        <v>11102_4-1/103&lt;lv30&gt;s3</v>
      </c>
      <c r="B216" s="76">
        <v>11102</v>
      </c>
      <c r="C216" s="77">
        <v>4</v>
      </c>
      <c r="D216" s="16" t="str">
        <f t="shared" ref="D216:D279" si="60">B216&amp;"_"&amp;C216</f>
        <v>11102_4</v>
      </c>
      <c r="E216" s="22" t="str">
        <f ca="1">VLOOKUP($B216,OFFSET([2]quests!$A$1,0,0,COUNTA([2]quests!$A:$A),MATCH(E$1,[2]quests!$1:$1,0)-MATCH($B$1,[2]quests!$1:$1,0)+1),MATCH(E$1,[2]quests!$1:$1,0)-MATCH($B$1,[2]quests!$1:$1,0)+1,FALSE)</f>
        <v>【期間限定】 赤の素材</v>
      </c>
      <c r="F216" s="22" t="str">
        <f ca="1">VLOOKUP($D216,OFFSET([2]stages!$A$1,0,0,COUNTA([2]stages!$A:$A),MATCH(F$1,[2]stages!$2:$2,0)-MATCH($D$1,[2]stages!$2:$2,0)+1),MATCH(F$1,[2]stages!$2:$2,0)-MATCH($D$1,[2]stages!$2:$2,0)+1,FALSE)</f>
        <v xml:space="preserve">【上級】火のイモムシ </v>
      </c>
      <c r="G216" s="68">
        <v>1</v>
      </c>
      <c r="H216" s="16" t="str">
        <f t="shared" ref="H216:H279" si="61">B216&amp;"_"&amp;C216&amp;"-"&amp;G216</f>
        <v>11102_4-1</v>
      </c>
      <c r="I216" s="22" t="e">
        <v>#N/A</v>
      </c>
      <c r="J216" s="22" t="e">
        <v>#N/A</v>
      </c>
      <c r="K216" s="70" t="s">
        <v>217</v>
      </c>
      <c r="L216" s="70">
        <v>103</v>
      </c>
      <c r="M216" s="22" t="str">
        <f ca="1">VLOOKUP($L216,OFFSET([3]enemies!$A$1,0,0,COUNTA([3]enemies!$A:$A),MATCH(M$1,[3]enemies!$1:$1,0)-MATCH($L$1,[3]enemies!$1:$1,0)+1),MATCH(M$1,[3]enemies!$1:$1,0)-MATCH($L$1,[3]enemies!$1:$1,0)+1,FALSE)</f>
        <v>レッドキャタップ</v>
      </c>
      <c r="N216" s="22" t="str">
        <f ca="1">VLOOKUP($L216,OFFSET([3]enemies!$A$1,0,0,COUNTA([3]enemies!$A:$A),MATCH(N$1,[3]enemies!$1:$1,0)-MATCH($L$1,[3]enemies!$1:$1,0)+1),MATCH(N$1,[3]enemies!$1:$1,0)-MATCH($L$1,[3]enemies!$1:$1,0)+1,FALSE)</f>
        <v>red</v>
      </c>
      <c r="O216" s="22" t="str">
        <f ca="1">VLOOKUP($L216,OFFSET([4]characters!$A$1,0,0,COUNTA([4]characters!$A:$A),MATCH(O$1,[4]characters!$1:$1,0)-MATCH($L$1,[4]characters!$1:$1,0)+1),MATCH(O$1,[4]characters!$1:$1,0)-MATCH($L$1,[4]characters!$1:$1,0)+1,FALSE)</f>
        <v>Material</v>
      </c>
      <c r="P216" s="22" t="str">
        <f ca="1">VLOOKUP($L216,OFFSET([3]enemies!$A$1,0,0,COUNTA([3]enemies!$A:$A),MATCH(P$1,[3]enemies!$1:$1,0)-MATCH($L$1,[3]enemies!$1:$1,0)+1),MATCH(P$1,[3]enemies!$1:$1,0)-MATCH($L$1,[3]enemies!$1:$1,0)+1,FALSE)</f>
        <v>unknown</v>
      </c>
      <c r="Q216" s="22">
        <f ca="1">VLOOKUP($L216,OFFSET([3]enemies!$A$1,0,0,COUNTA([3]enemies!$A:$A),MATCH(Q$1,[3]enemies!$1:$1,0)-MATCH($L$1,[3]enemies!$1:$1,0)+1),MATCH(Q$1,[3]enemies!$1:$1,0)-MATCH($L$1,[3]enemies!$1:$1,0)+1,FALSE)</f>
        <v>15</v>
      </c>
      <c r="R216" s="79">
        <v>30</v>
      </c>
      <c r="S216" s="80">
        <v>2</v>
      </c>
      <c r="T216" s="80">
        <v>1</v>
      </c>
      <c r="U216" s="79">
        <v>0</v>
      </c>
      <c r="V216" s="22" t="str">
        <f ca="1">VLOOKUP($W216,OFFSET([5]enemy_skill_sets!$B$1,0,0,COUNTA([5]enemy_skill_sets!$B:$B),MATCH(M$1,[5]enemy_skill_sets!$1:$1,0)-MATCH($W$1,[5]enemy_skill_sets!$1:$1,0)+2),MATCH(M$1,[5]enemy_skill_sets!$1:$1,0)-MATCH($W$1,[5]enemy_skill_sets!$1:$1,0)+2,FALSE)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6" s="22">
        <f ca="1">VLOOKUP($L216,OFFSET([3]enemies!$A$1,0,0,COUNTA([3]enemies!$A:$A),MATCH(W$1,[3]enemies!$1:$1,0)-MATCH($L$1,[3]enemies!$1:$1,0)+1),MATCH(W$1,[3]enemies!$1:$1,0)-MATCH($L$1,[3]enemies!$1:$1,0)+1,FALSE)</f>
        <v>0</v>
      </c>
      <c r="X216" s="81">
        <v>1</v>
      </c>
      <c r="Y216" s="81">
        <v>100</v>
      </c>
      <c r="Z216" s="81">
        <v>1</v>
      </c>
      <c r="AA216" s="22">
        <f ca="1">VLOOKUP($L216,OFFSET([3]enemies!$A$1,0,0,COUNTA([3]enemies!$A:$A),MATCH(AA$1,[3]enemies!$1:$1,0)-MATCH($L$1,[3]enemies!$1:$1,0)+1),MATCH(AA$1,[3]enemies!$1:$1,0)-MATCH($L$1,[3]enemies!$1:$1,0)+1,FALSE)</f>
        <v>3</v>
      </c>
      <c r="AB216" s="70">
        <v>103</v>
      </c>
      <c r="AC216" s="22" t="str">
        <f ca="1">IFERROR(VLOOKUP($AB216,OFFSET([4]characters!$A$1,0,0,COUNTA([4]characters!$A:$A),MATCH(AC$1,[4]characters!$1:$1,0)-MATCH("character_id",[4]characters!$1:$1,0)+1),MATCH(AC$1,[4]characters!$1:$1,0)-MATCH("character_id",[4]characters!$1:$1,0)+1,FALSE),"")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16" s="22">
        <f ca="1">IFERROR(VLOOKUP($AB216,OFFSET([4]characters!$A$1,0,0,COUNTA([4]characters!$A:$A),MATCH(AD$1,[4]characters!$1:$1,0)-MATCH("character_id",[4]characters!$1:$1,0)+1),MATCH(AD$1,[4]characters!$1:$1,0)-MATCH("character_id",[4]characters!$1:$1,0)+1,FALSE),"")</f>
        <v>4</v>
      </c>
      <c r="AE216" s="22" t="str">
        <f ca="1">IFERROR(VLOOKUP($AB216,OFFSET([4]characters!$A$1,0,0,COUNTA([4]characters!$A:$A),MATCH(AE$1,[4]characters!$1:$1,0)-MATCH("character_id",[4]characters!$1:$1,0)+1),MATCH(AE$1,[4]characters!$1:$1,0)-MATCH("character_id",[4]characters!$1:$1,0)+1,FALSE),"")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6" s="28">
        <v>1</v>
      </c>
      <c r="AG216" s="75">
        <f t="shared" ref="AG216:AG238" ca="1" si="62">AD216</f>
        <v>4</v>
      </c>
      <c r="AH216" s="131">
        <v>50</v>
      </c>
      <c r="AI216" s="28">
        <v>0</v>
      </c>
      <c r="AJ216" s="28">
        <v>0</v>
      </c>
      <c r="AK216" s="28">
        <v>0</v>
      </c>
      <c r="AL216" s="28">
        <v>0</v>
      </c>
      <c r="AM216" s="28">
        <v>1</v>
      </c>
      <c r="AN216" s="28">
        <v>1</v>
      </c>
    </row>
    <row r="217" spans="1:40" ht="21" customHeight="1" x14ac:dyDescent="0.15">
      <c r="A217" s="78" t="str">
        <f t="shared" ca="1" si="57"/>
        <v>11102_4-1/33&lt;lv35&gt;s2</v>
      </c>
      <c r="B217" s="76">
        <v>11102</v>
      </c>
      <c r="C217" s="77">
        <v>4</v>
      </c>
      <c r="D217" s="16" t="str">
        <f t="shared" si="60"/>
        <v>11102_4</v>
      </c>
      <c r="E217" s="22" t="str">
        <f ca="1">VLOOKUP($B217,OFFSET([2]quests!$A$1,0,0,COUNTA([2]quests!$A:$A),MATCH(E$1,[2]quests!$1:$1,0)-MATCH($B$1,[2]quests!$1:$1,0)+1),MATCH(E$1,[2]quests!$1:$1,0)-MATCH($B$1,[2]quests!$1:$1,0)+1,FALSE)</f>
        <v>【期間限定】 赤の素材</v>
      </c>
      <c r="F217" s="22" t="str">
        <f ca="1">VLOOKUP($D217,OFFSET([2]stages!$A$1,0,0,COUNTA([2]stages!$A:$A),MATCH(F$1,[2]stages!$2:$2,0)-MATCH($D$1,[2]stages!$2:$2,0)+1),MATCH(F$1,[2]stages!$2:$2,0)-MATCH($D$1,[2]stages!$2:$2,0)+1,FALSE)</f>
        <v xml:space="preserve">【上級】火のイモムシ </v>
      </c>
      <c r="G217" s="68">
        <v>1</v>
      </c>
      <c r="H217" s="16" t="str">
        <f t="shared" si="61"/>
        <v>11102_4-1</v>
      </c>
      <c r="I217" s="22" t="e">
        <v>#N/A</v>
      </c>
      <c r="J217" s="22" t="e">
        <v>#N/A</v>
      </c>
      <c r="K217" s="70" t="s">
        <v>217</v>
      </c>
      <c r="L217" s="70">
        <v>33</v>
      </c>
      <c r="M217" s="22" t="str">
        <f ca="1">VLOOKUP($L217,OFFSET([3]enemies!$A$1,0,0,COUNTA([3]enemies!$A:$A),MATCH(M$1,[3]enemies!$1:$1,0)-MATCH($L$1,[3]enemies!$1:$1,0)+1),MATCH(M$1,[3]enemies!$1:$1,0)-MATCH($L$1,[3]enemies!$1:$1,0)+1,FALSE)</f>
        <v>ゴクウ</v>
      </c>
      <c r="N217" s="22" t="str">
        <f ca="1">VLOOKUP($L217,OFFSET([3]enemies!$A$1,0,0,COUNTA([3]enemies!$A:$A),MATCH(N$1,[3]enemies!$1:$1,0)-MATCH($L$1,[3]enemies!$1:$1,0)+1),MATCH(N$1,[3]enemies!$1:$1,0)-MATCH($L$1,[3]enemies!$1:$1,0)+1,FALSE)</f>
        <v>red</v>
      </c>
      <c r="O217" s="22" t="str">
        <f ca="1">VLOOKUP($L217,OFFSET([4]characters!$A$1,0,0,COUNTA([4]characters!$A:$A),MATCH(O$1,[4]characters!$1:$1,0)-MATCH($L$1,[4]characters!$1:$1,0)+1),MATCH(O$1,[4]characters!$1:$1,0)-MATCH($L$1,[4]characters!$1:$1,0)+1,FALSE)</f>
        <v>Drop1S</v>
      </c>
      <c r="P217" s="22" t="str">
        <f ca="1">VLOOKUP($L217,OFFSET([3]enemies!$A$1,0,0,COUNTA([3]enemies!$A:$A),MATCH(P$1,[3]enemies!$1:$1,0)-MATCH($L$1,[3]enemies!$1:$1,0)+1),MATCH(P$1,[3]enemies!$1:$1,0)-MATCH($L$1,[3]enemies!$1:$1,0)+1,FALSE)</f>
        <v>animal</v>
      </c>
      <c r="Q217" s="22">
        <f ca="1">VLOOKUP($L217,OFFSET([3]enemies!$A$1,0,0,COUNTA([3]enemies!$A:$A),MATCH(Q$1,[3]enemies!$1:$1,0)-MATCH($L$1,[3]enemies!$1:$1,0)+1),MATCH(Q$1,[3]enemies!$1:$1,0)-MATCH($L$1,[3]enemies!$1:$1,0)+1,FALSE)</f>
        <v>15</v>
      </c>
      <c r="R217" s="79">
        <v>35</v>
      </c>
      <c r="S217" s="80">
        <v>1</v>
      </c>
      <c r="T217" s="80">
        <v>1</v>
      </c>
      <c r="U217" s="79">
        <v>0</v>
      </c>
      <c r="V217" s="22" t="str">
        <f ca="1">VLOOKUP($W217,OFFSET([5]enemy_skill_sets!$B$1,0,0,COUNTA([5]enemy_skill_sets!$B:$B),MATCH(M$1,[5]enemy_skill_sets!$1:$1,0)-MATCH($W$1,[5]enemy_skill_sets!$1:$1,0)+2),MATCH(M$1,[5]enemy_skill_sets!$1:$1,0)-MATCH($W$1,[5]enemy_skill_sets!$1:$1,0)+2,FALSE)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217" s="22">
        <f ca="1">VLOOKUP($L217,OFFSET([3]enemies!$A$1,0,0,COUNTA([3]enemies!$A:$A),MATCH(W$1,[3]enemies!$1:$1,0)-MATCH($L$1,[3]enemies!$1:$1,0)+1),MATCH(W$1,[3]enemies!$1:$1,0)-MATCH($L$1,[3]enemies!$1:$1,0)+1,FALSE)</f>
        <v>33</v>
      </c>
      <c r="X217" s="81">
        <v>0</v>
      </c>
      <c r="Y217" s="81">
        <v>100</v>
      </c>
      <c r="Z217" s="81">
        <v>0</v>
      </c>
      <c r="AA217" s="22">
        <f ca="1">VLOOKUP($L217,OFFSET([3]enemies!$A$1,0,0,COUNTA([3]enemies!$A:$A),MATCH(AA$1,[3]enemies!$1:$1,0)-MATCH($L$1,[3]enemies!$1:$1,0)+1),MATCH(AA$1,[3]enemies!$1:$1,0)-MATCH($L$1,[3]enemies!$1:$1,0)+1,FALSE)</f>
        <v>2</v>
      </c>
      <c r="AB217" s="70">
        <v>33</v>
      </c>
      <c r="AC217" s="22" t="str">
        <f ca="1">IFERROR(VLOOKUP($AB217,OFFSET([4]characters!$A$1,0,0,COUNTA([4]characters!$A:$A),MATCH(AC$1,[4]characters!$1:$1,0)-MATCH("character_id",[4]characters!$1:$1,0)+1),MATCH(AC$1,[4]characters!$1:$1,0)-MATCH("character_id",[4]characters!$1:$1,0)+1,FALSE),"")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217" s="22">
        <f ca="1">IFERROR(VLOOKUP($AB217,OFFSET([4]characters!$A$1,0,0,COUNTA([4]characters!$A:$A),MATCH(AD$1,[4]characters!$1:$1,0)-MATCH("character_id",[4]characters!$1:$1,0)+1),MATCH(AD$1,[4]characters!$1:$1,0)-MATCH("character_id",[4]characters!$1:$1,0)+1,FALSE),"")</f>
        <v>2</v>
      </c>
      <c r="AE217" s="22" t="str">
        <f ca="1">IFERROR(VLOOKUP($AB217,OFFSET([4]characters!$A$1,0,0,COUNTA([4]characters!$A:$A),MATCH(AE$1,[4]characters!$1:$1,0)-MATCH("character_id",[4]characters!$1:$1,0)+1),MATCH(AE$1,[4]characters!$1:$1,0)-MATCH("character_id",[4]characters!$1:$1,0)+1,FALSE),"")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17" s="28">
        <v>1</v>
      </c>
      <c r="AG217" s="75">
        <f t="shared" ca="1" si="62"/>
        <v>2</v>
      </c>
      <c r="AH217" s="81">
        <v>0</v>
      </c>
      <c r="AI217" s="28">
        <v>0</v>
      </c>
      <c r="AJ217" s="28">
        <v>0</v>
      </c>
      <c r="AK217" s="28">
        <v>0</v>
      </c>
      <c r="AL217" s="28">
        <v>0</v>
      </c>
      <c r="AM217" s="28">
        <v>1</v>
      </c>
      <c r="AN217" s="28">
        <v>1</v>
      </c>
    </row>
    <row r="218" spans="1:40" ht="21" customHeight="1" x14ac:dyDescent="0.15">
      <c r="A218" s="78" t="str">
        <f t="shared" ca="1" si="57"/>
        <v>11102_4-1/21&lt;lv35&gt;s2</v>
      </c>
      <c r="B218" s="76">
        <v>11102</v>
      </c>
      <c r="C218" s="77">
        <v>4</v>
      </c>
      <c r="D218" s="16" t="str">
        <f t="shared" si="60"/>
        <v>11102_4</v>
      </c>
      <c r="E218" s="22" t="str">
        <f ca="1">VLOOKUP($B218,OFFSET([2]quests!$A$1,0,0,COUNTA([2]quests!$A:$A),MATCH(E$1,[2]quests!$1:$1,0)-MATCH($B$1,[2]quests!$1:$1,0)+1),MATCH(E$1,[2]quests!$1:$1,0)-MATCH($B$1,[2]quests!$1:$1,0)+1,FALSE)</f>
        <v>【期間限定】 赤の素材</v>
      </c>
      <c r="F218" s="22" t="str">
        <f ca="1">VLOOKUP($D218,OFFSET([2]stages!$A$1,0,0,COUNTA([2]stages!$A:$A),MATCH(F$1,[2]stages!$2:$2,0)-MATCH($D$1,[2]stages!$2:$2,0)+1),MATCH(F$1,[2]stages!$2:$2,0)-MATCH($D$1,[2]stages!$2:$2,0)+1,FALSE)</f>
        <v xml:space="preserve">【上級】火のイモムシ </v>
      </c>
      <c r="G218" s="68">
        <v>1</v>
      </c>
      <c r="H218" s="16" t="str">
        <f t="shared" si="61"/>
        <v>11102_4-1</v>
      </c>
      <c r="I218" s="22" t="e">
        <v>#N/A</v>
      </c>
      <c r="J218" s="22" t="e">
        <v>#N/A</v>
      </c>
      <c r="K218" s="70" t="s">
        <v>217</v>
      </c>
      <c r="L218" s="70">
        <v>21</v>
      </c>
      <c r="M218" s="22" t="str">
        <f ca="1">VLOOKUP($L218,OFFSET([3]enemies!$A$1,0,0,COUNTA([3]enemies!$A:$A),MATCH(M$1,[3]enemies!$1:$1,0)-MATCH($L$1,[3]enemies!$1:$1,0)+1),MATCH(M$1,[3]enemies!$1:$1,0)-MATCH($L$1,[3]enemies!$1:$1,0)+1,FALSE)</f>
        <v>ヴェロキー</v>
      </c>
      <c r="N218" s="22" t="str">
        <f ca="1">VLOOKUP($L218,OFFSET([3]enemies!$A$1,0,0,COUNTA([3]enemies!$A:$A),MATCH(N$1,[3]enemies!$1:$1,0)-MATCH($L$1,[3]enemies!$1:$1,0)+1),MATCH(N$1,[3]enemies!$1:$1,0)-MATCH($L$1,[3]enemies!$1:$1,0)+1,FALSE)</f>
        <v>red</v>
      </c>
      <c r="O218" s="22" t="str">
        <f ca="1">VLOOKUP($L218,OFFSET([4]characters!$A$1,0,0,COUNTA([4]characters!$A:$A),MATCH(O$1,[4]characters!$1:$1,0)-MATCH($L$1,[4]characters!$1:$1,0)+1),MATCH(O$1,[4]characters!$1:$1,0)-MATCH($L$1,[4]characters!$1:$1,0)+1,FALSE)</f>
        <v>Drop1N</v>
      </c>
      <c r="P218" s="22" t="str">
        <f ca="1">VLOOKUP($L218,OFFSET([3]enemies!$A$1,0,0,COUNTA([3]enemies!$A:$A),MATCH(P$1,[3]enemies!$1:$1,0)-MATCH($L$1,[3]enemies!$1:$1,0)+1),MATCH(P$1,[3]enemies!$1:$1,0)-MATCH($L$1,[3]enemies!$1:$1,0)+1,FALSE)</f>
        <v>dragon</v>
      </c>
      <c r="Q218" s="22">
        <f ca="1">VLOOKUP($L218,OFFSET([3]enemies!$A$1,0,0,COUNTA([3]enemies!$A:$A),MATCH(Q$1,[3]enemies!$1:$1,0)-MATCH($L$1,[3]enemies!$1:$1,0)+1),MATCH(Q$1,[3]enemies!$1:$1,0)-MATCH($L$1,[3]enemies!$1:$1,0)+1,FALSE)</f>
        <v>15</v>
      </c>
      <c r="R218" s="79">
        <v>35</v>
      </c>
      <c r="S218" s="80">
        <v>1</v>
      </c>
      <c r="T218" s="80">
        <v>1</v>
      </c>
      <c r="U218" s="79">
        <v>0</v>
      </c>
      <c r="V218" s="22" t="str">
        <f ca="1">VLOOKUP($W218,OFFSET([5]enemy_skill_sets!$B$1,0,0,COUNTA([5]enemy_skill_sets!$B:$B),MATCH(M$1,[5]enemy_skill_sets!$1:$1,0)-MATCH($W$1,[5]enemy_skill_sets!$1:$1,0)+2),MATCH(M$1,[5]enemy_skill_sets!$1:$1,0)-MATCH($W$1,[5]enemy_skill_sets!$1:$1,0)+2,FALSE)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8" s="22">
        <f ca="1">VLOOKUP($L218,OFFSET([3]enemies!$A$1,0,0,COUNTA([3]enemies!$A:$A),MATCH(W$1,[3]enemies!$1:$1,0)-MATCH($L$1,[3]enemies!$1:$1,0)+1),MATCH(W$1,[3]enemies!$1:$1,0)-MATCH($L$1,[3]enemies!$1:$1,0)+1,FALSE)</f>
        <v>0</v>
      </c>
      <c r="X218" s="81">
        <v>0</v>
      </c>
      <c r="Y218" s="81">
        <v>100</v>
      </c>
      <c r="Z218" s="81">
        <v>0</v>
      </c>
      <c r="AA218" s="22">
        <f ca="1">VLOOKUP($L218,OFFSET([3]enemies!$A$1,0,0,COUNTA([3]enemies!$A:$A),MATCH(AA$1,[3]enemies!$1:$1,0)-MATCH($L$1,[3]enemies!$1:$1,0)+1),MATCH(AA$1,[3]enemies!$1:$1,0)-MATCH($L$1,[3]enemies!$1:$1,0)+1,FALSE)</f>
        <v>2</v>
      </c>
      <c r="AB218" s="70">
        <v>21</v>
      </c>
      <c r="AC218" s="22" t="str">
        <f ca="1">IFERROR(VLOOKUP($AB218,OFFSET([4]characters!$A$1,0,0,COUNTA([4]characters!$A:$A),MATCH(AC$1,[4]characters!$1:$1,0)-MATCH("character_id",[4]characters!$1:$1,0)+1),MATCH(AC$1,[4]characters!$1:$1,0)-MATCH("character_id",[4]characters!$1:$1,0)+1,FALSE),"")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218" s="22">
        <f ca="1">IFERROR(VLOOKUP($AB218,OFFSET([4]characters!$A$1,0,0,COUNTA([4]characters!$A:$A),MATCH(AD$1,[4]characters!$1:$1,0)-MATCH("character_id",[4]characters!$1:$1,0)+1),MATCH(AD$1,[4]characters!$1:$1,0)-MATCH("character_id",[4]characters!$1:$1,0)+1,FALSE),"")</f>
        <v>1</v>
      </c>
      <c r="AE218" s="22" t="str">
        <f ca="1">IFERROR(VLOOKUP($AB218,OFFSET([4]characters!$A$1,0,0,COUNTA([4]characters!$A:$A),MATCH(AE$1,[4]characters!$1:$1,0)-MATCH("character_id",[4]characters!$1:$1,0)+1),MATCH(AE$1,[4]characters!$1:$1,0)-MATCH("character_id",[4]characters!$1:$1,0)+1,FALSE),"")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18" s="28">
        <v>1</v>
      </c>
      <c r="AG218" s="75">
        <f t="shared" ca="1" si="62"/>
        <v>1</v>
      </c>
      <c r="AH218" s="81">
        <v>0</v>
      </c>
      <c r="AI218" s="28">
        <v>0</v>
      </c>
      <c r="AJ218" s="28">
        <v>0</v>
      </c>
      <c r="AK218" s="28">
        <v>0</v>
      </c>
      <c r="AL218" s="28">
        <v>0</v>
      </c>
      <c r="AM218" s="28">
        <v>1</v>
      </c>
      <c r="AN218" s="28">
        <v>1</v>
      </c>
    </row>
    <row r="219" spans="1:40" ht="21" customHeight="1" x14ac:dyDescent="0.15">
      <c r="A219" s="78" t="str">
        <f t="shared" ca="1" si="57"/>
        <v>11102_4-1/332&lt;lv1&gt;s1</v>
      </c>
      <c r="B219" s="76">
        <v>11102</v>
      </c>
      <c r="C219" s="77">
        <v>4</v>
      </c>
      <c r="D219" s="16" t="str">
        <f t="shared" si="60"/>
        <v>11102_4</v>
      </c>
      <c r="E219" s="22" t="str">
        <f ca="1">VLOOKUP($B219,OFFSET([2]quests!$A$1,0,0,COUNTA([2]quests!$A:$A),MATCH(E$1,[2]quests!$1:$1,0)-MATCH($B$1,[2]quests!$1:$1,0)+1),MATCH(E$1,[2]quests!$1:$1,0)-MATCH($B$1,[2]quests!$1:$1,0)+1,FALSE)</f>
        <v>【期間限定】 赤の素材</v>
      </c>
      <c r="F219" s="22" t="str">
        <f ca="1">VLOOKUP($D219,OFFSET([2]stages!$A$1,0,0,COUNTA([2]stages!$A:$A),MATCH(F$1,[2]stages!$2:$2,0)-MATCH($D$1,[2]stages!$2:$2,0)+1),MATCH(F$1,[2]stages!$2:$2,0)-MATCH($D$1,[2]stages!$2:$2,0)+1,FALSE)</f>
        <v xml:space="preserve">【上級】火のイモムシ </v>
      </c>
      <c r="G219" s="68">
        <v>1</v>
      </c>
      <c r="H219" s="16" t="str">
        <f t="shared" si="61"/>
        <v>11102_4-1</v>
      </c>
      <c r="I219" s="22" t="e">
        <v>#N/A</v>
      </c>
      <c r="J219" s="22" t="e">
        <v>#N/A</v>
      </c>
      <c r="K219" s="70" t="s">
        <v>218</v>
      </c>
      <c r="L219" s="70">
        <v>332</v>
      </c>
      <c r="M219" s="22" t="str">
        <f ca="1">VLOOKUP($L219,OFFSET([3]enemies!$A$1,0,0,COUNTA([3]enemies!$A:$A),MATCH(M$1,[3]enemies!$1:$1,0)-MATCH($L$1,[3]enemies!$1:$1,0)+1),MATCH(M$1,[3]enemies!$1:$1,0)-MATCH($L$1,[3]enemies!$1:$1,0)+1,FALSE)</f>
        <v>炎のメタルピヨピヨ</v>
      </c>
      <c r="N219" s="22" t="str">
        <f ca="1">VLOOKUP($L219,OFFSET([3]enemies!$A$1,0,0,COUNTA([3]enemies!$A:$A),MATCH(N$1,[3]enemies!$1:$1,0)-MATCH($L$1,[3]enemies!$1:$1,0)+1),MATCH(N$1,[3]enemies!$1:$1,0)-MATCH($L$1,[3]enemies!$1:$1,0)+1,FALSE)</f>
        <v>red</v>
      </c>
      <c r="O219" s="22" t="str">
        <f ca="1">VLOOKUP($L219,OFFSET([4]characters!$A$1,0,0,COUNTA([4]characters!$A:$A),MATCH(O$1,[4]characters!$1:$1,0)-MATCH($L$1,[4]characters!$1:$1,0)+1),MATCH(O$1,[4]characters!$1:$1,0)-MATCH($L$1,[4]characters!$1:$1,0)+1,FALSE)</f>
        <v>Material</v>
      </c>
      <c r="P219" s="22" t="str">
        <f ca="1">VLOOKUP($L219,OFFSET([3]enemies!$A$1,0,0,COUNTA([3]enemies!$A:$A),MATCH(P$1,[3]enemies!$1:$1,0)-MATCH($L$1,[3]enemies!$1:$1,0)+1),MATCH(P$1,[3]enemies!$1:$1,0)-MATCH($L$1,[3]enemies!$1:$1,0)+1,FALSE)</f>
        <v>unknown</v>
      </c>
      <c r="Q219" s="22">
        <f ca="1">VLOOKUP($L219,OFFSET([3]enemies!$A$1,0,0,COUNTA([3]enemies!$A:$A),MATCH(Q$1,[3]enemies!$1:$1,0)-MATCH($L$1,[3]enemies!$1:$1,0)+1),MATCH(Q$1,[3]enemies!$1:$1,0)-MATCH($L$1,[3]enemies!$1:$1,0)+1,FALSE)</f>
        <v>15</v>
      </c>
      <c r="R219" s="79">
        <v>1</v>
      </c>
      <c r="S219" s="80">
        <v>1</v>
      </c>
      <c r="T219" s="80">
        <v>1</v>
      </c>
      <c r="U219" s="79">
        <v>0</v>
      </c>
      <c r="V219" s="22" t="str">
        <f ca="1">VLOOKUP($W219,OFFSET([5]enemy_skill_sets!$B$1,0,0,COUNTA([5]enemy_skill_sets!$B:$B),MATCH(M$1,[5]enemy_skill_sets!$1:$1,0)-MATCH($W$1,[5]enemy_skill_sets!$1:$1,0)+2),MATCH(M$1,[5]enemy_skill_sets!$1:$1,0)-MATCH($W$1,[5]enemy_skill_sets!$1:$1,0)+2,FALSE)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9" s="22">
        <f ca="1">VLOOKUP($L219,OFFSET([3]enemies!$A$1,0,0,COUNTA([3]enemies!$A:$A),MATCH(W$1,[3]enemies!$1:$1,0)-MATCH($L$1,[3]enemies!$1:$1,0)+1),MATCH(W$1,[3]enemies!$1:$1,0)-MATCH($L$1,[3]enemies!$1:$1,0)+1,FALSE)</f>
        <v>0</v>
      </c>
      <c r="X219" s="81">
        <v>0</v>
      </c>
      <c r="Y219" s="81">
        <v>30</v>
      </c>
      <c r="Z219" s="81">
        <v>0</v>
      </c>
      <c r="AA219" s="22">
        <f ca="1">VLOOKUP($L219,OFFSET([3]enemies!$A$1,0,0,COUNTA([3]enemies!$A:$A),MATCH(AA$1,[3]enemies!$1:$1,0)-MATCH($L$1,[3]enemies!$1:$1,0)+1),MATCH(AA$1,[3]enemies!$1:$1,0)-MATCH($L$1,[3]enemies!$1:$1,0)+1,FALSE)</f>
        <v>1</v>
      </c>
      <c r="AB219" s="70">
        <v>332</v>
      </c>
      <c r="AC219" s="22" t="str">
        <f ca="1">IFERROR(VLOOKUP($AB219,OFFSET([4]characters!$A$1,0,0,COUNTA([4]characters!$A:$A),MATCH(AC$1,[4]characters!$1:$1,0)-MATCH("character_id",[4]characters!$1:$1,0)+1),MATCH(AC$1,[4]characters!$1:$1,0)-MATCH("character_id",[4]characters!$1:$1,0)+1,FALSE),"")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219" s="22">
        <f ca="1">IFERROR(VLOOKUP($AB219,OFFSET([4]characters!$A$1,0,0,COUNTA([4]characters!$A:$A),MATCH(AD$1,[4]characters!$1:$1,0)-MATCH("character_id",[4]characters!$1:$1,0)+1),MATCH(AD$1,[4]characters!$1:$1,0)-MATCH("character_id",[4]characters!$1:$1,0)+1,FALSE),"")</f>
        <v>3</v>
      </c>
      <c r="AE219" s="22" t="str">
        <f ca="1">IFERROR(VLOOKUP($AB219,OFFSET([4]characters!$A$1,0,0,COUNTA([4]characters!$A:$A),MATCH(AE$1,[4]characters!$1:$1,0)-MATCH("character_id",[4]characters!$1:$1,0)+1),MATCH(AE$1,[4]characters!$1:$1,0)-MATCH("character_id",[4]characters!$1:$1,0)+1,FALSE),"")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9" s="28">
        <v>1</v>
      </c>
      <c r="AG219" s="75">
        <f t="shared" ca="1" si="62"/>
        <v>3</v>
      </c>
      <c r="AH219" s="81">
        <v>10</v>
      </c>
      <c r="AI219" s="28">
        <v>0</v>
      </c>
      <c r="AJ219" s="28">
        <v>0</v>
      </c>
      <c r="AK219" s="28">
        <v>0</v>
      </c>
      <c r="AL219" s="28">
        <v>0</v>
      </c>
      <c r="AM219" s="28">
        <v>1</v>
      </c>
      <c r="AN219" s="28">
        <v>1</v>
      </c>
    </row>
    <row r="220" spans="1:40" ht="21" customHeight="1" x14ac:dyDescent="0.15">
      <c r="A220" s="78" t="str">
        <f t="shared" ca="1" si="57"/>
        <v>11102_4-1/333&lt;lv1&gt;s2</v>
      </c>
      <c r="B220" s="76">
        <v>11102</v>
      </c>
      <c r="C220" s="77">
        <v>4</v>
      </c>
      <c r="D220" s="16" t="str">
        <f t="shared" si="60"/>
        <v>11102_4</v>
      </c>
      <c r="E220" s="22" t="str">
        <f ca="1">VLOOKUP($B220,OFFSET([2]quests!$A$1,0,0,COUNTA([2]quests!$A:$A),MATCH(E$1,[2]quests!$1:$1,0)-MATCH($B$1,[2]quests!$1:$1,0)+1),MATCH(E$1,[2]quests!$1:$1,0)-MATCH($B$1,[2]quests!$1:$1,0)+1,FALSE)</f>
        <v>【期間限定】 赤の素材</v>
      </c>
      <c r="F220" s="22" t="str">
        <f ca="1">VLOOKUP($D220,OFFSET([2]stages!$A$1,0,0,COUNTA([2]stages!$A:$A),MATCH(F$1,[2]stages!$2:$2,0)-MATCH($D$1,[2]stages!$2:$2,0)+1),MATCH(F$1,[2]stages!$2:$2,0)-MATCH($D$1,[2]stages!$2:$2,0)+1,FALSE)</f>
        <v xml:space="preserve">【上級】火のイモムシ </v>
      </c>
      <c r="G220" s="68">
        <v>1</v>
      </c>
      <c r="H220" s="16" t="str">
        <f t="shared" si="61"/>
        <v>11102_4-1</v>
      </c>
      <c r="I220" s="22" t="e">
        <v>#N/A</v>
      </c>
      <c r="J220" s="22" t="e">
        <v>#N/A</v>
      </c>
      <c r="K220" s="70" t="s">
        <v>218</v>
      </c>
      <c r="L220" s="70">
        <v>333</v>
      </c>
      <c r="M220" s="22" t="str">
        <f ca="1">VLOOKUP($L220,OFFSET([3]enemies!$A$1,0,0,COUNTA([3]enemies!$A:$A),MATCH(M$1,[3]enemies!$1:$1,0)-MATCH($L$1,[3]enemies!$1:$1,0)+1),MATCH(M$1,[3]enemies!$1:$1,0)-MATCH($L$1,[3]enemies!$1:$1,0)+1,FALSE)</f>
        <v>炎のメタルチック</v>
      </c>
      <c r="N220" s="22" t="str">
        <f ca="1">VLOOKUP($L220,OFFSET([3]enemies!$A$1,0,0,COUNTA([3]enemies!$A:$A),MATCH(N$1,[3]enemies!$1:$1,0)-MATCH($L$1,[3]enemies!$1:$1,0)+1),MATCH(N$1,[3]enemies!$1:$1,0)-MATCH($L$1,[3]enemies!$1:$1,0)+1,FALSE)</f>
        <v>red</v>
      </c>
      <c r="O220" s="22" t="str">
        <f ca="1">VLOOKUP($L220,OFFSET([4]characters!$A$1,0,0,COUNTA([4]characters!$A:$A),MATCH(O$1,[4]characters!$1:$1,0)-MATCH($L$1,[4]characters!$1:$1,0)+1),MATCH(O$1,[4]characters!$1:$1,0)-MATCH($L$1,[4]characters!$1:$1,0)+1,FALSE)</f>
        <v>Material</v>
      </c>
      <c r="P220" s="22" t="str">
        <f ca="1">VLOOKUP($L220,OFFSET([3]enemies!$A$1,0,0,COUNTA([3]enemies!$A:$A),MATCH(P$1,[3]enemies!$1:$1,0)-MATCH($L$1,[3]enemies!$1:$1,0)+1),MATCH(P$1,[3]enemies!$1:$1,0)-MATCH($L$1,[3]enemies!$1:$1,0)+1,FALSE)</f>
        <v>unknown</v>
      </c>
      <c r="Q220" s="22">
        <f ca="1">VLOOKUP($L220,OFFSET([3]enemies!$A$1,0,0,COUNTA([3]enemies!$A:$A),MATCH(Q$1,[3]enemies!$1:$1,0)-MATCH($L$1,[3]enemies!$1:$1,0)+1),MATCH(Q$1,[3]enemies!$1:$1,0)-MATCH($L$1,[3]enemies!$1:$1,0)+1,FALSE)</f>
        <v>15</v>
      </c>
      <c r="R220" s="79">
        <v>1</v>
      </c>
      <c r="S220" s="80">
        <v>1</v>
      </c>
      <c r="T220" s="80">
        <v>1</v>
      </c>
      <c r="U220" s="79">
        <v>0</v>
      </c>
      <c r="V220" s="22" t="str">
        <f ca="1">VLOOKUP($W220,OFFSET([5]enemy_skill_sets!$B$1,0,0,COUNTA([5]enemy_skill_sets!$B:$B),MATCH(M$1,[5]enemy_skill_sets!$1:$1,0)-MATCH($W$1,[5]enemy_skill_sets!$1:$1,0)+2),MATCH(M$1,[5]enemy_skill_sets!$1:$1,0)-MATCH($W$1,[5]enemy_skill_sets!$1:$1,0)+2,FALSE)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0" s="22">
        <f ca="1">VLOOKUP($L220,OFFSET([3]enemies!$A$1,0,0,COUNTA([3]enemies!$A:$A),MATCH(W$1,[3]enemies!$1:$1,0)-MATCH($L$1,[3]enemies!$1:$1,0)+1),MATCH(W$1,[3]enemies!$1:$1,0)-MATCH($L$1,[3]enemies!$1:$1,0)+1,FALSE)</f>
        <v>0</v>
      </c>
      <c r="X220" s="81">
        <v>0</v>
      </c>
      <c r="Y220" s="81">
        <v>30</v>
      </c>
      <c r="Z220" s="81">
        <v>0</v>
      </c>
      <c r="AA220" s="22">
        <f ca="1">VLOOKUP($L220,OFFSET([3]enemies!$A$1,0,0,COUNTA([3]enemies!$A:$A),MATCH(AA$1,[3]enemies!$1:$1,0)-MATCH($L$1,[3]enemies!$1:$1,0)+1),MATCH(AA$1,[3]enemies!$1:$1,0)-MATCH($L$1,[3]enemies!$1:$1,0)+1,FALSE)</f>
        <v>2</v>
      </c>
      <c r="AB220" s="70">
        <v>333</v>
      </c>
      <c r="AC220" s="22" t="str">
        <f ca="1">IFERROR(VLOOKUP($AB220,OFFSET([4]characters!$A$1,0,0,COUNTA([4]characters!$A:$A),MATCH(AC$1,[4]characters!$1:$1,0)-MATCH("character_id",[4]characters!$1:$1,0)+1),MATCH(AC$1,[4]characters!$1:$1,0)-MATCH("character_id",[4]characters!$1:$1,0)+1,FALSE),"")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220" s="22">
        <f ca="1">IFERROR(VLOOKUP($AB220,OFFSET([4]characters!$A$1,0,0,COUNTA([4]characters!$A:$A),MATCH(AD$1,[4]characters!$1:$1,0)-MATCH("character_id",[4]characters!$1:$1,0)+1),MATCH(AD$1,[4]characters!$1:$1,0)-MATCH("character_id",[4]characters!$1:$1,0)+1,FALSE),"")</f>
        <v>4</v>
      </c>
      <c r="AE220" s="22" t="str">
        <f ca="1">IFERROR(VLOOKUP($AB220,OFFSET([4]characters!$A$1,0,0,COUNTA([4]characters!$A:$A),MATCH(AE$1,[4]characters!$1:$1,0)-MATCH("character_id",[4]characters!$1:$1,0)+1),MATCH(AE$1,[4]characters!$1:$1,0)-MATCH("character_id",[4]characters!$1:$1,0)+1,FALSE),"")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0" s="28">
        <v>1</v>
      </c>
      <c r="AG220" s="75">
        <f t="shared" ca="1" si="62"/>
        <v>4</v>
      </c>
      <c r="AH220" s="81">
        <v>5</v>
      </c>
      <c r="AI220" s="28">
        <v>0</v>
      </c>
      <c r="AJ220" s="28">
        <v>0</v>
      </c>
      <c r="AK220" s="28">
        <v>0</v>
      </c>
      <c r="AL220" s="28">
        <v>0</v>
      </c>
      <c r="AM220" s="28">
        <v>1</v>
      </c>
      <c r="AN220" s="28">
        <v>1</v>
      </c>
    </row>
    <row r="221" spans="1:40" ht="18" customHeight="1" x14ac:dyDescent="0.15">
      <c r="A221" s="78" t="str">
        <f t="shared" ca="1" si="57"/>
        <v>11102_4-2/103&lt;lv30&gt;s3</v>
      </c>
      <c r="B221" s="76">
        <v>11102</v>
      </c>
      <c r="C221" s="77">
        <v>4</v>
      </c>
      <c r="D221" s="16" t="str">
        <f t="shared" si="60"/>
        <v>11102_4</v>
      </c>
      <c r="E221" s="22" t="str">
        <f ca="1">VLOOKUP($B221,OFFSET([2]quests!$A$1,0,0,COUNTA([2]quests!$A:$A),MATCH(E$1,[2]quests!$1:$1,0)-MATCH($B$1,[2]quests!$1:$1,0)+1),MATCH(E$1,[2]quests!$1:$1,0)-MATCH($B$1,[2]quests!$1:$1,0)+1,FALSE)</f>
        <v>【期間限定】 赤の素材</v>
      </c>
      <c r="F221" s="22" t="str">
        <f ca="1">VLOOKUP($D221,OFFSET([2]stages!$A$1,0,0,COUNTA([2]stages!$A:$A),MATCH(F$1,[2]stages!$2:$2,0)-MATCH($D$1,[2]stages!$2:$2,0)+1),MATCH(F$1,[2]stages!$2:$2,0)-MATCH($D$1,[2]stages!$2:$2,0)+1,FALSE)</f>
        <v xml:space="preserve">【上級】火のイモムシ </v>
      </c>
      <c r="G221" s="68">
        <v>2</v>
      </c>
      <c r="H221" s="16" t="str">
        <f t="shared" si="61"/>
        <v>11102_4-2</v>
      </c>
      <c r="I221" s="22" t="e">
        <v>#N/A</v>
      </c>
      <c r="J221" s="22" t="e">
        <v>#N/A</v>
      </c>
      <c r="K221" s="70" t="s">
        <v>218</v>
      </c>
      <c r="L221" s="70">
        <v>103</v>
      </c>
      <c r="M221" s="22" t="str">
        <f ca="1">VLOOKUP($L221,OFFSET([3]enemies!$A$1,0,0,COUNTA([3]enemies!$A:$A),MATCH(M$1,[3]enemies!$1:$1,0)-MATCH($L$1,[3]enemies!$1:$1,0)+1),MATCH(M$1,[3]enemies!$1:$1,0)-MATCH($L$1,[3]enemies!$1:$1,0)+1,FALSE)</f>
        <v>レッドキャタップ</v>
      </c>
      <c r="N221" s="22" t="str">
        <f ca="1">VLOOKUP($L221,OFFSET([3]enemies!$A$1,0,0,COUNTA([3]enemies!$A:$A),MATCH(N$1,[3]enemies!$1:$1,0)-MATCH($L$1,[3]enemies!$1:$1,0)+1),MATCH(N$1,[3]enemies!$1:$1,0)-MATCH($L$1,[3]enemies!$1:$1,0)+1,FALSE)</f>
        <v>red</v>
      </c>
      <c r="O221" s="22" t="str">
        <f ca="1">VLOOKUP($L221,OFFSET([4]characters!$A$1,0,0,COUNTA([4]characters!$A:$A),MATCH(O$1,[4]characters!$1:$1,0)-MATCH($L$1,[4]characters!$1:$1,0)+1),MATCH(O$1,[4]characters!$1:$1,0)-MATCH($L$1,[4]characters!$1:$1,0)+1,FALSE)</f>
        <v>Material</v>
      </c>
      <c r="P221" s="22" t="str">
        <f ca="1">VLOOKUP($L221,OFFSET([3]enemies!$A$1,0,0,COUNTA([3]enemies!$A:$A),MATCH(P$1,[3]enemies!$1:$1,0)-MATCH($L$1,[3]enemies!$1:$1,0)+1),MATCH(P$1,[3]enemies!$1:$1,0)-MATCH($L$1,[3]enemies!$1:$1,0)+1,FALSE)</f>
        <v>unknown</v>
      </c>
      <c r="Q221" s="22">
        <f ca="1">VLOOKUP($L221,OFFSET([3]enemies!$A$1,0,0,COUNTA([3]enemies!$A:$A),MATCH(Q$1,[3]enemies!$1:$1,0)-MATCH($L$1,[3]enemies!$1:$1,0)+1),MATCH(Q$1,[3]enemies!$1:$1,0)-MATCH($L$1,[3]enemies!$1:$1,0)+1,FALSE)</f>
        <v>15</v>
      </c>
      <c r="R221" s="79">
        <v>30</v>
      </c>
      <c r="S221" s="80">
        <v>2</v>
      </c>
      <c r="T221" s="80">
        <v>1</v>
      </c>
      <c r="U221" s="79">
        <v>0</v>
      </c>
      <c r="V221" s="22" t="str">
        <f ca="1">VLOOKUP($W221,OFFSET([5]enemy_skill_sets!$B$1,0,0,COUNTA([5]enemy_skill_sets!$B:$B),MATCH(M$1,[5]enemy_skill_sets!$1:$1,0)-MATCH($W$1,[5]enemy_skill_sets!$1:$1,0)+2),MATCH(M$1,[5]enemy_skill_sets!$1:$1,0)-MATCH($W$1,[5]enemy_skill_sets!$1:$1,0)+2,FALSE)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1" s="22">
        <f ca="1">VLOOKUP($L221,OFFSET([3]enemies!$A$1,0,0,COUNTA([3]enemies!$A:$A),MATCH(W$1,[3]enemies!$1:$1,0)-MATCH($L$1,[3]enemies!$1:$1,0)+1),MATCH(W$1,[3]enemies!$1:$1,0)-MATCH($L$1,[3]enemies!$1:$1,0)+1,FALSE)</f>
        <v>0</v>
      </c>
      <c r="X221" s="81">
        <v>1</v>
      </c>
      <c r="Y221" s="81">
        <v>100</v>
      </c>
      <c r="Z221" s="81">
        <v>1</v>
      </c>
      <c r="AA221" s="22">
        <f ca="1">VLOOKUP($L221,OFFSET([3]enemies!$A$1,0,0,COUNTA([3]enemies!$A:$A),MATCH(AA$1,[3]enemies!$1:$1,0)-MATCH($L$1,[3]enemies!$1:$1,0)+1),MATCH(AA$1,[3]enemies!$1:$1,0)-MATCH($L$1,[3]enemies!$1:$1,0)+1,FALSE)</f>
        <v>3</v>
      </c>
      <c r="AB221" s="70">
        <v>103</v>
      </c>
      <c r="AC221" s="22" t="str">
        <f ca="1">IFERROR(VLOOKUP($AB221,OFFSET([4]characters!$A$1,0,0,COUNTA([4]characters!$A:$A),MATCH(AC$1,[4]characters!$1:$1,0)-MATCH("character_id",[4]characters!$1:$1,0)+1),MATCH(AC$1,[4]characters!$1:$1,0)-MATCH("character_id",[4]characters!$1:$1,0)+1,FALSE),"")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21" s="22">
        <f ca="1">IFERROR(VLOOKUP($AB221,OFFSET([4]characters!$A$1,0,0,COUNTA([4]characters!$A:$A),MATCH(AD$1,[4]characters!$1:$1,0)-MATCH("character_id",[4]characters!$1:$1,0)+1),MATCH(AD$1,[4]characters!$1:$1,0)-MATCH("character_id",[4]characters!$1:$1,0)+1,FALSE),"")</f>
        <v>4</v>
      </c>
      <c r="AE221" s="22" t="str">
        <f ca="1">IFERROR(VLOOKUP($AB221,OFFSET([4]characters!$A$1,0,0,COUNTA([4]characters!$A:$A),MATCH(AE$1,[4]characters!$1:$1,0)-MATCH("character_id",[4]characters!$1:$1,0)+1),MATCH(AE$1,[4]characters!$1:$1,0)-MATCH("character_id",[4]characters!$1:$1,0)+1,FALSE),"")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1" s="28">
        <v>1</v>
      </c>
      <c r="AG221" s="75">
        <f t="shared" ca="1" si="62"/>
        <v>4</v>
      </c>
      <c r="AH221" s="131">
        <v>50</v>
      </c>
      <c r="AI221" s="28">
        <v>0</v>
      </c>
      <c r="AJ221" s="28">
        <v>0</v>
      </c>
      <c r="AK221" s="28">
        <v>0</v>
      </c>
      <c r="AL221" s="28">
        <v>0</v>
      </c>
      <c r="AM221" s="28">
        <v>1</v>
      </c>
      <c r="AN221" s="28">
        <v>1</v>
      </c>
    </row>
    <row r="222" spans="1:40" ht="21" customHeight="1" x14ac:dyDescent="0.15">
      <c r="A222" s="78" t="str">
        <f t="shared" ca="1" si="57"/>
        <v>11102_4-2/33&lt;lv35&gt;s2</v>
      </c>
      <c r="B222" s="76">
        <v>11102</v>
      </c>
      <c r="C222" s="77">
        <v>4</v>
      </c>
      <c r="D222" s="16" t="str">
        <f t="shared" si="60"/>
        <v>11102_4</v>
      </c>
      <c r="E222" s="22" t="str">
        <f ca="1">VLOOKUP($B222,OFFSET([2]quests!$A$1,0,0,COUNTA([2]quests!$A:$A),MATCH(E$1,[2]quests!$1:$1,0)-MATCH($B$1,[2]quests!$1:$1,0)+1),MATCH(E$1,[2]quests!$1:$1,0)-MATCH($B$1,[2]quests!$1:$1,0)+1,FALSE)</f>
        <v>【期間限定】 赤の素材</v>
      </c>
      <c r="F222" s="22" t="str">
        <f ca="1">VLOOKUP($D222,OFFSET([2]stages!$A$1,0,0,COUNTA([2]stages!$A:$A),MATCH(F$1,[2]stages!$2:$2,0)-MATCH($D$1,[2]stages!$2:$2,0)+1),MATCH(F$1,[2]stages!$2:$2,0)-MATCH($D$1,[2]stages!$2:$2,0)+1,FALSE)</f>
        <v xml:space="preserve">【上級】火のイモムシ </v>
      </c>
      <c r="G222" s="68">
        <v>2</v>
      </c>
      <c r="H222" s="16" t="str">
        <f t="shared" si="61"/>
        <v>11102_4-2</v>
      </c>
      <c r="I222" s="22" t="e">
        <v>#N/A</v>
      </c>
      <c r="J222" s="22" t="e">
        <v>#N/A</v>
      </c>
      <c r="K222" s="70" t="s">
        <v>218</v>
      </c>
      <c r="L222" s="70">
        <v>33</v>
      </c>
      <c r="M222" s="22" t="str">
        <f ca="1">VLOOKUP($L222,OFFSET([3]enemies!$A$1,0,0,COUNTA([3]enemies!$A:$A),MATCH(M$1,[3]enemies!$1:$1,0)-MATCH($L$1,[3]enemies!$1:$1,0)+1),MATCH(M$1,[3]enemies!$1:$1,0)-MATCH($L$1,[3]enemies!$1:$1,0)+1,FALSE)</f>
        <v>ゴクウ</v>
      </c>
      <c r="N222" s="22" t="str">
        <f ca="1">VLOOKUP($L222,OFFSET([3]enemies!$A$1,0,0,COUNTA([3]enemies!$A:$A),MATCH(N$1,[3]enemies!$1:$1,0)-MATCH($L$1,[3]enemies!$1:$1,0)+1),MATCH(N$1,[3]enemies!$1:$1,0)-MATCH($L$1,[3]enemies!$1:$1,0)+1,FALSE)</f>
        <v>red</v>
      </c>
      <c r="O222" s="22" t="str">
        <f ca="1">VLOOKUP($L222,OFFSET([4]characters!$A$1,0,0,COUNTA([4]characters!$A:$A),MATCH(O$1,[4]characters!$1:$1,0)-MATCH($L$1,[4]characters!$1:$1,0)+1),MATCH(O$1,[4]characters!$1:$1,0)-MATCH($L$1,[4]characters!$1:$1,0)+1,FALSE)</f>
        <v>Drop1S</v>
      </c>
      <c r="P222" s="22" t="str">
        <f ca="1">VLOOKUP($L222,OFFSET([3]enemies!$A$1,0,0,COUNTA([3]enemies!$A:$A),MATCH(P$1,[3]enemies!$1:$1,0)-MATCH($L$1,[3]enemies!$1:$1,0)+1),MATCH(P$1,[3]enemies!$1:$1,0)-MATCH($L$1,[3]enemies!$1:$1,0)+1,FALSE)</f>
        <v>animal</v>
      </c>
      <c r="Q222" s="22">
        <f ca="1">VLOOKUP($L222,OFFSET([3]enemies!$A$1,0,0,COUNTA([3]enemies!$A:$A),MATCH(Q$1,[3]enemies!$1:$1,0)-MATCH($L$1,[3]enemies!$1:$1,0)+1),MATCH(Q$1,[3]enemies!$1:$1,0)-MATCH($L$1,[3]enemies!$1:$1,0)+1,FALSE)</f>
        <v>15</v>
      </c>
      <c r="R222" s="79">
        <v>35</v>
      </c>
      <c r="S222" s="80">
        <v>1</v>
      </c>
      <c r="T222" s="80">
        <v>1</v>
      </c>
      <c r="U222" s="79">
        <v>0</v>
      </c>
      <c r="V222" s="22" t="str">
        <f ca="1">VLOOKUP($W222,OFFSET([5]enemy_skill_sets!$B$1,0,0,COUNTA([5]enemy_skill_sets!$B:$B),MATCH(M$1,[5]enemy_skill_sets!$1:$1,0)-MATCH($W$1,[5]enemy_skill_sets!$1:$1,0)+2),MATCH(M$1,[5]enemy_skill_sets!$1:$1,0)-MATCH($W$1,[5]enemy_skill_sets!$1:$1,0)+2,FALSE)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222" s="22">
        <f ca="1">VLOOKUP($L222,OFFSET([3]enemies!$A$1,0,0,COUNTA([3]enemies!$A:$A),MATCH(W$1,[3]enemies!$1:$1,0)-MATCH($L$1,[3]enemies!$1:$1,0)+1),MATCH(W$1,[3]enemies!$1:$1,0)-MATCH($L$1,[3]enemies!$1:$1,0)+1,FALSE)</f>
        <v>33</v>
      </c>
      <c r="X222" s="81">
        <v>0</v>
      </c>
      <c r="Y222" s="81">
        <v>100</v>
      </c>
      <c r="Z222" s="81">
        <v>0</v>
      </c>
      <c r="AA222" s="22">
        <f ca="1">VLOOKUP($L222,OFFSET([3]enemies!$A$1,0,0,COUNTA([3]enemies!$A:$A),MATCH(AA$1,[3]enemies!$1:$1,0)-MATCH($L$1,[3]enemies!$1:$1,0)+1),MATCH(AA$1,[3]enemies!$1:$1,0)-MATCH($L$1,[3]enemies!$1:$1,0)+1,FALSE)</f>
        <v>2</v>
      </c>
      <c r="AB222" s="70">
        <v>33</v>
      </c>
      <c r="AC222" s="22" t="str">
        <f ca="1">IFERROR(VLOOKUP($AB222,OFFSET([4]characters!$A$1,0,0,COUNTA([4]characters!$A:$A),MATCH(AC$1,[4]characters!$1:$1,0)-MATCH("character_id",[4]characters!$1:$1,0)+1),MATCH(AC$1,[4]characters!$1:$1,0)-MATCH("character_id",[4]characters!$1:$1,0)+1,FALSE),"")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222" s="22">
        <f ca="1">IFERROR(VLOOKUP($AB222,OFFSET([4]characters!$A$1,0,0,COUNTA([4]characters!$A:$A),MATCH(AD$1,[4]characters!$1:$1,0)-MATCH("character_id",[4]characters!$1:$1,0)+1),MATCH(AD$1,[4]characters!$1:$1,0)-MATCH("character_id",[4]characters!$1:$1,0)+1,FALSE),"")</f>
        <v>2</v>
      </c>
      <c r="AE222" s="22" t="str">
        <f ca="1">IFERROR(VLOOKUP($AB222,OFFSET([4]characters!$A$1,0,0,COUNTA([4]characters!$A:$A),MATCH(AE$1,[4]characters!$1:$1,0)-MATCH("character_id",[4]characters!$1:$1,0)+1),MATCH(AE$1,[4]characters!$1:$1,0)-MATCH("character_id",[4]characters!$1:$1,0)+1,FALSE),"")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22" s="28">
        <v>1</v>
      </c>
      <c r="AG222" s="75">
        <f t="shared" ca="1" si="62"/>
        <v>2</v>
      </c>
      <c r="AH222" s="81">
        <v>0</v>
      </c>
      <c r="AI222" s="28">
        <v>0</v>
      </c>
      <c r="AJ222" s="28">
        <v>0</v>
      </c>
      <c r="AK222" s="28">
        <v>0</v>
      </c>
      <c r="AL222" s="28">
        <v>0</v>
      </c>
      <c r="AM222" s="28">
        <v>1</v>
      </c>
      <c r="AN222" s="28">
        <v>1</v>
      </c>
    </row>
    <row r="223" spans="1:40" ht="21" customHeight="1" x14ac:dyDescent="0.15">
      <c r="A223" s="78" t="str">
        <f t="shared" ca="1" si="57"/>
        <v>11102_4-2/21&lt;lv35&gt;s2</v>
      </c>
      <c r="B223" s="76">
        <v>11102</v>
      </c>
      <c r="C223" s="77">
        <v>4</v>
      </c>
      <c r="D223" s="16" t="str">
        <f t="shared" si="60"/>
        <v>11102_4</v>
      </c>
      <c r="E223" s="22" t="str">
        <f ca="1">VLOOKUP($B223,OFFSET([2]quests!$A$1,0,0,COUNTA([2]quests!$A:$A),MATCH(E$1,[2]quests!$1:$1,0)-MATCH($B$1,[2]quests!$1:$1,0)+1),MATCH(E$1,[2]quests!$1:$1,0)-MATCH($B$1,[2]quests!$1:$1,0)+1,FALSE)</f>
        <v>【期間限定】 赤の素材</v>
      </c>
      <c r="F223" s="22" t="str">
        <f ca="1">VLOOKUP($D223,OFFSET([2]stages!$A$1,0,0,COUNTA([2]stages!$A:$A),MATCH(F$1,[2]stages!$2:$2,0)-MATCH($D$1,[2]stages!$2:$2,0)+1),MATCH(F$1,[2]stages!$2:$2,0)-MATCH($D$1,[2]stages!$2:$2,0)+1,FALSE)</f>
        <v xml:space="preserve">【上級】火のイモムシ </v>
      </c>
      <c r="G223" s="68">
        <v>2</v>
      </c>
      <c r="H223" s="16" t="str">
        <f t="shared" si="61"/>
        <v>11102_4-2</v>
      </c>
      <c r="I223" s="22" t="e">
        <v>#N/A</v>
      </c>
      <c r="J223" s="22" t="e">
        <v>#N/A</v>
      </c>
      <c r="K223" s="70" t="s">
        <v>217</v>
      </c>
      <c r="L223" s="70">
        <v>21</v>
      </c>
      <c r="M223" s="22" t="str">
        <f ca="1">VLOOKUP($L223,OFFSET([3]enemies!$A$1,0,0,COUNTA([3]enemies!$A:$A),MATCH(M$1,[3]enemies!$1:$1,0)-MATCH($L$1,[3]enemies!$1:$1,0)+1),MATCH(M$1,[3]enemies!$1:$1,0)-MATCH($L$1,[3]enemies!$1:$1,0)+1,FALSE)</f>
        <v>ヴェロキー</v>
      </c>
      <c r="N223" s="22" t="str">
        <f ca="1">VLOOKUP($L223,OFFSET([3]enemies!$A$1,0,0,COUNTA([3]enemies!$A:$A),MATCH(N$1,[3]enemies!$1:$1,0)-MATCH($L$1,[3]enemies!$1:$1,0)+1),MATCH(N$1,[3]enemies!$1:$1,0)-MATCH($L$1,[3]enemies!$1:$1,0)+1,FALSE)</f>
        <v>red</v>
      </c>
      <c r="O223" s="22" t="str">
        <f ca="1">VLOOKUP($L223,OFFSET([4]characters!$A$1,0,0,COUNTA([4]characters!$A:$A),MATCH(O$1,[4]characters!$1:$1,0)-MATCH($L$1,[4]characters!$1:$1,0)+1),MATCH(O$1,[4]characters!$1:$1,0)-MATCH($L$1,[4]characters!$1:$1,0)+1,FALSE)</f>
        <v>Drop1N</v>
      </c>
      <c r="P223" s="22" t="str">
        <f ca="1">VLOOKUP($L223,OFFSET([3]enemies!$A$1,0,0,COUNTA([3]enemies!$A:$A),MATCH(P$1,[3]enemies!$1:$1,0)-MATCH($L$1,[3]enemies!$1:$1,0)+1),MATCH(P$1,[3]enemies!$1:$1,0)-MATCH($L$1,[3]enemies!$1:$1,0)+1,FALSE)</f>
        <v>dragon</v>
      </c>
      <c r="Q223" s="22">
        <f ca="1">VLOOKUP($L223,OFFSET([3]enemies!$A$1,0,0,COUNTA([3]enemies!$A:$A),MATCH(Q$1,[3]enemies!$1:$1,0)-MATCH($L$1,[3]enemies!$1:$1,0)+1),MATCH(Q$1,[3]enemies!$1:$1,0)-MATCH($L$1,[3]enemies!$1:$1,0)+1,FALSE)</f>
        <v>15</v>
      </c>
      <c r="R223" s="79">
        <v>35</v>
      </c>
      <c r="S223" s="80">
        <v>1</v>
      </c>
      <c r="T223" s="80">
        <v>1</v>
      </c>
      <c r="U223" s="79">
        <v>0</v>
      </c>
      <c r="V223" s="22" t="str">
        <f ca="1">VLOOKUP($W223,OFFSET([5]enemy_skill_sets!$B$1,0,0,COUNTA([5]enemy_skill_sets!$B:$B),MATCH(M$1,[5]enemy_skill_sets!$1:$1,0)-MATCH($W$1,[5]enemy_skill_sets!$1:$1,0)+2),MATCH(M$1,[5]enemy_skill_sets!$1:$1,0)-MATCH($W$1,[5]enemy_skill_sets!$1:$1,0)+2,FALSE)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3" s="22">
        <f ca="1">VLOOKUP($L223,OFFSET([3]enemies!$A$1,0,0,COUNTA([3]enemies!$A:$A),MATCH(W$1,[3]enemies!$1:$1,0)-MATCH($L$1,[3]enemies!$1:$1,0)+1),MATCH(W$1,[3]enemies!$1:$1,0)-MATCH($L$1,[3]enemies!$1:$1,0)+1,FALSE)</f>
        <v>0</v>
      </c>
      <c r="X223" s="81">
        <v>0</v>
      </c>
      <c r="Y223" s="81">
        <v>100</v>
      </c>
      <c r="Z223" s="81">
        <v>0</v>
      </c>
      <c r="AA223" s="22">
        <f ca="1">VLOOKUP($L223,OFFSET([3]enemies!$A$1,0,0,COUNTA([3]enemies!$A:$A),MATCH(AA$1,[3]enemies!$1:$1,0)-MATCH($L$1,[3]enemies!$1:$1,0)+1),MATCH(AA$1,[3]enemies!$1:$1,0)-MATCH($L$1,[3]enemies!$1:$1,0)+1,FALSE)</f>
        <v>2</v>
      </c>
      <c r="AB223" s="70">
        <v>21</v>
      </c>
      <c r="AC223" s="22" t="str">
        <f ca="1">IFERROR(VLOOKUP($AB223,OFFSET([4]characters!$A$1,0,0,COUNTA([4]characters!$A:$A),MATCH(AC$1,[4]characters!$1:$1,0)-MATCH("character_id",[4]characters!$1:$1,0)+1),MATCH(AC$1,[4]characters!$1:$1,0)-MATCH("character_id",[4]characters!$1:$1,0)+1,FALSE),"")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223" s="22">
        <f ca="1">IFERROR(VLOOKUP($AB223,OFFSET([4]characters!$A$1,0,0,COUNTA([4]characters!$A:$A),MATCH(AD$1,[4]characters!$1:$1,0)-MATCH("character_id",[4]characters!$1:$1,0)+1),MATCH(AD$1,[4]characters!$1:$1,0)-MATCH("character_id",[4]characters!$1:$1,0)+1,FALSE),"")</f>
        <v>1</v>
      </c>
      <c r="AE223" s="22" t="str">
        <f ca="1">IFERROR(VLOOKUP($AB223,OFFSET([4]characters!$A$1,0,0,COUNTA([4]characters!$A:$A),MATCH(AE$1,[4]characters!$1:$1,0)-MATCH("character_id",[4]characters!$1:$1,0)+1),MATCH(AE$1,[4]characters!$1:$1,0)-MATCH("character_id",[4]characters!$1:$1,0)+1,FALSE),"")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23" s="28">
        <v>1</v>
      </c>
      <c r="AG223" s="75">
        <f t="shared" ca="1" si="62"/>
        <v>1</v>
      </c>
      <c r="AH223" s="81">
        <v>0</v>
      </c>
      <c r="AI223" s="28">
        <v>0</v>
      </c>
      <c r="AJ223" s="28">
        <v>0</v>
      </c>
      <c r="AK223" s="28">
        <v>0</v>
      </c>
      <c r="AL223" s="28">
        <v>0</v>
      </c>
      <c r="AM223" s="28">
        <v>1</v>
      </c>
      <c r="AN223" s="28">
        <v>1</v>
      </c>
    </row>
    <row r="224" spans="1:40" ht="21" customHeight="1" x14ac:dyDescent="0.15">
      <c r="A224" s="78" t="str">
        <f t="shared" ca="1" si="57"/>
        <v>11102_4-2/332&lt;lv1&gt;s1</v>
      </c>
      <c r="B224" s="76">
        <v>11102</v>
      </c>
      <c r="C224" s="77">
        <v>4</v>
      </c>
      <c r="D224" s="16" t="str">
        <f t="shared" si="60"/>
        <v>11102_4</v>
      </c>
      <c r="E224" s="22" t="str">
        <f ca="1">VLOOKUP($B224,OFFSET([2]quests!$A$1,0,0,COUNTA([2]quests!$A:$A),MATCH(E$1,[2]quests!$1:$1,0)-MATCH($B$1,[2]quests!$1:$1,0)+1),MATCH(E$1,[2]quests!$1:$1,0)-MATCH($B$1,[2]quests!$1:$1,0)+1,FALSE)</f>
        <v>【期間限定】 赤の素材</v>
      </c>
      <c r="F224" s="22" t="str">
        <f ca="1">VLOOKUP($D224,OFFSET([2]stages!$A$1,0,0,COUNTA([2]stages!$A:$A),MATCH(F$1,[2]stages!$2:$2,0)-MATCH($D$1,[2]stages!$2:$2,0)+1),MATCH(F$1,[2]stages!$2:$2,0)-MATCH($D$1,[2]stages!$2:$2,0)+1,FALSE)</f>
        <v xml:space="preserve">【上級】火のイモムシ </v>
      </c>
      <c r="G224" s="68">
        <v>2</v>
      </c>
      <c r="H224" s="16" t="str">
        <f t="shared" si="61"/>
        <v>11102_4-2</v>
      </c>
      <c r="I224" s="22" t="e">
        <v>#N/A</v>
      </c>
      <c r="J224" s="22" t="e">
        <v>#N/A</v>
      </c>
      <c r="K224" s="70" t="s">
        <v>218</v>
      </c>
      <c r="L224" s="70">
        <v>332</v>
      </c>
      <c r="M224" s="22" t="str">
        <f ca="1">VLOOKUP($L224,OFFSET([3]enemies!$A$1,0,0,COUNTA([3]enemies!$A:$A),MATCH(M$1,[3]enemies!$1:$1,0)-MATCH($L$1,[3]enemies!$1:$1,0)+1),MATCH(M$1,[3]enemies!$1:$1,0)-MATCH($L$1,[3]enemies!$1:$1,0)+1,FALSE)</f>
        <v>炎のメタルピヨピヨ</v>
      </c>
      <c r="N224" s="22" t="str">
        <f ca="1">VLOOKUP($L224,OFFSET([3]enemies!$A$1,0,0,COUNTA([3]enemies!$A:$A),MATCH(N$1,[3]enemies!$1:$1,0)-MATCH($L$1,[3]enemies!$1:$1,0)+1),MATCH(N$1,[3]enemies!$1:$1,0)-MATCH($L$1,[3]enemies!$1:$1,0)+1,FALSE)</f>
        <v>red</v>
      </c>
      <c r="O224" s="22" t="str">
        <f ca="1">VLOOKUP($L224,OFFSET([4]characters!$A$1,0,0,COUNTA([4]characters!$A:$A),MATCH(O$1,[4]characters!$1:$1,0)-MATCH($L$1,[4]characters!$1:$1,0)+1),MATCH(O$1,[4]characters!$1:$1,0)-MATCH($L$1,[4]characters!$1:$1,0)+1,FALSE)</f>
        <v>Material</v>
      </c>
      <c r="P224" s="22" t="str">
        <f ca="1">VLOOKUP($L224,OFFSET([3]enemies!$A$1,0,0,COUNTA([3]enemies!$A:$A),MATCH(P$1,[3]enemies!$1:$1,0)-MATCH($L$1,[3]enemies!$1:$1,0)+1),MATCH(P$1,[3]enemies!$1:$1,0)-MATCH($L$1,[3]enemies!$1:$1,0)+1,FALSE)</f>
        <v>unknown</v>
      </c>
      <c r="Q224" s="22">
        <f ca="1">VLOOKUP($L224,OFFSET([3]enemies!$A$1,0,0,COUNTA([3]enemies!$A:$A),MATCH(Q$1,[3]enemies!$1:$1,0)-MATCH($L$1,[3]enemies!$1:$1,0)+1),MATCH(Q$1,[3]enemies!$1:$1,0)-MATCH($L$1,[3]enemies!$1:$1,0)+1,FALSE)</f>
        <v>15</v>
      </c>
      <c r="R224" s="79">
        <v>1</v>
      </c>
      <c r="S224" s="80">
        <v>1</v>
      </c>
      <c r="T224" s="80">
        <v>1</v>
      </c>
      <c r="U224" s="79">
        <v>0</v>
      </c>
      <c r="V224" s="22" t="str">
        <f ca="1">VLOOKUP($W224,OFFSET([5]enemy_skill_sets!$B$1,0,0,COUNTA([5]enemy_skill_sets!$B:$B),MATCH(M$1,[5]enemy_skill_sets!$1:$1,0)-MATCH($W$1,[5]enemy_skill_sets!$1:$1,0)+2),MATCH(M$1,[5]enemy_skill_sets!$1:$1,0)-MATCH($W$1,[5]enemy_skill_sets!$1:$1,0)+2,FALSE)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4" s="22">
        <f ca="1">VLOOKUP($L224,OFFSET([3]enemies!$A$1,0,0,COUNTA([3]enemies!$A:$A),MATCH(W$1,[3]enemies!$1:$1,0)-MATCH($L$1,[3]enemies!$1:$1,0)+1),MATCH(W$1,[3]enemies!$1:$1,0)-MATCH($L$1,[3]enemies!$1:$1,0)+1,FALSE)</f>
        <v>0</v>
      </c>
      <c r="X224" s="81">
        <v>0</v>
      </c>
      <c r="Y224" s="81">
        <v>30</v>
      </c>
      <c r="Z224" s="81">
        <v>0</v>
      </c>
      <c r="AA224" s="22">
        <f ca="1">VLOOKUP($L224,OFFSET([3]enemies!$A$1,0,0,COUNTA([3]enemies!$A:$A),MATCH(AA$1,[3]enemies!$1:$1,0)-MATCH($L$1,[3]enemies!$1:$1,0)+1),MATCH(AA$1,[3]enemies!$1:$1,0)-MATCH($L$1,[3]enemies!$1:$1,0)+1,FALSE)</f>
        <v>1</v>
      </c>
      <c r="AB224" s="70">
        <v>332</v>
      </c>
      <c r="AC224" s="22" t="str">
        <f ca="1">IFERROR(VLOOKUP($AB224,OFFSET([4]characters!$A$1,0,0,COUNTA([4]characters!$A:$A),MATCH(AC$1,[4]characters!$1:$1,0)-MATCH("character_id",[4]characters!$1:$1,0)+1),MATCH(AC$1,[4]characters!$1:$1,0)-MATCH("character_id",[4]characters!$1:$1,0)+1,FALSE),"")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224" s="22">
        <f ca="1">IFERROR(VLOOKUP($AB224,OFFSET([4]characters!$A$1,0,0,COUNTA([4]characters!$A:$A),MATCH(AD$1,[4]characters!$1:$1,0)-MATCH("character_id",[4]characters!$1:$1,0)+1),MATCH(AD$1,[4]characters!$1:$1,0)-MATCH("character_id",[4]characters!$1:$1,0)+1,FALSE),"")</f>
        <v>3</v>
      </c>
      <c r="AE224" s="22" t="str">
        <f ca="1">IFERROR(VLOOKUP($AB224,OFFSET([4]characters!$A$1,0,0,COUNTA([4]characters!$A:$A),MATCH(AE$1,[4]characters!$1:$1,0)-MATCH("character_id",[4]characters!$1:$1,0)+1),MATCH(AE$1,[4]characters!$1:$1,0)-MATCH("character_id",[4]characters!$1:$1,0)+1,FALSE),"")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4" s="28">
        <v>1</v>
      </c>
      <c r="AG224" s="75">
        <f t="shared" ca="1" si="62"/>
        <v>3</v>
      </c>
      <c r="AH224" s="81">
        <v>10</v>
      </c>
      <c r="AI224" s="28">
        <v>0</v>
      </c>
      <c r="AJ224" s="28">
        <v>0</v>
      </c>
      <c r="AK224" s="28">
        <v>0</v>
      </c>
      <c r="AL224" s="28">
        <v>0</v>
      </c>
      <c r="AM224" s="28">
        <v>1</v>
      </c>
      <c r="AN224" s="28">
        <v>1</v>
      </c>
    </row>
    <row r="225" spans="1:40" ht="21" customHeight="1" x14ac:dyDescent="0.15">
      <c r="A225" s="78" t="str">
        <f t="shared" ca="1" si="57"/>
        <v>11102_4-2/333&lt;lv1&gt;s2</v>
      </c>
      <c r="B225" s="76">
        <v>11102</v>
      </c>
      <c r="C225" s="77">
        <v>4</v>
      </c>
      <c r="D225" s="16" t="str">
        <f t="shared" si="60"/>
        <v>11102_4</v>
      </c>
      <c r="E225" s="22" t="str">
        <f ca="1">VLOOKUP($B225,OFFSET([2]quests!$A$1,0,0,COUNTA([2]quests!$A:$A),MATCH(E$1,[2]quests!$1:$1,0)-MATCH($B$1,[2]quests!$1:$1,0)+1),MATCH(E$1,[2]quests!$1:$1,0)-MATCH($B$1,[2]quests!$1:$1,0)+1,FALSE)</f>
        <v>【期間限定】 赤の素材</v>
      </c>
      <c r="F225" s="22" t="str">
        <f ca="1">VLOOKUP($D225,OFFSET([2]stages!$A$1,0,0,COUNTA([2]stages!$A:$A),MATCH(F$1,[2]stages!$2:$2,0)-MATCH($D$1,[2]stages!$2:$2,0)+1),MATCH(F$1,[2]stages!$2:$2,0)-MATCH($D$1,[2]stages!$2:$2,0)+1,FALSE)</f>
        <v xml:space="preserve">【上級】火のイモムシ </v>
      </c>
      <c r="G225" s="68">
        <v>2</v>
      </c>
      <c r="H225" s="16" t="str">
        <f t="shared" si="61"/>
        <v>11102_4-2</v>
      </c>
      <c r="I225" s="22" t="e">
        <v>#N/A</v>
      </c>
      <c r="J225" s="22" t="e">
        <v>#N/A</v>
      </c>
      <c r="K225" s="70" t="s">
        <v>218</v>
      </c>
      <c r="L225" s="70">
        <v>333</v>
      </c>
      <c r="M225" s="22" t="str">
        <f ca="1">VLOOKUP($L225,OFFSET([3]enemies!$A$1,0,0,COUNTA([3]enemies!$A:$A),MATCH(M$1,[3]enemies!$1:$1,0)-MATCH($L$1,[3]enemies!$1:$1,0)+1),MATCH(M$1,[3]enemies!$1:$1,0)-MATCH($L$1,[3]enemies!$1:$1,0)+1,FALSE)</f>
        <v>炎のメタルチック</v>
      </c>
      <c r="N225" s="22" t="str">
        <f ca="1">VLOOKUP($L225,OFFSET([3]enemies!$A$1,0,0,COUNTA([3]enemies!$A:$A),MATCH(N$1,[3]enemies!$1:$1,0)-MATCH($L$1,[3]enemies!$1:$1,0)+1),MATCH(N$1,[3]enemies!$1:$1,0)-MATCH($L$1,[3]enemies!$1:$1,0)+1,FALSE)</f>
        <v>red</v>
      </c>
      <c r="O225" s="22" t="str">
        <f ca="1">VLOOKUP($L225,OFFSET([4]characters!$A$1,0,0,COUNTA([4]characters!$A:$A),MATCH(O$1,[4]characters!$1:$1,0)-MATCH($L$1,[4]characters!$1:$1,0)+1),MATCH(O$1,[4]characters!$1:$1,0)-MATCH($L$1,[4]characters!$1:$1,0)+1,FALSE)</f>
        <v>Material</v>
      </c>
      <c r="P225" s="22" t="str">
        <f ca="1">VLOOKUP($L225,OFFSET([3]enemies!$A$1,0,0,COUNTA([3]enemies!$A:$A),MATCH(P$1,[3]enemies!$1:$1,0)-MATCH($L$1,[3]enemies!$1:$1,0)+1),MATCH(P$1,[3]enemies!$1:$1,0)-MATCH($L$1,[3]enemies!$1:$1,0)+1,FALSE)</f>
        <v>unknown</v>
      </c>
      <c r="Q225" s="22">
        <f ca="1">VLOOKUP($L225,OFFSET([3]enemies!$A$1,0,0,COUNTA([3]enemies!$A:$A),MATCH(Q$1,[3]enemies!$1:$1,0)-MATCH($L$1,[3]enemies!$1:$1,0)+1),MATCH(Q$1,[3]enemies!$1:$1,0)-MATCH($L$1,[3]enemies!$1:$1,0)+1,FALSE)</f>
        <v>15</v>
      </c>
      <c r="R225" s="79">
        <v>1</v>
      </c>
      <c r="S225" s="80">
        <v>1</v>
      </c>
      <c r="T225" s="80">
        <v>1</v>
      </c>
      <c r="U225" s="79">
        <v>0</v>
      </c>
      <c r="V225" s="22" t="str">
        <f ca="1">VLOOKUP($W225,OFFSET([5]enemy_skill_sets!$B$1,0,0,COUNTA([5]enemy_skill_sets!$B:$B),MATCH(M$1,[5]enemy_skill_sets!$1:$1,0)-MATCH($W$1,[5]enemy_skill_sets!$1:$1,0)+2),MATCH(M$1,[5]enemy_skill_sets!$1:$1,0)-MATCH($W$1,[5]enemy_skill_sets!$1:$1,0)+2,FALSE)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5" s="22">
        <f ca="1">VLOOKUP($L225,OFFSET([3]enemies!$A$1,0,0,COUNTA([3]enemies!$A:$A),MATCH(W$1,[3]enemies!$1:$1,0)-MATCH($L$1,[3]enemies!$1:$1,0)+1),MATCH(W$1,[3]enemies!$1:$1,0)-MATCH($L$1,[3]enemies!$1:$1,0)+1,FALSE)</f>
        <v>0</v>
      </c>
      <c r="X225" s="81">
        <v>0</v>
      </c>
      <c r="Y225" s="81">
        <v>30</v>
      </c>
      <c r="Z225" s="81">
        <v>0</v>
      </c>
      <c r="AA225" s="22">
        <f ca="1">VLOOKUP($L225,OFFSET([3]enemies!$A$1,0,0,COUNTA([3]enemies!$A:$A),MATCH(AA$1,[3]enemies!$1:$1,0)-MATCH($L$1,[3]enemies!$1:$1,0)+1),MATCH(AA$1,[3]enemies!$1:$1,0)-MATCH($L$1,[3]enemies!$1:$1,0)+1,FALSE)</f>
        <v>2</v>
      </c>
      <c r="AB225" s="70">
        <v>333</v>
      </c>
      <c r="AC225" s="22" t="str">
        <f ca="1">IFERROR(VLOOKUP($AB225,OFFSET([4]characters!$A$1,0,0,COUNTA([4]characters!$A:$A),MATCH(AC$1,[4]characters!$1:$1,0)-MATCH("character_id",[4]characters!$1:$1,0)+1),MATCH(AC$1,[4]characters!$1:$1,0)-MATCH("character_id",[4]characters!$1:$1,0)+1,FALSE),"")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225" s="22">
        <f ca="1">IFERROR(VLOOKUP($AB225,OFFSET([4]characters!$A$1,0,0,COUNTA([4]characters!$A:$A),MATCH(AD$1,[4]characters!$1:$1,0)-MATCH("character_id",[4]characters!$1:$1,0)+1),MATCH(AD$1,[4]characters!$1:$1,0)-MATCH("character_id",[4]characters!$1:$1,0)+1,FALSE),"")</f>
        <v>4</v>
      </c>
      <c r="AE225" s="22" t="str">
        <f ca="1">IFERROR(VLOOKUP($AB225,OFFSET([4]characters!$A$1,0,0,COUNTA([4]characters!$A:$A),MATCH(AE$1,[4]characters!$1:$1,0)-MATCH("character_id",[4]characters!$1:$1,0)+1),MATCH(AE$1,[4]characters!$1:$1,0)-MATCH("character_id",[4]characters!$1:$1,0)+1,FALSE),"")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5" s="28">
        <v>1</v>
      </c>
      <c r="AG225" s="75">
        <f t="shared" ca="1" si="62"/>
        <v>4</v>
      </c>
      <c r="AH225" s="81">
        <v>5</v>
      </c>
      <c r="AI225" s="28">
        <v>0</v>
      </c>
      <c r="AJ225" s="28">
        <v>0</v>
      </c>
      <c r="AK225" s="28">
        <v>0</v>
      </c>
      <c r="AL225" s="28">
        <v>0</v>
      </c>
      <c r="AM225" s="28">
        <v>1</v>
      </c>
      <c r="AN225" s="28">
        <v>1</v>
      </c>
    </row>
    <row r="226" spans="1:40" ht="21" customHeight="1" x14ac:dyDescent="0.15">
      <c r="A226" s="78" t="str">
        <f t="shared" ca="1" si="57"/>
        <v>11102_4-3/103&lt;lv30&gt;s3</v>
      </c>
      <c r="B226" s="76">
        <v>11102</v>
      </c>
      <c r="C226" s="77">
        <v>4</v>
      </c>
      <c r="D226" s="16" t="str">
        <f t="shared" si="60"/>
        <v>11102_4</v>
      </c>
      <c r="E226" s="22" t="str">
        <f ca="1">VLOOKUP($B226,OFFSET([2]quests!$A$1,0,0,COUNTA([2]quests!$A:$A),MATCH(E$1,[2]quests!$1:$1,0)-MATCH($B$1,[2]quests!$1:$1,0)+1),MATCH(E$1,[2]quests!$1:$1,0)-MATCH($B$1,[2]quests!$1:$1,0)+1,FALSE)</f>
        <v>【期間限定】 赤の素材</v>
      </c>
      <c r="F226" s="22" t="str">
        <f ca="1">VLOOKUP($D226,OFFSET([2]stages!$A$1,0,0,COUNTA([2]stages!$A:$A),MATCH(F$1,[2]stages!$2:$2,0)-MATCH($D$1,[2]stages!$2:$2,0)+1),MATCH(F$1,[2]stages!$2:$2,0)-MATCH($D$1,[2]stages!$2:$2,0)+1,FALSE)</f>
        <v xml:space="preserve">【上級】火のイモムシ </v>
      </c>
      <c r="G226" s="68">
        <v>3</v>
      </c>
      <c r="H226" s="16" t="str">
        <f t="shared" si="61"/>
        <v>11102_4-3</v>
      </c>
      <c r="I226" s="22" t="e">
        <v>#N/A</v>
      </c>
      <c r="J226" s="22" t="e">
        <v>#N/A</v>
      </c>
      <c r="K226" s="70" t="s">
        <v>218</v>
      </c>
      <c r="L226" s="70">
        <v>103</v>
      </c>
      <c r="M226" s="22" t="str">
        <f ca="1">VLOOKUP($L226,OFFSET([3]enemies!$A$1,0,0,COUNTA([3]enemies!$A:$A),MATCH(M$1,[3]enemies!$1:$1,0)-MATCH($L$1,[3]enemies!$1:$1,0)+1),MATCH(M$1,[3]enemies!$1:$1,0)-MATCH($L$1,[3]enemies!$1:$1,0)+1,FALSE)</f>
        <v>レッドキャタップ</v>
      </c>
      <c r="N226" s="22" t="str">
        <f ca="1">VLOOKUP($L226,OFFSET([3]enemies!$A$1,0,0,COUNTA([3]enemies!$A:$A),MATCH(N$1,[3]enemies!$1:$1,0)-MATCH($L$1,[3]enemies!$1:$1,0)+1),MATCH(N$1,[3]enemies!$1:$1,0)-MATCH($L$1,[3]enemies!$1:$1,0)+1,FALSE)</f>
        <v>red</v>
      </c>
      <c r="O226" s="22" t="str">
        <f ca="1">VLOOKUP($L226,OFFSET([4]characters!$A$1,0,0,COUNTA([4]characters!$A:$A),MATCH(O$1,[4]characters!$1:$1,0)-MATCH($L$1,[4]characters!$1:$1,0)+1),MATCH(O$1,[4]characters!$1:$1,0)-MATCH($L$1,[4]characters!$1:$1,0)+1,FALSE)</f>
        <v>Material</v>
      </c>
      <c r="P226" s="22" t="str">
        <f ca="1">VLOOKUP($L226,OFFSET([3]enemies!$A$1,0,0,COUNTA([3]enemies!$A:$A),MATCH(P$1,[3]enemies!$1:$1,0)-MATCH($L$1,[3]enemies!$1:$1,0)+1),MATCH(P$1,[3]enemies!$1:$1,0)-MATCH($L$1,[3]enemies!$1:$1,0)+1,FALSE)</f>
        <v>unknown</v>
      </c>
      <c r="Q226" s="22">
        <f ca="1">VLOOKUP($L226,OFFSET([3]enemies!$A$1,0,0,COUNTA([3]enemies!$A:$A),MATCH(Q$1,[3]enemies!$1:$1,0)-MATCH($L$1,[3]enemies!$1:$1,0)+1),MATCH(Q$1,[3]enemies!$1:$1,0)-MATCH($L$1,[3]enemies!$1:$1,0)+1,FALSE)</f>
        <v>15</v>
      </c>
      <c r="R226" s="79">
        <v>30</v>
      </c>
      <c r="S226" s="80">
        <v>2</v>
      </c>
      <c r="T226" s="80">
        <v>1</v>
      </c>
      <c r="U226" s="79">
        <v>0</v>
      </c>
      <c r="V226" s="22" t="str">
        <f ca="1">VLOOKUP($W226,OFFSET([5]enemy_skill_sets!$B$1,0,0,COUNTA([5]enemy_skill_sets!$B:$B),MATCH(M$1,[5]enemy_skill_sets!$1:$1,0)-MATCH($W$1,[5]enemy_skill_sets!$1:$1,0)+2),MATCH(M$1,[5]enemy_skill_sets!$1:$1,0)-MATCH($W$1,[5]enemy_skill_sets!$1:$1,0)+2,FALSE)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6" s="22">
        <f ca="1">VLOOKUP($L226,OFFSET([3]enemies!$A$1,0,0,COUNTA([3]enemies!$A:$A),MATCH(W$1,[3]enemies!$1:$1,0)-MATCH($L$1,[3]enemies!$1:$1,0)+1),MATCH(W$1,[3]enemies!$1:$1,0)-MATCH($L$1,[3]enemies!$1:$1,0)+1,FALSE)</f>
        <v>0</v>
      </c>
      <c r="X226" s="81">
        <v>1</v>
      </c>
      <c r="Y226" s="81">
        <v>100</v>
      </c>
      <c r="Z226" s="81">
        <v>1</v>
      </c>
      <c r="AA226" s="22">
        <f ca="1">VLOOKUP($L226,OFFSET([3]enemies!$A$1,0,0,COUNTA([3]enemies!$A:$A),MATCH(AA$1,[3]enemies!$1:$1,0)-MATCH($L$1,[3]enemies!$1:$1,0)+1),MATCH(AA$1,[3]enemies!$1:$1,0)-MATCH($L$1,[3]enemies!$1:$1,0)+1,FALSE)</f>
        <v>3</v>
      </c>
      <c r="AB226" s="70">
        <v>103</v>
      </c>
      <c r="AC226" s="22" t="str">
        <f ca="1">IFERROR(VLOOKUP($AB226,OFFSET([4]characters!$A$1,0,0,COUNTA([4]characters!$A:$A),MATCH(AC$1,[4]characters!$1:$1,0)-MATCH("character_id",[4]characters!$1:$1,0)+1),MATCH(AC$1,[4]characters!$1:$1,0)-MATCH("character_id",[4]characters!$1:$1,0)+1,FALSE),"")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26" s="22">
        <f ca="1">IFERROR(VLOOKUP($AB226,OFFSET([4]characters!$A$1,0,0,COUNTA([4]characters!$A:$A),MATCH(AD$1,[4]characters!$1:$1,0)-MATCH("character_id",[4]characters!$1:$1,0)+1),MATCH(AD$1,[4]characters!$1:$1,0)-MATCH("character_id",[4]characters!$1:$1,0)+1,FALSE),"")</f>
        <v>4</v>
      </c>
      <c r="AE226" s="22" t="str">
        <f ca="1">IFERROR(VLOOKUP($AB226,OFFSET([4]characters!$A$1,0,0,COUNTA([4]characters!$A:$A),MATCH(AE$1,[4]characters!$1:$1,0)-MATCH("character_id",[4]characters!$1:$1,0)+1),MATCH(AE$1,[4]characters!$1:$1,0)-MATCH("character_id",[4]characters!$1:$1,0)+1,FALSE),"")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6" s="28">
        <v>1</v>
      </c>
      <c r="AG226" s="75">
        <f t="shared" ca="1" si="62"/>
        <v>4</v>
      </c>
      <c r="AH226" s="81">
        <v>50</v>
      </c>
      <c r="AI226" s="28">
        <v>0</v>
      </c>
      <c r="AJ226" s="28">
        <v>0</v>
      </c>
      <c r="AK226" s="28">
        <v>0</v>
      </c>
      <c r="AL226" s="28">
        <v>0</v>
      </c>
      <c r="AM226" s="28">
        <v>1</v>
      </c>
      <c r="AN226" s="28">
        <v>1</v>
      </c>
    </row>
    <row r="227" spans="1:40" ht="21" customHeight="1" x14ac:dyDescent="0.15">
      <c r="A227" s="78" t="str">
        <f t="shared" ca="1" si="57"/>
        <v>11102_4-3/33&lt;lv35&gt;s2</v>
      </c>
      <c r="B227" s="76">
        <v>11102</v>
      </c>
      <c r="C227" s="77">
        <v>4</v>
      </c>
      <c r="D227" s="16" t="str">
        <f t="shared" si="60"/>
        <v>11102_4</v>
      </c>
      <c r="E227" s="22" t="str">
        <f ca="1">VLOOKUP($B227,OFFSET([2]quests!$A$1,0,0,COUNTA([2]quests!$A:$A),MATCH(E$1,[2]quests!$1:$1,0)-MATCH($B$1,[2]quests!$1:$1,0)+1),MATCH(E$1,[2]quests!$1:$1,0)-MATCH($B$1,[2]quests!$1:$1,0)+1,FALSE)</f>
        <v>【期間限定】 赤の素材</v>
      </c>
      <c r="F227" s="22" t="str">
        <f ca="1">VLOOKUP($D227,OFFSET([2]stages!$A$1,0,0,COUNTA([2]stages!$A:$A),MATCH(F$1,[2]stages!$2:$2,0)-MATCH($D$1,[2]stages!$2:$2,0)+1),MATCH(F$1,[2]stages!$2:$2,0)-MATCH($D$1,[2]stages!$2:$2,0)+1,FALSE)</f>
        <v xml:space="preserve">【上級】火のイモムシ </v>
      </c>
      <c r="G227" s="68">
        <v>3</v>
      </c>
      <c r="H227" s="16" t="str">
        <f t="shared" si="61"/>
        <v>11102_4-3</v>
      </c>
      <c r="I227" s="22" t="e">
        <v>#N/A</v>
      </c>
      <c r="J227" s="22" t="e">
        <v>#N/A</v>
      </c>
      <c r="K227" s="70" t="s">
        <v>217</v>
      </c>
      <c r="L227" s="70">
        <v>33</v>
      </c>
      <c r="M227" s="22" t="str">
        <f ca="1">VLOOKUP($L227,OFFSET([3]enemies!$A$1,0,0,COUNTA([3]enemies!$A:$A),MATCH(M$1,[3]enemies!$1:$1,0)-MATCH($L$1,[3]enemies!$1:$1,0)+1),MATCH(M$1,[3]enemies!$1:$1,0)-MATCH($L$1,[3]enemies!$1:$1,0)+1,FALSE)</f>
        <v>ゴクウ</v>
      </c>
      <c r="N227" s="22" t="str">
        <f ca="1">VLOOKUP($L227,OFFSET([3]enemies!$A$1,0,0,COUNTA([3]enemies!$A:$A),MATCH(N$1,[3]enemies!$1:$1,0)-MATCH($L$1,[3]enemies!$1:$1,0)+1),MATCH(N$1,[3]enemies!$1:$1,0)-MATCH($L$1,[3]enemies!$1:$1,0)+1,FALSE)</f>
        <v>red</v>
      </c>
      <c r="O227" s="22" t="str">
        <f ca="1">VLOOKUP($L227,OFFSET([4]characters!$A$1,0,0,COUNTA([4]characters!$A:$A),MATCH(O$1,[4]characters!$1:$1,0)-MATCH($L$1,[4]characters!$1:$1,0)+1),MATCH(O$1,[4]characters!$1:$1,0)-MATCH($L$1,[4]characters!$1:$1,0)+1,FALSE)</f>
        <v>Drop1S</v>
      </c>
      <c r="P227" s="22" t="str">
        <f ca="1">VLOOKUP($L227,OFFSET([3]enemies!$A$1,0,0,COUNTA([3]enemies!$A:$A),MATCH(P$1,[3]enemies!$1:$1,0)-MATCH($L$1,[3]enemies!$1:$1,0)+1),MATCH(P$1,[3]enemies!$1:$1,0)-MATCH($L$1,[3]enemies!$1:$1,0)+1,FALSE)</f>
        <v>animal</v>
      </c>
      <c r="Q227" s="22">
        <f ca="1">VLOOKUP($L227,OFFSET([3]enemies!$A$1,0,0,COUNTA([3]enemies!$A:$A),MATCH(Q$1,[3]enemies!$1:$1,0)-MATCH($L$1,[3]enemies!$1:$1,0)+1),MATCH(Q$1,[3]enemies!$1:$1,0)-MATCH($L$1,[3]enemies!$1:$1,0)+1,FALSE)</f>
        <v>15</v>
      </c>
      <c r="R227" s="79">
        <v>35</v>
      </c>
      <c r="S227" s="80">
        <v>1</v>
      </c>
      <c r="T227" s="80">
        <v>1</v>
      </c>
      <c r="U227" s="79">
        <v>0</v>
      </c>
      <c r="V227" s="22" t="str">
        <f ca="1">VLOOKUP($W227,OFFSET([5]enemy_skill_sets!$B$1,0,0,COUNTA([5]enemy_skill_sets!$B:$B),MATCH(M$1,[5]enemy_skill_sets!$1:$1,0)-MATCH($W$1,[5]enemy_skill_sets!$1:$1,0)+2),MATCH(M$1,[5]enemy_skill_sets!$1:$1,0)-MATCH($W$1,[5]enemy_skill_sets!$1:$1,0)+2,FALSE)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227" s="22">
        <f ca="1">VLOOKUP($L227,OFFSET([3]enemies!$A$1,0,0,COUNTA([3]enemies!$A:$A),MATCH(W$1,[3]enemies!$1:$1,0)-MATCH($L$1,[3]enemies!$1:$1,0)+1),MATCH(W$1,[3]enemies!$1:$1,0)-MATCH($L$1,[3]enemies!$1:$1,0)+1,FALSE)</f>
        <v>33</v>
      </c>
      <c r="X227" s="81">
        <v>0</v>
      </c>
      <c r="Y227" s="81">
        <v>100</v>
      </c>
      <c r="Z227" s="81">
        <v>0</v>
      </c>
      <c r="AA227" s="22">
        <f ca="1">VLOOKUP($L227,OFFSET([3]enemies!$A$1,0,0,COUNTA([3]enemies!$A:$A),MATCH(AA$1,[3]enemies!$1:$1,0)-MATCH($L$1,[3]enemies!$1:$1,0)+1),MATCH(AA$1,[3]enemies!$1:$1,0)-MATCH($L$1,[3]enemies!$1:$1,0)+1,FALSE)</f>
        <v>2</v>
      </c>
      <c r="AB227" s="70">
        <v>33</v>
      </c>
      <c r="AC227" s="22" t="str">
        <f ca="1">IFERROR(VLOOKUP($AB227,OFFSET([4]characters!$A$1,0,0,COUNTA([4]characters!$A:$A),MATCH(AC$1,[4]characters!$1:$1,0)-MATCH("character_id",[4]characters!$1:$1,0)+1),MATCH(AC$1,[4]characters!$1:$1,0)-MATCH("character_id",[4]characters!$1:$1,0)+1,FALSE),"")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227" s="22">
        <f ca="1">IFERROR(VLOOKUP($AB227,OFFSET([4]characters!$A$1,0,0,COUNTA([4]characters!$A:$A),MATCH(AD$1,[4]characters!$1:$1,0)-MATCH("character_id",[4]characters!$1:$1,0)+1),MATCH(AD$1,[4]characters!$1:$1,0)-MATCH("character_id",[4]characters!$1:$1,0)+1,FALSE),"")</f>
        <v>2</v>
      </c>
      <c r="AE227" s="22" t="str">
        <f ca="1">IFERROR(VLOOKUP($AB227,OFFSET([4]characters!$A$1,0,0,COUNTA([4]characters!$A:$A),MATCH(AE$1,[4]characters!$1:$1,0)-MATCH("character_id",[4]characters!$1:$1,0)+1),MATCH(AE$1,[4]characters!$1:$1,0)-MATCH("character_id",[4]characters!$1:$1,0)+1,FALSE),"")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27" s="28">
        <v>1</v>
      </c>
      <c r="AG227" s="75">
        <f t="shared" ca="1" si="62"/>
        <v>2</v>
      </c>
      <c r="AH227" s="81">
        <v>0</v>
      </c>
      <c r="AI227" s="28">
        <v>0</v>
      </c>
      <c r="AJ227" s="28">
        <v>0</v>
      </c>
      <c r="AK227" s="28">
        <v>0</v>
      </c>
      <c r="AL227" s="28">
        <v>0</v>
      </c>
      <c r="AM227" s="28">
        <v>1</v>
      </c>
      <c r="AN227" s="28">
        <v>1</v>
      </c>
    </row>
    <row r="228" spans="1:40" ht="21" customHeight="1" x14ac:dyDescent="0.15">
      <c r="A228" s="78" t="str">
        <f t="shared" ca="1" si="57"/>
        <v>11102_4-3/21&lt;lv35&gt;s2</v>
      </c>
      <c r="B228" s="76">
        <v>11102</v>
      </c>
      <c r="C228" s="77">
        <v>4</v>
      </c>
      <c r="D228" s="16" t="str">
        <f t="shared" si="60"/>
        <v>11102_4</v>
      </c>
      <c r="E228" s="22" t="str">
        <f ca="1">VLOOKUP($B228,OFFSET([2]quests!$A$1,0,0,COUNTA([2]quests!$A:$A),MATCH(E$1,[2]quests!$1:$1,0)-MATCH($B$1,[2]quests!$1:$1,0)+1),MATCH(E$1,[2]quests!$1:$1,0)-MATCH($B$1,[2]quests!$1:$1,0)+1,FALSE)</f>
        <v>【期間限定】 赤の素材</v>
      </c>
      <c r="F228" s="22" t="str">
        <f ca="1">VLOOKUP($D228,OFFSET([2]stages!$A$1,0,0,COUNTA([2]stages!$A:$A),MATCH(F$1,[2]stages!$2:$2,0)-MATCH($D$1,[2]stages!$2:$2,0)+1),MATCH(F$1,[2]stages!$2:$2,0)-MATCH($D$1,[2]stages!$2:$2,0)+1,FALSE)</f>
        <v xml:space="preserve">【上級】火のイモムシ </v>
      </c>
      <c r="G228" s="68">
        <v>3</v>
      </c>
      <c r="H228" s="16" t="str">
        <f t="shared" si="61"/>
        <v>11102_4-3</v>
      </c>
      <c r="I228" s="22" t="e">
        <v>#N/A</v>
      </c>
      <c r="J228" s="22" t="e">
        <v>#N/A</v>
      </c>
      <c r="K228" s="70" t="s">
        <v>217</v>
      </c>
      <c r="L228" s="70">
        <v>21</v>
      </c>
      <c r="M228" s="22" t="str">
        <f ca="1">VLOOKUP($L228,OFFSET([3]enemies!$A$1,0,0,COUNTA([3]enemies!$A:$A),MATCH(M$1,[3]enemies!$1:$1,0)-MATCH($L$1,[3]enemies!$1:$1,0)+1),MATCH(M$1,[3]enemies!$1:$1,0)-MATCH($L$1,[3]enemies!$1:$1,0)+1,FALSE)</f>
        <v>ヴェロキー</v>
      </c>
      <c r="N228" s="22" t="str">
        <f ca="1">VLOOKUP($L228,OFFSET([3]enemies!$A$1,0,0,COUNTA([3]enemies!$A:$A),MATCH(N$1,[3]enemies!$1:$1,0)-MATCH($L$1,[3]enemies!$1:$1,0)+1),MATCH(N$1,[3]enemies!$1:$1,0)-MATCH($L$1,[3]enemies!$1:$1,0)+1,FALSE)</f>
        <v>red</v>
      </c>
      <c r="O228" s="22" t="str">
        <f ca="1">VLOOKUP($L228,OFFSET([4]characters!$A$1,0,0,COUNTA([4]characters!$A:$A),MATCH(O$1,[4]characters!$1:$1,0)-MATCH($L$1,[4]characters!$1:$1,0)+1),MATCH(O$1,[4]characters!$1:$1,0)-MATCH($L$1,[4]characters!$1:$1,0)+1,FALSE)</f>
        <v>Drop1N</v>
      </c>
      <c r="P228" s="22" t="str">
        <f ca="1">VLOOKUP($L228,OFFSET([3]enemies!$A$1,0,0,COUNTA([3]enemies!$A:$A),MATCH(P$1,[3]enemies!$1:$1,0)-MATCH($L$1,[3]enemies!$1:$1,0)+1),MATCH(P$1,[3]enemies!$1:$1,0)-MATCH($L$1,[3]enemies!$1:$1,0)+1,FALSE)</f>
        <v>dragon</v>
      </c>
      <c r="Q228" s="22">
        <f ca="1">VLOOKUP($L228,OFFSET([3]enemies!$A$1,0,0,COUNTA([3]enemies!$A:$A),MATCH(Q$1,[3]enemies!$1:$1,0)-MATCH($L$1,[3]enemies!$1:$1,0)+1),MATCH(Q$1,[3]enemies!$1:$1,0)-MATCH($L$1,[3]enemies!$1:$1,0)+1,FALSE)</f>
        <v>15</v>
      </c>
      <c r="R228" s="79">
        <v>35</v>
      </c>
      <c r="S228" s="80">
        <v>1</v>
      </c>
      <c r="T228" s="80">
        <v>1</v>
      </c>
      <c r="U228" s="79">
        <v>0</v>
      </c>
      <c r="V228" s="22" t="str">
        <f ca="1">VLOOKUP($W228,OFFSET([5]enemy_skill_sets!$B$1,0,0,COUNTA([5]enemy_skill_sets!$B:$B),MATCH(M$1,[5]enemy_skill_sets!$1:$1,0)-MATCH($W$1,[5]enemy_skill_sets!$1:$1,0)+2),MATCH(M$1,[5]enemy_skill_sets!$1:$1,0)-MATCH($W$1,[5]enemy_skill_sets!$1:$1,0)+2,FALSE)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8" s="22">
        <f ca="1">VLOOKUP($L228,OFFSET([3]enemies!$A$1,0,0,COUNTA([3]enemies!$A:$A),MATCH(W$1,[3]enemies!$1:$1,0)-MATCH($L$1,[3]enemies!$1:$1,0)+1),MATCH(W$1,[3]enemies!$1:$1,0)-MATCH($L$1,[3]enemies!$1:$1,0)+1,FALSE)</f>
        <v>0</v>
      </c>
      <c r="X228" s="81">
        <v>0</v>
      </c>
      <c r="Y228" s="81">
        <v>100</v>
      </c>
      <c r="Z228" s="81">
        <v>0</v>
      </c>
      <c r="AA228" s="22">
        <f ca="1">VLOOKUP($L228,OFFSET([3]enemies!$A$1,0,0,COUNTA([3]enemies!$A:$A),MATCH(AA$1,[3]enemies!$1:$1,0)-MATCH($L$1,[3]enemies!$1:$1,0)+1),MATCH(AA$1,[3]enemies!$1:$1,0)-MATCH($L$1,[3]enemies!$1:$1,0)+1,FALSE)</f>
        <v>2</v>
      </c>
      <c r="AB228" s="70">
        <v>21</v>
      </c>
      <c r="AC228" s="22" t="str">
        <f ca="1">IFERROR(VLOOKUP($AB228,OFFSET([4]characters!$A$1,0,0,COUNTA([4]characters!$A:$A),MATCH(AC$1,[4]characters!$1:$1,0)-MATCH("character_id",[4]characters!$1:$1,0)+1),MATCH(AC$1,[4]characters!$1:$1,0)-MATCH("character_id",[4]characters!$1:$1,0)+1,FALSE),"")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228" s="22">
        <f ca="1">IFERROR(VLOOKUP($AB228,OFFSET([4]characters!$A$1,0,0,COUNTA([4]characters!$A:$A),MATCH(AD$1,[4]characters!$1:$1,0)-MATCH("character_id",[4]characters!$1:$1,0)+1),MATCH(AD$1,[4]characters!$1:$1,0)-MATCH("character_id",[4]characters!$1:$1,0)+1,FALSE),"")</f>
        <v>1</v>
      </c>
      <c r="AE228" s="22" t="str">
        <f ca="1">IFERROR(VLOOKUP($AB228,OFFSET([4]characters!$A$1,0,0,COUNTA([4]characters!$A:$A),MATCH(AE$1,[4]characters!$1:$1,0)-MATCH("character_id",[4]characters!$1:$1,0)+1),MATCH(AE$1,[4]characters!$1:$1,0)-MATCH("character_id",[4]characters!$1:$1,0)+1,FALSE),"")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28" s="28">
        <v>1</v>
      </c>
      <c r="AG228" s="75">
        <f t="shared" ca="1" si="62"/>
        <v>1</v>
      </c>
      <c r="AH228" s="81">
        <v>0</v>
      </c>
      <c r="AI228" s="28">
        <v>0</v>
      </c>
      <c r="AJ228" s="28">
        <v>0</v>
      </c>
      <c r="AK228" s="28">
        <v>0</v>
      </c>
      <c r="AL228" s="28">
        <v>0</v>
      </c>
      <c r="AM228" s="28">
        <v>1</v>
      </c>
      <c r="AN228" s="28">
        <v>1</v>
      </c>
    </row>
    <row r="229" spans="1:40" ht="21" customHeight="1" x14ac:dyDescent="0.15">
      <c r="A229" s="78" t="str">
        <f t="shared" ca="1" si="57"/>
        <v>11102_4-3/332&lt;lv1&gt;s1</v>
      </c>
      <c r="B229" s="76">
        <v>11102</v>
      </c>
      <c r="C229" s="77">
        <v>4</v>
      </c>
      <c r="D229" s="16" t="str">
        <f t="shared" si="60"/>
        <v>11102_4</v>
      </c>
      <c r="E229" s="22" t="str">
        <f ca="1">VLOOKUP($B229,OFFSET([2]quests!$A$1,0,0,COUNTA([2]quests!$A:$A),MATCH(E$1,[2]quests!$1:$1,0)-MATCH($B$1,[2]quests!$1:$1,0)+1),MATCH(E$1,[2]quests!$1:$1,0)-MATCH($B$1,[2]quests!$1:$1,0)+1,FALSE)</f>
        <v>【期間限定】 赤の素材</v>
      </c>
      <c r="F229" s="22" t="str">
        <f ca="1">VLOOKUP($D229,OFFSET([2]stages!$A$1,0,0,COUNTA([2]stages!$A:$A),MATCH(F$1,[2]stages!$2:$2,0)-MATCH($D$1,[2]stages!$2:$2,0)+1),MATCH(F$1,[2]stages!$2:$2,0)-MATCH($D$1,[2]stages!$2:$2,0)+1,FALSE)</f>
        <v xml:space="preserve">【上級】火のイモムシ </v>
      </c>
      <c r="G229" s="68">
        <v>3</v>
      </c>
      <c r="H229" s="16" t="str">
        <f t="shared" si="61"/>
        <v>11102_4-3</v>
      </c>
      <c r="I229" s="22" t="e">
        <v>#N/A</v>
      </c>
      <c r="J229" s="22" t="e">
        <v>#N/A</v>
      </c>
      <c r="K229" s="70" t="s">
        <v>218</v>
      </c>
      <c r="L229" s="70">
        <v>332</v>
      </c>
      <c r="M229" s="22" t="str">
        <f ca="1">VLOOKUP($L229,OFFSET([3]enemies!$A$1,0,0,COUNTA([3]enemies!$A:$A),MATCH(M$1,[3]enemies!$1:$1,0)-MATCH($L$1,[3]enemies!$1:$1,0)+1),MATCH(M$1,[3]enemies!$1:$1,0)-MATCH($L$1,[3]enemies!$1:$1,0)+1,FALSE)</f>
        <v>炎のメタルピヨピヨ</v>
      </c>
      <c r="N229" s="22" t="str">
        <f ca="1">VLOOKUP($L229,OFFSET([3]enemies!$A$1,0,0,COUNTA([3]enemies!$A:$A),MATCH(N$1,[3]enemies!$1:$1,0)-MATCH($L$1,[3]enemies!$1:$1,0)+1),MATCH(N$1,[3]enemies!$1:$1,0)-MATCH($L$1,[3]enemies!$1:$1,0)+1,FALSE)</f>
        <v>red</v>
      </c>
      <c r="O229" s="22" t="str">
        <f ca="1">VLOOKUP($L229,OFFSET([4]characters!$A$1,0,0,COUNTA([4]characters!$A:$A),MATCH(O$1,[4]characters!$1:$1,0)-MATCH($L$1,[4]characters!$1:$1,0)+1),MATCH(O$1,[4]characters!$1:$1,0)-MATCH($L$1,[4]characters!$1:$1,0)+1,FALSE)</f>
        <v>Material</v>
      </c>
      <c r="P229" s="22" t="str">
        <f ca="1">VLOOKUP($L229,OFFSET([3]enemies!$A$1,0,0,COUNTA([3]enemies!$A:$A),MATCH(P$1,[3]enemies!$1:$1,0)-MATCH($L$1,[3]enemies!$1:$1,0)+1),MATCH(P$1,[3]enemies!$1:$1,0)-MATCH($L$1,[3]enemies!$1:$1,0)+1,FALSE)</f>
        <v>unknown</v>
      </c>
      <c r="Q229" s="22">
        <f ca="1">VLOOKUP($L229,OFFSET([3]enemies!$A$1,0,0,COUNTA([3]enemies!$A:$A),MATCH(Q$1,[3]enemies!$1:$1,0)-MATCH($L$1,[3]enemies!$1:$1,0)+1),MATCH(Q$1,[3]enemies!$1:$1,0)-MATCH($L$1,[3]enemies!$1:$1,0)+1,FALSE)</f>
        <v>15</v>
      </c>
      <c r="R229" s="79">
        <v>1</v>
      </c>
      <c r="S229" s="80">
        <v>1</v>
      </c>
      <c r="T229" s="80">
        <v>1</v>
      </c>
      <c r="U229" s="79">
        <v>0</v>
      </c>
      <c r="V229" s="22" t="str">
        <f ca="1">VLOOKUP($W229,OFFSET([5]enemy_skill_sets!$B$1,0,0,COUNTA([5]enemy_skill_sets!$B:$B),MATCH(M$1,[5]enemy_skill_sets!$1:$1,0)-MATCH($W$1,[5]enemy_skill_sets!$1:$1,0)+2),MATCH(M$1,[5]enemy_skill_sets!$1:$1,0)-MATCH($W$1,[5]enemy_skill_sets!$1:$1,0)+2,FALSE)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9" s="22">
        <f ca="1">VLOOKUP($L229,OFFSET([3]enemies!$A$1,0,0,COUNTA([3]enemies!$A:$A),MATCH(W$1,[3]enemies!$1:$1,0)-MATCH($L$1,[3]enemies!$1:$1,0)+1),MATCH(W$1,[3]enemies!$1:$1,0)-MATCH($L$1,[3]enemies!$1:$1,0)+1,FALSE)</f>
        <v>0</v>
      </c>
      <c r="X229" s="81">
        <v>0</v>
      </c>
      <c r="Y229" s="81">
        <v>30</v>
      </c>
      <c r="Z229" s="81">
        <v>0</v>
      </c>
      <c r="AA229" s="22">
        <f ca="1">VLOOKUP($L229,OFFSET([3]enemies!$A$1,0,0,COUNTA([3]enemies!$A:$A),MATCH(AA$1,[3]enemies!$1:$1,0)-MATCH($L$1,[3]enemies!$1:$1,0)+1),MATCH(AA$1,[3]enemies!$1:$1,0)-MATCH($L$1,[3]enemies!$1:$1,0)+1,FALSE)</f>
        <v>1</v>
      </c>
      <c r="AB229" s="70">
        <v>332</v>
      </c>
      <c r="AC229" s="22" t="str">
        <f ca="1">IFERROR(VLOOKUP($AB229,OFFSET([4]characters!$A$1,0,0,COUNTA([4]characters!$A:$A),MATCH(AC$1,[4]characters!$1:$1,0)-MATCH("character_id",[4]characters!$1:$1,0)+1),MATCH(AC$1,[4]characters!$1:$1,0)-MATCH("character_id",[4]characters!$1:$1,0)+1,FALSE),"")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229" s="22">
        <f ca="1">IFERROR(VLOOKUP($AB229,OFFSET([4]characters!$A$1,0,0,COUNTA([4]characters!$A:$A),MATCH(AD$1,[4]characters!$1:$1,0)-MATCH("character_id",[4]characters!$1:$1,0)+1),MATCH(AD$1,[4]characters!$1:$1,0)-MATCH("character_id",[4]characters!$1:$1,0)+1,FALSE),"")</f>
        <v>3</v>
      </c>
      <c r="AE229" s="22" t="str">
        <f ca="1">IFERROR(VLOOKUP($AB229,OFFSET([4]characters!$A$1,0,0,COUNTA([4]characters!$A:$A),MATCH(AE$1,[4]characters!$1:$1,0)-MATCH("character_id",[4]characters!$1:$1,0)+1),MATCH(AE$1,[4]characters!$1:$1,0)-MATCH("character_id",[4]characters!$1:$1,0)+1,FALSE),"")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9" s="28">
        <v>1</v>
      </c>
      <c r="AG229" s="75">
        <f t="shared" ca="1" si="62"/>
        <v>3</v>
      </c>
      <c r="AH229" s="81">
        <v>10</v>
      </c>
      <c r="AI229" s="28">
        <v>0</v>
      </c>
      <c r="AJ229" s="28">
        <v>0</v>
      </c>
      <c r="AK229" s="28">
        <v>0</v>
      </c>
      <c r="AL229" s="28">
        <v>0</v>
      </c>
      <c r="AM229" s="28">
        <v>1</v>
      </c>
      <c r="AN229" s="28">
        <v>1</v>
      </c>
    </row>
    <row r="230" spans="1:40" ht="21" customHeight="1" x14ac:dyDescent="0.15">
      <c r="A230" s="78" t="str">
        <f t="shared" ca="1" si="57"/>
        <v>11102_4-3/333&lt;lv1&gt;s2</v>
      </c>
      <c r="B230" s="76">
        <v>11102</v>
      </c>
      <c r="C230" s="77">
        <v>4</v>
      </c>
      <c r="D230" s="16" t="str">
        <f t="shared" si="60"/>
        <v>11102_4</v>
      </c>
      <c r="E230" s="22" t="str">
        <f ca="1">VLOOKUP($B230,OFFSET([2]quests!$A$1,0,0,COUNTA([2]quests!$A:$A),MATCH(E$1,[2]quests!$1:$1,0)-MATCH($B$1,[2]quests!$1:$1,0)+1),MATCH(E$1,[2]quests!$1:$1,0)-MATCH($B$1,[2]quests!$1:$1,0)+1,FALSE)</f>
        <v>【期間限定】 赤の素材</v>
      </c>
      <c r="F230" s="22" t="str">
        <f ca="1">VLOOKUP($D230,OFFSET([2]stages!$A$1,0,0,COUNTA([2]stages!$A:$A),MATCH(F$1,[2]stages!$2:$2,0)-MATCH($D$1,[2]stages!$2:$2,0)+1),MATCH(F$1,[2]stages!$2:$2,0)-MATCH($D$1,[2]stages!$2:$2,0)+1,FALSE)</f>
        <v xml:space="preserve">【上級】火のイモムシ </v>
      </c>
      <c r="G230" s="68">
        <v>3</v>
      </c>
      <c r="H230" s="16" t="str">
        <f t="shared" si="61"/>
        <v>11102_4-3</v>
      </c>
      <c r="I230" s="22" t="e">
        <v>#N/A</v>
      </c>
      <c r="J230" s="22" t="e">
        <v>#N/A</v>
      </c>
      <c r="K230" s="70" t="s">
        <v>218</v>
      </c>
      <c r="L230" s="70">
        <v>333</v>
      </c>
      <c r="M230" s="22" t="str">
        <f ca="1">VLOOKUP($L230,OFFSET([3]enemies!$A$1,0,0,COUNTA([3]enemies!$A:$A),MATCH(M$1,[3]enemies!$1:$1,0)-MATCH($L$1,[3]enemies!$1:$1,0)+1),MATCH(M$1,[3]enemies!$1:$1,0)-MATCH($L$1,[3]enemies!$1:$1,0)+1,FALSE)</f>
        <v>炎のメタルチック</v>
      </c>
      <c r="N230" s="22" t="str">
        <f ca="1">VLOOKUP($L230,OFFSET([3]enemies!$A$1,0,0,COUNTA([3]enemies!$A:$A),MATCH(N$1,[3]enemies!$1:$1,0)-MATCH($L$1,[3]enemies!$1:$1,0)+1),MATCH(N$1,[3]enemies!$1:$1,0)-MATCH($L$1,[3]enemies!$1:$1,0)+1,FALSE)</f>
        <v>red</v>
      </c>
      <c r="O230" s="22" t="str">
        <f ca="1">VLOOKUP($L230,OFFSET([4]characters!$A$1,0,0,COUNTA([4]characters!$A:$A),MATCH(O$1,[4]characters!$1:$1,0)-MATCH($L$1,[4]characters!$1:$1,0)+1),MATCH(O$1,[4]characters!$1:$1,0)-MATCH($L$1,[4]characters!$1:$1,0)+1,FALSE)</f>
        <v>Material</v>
      </c>
      <c r="P230" s="22" t="str">
        <f ca="1">VLOOKUP($L230,OFFSET([3]enemies!$A$1,0,0,COUNTA([3]enemies!$A:$A),MATCH(P$1,[3]enemies!$1:$1,0)-MATCH($L$1,[3]enemies!$1:$1,0)+1),MATCH(P$1,[3]enemies!$1:$1,0)-MATCH($L$1,[3]enemies!$1:$1,0)+1,FALSE)</f>
        <v>unknown</v>
      </c>
      <c r="Q230" s="22">
        <f ca="1">VLOOKUP($L230,OFFSET([3]enemies!$A$1,0,0,COUNTA([3]enemies!$A:$A),MATCH(Q$1,[3]enemies!$1:$1,0)-MATCH($L$1,[3]enemies!$1:$1,0)+1),MATCH(Q$1,[3]enemies!$1:$1,0)-MATCH($L$1,[3]enemies!$1:$1,0)+1,FALSE)</f>
        <v>15</v>
      </c>
      <c r="R230" s="79">
        <v>1</v>
      </c>
      <c r="S230" s="80">
        <v>1</v>
      </c>
      <c r="T230" s="80">
        <v>1</v>
      </c>
      <c r="U230" s="79">
        <v>0</v>
      </c>
      <c r="V230" s="22" t="str">
        <f ca="1">VLOOKUP($W230,OFFSET([5]enemy_skill_sets!$B$1,0,0,COUNTA([5]enemy_skill_sets!$B:$B),MATCH(M$1,[5]enemy_skill_sets!$1:$1,0)-MATCH($W$1,[5]enemy_skill_sets!$1:$1,0)+2),MATCH(M$1,[5]enemy_skill_sets!$1:$1,0)-MATCH($W$1,[5]enemy_skill_sets!$1:$1,0)+2,FALSE)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0" s="22">
        <f ca="1">VLOOKUP($L230,OFFSET([3]enemies!$A$1,0,0,COUNTA([3]enemies!$A:$A),MATCH(W$1,[3]enemies!$1:$1,0)-MATCH($L$1,[3]enemies!$1:$1,0)+1),MATCH(W$1,[3]enemies!$1:$1,0)-MATCH($L$1,[3]enemies!$1:$1,0)+1,FALSE)</f>
        <v>0</v>
      </c>
      <c r="X230" s="81">
        <v>0</v>
      </c>
      <c r="Y230" s="81">
        <v>30</v>
      </c>
      <c r="Z230" s="81">
        <v>0</v>
      </c>
      <c r="AA230" s="22">
        <f ca="1">VLOOKUP($L230,OFFSET([3]enemies!$A$1,0,0,COUNTA([3]enemies!$A:$A),MATCH(AA$1,[3]enemies!$1:$1,0)-MATCH($L$1,[3]enemies!$1:$1,0)+1),MATCH(AA$1,[3]enemies!$1:$1,0)-MATCH($L$1,[3]enemies!$1:$1,0)+1,FALSE)</f>
        <v>2</v>
      </c>
      <c r="AB230" s="70">
        <v>333</v>
      </c>
      <c r="AC230" s="22" t="str">
        <f ca="1">IFERROR(VLOOKUP($AB230,OFFSET([4]characters!$A$1,0,0,COUNTA([4]characters!$A:$A),MATCH(AC$1,[4]characters!$1:$1,0)-MATCH("character_id",[4]characters!$1:$1,0)+1),MATCH(AC$1,[4]characters!$1:$1,0)-MATCH("character_id",[4]characters!$1:$1,0)+1,FALSE),"")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230" s="22">
        <f ca="1">IFERROR(VLOOKUP($AB230,OFFSET([4]characters!$A$1,0,0,COUNTA([4]characters!$A:$A),MATCH(AD$1,[4]characters!$1:$1,0)-MATCH("character_id",[4]characters!$1:$1,0)+1),MATCH(AD$1,[4]characters!$1:$1,0)-MATCH("character_id",[4]characters!$1:$1,0)+1,FALSE),"")</f>
        <v>4</v>
      </c>
      <c r="AE230" s="22" t="str">
        <f ca="1">IFERROR(VLOOKUP($AB230,OFFSET([4]characters!$A$1,0,0,COUNTA([4]characters!$A:$A),MATCH(AE$1,[4]characters!$1:$1,0)-MATCH("character_id",[4]characters!$1:$1,0)+1),MATCH(AE$1,[4]characters!$1:$1,0)-MATCH("character_id",[4]characters!$1:$1,0)+1,FALSE),"")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0" s="28">
        <v>1</v>
      </c>
      <c r="AG230" s="75">
        <f t="shared" ca="1" si="62"/>
        <v>4</v>
      </c>
      <c r="AH230" s="81">
        <v>5</v>
      </c>
      <c r="AI230" s="28">
        <v>0</v>
      </c>
      <c r="AJ230" s="28">
        <v>0</v>
      </c>
      <c r="AK230" s="28">
        <v>0</v>
      </c>
      <c r="AL230" s="28">
        <v>0</v>
      </c>
      <c r="AM230" s="28">
        <v>1</v>
      </c>
      <c r="AN230" s="28">
        <v>1</v>
      </c>
    </row>
    <row r="231" spans="1:40" ht="21" customHeight="1" x14ac:dyDescent="0.15">
      <c r="A231" s="78" t="str">
        <f t="shared" ca="1" si="57"/>
        <v>11102_4-4/103&lt;lv30&gt;s3</v>
      </c>
      <c r="B231" s="76">
        <v>11102</v>
      </c>
      <c r="C231" s="77">
        <v>4</v>
      </c>
      <c r="D231" s="16" t="str">
        <f t="shared" si="60"/>
        <v>11102_4</v>
      </c>
      <c r="E231" s="22" t="str">
        <f ca="1">VLOOKUP($B231,OFFSET([2]quests!$A$1,0,0,COUNTA([2]quests!$A:$A),MATCH(E$1,[2]quests!$1:$1,0)-MATCH($B$1,[2]quests!$1:$1,0)+1),MATCH(E$1,[2]quests!$1:$1,0)-MATCH($B$1,[2]quests!$1:$1,0)+1,FALSE)</f>
        <v>【期間限定】 赤の素材</v>
      </c>
      <c r="F231" s="22" t="str">
        <f ca="1">VLOOKUP($D231,OFFSET([2]stages!$A$1,0,0,COUNTA([2]stages!$A:$A),MATCH(F$1,[2]stages!$2:$2,0)-MATCH($D$1,[2]stages!$2:$2,0)+1),MATCH(F$1,[2]stages!$2:$2,0)-MATCH($D$1,[2]stages!$2:$2,0)+1,FALSE)</f>
        <v xml:space="preserve">【上級】火のイモムシ </v>
      </c>
      <c r="G231" s="68">
        <v>4</v>
      </c>
      <c r="H231" s="16" t="str">
        <f t="shared" si="61"/>
        <v>11102_4-4</v>
      </c>
      <c r="I231" s="22" t="e">
        <v>#N/A</v>
      </c>
      <c r="J231" s="22" t="e">
        <v>#N/A</v>
      </c>
      <c r="K231" s="70" t="s">
        <v>217</v>
      </c>
      <c r="L231" s="70">
        <v>103</v>
      </c>
      <c r="M231" s="22" t="str">
        <f ca="1">VLOOKUP($L231,OFFSET([3]enemies!$A$1,0,0,COUNTA([3]enemies!$A:$A),MATCH(M$1,[3]enemies!$1:$1,0)-MATCH($L$1,[3]enemies!$1:$1,0)+1),MATCH(M$1,[3]enemies!$1:$1,0)-MATCH($L$1,[3]enemies!$1:$1,0)+1,FALSE)</f>
        <v>レッドキャタップ</v>
      </c>
      <c r="N231" s="22" t="str">
        <f ca="1">VLOOKUP($L231,OFFSET([3]enemies!$A$1,0,0,COUNTA([3]enemies!$A:$A),MATCH(N$1,[3]enemies!$1:$1,0)-MATCH($L$1,[3]enemies!$1:$1,0)+1),MATCH(N$1,[3]enemies!$1:$1,0)-MATCH($L$1,[3]enemies!$1:$1,0)+1,FALSE)</f>
        <v>red</v>
      </c>
      <c r="O231" s="22" t="str">
        <f ca="1">VLOOKUP($L231,OFFSET([4]characters!$A$1,0,0,COUNTA([4]characters!$A:$A),MATCH(O$1,[4]characters!$1:$1,0)-MATCH($L$1,[4]characters!$1:$1,0)+1),MATCH(O$1,[4]characters!$1:$1,0)-MATCH($L$1,[4]characters!$1:$1,0)+1,FALSE)</f>
        <v>Material</v>
      </c>
      <c r="P231" s="22" t="str">
        <f ca="1">VLOOKUP($L231,OFFSET([3]enemies!$A$1,0,0,COUNTA([3]enemies!$A:$A),MATCH(P$1,[3]enemies!$1:$1,0)-MATCH($L$1,[3]enemies!$1:$1,0)+1),MATCH(P$1,[3]enemies!$1:$1,0)-MATCH($L$1,[3]enemies!$1:$1,0)+1,FALSE)</f>
        <v>unknown</v>
      </c>
      <c r="Q231" s="22">
        <f ca="1">VLOOKUP($L231,OFFSET([3]enemies!$A$1,0,0,COUNTA([3]enemies!$A:$A),MATCH(Q$1,[3]enemies!$1:$1,0)-MATCH($L$1,[3]enemies!$1:$1,0)+1),MATCH(Q$1,[3]enemies!$1:$1,0)-MATCH($L$1,[3]enemies!$1:$1,0)+1,FALSE)</f>
        <v>15</v>
      </c>
      <c r="R231" s="79">
        <v>30</v>
      </c>
      <c r="S231" s="80">
        <v>2</v>
      </c>
      <c r="T231" s="80">
        <v>1</v>
      </c>
      <c r="U231" s="79">
        <v>0</v>
      </c>
      <c r="V231" s="22" t="str">
        <f ca="1">VLOOKUP($W231,OFFSET([5]enemy_skill_sets!$B$1,0,0,COUNTA([5]enemy_skill_sets!$B:$B),MATCH(M$1,[5]enemy_skill_sets!$1:$1,0)-MATCH($W$1,[5]enemy_skill_sets!$1:$1,0)+2),MATCH(M$1,[5]enemy_skill_sets!$1:$1,0)-MATCH($W$1,[5]enemy_skill_sets!$1:$1,0)+2,FALSE)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1" s="22">
        <f ca="1">VLOOKUP($L231,OFFSET([3]enemies!$A$1,0,0,COUNTA([3]enemies!$A:$A),MATCH(W$1,[3]enemies!$1:$1,0)-MATCH($L$1,[3]enemies!$1:$1,0)+1),MATCH(W$1,[3]enemies!$1:$1,0)-MATCH($L$1,[3]enemies!$1:$1,0)+1,FALSE)</f>
        <v>0</v>
      </c>
      <c r="X231" s="81">
        <v>1</v>
      </c>
      <c r="Y231" s="81">
        <v>100</v>
      </c>
      <c r="Z231" s="81">
        <v>1</v>
      </c>
      <c r="AA231" s="22">
        <f ca="1">VLOOKUP($L231,OFFSET([3]enemies!$A$1,0,0,COUNTA([3]enemies!$A:$A),MATCH(AA$1,[3]enemies!$1:$1,0)-MATCH($L$1,[3]enemies!$1:$1,0)+1),MATCH(AA$1,[3]enemies!$1:$1,0)-MATCH($L$1,[3]enemies!$1:$1,0)+1,FALSE)</f>
        <v>3</v>
      </c>
      <c r="AB231" s="70">
        <v>103</v>
      </c>
      <c r="AC231" s="22" t="str">
        <f ca="1">IFERROR(VLOOKUP($AB231,OFFSET([4]characters!$A$1,0,0,COUNTA([4]characters!$A:$A),MATCH(AC$1,[4]characters!$1:$1,0)-MATCH("character_id",[4]characters!$1:$1,0)+1),MATCH(AC$1,[4]characters!$1:$1,0)-MATCH("character_id",[4]characters!$1:$1,0)+1,FALSE),"")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31" s="22">
        <f ca="1">IFERROR(VLOOKUP($AB231,OFFSET([4]characters!$A$1,0,0,COUNTA([4]characters!$A:$A),MATCH(AD$1,[4]characters!$1:$1,0)-MATCH("character_id",[4]characters!$1:$1,0)+1),MATCH(AD$1,[4]characters!$1:$1,0)-MATCH("character_id",[4]characters!$1:$1,0)+1,FALSE),"")</f>
        <v>4</v>
      </c>
      <c r="AE231" s="22" t="str">
        <f ca="1">IFERROR(VLOOKUP($AB231,OFFSET([4]characters!$A$1,0,0,COUNTA([4]characters!$A:$A),MATCH(AE$1,[4]characters!$1:$1,0)-MATCH("character_id",[4]characters!$1:$1,0)+1),MATCH(AE$1,[4]characters!$1:$1,0)-MATCH("character_id",[4]characters!$1:$1,0)+1,FALSE),"")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1" s="28">
        <v>1</v>
      </c>
      <c r="AG231" s="75">
        <f t="shared" ca="1" si="62"/>
        <v>4</v>
      </c>
      <c r="AH231" s="81">
        <v>100</v>
      </c>
      <c r="AI231" s="28">
        <v>0</v>
      </c>
      <c r="AJ231" s="28">
        <v>0</v>
      </c>
      <c r="AK231" s="28">
        <v>0</v>
      </c>
      <c r="AL231" s="28">
        <v>0</v>
      </c>
      <c r="AM231" s="28">
        <v>1</v>
      </c>
      <c r="AN231" s="28">
        <v>1</v>
      </c>
    </row>
    <row r="232" spans="1:40" ht="21" customHeight="1" x14ac:dyDescent="0.15">
      <c r="A232" s="78" t="str">
        <f t="shared" ca="1" si="57"/>
        <v>11102_4-4/33&lt;lv35&gt;s2</v>
      </c>
      <c r="B232" s="76">
        <v>11102</v>
      </c>
      <c r="C232" s="77">
        <v>4</v>
      </c>
      <c r="D232" s="16" t="str">
        <f t="shared" si="60"/>
        <v>11102_4</v>
      </c>
      <c r="E232" s="22" t="str">
        <f ca="1">VLOOKUP($B232,OFFSET([2]quests!$A$1,0,0,COUNTA([2]quests!$A:$A),MATCH(E$1,[2]quests!$1:$1,0)-MATCH($B$1,[2]quests!$1:$1,0)+1),MATCH(E$1,[2]quests!$1:$1,0)-MATCH($B$1,[2]quests!$1:$1,0)+1,FALSE)</f>
        <v>【期間限定】 赤の素材</v>
      </c>
      <c r="F232" s="22" t="str">
        <f ca="1">VLOOKUP($D232,OFFSET([2]stages!$A$1,0,0,COUNTA([2]stages!$A:$A),MATCH(F$1,[2]stages!$2:$2,0)-MATCH($D$1,[2]stages!$2:$2,0)+1),MATCH(F$1,[2]stages!$2:$2,0)-MATCH($D$1,[2]stages!$2:$2,0)+1,FALSE)</f>
        <v xml:space="preserve">【上級】火のイモムシ </v>
      </c>
      <c r="G232" s="68">
        <v>4</v>
      </c>
      <c r="H232" s="16" t="str">
        <f t="shared" si="61"/>
        <v>11102_4-4</v>
      </c>
      <c r="I232" s="22" t="e">
        <v>#N/A</v>
      </c>
      <c r="J232" s="22" t="e">
        <v>#N/A</v>
      </c>
      <c r="K232" s="70" t="s">
        <v>218</v>
      </c>
      <c r="L232" s="70">
        <v>33</v>
      </c>
      <c r="M232" s="22" t="str">
        <f ca="1">VLOOKUP($L232,OFFSET([3]enemies!$A$1,0,0,COUNTA([3]enemies!$A:$A),MATCH(M$1,[3]enemies!$1:$1,0)-MATCH($L$1,[3]enemies!$1:$1,0)+1),MATCH(M$1,[3]enemies!$1:$1,0)-MATCH($L$1,[3]enemies!$1:$1,0)+1,FALSE)</f>
        <v>ゴクウ</v>
      </c>
      <c r="N232" s="22" t="str">
        <f ca="1">VLOOKUP($L232,OFFSET([3]enemies!$A$1,0,0,COUNTA([3]enemies!$A:$A),MATCH(N$1,[3]enemies!$1:$1,0)-MATCH($L$1,[3]enemies!$1:$1,0)+1),MATCH(N$1,[3]enemies!$1:$1,0)-MATCH($L$1,[3]enemies!$1:$1,0)+1,FALSE)</f>
        <v>red</v>
      </c>
      <c r="O232" s="22" t="str">
        <f ca="1">VLOOKUP($L232,OFFSET([4]characters!$A$1,0,0,COUNTA([4]characters!$A:$A),MATCH(O$1,[4]characters!$1:$1,0)-MATCH($L$1,[4]characters!$1:$1,0)+1),MATCH(O$1,[4]characters!$1:$1,0)-MATCH($L$1,[4]characters!$1:$1,0)+1,FALSE)</f>
        <v>Drop1S</v>
      </c>
      <c r="P232" s="22" t="str">
        <f ca="1">VLOOKUP($L232,OFFSET([3]enemies!$A$1,0,0,COUNTA([3]enemies!$A:$A),MATCH(P$1,[3]enemies!$1:$1,0)-MATCH($L$1,[3]enemies!$1:$1,0)+1),MATCH(P$1,[3]enemies!$1:$1,0)-MATCH($L$1,[3]enemies!$1:$1,0)+1,FALSE)</f>
        <v>animal</v>
      </c>
      <c r="Q232" s="22">
        <f ca="1">VLOOKUP($L232,OFFSET([3]enemies!$A$1,0,0,COUNTA([3]enemies!$A:$A),MATCH(Q$1,[3]enemies!$1:$1,0)-MATCH($L$1,[3]enemies!$1:$1,0)+1),MATCH(Q$1,[3]enemies!$1:$1,0)-MATCH($L$1,[3]enemies!$1:$1,0)+1,FALSE)</f>
        <v>15</v>
      </c>
      <c r="R232" s="79">
        <v>35</v>
      </c>
      <c r="S232" s="80">
        <v>1</v>
      </c>
      <c r="T232" s="80">
        <v>1</v>
      </c>
      <c r="U232" s="79">
        <v>0</v>
      </c>
      <c r="V232" s="22" t="str">
        <f ca="1">VLOOKUP($W232,OFFSET([5]enemy_skill_sets!$B$1,0,0,COUNTA([5]enemy_skill_sets!$B:$B),MATCH(M$1,[5]enemy_skill_sets!$1:$1,0)-MATCH($W$1,[5]enemy_skill_sets!$1:$1,0)+2),MATCH(M$1,[5]enemy_skill_sets!$1:$1,0)-MATCH($W$1,[5]enemy_skill_sets!$1:$1,0)+2,FALSE)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232" s="22">
        <f ca="1">VLOOKUP($L232,OFFSET([3]enemies!$A$1,0,0,COUNTA([3]enemies!$A:$A),MATCH(W$1,[3]enemies!$1:$1,0)-MATCH($L$1,[3]enemies!$1:$1,0)+1),MATCH(W$1,[3]enemies!$1:$1,0)-MATCH($L$1,[3]enemies!$1:$1,0)+1,FALSE)</f>
        <v>33</v>
      </c>
      <c r="X232" s="81">
        <v>0</v>
      </c>
      <c r="Y232" s="81">
        <v>100</v>
      </c>
      <c r="Z232" s="81">
        <v>0</v>
      </c>
      <c r="AA232" s="22">
        <f ca="1">VLOOKUP($L232,OFFSET([3]enemies!$A$1,0,0,COUNTA([3]enemies!$A:$A),MATCH(AA$1,[3]enemies!$1:$1,0)-MATCH($L$1,[3]enemies!$1:$1,0)+1),MATCH(AA$1,[3]enemies!$1:$1,0)-MATCH($L$1,[3]enemies!$1:$1,0)+1,FALSE)</f>
        <v>2</v>
      </c>
      <c r="AB232" s="70">
        <v>33</v>
      </c>
      <c r="AC232" s="22" t="str">
        <f ca="1">IFERROR(VLOOKUP($AB232,OFFSET([4]characters!$A$1,0,0,COUNTA([4]characters!$A:$A),MATCH(AC$1,[4]characters!$1:$1,0)-MATCH("character_id",[4]characters!$1:$1,0)+1),MATCH(AC$1,[4]characters!$1:$1,0)-MATCH("character_id",[4]characters!$1:$1,0)+1,FALSE),"")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232" s="22">
        <f ca="1">IFERROR(VLOOKUP($AB232,OFFSET([4]characters!$A$1,0,0,COUNTA([4]characters!$A:$A),MATCH(AD$1,[4]characters!$1:$1,0)-MATCH("character_id",[4]characters!$1:$1,0)+1),MATCH(AD$1,[4]characters!$1:$1,0)-MATCH("character_id",[4]characters!$1:$1,0)+1,FALSE),"")</f>
        <v>2</v>
      </c>
      <c r="AE232" s="22" t="str">
        <f ca="1">IFERROR(VLOOKUP($AB232,OFFSET([4]characters!$A$1,0,0,COUNTA([4]characters!$A:$A),MATCH(AE$1,[4]characters!$1:$1,0)-MATCH("character_id",[4]characters!$1:$1,0)+1),MATCH(AE$1,[4]characters!$1:$1,0)-MATCH("character_id",[4]characters!$1:$1,0)+1,FALSE),"")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32" s="28">
        <v>1</v>
      </c>
      <c r="AG232" s="75">
        <f t="shared" ca="1" si="62"/>
        <v>2</v>
      </c>
      <c r="AH232" s="81">
        <v>0</v>
      </c>
      <c r="AI232" s="28">
        <v>0</v>
      </c>
      <c r="AJ232" s="28">
        <v>0</v>
      </c>
      <c r="AK232" s="28">
        <v>0</v>
      </c>
      <c r="AL232" s="28">
        <v>0</v>
      </c>
      <c r="AM232" s="28">
        <v>1</v>
      </c>
      <c r="AN232" s="28">
        <v>1</v>
      </c>
    </row>
    <row r="233" spans="1:40" ht="21" customHeight="1" x14ac:dyDescent="0.15">
      <c r="A233" s="78" t="str">
        <f t="shared" ca="1" si="57"/>
        <v>11102_4-4/21&lt;lv35&gt;s2</v>
      </c>
      <c r="B233" s="76">
        <v>11102</v>
      </c>
      <c r="C233" s="77">
        <v>4</v>
      </c>
      <c r="D233" s="16" t="str">
        <f t="shared" si="60"/>
        <v>11102_4</v>
      </c>
      <c r="E233" s="22" t="str">
        <f ca="1">VLOOKUP($B233,OFFSET([2]quests!$A$1,0,0,COUNTA([2]quests!$A:$A),MATCH(E$1,[2]quests!$1:$1,0)-MATCH($B$1,[2]quests!$1:$1,0)+1),MATCH(E$1,[2]quests!$1:$1,0)-MATCH($B$1,[2]quests!$1:$1,0)+1,FALSE)</f>
        <v>【期間限定】 赤の素材</v>
      </c>
      <c r="F233" s="22" t="str">
        <f ca="1">VLOOKUP($D233,OFFSET([2]stages!$A$1,0,0,COUNTA([2]stages!$A:$A),MATCH(F$1,[2]stages!$2:$2,0)-MATCH($D$1,[2]stages!$2:$2,0)+1),MATCH(F$1,[2]stages!$2:$2,0)-MATCH($D$1,[2]stages!$2:$2,0)+1,FALSE)</f>
        <v xml:space="preserve">【上級】火のイモムシ </v>
      </c>
      <c r="G233" s="68">
        <v>4</v>
      </c>
      <c r="H233" s="16" t="str">
        <f t="shared" si="61"/>
        <v>11102_4-4</v>
      </c>
      <c r="I233" s="22" t="e">
        <v>#N/A</v>
      </c>
      <c r="J233" s="22" t="e">
        <v>#N/A</v>
      </c>
      <c r="K233" s="70" t="s">
        <v>218</v>
      </c>
      <c r="L233" s="70">
        <v>21</v>
      </c>
      <c r="M233" s="22" t="str">
        <f ca="1">VLOOKUP($L233,OFFSET([3]enemies!$A$1,0,0,COUNTA([3]enemies!$A:$A),MATCH(M$1,[3]enemies!$1:$1,0)-MATCH($L$1,[3]enemies!$1:$1,0)+1),MATCH(M$1,[3]enemies!$1:$1,0)-MATCH($L$1,[3]enemies!$1:$1,0)+1,FALSE)</f>
        <v>ヴェロキー</v>
      </c>
      <c r="N233" s="22" t="str">
        <f ca="1">VLOOKUP($L233,OFFSET([3]enemies!$A$1,0,0,COUNTA([3]enemies!$A:$A),MATCH(N$1,[3]enemies!$1:$1,0)-MATCH($L$1,[3]enemies!$1:$1,0)+1),MATCH(N$1,[3]enemies!$1:$1,0)-MATCH($L$1,[3]enemies!$1:$1,0)+1,FALSE)</f>
        <v>red</v>
      </c>
      <c r="O233" s="22" t="str">
        <f ca="1">VLOOKUP($L233,OFFSET([4]characters!$A$1,0,0,COUNTA([4]characters!$A:$A),MATCH(O$1,[4]characters!$1:$1,0)-MATCH($L$1,[4]characters!$1:$1,0)+1),MATCH(O$1,[4]characters!$1:$1,0)-MATCH($L$1,[4]characters!$1:$1,0)+1,FALSE)</f>
        <v>Drop1N</v>
      </c>
      <c r="P233" s="22" t="str">
        <f ca="1">VLOOKUP($L233,OFFSET([3]enemies!$A$1,0,0,COUNTA([3]enemies!$A:$A),MATCH(P$1,[3]enemies!$1:$1,0)-MATCH($L$1,[3]enemies!$1:$1,0)+1),MATCH(P$1,[3]enemies!$1:$1,0)-MATCH($L$1,[3]enemies!$1:$1,0)+1,FALSE)</f>
        <v>dragon</v>
      </c>
      <c r="Q233" s="22">
        <f ca="1">VLOOKUP($L233,OFFSET([3]enemies!$A$1,0,0,COUNTA([3]enemies!$A:$A),MATCH(Q$1,[3]enemies!$1:$1,0)-MATCH($L$1,[3]enemies!$1:$1,0)+1),MATCH(Q$1,[3]enemies!$1:$1,0)-MATCH($L$1,[3]enemies!$1:$1,0)+1,FALSE)</f>
        <v>15</v>
      </c>
      <c r="R233" s="79">
        <v>35</v>
      </c>
      <c r="S233" s="80">
        <v>1</v>
      </c>
      <c r="T233" s="80">
        <v>1</v>
      </c>
      <c r="U233" s="79">
        <v>0</v>
      </c>
      <c r="V233" s="22" t="str">
        <f ca="1">VLOOKUP($W233,OFFSET([5]enemy_skill_sets!$B$1,0,0,COUNTA([5]enemy_skill_sets!$B:$B),MATCH(M$1,[5]enemy_skill_sets!$1:$1,0)-MATCH($W$1,[5]enemy_skill_sets!$1:$1,0)+2),MATCH(M$1,[5]enemy_skill_sets!$1:$1,0)-MATCH($W$1,[5]enemy_skill_sets!$1:$1,0)+2,FALSE)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3" s="22">
        <f ca="1">VLOOKUP($L233,OFFSET([3]enemies!$A$1,0,0,COUNTA([3]enemies!$A:$A),MATCH(W$1,[3]enemies!$1:$1,0)-MATCH($L$1,[3]enemies!$1:$1,0)+1),MATCH(W$1,[3]enemies!$1:$1,0)-MATCH($L$1,[3]enemies!$1:$1,0)+1,FALSE)</f>
        <v>0</v>
      </c>
      <c r="X233" s="81">
        <v>0</v>
      </c>
      <c r="Y233" s="81">
        <v>100</v>
      </c>
      <c r="Z233" s="81">
        <v>0</v>
      </c>
      <c r="AA233" s="22">
        <f ca="1">VLOOKUP($L233,OFFSET([3]enemies!$A$1,0,0,COUNTA([3]enemies!$A:$A),MATCH(AA$1,[3]enemies!$1:$1,0)-MATCH($L$1,[3]enemies!$1:$1,0)+1),MATCH(AA$1,[3]enemies!$1:$1,0)-MATCH($L$1,[3]enemies!$1:$1,0)+1,FALSE)</f>
        <v>2</v>
      </c>
      <c r="AB233" s="70">
        <v>21</v>
      </c>
      <c r="AC233" s="22" t="str">
        <f ca="1">IFERROR(VLOOKUP($AB233,OFFSET([4]characters!$A$1,0,0,COUNTA([4]characters!$A:$A),MATCH(AC$1,[4]characters!$1:$1,0)-MATCH("character_id",[4]characters!$1:$1,0)+1),MATCH(AC$1,[4]characters!$1:$1,0)-MATCH("character_id",[4]characters!$1:$1,0)+1,FALSE),"")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233" s="22">
        <f ca="1">IFERROR(VLOOKUP($AB233,OFFSET([4]characters!$A$1,0,0,COUNTA([4]characters!$A:$A),MATCH(AD$1,[4]characters!$1:$1,0)-MATCH("character_id",[4]characters!$1:$1,0)+1),MATCH(AD$1,[4]characters!$1:$1,0)-MATCH("character_id",[4]characters!$1:$1,0)+1,FALSE),"")</f>
        <v>1</v>
      </c>
      <c r="AE233" s="22" t="str">
        <f ca="1">IFERROR(VLOOKUP($AB233,OFFSET([4]characters!$A$1,0,0,COUNTA([4]characters!$A:$A),MATCH(AE$1,[4]characters!$1:$1,0)-MATCH("character_id",[4]characters!$1:$1,0)+1),MATCH(AE$1,[4]characters!$1:$1,0)-MATCH("character_id",[4]characters!$1:$1,0)+1,FALSE),"")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33" s="28">
        <v>1</v>
      </c>
      <c r="AG233" s="75">
        <f t="shared" ca="1" si="62"/>
        <v>1</v>
      </c>
      <c r="AH233" s="81">
        <v>0</v>
      </c>
      <c r="AI233" s="28">
        <v>0</v>
      </c>
      <c r="AJ233" s="28">
        <v>0</v>
      </c>
      <c r="AK233" s="28">
        <v>0</v>
      </c>
      <c r="AL233" s="28">
        <v>0</v>
      </c>
      <c r="AM233" s="28">
        <v>1</v>
      </c>
      <c r="AN233" s="28">
        <v>1</v>
      </c>
    </row>
    <row r="234" spans="1:40" ht="21" customHeight="1" x14ac:dyDescent="0.15">
      <c r="A234" s="78" t="str">
        <f t="shared" ca="1" si="57"/>
        <v>11102_4-5/103&lt;lv30&gt;s3</v>
      </c>
      <c r="B234" s="76">
        <v>11102</v>
      </c>
      <c r="C234" s="77">
        <v>4</v>
      </c>
      <c r="D234" s="16" t="str">
        <f t="shared" si="60"/>
        <v>11102_4</v>
      </c>
      <c r="E234" s="22" t="str">
        <f ca="1">VLOOKUP($B234,OFFSET([2]quests!$A$1,0,0,COUNTA([2]quests!$A:$A),MATCH(E$1,[2]quests!$1:$1,0)-MATCH($B$1,[2]quests!$1:$1,0)+1),MATCH(E$1,[2]quests!$1:$1,0)-MATCH($B$1,[2]quests!$1:$1,0)+1,FALSE)</f>
        <v>【期間限定】 赤の素材</v>
      </c>
      <c r="F234" s="22" t="str">
        <f ca="1">VLOOKUP($D234,OFFSET([2]stages!$A$1,0,0,COUNTA([2]stages!$A:$A),MATCH(F$1,[2]stages!$2:$2,0)-MATCH($D$1,[2]stages!$2:$2,0)+1),MATCH(F$1,[2]stages!$2:$2,0)-MATCH($D$1,[2]stages!$2:$2,0)+1,FALSE)</f>
        <v xml:space="preserve">【上級】火のイモムシ </v>
      </c>
      <c r="G234" s="68">
        <v>5</v>
      </c>
      <c r="H234" s="16" t="str">
        <f t="shared" si="61"/>
        <v>11102_4-5</v>
      </c>
      <c r="I234" s="22" t="e">
        <v>#N/A</v>
      </c>
      <c r="J234" s="22" t="e">
        <v>#N/A</v>
      </c>
      <c r="K234" s="70" t="s">
        <v>217</v>
      </c>
      <c r="L234" s="70">
        <v>103</v>
      </c>
      <c r="M234" s="22" t="str">
        <f ca="1">VLOOKUP($L234,OFFSET([3]enemies!$A$1,0,0,COUNTA([3]enemies!$A:$A),MATCH(M$1,[3]enemies!$1:$1,0)-MATCH($L$1,[3]enemies!$1:$1,0)+1),MATCH(M$1,[3]enemies!$1:$1,0)-MATCH($L$1,[3]enemies!$1:$1,0)+1,FALSE)</f>
        <v>レッドキャタップ</v>
      </c>
      <c r="N234" s="22" t="str">
        <f ca="1">VLOOKUP($L234,OFFSET([3]enemies!$A$1,0,0,COUNTA([3]enemies!$A:$A),MATCH(N$1,[3]enemies!$1:$1,0)-MATCH($L$1,[3]enemies!$1:$1,0)+1),MATCH(N$1,[3]enemies!$1:$1,0)-MATCH($L$1,[3]enemies!$1:$1,0)+1,FALSE)</f>
        <v>red</v>
      </c>
      <c r="O234" s="22" t="str">
        <f ca="1">VLOOKUP($L234,OFFSET([4]characters!$A$1,0,0,COUNTA([4]characters!$A:$A),MATCH(O$1,[4]characters!$1:$1,0)-MATCH($L$1,[4]characters!$1:$1,0)+1),MATCH(O$1,[4]characters!$1:$1,0)-MATCH($L$1,[4]characters!$1:$1,0)+1,FALSE)</f>
        <v>Material</v>
      </c>
      <c r="P234" s="22" t="str">
        <f ca="1">VLOOKUP($L234,OFFSET([3]enemies!$A$1,0,0,COUNTA([3]enemies!$A:$A),MATCH(P$1,[3]enemies!$1:$1,0)-MATCH($L$1,[3]enemies!$1:$1,0)+1),MATCH(P$1,[3]enemies!$1:$1,0)-MATCH($L$1,[3]enemies!$1:$1,0)+1,FALSE)</f>
        <v>unknown</v>
      </c>
      <c r="Q234" s="22">
        <f ca="1">VLOOKUP($L234,OFFSET([3]enemies!$A$1,0,0,COUNTA([3]enemies!$A:$A),MATCH(Q$1,[3]enemies!$1:$1,0)-MATCH($L$1,[3]enemies!$1:$1,0)+1),MATCH(Q$1,[3]enemies!$1:$1,0)-MATCH($L$1,[3]enemies!$1:$1,0)+1,FALSE)</f>
        <v>15</v>
      </c>
      <c r="R234" s="79">
        <v>30</v>
      </c>
      <c r="S234" s="80">
        <v>2</v>
      </c>
      <c r="T234" s="80">
        <v>1</v>
      </c>
      <c r="U234" s="79">
        <v>0</v>
      </c>
      <c r="V234" s="22" t="str">
        <f ca="1">VLOOKUP($W234,OFFSET([5]enemy_skill_sets!$B$1,0,0,COUNTA([5]enemy_skill_sets!$B:$B),MATCH(M$1,[5]enemy_skill_sets!$1:$1,0)-MATCH($W$1,[5]enemy_skill_sets!$1:$1,0)+2),MATCH(M$1,[5]enemy_skill_sets!$1:$1,0)-MATCH($W$1,[5]enemy_skill_sets!$1:$1,0)+2,FALSE)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4" s="22">
        <f ca="1">VLOOKUP($L234,OFFSET([3]enemies!$A$1,0,0,COUNTA([3]enemies!$A:$A),MATCH(W$1,[3]enemies!$1:$1,0)-MATCH($L$1,[3]enemies!$1:$1,0)+1),MATCH(W$1,[3]enemies!$1:$1,0)-MATCH($L$1,[3]enemies!$1:$1,0)+1,FALSE)</f>
        <v>0</v>
      </c>
      <c r="X234" s="81">
        <v>0</v>
      </c>
      <c r="Y234" s="81">
        <v>100</v>
      </c>
      <c r="Z234" s="81">
        <v>2</v>
      </c>
      <c r="AA234" s="22">
        <f ca="1">VLOOKUP($L234,OFFSET([3]enemies!$A$1,0,0,COUNTA([3]enemies!$A:$A),MATCH(AA$1,[3]enemies!$1:$1,0)-MATCH($L$1,[3]enemies!$1:$1,0)+1),MATCH(AA$1,[3]enemies!$1:$1,0)-MATCH($L$1,[3]enemies!$1:$1,0)+1,FALSE)</f>
        <v>3</v>
      </c>
      <c r="AB234" s="70">
        <v>103</v>
      </c>
      <c r="AC234" s="22" t="str">
        <f ca="1">IFERROR(VLOOKUP($AB234,OFFSET([4]characters!$A$1,0,0,COUNTA([4]characters!$A:$A),MATCH(AC$1,[4]characters!$1:$1,0)-MATCH("character_id",[4]characters!$1:$1,0)+1),MATCH(AC$1,[4]characters!$1:$1,0)-MATCH("character_id",[4]characters!$1:$1,0)+1,FALSE),"")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34" s="22">
        <f ca="1">IFERROR(VLOOKUP($AB234,OFFSET([4]characters!$A$1,0,0,COUNTA([4]characters!$A:$A),MATCH(AD$1,[4]characters!$1:$1,0)-MATCH("character_id",[4]characters!$1:$1,0)+1),MATCH(AD$1,[4]characters!$1:$1,0)-MATCH("character_id",[4]characters!$1:$1,0)+1,FALSE),"")</f>
        <v>4</v>
      </c>
      <c r="AE234" s="22" t="str">
        <f ca="1">IFERROR(VLOOKUP($AB234,OFFSET([4]characters!$A$1,0,0,COUNTA([4]characters!$A:$A),MATCH(AE$1,[4]characters!$1:$1,0)-MATCH("character_id",[4]characters!$1:$1,0)+1),MATCH(AE$1,[4]characters!$1:$1,0)-MATCH("character_id",[4]characters!$1:$1,0)+1,FALSE),"")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4" s="28">
        <v>1</v>
      </c>
      <c r="AG234" s="75">
        <f t="shared" ca="1" si="62"/>
        <v>4</v>
      </c>
      <c r="AH234" s="131">
        <v>50</v>
      </c>
      <c r="AI234" s="28">
        <v>0</v>
      </c>
      <c r="AJ234" s="28">
        <v>0</v>
      </c>
      <c r="AK234" s="28">
        <v>0</v>
      </c>
      <c r="AL234" s="28">
        <v>0</v>
      </c>
      <c r="AM234" s="28">
        <v>1</v>
      </c>
      <c r="AN234" s="28">
        <v>1</v>
      </c>
    </row>
    <row r="235" spans="1:40" ht="21" customHeight="1" x14ac:dyDescent="0.15">
      <c r="A235" s="78" t="str">
        <f ca="1">B235&amp;"_"&amp;C235&amp;"-"&amp;G235&amp;"/"&amp;L235&amp;"&lt;lv"&amp;R235&amp;"&gt;s"&amp;AA235</f>
        <v>11102_4-5/126&lt;lv30&gt;s1</v>
      </c>
      <c r="B235" s="76">
        <v>11102</v>
      </c>
      <c r="C235" s="77">
        <v>4</v>
      </c>
      <c r="D235" s="16" t="str">
        <f t="shared" si="60"/>
        <v>11102_4</v>
      </c>
      <c r="E235" s="22" t="str">
        <f ca="1">VLOOKUP($B235,OFFSET([2]quests!$A$1,0,0,COUNTA([2]quests!$A:$A),MATCH(E$1,[2]quests!$1:$1,0)-MATCH($B$1,[2]quests!$1:$1,0)+1),MATCH(E$1,[2]quests!$1:$1,0)-MATCH($B$1,[2]quests!$1:$1,0)+1,FALSE)</f>
        <v>【期間限定】 赤の素材</v>
      </c>
      <c r="F235" s="22" t="str">
        <f ca="1">VLOOKUP($D235,OFFSET([2]stages!$A$1,0,0,COUNTA([2]stages!$A:$A),MATCH(F$1,[2]stages!$2:$2,0)-MATCH($D$1,[2]stages!$2:$2,0)+1),MATCH(F$1,[2]stages!$2:$2,0)-MATCH($D$1,[2]stages!$2:$2,0)+1,FALSE)</f>
        <v xml:space="preserve">【上級】火のイモムシ </v>
      </c>
      <c r="G235" s="68">
        <v>5</v>
      </c>
      <c r="H235" s="16" t="str">
        <f t="shared" si="61"/>
        <v>11102_4-5</v>
      </c>
      <c r="I235" s="22" t="e">
        <v>#N/A</v>
      </c>
      <c r="J235" s="22" t="e">
        <v>#N/A</v>
      </c>
      <c r="K235" s="70" t="s">
        <v>218</v>
      </c>
      <c r="L235" s="70">
        <v>126</v>
      </c>
      <c r="M235" s="22" t="str">
        <f ca="1">VLOOKUP($L235,OFFSET([3]enemies!$A$1,0,0,COUNTA([3]enemies!$A:$A),MATCH(M$1,[3]enemies!$1:$1,0)-MATCH($L$1,[3]enemies!$1:$1,0)+1),MATCH(M$1,[3]enemies!$1:$1,0)-MATCH($L$1,[3]enemies!$1:$1,0)+1,FALSE)</f>
        <v>骨器使い ユノ</v>
      </c>
      <c r="N235" s="22" t="str">
        <f ca="1">VLOOKUP($L235,OFFSET([3]enemies!$A$1,0,0,COUNTA([3]enemies!$A:$A),MATCH(N$1,[3]enemies!$1:$1,0)-MATCH($L$1,[3]enemies!$1:$1,0)+1),MATCH(N$1,[3]enemies!$1:$1,0)-MATCH($L$1,[3]enemies!$1:$1,0)+1,FALSE)</f>
        <v>red</v>
      </c>
      <c r="O235" s="22" t="str">
        <f ca="1">VLOOKUP($L235,OFFSET([4]characters!$A$1,0,0,COUNTA([4]characters!$A:$A),MATCH(O$1,[4]characters!$1:$1,0)-MATCH($L$1,[4]characters!$1:$1,0)+1),MATCH(O$1,[4]characters!$1:$1,0)-MATCH($L$1,[4]characters!$1:$1,0)+1,FALSE)</f>
        <v>PremiumW</v>
      </c>
      <c r="P235" s="22" t="str">
        <f ca="1">VLOOKUP($L235,OFFSET([3]enemies!$A$1,0,0,COUNTA([3]enemies!$A:$A),MATCH(P$1,[3]enemies!$1:$1,0)-MATCH($L$1,[3]enemies!$1:$1,0)+1),MATCH(P$1,[3]enemies!$1:$1,0)-MATCH($L$1,[3]enemies!$1:$1,0)+1,FALSE)</f>
        <v>human</v>
      </c>
      <c r="Q235" s="22">
        <f ca="1">VLOOKUP($L235,OFFSET([3]enemies!$A$1,0,0,COUNTA([3]enemies!$A:$A),MATCH(Q$1,[3]enemies!$1:$1,0)-MATCH($L$1,[3]enemies!$1:$1,0)+1),MATCH(Q$1,[3]enemies!$1:$1,0)-MATCH($L$1,[3]enemies!$1:$1,0)+1,FALSE)</f>
        <v>20</v>
      </c>
      <c r="R235" s="79">
        <v>30</v>
      </c>
      <c r="S235" s="80">
        <v>1</v>
      </c>
      <c r="T235" s="80">
        <v>1</v>
      </c>
      <c r="U235" s="79">
        <v>0</v>
      </c>
      <c r="V235" s="22" t="str">
        <f ca="1">VLOOKUP($W235,OFFSET([5]enemy_skill_sets!$B$1,0,0,COUNTA([5]enemy_skill_sets!$B:$B),MATCH(M$1,[5]enemy_skill_sets!$1:$1,0)-MATCH($W$1,[5]enemy_skill_sets!$1:$1,0)+2),MATCH(M$1,[5]enemy_skill_sets!$1:$1,0)-MATCH($W$1,[5]enemy_skill_sets!$1:$1,0)+2,FALSE)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235" s="22">
        <f ca="1">VLOOKUP($L235,OFFSET([3]enemies!$A$1,0,0,COUNTA([3]enemies!$A:$A),MATCH(W$1,[3]enemies!$1:$1,0)-MATCH($L$1,[3]enemies!$1:$1,0)+1),MATCH(W$1,[3]enemies!$1:$1,0)-MATCH($L$1,[3]enemies!$1:$1,0)+1,FALSE)</f>
        <v>126</v>
      </c>
      <c r="X235" s="81">
        <v>0</v>
      </c>
      <c r="Y235" s="81">
        <v>100</v>
      </c>
      <c r="Z235" s="81">
        <v>0</v>
      </c>
      <c r="AA235" s="22">
        <f ca="1">VLOOKUP($L235,OFFSET([3]enemies!$A$1,0,0,COUNTA([3]enemies!$A:$A),MATCH(AA$1,[3]enemies!$1:$1,0)-MATCH($L$1,[3]enemies!$1:$1,0)+1),MATCH(AA$1,[3]enemies!$1:$1,0)-MATCH($L$1,[3]enemies!$1:$1,0)+1,FALSE)</f>
        <v>1</v>
      </c>
      <c r="AB235" s="70">
        <v>126</v>
      </c>
      <c r="AC235" s="22" t="str">
        <f ca="1">IFERROR(VLOOKUP($AB235,OFFSET([4]characters!$A$1,0,0,COUNTA([4]characters!$A:$A),MATCH(AC$1,[4]characters!$1:$1,0)-MATCH("character_id",[4]characters!$1:$1,0)+1),MATCH(AC$1,[4]characters!$1:$1,0)-MATCH("character_id",[4]characters!$1:$1,0)+1,FALSE),"")</f>
        <v>骨器使い ユノ</v>
      </c>
      <c r="AD235" s="22">
        <f ca="1">IFERROR(VLOOKUP($AB235,OFFSET([4]characters!$A$1,0,0,COUNTA([4]characters!$A:$A),MATCH(AD$1,[4]characters!$1:$1,0)-MATCH("character_id",[4]characters!$1:$1,0)+1),MATCH(AD$1,[4]characters!$1:$1,0)-MATCH("character_id",[4]characters!$1:$1,0)+1,FALSE),"")</f>
        <v>3</v>
      </c>
      <c r="AE235" s="22" t="str">
        <f ca="1">IFERROR(VLOOKUP($AB235,OFFSET([4]characters!$A$1,0,0,COUNTA([4]characters!$A:$A),MATCH(AE$1,[4]characters!$1:$1,0)-MATCH("character_id",[4]characters!$1:$1,0)+1),MATCH(AE$1,[4]characters!$1:$1,0)-MATCH("character_id",[4]characters!$1:$1,0)+1,FALSE),"")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35" s="28">
        <v>1</v>
      </c>
      <c r="AG235" s="75">
        <f t="shared" ca="1" si="62"/>
        <v>3</v>
      </c>
      <c r="AH235" s="81">
        <v>0</v>
      </c>
      <c r="AI235" s="28">
        <v>0</v>
      </c>
      <c r="AJ235" s="28">
        <v>0</v>
      </c>
      <c r="AK235" s="28">
        <v>0</v>
      </c>
      <c r="AL235" s="28">
        <v>0</v>
      </c>
      <c r="AM235" s="28">
        <v>1</v>
      </c>
      <c r="AN235" s="28">
        <v>1</v>
      </c>
    </row>
    <row r="236" spans="1:40" ht="21" customHeight="1" x14ac:dyDescent="0.15">
      <c r="A236" s="78" t="str">
        <f ca="1">B236&amp;"_"&amp;C236&amp;"-"&amp;G236&amp;"/"&amp;L236&amp;"&lt;lv"&amp;R236&amp;"&gt;s"&amp;AA236</f>
        <v>11102_4-5/134&lt;lv30&gt;s3</v>
      </c>
      <c r="B236" s="76">
        <v>11102</v>
      </c>
      <c r="C236" s="77">
        <v>4</v>
      </c>
      <c r="D236" s="16" t="str">
        <f t="shared" si="60"/>
        <v>11102_4</v>
      </c>
      <c r="E236" s="22" t="str">
        <f ca="1">VLOOKUP($B236,OFFSET([2]quests!$A$1,0,0,COUNTA([2]quests!$A:$A),MATCH(E$1,[2]quests!$1:$1,0)-MATCH($B$1,[2]quests!$1:$1,0)+1),MATCH(E$1,[2]quests!$1:$1,0)-MATCH($B$1,[2]quests!$1:$1,0)+1,FALSE)</f>
        <v>【期間限定】 赤の素材</v>
      </c>
      <c r="F236" s="22" t="str">
        <f ca="1">VLOOKUP($D236,OFFSET([2]stages!$A$1,0,0,COUNTA([2]stages!$A:$A),MATCH(F$1,[2]stages!$2:$2,0)-MATCH($D$1,[2]stages!$2:$2,0)+1),MATCH(F$1,[2]stages!$2:$2,0)-MATCH($D$1,[2]stages!$2:$2,0)+1,FALSE)</f>
        <v xml:space="preserve">【上級】火のイモムシ </v>
      </c>
      <c r="G236" s="68">
        <v>5</v>
      </c>
      <c r="H236" s="16" t="str">
        <f t="shared" si="61"/>
        <v>11102_4-5</v>
      </c>
      <c r="I236" s="22" t="e">
        <v>#N/A</v>
      </c>
      <c r="J236" s="22" t="e">
        <v>#N/A</v>
      </c>
      <c r="K236" s="70" t="s">
        <v>219</v>
      </c>
      <c r="L236" s="70">
        <v>134</v>
      </c>
      <c r="M236" s="22" t="str">
        <f ca="1">VLOOKUP($L236,OFFSET([3]enemies!$A$1,0,0,COUNTA([3]enemies!$A:$A),MATCH(M$1,[3]enemies!$1:$1,0)-MATCH($L$1,[3]enemies!$1:$1,0)+1),MATCH(M$1,[3]enemies!$1:$1,0)-MATCH($L$1,[3]enemies!$1:$1,0)+1,FALSE)</f>
        <v>妖炎の夕霧</v>
      </c>
      <c r="N236" s="22" t="str">
        <f ca="1">VLOOKUP($L236,OFFSET([3]enemies!$A$1,0,0,COUNTA([3]enemies!$A:$A),MATCH(N$1,[3]enemies!$1:$1,0)-MATCH($L$1,[3]enemies!$1:$1,0)+1),MATCH(N$1,[3]enemies!$1:$1,0)-MATCH($L$1,[3]enemies!$1:$1,0)+1,FALSE)</f>
        <v>red</v>
      </c>
      <c r="O236" s="22" t="str">
        <f ca="1">VLOOKUP($L236,OFFSET([4]characters!$A$1,0,0,COUNTA([4]characters!$A:$A),MATCH(O$1,[4]characters!$1:$1,0)-MATCH($L$1,[4]characters!$1:$1,0)+1),MATCH(O$1,[4]characters!$1:$1,0)-MATCH($L$1,[4]characters!$1:$1,0)+1,FALSE)</f>
        <v>PremiumW</v>
      </c>
      <c r="P236" s="22" t="str">
        <f ca="1">VLOOKUP($L236,OFFSET([3]enemies!$A$1,0,0,COUNTA([3]enemies!$A:$A),MATCH(P$1,[3]enemies!$1:$1,0)-MATCH($L$1,[3]enemies!$1:$1,0)+1),MATCH(P$1,[3]enemies!$1:$1,0)-MATCH($L$1,[3]enemies!$1:$1,0)+1,FALSE)</f>
        <v>human</v>
      </c>
      <c r="Q236" s="22">
        <f ca="1">VLOOKUP($L236,OFFSET([3]enemies!$A$1,0,0,COUNTA([3]enemies!$A:$A),MATCH(Q$1,[3]enemies!$1:$1,0)-MATCH($L$1,[3]enemies!$1:$1,0)+1),MATCH(Q$1,[3]enemies!$1:$1,0)-MATCH($L$1,[3]enemies!$1:$1,0)+1,FALSE)</f>
        <v>20</v>
      </c>
      <c r="R236" s="79">
        <v>30</v>
      </c>
      <c r="S236" s="80">
        <v>1</v>
      </c>
      <c r="T236" s="80">
        <v>1</v>
      </c>
      <c r="U236" s="79">
        <v>0</v>
      </c>
      <c r="V236" s="22" t="str">
        <f ca="1">VLOOKUP($W236,OFFSET([5]enemy_skill_sets!$B$1,0,0,COUNTA([5]enemy_skill_sets!$B:$B),MATCH(M$1,[5]enemy_skill_sets!$1:$1,0)-MATCH($W$1,[5]enemy_skill_sets!$1:$1,0)+2),MATCH(M$1,[5]enemy_skill_sets!$1:$1,0)-MATCH($W$1,[5]enemy_skill_sets!$1:$1,0)+2,FALSE)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236" s="22">
        <f ca="1">VLOOKUP($L236,OFFSET([3]enemies!$A$1,0,0,COUNTA([3]enemies!$A:$A),MATCH(W$1,[3]enemies!$1:$1,0)-MATCH($L$1,[3]enemies!$1:$1,0)+1),MATCH(W$1,[3]enemies!$1:$1,0)-MATCH($L$1,[3]enemies!$1:$1,0)+1,FALSE)</f>
        <v>134</v>
      </c>
      <c r="X236" s="81">
        <v>0</v>
      </c>
      <c r="Y236" s="81">
        <v>100</v>
      </c>
      <c r="Z236" s="81">
        <v>0</v>
      </c>
      <c r="AA236" s="22">
        <f ca="1">VLOOKUP($L236,OFFSET([3]enemies!$A$1,0,0,COUNTA([3]enemies!$A:$A),MATCH(AA$1,[3]enemies!$1:$1,0)-MATCH($L$1,[3]enemies!$1:$1,0)+1),MATCH(AA$1,[3]enemies!$1:$1,0)-MATCH($L$1,[3]enemies!$1:$1,0)+1,FALSE)</f>
        <v>3</v>
      </c>
      <c r="AB236" s="70">
        <v>134</v>
      </c>
      <c r="AC236" s="22" t="str">
        <f ca="1">IFERROR(VLOOKUP($AB236,OFFSET([4]characters!$A$1,0,0,COUNTA([4]characters!$A:$A),MATCH(AC$1,[4]characters!$1:$1,0)-MATCH("character_id",[4]characters!$1:$1,0)+1),MATCH(AC$1,[4]characters!$1:$1,0)-MATCH("character_id",[4]characters!$1:$1,0)+1,FALSE),"")</f>
        <v>妖炎の夕霧</v>
      </c>
      <c r="AD236" s="22">
        <f ca="1">IFERROR(VLOOKUP($AB236,OFFSET([4]characters!$A$1,0,0,COUNTA([4]characters!$A:$A),MATCH(AD$1,[4]characters!$1:$1,0)-MATCH("character_id",[4]characters!$1:$1,0)+1),MATCH(AD$1,[4]characters!$1:$1,0)-MATCH("character_id",[4]characters!$1:$1,0)+1,FALSE),"")</f>
        <v>3</v>
      </c>
      <c r="AE236" s="22" t="str">
        <f ca="1">IFERROR(VLOOKUP($AB236,OFFSET([4]characters!$A$1,0,0,COUNTA([4]characters!$A:$A),MATCH(AE$1,[4]characters!$1:$1,0)-MATCH("character_id",[4]characters!$1:$1,0)+1),MATCH(AE$1,[4]characters!$1:$1,0)-MATCH("character_id",[4]characters!$1:$1,0)+1,FALSE),"")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36" s="28">
        <v>1</v>
      </c>
      <c r="AG236" s="75">
        <f t="shared" ca="1" si="62"/>
        <v>3</v>
      </c>
      <c r="AH236" s="81">
        <v>0</v>
      </c>
      <c r="AI236" s="28">
        <v>0</v>
      </c>
      <c r="AJ236" s="28">
        <v>0</v>
      </c>
      <c r="AK236" s="28">
        <v>0</v>
      </c>
      <c r="AL236" s="28">
        <v>0</v>
      </c>
      <c r="AM236" s="28">
        <v>1</v>
      </c>
      <c r="AN236" s="28">
        <v>1</v>
      </c>
    </row>
    <row r="237" spans="1:40" ht="21" customHeight="1" x14ac:dyDescent="0.15">
      <c r="A237" s="78" t="str">
        <f ca="1">B237&amp;"_"&amp;C237&amp;"-"&amp;G237&amp;"/"&amp;L237&amp;"&lt;lv"&amp;R237&amp;"&gt;s"&amp;AA237</f>
        <v>11102_4-5/142&lt;lv30&gt;s2</v>
      </c>
      <c r="B237" s="76">
        <v>11102</v>
      </c>
      <c r="C237" s="77">
        <v>4</v>
      </c>
      <c r="D237" s="16" t="str">
        <f t="shared" si="60"/>
        <v>11102_4</v>
      </c>
      <c r="E237" s="22" t="str">
        <f ca="1">VLOOKUP($B237,OFFSET([2]quests!$A$1,0,0,COUNTA([2]quests!$A:$A),MATCH(E$1,[2]quests!$1:$1,0)-MATCH($B$1,[2]quests!$1:$1,0)+1),MATCH(E$1,[2]quests!$1:$1,0)-MATCH($B$1,[2]quests!$1:$1,0)+1,FALSE)</f>
        <v>【期間限定】 赤の素材</v>
      </c>
      <c r="F237" s="22" t="str">
        <f ca="1">VLOOKUP($D237,OFFSET([2]stages!$A$1,0,0,COUNTA([2]stages!$A:$A),MATCH(F$1,[2]stages!$2:$2,0)-MATCH($D$1,[2]stages!$2:$2,0)+1),MATCH(F$1,[2]stages!$2:$2,0)-MATCH($D$1,[2]stages!$2:$2,0)+1,FALSE)</f>
        <v xml:space="preserve">【上級】火のイモムシ </v>
      </c>
      <c r="G237" s="68">
        <v>5</v>
      </c>
      <c r="H237" s="16" t="str">
        <f t="shared" si="61"/>
        <v>11102_4-5</v>
      </c>
      <c r="I237" s="22" t="e">
        <v>#N/A</v>
      </c>
      <c r="J237" s="22" t="e">
        <v>#N/A</v>
      </c>
      <c r="K237" s="70" t="s">
        <v>218</v>
      </c>
      <c r="L237" s="70">
        <v>142</v>
      </c>
      <c r="M237" s="22" t="str">
        <f ca="1">VLOOKUP($L237,OFFSET([3]enemies!$A$1,0,0,COUNTA([3]enemies!$A:$A),MATCH(M$1,[3]enemies!$1:$1,0)-MATCH($L$1,[3]enemies!$1:$1,0)+1),MATCH(M$1,[3]enemies!$1:$1,0)-MATCH($L$1,[3]enemies!$1:$1,0)+1,FALSE)</f>
        <v>赤ずきん</v>
      </c>
      <c r="N237" s="22" t="str">
        <f ca="1">VLOOKUP($L237,OFFSET([3]enemies!$A$1,0,0,COUNTA([3]enemies!$A:$A),MATCH(N$1,[3]enemies!$1:$1,0)-MATCH($L$1,[3]enemies!$1:$1,0)+1),MATCH(N$1,[3]enemies!$1:$1,0)-MATCH($L$1,[3]enemies!$1:$1,0)+1,FALSE)</f>
        <v>red</v>
      </c>
      <c r="O237" s="22" t="str">
        <f ca="1">VLOOKUP($L237,OFFSET([4]characters!$A$1,0,0,COUNTA([4]characters!$A:$A),MATCH(O$1,[4]characters!$1:$1,0)-MATCH($L$1,[4]characters!$1:$1,0)+1),MATCH(O$1,[4]characters!$1:$1,0)-MATCH($L$1,[4]characters!$1:$1,0)+1,FALSE)</f>
        <v>PremiumW</v>
      </c>
      <c r="P237" s="22" t="str">
        <f ca="1">VLOOKUP($L237,OFFSET([3]enemies!$A$1,0,0,COUNTA([3]enemies!$A:$A),MATCH(P$1,[3]enemies!$1:$1,0)-MATCH($L$1,[3]enemies!$1:$1,0)+1),MATCH(P$1,[3]enemies!$1:$1,0)-MATCH($L$1,[3]enemies!$1:$1,0)+1,FALSE)</f>
        <v>human</v>
      </c>
      <c r="Q237" s="22">
        <f ca="1">VLOOKUP($L237,OFFSET([3]enemies!$A$1,0,0,COUNTA([3]enemies!$A:$A),MATCH(Q$1,[3]enemies!$1:$1,0)-MATCH($L$1,[3]enemies!$1:$1,0)+1),MATCH(Q$1,[3]enemies!$1:$1,0)-MATCH($L$1,[3]enemies!$1:$1,0)+1,FALSE)</f>
        <v>20</v>
      </c>
      <c r="R237" s="79">
        <v>30</v>
      </c>
      <c r="S237" s="80">
        <v>1</v>
      </c>
      <c r="T237" s="80">
        <v>1</v>
      </c>
      <c r="U237" s="79">
        <v>0</v>
      </c>
      <c r="V237" s="22" t="str">
        <f ca="1">VLOOKUP($W237,OFFSET([5]enemy_skill_sets!$B$1,0,0,COUNTA([5]enemy_skill_sets!$B:$B),MATCH(M$1,[5]enemy_skill_sets!$1:$1,0)-MATCH($W$1,[5]enemy_skill_sets!$1:$1,0)+2),MATCH(M$1,[5]enemy_skill_sets!$1:$1,0)-MATCH($W$1,[5]enemy_skill_sets!$1:$1,0)+2,FALSE)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7" s="22">
        <f ca="1">VLOOKUP($L237,OFFSET([3]enemies!$A$1,0,0,COUNTA([3]enemies!$A:$A),MATCH(W$1,[3]enemies!$1:$1,0)-MATCH($L$1,[3]enemies!$1:$1,0)+1),MATCH(W$1,[3]enemies!$1:$1,0)-MATCH($L$1,[3]enemies!$1:$1,0)+1,FALSE)</f>
        <v>0</v>
      </c>
      <c r="X237" s="81">
        <v>0</v>
      </c>
      <c r="Y237" s="81">
        <v>100</v>
      </c>
      <c r="Z237" s="81">
        <v>0</v>
      </c>
      <c r="AA237" s="22">
        <f ca="1">VLOOKUP($L237,OFFSET([3]enemies!$A$1,0,0,COUNTA([3]enemies!$A:$A),MATCH(AA$1,[3]enemies!$1:$1,0)-MATCH($L$1,[3]enemies!$1:$1,0)+1),MATCH(AA$1,[3]enemies!$1:$1,0)-MATCH($L$1,[3]enemies!$1:$1,0)+1,FALSE)</f>
        <v>2</v>
      </c>
      <c r="AB237" s="70">
        <v>142</v>
      </c>
      <c r="AC237" s="22" t="str">
        <f ca="1">IFERROR(VLOOKUP($AB237,OFFSET([4]characters!$A$1,0,0,COUNTA([4]characters!$A:$A),MATCH(AC$1,[4]characters!$1:$1,0)-MATCH("character_id",[4]characters!$1:$1,0)+1),MATCH(AC$1,[4]characters!$1:$1,0)-MATCH("character_id",[4]characters!$1:$1,0)+1,FALSE),"")</f>
        <v>赤ずきん</v>
      </c>
      <c r="AD237" s="22">
        <f ca="1">IFERROR(VLOOKUP($AB237,OFFSET([4]characters!$A$1,0,0,COUNTA([4]characters!$A:$A),MATCH(AD$1,[4]characters!$1:$1,0)-MATCH("character_id",[4]characters!$1:$1,0)+1),MATCH(AD$1,[4]characters!$1:$1,0)-MATCH("character_id",[4]characters!$1:$1,0)+1,FALSE),"")</f>
        <v>3</v>
      </c>
      <c r="AE237" s="22" t="str">
        <f ca="1">IFERROR(VLOOKUP($AB237,OFFSET([4]characters!$A$1,0,0,COUNTA([4]characters!$A:$A),MATCH(AE$1,[4]characters!$1:$1,0)-MATCH("character_id",[4]characters!$1:$1,0)+1),MATCH(AE$1,[4]characters!$1:$1,0)-MATCH("character_id",[4]characters!$1:$1,0)+1,FALSE),"")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37" s="28">
        <v>1</v>
      </c>
      <c r="AG237" s="75">
        <f t="shared" ca="1" si="62"/>
        <v>3</v>
      </c>
      <c r="AH237" s="81">
        <v>0</v>
      </c>
      <c r="AI237" s="28">
        <v>0</v>
      </c>
      <c r="AJ237" s="28">
        <v>0</v>
      </c>
      <c r="AK237" s="28">
        <v>0</v>
      </c>
      <c r="AL237" s="28">
        <v>0</v>
      </c>
      <c r="AM237" s="28">
        <v>1</v>
      </c>
      <c r="AN237" s="28">
        <v>1</v>
      </c>
    </row>
    <row r="238" spans="1:40" ht="21" customHeight="1" x14ac:dyDescent="0.15">
      <c r="A238" s="78" t="str">
        <f ca="1">B238&amp;"_"&amp;C238&amp;"-"&amp;G238&amp;"/"&amp;L238&amp;"&lt;lv"&amp;R238&amp;"&gt;s"&amp;AA238</f>
        <v>11102_4-5/150&lt;lv30&gt;s2</v>
      </c>
      <c r="B238" s="76">
        <v>11102</v>
      </c>
      <c r="C238" s="77">
        <v>4</v>
      </c>
      <c r="D238" s="16" t="str">
        <f t="shared" si="60"/>
        <v>11102_4</v>
      </c>
      <c r="E238" s="22" t="str">
        <f ca="1">VLOOKUP($B238,OFFSET([2]quests!$A$1,0,0,COUNTA([2]quests!$A:$A),MATCH(E$1,[2]quests!$1:$1,0)-MATCH($B$1,[2]quests!$1:$1,0)+1),MATCH(E$1,[2]quests!$1:$1,0)-MATCH($B$1,[2]quests!$1:$1,0)+1,FALSE)</f>
        <v>【期間限定】 赤の素材</v>
      </c>
      <c r="F238" s="22" t="str">
        <f ca="1">VLOOKUP($D238,OFFSET([2]stages!$A$1,0,0,COUNTA([2]stages!$A:$A),MATCH(F$1,[2]stages!$2:$2,0)-MATCH($D$1,[2]stages!$2:$2,0)+1),MATCH(F$1,[2]stages!$2:$2,0)-MATCH($D$1,[2]stages!$2:$2,0)+1,FALSE)</f>
        <v xml:space="preserve">【上級】火のイモムシ </v>
      </c>
      <c r="G238" s="68">
        <v>5</v>
      </c>
      <c r="H238" s="16" t="str">
        <f t="shared" si="61"/>
        <v>11102_4-5</v>
      </c>
      <c r="I238" s="22" t="e">
        <v>#N/A</v>
      </c>
      <c r="J238" s="22" t="e">
        <v>#N/A</v>
      </c>
      <c r="K238" s="70" t="s">
        <v>218</v>
      </c>
      <c r="L238" s="70">
        <v>150</v>
      </c>
      <c r="M238" s="22" t="str">
        <f ca="1">VLOOKUP($L238,OFFSET([3]enemies!$A$1,0,0,COUNTA([3]enemies!$A:$A),MATCH(M$1,[3]enemies!$1:$1,0)-MATCH($L$1,[3]enemies!$1:$1,0)+1),MATCH(M$1,[3]enemies!$1:$1,0)-MATCH($L$1,[3]enemies!$1:$1,0)+1,FALSE)</f>
        <v>ポイズンマスターサキ</v>
      </c>
      <c r="N238" s="22" t="str">
        <f ca="1">VLOOKUP($L238,OFFSET([3]enemies!$A$1,0,0,COUNTA([3]enemies!$A:$A),MATCH(N$1,[3]enemies!$1:$1,0)-MATCH($L$1,[3]enemies!$1:$1,0)+1),MATCH(N$1,[3]enemies!$1:$1,0)-MATCH($L$1,[3]enemies!$1:$1,0)+1,FALSE)</f>
        <v>red</v>
      </c>
      <c r="O238" s="22" t="str">
        <f ca="1">VLOOKUP($L238,OFFSET([4]characters!$A$1,0,0,COUNTA([4]characters!$A:$A),MATCH(O$1,[4]characters!$1:$1,0)-MATCH($L$1,[4]characters!$1:$1,0)+1),MATCH(O$1,[4]characters!$1:$1,0)-MATCH($L$1,[4]characters!$1:$1,0)+1,FALSE)</f>
        <v>PremiumW</v>
      </c>
      <c r="P238" s="22" t="str">
        <f ca="1">VLOOKUP($L238,OFFSET([3]enemies!$A$1,0,0,COUNTA([3]enemies!$A:$A),MATCH(P$1,[3]enemies!$1:$1,0)-MATCH($L$1,[3]enemies!$1:$1,0)+1),MATCH(P$1,[3]enemies!$1:$1,0)-MATCH($L$1,[3]enemies!$1:$1,0)+1,FALSE)</f>
        <v>human</v>
      </c>
      <c r="Q238" s="22">
        <f ca="1">VLOOKUP($L238,OFFSET([3]enemies!$A$1,0,0,COUNTA([3]enemies!$A:$A),MATCH(Q$1,[3]enemies!$1:$1,0)-MATCH($L$1,[3]enemies!$1:$1,0)+1),MATCH(Q$1,[3]enemies!$1:$1,0)-MATCH($L$1,[3]enemies!$1:$1,0)+1,FALSE)</f>
        <v>20</v>
      </c>
      <c r="R238" s="79">
        <v>30</v>
      </c>
      <c r="S238" s="80">
        <v>1</v>
      </c>
      <c r="T238" s="80">
        <v>1</v>
      </c>
      <c r="U238" s="79">
        <v>0</v>
      </c>
      <c r="V238" s="22" t="str">
        <f ca="1">VLOOKUP($W238,OFFSET([5]enemy_skill_sets!$B$1,0,0,COUNTA([5]enemy_skill_sets!$B:$B),MATCH(M$1,[5]enemy_skill_sets!$1:$1,0)-MATCH($W$1,[5]enemy_skill_sets!$1:$1,0)+2),MATCH(M$1,[5]enemy_skill_sets!$1:$1,0)-MATCH($W$1,[5]enemy_skill_sets!$1:$1,0)+2,FALSE)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8" s="22">
        <f ca="1">VLOOKUP($L238,OFFSET([3]enemies!$A$1,0,0,COUNTA([3]enemies!$A:$A),MATCH(W$1,[3]enemies!$1:$1,0)-MATCH($L$1,[3]enemies!$1:$1,0)+1),MATCH(W$1,[3]enemies!$1:$1,0)-MATCH($L$1,[3]enemies!$1:$1,0)+1,FALSE)</f>
        <v>0</v>
      </c>
      <c r="X238" s="81">
        <v>0</v>
      </c>
      <c r="Y238" s="81">
        <v>100</v>
      </c>
      <c r="Z238" s="81">
        <v>0</v>
      </c>
      <c r="AA238" s="22">
        <f ca="1">VLOOKUP($L238,OFFSET([3]enemies!$A$1,0,0,COUNTA([3]enemies!$A:$A),MATCH(AA$1,[3]enemies!$1:$1,0)-MATCH($L$1,[3]enemies!$1:$1,0)+1),MATCH(AA$1,[3]enemies!$1:$1,0)-MATCH($L$1,[3]enemies!$1:$1,0)+1,FALSE)</f>
        <v>2</v>
      </c>
      <c r="AB238" s="70">
        <v>150</v>
      </c>
      <c r="AC238" s="22" t="str">
        <f ca="1">IFERROR(VLOOKUP($AB238,OFFSET([4]characters!$A$1,0,0,COUNTA([4]characters!$A:$A),MATCH(AC$1,[4]characters!$1:$1,0)-MATCH("character_id",[4]characters!$1:$1,0)+1),MATCH(AC$1,[4]characters!$1:$1,0)-MATCH("character_id",[4]characters!$1:$1,0)+1,FALSE),"")</f>
        <v>ポイズンマスターサキ</v>
      </c>
      <c r="AD238" s="22">
        <f ca="1">IFERROR(VLOOKUP($AB238,OFFSET([4]characters!$A$1,0,0,COUNTA([4]characters!$A:$A),MATCH(AD$1,[4]characters!$1:$1,0)-MATCH("character_id",[4]characters!$1:$1,0)+1),MATCH(AD$1,[4]characters!$1:$1,0)-MATCH("character_id",[4]characters!$1:$1,0)+1,FALSE),"")</f>
        <v>3</v>
      </c>
      <c r="AE238" s="22" t="str">
        <f ca="1">IFERROR(VLOOKUP($AB238,OFFSET([4]characters!$A$1,0,0,COUNTA([4]characters!$A:$A),MATCH(AE$1,[4]characters!$1:$1,0)-MATCH("character_id",[4]characters!$1:$1,0)+1),MATCH(AE$1,[4]characters!$1:$1,0)-MATCH("character_id",[4]characters!$1:$1,0)+1,FALSE),"")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38" s="28">
        <v>1</v>
      </c>
      <c r="AG238" s="75">
        <f t="shared" ca="1" si="62"/>
        <v>3</v>
      </c>
      <c r="AH238" s="81">
        <v>0</v>
      </c>
      <c r="AI238" s="28">
        <v>0</v>
      </c>
      <c r="AJ238" s="28">
        <v>0</v>
      </c>
      <c r="AK238" s="28">
        <v>0</v>
      </c>
      <c r="AL238" s="28">
        <v>0</v>
      </c>
      <c r="AM238" s="28">
        <v>1</v>
      </c>
      <c r="AN238" s="28">
        <v>1</v>
      </c>
    </row>
    <row r="239" spans="1:40" ht="21" customHeight="1" x14ac:dyDescent="0.15">
      <c r="A239" s="78" t="str">
        <f ca="1">B239&amp;"_"&amp;C239&amp;"-"&amp;G239&amp;"/"&amp;L239&amp;"&lt;lv"&amp;R239&amp;"&gt;s"&amp;AA239</f>
        <v>11102_4-5/837&lt;lv30&gt;s3</v>
      </c>
      <c r="B239" s="76">
        <v>11102</v>
      </c>
      <c r="C239" s="77">
        <v>4</v>
      </c>
      <c r="D239" s="16" t="str">
        <f t="shared" si="60"/>
        <v>11102_4</v>
      </c>
      <c r="E239" s="22" t="str">
        <f ca="1">VLOOKUP($B239,OFFSET([2]quests!$A$1,0,0,COUNTA([2]quests!$A:$A),MATCH(E$1,[2]quests!$1:$1,0)-MATCH($B$1,[2]quests!$1:$1,0)+1),MATCH(E$1,[2]quests!$1:$1,0)-MATCH($B$1,[2]quests!$1:$1,0)+1,FALSE)</f>
        <v>【期間限定】 赤の素材</v>
      </c>
      <c r="F239" s="22" t="str">
        <f ca="1">VLOOKUP($D239,OFFSET([2]stages!$A$1,0,0,COUNTA([2]stages!$A:$A),MATCH(F$1,[2]stages!$2:$2,0)-MATCH($D$1,[2]stages!$2:$2,0)+1),MATCH(F$1,[2]stages!$2:$2,0)-MATCH($D$1,[2]stages!$2:$2,0)+1,FALSE)</f>
        <v xml:space="preserve">【上級】火のイモムシ </v>
      </c>
      <c r="G239" s="68">
        <v>5</v>
      </c>
      <c r="H239" s="16" t="str">
        <f t="shared" si="61"/>
        <v>11102_4-5</v>
      </c>
      <c r="I239" s="22" t="e">
        <v>#N/A</v>
      </c>
      <c r="J239" s="22" t="e">
        <v>#N/A</v>
      </c>
      <c r="K239" s="70" t="s">
        <v>218</v>
      </c>
      <c r="L239" s="70">
        <v>837</v>
      </c>
      <c r="M239" s="22" t="str">
        <f ca="1">VLOOKUP($L239,OFFSET([3]enemies!$A$1,0,0,COUNTA([3]enemies!$A:$A),MATCH(M$1,[3]enemies!$1:$1,0)-MATCH($L$1,[3]enemies!$1:$1,0)+1),MATCH(M$1,[3]enemies!$1:$1,0)-MATCH($L$1,[3]enemies!$1:$1,0)+1,FALSE)</f>
        <v>リトルハンプティ</v>
      </c>
      <c r="N239" s="22" t="str">
        <f ca="1">VLOOKUP($L239,OFFSET([3]enemies!$A$1,0,0,COUNTA([3]enemies!$A:$A),MATCH(N$1,[3]enemies!$1:$1,0)-MATCH($L$1,[3]enemies!$1:$1,0)+1),MATCH(N$1,[3]enemies!$1:$1,0)-MATCH($L$1,[3]enemies!$1:$1,0)+1,FALSE)</f>
        <v>yellow</v>
      </c>
      <c r="O239" s="22" t="str">
        <f ca="1">VLOOKUP($L239,OFFSET([4]characters!$A$1,0,0,COUNTA([4]characters!$A:$A),MATCH(O$1,[4]characters!$1:$1,0)-MATCH($L$1,[4]characters!$1:$1,0)+1),MATCH(O$1,[4]characters!$1:$1,0)-MATCH($L$1,[4]characters!$1:$1,0)+1,FALSE)</f>
        <v>Material</v>
      </c>
      <c r="P239" s="22" t="str">
        <f ca="1">VLOOKUP($L239,OFFSET([3]enemies!$A$1,0,0,COUNTA([3]enemies!$A:$A),MATCH(P$1,[3]enemies!$1:$1,0)-MATCH($L$1,[3]enemies!$1:$1,0)+1),MATCH(P$1,[3]enemies!$1:$1,0)-MATCH($L$1,[3]enemies!$1:$1,0)+1,FALSE)</f>
        <v>unknown</v>
      </c>
      <c r="Q239" s="22">
        <f ca="1">VLOOKUP($L239,OFFSET([3]enemies!$A$1,0,0,COUNTA([3]enemies!$A:$A),MATCH(Q$1,[3]enemies!$1:$1,0)-MATCH($L$1,[3]enemies!$1:$1,0)+1),MATCH(Q$1,[3]enemies!$1:$1,0)-MATCH($L$1,[3]enemies!$1:$1,0)+1,FALSE)</f>
        <v>60</v>
      </c>
      <c r="R239" s="6">
        <v>30</v>
      </c>
      <c r="S239" s="30">
        <v>10</v>
      </c>
      <c r="T239" s="30">
        <v>30</v>
      </c>
      <c r="U239" s="6">
        <v>0</v>
      </c>
      <c r="V239" s="22" t="str">
        <f ca="1">VLOOKUP($W239,OFFSET([5]enemy_skill_sets!$B$1,0,0,COUNTA([5]enemy_skill_sets!$B:$B),MATCH(M$1,[5]enemy_skill_sets!$1:$1,0)-MATCH($W$1,[5]enemy_skill_sets!$1:$1,0)+2),MATCH(M$1,[5]enemy_skill_sets!$1:$1,0)-MATCH($W$1,[5]enemy_skill_sets!$1:$1,0)+2,FALSE)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9" s="22">
        <f ca="1">VLOOKUP($L239,OFFSET([3]enemies!$A$1,0,0,COUNTA([3]enemies!$A:$A),MATCH(W$1,[3]enemies!$1:$1,0)-MATCH($L$1,[3]enemies!$1:$1,0)+1),MATCH(W$1,[3]enemies!$1:$1,0)-MATCH($L$1,[3]enemies!$1:$1,0)+1,FALSE)</f>
        <v>0</v>
      </c>
      <c r="X239" s="81">
        <v>0</v>
      </c>
      <c r="Y239" s="81">
        <v>10</v>
      </c>
      <c r="Z239" s="81">
        <v>1</v>
      </c>
      <c r="AA239" s="22">
        <f ca="1">VLOOKUP($L239,OFFSET([3]enemies!$A$1,0,0,COUNTA([3]enemies!$A:$A),MATCH(AA$1,[3]enemies!$1:$1,0)-MATCH($L$1,[3]enemies!$1:$1,0)+1),MATCH(AA$1,[3]enemies!$1:$1,0)-MATCH($L$1,[3]enemies!$1:$1,0)+1,FALSE)</f>
        <v>3</v>
      </c>
      <c r="AB239" s="70">
        <v>837</v>
      </c>
      <c r="AC239" s="22" t="str">
        <f ca="1">IFERROR(VLOOKUP($AB239,OFFSET([4]characters!$A$1,0,0,COUNTA([4]characters!$A:$A),MATCH(AC$1,[4]characters!$1:$1,0)-MATCH("character_id",[4]characters!$1:$1,0)+1),MATCH(AC$1,[4]characters!$1:$1,0)-MATCH("character_id",[4]characters!$1:$1,0)+1,FALSE),"")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239" s="22">
        <f ca="1">IFERROR(VLOOKUP($AB239,OFFSET([4]characters!$A$1,0,0,COUNTA([4]characters!$A:$A),MATCH(AD$1,[4]characters!$1:$1,0)-MATCH("character_id",[4]characters!$1:$1,0)+1),MATCH(AD$1,[4]characters!$1:$1,0)-MATCH("character_id",[4]characters!$1:$1,0)+1,FALSE),"")</f>
        <v>6</v>
      </c>
      <c r="AE239" s="22" t="str">
        <f ca="1">IFERROR(VLOOKUP($AB239,OFFSET([4]characters!$A$1,0,0,COUNTA([4]characters!$A:$A),MATCH(AE$1,[4]characters!$1:$1,0)-MATCH("character_id",[4]characters!$1:$1,0)+1),MATCH(AE$1,[4]characters!$1:$1,0)-MATCH("character_id",[4]characters!$1:$1,0)+1,FALSE),"")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9" s="28">
        <v>1</v>
      </c>
      <c r="AG239" s="75">
        <f ca="1">AD239</f>
        <v>6</v>
      </c>
      <c r="AH239" s="81">
        <v>33</v>
      </c>
      <c r="AI239" s="28">
        <v>0</v>
      </c>
      <c r="AJ239" s="28">
        <v>0</v>
      </c>
      <c r="AK239" s="28">
        <v>0</v>
      </c>
      <c r="AL239" s="28">
        <v>0</v>
      </c>
      <c r="AM239" s="28">
        <v>1</v>
      </c>
      <c r="AN239" s="28">
        <v>1</v>
      </c>
    </row>
    <row r="240" spans="1:40" ht="21" customHeight="1" x14ac:dyDescent="0.15">
      <c r="A240" s="78" t="str">
        <f t="shared" ref="A240:A258" ca="1" si="63">B240&amp;"_"&amp;C240&amp;"-"&amp;G240&amp;"/"&amp;L240&amp;"&lt;lv"&amp;R240&amp;"&gt;s"&amp;AA240</f>
        <v>11103_4-1/111&lt;lv30&gt;s1</v>
      </c>
      <c r="B240" s="82">
        <v>11103</v>
      </c>
      <c r="C240" s="83">
        <v>4</v>
      </c>
      <c r="D240" s="16" t="str">
        <f t="shared" si="60"/>
        <v>11103_4</v>
      </c>
      <c r="E240" s="22" t="str">
        <f ca="1">VLOOKUP($B240,OFFSET([2]quests!$A$1,0,0,COUNTA([2]quests!$A:$A),MATCH(E$1,[2]quests!$1:$1,0)-MATCH($B$1,[2]quests!$1:$1,0)+1),MATCH(E$1,[2]quests!$1:$1,0)-MATCH($B$1,[2]quests!$1:$1,0)+1,FALSE)</f>
        <v>【期間限定】 青の素材</v>
      </c>
      <c r="F240" s="22" t="str">
        <f ca="1">VLOOKUP($D240,OFFSET([2]stages!$A$1,0,0,COUNTA([2]stages!$A:$A),MATCH(F$1,[2]stages!$2:$2,0)-MATCH($D$1,[2]stages!$2:$2,0)+1),MATCH(F$1,[2]stages!$2:$2,0)-MATCH($D$1,[2]stages!$2:$2,0)+1,FALSE)</f>
        <v xml:space="preserve">【上級】水のイモムシ </v>
      </c>
      <c r="G240" s="68">
        <v>1</v>
      </c>
      <c r="H240" s="16" t="str">
        <f t="shared" si="61"/>
        <v>11103_4-1</v>
      </c>
      <c r="I240" s="22" t="e">
        <v>#N/A</v>
      </c>
      <c r="J240" s="22" t="e">
        <v>#N/A</v>
      </c>
      <c r="K240" s="70" t="s">
        <v>218</v>
      </c>
      <c r="L240" s="70">
        <v>111</v>
      </c>
      <c r="M240" s="22" t="str">
        <f ca="1">VLOOKUP($L240,OFFSET([3]enemies!$A$1,0,0,COUNTA([3]enemies!$A:$A),MATCH(M$1,[3]enemies!$1:$1,0)-MATCH($L$1,[3]enemies!$1:$1,0)+1),MATCH(M$1,[3]enemies!$1:$1,0)-MATCH($L$1,[3]enemies!$1:$1,0)+1,FALSE)</f>
        <v>ブルーキャタップ</v>
      </c>
      <c r="N240" s="22" t="str">
        <f ca="1">VLOOKUP($L240,OFFSET([3]enemies!$A$1,0,0,COUNTA([3]enemies!$A:$A),MATCH(N$1,[3]enemies!$1:$1,0)-MATCH($L$1,[3]enemies!$1:$1,0)+1),MATCH(N$1,[3]enemies!$1:$1,0)-MATCH($L$1,[3]enemies!$1:$1,0)+1,FALSE)</f>
        <v>blue</v>
      </c>
      <c r="O240" s="22" t="str">
        <f ca="1">VLOOKUP($L240,OFFSET([4]characters!$A$1,0,0,COUNTA([4]characters!$A:$A),MATCH(O$1,[4]characters!$1:$1,0)-MATCH($L$1,[4]characters!$1:$1,0)+1),MATCH(O$1,[4]characters!$1:$1,0)-MATCH($L$1,[4]characters!$1:$1,0)+1,FALSE)</f>
        <v>Material</v>
      </c>
      <c r="P240" s="22" t="str">
        <f ca="1">VLOOKUP($L240,OFFSET([3]enemies!$A$1,0,0,COUNTA([3]enemies!$A:$A),MATCH(P$1,[3]enemies!$1:$1,0)-MATCH($L$1,[3]enemies!$1:$1,0)+1),MATCH(P$1,[3]enemies!$1:$1,0)-MATCH($L$1,[3]enemies!$1:$1,0)+1,FALSE)</f>
        <v>unknown</v>
      </c>
      <c r="Q240" s="22">
        <f ca="1">VLOOKUP($L240,OFFSET([3]enemies!$A$1,0,0,COUNTA([3]enemies!$A:$A),MATCH(Q$1,[3]enemies!$1:$1,0)-MATCH($L$1,[3]enemies!$1:$1,0)+1),MATCH(Q$1,[3]enemies!$1:$1,0)-MATCH($L$1,[3]enemies!$1:$1,0)+1,FALSE)</f>
        <v>15</v>
      </c>
      <c r="R240" s="79">
        <v>30</v>
      </c>
      <c r="S240" s="80">
        <v>2</v>
      </c>
      <c r="T240" s="80">
        <v>1</v>
      </c>
      <c r="U240" s="79">
        <v>0</v>
      </c>
      <c r="V240" s="22" t="str">
        <f ca="1">VLOOKUP($W240,OFFSET([5]enemy_skill_sets!$B$1,0,0,COUNTA([5]enemy_skill_sets!$B:$B),MATCH(M$1,[5]enemy_skill_sets!$1:$1,0)-MATCH($W$1,[5]enemy_skill_sets!$1:$1,0)+2),MATCH(M$1,[5]enemy_skill_sets!$1:$1,0)-MATCH($W$1,[5]enemy_skill_sets!$1:$1,0)+2,FALSE)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0" s="22">
        <f ca="1">VLOOKUP($L240,OFFSET([3]enemies!$A$1,0,0,COUNTA([3]enemies!$A:$A),MATCH(W$1,[3]enemies!$1:$1,0)-MATCH($L$1,[3]enemies!$1:$1,0)+1),MATCH(W$1,[3]enemies!$1:$1,0)-MATCH($L$1,[3]enemies!$1:$1,0)+1,FALSE)</f>
        <v>0</v>
      </c>
      <c r="X240" s="81">
        <v>1</v>
      </c>
      <c r="Y240" s="81">
        <v>100</v>
      </c>
      <c r="Z240" s="81">
        <v>1</v>
      </c>
      <c r="AA240" s="22">
        <f ca="1">VLOOKUP($L240,OFFSET([3]enemies!$A$1,0,0,COUNTA([3]enemies!$A:$A),MATCH(AA$1,[3]enemies!$1:$1,0)-MATCH($L$1,[3]enemies!$1:$1,0)+1),MATCH(AA$1,[3]enemies!$1:$1,0)-MATCH($L$1,[3]enemies!$1:$1,0)+1,FALSE)</f>
        <v>1</v>
      </c>
      <c r="AB240" s="70">
        <v>111</v>
      </c>
      <c r="AC240" s="22" t="str">
        <f ca="1">IFERROR(VLOOKUP($AB240,OFFSET([4]characters!$A$1,0,0,COUNTA([4]characters!$A:$A),MATCH(AC$1,[4]characters!$1:$1,0)-MATCH("character_id",[4]characters!$1:$1,0)+1),MATCH(AC$1,[4]characters!$1:$1,0)-MATCH("character_id",[4]characters!$1:$1,0)+1,FALSE),"")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240" s="22">
        <f ca="1">IFERROR(VLOOKUP($AB240,OFFSET([4]characters!$A$1,0,0,COUNTA([4]characters!$A:$A),MATCH(AD$1,[4]characters!$1:$1,0)-MATCH("character_id",[4]characters!$1:$1,0)+1),MATCH(AD$1,[4]characters!$1:$1,0)-MATCH("character_id",[4]characters!$1:$1,0)+1,FALSE),"")</f>
        <v>4</v>
      </c>
      <c r="AE240" s="22" t="str">
        <f ca="1">IFERROR(VLOOKUP($AB240,OFFSET([4]characters!$A$1,0,0,COUNTA([4]characters!$A:$A),MATCH(AE$1,[4]characters!$1:$1,0)-MATCH("character_id",[4]characters!$1:$1,0)+1),MATCH(AE$1,[4]characters!$1:$1,0)-MATCH("character_id",[4]characters!$1:$1,0)+1,FALSE),"")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0" s="28">
        <v>1</v>
      </c>
      <c r="AG240" s="75">
        <f t="shared" ref="AG240:AG287" ca="1" si="64">AD240</f>
        <v>4</v>
      </c>
      <c r="AH240" s="131">
        <v>50</v>
      </c>
      <c r="AI240" s="28">
        <v>0</v>
      </c>
      <c r="AJ240" s="28">
        <v>0</v>
      </c>
      <c r="AK240" s="28">
        <v>0</v>
      </c>
      <c r="AL240" s="28">
        <v>0</v>
      </c>
      <c r="AM240" s="28">
        <v>1</v>
      </c>
      <c r="AN240" s="28">
        <v>1</v>
      </c>
    </row>
    <row r="241" spans="1:40" ht="21" customHeight="1" x14ac:dyDescent="0.15">
      <c r="A241" s="78" t="str">
        <f t="shared" ca="1" si="63"/>
        <v>11103_4-1/37&lt;lv35&gt;s3</v>
      </c>
      <c r="B241" s="82">
        <v>11103</v>
      </c>
      <c r="C241" s="83">
        <v>4</v>
      </c>
      <c r="D241" s="16" t="str">
        <f t="shared" si="60"/>
        <v>11103_4</v>
      </c>
      <c r="E241" s="22" t="str">
        <f ca="1">VLOOKUP($B241,OFFSET([2]quests!$A$1,0,0,COUNTA([2]quests!$A:$A),MATCH(E$1,[2]quests!$1:$1,0)-MATCH($B$1,[2]quests!$1:$1,0)+1),MATCH(E$1,[2]quests!$1:$1,0)-MATCH($B$1,[2]quests!$1:$1,0)+1,FALSE)</f>
        <v>【期間限定】 青の素材</v>
      </c>
      <c r="F241" s="22" t="str">
        <f ca="1">VLOOKUP($D241,OFFSET([2]stages!$A$1,0,0,COUNTA([2]stages!$A:$A),MATCH(F$1,[2]stages!$2:$2,0)-MATCH($D$1,[2]stages!$2:$2,0)+1),MATCH(F$1,[2]stages!$2:$2,0)-MATCH($D$1,[2]stages!$2:$2,0)+1,FALSE)</f>
        <v xml:space="preserve">【上級】水のイモムシ </v>
      </c>
      <c r="G241" s="68">
        <v>1</v>
      </c>
      <c r="H241" s="16" t="str">
        <f t="shared" si="61"/>
        <v>11103_4-1</v>
      </c>
      <c r="I241" s="22" t="e">
        <v>#N/A</v>
      </c>
      <c r="J241" s="22" t="e">
        <v>#N/A</v>
      </c>
      <c r="K241" s="70" t="s">
        <v>218</v>
      </c>
      <c r="L241" s="70">
        <v>37</v>
      </c>
      <c r="M241" s="22" t="str">
        <f ca="1">VLOOKUP($L241,OFFSET([3]enemies!$A$1,0,0,COUNTA([3]enemies!$A:$A),MATCH(M$1,[3]enemies!$1:$1,0)-MATCH($L$1,[3]enemies!$1:$1,0)+1),MATCH(M$1,[3]enemies!$1:$1,0)-MATCH($L$1,[3]enemies!$1:$1,0)+1,FALSE)</f>
        <v>ガイル</v>
      </c>
      <c r="N241" s="22" t="str">
        <f ca="1">VLOOKUP($L241,OFFSET([3]enemies!$A$1,0,0,COUNTA([3]enemies!$A:$A),MATCH(N$1,[3]enemies!$1:$1,0)-MATCH($L$1,[3]enemies!$1:$1,0)+1),MATCH(N$1,[3]enemies!$1:$1,0)-MATCH($L$1,[3]enemies!$1:$1,0)+1,FALSE)</f>
        <v>blue</v>
      </c>
      <c r="O241" s="22" t="str">
        <f ca="1">VLOOKUP($L241,OFFSET([4]characters!$A$1,0,0,COUNTA([4]characters!$A:$A),MATCH(O$1,[4]characters!$1:$1,0)-MATCH($L$1,[4]characters!$1:$1,0)+1),MATCH(O$1,[4]characters!$1:$1,0)-MATCH($L$1,[4]characters!$1:$1,0)+1,FALSE)</f>
        <v>Drop1S</v>
      </c>
      <c r="P241" s="22" t="str">
        <f ca="1">VLOOKUP($L241,OFFSET([3]enemies!$A$1,0,0,COUNTA([3]enemies!$A:$A),MATCH(P$1,[3]enemies!$1:$1,0)-MATCH($L$1,[3]enemies!$1:$1,0)+1),MATCH(P$1,[3]enemies!$1:$1,0)-MATCH($L$1,[3]enemies!$1:$1,0)+1,FALSE)</f>
        <v>animal</v>
      </c>
      <c r="Q241" s="22">
        <f ca="1">VLOOKUP($L241,OFFSET([3]enemies!$A$1,0,0,COUNTA([3]enemies!$A:$A),MATCH(Q$1,[3]enemies!$1:$1,0)-MATCH($L$1,[3]enemies!$1:$1,0)+1),MATCH(Q$1,[3]enemies!$1:$1,0)-MATCH($L$1,[3]enemies!$1:$1,0)+1,FALSE)</f>
        <v>15</v>
      </c>
      <c r="R241" s="79">
        <v>35</v>
      </c>
      <c r="S241" s="80">
        <v>1</v>
      </c>
      <c r="T241" s="80">
        <v>1</v>
      </c>
      <c r="U241" s="79">
        <v>0</v>
      </c>
      <c r="V241" s="22" t="str">
        <f ca="1">VLOOKUP($W241,OFFSET([5]enemy_skill_sets!$B$1,0,0,COUNTA([5]enemy_skill_sets!$B:$B),MATCH(M$1,[5]enemy_skill_sets!$1:$1,0)-MATCH($W$1,[5]enemy_skill_sets!$1:$1,0)+2),MATCH(M$1,[5]enemy_skill_sets!$1:$1,0)-MATCH($W$1,[5]enemy_skill_sets!$1:$1,0)+2,FALSE)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41" s="22">
        <f ca="1">VLOOKUP($L241,OFFSET([3]enemies!$A$1,0,0,COUNTA([3]enemies!$A:$A),MATCH(W$1,[3]enemies!$1:$1,0)-MATCH($L$1,[3]enemies!$1:$1,0)+1),MATCH(W$1,[3]enemies!$1:$1,0)-MATCH($L$1,[3]enemies!$1:$1,0)+1,FALSE)</f>
        <v>37</v>
      </c>
      <c r="X241" s="81">
        <v>0</v>
      </c>
      <c r="Y241" s="81">
        <v>100</v>
      </c>
      <c r="Z241" s="81">
        <v>0</v>
      </c>
      <c r="AA241" s="22">
        <f ca="1">VLOOKUP($L241,OFFSET([3]enemies!$A$1,0,0,COUNTA([3]enemies!$A:$A),MATCH(AA$1,[3]enemies!$1:$1,0)-MATCH($L$1,[3]enemies!$1:$1,0)+1),MATCH(AA$1,[3]enemies!$1:$1,0)-MATCH($L$1,[3]enemies!$1:$1,0)+1,FALSE)</f>
        <v>3</v>
      </c>
      <c r="AB241" s="70">
        <v>37</v>
      </c>
      <c r="AC241" s="22" t="str">
        <f ca="1">IFERROR(VLOOKUP($AB241,OFFSET([4]characters!$A$1,0,0,COUNTA([4]characters!$A:$A),MATCH(AC$1,[4]characters!$1:$1,0)-MATCH("character_id",[4]characters!$1:$1,0)+1),MATCH(AC$1,[4]characters!$1:$1,0)-MATCH("character_id",[4]characters!$1:$1,0)+1,FALSE),"")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41" s="22">
        <f ca="1">IFERROR(VLOOKUP($AB241,OFFSET([4]characters!$A$1,0,0,COUNTA([4]characters!$A:$A),MATCH(AD$1,[4]characters!$1:$1,0)-MATCH("character_id",[4]characters!$1:$1,0)+1),MATCH(AD$1,[4]characters!$1:$1,0)-MATCH("character_id",[4]characters!$1:$1,0)+1,FALSE),"")</f>
        <v>2</v>
      </c>
      <c r="AE241" s="22" t="str">
        <f ca="1">IFERROR(VLOOKUP($AB241,OFFSET([4]characters!$A$1,0,0,COUNTA([4]characters!$A:$A),MATCH(AE$1,[4]characters!$1:$1,0)-MATCH("character_id",[4]characters!$1:$1,0)+1),MATCH(AE$1,[4]characters!$1:$1,0)-MATCH("character_id",[4]characters!$1:$1,0)+1,FALSE),"")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41" s="28">
        <v>1</v>
      </c>
      <c r="AG241" s="75">
        <f t="shared" ca="1" si="64"/>
        <v>2</v>
      </c>
      <c r="AH241" s="81">
        <v>0</v>
      </c>
      <c r="AI241" s="28">
        <v>0</v>
      </c>
      <c r="AJ241" s="28">
        <v>0</v>
      </c>
      <c r="AK241" s="28">
        <v>0</v>
      </c>
      <c r="AL241" s="28">
        <v>0</v>
      </c>
      <c r="AM241" s="28">
        <v>1</v>
      </c>
      <c r="AN241" s="28">
        <v>1</v>
      </c>
    </row>
    <row r="242" spans="1:40" ht="21" customHeight="1" x14ac:dyDescent="0.15">
      <c r="A242" s="78" t="str">
        <f t="shared" ca="1" si="63"/>
        <v>11103_4-1/29&lt;lv35&gt;s2</v>
      </c>
      <c r="B242" s="82">
        <v>11103</v>
      </c>
      <c r="C242" s="83">
        <v>4</v>
      </c>
      <c r="D242" s="16" t="str">
        <f t="shared" si="60"/>
        <v>11103_4</v>
      </c>
      <c r="E242" s="22" t="str">
        <f ca="1">VLOOKUP($B242,OFFSET([2]quests!$A$1,0,0,COUNTA([2]quests!$A:$A),MATCH(E$1,[2]quests!$1:$1,0)-MATCH($B$1,[2]quests!$1:$1,0)+1),MATCH(E$1,[2]quests!$1:$1,0)-MATCH($B$1,[2]quests!$1:$1,0)+1,FALSE)</f>
        <v>【期間限定】 青の素材</v>
      </c>
      <c r="F242" s="22" t="str">
        <f ca="1">VLOOKUP($D242,OFFSET([2]stages!$A$1,0,0,COUNTA([2]stages!$A:$A),MATCH(F$1,[2]stages!$2:$2,0)-MATCH($D$1,[2]stages!$2:$2,0)+1),MATCH(F$1,[2]stages!$2:$2,0)-MATCH($D$1,[2]stages!$2:$2,0)+1,FALSE)</f>
        <v xml:space="preserve">【上級】水のイモムシ </v>
      </c>
      <c r="G242" s="68">
        <v>1</v>
      </c>
      <c r="H242" s="16" t="str">
        <f t="shared" si="61"/>
        <v>11103_4-1</v>
      </c>
      <c r="I242" s="22" t="e">
        <v>#N/A</v>
      </c>
      <c r="J242" s="22" t="e">
        <v>#N/A</v>
      </c>
      <c r="K242" s="70" t="s">
        <v>217</v>
      </c>
      <c r="L242" s="70">
        <v>29</v>
      </c>
      <c r="M242" s="22" t="str">
        <f ca="1">VLOOKUP($L242,OFFSET([3]enemies!$A$1,0,0,COUNTA([3]enemies!$A:$A),MATCH(M$1,[3]enemies!$1:$1,0)-MATCH($L$1,[3]enemies!$1:$1,0)+1),MATCH(M$1,[3]enemies!$1:$1,0)-MATCH($L$1,[3]enemies!$1:$1,0)+1,FALSE)</f>
        <v>スケアクロウ</v>
      </c>
      <c r="N242" s="22" t="str">
        <f ca="1">VLOOKUP($L242,OFFSET([3]enemies!$A$1,0,0,COUNTA([3]enemies!$A:$A),MATCH(N$1,[3]enemies!$1:$1,0)-MATCH($L$1,[3]enemies!$1:$1,0)+1),MATCH(N$1,[3]enemies!$1:$1,0)-MATCH($L$1,[3]enemies!$1:$1,0)+1,FALSE)</f>
        <v>blue</v>
      </c>
      <c r="O242" s="22" t="str">
        <f ca="1">VLOOKUP($L242,OFFSET([4]characters!$A$1,0,0,COUNTA([4]characters!$A:$A),MATCH(O$1,[4]characters!$1:$1,0)-MATCH($L$1,[4]characters!$1:$1,0)+1),MATCH(O$1,[4]characters!$1:$1,0)-MATCH($L$1,[4]characters!$1:$1,0)+1,FALSE)</f>
        <v>Drop1N</v>
      </c>
      <c r="P242" s="22" t="str">
        <f ca="1">VLOOKUP($L242,OFFSET([3]enemies!$A$1,0,0,COUNTA([3]enemies!$A:$A),MATCH(P$1,[3]enemies!$1:$1,0)-MATCH($L$1,[3]enemies!$1:$1,0)+1),MATCH(P$1,[3]enemies!$1:$1,0)-MATCH($L$1,[3]enemies!$1:$1,0)+1,FALSE)</f>
        <v>machine</v>
      </c>
      <c r="Q242" s="22">
        <f ca="1">VLOOKUP($L242,OFFSET([3]enemies!$A$1,0,0,COUNTA([3]enemies!$A:$A),MATCH(Q$1,[3]enemies!$1:$1,0)-MATCH($L$1,[3]enemies!$1:$1,0)+1),MATCH(Q$1,[3]enemies!$1:$1,0)-MATCH($L$1,[3]enemies!$1:$1,0)+1,FALSE)</f>
        <v>15</v>
      </c>
      <c r="R242" s="79">
        <v>35</v>
      </c>
      <c r="S242" s="80">
        <v>1</v>
      </c>
      <c r="T242" s="80">
        <v>1</v>
      </c>
      <c r="U242" s="79">
        <v>0</v>
      </c>
      <c r="V242" s="22" t="str">
        <f ca="1">VLOOKUP($W242,OFFSET([5]enemy_skill_sets!$B$1,0,0,COUNTA([5]enemy_skill_sets!$B:$B),MATCH(M$1,[5]enemy_skill_sets!$1:$1,0)-MATCH($W$1,[5]enemy_skill_sets!$1:$1,0)+2),MATCH(M$1,[5]enemy_skill_sets!$1:$1,0)-MATCH($W$1,[5]enemy_skill_sets!$1:$1,0)+2,FALSE)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2" s="22">
        <f ca="1">VLOOKUP($L242,OFFSET([3]enemies!$A$1,0,0,COUNTA([3]enemies!$A:$A),MATCH(W$1,[3]enemies!$1:$1,0)-MATCH($L$1,[3]enemies!$1:$1,0)+1),MATCH(W$1,[3]enemies!$1:$1,0)-MATCH($L$1,[3]enemies!$1:$1,0)+1,FALSE)</f>
        <v>0</v>
      </c>
      <c r="X242" s="81">
        <v>0</v>
      </c>
      <c r="Y242" s="81">
        <v>100</v>
      </c>
      <c r="Z242" s="81">
        <v>0</v>
      </c>
      <c r="AA242" s="22">
        <f ca="1">VLOOKUP($L242,OFFSET([3]enemies!$A$1,0,0,COUNTA([3]enemies!$A:$A),MATCH(AA$1,[3]enemies!$1:$1,0)-MATCH($L$1,[3]enemies!$1:$1,0)+1),MATCH(AA$1,[3]enemies!$1:$1,0)-MATCH($L$1,[3]enemies!$1:$1,0)+1,FALSE)</f>
        <v>2</v>
      </c>
      <c r="AB242" s="70">
        <v>29</v>
      </c>
      <c r="AC242" s="22" t="str">
        <f ca="1">IFERROR(VLOOKUP($AB242,OFFSET([4]characters!$A$1,0,0,COUNTA([4]characters!$A:$A),MATCH(AC$1,[4]characters!$1:$1,0)-MATCH("character_id",[4]characters!$1:$1,0)+1),MATCH(AC$1,[4]characters!$1:$1,0)-MATCH("character_id",[4]characters!$1:$1,0)+1,FALSE),"")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42" s="22">
        <f ca="1">IFERROR(VLOOKUP($AB242,OFFSET([4]characters!$A$1,0,0,COUNTA([4]characters!$A:$A),MATCH(AD$1,[4]characters!$1:$1,0)-MATCH("character_id",[4]characters!$1:$1,0)+1),MATCH(AD$1,[4]characters!$1:$1,0)-MATCH("character_id",[4]characters!$1:$1,0)+1,FALSE),"")</f>
        <v>1</v>
      </c>
      <c r="AE242" s="22" t="str">
        <f ca="1">IFERROR(VLOOKUP($AB242,OFFSET([4]characters!$A$1,0,0,COUNTA([4]characters!$A:$A),MATCH(AE$1,[4]characters!$1:$1,0)-MATCH("character_id",[4]characters!$1:$1,0)+1),MATCH(AE$1,[4]characters!$1:$1,0)-MATCH("character_id",[4]characters!$1:$1,0)+1,FALSE),"")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42" s="28">
        <v>1</v>
      </c>
      <c r="AG242" s="75">
        <f t="shared" ca="1" si="64"/>
        <v>1</v>
      </c>
      <c r="AH242" s="81">
        <v>0</v>
      </c>
      <c r="AI242" s="28">
        <v>0</v>
      </c>
      <c r="AJ242" s="28">
        <v>0</v>
      </c>
      <c r="AK242" s="28">
        <v>0</v>
      </c>
      <c r="AL242" s="28">
        <v>0</v>
      </c>
      <c r="AM242" s="28">
        <v>1</v>
      </c>
      <c r="AN242" s="28">
        <v>1</v>
      </c>
    </row>
    <row r="243" spans="1:40" ht="21" customHeight="1" x14ac:dyDescent="0.15">
      <c r="A243" s="78" t="str">
        <f t="shared" ca="1" si="63"/>
        <v>11103_4-1/340&lt;lv1&gt;s1</v>
      </c>
      <c r="B243" s="82">
        <v>11103</v>
      </c>
      <c r="C243" s="83">
        <v>4</v>
      </c>
      <c r="D243" s="16" t="str">
        <f t="shared" si="60"/>
        <v>11103_4</v>
      </c>
      <c r="E243" s="22" t="str">
        <f ca="1">VLOOKUP($B243,OFFSET([2]quests!$A$1,0,0,COUNTA([2]quests!$A:$A),MATCH(E$1,[2]quests!$1:$1,0)-MATCH($B$1,[2]quests!$1:$1,0)+1),MATCH(E$1,[2]quests!$1:$1,0)-MATCH($B$1,[2]quests!$1:$1,0)+1,FALSE)</f>
        <v>【期間限定】 青の素材</v>
      </c>
      <c r="F243" s="22" t="str">
        <f ca="1">VLOOKUP($D243,OFFSET([2]stages!$A$1,0,0,COUNTA([2]stages!$A:$A),MATCH(F$1,[2]stages!$2:$2,0)-MATCH($D$1,[2]stages!$2:$2,0)+1),MATCH(F$1,[2]stages!$2:$2,0)-MATCH($D$1,[2]stages!$2:$2,0)+1,FALSE)</f>
        <v xml:space="preserve">【上級】水のイモムシ </v>
      </c>
      <c r="G243" s="68">
        <v>1</v>
      </c>
      <c r="H243" s="16" t="str">
        <f t="shared" si="61"/>
        <v>11103_4-1</v>
      </c>
      <c r="I243" s="22" t="e">
        <v>#N/A</v>
      </c>
      <c r="J243" s="22" t="e">
        <v>#N/A</v>
      </c>
      <c r="K243" s="70" t="s">
        <v>217</v>
      </c>
      <c r="L243" s="70">
        <v>340</v>
      </c>
      <c r="M243" s="22" t="str">
        <f ca="1">VLOOKUP($L243,OFFSET([3]enemies!$A$1,0,0,COUNTA([3]enemies!$A:$A),MATCH(M$1,[3]enemies!$1:$1,0)-MATCH($L$1,[3]enemies!$1:$1,0)+1),MATCH(M$1,[3]enemies!$1:$1,0)-MATCH($L$1,[3]enemies!$1:$1,0)+1,FALSE)</f>
        <v>水のメタルピヨピヨ</v>
      </c>
      <c r="N243" s="22" t="str">
        <f ca="1">VLOOKUP($L243,OFFSET([3]enemies!$A$1,0,0,COUNTA([3]enemies!$A:$A),MATCH(N$1,[3]enemies!$1:$1,0)-MATCH($L$1,[3]enemies!$1:$1,0)+1),MATCH(N$1,[3]enemies!$1:$1,0)-MATCH($L$1,[3]enemies!$1:$1,0)+1,FALSE)</f>
        <v>blue</v>
      </c>
      <c r="O243" s="22" t="str">
        <f ca="1">VLOOKUP($L243,OFFSET([4]characters!$A$1,0,0,COUNTA([4]characters!$A:$A),MATCH(O$1,[4]characters!$1:$1,0)-MATCH($L$1,[4]characters!$1:$1,0)+1),MATCH(O$1,[4]characters!$1:$1,0)-MATCH($L$1,[4]characters!$1:$1,0)+1,FALSE)</f>
        <v>Material</v>
      </c>
      <c r="P243" s="22" t="str">
        <f ca="1">VLOOKUP($L243,OFFSET([3]enemies!$A$1,0,0,COUNTA([3]enemies!$A:$A),MATCH(P$1,[3]enemies!$1:$1,0)-MATCH($L$1,[3]enemies!$1:$1,0)+1),MATCH(P$1,[3]enemies!$1:$1,0)-MATCH($L$1,[3]enemies!$1:$1,0)+1,FALSE)</f>
        <v>unknown</v>
      </c>
      <c r="Q243" s="22">
        <f ca="1">VLOOKUP($L243,OFFSET([3]enemies!$A$1,0,0,COUNTA([3]enemies!$A:$A),MATCH(Q$1,[3]enemies!$1:$1,0)-MATCH($L$1,[3]enemies!$1:$1,0)+1),MATCH(Q$1,[3]enemies!$1:$1,0)-MATCH($L$1,[3]enemies!$1:$1,0)+1,FALSE)</f>
        <v>15</v>
      </c>
      <c r="R243" s="79">
        <v>1</v>
      </c>
      <c r="S243" s="80">
        <v>1</v>
      </c>
      <c r="T243" s="80">
        <v>1</v>
      </c>
      <c r="U243" s="79">
        <v>0</v>
      </c>
      <c r="V243" s="22" t="str">
        <f ca="1">VLOOKUP($W243,OFFSET([5]enemy_skill_sets!$B$1,0,0,COUNTA([5]enemy_skill_sets!$B:$B),MATCH(M$1,[5]enemy_skill_sets!$1:$1,0)-MATCH($W$1,[5]enemy_skill_sets!$1:$1,0)+2),MATCH(M$1,[5]enemy_skill_sets!$1:$1,0)-MATCH($W$1,[5]enemy_skill_sets!$1:$1,0)+2,FALSE)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3" s="22">
        <f ca="1">VLOOKUP($L243,OFFSET([3]enemies!$A$1,0,0,COUNTA([3]enemies!$A:$A),MATCH(W$1,[3]enemies!$1:$1,0)-MATCH($L$1,[3]enemies!$1:$1,0)+1),MATCH(W$1,[3]enemies!$1:$1,0)-MATCH($L$1,[3]enemies!$1:$1,0)+1,FALSE)</f>
        <v>0</v>
      </c>
      <c r="X243" s="81">
        <v>0</v>
      </c>
      <c r="Y243" s="81">
        <v>30</v>
      </c>
      <c r="Z243" s="81">
        <v>0</v>
      </c>
      <c r="AA243" s="22">
        <f ca="1">VLOOKUP($L243,OFFSET([3]enemies!$A$1,0,0,COUNTA([3]enemies!$A:$A),MATCH(AA$1,[3]enemies!$1:$1,0)-MATCH($L$1,[3]enemies!$1:$1,0)+1),MATCH(AA$1,[3]enemies!$1:$1,0)-MATCH($L$1,[3]enemies!$1:$1,0)+1,FALSE)</f>
        <v>1</v>
      </c>
      <c r="AB243" s="70">
        <v>340</v>
      </c>
      <c r="AC243" s="22" t="str">
        <f ca="1">IFERROR(VLOOKUP($AB243,OFFSET([4]characters!$A$1,0,0,COUNTA([4]characters!$A:$A),MATCH(AC$1,[4]characters!$1:$1,0)-MATCH("character_id",[4]characters!$1:$1,0)+1),MATCH(AC$1,[4]characters!$1:$1,0)-MATCH("character_id",[4]characters!$1:$1,0)+1,FALSE),"")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243" s="22">
        <f ca="1">IFERROR(VLOOKUP($AB243,OFFSET([4]characters!$A$1,0,0,COUNTA([4]characters!$A:$A),MATCH(AD$1,[4]characters!$1:$1,0)-MATCH("character_id",[4]characters!$1:$1,0)+1),MATCH(AD$1,[4]characters!$1:$1,0)-MATCH("character_id",[4]characters!$1:$1,0)+1,FALSE),"")</f>
        <v>3</v>
      </c>
      <c r="AE243" s="22" t="str">
        <f ca="1">IFERROR(VLOOKUP($AB243,OFFSET([4]characters!$A$1,0,0,COUNTA([4]characters!$A:$A),MATCH(AE$1,[4]characters!$1:$1,0)-MATCH("character_id",[4]characters!$1:$1,0)+1),MATCH(AE$1,[4]characters!$1:$1,0)-MATCH("character_id",[4]characters!$1:$1,0)+1,FALSE),"")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3" s="28">
        <v>1</v>
      </c>
      <c r="AG243" s="75">
        <f t="shared" ca="1" si="64"/>
        <v>3</v>
      </c>
      <c r="AH243" s="81">
        <v>10</v>
      </c>
      <c r="AI243" s="28">
        <v>0</v>
      </c>
      <c r="AJ243" s="28">
        <v>0</v>
      </c>
      <c r="AK243" s="28">
        <v>0</v>
      </c>
      <c r="AL243" s="28">
        <v>0</v>
      </c>
      <c r="AM243" s="28">
        <v>1</v>
      </c>
      <c r="AN243" s="28">
        <v>1</v>
      </c>
    </row>
    <row r="244" spans="1:40" ht="21" customHeight="1" x14ac:dyDescent="0.15">
      <c r="A244" s="78" t="str">
        <f t="shared" ca="1" si="63"/>
        <v>11103_4-1/341&lt;lv1&gt;s2</v>
      </c>
      <c r="B244" s="82">
        <v>11103</v>
      </c>
      <c r="C244" s="83">
        <v>4</v>
      </c>
      <c r="D244" s="16" t="str">
        <f t="shared" si="60"/>
        <v>11103_4</v>
      </c>
      <c r="E244" s="22" t="str">
        <f ca="1">VLOOKUP($B244,OFFSET([2]quests!$A$1,0,0,COUNTA([2]quests!$A:$A),MATCH(E$1,[2]quests!$1:$1,0)-MATCH($B$1,[2]quests!$1:$1,0)+1),MATCH(E$1,[2]quests!$1:$1,0)-MATCH($B$1,[2]quests!$1:$1,0)+1,FALSE)</f>
        <v>【期間限定】 青の素材</v>
      </c>
      <c r="F244" s="22" t="str">
        <f ca="1">VLOOKUP($D244,OFFSET([2]stages!$A$1,0,0,COUNTA([2]stages!$A:$A),MATCH(F$1,[2]stages!$2:$2,0)-MATCH($D$1,[2]stages!$2:$2,0)+1),MATCH(F$1,[2]stages!$2:$2,0)-MATCH($D$1,[2]stages!$2:$2,0)+1,FALSE)</f>
        <v xml:space="preserve">【上級】水のイモムシ </v>
      </c>
      <c r="G244" s="68">
        <v>1</v>
      </c>
      <c r="H244" s="16" t="str">
        <f t="shared" si="61"/>
        <v>11103_4-1</v>
      </c>
      <c r="I244" s="22" t="e">
        <v>#N/A</v>
      </c>
      <c r="J244" s="22" t="e">
        <v>#N/A</v>
      </c>
      <c r="K244" s="70" t="s">
        <v>217</v>
      </c>
      <c r="L244" s="70">
        <v>341</v>
      </c>
      <c r="M244" s="22" t="str">
        <f ca="1">VLOOKUP($L244,OFFSET([3]enemies!$A$1,0,0,COUNTA([3]enemies!$A:$A),MATCH(M$1,[3]enemies!$1:$1,0)-MATCH($L$1,[3]enemies!$1:$1,0)+1),MATCH(M$1,[3]enemies!$1:$1,0)-MATCH($L$1,[3]enemies!$1:$1,0)+1,FALSE)</f>
        <v>水のメタルチック</v>
      </c>
      <c r="N244" s="22" t="str">
        <f ca="1">VLOOKUP($L244,OFFSET([3]enemies!$A$1,0,0,COUNTA([3]enemies!$A:$A),MATCH(N$1,[3]enemies!$1:$1,0)-MATCH($L$1,[3]enemies!$1:$1,0)+1),MATCH(N$1,[3]enemies!$1:$1,0)-MATCH($L$1,[3]enemies!$1:$1,0)+1,FALSE)</f>
        <v>blue</v>
      </c>
      <c r="O244" s="22" t="str">
        <f ca="1">VLOOKUP($L244,OFFSET([4]characters!$A$1,0,0,COUNTA([4]characters!$A:$A),MATCH(O$1,[4]characters!$1:$1,0)-MATCH($L$1,[4]characters!$1:$1,0)+1),MATCH(O$1,[4]characters!$1:$1,0)-MATCH($L$1,[4]characters!$1:$1,0)+1,FALSE)</f>
        <v>Material</v>
      </c>
      <c r="P244" s="22" t="str">
        <f ca="1">VLOOKUP($L244,OFFSET([3]enemies!$A$1,0,0,COUNTA([3]enemies!$A:$A),MATCH(P$1,[3]enemies!$1:$1,0)-MATCH($L$1,[3]enemies!$1:$1,0)+1),MATCH(P$1,[3]enemies!$1:$1,0)-MATCH($L$1,[3]enemies!$1:$1,0)+1,FALSE)</f>
        <v>unknown</v>
      </c>
      <c r="Q244" s="22">
        <f ca="1">VLOOKUP($L244,OFFSET([3]enemies!$A$1,0,0,COUNTA([3]enemies!$A:$A),MATCH(Q$1,[3]enemies!$1:$1,0)-MATCH($L$1,[3]enemies!$1:$1,0)+1),MATCH(Q$1,[3]enemies!$1:$1,0)-MATCH($L$1,[3]enemies!$1:$1,0)+1,FALSE)</f>
        <v>15</v>
      </c>
      <c r="R244" s="79">
        <v>1</v>
      </c>
      <c r="S244" s="80">
        <v>1</v>
      </c>
      <c r="T244" s="80">
        <v>1</v>
      </c>
      <c r="U244" s="79">
        <v>0</v>
      </c>
      <c r="V244" s="22" t="str">
        <f ca="1">VLOOKUP($W244,OFFSET([5]enemy_skill_sets!$B$1,0,0,COUNTA([5]enemy_skill_sets!$B:$B),MATCH(M$1,[5]enemy_skill_sets!$1:$1,0)-MATCH($W$1,[5]enemy_skill_sets!$1:$1,0)+2),MATCH(M$1,[5]enemy_skill_sets!$1:$1,0)-MATCH($W$1,[5]enemy_skill_sets!$1:$1,0)+2,FALSE)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4" s="22">
        <f ca="1">VLOOKUP($L244,OFFSET([3]enemies!$A$1,0,0,COUNTA([3]enemies!$A:$A),MATCH(W$1,[3]enemies!$1:$1,0)-MATCH($L$1,[3]enemies!$1:$1,0)+1),MATCH(W$1,[3]enemies!$1:$1,0)-MATCH($L$1,[3]enemies!$1:$1,0)+1,FALSE)</f>
        <v>0</v>
      </c>
      <c r="X244" s="81">
        <v>0</v>
      </c>
      <c r="Y244" s="81">
        <v>30</v>
      </c>
      <c r="Z244" s="81">
        <v>0</v>
      </c>
      <c r="AA244" s="22">
        <f ca="1">VLOOKUP($L244,OFFSET([3]enemies!$A$1,0,0,COUNTA([3]enemies!$A:$A),MATCH(AA$1,[3]enemies!$1:$1,0)-MATCH($L$1,[3]enemies!$1:$1,0)+1),MATCH(AA$1,[3]enemies!$1:$1,0)-MATCH($L$1,[3]enemies!$1:$1,0)+1,FALSE)</f>
        <v>2</v>
      </c>
      <c r="AB244" s="70">
        <v>341</v>
      </c>
      <c r="AC244" s="22" t="str">
        <f ca="1">IFERROR(VLOOKUP($AB244,OFFSET([4]characters!$A$1,0,0,COUNTA([4]characters!$A:$A),MATCH(AC$1,[4]characters!$1:$1,0)-MATCH("character_id",[4]characters!$1:$1,0)+1),MATCH(AC$1,[4]characters!$1:$1,0)-MATCH("character_id",[4]characters!$1:$1,0)+1,FALSE),"")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244" s="22">
        <f ca="1">IFERROR(VLOOKUP($AB244,OFFSET([4]characters!$A$1,0,0,COUNTA([4]characters!$A:$A),MATCH(AD$1,[4]characters!$1:$1,0)-MATCH("character_id",[4]characters!$1:$1,0)+1),MATCH(AD$1,[4]characters!$1:$1,0)-MATCH("character_id",[4]characters!$1:$1,0)+1,FALSE),"")</f>
        <v>4</v>
      </c>
      <c r="AE244" s="22" t="str">
        <f ca="1">IFERROR(VLOOKUP($AB244,OFFSET([4]characters!$A$1,0,0,COUNTA([4]characters!$A:$A),MATCH(AE$1,[4]characters!$1:$1,0)-MATCH("character_id",[4]characters!$1:$1,0)+1),MATCH(AE$1,[4]characters!$1:$1,0)-MATCH("character_id",[4]characters!$1:$1,0)+1,FALSE),"")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4" s="28">
        <v>1</v>
      </c>
      <c r="AG244" s="75">
        <f t="shared" ca="1" si="64"/>
        <v>4</v>
      </c>
      <c r="AH244" s="81">
        <v>5</v>
      </c>
      <c r="AI244" s="28">
        <v>0</v>
      </c>
      <c r="AJ244" s="28">
        <v>0</v>
      </c>
      <c r="AK244" s="28">
        <v>0</v>
      </c>
      <c r="AL244" s="28">
        <v>0</v>
      </c>
      <c r="AM244" s="28">
        <v>1</v>
      </c>
      <c r="AN244" s="28">
        <v>1</v>
      </c>
    </row>
    <row r="245" spans="1:40" ht="21" customHeight="1" x14ac:dyDescent="0.15">
      <c r="A245" s="78" t="str">
        <f t="shared" ca="1" si="63"/>
        <v>11103_4-2/111&lt;lv30&gt;s1</v>
      </c>
      <c r="B245" s="82">
        <v>11103</v>
      </c>
      <c r="C245" s="83">
        <v>4</v>
      </c>
      <c r="D245" s="16" t="str">
        <f t="shared" si="60"/>
        <v>11103_4</v>
      </c>
      <c r="E245" s="22" t="str">
        <f ca="1">VLOOKUP($B245,OFFSET([2]quests!$A$1,0,0,COUNTA([2]quests!$A:$A),MATCH(E$1,[2]quests!$1:$1,0)-MATCH($B$1,[2]quests!$1:$1,0)+1),MATCH(E$1,[2]quests!$1:$1,0)-MATCH($B$1,[2]quests!$1:$1,0)+1,FALSE)</f>
        <v>【期間限定】 青の素材</v>
      </c>
      <c r="F245" s="22" t="str">
        <f ca="1">VLOOKUP($D245,OFFSET([2]stages!$A$1,0,0,COUNTA([2]stages!$A:$A),MATCH(F$1,[2]stages!$2:$2,0)-MATCH($D$1,[2]stages!$2:$2,0)+1),MATCH(F$1,[2]stages!$2:$2,0)-MATCH($D$1,[2]stages!$2:$2,0)+1,FALSE)</f>
        <v xml:space="preserve">【上級】水のイモムシ </v>
      </c>
      <c r="G245" s="68">
        <v>2</v>
      </c>
      <c r="H245" s="16" t="str">
        <f t="shared" si="61"/>
        <v>11103_4-2</v>
      </c>
      <c r="I245" s="22" t="e">
        <v>#N/A</v>
      </c>
      <c r="J245" s="22" t="e">
        <v>#N/A</v>
      </c>
      <c r="K245" s="70" t="s">
        <v>217</v>
      </c>
      <c r="L245" s="70">
        <v>111</v>
      </c>
      <c r="M245" s="22" t="str">
        <f ca="1">VLOOKUP($L245,OFFSET([3]enemies!$A$1,0,0,COUNTA([3]enemies!$A:$A),MATCH(M$1,[3]enemies!$1:$1,0)-MATCH($L$1,[3]enemies!$1:$1,0)+1),MATCH(M$1,[3]enemies!$1:$1,0)-MATCH($L$1,[3]enemies!$1:$1,0)+1,FALSE)</f>
        <v>ブルーキャタップ</v>
      </c>
      <c r="N245" s="22" t="str">
        <f ca="1">VLOOKUP($L245,OFFSET([3]enemies!$A$1,0,0,COUNTA([3]enemies!$A:$A),MATCH(N$1,[3]enemies!$1:$1,0)-MATCH($L$1,[3]enemies!$1:$1,0)+1),MATCH(N$1,[3]enemies!$1:$1,0)-MATCH($L$1,[3]enemies!$1:$1,0)+1,FALSE)</f>
        <v>blue</v>
      </c>
      <c r="O245" s="22" t="str">
        <f ca="1">VLOOKUP($L245,OFFSET([4]characters!$A$1,0,0,COUNTA([4]characters!$A:$A),MATCH(O$1,[4]characters!$1:$1,0)-MATCH($L$1,[4]characters!$1:$1,0)+1),MATCH(O$1,[4]characters!$1:$1,0)-MATCH($L$1,[4]characters!$1:$1,0)+1,FALSE)</f>
        <v>Material</v>
      </c>
      <c r="P245" s="22" t="str">
        <f ca="1">VLOOKUP($L245,OFFSET([3]enemies!$A$1,0,0,COUNTA([3]enemies!$A:$A),MATCH(P$1,[3]enemies!$1:$1,0)-MATCH($L$1,[3]enemies!$1:$1,0)+1),MATCH(P$1,[3]enemies!$1:$1,0)-MATCH($L$1,[3]enemies!$1:$1,0)+1,FALSE)</f>
        <v>unknown</v>
      </c>
      <c r="Q245" s="22">
        <f ca="1">VLOOKUP($L245,OFFSET([3]enemies!$A$1,0,0,COUNTA([3]enemies!$A:$A),MATCH(Q$1,[3]enemies!$1:$1,0)-MATCH($L$1,[3]enemies!$1:$1,0)+1),MATCH(Q$1,[3]enemies!$1:$1,0)-MATCH($L$1,[3]enemies!$1:$1,0)+1,FALSE)</f>
        <v>15</v>
      </c>
      <c r="R245" s="79">
        <v>30</v>
      </c>
      <c r="S245" s="80">
        <v>2</v>
      </c>
      <c r="T245" s="80">
        <v>1</v>
      </c>
      <c r="U245" s="79">
        <v>0</v>
      </c>
      <c r="V245" s="22" t="str">
        <f ca="1">VLOOKUP($W245,OFFSET([5]enemy_skill_sets!$B$1,0,0,COUNTA([5]enemy_skill_sets!$B:$B),MATCH(M$1,[5]enemy_skill_sets!$1:$1,0)-MATCH($W$1,[5]enemy_skill_sets!$1:$1,0)+2),MATCH(M$1,[5]enemy_skill_sets!$1:$1,0)-MATCH($W$1,[5]enemy_skill_sets!$1:$1,0)+2,FALSE)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5" s="22">
        <f ca="1">VLOOKUP($L245,OFFSET([3]enemies!$A$1,0,0,COUNTA([3]enemies!$A:$A),MATCH(W$1,[3]enemies!$1:$1,0)-MATCH($L$1,[3]enemies!$1:$1,0)+1),MATCH(W$1,[3]enemies!$1:$1,0)-MATCH($L$1,[3]enemies!$1:$1,0)+1,FALSE)</f>
        <v>0</v>
      </c>
      <c r="X245" s="81">
        <v>1</v>
      </c>
      <c r="Y245" s="81">
        <v>100</v>
      </c>
      <c r="Z245" s="81">
        <v>1</v>
      </c>
      <c r="AA245" s="22">
        <f ca="1">VLOOKUP($L245,OFFSET([3]enemies!$A$1,0,0,COUNTA([3]enemies!$A:$A),MATCH(AA$1,[3]enemies!$1:$1,0)-MATCH($L$1,[3]enemies!$1:$1,0)+1),MATCH(AA$1,[3]enemies!$1:$1,0)-MATCH($L$1,[3]enemies!$1:$1,0)+1,FALSE)</f>
        <v>1</v>
      </c>
      <c r="AB245" s="70">
        <v>111</v>
      </c>
      <c r="AC245" s="22" t="str">
        <f ca="1">IFERROR(VLOOKUP($AB245,OFFSET([4]characters!$A$1,0,0,COUNTA([4]characters!$A:$A),MATCH(AC$1,[4]characters!$1:$1,0)-MATCH("character_id",[4]characters!$1:$1,0)+1),MATCH(AC$1,[4]characters!$1:$1,0)-MATCH("character_id",[4]characters!$1:$1,0)+1,FALSE),"")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245" s="22">
        <f ca="1">IFERROR(VLOOKUP($AB245,OFFSET([4]characters!$A$1,0,0,COUNTA([4]characters!$A:$A),MATCH(AD$1,[4]characters!$1:$1,0)-MATCH("character_id",[4]characters!$1:$1,0)+1),MATCH(AD$1,[4]characters!$1:$1,0)-MATCH("character_id",[4]characters!$1:$1,0)+1,FALSE),"")</f>
        <v>4</v>
      </c>
      <c r="AE245" s="22" t="str">
        <f ca="1">IFERROR(VLOOKUP($AB245,OFFSET([4]characters!$A$1,0,0,COUNTA([4]characters!$A:$A),MATCH(AE$1,[4]characters!$1:$1,0)-MATCH("character_id",[4]characters!$1:$1,0)+1),MATCH(AE$1,[4]characters!$1:$1,0)-MATCH("character_id",[4]characters!$1:$1,0)+1,FALSE),"")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5" s="28">
        <v>1</v>
      </c>
      <c r="AG245" s="75">
        <f t="shared" ca="1" si="64"/>
        <v>4</v>
      </c>
      <c r="AH245" s="131">
        <v>50</v>
      </c>
      <c r="AI245" s="28">
        <v>0</v>
      </c>
      <c r="AJ245" s="28">
        <v>0</v>
      </c>
      <c r="AK245" s="28">
        <v>0</v>
      </c>
      <c r="AL245" s="28">
        <v>0</v>
      </c>
      <c r="AM245" s="28">
        <v>1</v>
      </c>
      <c r="AN245" s="28">
        <v>1</v>
      </c>
    </row>
    <row r="246" spans="1:40" ht="21" customHeight="1" x14ac:dyDescent="0.15">
      <c r="A246" s="78" t="str">
        <f t="shared" ca="1" si="63"/>
        <v>11103_4-2/37&lt;lv35&gt;s3</v>
      </c>
      <c r="B246" s="82">
        <v>11103</v>
      </c>
      <c r="C246" s="83">
        <v>4</v>
      </c>
      <c r="D246" s="16" t="str">
        <f t="shared" si="60"/>
        <v>11103_4</v>
      </c>
      <c r="E246" s="22" t="str">
        <f ca="1">VLOOKUP($B246,OFFSET([2]quests!$A$1,0,0,COUNTA([2]quests!$A:$A),MATCH(E$1,[2]quests!$1:$1,0)-MATCH($B$1,[2]quests!$1:$1,0)+1),MATCH(E$1,[2]quests!$1:$1,0)-MATCH($B$1,[2]quests!$1:$1,0)+1,FALSE)</f>
        <v>【期間限定】 青の素材</v>
      </c>
      <c r="F246" s="22" t="str">
        <f ca="1">VLOOKUP($D246,OFFSET([2]stages!$A$1,0,0,COUNTA([2]stages!$A:$A),MATCH(F$1,[2]stages!$2:$2,0)-MATCH($D$1,[2]stages!$2:$2,0)+1),MATCH(F$1,[2]stages!$2:$2,0)-MATCH($D$1,[2]stages!$2:$2,0)+1,FALSE)</f>
        <v xml:space="preserve">【上級】水のイモムシ </v>
      </c>
      <c r="G246" s="68">
        <v>2</v>
      </c>
      <c r="H246" s="16" t="str">
        <f t="shared" si="61"/>
        <v>11103_4-2</v>
      </c>
      <c r="I246" s="22" t="e">
        <v>#N/A</v>
      </c>
      <c r="J246" s="22" t="e">
        <v>#N/A</v>
      </c>
      <c r="K246" s="70" t="s">
        <v>217</v>
      </c>
      <c r="L246" s="70">
        <v>37</v>
      </c>
      <c r="M246" s="22" t="str">
        <f ca="1">VLOOKUP($L246,OFFSET([3]enemies!$A$1,0,0,COUNTA([3]enemies!$A:$A),MATCH(M$1,[3]enemies!$1:$1,0)-MATCH($L$1,[3]enemies!$1:$1,0)+1),MATCH(M$1,[3]enemies!$1:$1,0)-MATCH($L$1,[3]enemies!$1:$1,0)+1,FALSE)</f>
        <v>ガイル</v>
      </c>
      <c r="N246" s="22" t="str">
        <f ca="1">VLOOKUP($L246,OFFSET([3]enemies!$A$1,0,0,COUNTA([3]enemies!$A:$A),MATCH(N$1,[3]enemies!$1:$1,0)-MATCH($L$1,[3]enemies!$1:$1,0)+1),MATCH(N$1,[3]enemies!$1:$1,0)-MATCH($L$1,[3]enemies!$1:$1,0)+1,FALSE)</f>
        <v>blue</v>
      </c>
      <c r="O246" s="22" t="str">
        <f ca="1">VLOOKUP($L246,OFFSET([4]characters!$A$1,0,0,COUNTA([4]characters!$A:$A),MATCH(O$1,[4]characters!$1:$1,0)-MATCH($L$1,[4]characters!$1:$1,0)+1),MATCH(O$1,[4]characters!$1:$1,0)-MATCH($L$1,[4]characters!$1:$1,0)+1,FALSE)</f>
        <v>Drop1S</v>
      </c>
      <c r="P246" s="22" t="str">
        <f ca="1">VLOOKUP($L246,OFFSET([3]enemies!$A$1,0,0,COUNTA([3]enemies!$A:$A),MATCH(P$1,[3]enemies!$1:$1,0)-MATCH($L$1,[3]enemies!$1:$1,0)+1),MATCH(P$1,[3]enemies!$1:$1,0)-MATCH($L$1,[3]enemies!$1:$1,0)+1,FALSE)</f>
        <v>animal</v>
      </c>
      <c r="Q246" s="22">
        <f ca="1">VLOOKUP($L246,OFFSET([3]enemies!$A$1,0,0,COUNTA([3]enemies!$A:$A),MATCH(Q$1,[3]enemies!$1:$1,0)-MATCH($L$1,[3]enemies!$1:$1,0)+1),MATCH(Q$1,[3]enemies!$1:$1,0)-MATCH($L$1,[3]enemies!$1:$1,0)+1,FALSE)</f>
        <v>15</v>
      </c>
      <c r="R246" s="79">
        <v>35</v>
      </c>
      <c r="S246" s="80">
        <v>1</v>
      </c>
      <c r="T246" s="80">
        <v>1</v>
      </c>
      <c r="U246" s="79">
        <v>0</v>
      </c>
      <c r="V246" s="22" t="str">
        <f ca="1">VLOOKUP($W246,OFFSET([5]enemy_skill_sets!$B$1,0,0,COUNTA([5]enemy_skill_sets!$B:$B),MATCH(M$1,[5]enemy_skill_sets!$1:$1,0)-MATCH($W$1,[5]enemy_skill_sets!$1:$1,0)+2),MATCH(M$1,[5]enemy_skill_sets!$1:$1,0)-MATCH($W$1,[5]enemy_skill_sets!$1:$1,0)+2,FALSE)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46" s="22">
        <f ca="1">VLOOKUP($L246,OFFSET([3]enemies!$A$1,0,0,COUNTA([3]enemies!$A:$A),MATCH(W$1,[3]enemies!$1:$1,0)-MATCH($L$1,[3]enemies!$1:$1,0)+1),MATCH(W$1,[3]enemies!$1:$1,0)-MATCH($L$1,[3]enemies!$1:$1,0)+1,FALSE)</f>
        <v>37</v>
      </c>
      <c r="X246" s="81">
        <v>0</v>
      </c>
      <c r="Y246" s="81">
        <v>100</v>
      </c>
      <c r="Z246" s="81">
        <v>0</v>
      </c>
      <c r="AA246" s="22">
        <f ca="1">VLOOKUP($L246,OFFSET([3]enemies!$A$1,0,0,COUNTA([3]enemies!$A:$A),MATCH(AA$1,[3]enemies!$1:$1,0)-MATCH($L$1,[3]enemies!$1:$1,0)+1),MATCH(AA$1,[3]enemies!$1:$1,0)-MATCH($L$1,[3]enemies!$1:$1,0)+1,FALSE)</f>
        <v>3</v>
      </c>
      <c r="AB246" s="70">
        <v>37</v>
      </c>
      <c r="AC246" s="22" t="str">
        <f ca="1">IFERROR(VLOOKUP($AB246,OFFSET([4]characters!$A$1,0,0,COUNTA([4]characters!$A:$A),MATCH(AC$1,[4]characters!$1:$1,0)-MATCH("character_id",[4]characters!$1:$1,0)+1),MATCH(AC$1,[4]characters!$1:$1,0)-MATCH("character_id",[4]characters!$1:$1,0)+1,FALSE),"")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46" s="22">
        <f ca="1">IFERROR(VLOOKUP($AB246,OFFSET([4]characters!$A$1,0,0,COUNTA([4]characters!$A:$A),MATCH(AD$1,[4]characters!$1:$1,0)-MATCH("character_id",[4]characters!$1:$1,0)+1),MATCH(AD$1,[4]characters!$1:$1,0)-MATCH("character_id",[4]characters!$1:$1,0)+1,FALSE),"")</f>
        <v>2</v>
      </c>
      <c r="AE246" s="22" t="str">
        <f ca="1">IFERROR(VLOOKUP($AB246,OFFSET([4]characters!$A$1,0,0,COUNTA([4]characters!$A:$A),MATCH(AE$1,[4]characters!$1:$1,0)-MATCH("character_id",[4]characters!$1:$1,0)+1),MATCH(AE$1,[4]characters!$1:$1,0)-MATCH("character_id",[4]characters!$1:$1,0)+1,FALSE),"")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46" s="28">
        <v>1</v>
      </c>
      <c r="AG246" s="75">
        <f t="shared" ca="1" si="64"/>
        <v>2</v>
      </c>
      <c r="AH246" s="81">
        <v>0</v>
      </c>
      <c r="AI246" s="28">
        <v>0</v>
      </c>
      <c r="AJ246" s="28">
        <v>0</v>
      </c>
      <c r="AK246" s="28">
        <v>0</v>
      </c>
      <c r="AL246" s="28">
        <v>0</v>
      </c>
      <c r="AM246" s="28">
        <v>1</v>
      </c>
      <c r="AN246" s="28">
        <v>1</v>
      </c>
    </row>
    <row r="247" spans="1:40" ht="21" customHeight="1" x14ac:dyDescent="0.15">
      <c r="A247" s="78" t="str">
        <f t="shared" ca="1" si="63"/>
        <v>11103_4-2/29&lt;lv35&gt;s2</v>
      </c>
      <c r="B247" s="82">
        <v>11103</v>
      </c>
      <c r="C247" s="83">
        <v>4</v>
      </c>
      <c r="D247" s="16" t="str">
        <f t="shared" si="60"/>
        <v>11103_4</v>
      </c>
      <c r="E247" s="22" t="str">
        <f ca="1">VLOOKUP($B247,OFFSET([2]quests!$A$1,0,0,COUNTA([2]quests!$A:$A),MATCH(E$1,[2]quests!$1:$1,0)-MATCH($B$1,[2]quests!$1:$1,0)+1),MATCH(E$1,[2]quests!$1:$1,0)-MATCH($B$1,[2]quests!$1:$1,0)+1,FALSE)</f>
        <v>【期間限定】 青の素材</v>
      </c>
      <c r="F247" s="22" t="str">
        <f ca="1">VLOOKUP($D247,OFFSET([2]stages!$A$1,0,0,COUNTA([2]stages!$A:$A),MATCH(F$1,[2]stages!$2:$2,0)-MATCH($D$1,[2]stages!$2:$2,0)+1),MATCH(F$1,[2]stages!$2:$2,0)-MATCH($D$1,[2]stages!$2:$2,0)+1,FALSE)</f>
        <v xml:space="preserve">【上級】水のイモムシ </v>
      </c>
      <c r="G247" s="68">
        <v>2</v>
      </c>
      <c r="H247" s="16" t="str">
        <f t="shared" si="61"/>
        <v>11103_4-2</v>
      </c>
      <c r="I247" s="22" t="e">
        <v>#N/A</v>
      </c>
      <c r="J247" s="22" t="e">
        <v>#N/A</v>
      </c>
      <c r="K247" s="70" t="s">
        <v>217</v>
      </c>
      <c r="L247" s="70">
        <v>29</v>
      </c>
      <c r="M247" s="22" t="str">
        <f ca="1">VLOOKUP($L247,OFFSET([3]enemies!$A$1,0,0,COUNTA([3]enemies!$A:$A),MATCH(M$1,[3]enemies!$1:$1,0)-MATCH($L$1,[3]enemies!$1:$1,0)+1),MATCH(M$1,[3]enemies!$1:$1,0)-MATCH($L$1,[3]enemies!$1:$1,0)+1,FALSE)</f>
        <v>スケアクロウ</v>
      </c>
      <c r="N247" s="22" t="str">
        <f ca="1">VLOOKUP($L247,OFFSET([3]enemies!$A$1,0,0,COUNTA([3]enemies!$A:$A),MATCH(N$1,[3]enemies!$1:$1,0)-MATCH($L$1,[3]enemies!$1:$1,0)+1),MATCH(N$1,[3]enemies!$1:$1,0)-MATCH($L$1,[3]enemies!$1:$1,0)+1,FALSE)</f>
        <v>blue</v>
      </c>
      <c r="O247" s="22" t="str">
        <f ca="1">VLOOKUP($L247,OFFSET([4]characters!$A$1,0,0,COUNTA([4]characters!$A:$A),MATCH(O$1,[4]characters!$1:$1,0)-MATCH($L$1,[4]characters!$1:$1,0)+1),MATCH(O$1,[4]characters!$1:$1,0)-MATCH($L$1,[4]characters!$1:$1,0)+1,FALSE)</f>
        <v>Drop1N</v>
      </c>
      <c r="P247" s="22" t="str">
        <f ca="1">VLOOKUP($L247,OFFSET([3]enemies!$A$1,0,0,COUNTA([3]enemies!$A:$A),MATCH(P$1,[3]enemies!$1:$1,0)-MATCH($L$1,[3]enemies!$1:$1,0)+1),MATCH(P$1,[3]enemies!$1:$1,0)-MATCH($L$1,[3]enemies!$1:$1,0)+1,FALSE)</f>
        <v>machine</v>
      </c>
      <c r="Q247" s="22">
        <f ca="1">VLOOKUP($L247,OFFSET([3]enemies!$A$1,0,0,COUNTA([3]enemies!$A:$A),MATCH(Q$1,[3]enemies!$1:$1,0)-MATCH($L$1,[3]enemies!$1:$1,0)+1),MATCH(Q$1,[3]enemies!$1:$1,0)-MATCH($L$1,[3]enemies!$1:$1,0)+1,FALSE)</f>
        <v>15</v>
      </c>
      <c r="R247" s="79">
        <v>35</v>
      </c>
      <c r="S247" s="80">
        <v>1</v>
      </c>
      <c r="T247" s="80">
        <v>1</v>
      </c>
      <c r="U247" s="79">
        <v>0</v>
      </c>
      <c r="V247" s="22" t="str">
        <f ca="1">VLOOKUP($W247,OFFSET([5]enemy_skill_sets!$B$1,0,0,COUNTA([5]enemy_skill_sets!$B:$B),MATCH(M$1,[5]enemy_skill_sets!$1:$1,0)-MATCH($W$1,[5]enemy_skill_sets!$1:$1,0)+2),MATCH(M$1,[5]enemy_skill_sets!$1:$1,0)-MATCH($W$1,[5]enemy_skill_sets!$1:$1,0)+2,FALSE)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7" s="22">
        <f ca="1">VLOOKUP($L247,OFFSET([3]enemies!$A$1,0,0,COUNTA([3]enemies!$A:$A),MATCH(W$1,[3]enemies!$1:$1,0)-MATCH($L$1,[3]enemies!$1:$1,0)+1),MATCH(W$1,[3]enemies!$1:$1,0)-MATCH($L$1,[3]enemies!$1:$1,0)+1,FALSE)</f>
        <v>0</v>
      </c>
      <c r="X247" s="81">
        <v>0</v>
      </c>
      <c r="Y247" s="81">
        <v>100</v>
      </c>
      <c r="Z247" s="81">
        <v>0</v>
      </c>
      <c r="AA247" s="22">
        <f ca="1">VLOOKUP($L247,OFFSET([3]enemies!$A$1,0,0,COUNTA([3]enemies!$A:$A),MATCH(AA$1,[3]enemies!$1:$1,0)-MATCH($L$1,[3]enemies!$1:$1,0)+1),MATCH(AA$1,[3]enemies!$1:$1,0)-MATCH($L$1,[3]enemies!$1:$1,0)+1,FALSE)</f>
        <v>2</v>
      </c>
      <c r="AB247" s="70">
        <v>29</v>
      </c>
      <c r="AC247" s="22" t="str">
        <f ca="1">IFERROR(VLOOKUP($AB247,OFFSET([4]characters!$A$1,0,0,COUNTA([4]characters!$A:$A),MATCH(AC$1,[4]characters!$1:$1,0)-MATCH("character_id",[4]characters!$1:$1,0)+1),MATCH(AC$1,[4]characters!$1:$1,0)-MATCH("character_id",[4]characters!$1:$1,0)+1,FALSE),"")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47" s="22">
        <f ca="1">IFERROR(VLOOKUP($AB247,OFFSET([4]characters!$A$1,0,0,COUNTA([4]characters!$A:$A),MATCH(AD$1,[4]characters!$1:$1,0)-MATCH("character_id",[4]characters!$1:$1,0)+1),MATCH(AD$1,[4]characters!$1:$1,0)-MATCH("character_id",[4]characters!$1:$1,0)+1,FALSE),"")</f>
        <v>1</v>
      </c>
      <c r="AE247" s="22" t="str">
        <f ca="1">IFERROR(VLOOKUP($AB247,OFFSET([4]characters!$A$1,0,0,COUNTA([4]characters!$A:$A),MATCH(AE$1,[4]characters!$1:$1,0)-MATCH("character_id",[4]characters!$1:$1,0)+1),MATCH(AE$1,[4]characters!$1:$1,0)-MATCH("character_id",[4]characters!$1:$1,0)+1,FALSE),"")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47" s="28">
        <v>1</v>
      </c>
      <c r="AG247" s="75">
        <f t="shared" ca="1" si="64"/>
        <v>1</v>
      </c>
      <c r="AH247" s="81">
        <v>0</v>
      </c>
      <c r="AI247" s="28">
        <v>0</v>
      </c>
      <c r="AJ247" s="28">
        <v>0</v>
      </c>
      <c r="AK247" s="28">
        <v>0</v>
      </c>
      <c r="AL247" s="28">
        <v>0</v>
      </c>
      <c r="AM247" s="28">
        <v>1</v>
      </c>
      <c r="AN247" s="28">
        <v>1</v>
      </c>
    </row>
    <row r="248" spans="1:40" ht="21" customHeight="1" x14ac:dyDescent="0.15">
      <c r="A248" s="78" t="str">
        <f t="shared" ca="1" si="63"/>
        <v>11103_4-2/340&lt;lv1&gt;s1</v>
      </c>
      <c r="B248" s="82">
        <v>11103</v>
      </c>
      <c r="C248" s="83">
        <v>4</v>
      </c>
      <c r="D248" s="16" t="str">
        <f t="shared" si="60"/>
        <v>11103_4</v>
      </c>
      <c r="E248" s="22" t="str">
        <f ca="1">VLOOKUP($B248,OFFSET([2]quests!$A$1,0,0,COUNTA([2]quests!$A:$A),MATCH(E$1,[2]quests!$1:$1,0)-MATCH($B$1,[2]quests!$1:$1,0)+1),MATCH(E$1,[2]quests!$1:$1,0)-MATCH($B$1,[2]quests!$1:$1,0)+1,FALSE)</f>
        <v>【期間限定】 青の素材</v>
      </c>
      <c r="F248" s="22" t="str">
        <f ca="1">VLOOKUP($D248,OFFSET([2]stages!$A$1,0,0,COUNTA([2]stages!$A:$A),MATCH(F$1,[2]stages!$2:$2,0)-MATCH($D$1,[2]stages!$2:$2,0)+1),MATCH(F$1,[2]stages!$2:$2,0)-MATCH($D$1,[2]stages!$2:$2,0)+1,FALSE)</f>
        <v xml:space="preserve">【上級】水のイモムシ </v>
      </c>
      <c r="G248" s="68">
        <v>2</v>
      </c>
      <c r="H248" s="16" t="str">
        <f t="shared" si="61"/>
        <v>11103_4-2</v>
      </c>
      <c r="I248" s="22" t="e">
        <v>#N/A</v>
      </c>
      <c r="J248" s="22" t="e">
        <v>#N/A</v>
      </c>
      <c r="K248" s="70" t="s">
        <v>217</v>
      </c>
      <c r="L248" s="70">
        <v>340</v>
      </c>
      <c r="M248" s="22" t="str">
        <f ca="1">VLOOKUP($L248,OFFSET([3]enemies!$A$1,0,0,COUNTA([3]enemies!$A:$A),MATCH(M$1,[3]enemies!$1:$1,0)-MATCH($L$1,[3]enemies!$1:$1,0)+1),MATCH(M$1,[3]enemies!$1:$1,0)-MATCH($L$1,[3]enemies!$1:$1,0)+1,FALSE)</f>
        <v>水のメタルピヨピヨ</v>
      </c>
      <c r="N248" s="22" t="str">
        <f ca="1">VLOOKUP($L248,OFFSET([3]enemies!$A$1,0,0,COUNTA([3]enemies!$A:$A),MATCH(N$1,[3]enemies!$1:$1,0)-MATCH($L$1,[3]enemies!$1:$1,0)+1),MATCH(N$1,[3]enemies!$1:$1,0)-MATCH($L$1,[3]enemies!$1:$1,0)+1,FALSE)</f>
        <v>blue</v>
      </c>
      <c r="O248" s="22" t="str">
        <f ca="1">VLOOKUP($L248,OFFSET([4]characters!$A$1,0,0,COUNTA([4]characters!$A:$A),MATCH(O$1,[4]characters!$1:$1,0)-MATCH($L$1,[4]characters!$1:$1,0)+1),MATCH(O$1,[4]characters!$1:$1,0)-MATCH($L$1,[4]characters!$1:$1,0)+1,FALSE)</f>
        <v>Material</v>
      </c>
      <c r="P248" s="22" t="str">
        <f ca="1">VLOOKUP($L248,OFFSET([3]enemies!$A$1,0,0,COUNTA([3]enemies!$A:$A),MATCH(P$1,[3]enemies!$1:$1,0)-MATCH($L$1,[3]enemies!$1:$1,0)+1),MATCH(P$1,[3]enemies!$1:$1,0)-MATCH($L$1,[3]enemies!$1:$1,0)+1,FALSE)</f>
        <v>unknown</v>
      </c>
      <c r="Q248" s="22">
        <f ca="1">VLOOKUP($L248,OFFSET([3]enemies!$A$1,0,0,COUNTA([3]enemies!$A:$A),MATCH(Q$1,[3]enemies!$1:$1,0)-MATCH($L$1,[3]enemies!$1:$1,0)+1),MATCH(Q$1,[3]enemies!$1:$1,0)-MATCH($L$1,[3]enemies!$1:$1,0)+1,FALSE)</f>
        <v>15</v>
      </c>
      <c r="R248" s="79">
        <v>1</v>
      </c>
      <c r="S248" s="80">
        <v>1</v>
      </c>
      <c r="T248" s="80">
        <v>1</v>
      </c>
      <c r="U248" s="79">
        <v>0</v>
      </c>
      <c r="V248" s="22" t="str">
        <f ca="1">VLOOKUP($W248,OFFSET([5]enemy_skill_sets!$B$1,0,0,COUNTA([5]enemy_skill_sets!$B:$B),MATCH(M$1,[5]enemy_skill_sets!$1:$1,0)-MATCH($W$1,[5]enemy_skill_sets!$1:$1,0)+2),MATCH(M$1,[5]enemy_skill_sets!$1:$1,0)-MATCH($W$1,[5]enemy_skill_sets!$1:$1,0)+2,FALSE)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8" s="22">
        <f ca="1">VLOOKUP($L248,OFFSET([3]enemies!$A$1,0,0,COUNTA([3]enemies!$A:$A),MATCH(W$1,[3]enemies!$1:$1,0)-MATCH($L$1,[3]enemies!$1:$1,0)+1),MATCH(W$1,[3]enemies!$1:$1,0)-MATCH($L$1,[3]enemies!$1:$1,0)+1,FALSE)</f>
        <v>0</v>
      </c>
      <c r="X248" s="81">
        <v>0</v>
      </c>
      <c r="Y248" s="81">
        <v>30</v>
      </c>
      <c r="Z248" s="81">
        <v>0</v>
      </c>
      <c r="AA248" s="22">
        <f ca="1">VLOOKUP($L248,OFFSET([3]enemies!$A$1,0,0,COUNTA([3]enemies!$A:$A),MATCH(AA$1,[3]enemies!$1:$1,0)-MATCH($L$1,[3]enemies!$1:$1,0)+1),MATCH(AA$1,[3]enemies!$1:$1,0)-MATCH($L$1,[3]enemies!$1:$1,0)+1,FALSE)</f>
        <v>1</v>
      </c>
      <c r="AB248" s="70">
        <v>340</v>
      </c>
      <c r="AC248" s="22" t="str">
        <f ca="1">IFERROR(VLOOKUP($AB248,OFFSET([4]characters!$A$1,0,0,COUNTA([4]characters!$A:$A),MATCH(AC$1,[4]characters!$1:$1,0)-MATCH("character_id",[4]characters!$1:$1,0)+1),MATCH(AC$1,[4]characters!$1:$1,0)-MATCH("character_id",[4]characters!$1:$1,0)+1,FALSE),"")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248" s="22">
        <f ca="1">IFERROR(VLOOKUP($AB248,OFFSET([4]characters!$A$1,0,0,COUNTA([4]characters!$A:$A),MATCH(AD$1,[4]characters!$1:$1,0)-MATCH("character_id",[4]characters!$1:$1,0)+1),MATCH(AD$1,[4]characters!$1:$1,0)-MATCH("character_id",[4]characters!$1:$1,0)+1,FALSE),"")</f>
        <v>3</v>
      </c>
      <c r="AE248" s="22" t="str">
        <f ca="1">IFERROR(VLOOKUP($AB248,OFFSET([4]characters!$A$1,0,0,COUNTA([4]characters!$A:$A),MATCH(AE$1,[4]characters!$1:$1,0)-MATCH("character_id",[4]characters!$1:$1,0)+1),MATCH(AE$1,[4]characters!$1:$1,0)-MATCH("character_id",[4]characters!$1:$1,0)+1,FALSE),"")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8" s="28">
        <v>1</v>
      </c>
      <c r="AG248" s="75">
        <f t="shared" ca="1" si="64"/>
        <v>3</v>
      </c>
      <c r="AH248" s="81">
        <v>10</v>
      </c>
      <c r="AI248" s="28">
        <v>0</v>
      </c>
      <c r="AJ248" s="28">
        <v>0</v>
      </c>
      <c r="AK248" s="28">
        <v>0</v>
      </c>
      <c r="AL248" s="28">
        <v>0</v>
      </c>
      <c r="AM248" s="28">
        <v>1</v>
      </c>
      <c r="AN248" s="28">
        <v>1</v>
      </c>
    </row>
    <row r="249" spans="1:40" ht="21" customHeight="1" x14ac:dyDescent="0.15">
      <c r="A249" s="78" t="str">
        <f t="shared" ca="1" si="63"/>
        <v>11103_4-2/341&lt;lv1&gt;s2</v>
      </c>
      <c r="B249" s="82">
        <v>11103</v>
      </c>
      <c r="C249" s="83">
        <v>4</v>
      </c>
      <c r="D249" s="16" t="str">
        <f t="shared" si="60"/>
        <v>11103_4</v>
      </c>
      <c r="E249" s="22" t="str">
        <f ca="1">VLOOKUP($B249,OFFSET([2]quests!$A$1,0,0,COUNTA([2]quests!$A:$A),MATCH(E$1,[2]quests!$1:$1,0)-MATCH($B$1,[2]quests!$1:$1,0)+1),MATCH(E$1,[2]quests!$1:$1,0)-MATCH($B$1,[2]quests!$1:$1,0)+1,FALSE)</f>
        <v>【期間限定】 青の素材</v>
      </c>
      <c r="F249" s="22" t="str">
        <f ca="1">VLOOKUP($D249,OFFSET([2]stages!$A$1,0,0,COUNTA([2]stages!$A:$A),MATCH(F$1,[2]stages!$2:$2,0)-MATCH($D$1,[2]stages!$2:$2,0)+1),MATCH(F$1,[2]stages!$2:$2,0)-MATCH($D$1,[2]stages!$2:$2,0)+1,FALSE)</f>
        <v xml:space="preserve">【上級】水のイモムシ </v>
      </c>
      <c r="G249" s="68">
        <v>2</v>
      </c>
      <c r="H249" s="16" t="str">
        <f t="shared" si="61"/>
        <v>11103_4-2</v>
      </c>
      <c r="I249" s="22" t="e">
        <v>#N/A</v>
      </c>
      <c r="J249" s="22" t="e">
        <v>#N/A</v>
      </c>
      <c r="K249" s="70" t="s">
        <v>217</v>
      </c>
      <c r="L249" s="70">
        <v>341</v>
      </c>
      <c r="M249" s="22" t="str">
        <f ca="1">VLOOKUP($L249,OFFSET([3]enemies!$A$1,0,0,COUNTA([3]enemies!$A:$A),MATCH(M$1,[3]enemies!$1:$1,0)-MATCH($L$1,[3]enemies!$1:$1,0)+1),MATCH(M$1,[3]enemies!$1:$1,0)-MATCH($L$1,[3]enemies!$1:$1,0)+1,FALSE)</f>
        <v>水のメタルチック</v>
      </c>
      <c r="N249" s="22" t="str">
        <f ca="1">VLOOKUP($L249,OFFSET([3]enemies!$A$1,0,0,COUNTA([3]enemies!$A:$A),MATCH(N$1,[3]enemies!$1:$1,0)-MATCH($L$1,[3]enemies!$1:$1,0)+1),MATCH(N$1,[3]enemies!$1:$1,0)-MATCH($L$1,[3]enemies!$1:$1,0)+1,FALSE)</f>
        <v>blue</v>
      </c>
      <c r="O249" s="22" t="str">
        <f ca="1">VLOOKUP($L249,OFFSET([4]characters!$A$1,0,0,COUNTA([4]characters!$A:$A),MATCH(O$1,[4]characters!$1:$1,0)-MATCH($L$1,[4]characters!$1:$1,0)+1),MATCH(O$1,[4]characters!$1:$1,0)-MATCH($L$1,[4]characters!$1:$1,0)+1,FALSE)</f>
        <v>Material</v>
      </c>
      <c r="P249" s="22" t="str">
        <f ca="1">VLOOKUP($L249,OFFSET([3]enemies!$A$1,0,0,COUNTA([3]enemies!$A:$A),MATCH(P$1,[3]enemies!$1:$1,0)-MATCH($L$1,[3]enemies!$1:$1,0)+1),MATCH(P$1,[3]enemies!$1:$1,0)-MATCH($L$1,[3]enemies!$1:$1,0)+1,FALSE)</f>
        <v>unknown</v>
      </c>
      <c r="Q249" s="22">
        <f ca="1">VLOOKUP($L249,OFFSET([3]enemies!$A$1,0,0,COUNTA([3]enemies!$A:$A),MATCH(Q$1,[3]enemies!$1:$1,0)-MATCH($L$1,[3]enemies!$1:$1,0)+1),MATCH(Q$1,[3]enemies!$1:$1,0)-MATCH($L$1,[3]enemies!$1:$1,0)+1,FALSE)</f>
        <v>15</v>
      </c>
      <c r="R249" s="79">
        <v>1</v>
      </c>
      <c r="S249" s="80">
        <v>1</v>
      </c>
      <c r="T249" s="80">
        <v>1</v>
      </c>
      <c r="U249" s="79">
        <v>0</v>
      </c>
      <c r="V249" s="22" t="str">
        <f ca="1">VLOOKUP($W249,OFFSET([5]enemy_skill_sets!$B$1,0,0,COUNTA([5]enemy_skill_sets!$B:$B),MATCH(M$1,[5]enemy_skill_sets!$1:$1,0)-MATCH($W$1,[5]enemy_skill_sets!$1:$1,0)+2),MATCH(M$1,[5]enemy_skill_sets!$1:$1,0)-MATCH($W$1,[5]enemy_skill_sets!$1:$1,0)+2,FALSE)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9" s="22">
        <f ca="1">VLOOKUP($L249,OFFSET([3]enemies!$A$1,0,0,COUNTA([3]enemies!$A:$A),MATCH(W$1,[3]enemies!$1:$1,0)-MATCH($L$1,[3]enemies!$1:$1,0)+1),MATCH(W$1,[3]enemies!$1:$1,0)-MATCH($L$1,[3]enemies!$1:$1,0)+1,FALSE)</f>
        <v>0</v>
      </c>
      <c r="X249" s="81">
        <v>0</v>
      </c>
      <c r="Y249" s="81">
        <v>30</v>
      </c>
      <c r="Z249" s="81">
        <v>0</v>
      </c>
      <c r="AA249" s="22">
        <f ca="1">VLOOKUP($L249,OFFSET([3]enemies!$A$1,0,0,COUNTA([3]enemies!$A:$A),MATCH(AA$1,[3]enemies!$1:$1,0)-MATCH($L$1,[3]enemies!$1:$1,0)+1),MATCH(AA$1,[3]enemies!$1:$1,0)-MATCH($L$1,[3]enemies!$1:$1,0)+1,FALSE)</f>
        <v>2</v>
      </c>
      <c r="AB249" s="70">
        <v>341</v>
      </c>
      <c r="AC249" s="22" t="str">
        <f ca="1">IFERROR(VLOOKUP($AB249,OFFSET([4]characters!$A$1,0,0,COUNTA([4]characters!$A:$A),MATCH(AC$1,[4]characters!$1:$1,0)-MATCH("character_id",[4]characters!$1:$1,0)+1),MATCH(AC$1,[4]characters!$1:$1,0)-MATCH("character_id",[4]characters!$1:$1,0)+1,FALSE),"")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249" s="22">
        <f ca="1">IFERROR(VLOOKUP($AB249,OFFSET([4]characters!$A$1,0,0,COUNTA([4]characters!$A:$A),MATCH(AD$1,[4]characters!$1:$1,0)-MATCH("character_id",[4]characters!$1:$1,0)+1),MATCH(AD$1,[4]characters!$1:$1,0)-MATCH("character_id",[4]characters!$1:$1,0)+1,FALSE),"")</f>
        <v>4</v>
      </c>
      <c r="AE249" s="22" t="str">
        <f ca="1">IFERROR(VLOOKUP($AB249,OFFSET([4]characters!$A$1,0,0,COUNTA([4]characters!$A:$A),MATCH(AE$1,[4]characters!$1:$1,0)-MATCH("character_id",[4]characters!$1:$1,0)+1),MATCH(AE$1,[4]characters!$1:$1,0)-MATCH("character_id",[4]characters!$1:$1,0)+1,FALSE),"")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9" s="28">
        <v>1</v>
      </c>
      <c r="AG249" s="75">
        <f t="shared" ca="1" si="64"/>
        <v>4</v>
      </c>
      <c r="AH249" s="81">
        <v>5</v>
      </c>
      <c r="AI249" s="28">
        <v>0</v>
      </c>
      <c r="AJ249" s="28">
        <v>0</v>
      </c>
      <c r="AK249" s="28">
        <v>0</v>
      </c>
      <c r="AL249" s="28">
        <v>0</v>
      </c>
      <c r="AM249" s="28">
        <v>1</v>
      </c>
      <c r="AN249" s="28">
        <v>1</v>
      </c>
    </row>
    <row r="250" spans="1:40" ht="21" customHeight="1" x14ac:dyDescent="0.15">
      <c r="A250" s="78" t="str">
        <f t="shared" ca="1" si="63"/>
        <v>11103_4-3/111&lt;lv30&gt;s1</v>
      </c>
      <c r="B250" s="82">
        <v>11103</v>
      </c>
      <c r="C250" s="83">
        <v>4</v>
      </c>
      <c r="D250" s="16" t="str">
        <f t="shared" si="60"/>
        <v>11103_4</v>
      </c>
      <c r="E250" s="22" t="str">
        <f ca="1">VLOOKUP($B250,OFFSET([2]quests!$A$1,0,0,COUNTA([2]quests!$A:$A),MATCH(E$1,[2]quests!$1:$1,0)-MATCH($B$1,[2]quests!$1:$1,0)+1),MATCH(E$1,[2]quests!$1:$1,0)-MATCH($B$1,[2]quests!$1:$1,0)+1,FALSE)</f>
        <v>【期間限定】 青の素材</v>
      </c>
      <c r="F250" s="22" t="str">
        <f ca="1">VLOOKUP($D250,OFFSET([2]stages!$A$1,0,0,COUNTA([2]stages!$A:$A),MATCH(F$1,[2]stages!$2:$2,0)-MATCH($D$1,[2]stages!$2:$2,0)+1),MATCH(F$1,[2]stages!$2:$2,0)-MATCH($D$1,[2]stages!$2:$2,0)+1,FALSE)</f>
        <v xml:space="preserve">【上級】水のイモムシ </v>
      </c>
      <c r="G250" s="68">
        <v>3</v>
      </c>
      <c r="H250" s="16" t="str">
        <f t="shared" si="61"/>
        <v>11103_4-3</v>
      </c>
      <c r="I250" s="22" t="e">
        <v>#N/A</v>
      </c>
      <c r="J250" s="22" t="e">
        <v>#N/A</v>
      </c>
      <c r="K250" s="70" t="s">
        <v>217</v>
      </c>
      <c r="L250" s="70">
        <v>111</v>
      </c>
      <c r="M250" s="22" t="str">
        <f ca="1">VLOOKUP($L250,OFFSET([3]enemies!$A$1,0,0,COUNTA([3]enemies!$A:$A),MATCH(M$1,[3]enemies!$1:$1,0)-MATCH($L$1,[3]enemies!$1:$1,0)+1),MATCH(M$1,[3]enemies!$1:$1,0)-MATCH($L$1,[3]enemies!$1:$1,0)+1,FALSE)</f>
        <v>ブルーキャタップ</v>
      </c>
      <c r="N250" s="22" t="str">
        <f ca="1">VLOOKUP($L250,OFFSET([3]enemies!$A$1,0,0,COUNTA([3]enemies!$A:$A),MATCH(N$1,[3]enemies!$1:$1,0)-MATCH($L$1,[3]enemies!$1:$1,0)+1),MATCH(N$1,[3]enemies!$1:$1,0)-MATCH($L$1,[3]enemies!$1:$1,0)+1,FALSE)</f>
        <v>blue</v>
      </c>
      <c r="O250" s="22" t="str">
        <f ca="1">VLOOKUP($L250,OFFSET([4]characters!$A$1,0,0,COUNTA([4]characters!$A:$A),MATCH(O$1,[4]characters!$1:$1,0)-MATCH($L$1,[4]characters!$1:$1,0)+1),MATCH(O$1,[4]characters!$1:$1,0)-MATCH($L$1,[4]characters!$1:$1,0)+1,FALSE)</f>
        <v>Material</v>
      </c>
      <c r="P250" s="22" t="str">
        <f ca="1">VLOOKUP($L250,OFFSET([3]enemies!$A$1,0,0,COUNTA([3]enemies!$A:$A),MATCH(P$1,[3]enemies!$1:$1,0)-MATCH($L$1,[3]enemies!$1:$1,0)+1),MATCH(P$1,[3]enemies!$1:$1,0)-MATCH($L$1,[3]enemies!$1:$1,0)+1,FALSE)</f>
        <v>unknown</v>
      </c>
      <c r="Q250" s="22">
        <f ca="1">VLOOKUP($L250,OFFSET([3]enemies!$A$1,0,0,COUNTA([3]enemies!$A:$A),MATCH(Q$1,[3]enemies!$1:$1,0)-MATCH($L$1,[3]enemies!$1:$1,0)+1),MATCH(Q$1,[3]enemies!$1:$1,0)-MATCH($L$1,[3]enemies!$1:$1,0)+1,FALSE)</f>
        <v>15</v>
      </c>
      <c r="R250" s="79">
        <v>30</v>
      </c>
      <c r="S250" s="80">
        <v>2</v>
      </c>
      <c r="T250" s="80">
        <v>1</v>
      </c>
      <c r="U250" s="79">
        <v>0</v>
      </c>
      <c r="V250" s="22" t="str">
        <f ca="1">VLOOKUP($W250,OFFSET([5]enemy_skill_sets!$B$1,0,0,COUNTA([5]enemy_skill_sets!$B:$B),MATCH(M$1,[5]enemy_skill_sets!$1:$1,0)-MATCH($W$1,[5]enemy_skill_sets!$1:$1,0)+2),MATCH(M$1,[5]enemy_skill_sets!$1:$1,0)-MATCH($W$1,[5]enemy_skill_sets!$1:$1,0)+2,FALSE)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0" s="22">
        <f ca="1">VLOOKUP($L250,OFFSET([3]enemies!$A$1,0,0,COUNTA([3]enemies!$A:$A),MATCH(W$1,[3]enemies!$1:$1,0)-MATCH($L$1,[3]enemies!$1:$1,0)+1),MATCH(W$1,[3]enemies!$1:$1,0)-MATCH($L$1,[3]enemies!$1:$1,0)+1,FALSE)</f>
        <v>0</v>
      </c>
      <c r="X250" s="81">
        <v>1</v>
      </c>
      <c r="Y250" s="81">
        <v>100</v>
      </c>
      <c r="Z250" s="81">
        <v>1</v>
      </c>
      <c r="AA250" s="22">
        <f ca="1">VLOOKUP($L250,OFFSET([3]enemies!$A$1,0,0,COUNTA([3]enemies!$A:$A),MATCH(AA$1,[3]enemies!$1:$1,0)-MATCH($L$1,[3]enemies!$1:$1,0)+1),MATCH(AA$1,[3]enemies!$1:$1,0)-MATCH($L$1,[3]enemies!$1:$1,0)+1,FALSE)</f>
        <v>1</v>
      </c>
      <c r="AB250" s="70">
        <v>111</v>
      </c>
      <c r="AC250" s="22" t="str">
        <f ca="1">IFERROR(VLOOKUP($AB250,OFFSET([4]characters!$A$1,0,0,COUNTA([4]characters!$A:$A),MATCH(AC$1,[4]characters!$1:$1,0)-MATCH("character_id",[4]characters!$1:$1,0)+1),MATCH(AC$1,[4]characters!$1:$1,0)-MATCH("character_id",[4]characters!$1:$1,0)+1,FALSE),"")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250" s="22">
        <f ca="1">IFERROR(VLOOKUP($AB250,OFFSET([4]characters!$A$1,0,0,COUNTA([4]characters!$A:$A),MATCH(AD$1,[4]characters!$1:$1,0)-MATCH("character_id",[4]characters!$1:$1,0)+1),MATCH(AD$1,[4]characters!$1:$1,0)-MATCH("character_id",[4]characters!$1:$1,0)+1,FALSE),"")</f>
        <v>4</v>
      </c>
      <c r="AE250" s="22" t="str">
        <f ca="1">IFERROR(VLOOKUP($AB250,OFFSET([4]characters!$A$1,0,0,COUNTA([4]characters!$A:$A),MATCH(AE$1,[4]characters!$1:$1,0)-MATCH("character_id",[4]characters!$1:$1,0)+1),MATCH(AE$1,[4]characters!$1:$1,0)-MATCH("character_id",[4]characters!$1:$1,0)+1,FALSE),"")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0" s="28">
        <v>1</v>
      </c>
      <c r="AG250" s="75">
        <f t="shared" ca="1" si="64"/>
        <v>4</v>
      </c>
      <c r="AH250" s="81">
        <v>50</v>
      </c>
      <c r="AI250" s="28">
        <v>0</v>
      </c>
      <c r="AJ250" s="28">
        <v>0</v>
      </c>
      <c r="AK250" s="28">
        <v>0</v>
      </c>
      <c r="AL250" s="28">
        <v>0</v>
      </c>
      <c r="AM250" s="28">
        <v>1</v>
      </c>
      <c r="AN250" s="28">
        <v>1</v>
      </c>
    </row>
    <row r="251" spans="1:40" ht="21" customHeight="1" x14ac:dyDescent="0.15">
      <c r="A251" s="78" t="str">
        <f t="shared" ca="1" si="63"/>
        <v>11103_4-3/37&lt;lv35&gt;s3</v>
      </c>
      <c r="B251" s="82">
        <v>11103</v>
      </c>
      <c r="C251" s="83">
        <v>4</v>
      </c>
      <c r="D251" s="16" t="str">
        <f t="shared" si="60"/>
        <v>11103_4</v>
      </c>
      <c r="E251" s="22" t="str">
        <f ca="1">VLOOKUP($B251,OFFSET([2]quests!$A$1,0,0,COUNTA([2]quests!$A:$A),MATCH(E$1,[2]quests!$1:$1,0)-MATCH($B$1,[2]quests!$1:$1,0)+1),MATCH(E$1,[2]quests!$1:$1,0)-MATCH($B$1,[2]quests!$1:$1,0)+1,FALSE)</f>
        <v>【期間限定】 青の素材</v>
      </c>
      <c r="F251" s="22" t="str">
        <f ca="1">VLOOKUP($D251,OFFSET([2]stages!$A$1,0,0,COUNTA([2]stages!$A:$A),MATCH(F$1,[2]stages!$2:$2,0)-MATCH($D$1,[2]stages!$2:$2,0)+1),MATCH(F$1,[2]stages!$2:$2,0)-MATCH($D$1,[2]stages!$2:$2,0)+1,FALSE)</f>
        <v xml:space="preserve">【上級】水のイモムシ </v>
      </c>
      <c r="G251" s="68">
        <v>3</v>
      </c>
      <c r="H251" s="16" t="str">
        <f t="shared" si="61"/>
        <v>11103_4-3</v>
      </c>
      <c r="I251" s="22" t="e">
        <v>#N/A</v>
      </c>
      <c r="J251" s="22" t="e">
        <v>#N/A</v>
      </c>
      <c r="K251" s="70" t="s">
        <v>217</v>
      </c>
      <c r="L251" s="70">
        <v>37</v>
      </c>
      <c r="M251" s="22" t="str">
        <f ca="1">VLOOKUP($L251,OFFSET([3]enemies!$A$1,0,0,COUNTA([3]enemies!$A:$A),MATCH(M$1,[3]enemies!$1:$1,0)-MATCH($L$1,[3]enemies!$1:$1,0)+1),MATCH(M$1,[3]enemies!$1:$1,0)-MATCH($L$1,[3]enemies!$1:$1,0)+1,FALSE)</f>
        <v>ガイル</v>
      </c>
      <c r="N251" s="22" t="str">
        <f ca="1">VLOOKUP($L251,OFFSET([3]enemies!$A$1,0,0,COUNTA([3]enemies!$A:$A),MATCH(N$1,[3]enemies!$1:$1,0)-MATCH($L$1,[3]enemies!$1:$1,0)+1),MATCH(N$1,[3]enemies!$1:$1,0)-MATCH($L$1,[3]enemies!$1:$1,0)+1,FALSE)</f>
        <v>blue</v>
      </c>
      <c r="O251" s="22" t="str">
        <f ca="1">VLOOKUP($L251,OFFSET([4]characters!$A$1,0,0,COUNTA([4]characters!$A:$A),MATCH(O$1,[4]characters!$1:$1,0)-MATCH($L$1,[4]characters!$1:$1,0)+1),MATCH(O$1,[4]characters!$1:$1,0)-MATCH($L$1,[4]characters!$1:$1,0)+1,FALSE)</f>
        <v>Drop1S</v>
      </c>
      <c r="P251" s="22" t="str">
        <f ca="1">VLOOKUP($L251,OFFSET([3]enemies!$A$1,0,0,COUNTA([3]enemies!$A:$A),MATCH(P$1,[3]enemies!$1:$1,0)-MATCH($L$1,[3]enemies!$1:$1,0)+1),MATCH(P$1,[3]enemies!$1:$1,0)-MATCH($L$1,[3]enemies!$1:$1,0)+1,FALSE)</f>
        <v>animal</v>
      </c>
      <c r="Q251" s="22">
        <f ca="1">VLOOKUP($L251,OFFSET([3]enemies!$A$1,0,0,COUNTA([3]enemies!$A:$A),MATCH(Q$1,[3]enemies!$1:$1,0)-MATCH($L$1,[3]enemies!$1:$1,0)+1),MATCH(Q$1,[3]enemies!$1:$1,0)-MATCH($L$1,[3]enemies!$1:$1,0)+1,FALSE)</f>
        <v>15</v>
      </c>
      <c r="R251" s="79">
        <v>35</v>
      </c>
      <c r="S251" s="80">
        <v>1</v>
      </c>
      <c r="T251" s="80">
        <v>1</v>
      </c>
      <c r="U251" s="79">
        <v>0</v>
      </c>
      <c r="V251" s="22" t="str">
        <f ca="1">VLOOKUP($W251,OFFSET([5]enemy_skill_sets!$B$1,0,0,COUNTA([5]enemy_skill_sets!$B:$B),MATCH(M$1,[5]enemy_skill_sets!$1:$1,0)-MATCH($W$1,[5]enemy_skill_sets!$1:$1,0)+2),MATCH(M$1,[5]enemy_skill_sets!$1:$1,0)-MATCH($W$1,[5]enemy_skill_sets!$1:$1,0)+2,FALSE)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51" s="22">
        <f ca="1">VLOOKUP($L251,OFFSET([3]enemies!$A$1,0,0,COUNTA([3]enemies!$A:$A),MATCH(W$1,[3]enemies!$1:$1,0)-MATCH($L$1,[3]enemies!$1:$1,0)+1),MATCH(W$1,[3]enemies!$1:$1,0)-MATCH($L$1,[3]enemies!$1:$1,0)+1,FALSE)</f>
        <v>37</v>
      </c>
      <c r="X251" s="81">
        <v>0</v>
      </c>
      <c r="Y251" s="81">
        <v>100</v>
      </c>
      <c r="Z251" s="81">
        <v>0</v>
      </c>
      <c r="AA251" s="22">
        <f ca="1">VLOOKUP($L251,OFFSET([3]enemies!$A$1,0,0,COUNTA([3]enemies!$A:$A),MATCH(AA$1,[3]enemies!$1:$1,0)-MATCH($L$1,[3]enemies!$1:$1,0)+1),MATCH(AA$1,[3]enemies!$1:$1,0)-MATCH($L$1,[3]enemies!$1:$1,0)+1,FALSE)</f>
        <v>3</v>
      </c>
      <c r="AB251" s="70">
        <v>37</v>
      </c>
      <c r="AC251" s="22" t="str">
        <f ca="1">IFERROR(VLOOKUP($AB251,OFFSET([4]characters!$A$1,0,0,COUNTA([4]characters!$A:$A),MATCH(AC$1,[4]characters!$1:$1,0)-MATCH("character_id",[4]characters!$1:$1,0)+1),MATCH(AC$1,[4]characters!$1:$1,0)-MATCH("character_id",[4]characters!$1:$1,0)+1,FALSE),"")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51" s="22">
        <f ca="1">IFERROR(VLOOKUP($AB251,OFFSET([4]characters!$A$1,0,0,COUNTA([4]characters!$A:$A),MATCH(AD$1,[4]characters!$1:$1,0)-MATCH("character_id",[4]characters!$1:$1,0)+1),MATCH(AD$1,[4]characters!$1:$1,0)-MATCH("character_id",[4]characters!$1:$1,0)+1,FALSE),"")</f>
        <v>2</v>
      </c>
      <c r="AE251" s="22" t="str">
        <f ca="1">IFERROR(VLOOKUP($AB251,OFFSET([4]characters!$A$1,0,0,COUNTA([4]characters!$A:$A),MATCH(AE$1,[4]characters!$1:$1,0)-MATCH("character_id",[4]characters!$1:$1,0)+1),MATCH(AE$1,[4]characters!$1:$1,0)-MATCH("character_id",[4]characters!$1:$1,0)+1,FALSE),"")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51" s="28">
        <v>1</v>
      </c>
      <c r="AG251" s="75">
        <f t="shared" ca="1" si="64"/>
        <v>2</v>
      </c>
      <c r="AH251" s="81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1</v>
      </c>
      <c r="AN251" s="28">
        <v>1</v>
      </c>
    </row>
    <row r="252" spans="1:40" ht="21" customHeight="1" x14ac:dyDescent="0.15">
      <c r="A252" s="78" t="str">
        <f t="shared" ca="1" si="63"/>
        <v>11103_4-3/29&lt;lv35&gt;s2</v>
      </c>
      <c r="B252" s="82">
        <v>11103</v>
      </c>
      <c r="C252" s="83">
        <v>4</v>
      </c>
      <c r="D252" s="16" t="str">
        <f t="shared" si="60"/>
        <v>11103_4</v>
      </c>
      <c r="E252" s="22" t="str">
        <f ca="1">VLOOKUP($B252,OFFSET([2]quests!$A$1,0,0,COUNTA([2]quests!$A:$A),MATCH(E$1,[2]quests!$1:$1,0)-MATCH($B$1,[2]quests!$1:$1,0)+1),MATCH(E$1,[2]quests!$1:$1,0)-MATCH($B$1,[2]quests!$1:$1,0)+1,FALSE)</f>
        <v>【期間限定】 青の素材</v>
      </c>
      <c r="F252" s="22" t="str">
        <f ca="1">VLOOKUP($D252,OFFSET([2]stages!$A$1,0,0,COUNTA([2]stages!$A:$A),MATCH(F$1,[2]stages!$2:$2,0)-MATCH($D$1,[2]stages!$2:$2,0)+1),MATCH(F$1,[2]stages!$2:$2,0)-MATCH($D$1,[2]stages!$2:$2,0)+1,FALSE)</f>
        <v xml:space="preserve">【上級】水のイモムシ </v>
      </c>
      <c r="G252" s="68">
        <v>3</v>
      </c>
      <c r="H252" s="16" t="str">
        <f t="shared" si="61"/>
        <v>11103_4-3</v>
      </c>
      <c r="I252" s="22" t="e">
        <v>#N/A</v>
      </c>
      <c r="J252" s="22" t="e">
        <v>#N/A</v>
      </c>
      <c r="K252" s="70" t="s">
        <v>217</v>
      </c>
      <c r="L252" s="70">
        <v>29</v>
      </c>
      <c r="M252" s="22" t="str">
        <f ca="1">VLOOKUP($L252,OFFSET([3]enemies!$A$1,0,0,COUNTA([3]enemies!$A:$A),MATCH(M$1,[3]enemies!$1:$1,0)-MATCH($L$1,[3]enemies!$1:$1,0)+1),MATCH(M$1,[3]enemies!$1:$1,0)-MATCH($L$1,[3]enemies!$1:$1,0)+1,FALSE)</f>
        <v>スケアクロウ</v>
      </c>
      <c r="N252" s="22" t="str">
        <f ca="1">VLOOKUP($L252,OFFSET([3]enemies!$A$1,0,0,COUNTA([3]enemies!$A:$A),MATCH(N$1,[3]enemies!$1:$1,0)-MATCH($L$1,[3]enemies!$1:$1,0)+1),MATCH(N$1,[3]enemies!$1:$1,0)-MATCH($L$1,[3]enemies!$1:$1,0)+1,FALSE)</f>
        <v>blue</v>
      </c>
      <c r="O252" s="22" t="str">
        <f ca="1">VLOOKUP($L252,OFFSET([4]characters!$A$1,0,0,COUNTA([4]characters!$A:$A),MATCH(O$1,[4]characters!$1:$1,0)-MATCH($L$1,[4]characters!$1:$1,0)+1),MATCH(O$1,[4]characters!$1:$1,0)-MATCH($L$1,[4]characters!$1:$1,0)+1,FALSE)</f>
        <v>Drop1N</v>
      </c>
      <c r="P252" s="22" t="str">
        <f ca="1">VLOOKUP($L252,OFFSET([3]enemies!$A$1,0,0,COUNTA([3]enemies!$A:$A),MATCH(P$1,[3]enemies!$1:$1,0)-MATCH($L$1,[3]enemies!$1:$1,0)+1),MATCH(P$1,[3]enemies!$1:$1,0)-MATCH($L$1,[3]enemies!$1:$1,0)+1,FALSE)</f>
        <v>machine</v>
      </c>
      <c r="Q252" s="22">
        <f ca="1">VLOOKUP($L252,OFFSET([3]enemies!$A$1,0,0,COUNTA([3]enemies!$A:$A),MATCH(Q$1,[3]enemies!$1:$1,0)-MATCH($L$1,[3]enemies!$1:$1,0)+1),MATCH(Q$1,[3]enemies!$1:$1,0)-MATCH($L$1,[3]enemies!$1:$1,0)+1,FALSE)</f>
        <v>15</v>
      </c>
      <c r="R252" s="79">
        <v>35</v>
      </c>
      <c r="S252" s="80">
        <v>1</v>
      </c>
      <c r="T252" s="80">
        <v>1</v>
      </c>
      <c r="U252" s="79">
        <v>0</v>
      </c>
      <c r="V252" s="22" t="str">
        <f ca="1">VLOOKUP($W252,OFFSET([5]enemy_skill_sets!$B$1,0,0,COUNTA([5]enemy_skill_sets!$B:$B),MATCH(M$1,[5]enemy_skill_sets!$1:$1,0)-MATCH($W$1,[5]enemy_skill_sets!$1:$1,0)+2),MATCH(M$1,[5]enemy_skill_sets!$1:$1,0)-MATCH($W$1,[5]enemy_skill_sets!$1:$1,0)+2,FALSE)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2" s="22">
        <f ca="1">VLOOKUP($L252,OFFSET([3]enemies!$A$1,0,0,COUNTA([3]enemies!$A:$A),MATCH(W$1,[3]enemies!$1:$1,0)-MATCH($L$1,[3]enemies!$1:$1,0)+1),MATCH(W$1,[3]enemies!$1:$1,0)-MATCH($L$1,[3]enemies!$1:$1,0)+1,FALSE)</f>
        <v>0</v>
      </c>
      <c r="X252" s="81">
        <v>0</v>
      </c>
      <c r="Y252" s="81">
        <v>100</v>
      </c>
      <c r="Z252" s="81">
        <v>0</v>
      </c>
      <c r="AA252" s="22">
        <f ca="1">VLOOKUP($L252,OFFSET([3]enemies!$A$1,0,0,COUNTA([3]enemies!$A:$A),MATCH(AA$1,[3]enemies!$1:$1,0)-MATCH($L$1,[3]enemies!$1:$1,0)+1),MATCH(AA$1,[3]enemies!$1:$1,0)-MATCH($L$1,[3]enemies!$1:$1,0)+1,FALSE)</f>
        <v>2</v>
      </c>
      <c r="AB252" s="70">
        <v>29</v>
      </c>
      <c r="AC252" s="22" t="str">
        <f ca="1">IFERROR(VLOOKUP($AB252,OFFSET([4]characters!$A$1,0,0,COUNTA([4]characters!$A:$A),MATCH(AC$1,[4]characters!$1:$1,0)-MATCH("character_id",[4]characters!$1:$1,0)+1),MATCH(AC$1,[4]characters!$1:$1,0)-MATCH("character_id",[4]characters!$1:$1,0)+1,FALSE),"")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52" s="22">
        <f ca="1">IFERROR(VLOOKUP($AB252,OFFSET([4]characters!$A$1,0,0,COUNTA([4]characters!$A:$A),MATCH(AD$1,[4]characters!$1:$1,0)-MATCH("character_id",[4]characters!$1:$1,0)+1),MATCH(AD$1,[4]characters!$1:$1,0)-MATCH("character_id",[4]characters!$1:$1,0)+1,FALSE),"")</f>
        <v>1</v>
      </c>
      <c r="AE252" s="22" t="str">
        <f ca="1">IFERROR(VLOOKUP($AB252,OFFSET([4]characters!$A$1,0,0,COUNTA([4]characters!$A:$A),MATCH(AE$1,[4]characters!$1:$1,0)-MATCH("character_id",[4]characters!$1:$1,0)+1),MATCH(AE$1,[4]characters!$1:$1,0)-MATCH("character_id",[4]characters!$1:$1,0)+1,FALSE),"")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52" s="28">
        <v>1</v>
      </c>
      <c r="AG252" s="75">
        <f t="shared" ca="1" si="64"/>
        <v>1</v>
      </c>
      <c r="AH252" s="81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1</v>
      </c>
      <c r="AN252" s="28">
        <v>1</v>
      </c>
    </row>
    <row r="253" spans="1:40" ht="21" customHeight="1" x14ac:dyDescent="0.15">
      <c r="A253" s="78" t="str">
        <f t="shared" ca="1" si="63"/>
        <v>11103_4-3/340&lt;lv1&gt;s1</v>
      </c>
      <c r="B253" s="82">
        <v>11103</v>
      </c>
      <c r="C253" s="83">
        <v>4</v>
      </c>
      <c r="D253" s="16" t="str">
        <f t="shared" si="60"/>
        <v>11103_4</v>
      </c>
      <c r="E253" s="22" t="str">
        <f ca="1">VLOOKUP($B253,OFFSET([2]quests!$A$1,0,0,COUNTA([2]quests!$A:$A),MATCH(E$1,[2]quests!$1:$1,0)-MATCH($B$1,[2]quests!$1:$1,0)+1),MATCH(E$1,[2]quests!$1:$1,0)-MATCH($B$1,[2]quests!$1:$1,0)+1,FALSE)</f>
        <v>【期間限定】 青の素材</v>
      </c>
      <c r="F253" s="22" t="str">
        <f ca="1">VLOOKUP($D253,OFFSET([2]stages!$A$1,0,0,COUNTA([2]stages!$A:$A),MATCH(F$1,[2]stages!$2:$2,0)-MATCH($D$1,[2]stages!$2:$2,0)+1),MATCH(F$1,[2]stages!$2:$2,0)-MATCH($D$1,[2]stages!$2:$2,0)+1,FALSE)</f>
        <v xml:space="preserve">【上級】水のイモムシ </v>
      </c>
      <c r="G253" s="68">
        <v>3</v>
      </c>
      <c r="H253" s="16" t="str">
        <f t="shared" si="61"/>
        <v>11103_4-3</v>
      </c>
      <c r="I253" s="22" t="e">
        <v>#N/A</v>
      </c>
      <c r="J253" s="22" t="e">
        <v>#N/A</v>
      </c>
      <c r="K253" s="70" t="s">
        <v>217</v>
      </c>
      <c r="L253" s="70">
        <v>340</v>
      </c>
      <c r="M253" s="22" t="str">
        <f ca="1">VLOOKUP($L253,OFFSET([3]enemies!$A$1,0,0,COUNTA([3]enemies!$A:$A),MATCH(M$1,[3]enemies!$1:$1,0)-MATCH($L$1,[3]enemies!$1:$1,0)+1),MATCH(M$1,[3]enemies!$1:$1,0)-MATCH($L$1,[3]enemies!$1:$1,0)+1,FALSE)</f>
        <v>水のメタルピヨピヨ</v>
      </c>
      <c r="N253" s="22" t="str">
        <f ca="1">VLOOKUP($L253,OFFSET([3]enemies!$A$1,0,0,COUNTA([3]enemies!$A:$A),MATCH(N$1,[3]enemies!$1:$1,0)-MATCH($L$1,[3]enemies!$1:$1,0)+1),MATCH(N$1,[3]enemies!$1:$1,0)-MATCH($L$1,[3]enemies!$1:$1,0)+1,FALSE)</f>
        <v>blue</v>
      </c>
      <c r="O253" s="22" t="str">
        <f ca="1">VLOOKUP($L253,OFFSET([4]characters!$A$1,0,0,COUNTA([4]characters!$A:$A),MATCH(O$1,[4]characters!$1:$1,0)-MATCH($L$1,[4]characters!$1:$1,0)+1),MATCH(O$1,[4]characters!$1:$1,0)-MATCH($L$1,[4]characters!$1:$1,0)+1,FALSE)</f>
        <v>Material</v>
      </c>
      <c r="P253" s="22" t="str">
        <f ca="1">VLOOKUP($L253,OFFSET([3]enemies!$A$1,0,0,COUNTA([3]enemies!$A:$A),MATCH(P$1,[3]enemies!$1:$1,0)-MATCH($L$1,[3]enemies!$1:$1,0)+1),MATCH(P$1,[3]enemies!$1:$1,0)-MATCH($L$1,[3]enemies!$1:$1,0)+1,FALSE)</f>
        <v>unknown</v>
      </c>
      <c r="Q253" s="22">
        <f ca="1">VLOOKUP($L253,OFFSET([3]enemies!$A$1,0,0,COUNTA([3]enemies!$A:$A),MATCH(Q$1,[3]enemies!$1:$1,0)-MATCH($L$1,[3]enemies!$1:$1,0)+1),MATCH(Q$1,[3]enemies!$1:$1,0)-MATCH($L$1,[3]enemies!$1:$1,0)+1,FALSE)</f>
        <v>15</v>
      </c>
      <c r="R253" s="79">
        <v>1</v>
      </c>
      <c r="S253" s="80">
        <v>1</v>
      </c>
      <c r="T253" s="80">
        <v>1</v>
      </c>
      <c r="U253" s="79">
        <v>0</v>
      </c>
      <c r="V253" s="22" t="str">
        <f ca="1">VLOOKUP($W253,OFFSET([5]enemy_skill_sets!$B$1,0,0,COUNTA([5]enemy_skill_sets!$B:$B),MATCH(M$1,[5]enemy_skill_sets!$1:$1,0)-MATCH($W$1,[5]enemy_skill_sets!$1:$1,0)+2),MATCH(M$1,[5]enemy_skill_sets!$1:$1,0)-MATCH($W$1,[5]enemy_skill_sets!$1:$1,0)+2,FALSE)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3" s="22">
        <f ca="1">VLOOKUP($L253,OFFSET([3]enemies!$A$1,0,0,COUNTA([3]enemies!$A:$A),MATCH(W$1,[3]enemies!$1:$1,0)-MATCH($L$1,[3]enemies!$1:$1,0)+1),MATCH(W$1,[3]enemies!$1:$1,0)-MATCH($L$1,[3]enemies!$1:$1,0)+1,FALSE)</f>
        <v>0</v>
      </c>
      <c r="X253" s="81">
        <v>0</v>
      </c>
      <c r="Y253" s="81">
        <v>30</v>
      </c>
      <c r="Z253" s="81">
        <v>0</v>
      </c>
      <c r="AA253" s="22">
        <f ca="1">VLOOKUP($L253,OFFSET([3]enemies!$A$1,0,0,COUNTA([3]enemies!$A:$A),MATCH(AA$1,[3]enemies!$1:$1,0)-MATCH($L$1,[3]enemies!$1:$1,0)+1),MATCH(AA$1,[3]enemies!$1:$1,0)-MATCH($L$1,[3]enemies!$1:$1,0)+1,FALSE)</f>
        <v>1</v>
      </c>
      <c r="AB253" s="70">
        <v>340</v>
      </c>
      <c r="AC253" s="22" t="str">
        <f ca="1">IFERROR(VLOOKUP($AB253,OFFSET([4]characters!$A$1,0,0,COUNTA([4]characters!$A:$A),MATCH(AC$1,[4]characters!$1:$1,0)-MATCH("character_id",[4]characters!$1:$1,0)+1),MATCH(AC$1,[4]characters!$1:$1,0)-MATCH("character_id",[4]characters!$1:$1,0)+1,FALSE),"")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253" s="22">
        <f ca="1">IFERROR(VLOOKUP($AB253,OFFSET([4]characters!$A$1,0,0,COUNTA([4]characters!$A:$A),MATCH(AD$1,[4]characters!$1:$1,0)-MATCH("character_id",[4]characters!$1:$1,0)+1),MATCH(AD$1,[4]characters!$1:$1,0)-MATCH("character_id",[4]characters!$1:$1,0)+1,FALSE),"")</f>
        <v>3</v>
      </c>
      <c r="AE253" s="22" t="str">
        <f ca="1">IFERROR(VLOOKUP($AB253,OFFSET([4]characters!$A$1,0,0,COUNTA([4]characters!$A:$A),MATCH(AE$1,[4]characters!$1:$1,0)-MATCH("character_id",[4]characters!$1:$1,0)+1),MATCH(AE$1,[4]characters!$1:$1,0)-MATCH("character_id",[4]characters!$1:$1,0)+1,FALSE),"")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3" s="28">
        <v>1</v>
      </c>
      <c r="AG253" s="75">
        <f t="shared" ca="1" si="64"/>
        <v>3</v>
      </c>
      <c r="AH253" s="81">
        <v>10</v>
      </c>
      <c r="AI253" s="28">
        <v>0</v>
      </c>
      <c r="AJ253" s="28">
        <v>0</v>
      </c>
      <c r="AK253" s="28">
        <v>0</v>
      </c>
      <c r="AL253" s="28">
        <v>0</v>
      </c>
      <c r="AM253" s="28">
        <v>1</v>
      </c>
      <c r="AN253" s="28">
        <v>1</v>
      </c>
    </row>
    <row r="254" spans="1:40" ht="21" customHeight="1" x14ac:dyDescent="0.15">
      <c r="A254" s="78" t="str">
        <f t="shared" ca="1" si="63"/>
        <v>11103_4-3/341&lt;lv1&gt;s2</v>
      </c>
      <c r="B254" s="82">
        <v>11103</v>
      </c>
      <c r="C254" s="83">
        <v>4</v>
      </c>
      <c r="D254" s="16" t="str">
        <f t="shared" si="60"/>
        <v>11103_4</v>
      </c>
      <c r="E254" s="22" t="str">
        <f ca="1">VLOOKUP($B254,OFFSET([2]quests!$A$1,0,0,COUNTA([2]quests!$A:$A),MATCH(E$1,[2]quests!$1:$1,0)-MATCH($B$1,[2]quests!$1:$1,0)+1),MATCH(E$1,[2]quests!$1:$1,0)-MATCH($B$1,[2]quests!$1:$1,0)+1,FALSE)</f>
        <v>【期間限定】 青の素材</v>
      </c>
      <c r="F254" s="22" t="str">
        <f ca="1">VLOOKUP($D254,OFFSET([2]stages!$A$1,0,0,COUNTA([2]stages!$A:$A),MATCH(F$1,[2]stages!$2:$2,0)-MATCH($D$1,[2]stages!$2:$2,0)+1),MATCH(F$1,[2]stages!$2:$2,0)-MATCH($D$1,[2]stages!$2:$2,0)+1,FALSE)</f>
        <v xml:space="preserve">【上級】水のイモムシ </v>
      </c>
      <c r="G254" s="68">
        <v>3</v>
      </c>
      <c r="H254" s="16" t="str">
        <f t="shared" si="61"/>
        <v>11103_4-3</v>
      </c>
      <c r="I254" s="22" t="e">
        <v>#N/A</v>
      </c>
      <c r="J254" s="22" t="e">
        <v>#N/A</v>
      </c>
      <c r="K254" s="70" t="s">
        <v>217</v>
      </c>
      <c r="L254" s="70">
        <v>341</v>
      </c>
      <c r="M254" s="22" t="str">
        <f ca="1">VLOOKUP($L254,OFFSET([3]enemies!$A$1,0,0,COUNTA([3]enemies!$A:$A),MATCH(M$1,[3]enemies!$1:$1,0)-MATCH($L$1,[3]enemies!$1:$1,0)+1),MATCH(M$1,[3]enemies!$1:$1,0)-MATCH($L$1,[3]enemies!$1:$1,0)+1,FALSE)</f>
        <v>水のメタルチック</v>
      </c>
      <c r="N254" s="22" t="str">
        <f ca="1">VLOOKUP($L254,OFFSET([3]enemies!$A$1,0,0,COUNTA([3]enemies!$A:$A),MATCH(N$1,[3]enemies!$1:$1,0)-MATCH($L$1,[3]enemies!$1:$1,0)+1),MATCH(N$1,[3]enemies!$1:$1,0)-MATCH($L$1,[3]enemies!$1:$1,0)+1,FALSE)</f>
        <v>blue</v>
      </c>
      <c r="O254" s="22" t="str">
        <f ca="1">VLOOKUP($L254,OFFSET([4]characters!$A$1,0,0,COUNTA([4]characters!$A:$A),MATCH(O$1,[4]characters!$1:$1,0)-MATCH($L$1,[4]characters!$1:$1,0)+1),MATCH(O$1,[4]characters!$1:$1,0)-MATCH($L$1,[4]characters!$1:$1,0)+1,FALSE)</f>
        <v>Material</v>
      </c>
      <c r="P254" s="22" t="str">
        <f ca="1">VLOOKUP($L254,OFFSET([3]enemies!$A$1,0,0,COUNTA([3]enemies!$A:$A),MATCH(P$1,[3]enemies!$1:$1,0)-MATCH($L$1,[3]enemies!$1:$1,0)+1),MATCH(P$1,[3]enemies!$1:$1,0)-MATCH($L$1,[3]enemies!$1:$1,0)+1,FALSE)</f>
        <v>unknown</v>
      </c>
      <c r="Q254" s="22">
        <f ca="1">VLOOKUP($L254,OFFSET([3]enemies!$A$1,0,0,COUNTA([3]enemies!$A:$A),MATCH(Q$1,[3]enemies!$1:$1,0)-MATCH($L$1,[3]enemies!$1:$1,0)+1),MATCH(Q$1,[3]enemies!$1:$1,0)-MATCH($L$1,[3]enemies!$1:$1,0)+1,FALSE)</f>
        <v>15</v>
      </c>
      <c r="R254" s="79">
        <v>1</v>
      </c>
      <c r="S254" s="80">
        <v>1</v>
      </c>
      <c r="T254" s="80">
        <v>1</v>
      </c>
      <c r="U254" s="79">
        <v>0</v>
      </c>
      <c r="V254" s="22" t="str">
        <f ca="1">VLOOKUP($W254,OFFSET([5]enemy_skill_sets!$B$1,0,0,COUNTA([5]enemy_skill_sets!$B:$B),MATCH(M$1,[5]enemy_skill_sets!$1:$1,0)-MATCH($W$1,[5]enemy_skill_sets!$1:$1,0)+2),MATCH(M$1,[5]enemy_skill_sets!$1:$1,0)-MATCH($W$1,[5]enemy_skill_sets!$1:$1,0)+2,FALSE)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4" s="22">
        <f ca="1">VLOOKUP($L254,OFFSET([3]enemies!$A$1,0,0,COUNTA([3]enemies!$A:$A),MATCH(W$1,[3]enemies!$1:$1,0)-MATCH($L$1,[3]enemies!$1:$1,0)+1),MATCH(W$1,[3]enemies!$1:$1,0)-MATCH($L$1,[3]enemies!$1:$1,0)+1,FALSE)</f>
        <v>0</v>
      </c>
      <c r="X254" s="81">
        <v>0</v>
      </c>
      <c r="Y254" s="81">
        <v>30</v>
      </c>
      <c r="Z254" s="81">
        <v>0</v>
      </c>
      <c r="AA254" s="22">
        <f ca="1">VLOOKUP($L254,OFFSET([3]enemies!$A$1,0,0,COUNTA([3]enemies!$A:$A),MATCH(AA$1,[3]enemies!$1:$1,0)-MATCH($L$1,[3]enemies!$1:$1,0)+1),MATCH(AA$1,[3]enemies!$1:$1,0)-MATCH($L$1,[3]enemies!$1:$1,0)+1,FALSE)</f>
        <v>2</v>
      </c>
      <c r="AB254" s="70">
        <v>341</v>
      </c>
      <c r="AC254" s="22" t="str">
        <f ca="1">IFERROR(VLOOKUP($AB254,OFFSET([4]characters!$A$1,0,0,COUNTA([4]characters!$A:$A),MATCH(AC$1,[4]characters!$1:$1,0)-MATCH("character_id",[4]characters!$1:$1,0)+1),MATCH(AC$1,[4]characters!$1:$1,0)-MATCH("character_id",[4]characters!$1:$1,0)+1,FALSE),"")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254" s="22">
        <f ca="1">IFERROR(VLOOKUP($AB254,OFFSET([4]characters!$A$1,0,0,COUNTA([4]characters!$A:$A),MATCH(AD$1,[4]characters!$1:$1,0)-MATCH("character_id",[4]characters!$1:$1,0)+1),MATCH(AD$1,[4]characters!$1:$1,0)-MATCH("character_id",[4]characters!$1:$1,0)+1,FALSE),"")</f>
        <v>4</v>
      </c>
      <c r="AE254" s="22" t="str">
        <f ca="1">IFERROR(VLOOKUP($AB254,OFFSET([4]characters!$A$1,0,0,COUNTA([4]characters!$A:$A),MATCH(AE$1,[4]characters!$1:$1,0)-MATCH("character_id",[4]characters!$1:$1,0)+1),MATCH(AE$1,[4]characters!$1:$1,0)-MATCH("character_id",[4]characters!$1:$1,0)+1,FALSE),"")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4" s="28">
        <v>1</v>
      </c>
      <c r="AG254" s="75">
        <f t="shared" ca="1" si="64"/>
        <v>4</v>
      </c>
      <c r="AH254" s="81">
        <v>5</v>
      </c>
      <c r="AI254" s="28">
        <v>0</v>
      </c>
      <c r="AJ254" s="28">
        <v>0</v>
      </c>
      <c r="AK254" s="28">
        <v>0</v>
      </c>
      <c r="AL254" s="28">
        <v>0</v>
      </c>
      <c r="AM254" s="28">
        <v>1</v>
      </c>
      <c r="AN254" s="28">
        <v>1</v>
      </c>
    </row>
    <row r="255" spans="1:40" ht="21" customHeight="1" x14ac:dyDescent="0.15">
      <c r="A255" s="78" t="str">
        <f t="shared" ca="1" si="63"/>
        <v>11103_4-4/111&lt;lv30&gt;s1</v>
      </c>
      <c r="B255" s="82">
        <v>11103</v>
      </c>
      <c r="C255" s="83">
        <v>4</v>
      </c>
      <c r="D255" s="16" t="str">
        <f t="shared" si="60"/>
        <v>11103_4</v>
      </c>
      <c r="E255" s="22" t="str">
        <f ca="1">VLOOKUP($B255,OFFSET([2]quests!$A$1,0,0,COUNTA([2]quests!$A:$A),MATCH(E$1,[2]quests!$1:$1,0)-MATCH($B$1,[2]quests!$1:$1,0)+1),MATCH(E$1,[2]quests!$1:$1,0)-MATCH($B$1,[2]quests!$1:$1,0)+1,FALSE)</f>
        <v>【期間限定】 青の素材</v>
      </c>
      <c r="F255" s="22" t="str">
        <f ca="1">VLOOKUP($D255,OFFSET([2]stages!$A$1,0,0,COUNTA([2]stages!$A:$A),MATCH(F$1,[2]stages!$2:$2,0)-MATCH($D$1,[2]stages!$2:$2,0)+1),MATCH(F$1,[2]stages!$2:$2,0)-MATCH($D$1,[2]stages!$2:$2,0)+1,FALSE)</f>
        <v xml:space="preserve">【上級】水のイモムシ </v>
      </c>
      <c r="G255" s="68">
        <v>4</v>
      </c>
      <c r="H255" s="16" t="str">
        <f t="shared" si="61"/>
        <v>11103_4-4</v>
      </c>
      <c r="I255" s="22" t="e">
        <v>#N/A</v>
      </c>
      <c r="J255" s="22" t="e">
        <v>#N/A</v>
      </c>
      <c r="K255" s="70" t="s">
        <v>217</v>
      </c>
      <c r="L255" s="70">
        <v>111</v>
      </c>
      <c r="M255" s="22" t="str">
        <f ca="1">VLOOKUP($L255,OFFSET([3]enemies!$A$1,0,0,COUNTA([3]enemies!$A:$A),MATCH(M$1,[3]enemies!$1:$1,0)-MATCH($L$1,[3]enemies!$1:$1,0)+1),MATCH(M$1,[3]enemies!$1:$1,0)-MATCH($L$1,[3]enemies!$1:$1,0)+1,FALSE)</f>
        <v>ブルーキャタップ</v>
      </c>
      <c r="N255" s="22" t="str">
        <f ca="1">VLOOKUP($L255,OFFSET([3]enemies!$A$1,0,0,COUNTA([3]enemies!$A:$A),MATCH(N$1,[3]enemies!$1:$1,0)-MATCH($L$1,[3]enemies!$1:$1,0)+1),MATCH(N$1,[3]enemies!$1:$1,0)-MATCH($L$1,[3]enemies!$1:$1,0)+1,FALSE)</f>
        <v>blue</v>
      </c>
      <c r="O255" s="22" t="str">
        <f ca="1">VLOOKUP($L255,OFFSET([4]characters!$A$1,0,0,COUNTA([4]characters!$A:$A),MATCH(O$1,[4]characters!$1:$1,0)-MATCH($L$1,[4]characters!$1:$1,0)+1),MATCH(O$1,[4]characters!$1:$1,0)-MATCH($L$1,[4]characters!$1:$1,0)+1,FALSE)</f>
        <v>Material</v>
      </c>
      <c r="P255" s="22" t="str">
        <f ca="1">VLOOKUP($L255,OFFSET([3]enemies!$A$1,0,0,COUNTA([3]enemies!$A:$A),MATCH(P$1,[3]enemies!$1:$1,0)-MATCH($L$1,[3]enemies!$1:$1,0)+1),MATCH(P$1,[3]enemies!$1:$1,0)-MATCH($L$1,[3]enemies!$1:$1,0)+1,FALSE)</f>
        <v>unknown</v>
      </c>
      <c r="Q255" s="22">
        <f ca="1">VLOOKUP($L255,OFFSET([3]enemies!$A$1,0,0,COUNTA([3]enemies!$A:$A),MATCH(Q$1,[3]enemies!$1:$1,0)-MATCH($L$1,[3]enemies!$1:$1,0)+1),MATCH(Q$1,[3]enemies!$1:$1,0)-MATCH($L$1,[3]enemies!$1:$1,0)+1,FALSE)</f>
        <v>15</v>
      </c>
      <c r="R255" s="79">
        <v>30</v>
      </c>
      <c r="S255" s="80">
        <v>2</v>
      </c>
      <c r="T255" s="80">
        <v>1</v>
      </c>
      <c r="U255" s="79">
        <v>0</v>
      </c>
      <c r="V255" s="22" t="str">
        <f ca="1">VLOOKUP($W255,OFFSET([5]enemy_skill_sets!$B$1,0,0,COUNTA([5]enemy_skill_sets!$B:$B),MATCH(M$1,[5]enemy_skill_sets!$1:$1,0)-MATCH($W$1,[5]enemy_skill_sets!$1:$1,0)+2),MATCH(M$1,[5]enemy_skill_sets!$1:$1,0)-MATCH($W$1,[5]enemy_skill_sets!$1:$1,0)+2,FALSE)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5" s="22">
        <f ca="1">VLOOKUP($L255,OFFSET([3]enemies!$A$1,0,0,COUNTA([3]enemies!$A:$A),MATCH(W$1,[3]enemies!$1:$1,0)-MATCH($L$1,[3]enemies!$1:$1,0)+1),MATCH(W$1,[3]enemies!$1:$1,0)-MATCH($L$1,[3]enemies!$1:$1,0)+1,FALSE)</f>
        <v>0</v>
      </c>
      <c r="X255" s="81">
        <v>1</v>
      </c>
      <c r="Y255" s="81">
        <v>100</v>
      </c>
      <c r="Z255" s="81">
        <v>1</v>
      </c>
      <c r="AA255" s="22">
        <f ca="1">VLOOKUP($L255,OFFSET([3]enemies!$A$1,0,0,COUNTA([3]enemies!$A:$A),MATCH(AA$1,[3]enemies!$1:$1,0)-MATCH($L$1,[3]enemies!$1:$1,0)+1),MATCH(AA$1,[3]enemies!$1:$1,0)-MATCH($L$1,[3]enemies!$1:$1,0)+1,FALSE)</f>
        <v>1</v>
      </c>
      <c r="AB255" s="70">
        <v>111</v>
      </c>
      <c r="AC255" s="22" t="str">
        <f ca="1">IFERROR(VLOOKUP($AB255,OFFSET([4]characters!$A$1,0,0,COUNTA([4]characters!$A:$A),MATCH(AC$1,[4]characters!$1:$1,0)-MATCH("character_id",[4]characters!$1:$1,0)+1),MATCH(AC$1,[4]characters!$1:$1,0)-MATCH("character_id",[4]characters!$1:$1,0)+1,FALSE),"")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255" s="22">
        <f ca="1">IFERROR(VLOOKUP($AB255,OFFSET([4]characters!$A$1,0,0,COUNTA([4]characters!$A:$A),MATCH(AD$1,[4]characters!$1:$1,0)-MATCH("character_id",[4]characters!$1:$1,0)+1),MATCH(AD$1,[4]characters!$1:$1,0)-MATCH("character_id",[4]characters!$1:$1,0)+1,FALSE),"")</f>
        <v>4</v>
      </c>
      <c r="AE255" s="22" t="str">
        <f ca="1">IFERROR(VLOOKUP($AB255,OFFSET([4]characters!$A$1,0,0,COUNTA([4]characters!$A:$A),MATCH(AE$1,[4]characters!$1:$1,0)-MATCH("character_id",[4]characters!$1:$1,0)+1),MATCH(AE$1,[4]characters!$1:$1,0)-MATCH("character_id",[4]characters!$1:$1,0)+1,FALSE),"")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5" s="28">
        <v>1</v>
      </c>
      <c r="AG255" s="75">
        <f t="shared" ca="1" si="64"/>
        <v>4</v>
      </c>
      <c r="AH255" s="81">
        <v>100</v>
      </c>
      <c r="AI255" s="28">
        <v>0</v>
      </c>
      <c r="AJ255" s="28">
        <v>0</v>
      </c>
      <c r="AK255" s="28">
        <v>0</v>
      </c>
      <c r="AL255" s="28">
        <v>0</v>
      </c>
      <c r="AM255" s="28">
        <v>1</v>
      </c>
      <c r="AN255" s="28">
        <v>1</v>
      </c>
    </row>
    <row r="256" spans="1:40" ht="21" customHeight="1" x14ac:dyDescent="0.15">
      <c r="A256" s="78" t="str">
        <f t="shared" ca="1" si="63"/>
        <v>11103_4-4/37&lt;lv35&gt;s3</v>
      </c>
      <c r="B256" s="82">
        <v>11103</v>
      </c>
      <c r="C256" s="83">
        <v>4</v>
      </c>
      <c r="D256" s="16" t="str">
        <f t="shared" si="60"/>
        <v>11103_4</v>
      </c>
      <c r="E256" s="22" t="str">
        <f ca="1">VLOOKUP($B256,OFFSET([2]quests!$A$1,0,0,COUNTA([2]quests!$A:$A),MATCH(E$1,[2]quests!$1:$1,0)-MATCH($B$1,[2]quests!$1:$1,0)+1),MATCH(E$1,[2]quests!$1:$1,0)-MATCH($B$1,[2]quests!$1:$1,0)+1,FALSE)</f>
        <v>【期間限定】 青の素材</v>
      </c>
      <c r="F256" s="22" t="str">
        <f ca="1">VLOOKUP($D256,OFFSET([2]stages!$A$1,0,0,COUNTA([2]stages!$A:$A),MATCH(F$1,[2]stages!$2:$2,0)-MATCH($D$1,[2]stages!$2:$2,0)+1),MATCH(F$1,[2]stages!$2:$2,0)-MATCH($D$1,[2]stages!$2:$2,0)+1,FALSE)</f>
        <v xml:space="preserve">【上級】水のイモムシ </v>
      </c>
      <c r="G256" s="68">
        <v>4</v>
      </c>
      <c r="H256" s="16" t="str">
        <f t="shared" si="61"/>
        <v>11103_4-4</v>
      </c>
      <c r="I256" s="22" t="e">
        <v>#N/A</v>
      </c>
      <c r="J256" s="22" t="e">
        <v>#N/A</v>
      </c>
      <c r="K256" s="70" t="s">
        <v>217</v>
      </c>
      <c r="L256" s="70">
        <v>37</v>
      </c>
      <c r="M256" s="22" t="str">
        <f ca="1">VLOOKUP($L256,OFFSET([3]enemies!$A$1,0,0,COUNTA([3]enemies!$A:$A),MATCH(M$1,[3]enemies!$1:$1,0)-MATCH($L$1,[3]enemies!$1:$1,0)+1),MATCH(M$1,[3]enemies!$1:$1,0)-MATCH($L$1,[3]enemies!$1:$1,0)+1,FALSE)</f>
        <v>ガイル</v>
      </c>
      <c r="N256" s="22" t="str">
        <f ca="1">VLOOKUP($L256,OFFSET([3]enemies!$A$1,0,0,COUNTA([3]enemies!$A:$A),MATCH(N$1,[3]enemies!$1:$1,0)-MATCH($L$1,[3]enemies!$1:$1,0)+1),MATCH(N$1,[3]enemies!$1:$1,0)-MATCH($L$1,[3]enemies!$1:$1,0)+1,FALSE)</f>
        <v>blue</v>
      </c>
      <c r="O256" s="22" t="str">
        <f ca="1">VLOOKUP($L256,OFFSET([4]characters!$A$1,0,0,COUNTA([4]characters!$A:$A),MATCH(O$1,[4]characters!$1:$1,0)-MATCH($L$1,[4]characters!$1:$1,0)+1),MATCH(O$1,[4]characters!$1:$1,0)-MATCH($L$1,[4]characters!$1:$1,0)+1,FALSE)</f>
        <v>Drop1S</v>
      </c>
      <c r="P256" s="22" t="str">
        <f ca="1">VLOOKUP($L256,OFFSET([3]enemies!$A$1,0,0,COUNTA([3]enemies!$A:$A),MATCH(P$1,[3]enemies!$1:$1,0)-MATCH($L$1,[3]enemies!$1:$1,0)+1),MATCH(P$1,[3]enemies!$1:$1,0)-MATCH($L$1,[3]enemies!$1:$1,0)+1,FALSE)</f>
        <v>animal</v>
      </c>
      <c r="Q256" s="22">
        <f ca="1">VLOOKUP($L256,OFFSET([3]enemies!$A$1,0,0,COUNTA([3]enemies!$A:$A),MATCH(Q$1,[3]enemies!$1:$1,0)-MATCH($L$1,[3]enemies!$1:$1,0)+1),MATCH(Q$1,[3]enemies!$1:$1,0)-MATCH($L$1,[3]enemies!$1:$1,0)+1,FALSE)</f>
        <v>15</v>
      </c>
      <c r="R256" s="79">
        <v>35</v>
      </c>
      <c r="S256" s="80">
        <v>1</v>
      </c>
      <c r="T256" s="80">
        <v>1</v>
      </c>
      <c r="U256" s="79">
        <v>0</v>
      </c>
      <c r="V256" s="22" t="str">
        <f ca="1">VLOOKUP($W256,OFFSET([5]enemy_skill_sets!$B$1,0,0,COUNTA([5]enemy_skill_sets!$B:$B),MATCH(M$1,[5]enemy_skill_sets!$1:$1,0)-MATCH($W$1,[5]enemy_skill_sets!$1:$1,0)+2),MATCH(M$1,[5]enemy_skill_sets!$1:$1,0)-MATCH($W$1,[5]enemy_skill_sets!$1:$1,0)+2,FALSE)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56" s="22">
        <f ca="1">VLOOKUP($L256,OFFSET([3]enemies!$A$1,0,0,COUNTA([3]enemies!$A:$A),MATCH(W$1,[3]enemies!$1:$1,0)-MATCH($L$1,[3]enemies!$1:$1,0)+1),MATCH(W$1,[3]enemies!$1:$1,0)-MATCH($L$1,[3]enemies!$1:$1,0)+1,FALSE)</f>
        <v>37</v>
      </c>
      <c r="X256" s="81">
        <v>0</v>
      </c>
      <c r="Y256" s="81">
        <v>100</v>
      </c>
      <c r="Z256" s="81">
        <v>0</v>
      </c>
      <c r="AA256" s="22">
        <f ca="1">VLOOKUP($L256,OFFSET([3]enemies!$A$1,0,0,COUNTA([3]enemies!$A:$A),MATCH(AA$1,[3]enemies!$1:$1,0)-MATCH($L$1,[3]enemies!$1:$1,0)+1),MATCH(AA$1,[3]enemies!$1:$1,0)-MATCH($L$1,[3]enemies!$1:$1,0)+1,FALSE)</f>
        <v>3</v>
      </c>
      <c r="AB256" s="70">
        <v>37</v>
      </c>
      <c r="AC256" s="22" t="str">
        <f ca="1">IFERROR(VLOOKUP($AB256,OFFSET([4]characters!$A$1,0,0,COUNTA([4]characters!$A:$A),MATCH(AC$1,[4]characters!$1:$1,0)-MATCH("character_id",[4]characters!$1:$1,0)+1),MATCH(AC$1,[4]characters!$1:$1,0)-MATCH("character_id",[4]characters!$1:$1,0)+1,FALSE),"")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56" s="22">
        <f ca="1">IFERROR(VLOOKUP($AB256,OFFSET([4]characters!$A$1,0,0,COUNTA([4]characters!$A:$A),MATCH(AD$1,[4]characters!$1:$1,0)-MATCH("character_id",[4]characters!$1:$1,0)+1),MATCH(AD$1,[4]characters!$1:$1,0)-MATCH("character_id",[4]characters!$1:$1,0)+1,FALSE),"")</f>
        <v>2</v>
      </c>
      <c r="AE256" s="22" t="str">
        <f ca="1">IFERROR(VLOOKUP($AB256,OFFSET([4]characters!$A$1,0,0,COUNTA([4]characters!$A:$A),MATCH(AE$1,[4]characters!$1:$1,0)-MATCH("character_id",[4]characters!$1:$1,0)+1),MATCH(AE$1,[4]characters!$1:$1,0)-MATCH("character_id",[4]characters!$1:$1,0)+1,FALSE),"")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56" s="28">
        <v>1</v>
      </c>
      <c r="AG256" s="75">
        <f t="shared" ca="1" si="64"/>
        <v>2</v>
      </c>
      <c r="AH256" s="81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1</v>
      </c>
      <c r="AN256" s="28">
        <v>1</v>
      </c>
    </row>
    <row r="257" spans="1:40" ht="21" customHeight="1" x14ac:dyDescent="0.15">
      <c r="A257" s="78" t="str">
        <f t="shared" ca="1" si="63"/>
        <v>11103_4-4/29&lt;lv35&gt;s2</v>
      </c>
      <c r="B257" s="82">
        <v>11103</v>
      </c>
      <c r="C257" s="83">
        <v>4</v>
      </c>
      <c r="D257" s="16" t="str">
        <f t="shared" si="60"/>
        <v>11103_4</v>
      </c>
      <c r="E257" s="22" t="str">
        <f ca="1">VLOOKUP($B257,OFFSET([2]quests!$A$1,0,0,COUNTA([2]quests!$A:$A),MATCH(E$1,[2]quests!$1:$1,0)-MATCH($B$1,[2]quests!$1:$1,0)+1),MATCH(E$1,[2]quests!$1:$1,0)-MATCH($B$1,[2]quests!$1:$1,0)+1,FALSE)</f>
        <v>【期間限定】 青の素材</v>
      </c>
      <c r="F257" s="22" t="str">
        <f ca="1">VLOOKUP($D257,OFFSET([2]stages!$A$1,0,0,COUNTA([2]stages!$A:$A),MATCH(F$1,[2]stages!$2:$2,0)-MATCH($D$1,[2]stages!$2:$2,0)+1),MATCH(F$1,[2]stages!$2:$2,0)-MATCH($D$1,[2]stages!$2:$2,0)+1,FALSE)</f>
        <v xml:space="preserve">【上級】水のイモムシ </v>
      </c>
      <c r="G257" s="68">
        <v>4</v>
      </c>
      <c r="H257" s="16" t="str">
        <f t="shared" si="61"/>
        <v>11103_4-4</v>
      </c>
      <c r="I257" s="22" t="e">
        <v>#N/A</v>
      </c>
      <c r="J257" s="22" t="e">
        <v>#N/A</v>
      </c>
      <c r="K257" s="70" t="s">
        <v>217</v>
      </c>
      <c r="L257" s="70">
        <v>29</v>
      </c>
      <c r="M257" s="22" t="str">
        <f ca="1">VLOOKUP($L257,OFFSET([3]enemies!$A$1,0,0,COUNTA([3]enemies!$A:$A),MATCH(M$1,[3]enemies!$1:$1,0)-MATCH($L$1,[3]enemies!$1:$1,0)+1),MATCH(M$1,[3]enemies!$1:$1,0)-MATCH($L$1,[3]enemies!$1:$1,0)+1,FALSE)</f>
        <v>スケアクロウ</v>
      </c>
      <c r="N257" s="22" t="str">
        <f ca="1">VLOOKUP($L257,OFFSET([3]enemies!$A$1,0,0,COUNTA([3]enemies!$A:$A),MATCH(N$1,[3]enemies!$1:$1,0)-MATCH($L$1,[3]enemies!$1:$1,0)+1),MATCH(N$1,[3]enemies!$1:$1,0)-MATCH($L$1,[3]enemies!$1:$1,0)+1,FALSE)</f>
        <v>blue</v>
      </c>
      <c r="O257" s="22" t="str">
        <f ca="1">VLOOKUP($L257,OFFSET([4]characters!$A$1,0,0,COUNTA([4]characters!$A:$A),MATCH(O$1,[4]characters!$1:$1,0)-MATCH($L$1,[4]characters!$1:$1,0)+1),MATCH(O$1,[4]characters!$1:$1,0)-MATCH($L$1,[4]characters!$1:$1,0)+1,FALSE)</f>
        <v>Drop1N</v>
      </c>
      <c r="P257" s="22" t="str">
        <f ca="1">VLOOKUP($L257,OFFSET([3]enemies!$A$1,0,0,COUNTA([3]enemies!$A:$A),MATCH(P$1,[3]enemies!$1:$1,0)-MATCH($L$1,[3]enemies!$1:$1,0)+1),MATCH(P$1,[3]enemies!$1:$1,0)-MATCH($L$1,[3]enemies!$1:$1,0)+1,FALSE)</f>
        <v>machine</v>
      </c>
      <c r="Q257" s="22">
        <f ca="1">VLOOKUP($L257,OFFSET([3]enemies!$A$1,0,0,COUNTA([3]enemies!$A:$A),MATCH(Q$1,[3]enemies!$1:$1,0)-MATCH($L$1,[3]enemies!$1:$1,0)+1),MATCH(Q$1,[3]enemies!$1:$1,0)-MATCH($L$1,[3]enemies!$1:$1,0)+1,FALSE)</f>
        <v>15</v>
      </c>
      <c r="R257" s="79">
        <v>35</v>
      </c>
      <c r="S257" s="80">
        <v>1</v>
      </c>
      <c r="T257" s="80">
        <v>1</v>
      </c>
      <c r="U257" s="79">
        <v>0</v>
      </c>
      <c r="V257" s="22" t="str">
        <f ca="1">VLOOKUP($W257,OFFSET([5]enemy_skill_sets!$B$1,0,0,COUNTA([5]enemy_skill_sets!$B:$B),MATCH(M$1,[5]enemy_skill_sets!$1:$1,0)-MATCH($W$1,[5]enemy_skill_sets!$1:$1,0)+2),MATCH(M$1,[5]enemy_skill_sets!$1:$1,0)-MATCH($W$1,[5]enemy_skill_sets!$1:$1,0)+2,FALSE)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7" s="22">
        <f ca="1">VLOOKUP($L257,OFFSET([3]enemies!$A$1,0,0,COUNTA([3]enemies!$A:$A),MATCH(W$1,[3]enemies!$1:$1,0)-MATCH($L$1,[3]enemies!$1:$1,0)+1),MATCH(W$1,[3]enemies!$1:$1,0)-MATCH($L$1,[3]enemies!$1:$1,0)+1,FALSE)</f>
        <v>0</v>
      </c>
      <c r="X257" s="81">
        <v>0</v>
      </c>
      <c r="Y257" s="81">
        <v>100</v>
      </c>
      <c r="Z257" s="81">
        <v>0</v>
      </c>
      <c r="AA257" s="22">
        <f ca="1">VLOOKUP($L257,OFFSET([3]enemies!$A$1,0,0,COUNTA([3]enemies!$A:$A),MATCH(AA$1,[3]enemies!$1:$1,0)-MATCH($L$1,[3]enemies!$1:$1,0)+1),MATCH(AA$1,[3]enemies!$1:$1,0)-MATCH($L$1,[3]enemies!$1:$1,0)+1,FALSE)</f>
        <v>2</v>
      </c>
      <c r="AB257" s="70">
        <v>29</v>
      </c>
      <c r="AC257" s="22" t="str">
        <f ca="1">IFERROR(VLOOKUP($AB257,OFFSET([4]characters!$A$1,0,0,COUNTA([4]characters!$A:$A),MATCH(AC$1,[4]characters!$1:$1,0)-MATCH("character_id",[4]characters!$1:$1,0)+1),MATCH(AC$1,[4]characters!$1:$1,0)-MATCH("character_id",[4]characters!$1:$1,0)+1,FALSE),"")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57" s="22">
        <f ca="1">IFERROR(VLOOKUP($AB257,OFFSET([4]characters!$A$1,0,0,COUNTA([4]characters!$A:$A),MATCH(AD$1,[4]characters!$1:$1,0)-MATCH("character_id",[4]characters!$1:$1,0)+1),MATCH(AD$1,[4]characters!$1:$1,0)-MATCH("character_id",[4]characters!$1:$1,0)+1,FALSE),"")</f>
        <v>1</v>
      </c>
      <c r="AE257" s="22" t="str">
        <f ca="1">IFERROR(VLOOKUP($AB257,OFFSET([4]characters!$A$1,0,0,COUNTA([4]characters!$A:$A),MATCH(AE$1,[4]characters!$1:$1,0)-MATCH("character_id",[4]characters!$1:$1,0)+1),MATCH(AE$1,[4]characters!$1:$1,0)-MATCH("character_id",[4]characters!$1:$1,0)+1,FALSE),"")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57" s="28">
        <v>1</v>
      </c>
      <c r="AG257" s="75">
        <f t="shared" ca="1" si="64"/>
        <v>1</v>
      </c>
      <c r="AH257" s="81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1</v>
      </c>
      <c r="AN257" s="28">
        <v>1</v>
      </c>
    </row>
    <row r="258" spans="1:40" ht="21" customHeight="1" x14ac:dyDescent="0.15">
      <c r="A258" s="78" t="str">
        <f t="shared" ca="1" si="63"/>
        <v>11103_4-5/111&lt;lv30&gt;s1</v>
      </c>
      <c r="B258" s="82">
        <v>11103</v>
      </c>
      <c r="C258" s="83">
        <v>4</v>
      </c>
      <c r="D258" s="16" t="str">
        <f t="shared" si="60"/>
        <v>11103_4</v>
      </c>
      <c r="E258" s="22" t="str">
        <f ca="1">VLOOKUP($B258,OFFSET([2]quests!$A$1,0,0,COUNTA([2]quests!$A:$A),MATCH(E$1,[2]quests!$1:$1,0)-MATCH($B$1,[2]quests!$1:$1,0)+1),MATCH(E$1,[2]quests!$1:$1,0)-MATCH($B$1,[2]quests!$1:$1,0)+1,FALSE)</f>
        <v>【期間限定】 青の素材</v>
      </c>
      <c r="F258" s="22" t="str">
        <f ca="1">VLOOKUP($D258,OFFSET([2]stages!$A$1,0,0,COUNTA([2]stages!$A:$A),MATCH(F$1,[2]stages!$2:$2,0)-MATCH($D$1,[2]stages!$2:$2,0)+1),MATCH(F$1,[2]stages!$2:$2,0)-MATCH($D$1,[2]stages!$2:$2,0)+1,FALSE)</f>
        <v xml:space="preserve">【上級】水のイモムシ </v>
      </c>
      <c r="G258" s="68">
        <v>5</v>
      </c>
      <c r="H258" s="16" t="str">
        <f t="shared" si="61"/>
        <v>11103_4-5</v>
      </c>
      <c r="I258" s="22" t="e">
        <v>#N/A</v>
      </c>
      <c r="J258" s="22" t="e">
        <v>#N/A</v>
      </c>
      <c r="K258" s="70" t="s">
        <v>217</v>
      </c>
      <c r="L258" s="70">
        <v>111</v>
      </c>
      <c r="M258" s="22" t="str">
        <f ca="1">VLOOKUP($L258,OFFSET([3]enemies!$A$1,0,0,COUNTA([3]enemies!$A:$A),MATCH(M$1,[3]enemies!$1:$1,0)-MATCH($L$1,[3]enemies!$1:$1,0)+1),MATCH(M$1,[3]enemies!$1:$1,0)-MATCH($L$1,[3]enemies!$1:$1,0)+1,FALSE)</f>
        <v>ブルーキャタップ</v>
      </c>
      <c r="N258" s="22" t="str">
        <f ca="1">VLOOKUP($L258,OFFSET([3]enemies!$A$1,0,0,COUNTA([3]enemies!$A:$A),MATCH(N$1,[3]enemies!$1:$1,0)-MATCH($L$1,[3]enemies!$1:$1,0)+1),MATCH(N$1,[3]enemies!$1:$1,0)-MATCH($L$1,[3]enemies!$1:$1,0)+1,FALSE)</f>
        <v>blue</v>
      </c>
      <c r="O258" s="22" t="str">
        <f ca="1">VLOOKUP($L258,OFFSET([4]characters!$A$1,0,0,COUNTA([4]characters!$A:$A),MATCH(O$1,[4]characters!$1:$1,0)-MATCH($L$1,[4]characters!$1:$1,0)+1),MATCH(O$1,[4]characters!$1:$1,0)-MATCH($L$1,[4]characters!$1:$1,0)+1,FALSE)</f>
        <v>Material</v>
      </c>
      <c r="P258" s="22" t="str">
        <f ca="1">VLOOKUP($L258,OFFSET([3]enemies!$A$1,0,0,COUNTA([3]enemies!$A:$A),MATCH(P$1,[3]enemies!$1:$1,0)-MATCH($L$1,[3]enemies!$1:$1,0)+1),MATCH(P$1,[3]enemies!$1:$1,0)-MATCH($L$1,[3]enemies!$1:$1,0)+1,FALSE)</f>
        <v>unknown</v>
      </c>
      <c r="Q258" s="22">
        <f ca="1">VLOOKUP($L258,OFFSET([3]enemies!$A$1,0,0,COUNTA([3]enemies!$A:$A),MATCH(Q$1,[3]enemies!$1:$1,0)-MATCH($L$1,[3]enemies!$1:$1,0)+1),MATCH(Q$1,[3]enemies!$1:$1,0)-MATCH($L$1,[3]enemies!$1:$1,0)+1,FALSE)</f>
        <v>15</v>
      </c>
      <c r="R258" s="79">
        <v>30</v>
      </c>
      <c r="S258" s="80">
        <v>2</v>
      </c>
      <c r="T258" s="80">
        <v>1</v>
      </c>
      <c r="U258" s="79">
        <v>0</v>
      </c>
      <c r="V258" s="22" t="str">
        <f ca="1">VLOOKUP($W258,OFFSET([5]enemy_skill_sets!$B$1,0,0,COUNTA([5]enemy_skill_sets!$B:$B),MATCH(M$1,[5]enemy_skill_sets!$1:$1,0)-MATCH($W$1,[5]enemy_skill_sets!$1:$1,0)+2),MATCH(M$1,[5]enemy_skill_sets!$1:$1,0)-MATCH($W$1,[5]enemy_skill_sets!$1:$1,0)+2,FALSE)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8" s="22">
        <f ca="1">VLOOKUP($L258,OFFSET([3]enemies!$A$1,0,0,COUNTA([3]enemies!$A:$A),MATCH(W$1,[3]enemies!$1:$1,0)-MATCH($L$1,[3]enemies!$1:$1,0)+1),MATCH(W$1,[3]enemies!$1:$1,0)-MATCH($L$1,[3]enemies!$1:$1,0)+1,FALSE)</f>
        <v>0</v>
      </c>
      <c r="X258" s="81">
        <v>0</v>
      </c>
      <c r="Y258" s="81">
        <v>100</v>
      </c>
      <c r="Z258" s="81">
        <v>2</v>
      </c>
      <c r="AA258" s="22">
        <f ca="1">VLOOKUP($L258,OFFSET([3]enemies!$A$1,0,0,COUNTA([3]enemies!$A:$A),MATCH(AA$1,[3]enemies!$1:$1,0)-MATCH($L$1,[3]enemies!$1:$1,0)+1),MATCH(AA$1,[3]enemies!$1:$1,0)-MATCH($L$1,[3]enemies!$1:$1,0)+1,FALSE)</f>
        <v>1</v>
      </c>
      <c r="AB258" s="70">
        <v>111</v>
      </c>
      <c r="AC258" s="22" t="str">
        <f ca="1">IFERROR(VLOOKUP($AB258,OFFSET([4]characters!$A$1,0,0,COUNTA([4]characters!$A:$A),MATCH(AC$1,[4]characters!$1:$1,0)-MATCH("character_id",[4]characters!$1:$1,0)+1),MATCH(AC$1,[4]characters!$1:$1,0)-MATCH("character_id",[4]characters!$1:$1,0)+1,FALSE),"")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258" s="22">
        <f ca="1">IFERROR(VLOOKUP($AB258,OFFSET([4]characters!$A$1,0,0,COUNTA([4]characters!$A:$A),MATCH(AD$1,[4]characters!$1:$1,0)-MATCH("character_id",[4]characters!$1:$1,0)+1),MATCH(AD$1,[4]characters!$1:$1,0)-MATCH("character_id",[4]characters!$1:$1,0)+1,FALSE),"")</f>
        <v>4</v>
      </c>
      <c r="AE258" s="22" t="str">
        <f ca="1">IFERROR(VLOOKUP($AB258,OFFSET([4]characters!$A$1,0,0,COUNTA([4]characters!$A:$A),MATCH(AE$1,[4]characters!$1:$1,0)-MATCH("character_id",[4]characters!$1:$1,0)+1),MATCH(AE$1,[4]characters!$1:$1,0)-MATCH("character_id",[4]characters!$1:$1,0)+1,FALSE),"")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8" s="28">
        <v>1</v>
      </c>
      <c r="AG258" s="75">
        <f t="shared" ca="1" si="64"/>
        <v>4</v>
      </c>
      <c r="AH258" s="131">
        <v>50</v>
      </c>
      <c r="AI258" s="28">
        <v>0</v>
      </c>
      <c r="AJ258" s="28">
        <v>0</v>
      </c>
      <c r="AK258" s="28">
        <v>0</v>
      </c>
      <c r="AL258" s="28">
        <v>0</v>
      </c>
      <c r="AM258" s="28">
        <v>1</v>
      </c>
      <c r="AN258" s="28">
        <v>1</v>
      </c>
    </row>
    <row r="259" spans="1:40" ht="21" customHeight="1" x14ac:dyDescent="0.15">
      <c r="A259" s="78" t="str">
        <f ca="1">B259&amp;"_"&amp;C259&amp;"-"&amp;G259&amp;"/"&amp;L259&amp;"&lt;lv"&amp;R259&amp;"&gt;s"&amp;AA259</f>
        <v>11103_4-5/130&lt;lv30&gt;s3</v>
      </c>
      <c r="B259" s="82">
        <v>11103</v>
      </c>
      <c r="C259" s="83">
        <v>4</v>
      </c>
      <c r="D259" s="16" t="str">
        <f t="shared" si="60"/>
        <v>11103_4</v>
      </c>
      <c r="E259" s="22" t="str">
        <f ca="1">VLOOKUP($B259,OFFSET([2]quests!$A$1,0,0,COUNTA([2]quests!$A:$A),MATCH(E$1,[2]quests!$1:$1,0)-MATCH($B$1,[2]quests!$1:$1,0)+1),MATCH(E$1,[2]quests!$1:$1,0)-MATCH($B$1,[2]quests!$1:$1,0)+1,FALSE)</f>
        <v>【期間限定】 青の素材</v>
      </c>
      <c r="F259" s="22" t="str">
        <f ca="1">VLOOKUP($D259,OFFSET([2]stages!$A$1,0,0,COUNTA([2]stages!$A:$A),MATCH(F$1,[2]stages!$2:$2,0)-MATCH($D$1,[2]stages!$2:$2,0)+1),MATCH(F$1,[2]stages!$2:$2,0)-MATCH($D$1,[2]stages!$2:$2,0)+1,FALSE)</f>
        <v xml:space="preserve">【上級】水のイモムシ </v>
      </c>
      <c r="G259" s="68">
        <v>5</v>
      </c>
      <c r="H259" s="16" t="str">
        <f t="shared" si="61"/>
        <v>11103_4-5</v>
      </c>
      <c r="I259" s="22" t="e">
        <v>#N/A</v>
      </c>
      <c r="J259" s="22" t="e">
        <v>#N/A</v>
      </c>
      <c r="K259" s="70" t="s">
        <v>217</v>
      </c>
      <c r="L259" s="70">
        <v>130</v>
      </c>
      <c r="M259" s="22" t="str">
        <f ca="1">VLOOKUP($L259,OFFSET([3]enemies!$A$1,0,0,COUNTA([3]enemies!$A:$A),MATCH(M$1,[3]enemies!$1:$1,0)-MATCH($L$1,[3]enemies!$1:$1,0)+1),MATCH(M$1,[3]enemies!$1:$1,0)-MATCH($L$1,[3]enemies!$1:$1,0)+1,FALSE)</f>
        <v>狼男 ローレンス</v>
      </c>
      <c r="N259" s="22" t="str">
        <f ca="1">VLOOKUP($L259,OFFSET([3]enemies!$A$1,0,0,COUNTA([3]enemies!$A:$A),MATCH(N$1,[3]enemies!$1:$1,0)-MATCH($L$1,[3]enemies!$1:$1,0)+1),MATCH(N$1,[3]enemies!$1:$1,0)-MATCH($L$1,[3]enemies!$1:$1,0)+1,FALSE)</f>
        <v>blue</v>
      </c>
      <c r="O259" s="22" t="str">
        <f ca="1">VLOOKUP($L259,OFFSET([4]characters!$A$1,0,0,COUNTA([4]characters!$A:$A),MATCH(O$1,[4]characters!$1:$1,0)-MATCH($L$1,[4]characters!$1:$1,0)+1),MATCH(O$1,[4]characters!$1:$1,0)-MATCH($L$1,[4]characters!$1:$1,0)+1,FALSE)</f>
        <v>PremiumW</v>
      </c>
      <c r="P259" s="22" t="str">
        <f ca="1">VLOOKUP($L259,OFFSET([3]enemies!$A$1,0,0,COUNTA([3]enemies!$A:$A),MATCH(P$1,[3]enemies!$1:$1,0)-MATCH($L$1,[3]enemies!$1:$1,0)+1),MATCH(P$1,[3]enemies!$1:$1,0)-MATCH($L$1,[3]enemies!$1:$1,0)+1,FALSE)</f>
        <v>animal</v>
      </c>
      <c r="Q259" s="22">
        <f ca="1">VLOOKUP($L259,OFFSET([3]enemies!$A$1,0,0,COUNTA([3]enemies!$A:$A),MATCH(Q$1,[3]enemies!$1:$1,0)-MATCH($L$1,[3]enemies!$1:$1,0)+1),MATCH(Q$1,[3]enemies!$1:$1,0)-MATCH($L$1,[3]enemies!$1:$1,0)+1,FALSE)</f>
        <v>20</v>
      </c>
      <c r="R259" s="79">
        <v>30</v>
      </c>
      <c r="S259" s="80">
        <v>1</v>
      </c>
      <c r="T259" s="80">
        <v>1</v>
      </c>
      <c r="U259" s="79">
        <v>0</v>
      </c>
      <c r="V259" s="22" t="str">
        <f ca="1">VLOOKUP($W259,OFFSET([5]enemy_skill_sets!$B$1,0,0,COUNTA([5]enemy_skill_sets!$B:$B),MATCH(M$1,[5]enemy_skill_sets!$1:$1,0)-MATCH($W$1,[5]enemy_skill_sets!$1:$1,0)+2),MATCH(M$1,[5]enemy_skill_sets!$1:$1,0)-MATCH($W$1,[5]enemy_skill_sets!$1:$1,0)+2,FALSE)</f>
        <v>攻撃力×1.5倍の攻撃</v>
      </c>
      <c r="W259" s="22">
        <f ca="1">VLOOKUP($L259,OFFSET([3]enemies!$A$1,0,0,COUNTA([3]enemies!$A:$A),MATCH(W$1,[3]enemies!$1:$1,0)-MATCH($L$1,[3]enemies!$1:$1,0)+1),MATCH(W$1,[3]enemies!$1:$1,0)-MATCH($L$1,[3]enemies!$1:$1,0)+1,FALSE)</f>
        <v>130</v>
      </c>
      <c r="X259" s="81">
        <v>0</v>
      </c>
      <c r="Y259" s="81">
        <v>100</v>
      </c>
      <c r="Z259" s="81">
        <v>0</v>
      </c>
      <c r="AA259" s="22">
        <f ca="1">VLOOKUP($L259,OFFSET([3]enemies!$A$1,0,0,COUNTA([3]enemies!$A:$A),MATCH(AA$1,[3]enemies!$1:$1,0)-MATCH($L$1,[3]enemies!$1:$1,0)+1),MATCH(AA$1,[3]enemies!$1:$1,0)-MATCH($L$1,[3]enemies!$1:$1,0)+1,FALSE)</f>
        <v>3</v>
      </c>
      <c r="AB259" s="70">
        <v>130</v>
      </c>
      <c r="AC259" s="22" t="str">
        <f ca="1">IFERROR(VLOOKUP($AB259,OFFSET([4]characters!$A$1,0,0,COUNTA([4]characters!$A:$A),MATCH(AC$1,[4]characters!$1:$1,0)-MATCH("character_id",[4]characters!$1:$1,0)+1),MATCH(AC$1,[4]characters!$1:$1,0)-MATCH("character_id",[4]characters!$1:$1,0)+1,FALSE),"")</f>
        <v>狼男 ローレンス</v>
      </c>
      <c r="AD259" s="22">
        <f ca="1">IFERROR(VLOOKUP($AB259,OFFSET([4]characters!$A$1,0,0,COUNTA([4]characters!$A:$A),MATCH(AD$1,[4]characters!$1:$1,0)-MATCH("character_id",[4]characters!$1:$1,0)+1),MATCH(AD$1,[4]characters!$1:$1,0)-MATCH("character_id",[4]characters!$1:$1,0)+1,FALSE),"")</f>
        <v>3</v>
      </c>
      <c r="AE259" s="22" t="str">
        <f ca="1">IFERROR(VLOOKUP($AB259,OFFSET([4]characters!$A$1,0,0,COUNTA([4]characters!$A:$A),MATCH(AE$1,[4]characters!$1:$1,0)-MATCH("character_id",[4]characters!$1:$1,0)+1),MATCH(AE$1,[4]characters!$1:$1,0)-MATCH("character_id",[4]characters!$1:$1,0)+1,FALSE),"")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59" s="28">
        <v>1</v>
      </c>
      <c r="AG259" s="75">
        <f t="shared" ca="1" si="64"/>
        <v>3</v>
      </c>
      <c r="AH259" s="81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1</v>
      </c>
      <c r="AN259" s="28">
        <v>1</v>
      </c>
    </row>
    <row r="260" spans="1:40" ht="21" customHeight="1" x14ac:dyDescent="0.15">
      <c r="A260" s="78" t="str">
        <f ca="1">B260&amp;"_"&amp;C260&amp;"-"&amp;G260&amp;"/"&amp;L260&amp;"&lt;lv"&amp;R260&amp;"&gt;s"&amp;AA260</f>
        <v>11103_4-5/138&lt;lv30&gt;s2</v>
      </c>
      <c r="B260" s="82">
        <v>11103</v>
      </c>
      <c r="C260" s="83">
        <v>4</v>
      </c>
      <c r="D260" s="16" t="str">
        <f t="shared" si="60"/>
        <v>11103_4</v>
      </c>
      <c r="E260" s="22" t="str">
        <f ca="1">VLOOKUP($B260,OFFSET([2]quests!$A$1,0,0,COUNTA([2]quests!$A:$A),MATCH(E$1,[2]quests!$1:$1,0)-MATCH($B$1,[2]quests!$1:$1,0)+1),MATCH(E$1,[2]quests!$1:$1,0)-MATCH($B$1,[2]quests!$1:$1,0)+1,FALSE)</f>
        <v>【期間限定】 青の素材</v>
      </c>
      <c r="F260" s="22" t="str">
        <f ca="1">VLOOKUP($D260,OFFSET([2]stages!$A$1,0,0,COUNTA([2]stages!$A:$A),MATCH(F$1,[2]stages!$2:$2,0)-MATCH($D$1,[2]stages!$2:$2,0)+1),MATCH(F$1,[2]stages!$2:$2,0)-MATCH($D$1,[2]stages!$2:$2,0)+1,FALSE)</f>
        <v xml:space="preserve">【上級】水のイモムシ </v>
      </c>
      <c r="G260" s="68">
        <v>5</v>
      </c>
      <c r="H260" s="16" t="str">
        <f t="shared" si="61"/>
        <v>11103_4-5</v>
      </c>
      <c r="I260" s="22" t="e">
        <v>#N/A</v>
      </c>
      <c r="J260" s="22" t="e">
        <v>#N/A</v>
      </c>
      <c r="K260" s="70" t="s">
        <v>217</v>
      </c>
      <c r="L260" s="70">
        <v>138</v>
      </c>
      <c r="M260" s="22" t="str">
        <f ca="1">VLOOKUP($L260,OFFSET([3]enemies!$A$1,0,0,COUNTA([3]enemies!$A:$A),MATCH(M$1,[3]enemies!$1:$1,0)-MATCH($L$1,[3]enemies!$1:$1,0)+1),MATCH(M$1,[3]enemies!$1:$1,0)-MATCH($L$1,[3]enemies!$1:$1,0)+1,FALSE)</f>
        <v>蒼薙のトモエ</v>
      </c>
      <c r="N260" s="22" t="str">
        <f ca="1">VLOOKUP($L260,OFFSET([3]enemies!$A$1,0,0,COUNTA([3]enemies!$A:$A),MATCH(N$1,[3]enemies!$1:$1,0)-MATCH($L$1,[3]enemies!$1:$1,0)+1),MATCH(N$1,[3]enemies!$1:$1,0)-MATCH($L$1,[3]enemies!$1:$1,0)+1,FALSE)</f>
        <v>blue</v>
      </c>
      <c r="O260" s="22" t="str">
        <f ca="1">VLOOKUP($L260,OFFSET([4]characters!$A$1,0,0,COUNTA([4]characters!$A:$A),MATCH(O$1,[4]characters!$1:$1,0)-MATCH($L$1,[4]characters!$1:$1,0)+1),MATCH(O$1,[4]characters!$1:$1,0)-MATCH($L$1,[4]characters!$1:$1,0)+1,FALSE)</f>
        <v>PremiumW</v>
      </c>
      <c r="P260" s="22" t="str">
        <f ca="1">VLOOKUP($L260,OFFSET([3]enemies!$A$1,0,0,COUNTA([3]enemies!$A:$A),MATCH(P$1,[3]enemies!$1:$1,0)-MATCH($L$1,[3]enemies!$1:$1,0)+1),MATCH(P$1,[3]enemies!$1:$1,0)-MATCH($L$1,[3]enemies!$1:$1,0)+1,FALSE)</f>
        <v>human</v>
      </c>
      <c r="Q260" s="22">
        <f ca="1">VLOOKUP($L260,OFFSET([3]enemies!$A$1,0,0,COUNTA([3]enemies!$A:$A),MATCH(Q$1,[3]enemies!$1:$1,0)-MATCH($L$1,[3]enemies!$1:$1,0)+1),MATCH(Q$1,[3]enemies!$1:$1,0)-MATCH($L$1,[3]enemies!$1:$1,0)+1,FALSE)</f>
        <v>20</v>
      </c>
      <c r="R260" s="79">
        <v>30</v>
      </c>
      <c r="S260" s="80">
        <v>1</v>
      </c>
      <c r="T260" s="80">
        <v>1</v>
      </c>
      <c r="U260" s="79">
        <v>0</v>
      </c>
      <c r="V260" s="22" t="str">
        <f ca="1">VLOOKUP($W260,OFFSET([5]enemy_skill_sets!$B$1,0,0,COUNTA([5]enemy_skill_sets!$B:$B),MATCH(M$1,[5]enemy_skill_sets!$1:$1,0)-MATCH($W$1,[5]enemy_skill_sets!$1:$1,0)+2),MATCH(M$1,[5]enemy_skill_sets!$1:$1,0)-MATCH($W$1,[5]enemy_skill_sets!$1:$1,0)+2,FALSE)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0" s="22">
        <f ca="1">VLOOKUP($L260,OFFSET([3]enemies!$A$1,0,0,COUNTA([3]enemies!$A:$A),MATCH(W$1,[3]enemies!$1:$1,0)-MATCH($L$1,[3]enemies!$1:$1,0)+1),MATCH(W$1,[3]enemies!$1:$1,0)-MATCH($L$1,[3]enemies!$1:$1,0)+1,FALSE)</f>
        <v>0</v>
      </c>
      <c r="X260" s="81">
        <v>0</v>
      </c>
      <c r="Y260" s="81">
        <v>100</v>
      </c>
      <c r="Z260" s="81">
        <v>0</v>
      </c>
      <c r="AA260" s="22">
        <f ca="1">VLOOKUP($L260,OFFSET([3]enemies!$A$1,0,0,COUNTA([3]enemies!$A:$A),MATCH(AA$1,[3]enemies!$1:$1,0)-MATCH($L$1,[3]enemies!$1:$1,0)+1),MATCH(AA$1,[3]enemies!$1:$1,0)-MATCH($L$1,[3]enemies!$1:$1,0)+1,FALSE)</f>
        <v>2</v>
      </c>
      <c r="AB260" s="70">
        <v>138</v>
      </c>
      <c r="AC260" s="22" t="str">
        <f ca="1">IFERROR(VLOOKUP($AB260,OFFSET([4]characters!$A$1,0,0,COUNTA([4]characters!$A:$A),MATCH(AC$1,[4]characters!$1:$1,0)-MATCH("character_id",[4]characters!$1:$1,0)+1),MATCH(AC$1,[4]characters!$1:$1,0)-MATCH("character_id",[4]characters!$1:$1,0)+1,FALSE),"")</f>
        <v>蒼薙のトモエ</v>
      </c>
      <c r="AD260" s="22">
        <f ca="1">IFERROR(VLOOKUP($AB260,OFFSET([4]characters!$A$1,0,0,COUNTA([4]characters!$A:$A),MATCH(AD$1,[4]characters!$1:$1,0)-MATCH("character_id",[4]characters!$1:$1,0)+1),MATCH(AD$1,[4]characters!$1:$1,0)-MATCH("character_id",[4]characters!$1:$1,0)+1,FALSE),"")</f>
        <v>3</v>
      </c>
      <c r="AE260" s="22" t="str">
        <f ca="1">IFERROR(VLOOKUP($AB260,OFFSET([4]characters!$A$1,0,0,COUNTA([4]characters!$A:$A),MATCH(AE$1,[4]characters!$1:$1,0)-MATCH("character_id",[4]characters!$1:$1,0)+1),MATCH(AE$1,[4]characters!$1:$1,0)-MATCH("character_id",[4]characters!$1:$1,0)+1,FALSE),"")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60" s="28">
        <v>1</v>
      </c>
      <c r="AG260" s="75">
        <f t="shared" ca="1" si="64"/>
        <v>3</v>
      </c>
      <c r="AH260" s="81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1</v>
      </c>
      <c r="AN260" s="28">
        <v>1</v>
      </c>
    </row>
    <row r="261" spans="1:40" ht="21" customHeight="1" x14ac:dyDescent="0.15">
      <c r="A261" s="78" t="str">
        <f ca="1">B261&amp;"_"&amp;C261&amp;"-"&amp;G261&amp;"/"&amp;L261&amp;"&lt;lv"&amp;R261&amp;"&gt;s"&amp;AA261</f>
        <v>11103_4-5/146&lt;lv30&gt;s3</v>
      </c>
      <c r="B261" s="82">
        <v>11103</v>
      </c>
      <c r="C261" s="83">
        <v>4</v>
      </c>
      <c r="D261" s="16" t="str">
        <f t="shared" si="60"/>
        <v>11103_4</v>
      </c>
      <c r="E261" s="22" t="str">
        <f ca="1">VLOOKUP($B261,OFFSET([2]quests!$A$1,0,0,COUNTA([2]quests!$A:$A),MATCH(E$1,[2]quests!$1:$1,0)-MATCH($B$1,[2]quests!$1:$1,0)+1),MATCH(E$1,[2]quests!$1:$1,0)-MATCH($B$1,[2]quests!$1:$1,0)+1,FALSE)</f>
        <v>【期間限定】 青の素材</v>
      </c>
      <c r="F261" s="22" t="str">
        <f ca="1">VLOOKUP($D261,OFFSET([2]stages!$A$1,0,0,COUNTA([2]stages!$A:$A),MATCH(F$1,[2]stages!$2:$2,0)-MATCH($D$1,[2]stages!$2:$2,0)+1),MATCH(F$1,[2]stages!$2:$2,0)-MATCH($D$1,[2]stages!$2:$2,0)+1,FALSE)</f>
        <v xml:space="preserve">【上級】水のイモムシ </v>
      </c>
      <c r="G261" s="68">
        <v>5</v>
      </c>
      <c r="H261" s="16" t="str">
        <f t="shared" si="61"/>
        <v>11103_4-5</v>
      </c>
      <c r="I261" s="22" t="e">
        <v>#N/A</v>
      </c>
      <c r="J261" s="22" t="e">
        <v>#N/A</v>
      </c>
      <c r="K261" s="70" t="s">
        <v>217</v>
      </c>
      <c r="L261" s="70">
        <v>146</v>
      </c>
      <c r="M261" s="22" t="str">
        <f ca="1">VLOOKUP($L261,OFFSET([3]enemies!$A$1,0,0,COUNTA([3]enemies!$A:$A),MATCH(M$1,[3]enemies!$1:$1,0)-MATCH($L$1,[3]enemies!$1:$1,0)+1),MATCH(M$1,[3]enemies!$1:$1,0)-MATCH($L$1,[3]enemies!$1:$1,0)+1,FALSE)</f>
        <v>マーメイド</v>
      </c>
      <c r="N261" s="22" t="str">
        <f ca="1">VLOOKUP($L261,OFFSET([3]enemies!$A$1,0,0,COUNTA([3]enemies!$A:$A),MATCH(N$1,[3]enemies!$1:$1,0)-MATCH($L$1,[3]enemies!$1:$1,0)+1),MATCH(N$1,[3]enemies!$1:$1,0)-MATCH($L$1,[3]enemies!$1:$1,0)+1,FALSE)</f>
        <v>blue</v>
      </c>
      <c r="O261" s="22" t="str">
        <f ca="1">VLOOKUP($L261,OFFSET([4]characters!$A$1,0,0,COUNTA([4]characters!$A:$A),MATCH(O$1,[4]characters!$1:$1,0)-MATCH($L$1,[4]characters!$1:$1,0)+1),MATCH(O$1,[4]characters!$1:$1,0)-MATCH($L$1,[4]characters!$1:$1,0)+1,FALSE)</f>
        <v>PremiumW</v>
      </c>
      <c r="P261" s="22" t="str">
        <f ca="1">VLOOKUP($L261,OFFSET([3]enemies!$A$1,0,0,COUNTA([3]enemies!$A:$A),MATCH(P$1,[3]enemies!$1:$1,0)-MATCH($L$1,[3]enemies!$1:$1,0)+1),MATCH(P$1,[3]enemies!$1:$1,0)-MATCH($L$1,[3]enemies!$1:$1,0)+1,FALSE)</f>
        <v>human</v>
      </c>
      <c r="Q261" s="22">
        <f ca="1">VLOOKUP($L261,OFFSET([3]enemies!$A$1,0,0,COUNTA([3]enemies!$A:$A),MATCH(Q$1,[3]enemies!$1:$1,0)-MATCH($L$1,[3]enemies!$1:$1,0)+1),MATCH(Q$1,[3]enemies!$1:$1,0)-MATCH($L$1,[3]enemies!$1:$1,0)+1,FALSE)</f>
        <v>20</v>
      </c>
      <c r="R261" s="79">
        <v>30</v>
      </c>
      <c r="S261" s="80">
        <v>1</v>
      </c>
      <c r="T261" s="80">
        <v>1</v>
      </c>
      <c r="U261" s="79">
        <v>0</v>
      </c>
      <c r="V261" s="22" t="str">
        <f ca="1">VLOOKUP($W261,OFFSET([5]enemy_skill_sets!$B$1,0,0,COUNTA([5]enemy_skill_sets!$B:$B),MATCH(M$1,[5]enemy_skill_sets!$1:$1,0)-MATCH($W$1,[5]enemy_skill_sets!$1:$1,0)+2),MATCH(M$1,[5]enemy_skill_sets!$1:$1,0)-MATCH($W$1,[5]enemy_skill_sets!$1:$1,0)+2,FALSE)</f>
        <v>ハートパネルで回復できない</v>
      </c>
      <c r="W261" s="22">
        <f ca="1">VLOOKUP($L261,OFFSET([3]enemies!$A$1,0,0,COUNTA([3]enemies!$A:$A),MATCH(W$1,[3]enemies!$1:$1,0)-MATCH($L$1,[3]enemies!$1:$1,0)+1),MATCH(W$1,[3]enemies!$1:$1,0)-MATCH($L$1,[3]enemies!$1:$1,0)+1,FALSE)</f>
        <v>146</v>
      </c>
      <c r="X261" s="81">
        <v>0</v>
      </c>
      <c r="Y261" s="81">
        <v>100</v>
      </c>
      <c r="Z261" s="81">
        <v>0</v>
      </c>
      <c r="AA261" s="22">
        <f ca="1">VLOOKUP($L261,OFFSET([3]enemies!$A$1,0,0,COUNTA([3]enemies!$A:$A),MATCH(AA$1,[3]enemies!$1:$1,0)-MATCH($L$1,[3]enemies!$1:$1,0)+1),MATCH(AA$1,[3]enemies!$1:$1,0)-MATCH($L$1,[3]enemies!$1:$1,0)+1,FALSE)</f>
        <v>3</v>
      </c>
      <c r="AB261" s="70">
        <v>146</v>
      </c>
      <c r="AC261" s="22" t="str">
        <f ca="1">IFERROR(VLOOKUP($AB261,OFFSET([4]characters!$A$1,0,0,COUNTA([4]characters!$A:$A),MATCH(AC$1,[4]characters!$1:$1,0)-MATCH("character_id",[4]characters!$1:$1,0)+1),MATCH(AC$1,[4]characters!$1:$1,0)-MATCH("character_id",[4]characters!$1:$1,0)+1,FALSE),"")</f>
        <v>マーメイド</v>
      </c>
      <c r="AD261" s="22">
        <f ca="1">IFERROR(VLOOKUP($AB261,OFFSET([4]characters!$A$1,0,0,COUNTA([4]characters!$A:$A),MATCH(AD$1,[4]characters!$1:$1,0)-MATCH("character_id",[4]characters!$1:$1,0)+1),MATCH(AD$1,[4]characters!$1:$1,0)-MATCH("character_id",[4]characters!$1:$1,0)+1,FALSE),"")</f>
        <v>3</v>
      </c>
      <c r="AE261" s="22" t="str">
        <f ca="1">IFERROR(VLOOKUP($AB261,OFFSET([4]characters!$A$1,0,0,COUNTA([4]characters!$A:$A),MATCH(AE$1,[4]characters!$1:$1,0)-MATCH("character_id",[4]characters!$1:$1,0)+1),MATCH(AE$1,[4]characters!$1:$1,0)-MATCH("character_id",[4]characters!$1:$1,0)+1,FALSE),"")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61" s="28">
        <v>1</v>
      </c>
      <c r="AG261" s="75">
        <f t="shared" ca="1" si="64"/>
        <v>3</v>
      </c>
      <c r="AH261" s="81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1</v>
      </c>
      <c r="AN261" s="28">
        <v>1</v>
      </c>
    </row>
    <row r="262" spans="1:40" ht="21" customHeight="1" x14ac:dyDescent="0.15">
      <c r="A262" s="78" t="str">
        <f ca="1">B262&amp;"_"&amp;C262&amp;"-"&amp;G262&amp;"/"&amp;L262&amp;"&lt;lv"&amp;R262&amp;"&gt;s"&amp;AA262</f>
        <v>11103_4-5/154&lt;lv30&gt;s3</v>
      </c>
      <c r="B262" s="82">
        <v>11103</v>
      </c>
      <c r="C262" s="83">
        <v>4</v>
      </c>
      <c r="D262" s="16" t="str">
        <f t="shared" si="60"/>
        <v>11103_4</v>
      </c>
      <c r="E262" s="22" t="str">
        <f ca="1">VLOOKUP($B262,OFFSET([2]quests!$A$1,0,0,COUNTA([2]quests!$A:$A),MATCH(E$1,[2]quests!$1:$1,0)-MATCH($B$1,[2]quests!$1:$1,0)+1),MATCH(E$1,[2]quests!$1:$1,0)-MATCH($B$1,[2]quests!$1:$1,0)+1,FALSE)</f>
        <v>【期間限定】 青の素材</v>
      </c>
      <c r="F262" s="22" t="str">
        <f ca="1">VLOOKUP($D262,OFFSET([2]stages!$A$1,0,0,COUNTA([2]stages!$A:$A),MATCH(F$1,[2]stages!$2:$2,0)-MATCH($D$1,[2]stages!$2:$2,0)+1),MATCH(F$1,[2]stages!$2:$2,0)-MATCH($D$1,[2]stages!$2:$2,0)+1,FALSE)</f>
        <v xml:space="preserve">【上級】水のイモムシ </v>
      </c>
      <c r="G262" s="68">
        <v>5</v>
      </c>
      <c r="H262" s="16" t="str">
        <f t="shared" si="61"/>
        <v>11103_4-5</v>
      </c>
      <c r="I262" s="22" t="e">
        <v>#N/A</v>
      </c>
      <c r="J262" s="22" t="e">
        <v>#N/A</v>
      </c>
      <c r="K262" s="70" t="s">
        <v>217</v>
      </c>
      <c r="L262" s="70">
        <v>154</v>
      </c>
      <c r="M262" s="22" t="str">
        <f ca="1">VLOOKUP($L262,OFFSET([3]enemies!$A$1,0,0,COUNTA([3]enemies!$A:$A),MATCH(M$1,[3]enemies!$1:$1,0)-MATCH($L$1,[3]enemies!$1:$1,0)+1),MATCH(M$1,[3]enemies!$1:$1,0)-MATCH($L$1,[3]enemies!$1:$1,0)+1,FALSE)</f>
        <v>始末屋 ハンナ</v>
      </c>
      <c r="N262" s="22" t="str">
        <f ca="1">VLOOKUP($L262,OFFSET([3]enemies!$A$1,0,0,COUNTA([3]enemies!$A:$A),MATCH(N$1,[3]enemies!$1:$1,0)-MATCH($L$1,[3]enemies!$1:$1,0)+1),MATCH(N$1,[3]enemies!$1:$1,0)-MATCH($L$1,[3]enemies!$1:$1,0)+1,FALSE)</f>
        <v>blue</v>
      </c>
      <c r="O262" s="22" t="str">
        <f ca="1">VLOOKUP($L262,OFFSET([4]characters!$A$1,0,0,COUNTA([4]characters!$A:$A),MATCH(O$1,[4]characters!$1:$1,0)-MATCH($L$1,[4]characters!$1:$1,0)+1),MATCH(O$1,[4]characters!$1:$1,0)-MATCH($L$1,[4]characters!$1:$1,0)+1,FALSE)</f>
        <v>PremiumW</v>
      </c>
      <c r="P262" s="22" t="str">
        <f ca="1">VLOOKUP($L262,OFFSET([3]enemies!$A$1,0,0,COUNTA([3]enemies!$A:$A),MATCH(P$1,[3]enemies!$1:$1,0)-MATCH($L$1,[3]enemies!$1:$1,0)+1),MATCH(P$1,[3]enemies!$1:$1,0)-MATCH($L$1,[3]enemies!$1:$1,0)+1,FALSE)</f>
        <v>human</v>
      </c>
      <c r="Q262" s="22">
        <f ca="1">VLOOKUP($L262,OFFSET([3]enemies!$A$1,0,0,COUNTA([3]enemies!$A:$A),MATCH(Q$1,[3]enemies!$1:$1,0)-MATCH($L$1,[3]enemies!$1:$1,0)+1),MATCH(Q$1,[3]enemies!$1:$1,0)-MATCH($L$1,[3]enemies!$1:$1,0)+1,FALSE)</f>
        <v>20</v>
      </c>
      <c r="R262" s="79">
        <v>30</v>
      </c>
      <c r="S262" s="80">
        <v>1</v>
      </c>
      <c r="T262" s="80">
        <v>1</v>
      </c>
      <c r="U262" s="79">
        <v>0</v>
      </c>
      <c r="V262" s="22" t="str">
        <f ca="1">VLOOKUP($W262,OFFSET([5]enemy_skill_sets!$B$1,0,0,COUNTA([5]enemy_skill_sets!$B:$B),MATCH(M$1,[5]enemy_skill_sets!$1:$1,0)-MATCH($W$1,[5]enemy_skill_sets!$1:$1,0)+2),MATCH(M$1,[5]enemy_skill_sets!$1:$1,0)-MATCH($W$1,[5]enemy_skill_sets!$1:$1,0)+2,FALSE)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62" s="22">
        <f ca="1">VLOOKUP($L262,OFFSET([3]enemies!$A$1,0,0,COUNTA([3]enemies!$A:$A),MATCH(W$1,[3]enemies!$1:$1,0)-MATCH($L$1,[3]enemies!$1:$1,0)+1),MATCH(W$1,[3]enemies!$1:$1,0)-MATCH($L$1,[3]enemies!$1:$1,0)+1,FALSE)</f>
        <v>154</v>
      </c>
      <c r="X262" s="81">
        <v>0</v>
      </c>
      <c r="Y262" s="81">
        <v>100</v>
      </c>
      <c r="Z262" s="81">
        <v>0</v>
      </c>
      <c r="AA262" s="22">
        <f ca="1">VLOOKUP($L262,OFFSET([3]enemies!$A$1,0,0,COUNTA([3]enemies!$A:$A),MATCH(AA$1,[3]enemies!$1:$1,0)-MATCH($L$1,[3]enemies!$1:$1,0)+1),MATCH(AA$1,[3]enemies!$1:$1,0)-MATCH($L$1,[3]enemies!$1:$1,0)+1,FALSE)</f>
        <v>3</v>
      </c>
      <c r="AB262" s="70">
        <v>154</v>
      </c>
      <c r="AC262" s="22" t="str">
        <f ca="1">IFERROR(VLOOKUP($AB262,OFFSET([4]characters!$A$1,0,0,COUNTA([4]characters!$A:$A),MATCH(AC$1,[4]characters!$1:$1,0)-MATCH("character_id",[4]characters!$1:$1,0)+1),MATCH(AC$1,[4]characters!$1:$1,0)-MATCH("character_id",[4]characters!$1:$1,0)+1,FALSE),"")</f>
        <v>始末屋 ハンナ</v>
      </c>
      <c r="AD262" s="22">
        <f ca="1">IFERROR(VLOOKUP($AB262,OFFSET([4]characters!$A$1,0,0,COUNTA([4]characters!$A:$A),MATCH(AD$1,[4]characters!$1:$1,0)-MATCH("character_id",[4]characters!$1:$1,0)+1),MATCH(AD$1,[4]characters!$1:$1,0)-MATCH("character_id",[4]characters!$1:$1,0)+1,FALSE),"")</f>
        <v>3</v>
      </c>
      <c r="AE262" s="22" t="str">
        <f ca="1">IFERROR(VLOOKUP($AB262,OFFSET([4]characters!$A$1,0,0,COUNTA([4]characters!$A:$A),MATCH(AE$1,[4]characters!$1:$1,0)-MATCH("character_id",[4]characters!$1:$1,0)+1),MATCH(AE$1,[4]characters!$1:$1,0)-MATCH("character_id",[4]characters!$1:$1,0)+1,FALSE),"")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62" s="28">
        <v>1</v>
      </c>
      <c r="AG262" s="75">
        <f t="shared" ca="1" si="64"/>
        <v>3</v>
      </c>
      <c r="AH262" s="81">
        <v>0</v>
      </c>
      <c r="AI262" s="28">
        <v>0</v>
      </c>
      <c r="AJ262" s="28">
        <v>0</v>
      </c>
      <c r="AK262" s="28">
        <v>0</v>
      </c>
      <c r="AL262" s="28">
        <v>0</v>
      </c>
      <c r="AM262" s="28">
        <v>1</v>
      </c>
      <c r="AN262" s="28">
        <v>1</v>
      </c>
    </row>
    <row r="263" spans="1:40" ht="21" customHeight="1" x14ac:dyDescent="0.15">
      <c r="A263" s="78" t="str">
        <f ca="1">B263&amp;"_"&amp;C263&amp;"-"&amp;G263&amp;"/"&amp;L263&amp;"&lt;lv"&amp;R263&amp;"&gt;s"&amp;AA263</f>
        <v>11103_4-5/837&lt;lv30&gt;s3</v>
      </c>
      <c r="B263" s="82">
        <v>11103</v>
      </c>
      <c r="C263" s="83">
        <v>4</v>
      </c>
      <c r="D263" s="16" t="str">
        <f t="shared" si="60"/>
        <v>11103_4</v>
      </c>
      <c r="E263" s="22" t="str">
        <f ca="1">VLOOKUP($B263,OFFSET([2]quests!$A$1,0,0,COUNTA([2]quests!$A:$A),MATCH(E$1,[2]quests!$1:$1,0)-MATCH($B$1,[2]quests!$1:$1,0)+1),MATCH(E$1,[2]quests!$1:$1,0)-MATCH($B$1,[2]quests!$1:$1,0)+1,FALSE)</f>
        <v>【期間限定】 青の素材</v>
      </c>
      <c r="F263" s="22" t="str">
        <f ca="1">VLOOKUP($D263,OFFSET([2]stages!$A$1,0,0,COUNTA([2]stages!$A:$A),MATCH(F$1,[2]stages!$2:$2,0)-MATCH($D$1,[2]stages!$2:$2,0)+1),MATCH(F$1,[2]stages!$2:$2,0)-MATCH($D$1,[2]stages!$2:$2,0)+1,FALSE)</f>
        <v xml:space="preserve">【上級】水のイモムシ </v>
      </c>
      <c r="G263" s="68">
        <v>5</v>
      </c>
      <c r="H263" s="16" t="str">
        <f t="shared" si="61"/>
        <v>11103_4-5</v>
      </c>
      <c r="I263" s="22" t="e">
        <v>#N/A</v>
      </c>
      <c r="J263" s="22" t="e">
        <v>#N/A</v>
      </c>
      <c r="K263" s="70" t="s">
        <v>217</v>
      </c>
      <c r="L263" s="70">
        <v>837</v>
      </c>
      <c r="M263" s="22" t="str">
        <f ca="1">VLOOKUP($L263,OFFSET([3]enemies!$A$1,0,0,COUNTA([3]enemies!$A:$A),MATCH(M$1,[3]enemies!$1:$1,0)-MATCH($L$1,[3]enemies!$1:$1,0)+1),MATCH(M$1,[3]enemies!$1:$1,0)-MATCH($L$1,[3]enemies!$1:$1,0)+1,FALSE)</f>
        <v>リトルハンプティ</v>
      </c>
      <c r="N263" s="22" t="str">
        <f ca="1">VLOOKUP($L263,OFFSET([3]enemies!$A$1,0,0,COUNTA([3]enemies!$A:$A),MATCH(N$1,[3]enemies!$1:$1,0)-MATCH($L$1,[3]enemies!$1:$1,0)+1),MATCH(N$1,[3]enemies!$1:$1,0)-MATCH($L$1,[3]enemies!$1:$1,0)+1,FALSE)</f>
        <v>yellow</v>
      </c>
      <c r="O263" s="22" t="str">
        <f ca="1">VLOOKUP($L263,OFFSET([4]characters!$A$1,0,0,COUNTA([4]characters!$A:$A),MATCH(O$1,[4]characters!$1:$1,0)-MATCH($L$1,[4]characters!$1:$1,0)+1),MATCH(O$1,[4]characters!$1:$1,0)-MATCH($L$1,[4]characters!$1:$1,0)+1,FALSE)</f>
        <v>Material</v>
      </c>
      <c r="P263" s="22" t="str">
        <f ca="1">VLOOKUP($L263,OFFSET([3]enemies!$A$1,0,0,COUNTA([3]enemies!$A:$A),MATCH(P$1,[3]enemies!$1:$1,0)-MATCH($L$1,[3]enemies!$1:$1,0)+1),MATCH(P$1,[3]enemies!$1:$1,0)-MATCH($L$1,[3]enemies!$1:$1,0)+1,FALSE)</f>
        <v>unknown</v>
      </c>
      <c r="Q263" s="22">
        <f ca="1">VLOOKUP($L263,OFFSET([3]enemies!$A$1,0,0,COUNTA([3]enemies!$A:$A),MATCH(Q$1,[3]enemies!$1:$1,0)-MATCH($L$1,[3]enemies!$1:$1,0)+1),MATCH(Q$1,[3]enemies!$1:$1,0)-MATCH($L$1,[3]enemies!$1:$1,0)+1,FALSE)</f>
        <v>60</v>
      </c>
      <c r="R263" s="6">
        <v>30</v>
      </c>
      <c r="S263" s="30">
        <v>10</v>
      </c>
      <c r="T263" s="30">
        <v>30</v>
      </c>
      <c r="U263" s="6">
        <v>0</v>
      </c>
      <c r="V263" s="22" t="str">
        <f ca="1">VLOOKUP($W263,OFFSET([5]enemy_skill_sets!$B$1,0,0,COUNTA([5]enemy_skill_sets!$B:$B),MATCH(M$1,[5]enemy_skill_sets!$1:$1,0)-MATCH($W$1,[5]enemy_skill_sets!$1:$1,0)+2),MATCH(M$1,[5]enemy_skill_sets!$1:$1,0)-MATCH($W$1,[5]enemy_skill_sets!$1:$1,0)+2,FALSE)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3" s="22">
        <f ca="1">VLOOKUP($L263,OFFSET([3]enemies!$A$1,0,0,COUNTA([3]enemies!$A:$A),MATCH(W$1,[3]enemies!$1:$1,0)-MATCH($L$1,[3]enemies!$1:$1,0)+1),MATCH(W$1,[3]enemies!$1:$1,0)-MATCH($L$1,[3]enemies!$1:$1,0)+1,FALSE)</f>
        <v>0</v>
      </c>
      <c r="X263" s="81">
        <v>0</v>
      </c>
      <c r="Y263" s="81">
        <v>10</v>
      </c>
      <c r="Z263" s="81">
        <v>1</v>
      </c>
      <c r="AA263" s="22">
        <f ca="1">VLOOKUP($L263,OFFSET([3]enemies!$A$1,0,0,COUNTA([3]enemies!$A:$A),MATCH(AA$1,[3]enemies!$1:$1,0)-MATCH($L$1,[3]enemies!$1:$1,0)+1),MATCH(AA$1,[3]enemies!$1:$1,0)-MATCH($L$1,[3]enemies!$1:$1,0)+1,FALSE)</f>
        <v>3</v>
      </c>
      <c r="AB263" s="70">
        <v>837</v>
      </c>
      <c r="AC263" s="22" t="str">
        <f ca="1">IFERROR(VLOOKUP($AB263,OFFSET([4]characters!$A$1,0,0,COUNTA([4]characters!$A:$A),MATCH(AC$1,[4]characters!$1:$1,0)-MATCH("character_id",[4]characters!$1:$1,0)+1),MATCH(AC$1,[4]characters!$1:$1,0)-MATCH("character_id",[4]characters!$1:$1,0)+1,FALSE),"")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263" s="22">
        <f ca="1">IFERROR(VLOOKUP($AB263,OFFSET([4]characters!$A$1,0,0,COUNTA([4]characters!$A:$A),MATCH(AD$1,[4]characters!$1:$1,0)-MATCH("character_id",[4]characters!$1:$1,0)+1),MATCH(AD$1,[4]characters!$1:$1,0)-MATCH("character_id",[4]characters!$1:$1,0)+1,FALSE),"")</f>
        <v>6</v>
      </c>
      <c r="AE263" s="22" t="str">
        <f ca="1">IFERROR(VLOOKUP($AB263,OFFSET([4]characters!$A$1,0,0,COUNTA([4]characters!$A:$A),MATCH(AE$1,[4]characters!$1:$1,0)-MATCH("character_id",[4]characters!$1:$1,0)+1),MATCH(AE$1,[4]characters!$1:$1,0)-MATCH("character_id",[4]characters!$1:$1,0)+1,FALSE),"")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3" s="28">
        <v>1</v>
      </c>
      <c r="AG263" s="75">
        <f t="shared" ca="1" si="64"/>
        <v>6</v>
      </c>
      <c r="AH263" s="81">
        <v>33</v>
      </c>
      <c r="AI263" s="28">
        <v>0</v>
      </c>
      <c r="AJ263" s="28">
        <v>0</v>
      </c>
      <c r="AK263" s="28">
        <v>0</v>
      </c>
      <c r="AL263" s="28">
        <v>0</v>
      </c>
      <c r="AM263" s="28">
        <v>1</v>
      </c>
      <c r="AN263" s="28">
        <v>1</v>
      </c>
    </row>
    <row r="264" spans="1:40" ht="21" customHeight="1" x14ac:dyDescent="0.15">
      <c r="A264" s="17" t="str">
        <f t="shared" ref="A264:A282" ca="1" si="65">B264&amp;"_"&amp;C264&amp;"-"&amp;G264&amp;"/"&amp;L264&amp;"&lt;lv"&amp;R264&amp;"&gt;s"&amp;AA264</f>
        <v>11104_4-1/107&lt;lv30&gt;s1</v>
      </c>
      <c r="B264" s="84">
        <v>11104</v>
      </c>
      <c r="C264" s="85">
        <v>4</v>
      </c>
      <c r="D264" s="16" t="str">
        <f t="shared" si="60"/>
        <v>11104_4</v>
      </c>
      <c r="E264" s="5" t="str">
        <f ca="1">VLOOKUP($B264,OFFSET([2]quests!$A$1,0,0,COUNTA([2]quests!$A:$A),MATCH(E$1,[2]quests!$1:$1,0)-MATCH($B$1,[2]quests!$1:$1,0)+1),MATCH(E$1,[2]quests!$1:$1,0)-MATCH($B$1,[2]quests!$1:$1,0)+1,FALSE)</f>
        <v>【期間限定】 緑の素材</v>
      </c>
      <c r="F264" s="5" t="str">
        <f ca="1">VLOOKUP($D264,OFFSET([2]stages!$A$1,0,0,COUNTA([2]stages!$A:$A),MATCH(F$1,[2]stages!$2:$2,0)-MATCH($D$1,[2]stages!$2:$2,0)+1),MATCH(F$1,[2]stages!$2:$2,0)-MATCH($D$1,[2]stages!$2:$2,0)+1,FALSE)</f>
        <v>【上級】樹のイモムシ</v>
      </c>
      <c r="G264" s="68">
        <v>1</v>
      </c>
      <c r="H264" s="16" t="str">
        <f t="shared" si="61"/>
        <v>11104_4-1</v>
      </c>
      <c r="I264" s="5" t="e">
        <v>#N/A</v>
      </c>
      <c r="J264" s="5" t="e">
        <v>#N/A</v>
      </c>
      <c r="K264" s="70" t="s">
        <v>217</v>
      </c>
      <c r="L264" s="70">
        <v>107</v>
      </c>
      <c r="M264" s="20" t="str">
        <f ca="1">VLOOKUP($L264,OFFSET([3]enemies!$A$1,0,0,COUNTA([3]enemies!$A:$A),MATCH(M$1,[3]enemies!$1:$1,0)-MATCH($L$1,[3]enemies!$1:$1,0)+1),MATCH(M$1,[3]enemies!$1:$1,0)-MATCH($L$1,[3]enemies!$1:$1,0)+1,FALSE)</f>
        <v>グリーンキャタップ</v>
      </c>
      <c r="N264" s="20" t="str">
        <f ca="1">VLOOKUP($L264,OFFSET([3]enemies!$A$1,0,0,COUNTA([3]enemies!$A:$A),MATCH(N$1,[3]enemies!$1:$1,0)-MATCH($L$1,[3]enemies!$1:$1,0)+1),MATCH(N$1,[3]enemies!$1:$1,0)-MATCH($L$1,[3]enemies!$1:$1,0)+1,FALSE)</f>
        <v>green</v>
      </c>
      <c r="O264" s="22" t="str">
        <f ca="1">VLOOKUP($L264,OFFSET([4]characters!$A$1,0,0,COUNTA([4]characters!$A:$A),MATCH(O$1,[4]characters!$1:$1,0)-MATCH($L$1,[4]characters!$1:$1,0)+1),MATCH(O$1,[4]characters!$1:$1,0)-MATCH($L$1,[4]characters!$1:$1,0)+1,FALSE)</f>
        <v>Material</v>
      </c>
      <c r="P264" s="20" t="str">
        <f ca="1">VLOOKUP($L264,OFFSET([3]enemies!$A$1,0,0,COUNTA([3]enemies!$A:$A),MATCH(P$1,[3]enemies!$1:$1,0)-MATCH($L$1,[3]enemies!$1:$1,0)+1),MATCH(P$1,[3]enemies!$1:$1,0)-MATCH($L$1,[3]enemies!$1:$1,0)+1,FALSE)</f>
        <v>unknown</v>
      </c>
      <c r="Q264" s="20">
        <f ca="1">VLOOKUP($L264,OFFSET([3]enemies!$A$1,0,0,COUNTA([3]enemies!$A:$A),MATCH(Q$1,[3]enemies!$1:$1,0)-MATCH($L$1,[3]enemies!$1:$1,0)+1),MATCH(Q$1,[3]enemies!$1:$1,0)-MATCH($L$1,[3]enemies!$1:$1,0)+1,FALSE)</f>
        <v>15</v>
      </c>
      <c r="R264" s="6">
        <v>30</v>
      </c>
      <c r="S264" s="30">
        <v>2</v>
      </c>
      <c r="T264" s="30">
        <v>1</v>
      </c>
      <c r="U264" s="6">
        <v>0</v>
      </c>
      <c r="V264" s="5" t="str">
        <f ca="1">VLOOKUP($W264,OFFSET([5]enemy_skill_sets!$B$1,0,0,COUNTA([5]enemy_skill_sets!$B:$B),MATCH(M$1,[5]enemy_skill_sets!$1:$1,0)-MATCH($W$1,[5]enemy_skill_sets!$1:$1,0)+2),MATCH(M$1,[5]enemy_skill_sets!$1:$1,0)-MATCH($W$1,[5]enemy_skill_sets!$1:$1,0)+2,FALSE)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4" s="5">
        <f ca="1">VLOOKUP($L264,OFFSET([3]enemies!$A$1,0,0,COUNTA([3]enemies!$A:$A),MATCH(W$1,[3]enemies!$1:$1,0)-MATCH($L$1,[3]enemies!$1:$1,0)+1),MATCH(W$1,[3]enemies!$1:$1,0)-MATCH($L$1,[3]enemies!$1:$1,0)+1,FALSE)</f>
        <v>0</v>
      </c>
      <c r="X264" s="7">
        <v>1</v>
      </c>
      <c r="Y264" s="7">
        <v>100</v>
      </c>
      <c r="Z264" s="7">
        <v>1</v>
      </c>
      <c r="AA264" s="20">
        <f ca="1">VLOOKUP($L264,OFFSET([3]enemies!$A$1,0,0,COUNTA([3]enemies!$A:$A),MATCH(AA$1,[3]enemies!$1:$1,0)-MATCH($L$1,[3]enemies!$1:$1,0)+1),MATCH(AA$1,[3]enemies!$1:$1,0)-MATCH($L$1,[3]enemies!$1:$1,0)+1,FALSE)</f>
        <v>1</v>
      </c>
      <c r="AB264" s="70">
        <v>107</v>
      </c>
      <c r="AC264" s="5" t="str">
        <f ca="1">IFERROR(VLOOKUP($AB264,OFFSET([4]characters!$A$1,0,0,COUNTA([4]characters!$A:$A),MATCH(AC$1,[4]characters!$1:$1,0)-MATCH("character_id",[4]characters!$1:$1,0)+1),MATCH(AC$1,[4]characters!$1:$1,0)-MATCH("character_id",[4]characters!$1:$1,0)+1,FALSE),"")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264" s="5">
        <f ca="1">IFERROR(VLOOKUP($AB264,OFFSET([4]characters!$A$1,0,0,COUNTA([4]characters!$A:$A),MATCH(AD$1,[4]characters!$1:$1,0)-MATCH("character_id",[4]characters!$1:$1,0)+1),MATCH(AD$1,[4]characters!$1:$1,0)-MATCH("character_id",[4]characters!$1:$1,0)+1,FALSE),"")</f>
        <v>4</v>
      </c>
      <c r="AE264" s="5" t="str">
        <f ca="1">IFERROR(VLOOKUP($AB264,OFFSET([4]characters!$A$1,0,0,COUNTA([4]characters!$A:$A),MATCH(AE$1,[4]characters!$1:$1,0)-MATCH("character_id",[4]characters!$1:$1,0)+1),MATCH(AE$1,[4]characters!$1:$1,0)-MATCH("character_id",[4]characters!$1:$1,0)+1,FALSE),"")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4" s="28">
        <v>1</v>
      </c>
      <c r="AG264" s="75">
        <f t="shared" ca="1" si="64"/>
        <v>4</v>
      </c>
      <c r="AH264" s="130">
        <v>50</v>
      </c>
      <c r="AI264" s="28">
        <v>0</v>
      </c>
      <c r="AJ264" s="28">
        <v>0</v>
      </c>
      <c r="AK264" s="28">
        <v>0</v>
      </c>
      <c r="AL264" s="28">
        <v>0</v>
      </c>
      <c r="AM264" s="28">
        <v>1</v>
      </c>
      <c r="AN264" s="28">
        <v>1</v>
      </c>
    </row>
    <row r="265" spans="1:40" ht="21" customHeight="1" x14ac:dyDescent="0.15">
      <c r="A265" s="17" t="str">
        <f t="shared" ca="1" si="65"/>
        <v>11104_4-1/35&lt;lv35&gt;s4</v>
      </c>
      <c r="B265" s="84">
        <v>11104</v>
      </c>
      <c r="C265" s="85">
        <v>4</v>
      </c>
      <c r="D265" s="16" t="str">
        <f t="shared" si="60"/>
        <v>11104_4</v>
      </c>
      <c r="E265" s="5" t="str">
        <f ca="1">VLOOKUP($B265,OFFSET([2]quests!$A$1,0,0,COUNTA([2]quests!$A:$A),MATCH(E$1,[2]quests!$1:$1,0)-MATCH($B$1,[2]quests!$1:$1,0)+1),MATCH(E$1,[2]quests!$1:$1,0)-MATCH($B$1,[2]quests!$1:$1,0)+1,FALSE)</f>
        <v>【期間限定】 緑の素材</v>
      </c>
      <c r="F265" s="5" t="str">
        <f ca="1">VLOOKUP($D265,OFFSET([2]stages!$A$1,0,0,COUNTA([2]stages!$A:$A),MATCH(F$1,[2]stages!$2:$2,0)-MATCH($D$1,[2]stages!$2:$2,0)+1),MATCH(F$1,[2]stages!$2:$2,0)-MATCH($D$1,[2]stages!$2:$2,0)+1,FALSE)</f>
        <v>【上級】樹のイモムシ</v>
      </c>
      <c r="G265" s="68">
        <v>1</v>
      </c>
      <c r="H265" s="16" t="str">
        <f t="shared" si="61"/>
        <v>11104_4-1</v>
      </c>
      <c r="I265" s="5" t="e">
        <v>#N/A</v>
      </c>
      <c r="J265" s="5" t="e">
        <v>#N/A</v>
      </c>
      <c r="K265" s="70" t="s">
        <v>217</v>
      </c>
      <c r="L265" s="70">
        <v>35</v>
      </c>
      <c r="M265" s="20" t="str">
        <f ca="1">VLOOKUP($L265,OFFSET([3]enemies!$A$1,0,0,COUNTA([3]enemies!$A:$A),MATCH(M$1,[3]enemies!$1:$1,0)-MATCH($L$1,[3]enemies!$1:$1,0)+1),MATCH(M$1,[3]enemies!$1:$1,0)-MATCH($L$1,[3]enemies!$1:$1,0)+1,FALSE)</f>
        <v>F2</v>
      </c>
      <c r="N265" s="20" t="str">
        <f ca="1">VLOOKUP($L265,OFFSET([3]enemies!$A$1,0,0,COUNTA([3]enemies!$A:$A),MATCH(N$1,[3]enemies!$1:$1,0)-MATCH($L$1,[3]enemies!$1:$1,0)+1),MATCH(N$1,[3]enemies!$1:$1,0)-MATCH($L$1,[3]enemies!$1:$1,0)+1,FALSE)</f>
        <v>green</v>
      </c>
      <c r="O265" s="22" t="str">
        <f ca="1">VLOOKUP($L265,OFFSET([4]characters!$A$1,0,0,COUNTA([4]characters!$A:$A),MATCH(O$1,[4]characters!$1:$1,0)-MATCH($L$1,[4]characters!$1:$1,0)+1),MATCH(O$1,[4]characters!$1:$1,0)-MATCH($L$1,[4]characters!$1:$1,0)+1,FALSE)</f>
        <v>Drop1S</v>
      </c>
      <c r="P265" s="20" t="str">
        <f ca="1">VLOOKUP($L265,OFFSET([3]enemies!$A$1,0,0,COUNTA([3]enemies!$A:$A),MATCH(P$1,[3]enemies!$1:$1,0)-MATCH($L$1,[3]enemies!$1:$1,0)+1),MATCH(P$1,[3]enemies!$1:$1,0)-MATCH($L$1,[3]enemies!$1:$1,0)+1,FALSE)</f>
        <v>machine</v>
      </c>
      <c r="Q265" s="20">
        <f ca="1">VLOOKUP($L265,OFFSET([3]enemies!$A$1,0,0,COUNTA([3]enemies!$A:$A),MATCH(Q$1,[3]enemies!$1:$1,0)-MATCH($L$1,[3]enemies!$1:$1,0)+1),MATCH(Q$1,[3]enemies!$1:$1,0)-MATCH($L$1,[3]enemies!$1:$1,0)+1,FALSE)</f>
        <v>15</v>
      </c>
      <c r="R265" s="6">
        <v>35</v>
      </c>
      <c r="S265" s="30">
        <v>1</v>
      </c>
      <c r="T265" s="30">
        <v>1</v>
      </c>
      <c r="U265" s="6">
        <v>0</v>
      </c>
      <c r="V265" s="5" t="str">
        <f ca="1">VLOOKUP($W265,OFFSET([5]enemy_skill_sets!$B$1,0,0,COUNTA([5]enemy_skill_sets!$B:$B),MATCH(M$1,[5]enemy_skill_sets!$1:$1,0)-MATCH($W$1,[5]enemy_skill_sets!$1:$1,0)+2),MATCH(M$1,[5]enemy_skill_sets!$1:$1,0)-MATCH($W$1,[5]enemy_skill_sets!$1:$1,0)+2,FALSE)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65" s="5">
        <f ca="1">VLOOKUP($L265,OFFSET([3]enemies!$A$1,0,0,COUNTA([3]enemies!$A:$A),MATCH(W$1,[3]enemies!$1:$1,0)-MATCH($L$1,[3]enemies!$1:$1,0)+1),MATCH(W$1,[3]enemies!$1:$1,0)-MATCH($L$1,[3]enemies!$1:$1,0)+1,FALSE)</f>
        <v>35</v>
      </c>
      <c r="X265" s="7">
        <v>0</v>
      </c>
      <c r="Y265" s="7">
        <v>100</v>
      </c>
      <c r="Z265" s="7">
        <v>0</v>
      </c>
      <c r="AA265" s="20">
        <f ca="1">VLOOKUP($L265,OFFSET([3]enemies!$A$1,0,0,COUNTA([3]enemies!$A:$A),MATCH(AA$1,[3]enemies!$1:$1,0)-MATCH($L$1,[3]enemies!$1:$1,0)+1),MATCH(AA$1,[3]enemies!$1:$1,0)-MATCH($L$1,[3]enemies!$1:$1,0)+1,FALSE)</f>
        <v>4</v>
      </c>
      <c r="AB265" s="70">
        <v>35</v>
      </c>
      <c r="AC265" s="5" t="str">
        <f ca="1">IFERROR(VLOOKUP($AB265,OFFSET([4]characters!$A$1,0,0,COUNTA([4]characters!$A:$A),MATCH(AC$1,[4]characters!$1:$1,0)-MATCH("character_id",[4]characters!$1:$1,0)+1),MATCH(AC$1,[4]characters!$1:$1,0)-MATCH("character_id",[4]characters!$1:$1,0)+1,FALSE),"")</f>
        <v>F2</v>
      </c>
      <c r="AD265" s="5">
        <f ca="1">IFERROR(VLOOKUP($AB265,OFFSET([4]characters!$A$1,0,0,COUNTA([4]characters!$A:$A),MATCH(AD$1,[4]characters!$1:$1,0)-MATCH("character_id",[4]characters!$1:$1,0)+1),MATCH(AD$1,[4]characters!$1:$1,0)-MATCH("character_id",[4]characters!$1:$1,0)+1,FALSE),"")</f>
        <v>2</v>
      </c>
      <c r="AE265" s="5" t="str">
        <f ca="1">IFERROR(VLOOKUP($AB265,OFFSET([4]characters!$A$1,0,0,COUNTA([4]characters!$A:$A),MATCH(AE$1,[4]characters!$1:$1,0)-MATCH("character_id",[4]characters!$1:$1,0)+1),MATCH(AE$1,[4]characters!$1:$1,0)-MATCH("character_id",[4]characters!$1:$1,0)+1,FALSE),"")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65" s="28">
        <v>1</v>
      </c>
      <c r="AG265" s="75">
        <f t="shared" ca="1" si="64"/>
        <v>2</v>
      </c>
      <c r="AH265" s="9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1</v>
      </c>
      <c r="AN265" s="28">
        <v>1</v>
      </c>
    </row>
    <row r="266" spans="1:40" ht="21" customHeight="1" x14ac:dyDescent="0.15">
      <c r="A266" s="17" t="str">
        <f t="shared" ca="1" si="65"/>
        <v>11104_4-1/27&lt;lv35&gt;s1</v>
      </c>
      <c r="B266" s="84">
        <v>11104</v>
      </c>
      <c r="C266" s="85">
        <v>4</v>
      </c>
      <c r="D266" s="16" t="str">
        <f t="shared" si="60"/>
        <v>11104_4</v>
      </c>
      <c r="E266" s="5" t="str">
        <f ca="1">VLOOKUP($B266,OFFSET([2]quests!$A$1,0,0,COUNTA([2]quests!$A:$A),MATCH(E$1,[2]quests!$1:$1,0)-MATCH($B$1,[2]quests!$1:$1,0)+1),MATCH(E$1,[2]quests!$1:$1,0)-MATCH($B$1,[2]quests!$1:$1,0)+1,FALSE)</f>
        <v>【期間限定】 緑の素材</v>
      </c>
      <c r="F266" s="5" t="str">
        <f ca="1">VLOOKUP($D266,OFFSET([2]stages!$A$1,0,0,COUNTA([2]stages!$A:$A),MATCH(F$1,[2]stages!$2:$2,0)-MATCH($D$1,[2]stages!$2:$2,0)+1),MATCH(F$1,[2]stages!$2:$2,0)-MATCH($D$1,[2]stages!$2:$2,0)+1,FALSE)</f>
        <v>【上級】樹のイモムシ</v>
      </c>
      <c r="G266" s="68">
        <v>1</v>
      </c>
      <c r="H266" s="16" t="str">
        <f t="shared" si="61"/>
        <v>11104_4-1</v>
      </c>
      <c r="I266" s="5" t="e">
        <v>#N/A</v>
      </c>
      <c r="J266" s="5" t="e">
        <v>#N/A</v>
      </c>
      <c r="K266" s="70" t="s">
        <v>217</v>
      </c>
      <c r="L266" s="70">
        <v>27</v>
      </c>
      <c r="M266" s="20" t="str">
        <f ca="1">VLOOKUP($L266,OFFSET([3]enemies!$A$1,0,0,COUNTA([3]enemies!$A:$A),MATCH(M$1,[3]enemies!$1:$1,0)-MATCH($L$1,[3]enemies!$1:$1,0)+1),MATCH(M$1,[3]enemies!$1:$1,0)-MATCH($L$1,[3]enemies!$1:$1,0)+1,FALSE)</f>
        <v>パトライン</v>
      </c>
      <c r="N266" s="20" t="str">
        <f ca="1">VLOOKUP($L266,OFFSET([3]enemies!$A$1,0,0,COUNTA([3]enemies!$A:$A),MATCH(N$1,[3]enemies!$1:$1,0)-MATCH($L$1,[3]enemies!$1:$1,0)+1),MATCH(N$1,[3]enemies!$1:$1,0)-MATCH($L$1,[3]enemies!$1:$1,0)+1,FALSE)</f>
        <v>green</v>
      </c>
      <c r="O266" s="22" t="str">
        <f ca="1">VLOOKUP($L266,OFFSET([4]characters!$A$1,0,0,COUNTA([4]characters!$A:$A),MATCH(O$1,[4]characters!$1:$1,0)-MATCH($L$1,[4]characters!$1:$1,0)+1),MATCH(O$1,[4]characters!$1:$1,0)-MATCH($L$1,[4]characters!$1:$1,0)+1,FALSE)</f>
        <v>Drop1N</v>
      </c>
      <c r="P266" s="20" t="str">
        <f ca="1">VLOOKUP($L266,OFFSET([3]enemies!$A$1,0,0,COUNTA([3]enemies!$A:$A),MATCH(P$1,[3]enemies!$1:$1,0)-MATCH($L$1,[3]enemies!$1:$1,0)+1),MATCH(P$1,[3]enemies!$1:$1,0)-MATCH($L$1,[3]enemies!$1:$1,0)+1,FALSE)</f>
        <v>machine</v>
      </c>
      <c r="Q266" s="20">
        <f ca="1">VLOOKUP($L266,OFFSET([3]enemies!$A$1,0,0,COUNTA([3]enemies!$A:$A),MATCH(Q$1,[3]enemies!$1:$1,0)-MATCH($L$1,[3]enemies!$1:$1,0)+1),MATCH(Q$1,[3]enemies!$1:$1,0)-MATCH($L$1,[3]enemies!$1:$1,0)+1,FALSE)</f>
        <v>15</v>
      </c>
      <c r="R266" s="6">
        <v>35</v>
      </c>
      <c r="S266" s="30">
        <v>1</v>
      </c>
      <c r="T266" s="30">
        <v>1</v>
      </c>
      <c r="U266" s="6">
        <v>0</v>
      </c>
      <c r="V266" s="5" t="str">
        <f ca="1">VLOOKUP($W266,OFFSET([5]enemy_skill_sets!$B$1,0,0,COUNTA([5]enemy_skill_sets!$B:$B),MATCH(M$1,[5]enemy_skill_sets!$1:$1,0)-MATCH($W$1,[5]enemy_skill_sets!$1:$1,0)+2),MATCH(M$1,[5]enemy_skill_sets!$1:$1,0)-MATCH($W$1,[5]enemy_skill_sets!$1:$1,0)+2,FALSE)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6" s="5">
        <f ca="1">VLOOKUP($L266,OFFSET([3]enemies!$A$1,0,0,COUNTA([3]enemies!$A:$A),MATCH(W$1,[3]enemies!$1:$1,0)-MATCH($L$1,[3]enemies!$1:$1,0)+1),MATCH(W$1,[3]enemies!$1:$1,0)-MATCH($L$1,[3]enemies!$1:$1,0)+1,FALSE)</f>
        <v>0</v>
      </c>
      <c r="X266" s="7">
        <v>0</v>
      </c>
      <c r="Y266" s="7">
        <v>100</v>
      </c>
      <c r="Z266" s="7">
        <v>0</v>
      </c>
      <c r="AA266" s="20">
        <f ca="1">VLOOKUP($L266,OFFSET([3]enemies!$A$1,0,0,COUNTA([3]enemies!$A:$A),MATCH(AA$1,[3]enemies!$1:$1,0)-MATCH($L$1,[3]enemies!$1:$1,0)+1),MATCH(AA$1,[3]enemies!$1:$1,0)-MATCH($L$1,[3]enemies!$1:$1,0)+1,FALSE)</f>
        <v>1</v>
      </c>
      <c r="AB266" s="70">
        <v>27</v>
      </c>
      <c r="AC266" s="5" t="str">
        <f ca="1">IFERROR(VLOOKUP($AB266,OFFSET([4]characters!$A$1,0,0,COUNTA([4]characters!$A:$A),MATCH(AC$1,[4]characters!$1:$1,0)-MATCH("character_id",[4]characters!$1:$1,0)+1),MATCH(AC$1,[4]characters!$1:$1,0)-MATCH("character_id",[4]characters!$1:$1,0)+1,FALSE),"")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266" s="5">
        <f ca="1">IFERROR(VLOOKUP($AB266,OFFSET([4]characters!$A$1,0,0,COUNTA([4]characters!$A:$A),MATCH(AD$1,[4]characters!$1:$1,0)-MATCH("character_id",[4]characters!$1:$1,0)+1),MATCH(AD$1,[4]characters!$1:$1,0)-MATCH("character_id",[4]characters!$1:$1,0)+1,FALSE),"")</f>
        <v>1</v>
      </c>
      <c r="AE266" s="5" t="str">
        <f ca="1">IFERROR(VLOOKUP($AB266,OFFSET([4]characters!$A$1,0,0,COUNTA([4]characters!$A:$A),MATCH(AE$1,[4]characters!$1:$1,0)-MATCH("character_id",[4]characters!$1:$1,0)+1),MATCH(AE$1,[4]characters!$1:$1,0)-MATCH("character_id",[4]characters!$1:$1,0)+1,FALSE),"")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6" s="28">
        <v>1</v>
      </c>
      <c r="AG266" s="75">
        <f t="shared" ca="1" si="64"/>
        <v>1</v>
      </c>
      <c r="AH266" s="9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1</v>
      </c>
      <c r="AN266" s="28">
        <v>1</v>
      </c>
    </row>
    <row r="267" spans="1:40" ht="21" customHeight="1" x14ac:dyDescent="0.15">
      <c r="A267" s="17" t="str">
        <f t="shared" ca="1" si="65"/>
        <v>11104_4-1/336&lt;lv1&gt;s1</v>
      </c>
      <c r="B267" s="84">
        <v>11104</v>
      </c>
      <c r="C267" s="85">
        <v>4</v>
      </c>
      <c r="D267" s="16" t="str">
        <f t="shared" si="60"/>
        <v>11104_4</v>
      </c>
      <c r="E267" s="5" t="str">
        <f ca="1">VLOOKUP($B267,OFFSET([2]quests!$A$1,0,0,COUNTA([2]quests!$A:$A),MATCH(E$1,[2]quests!$1:$1,0)-MATCH($B$1,[2]quests!$1:$1,0)+1),MATCH(E$1,[2]quests!$1:$1,0)-MATCH($B$1,[2]quests!$1:$1,0)+1,FALSE)</f>
        <v>【期間限定】 緑の素材</v>
      </c>
      <c r="F267" s="5" t="str">
        <f ca="1">VLOOKUP($D267,OFFSET([2]stages!$A$1,0,0,COUNTA([2]stages!$A:$A),MATCH(F$1,[2]stages!$2:$2,0)-MATCH($D$1,[2]stages!$2:$2,0)+1),MATCH(F$1,[2]stages!$2:$2,0)-MATCH($D$1,[2]stages!$2:$2,0)+1,FALSE)</f>
        <v>【上級】樹のイモムシ</v>
      </c>
      <c r="G267" s="68">
        <v>1</v>
      </c>
      <c r="H267" s="16" t="str">
        <f t="shared" si="61"/>
        <v>11104_4-1</v>
      </c>
      <c r="I267" s="5" t="e">
        <v>#N/A</v>
      </c>
      <c r="J267" s="5" t="e">
        <v>#N/A</v>
      </c>
      <c r="K267" s="70" t="s">
        <v>217</v>
      </c>
      <c r="L267" s="70">
        <v>336</v>
      </c>
      <c r="M267" s="20" t="str">
        <f ca="1">VLOOKUP($L267,OFFSET([3]enemies!$A$1,0,0,COUNTA([3]enemies!$A:$A),MATCH(M$1,[3]enemies!$1:$1,0)-MATCH($L$1,[3]enemies!$1:$1,0)+1),MATCH(M$1,[3]enemies!$1:$1,0)-MATCH($L$1,[3]enemies!$1:$1,0)+1,FALSE)</f>
        <v>森のメタルピヨピヨ</v>
      </c>
      <c r="N267" s="20" t="str">
        <f ca="1">VLOOKUP($L267,OFFSET([3]enemies!$A$1,0,0,COUNTA([3]enemies!$A:$A),MATCH(N$1,[3]enemies!$1:$1,0)-MATCH($L$1,[3]enemies!$1:$1,0)+1),MATCH(N$1,[3]enemies!$1:$1,0)-MATCH($L$1,[3]enemies!$1:$1,0)+1,FALSE)</f>
        <v>green</v>
      </c>
      <c r="O267" s="22" t="str">
        <f ca="1">VLOOKUP($L267,OFFSET([4]characters!$A$1,0,0,COUNTA([4]characters!$A:$A),MATCH(O$1,[4]characters!$1:$1,0)-MATCH($L$1,[4]characters!$1:$1,0)+1),MATCH(O$1,[4]characters!$1:$1,0)-MATCH($L$1,[4]characters!$1:$1,0)+1,FALSE)</f>
        <v>Material</v>
      </c>
      <c r="P267" s="20" t="str">
        <f ca="1">VLOOKUP($L267,OFFSET([3]enemies!$A$1,0,0,COUNTA([3]enemies!$A:$A),MATCH(P$1,[3]enemies!$1:$1,0)-MATCH($L$1,[3]enemies!$1:$1,0)+1),MATCH(P$1,[3]enemies!$1:$1,0)-MATCH($L$1,[3]enemies!$1:$1,0)+1,FALSE)</f>
        <v>unknown</v>
      </c>
      <c r="Q267" s="20">
        <f ca="1">VLOOKUP($L267,OFFSET([3]enemies!$A$1,0,0,COUNTA([3]enemies!$A:$A),MATCH(Q$1,[3]enemies!$1:$1,0)-MATCH($L$1,[3]enemies!$1:$1,0)+1),MATCH(Q$1,[3]enemies!$1:$1,0)-MATCH($L$1,[3]enemies!$1:$1,0)+1,FALSE)</f>
        <v>15</v>
      </c>
      <c r="R267" s="6">
        <v>1</v>
      </c>
      <c r="S267" s="30">
        <v>1</v>
      </c>
      <c r="T267" s="30">
        <v>1</v>
      </c>
      <c r="U267" s="6">
        <v>0</v>
      </c>
      <c r="V267" s="5" t="str">
        <f ca="1">VLOOKUP($W267,OFFSET([5]enemy_skill_sets!$B$1,0,0,COUNTA([5]enemy_skill_sets!$B:$B),MATCH(M$1,[5]enemy_skill_sets!$1:$1,0)-MATCH($W$1,[5]enemy_skill_sets!$1:$1,0)+2),MATCH(M$1,[5]enemy_skill_sets!$1:$1,0)-MATCH($W$1,[5]enemy_skill_sets!$1:$1,0)+2,FALSE)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7" s="5">
        <f ca="1">VLOOKUP($L267,OFFSET([3]enemies!$A$1,0,0,COUNTA([3]enemies!$A:$A),MATCH(W$1,[3]enemies!$1:$1,0)-MATCH($L$1,[3]enemies!$1:$1,0)+1),MATCH(W$1,[3]enemies!$1:$1,0)-MATCH($L$1,[3]enemies!$1:$1,0)+1,FALSE)</f>
        <v>0</v>
      </c>
      <c r="X267" s="7">
        <v>0</v>
      </c>
      <c r="Y267" s="7">
        <v>30</v>
      </c>
      <c r="Z267" s="7">
        <v>0</v>
      </c>
      <c r="AA267" s="20">
        <f ca="1">VLOOKUP($L267,OFFSET([3]enemies!$A$1,0,0,COUNTA([3]enemies!$A:$A),MATCH(AA$1,[3]enemies!$1:$1,0)-MATCH($L$1,[3]enemies!$1:$1,0)+1),MATCH(AA$1,[3]enemies!$1:$1,0)-MATCH($L$1,[3]enemies!$1:$1,0)+1,FALSE)</f>
        <v>1</v>
      </c>
      <c r="AB267" s="70">
        <v>336</v>
      </c>
      <c r="AC267" s="5" t="str">
        <f ca="1">IFERROR(VLOOKUP($AB267,OFFSET([4]characters!$A$1,0,0,COUNTA([4]characters!$A:$A),MATCH(AC$1,[4]characters!$1:$1,0)-MATCH("character_id",[4]characters!$1:$1,0)+1),MATCH(AC$1,[4]characters!$1:$1,0)-MATCH("character_id",[4]characters!$1:$1,0)+1,FALSE),"")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267" s="5">
        <f ca="1">IFERROR(VLOOKUP($AB267,OFFSET([4]characters!$A$1,0,0,COUNTA([4]characters!$A:$A),MATCH(AD$1,[4]characters!$1:$1,0)-MATCH("character_id",[4]characters!$1:$1,0)+1),MATCH(AD$1,[4]characters!$1:$1,0)-MATCH("character_id",[4]characters!$1:$1,0)+1,FALSE),"")</f>
        <v>3</v>
      </c>
      <c r="AE267" s="5" t="str">
        <f ca="1">IFERROR(VLOOKUP($AB267,OFFSET([4]characters!$A$1,0,0,COUNTA([4]characters!$A:$A),MATCH(AE$1,[4]characters!$1:$1,0)-MATCH("character_id",[4]characters!$1:$1,0)+1),MATCH(AE$1,[4]characters!$1:$1,0)-MATCH("character_id",[4]characters!$1:$1,0)+1,FALSE),"")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7" s="28">
        <v>1</v>
      </c>
      <c r="AG267" s="75">
        <f t="shared" ca="1" si="64"/>
        <v>3</v>
      </c>
      <c r="AH267" s="9">
        <v>10</v>
      </c>
      <c r="AI267" s="28">
        <v>0</v>
      </c>
      <c r="AJ267" s="28">
        <v>0</v>
      </c>
      <c r="AK267" s="28">
        <v>0</v>
      </c>
      <c r="AL267" s="28">
        <v>0</v>
      </c>
      <c r="AM267" s="28">
        <v>1</v>
      </c>
      <c r="AN267" s="28">
        <v>1</v>
      </c>
    </row>
    <row r="268" spans="1:40" ht="21" customHeight="1" x14ac:dyDescent="0.15">
      <c r="A268" s="17" t="str">
        <f t="shared" ca="1" si="65"/>
        <v>11104_4-1/337&lt;lv1&gt;s2</v>
      </c>
      <c r="B268" s="84">
        <v>11104</v>
      </c>
      <c r="C268" s="85">
        <v>4</v>
      </c>
      <c r="D268" s="16" t="str">
        <f t="shared" si="60"/>
        <v>11104_4</v>
      </c>
      <c r="E268" s="5" t="str">
        <f ca="1">VLOOKUP($B268,OFFSET([2]quests!$A$1,0,0,COUNTA([2]quests!$A:$A),MATCH(E$1,[2]quests!$1:$1,0)-MATCH($B$1,[2]quests!$1:$1,0)+1),MATCH(E$1,[2]quests!$1:$1,0)-MATCH($B$1,[2]quests!$1:$1,0)+1,FALSE)</f>
        <v>【期間限定】 緑の素材</v>
      </c>
      <c r="F268" s="5" t="str">
        <f ca="1">VLOOKUP($D268,OFFSET([2]stages!$A$1,0,0,COUNTA([2]stages!$A:$A),MATCH(F$1,[2]stages!$2:$2,0)-MATCH($D$1,[2]stages!$2:$2,0)+1),MATCH(F$1,[2]stages!$2:$2,0)-MATCH($D$1,[2]stages!$2:$2,0)+1,FALSE)</f>
        <v>【上級】樹のイモムシ</v>
      </c>
      <c r="G268" s="68">
        <v>1</v>
      </c>
      <c r="H268" s="16" t="str">
        <f t="shared" si="61"/>
        <v>11104_4-1</v>
      </c>
      <c r="I268" s="5" t="e">
        <v>#N/A</v>
      </c>
      <c r="J268" s="5" t="e">
        <v>#N/A</v>
      </c>
      <c r="K268" s="70" t="s">
        <v>217</v>
      </c>
      <c r="L268" s="70">
        <v>337</v>
      </c>
      <c r="M268" s="20" t="str">
        <f ca="1">VLOOKUP($L268,OFFSET([3]enemies!$A$1,0,0,COUNTA([3]enemies!$A:$A),MATCH(M$1,[3]enemies!$1:$1,0)-MATCH($L$1,[3]enemies!$1:$1,0)+1),MATCH(M$1,[3]enemies!$1:$1,0)-MATCH($L$1,[3]enemies!$1:$1,0)+1,FALSE)</f>
        <v>森のメタルチック</v>
      </c>
      <c r="N268" s="20" t="str">
        <f ca="1">VLOOKUP($L268,OFFSET([3]enemies!$A$1,0,0,COUNTA([3]enemies!$A:$A),MATCH(N$1,[3]enemies!$1:$1,0)-MATCH($L$1,[3]enemies!$1:$1,0)+1),MATCH(N$1,[3]enemies!$1:$1,0)-MATCH($L$1,[3]enemies!$1:$1,0)+1,FALSE)</f>
        <v>green</v>
      </c>
      <c r="O268" s="22" t="str">
        <f ca="1">VLOOKUP($L268,OFFSET([4]characters!$A$1,0,0,COUNTA([4]characters!$A:$A),MATCH(O$1,[4]characters!$1:$1,0)-MATCH($L$1,[4]characters!$1:$1,0)+1),MATCH(O$1,[4]characters!$1:$1,0)-MATCH($L$1,[4]characters!$1:$1,0)+1,FALSE)</f>
        <v>Material</v>
      </c>
      <c r="P268" s="20" t="str">
        <f ca="1">VLOOKUP($L268,OFFSET([3]enemies!$A$1,0,0,COUNTA([3]enemies!$A:$A),MATCH(P$1,[3]enemies!$1:$1,0)-MATCH($L$1,[3]enemies!$1:$1,0)+1),MATCH(P$1,[3]enemies!$1:$1,0)-MATCH($L$1,[3]enemies!$1:$1,0)+1,FALSE)</f>
        <v>unknown</v>
      </c>
      <c r="Q268" s="20">
        <f ca="1">VLOOKUP($L268,OFFSET([3]enemies!$A$1,0,0,COUNTA([3]enemies!$A:$A),MATCH(Q$1,[3]enemies!$1:$1,0)-MATCH($L$1,[3]enemies!$1:$1,0)+1),MATCH(Q$1,[3]enemies!$1:$1,0)-MATCH($L$1,[3]enemies!$1:$1,0)+1,FALSE)</f>
        <v>15</v>
      </c>
      <c r="R268" s="6">
        <v>1</v>
      </c>
      <c r="S268" s="30">
        <v>1</v>
      </c>
      <c r="T268" s="30">
        <v>1</v>
      </c>
      <c r="U268" s="6">
        <v>0</v>
      </c>
      <c r="V268" s="5" t="str">
        <f ca="1">VLOOKUP($W268,OFFSET([5]enemy_skill_sets!$B$1,0,0,COUNTA([5]enemy_skill_sets!$B:$B),MATCH(M$1,[5]enemy_skill_sets!$1:$1,0)-MATCH($W$1,[5]enemy_skill_sets!$1:$1,0)+2),MATCH(M$1,[5]enemy_skill_sets!$1:$1,0)-MATCH($W$1,[5]enemy_skill_sets!$1:$1,0)+2,FALSE)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8" s="5">
        <f ca="1">VLOOKUP($L268,OFFSET([3]enemies!$A$1,0,0,COUNTA([3]enemies!$A:$A),MATCH(W$1,[3]enemies!$1:$1,0)-MATCH($L$1,[3]enemies!$1:$1,0)+1),MATCH(W$1,[3]enemies!$1:$1,0)-MATCH($L$1,[3]enemies!$1:$1,0)+1,FALSE)</f>
        <v>0</v>
      </c>
      <c r="X268" s="7">
        <v>0</v>
      </c>
      <c r="Y268" s="7">
        <v>30</v>
      </c>
      <c r="Z268" s="7">
        <v>0</v>
      </c>
      <c r="AA268" s="20">
        <f ca="1">VLOOKUP($L268,OFFSET([3]enemies!$A$1,0,0,COUNTA([3]enemies!$A:$A),MATCH(AA$1,[3]enemies!$1:$1,0)-MATCH($L$1,[3]enemies!$1:$1,0)+1),MATCH(AA$1,[3]enemies!$1:$1,0)-MATCH($L$1,[3]enemies!$1:$1,0)+1,FALSE)</f>
        <v>2</v>
      </c>
      <c r="AB268" s="70">
        <v>337</v>
      </c>
      <c r="AC268" s="5" t="str">
        <f ca="1">IFERROR(VLOOKUP($AB268,OFFSET([4]characters!$A$1,0,0,COUNTA([4]characters!$A:$A),MATCH(AC$1,[4]characters!$1:$1,0)-MATCH("character_id",[4]characters!$1:$1,0)+1),MATCH(AC$1,[4]characters!$1:$1,0)-MATCH("character_id",[4]characters!$1:$1,0)+1,FALSE),"")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268" s="5">
        <f ca="1">IFERROR(VLOOKUP($AB268,OFFSET([4]characters!$A$1,0,0,COUNTA([4]characters!$A:$A),MATCH(AD$1,[4]characters!$1:$1,0)-MATCH("character_id",[4]characters!$1:$1,0)+1),MATCH(AD$1,[4]characters!$1:$1,0)-MATCH("character_id",[4]characters!$1:$1,0)+1,FALSE),"")</f>
        <v>4</v>
      </c>
      <c r="AE268" s="5" t="str">
        <f ca="1">IFERROR(VLOOKUP($AB268,OFFSET([4]characters!$A$1,0,0,COUNTA([4]characters!$A:$A),MATCH(AE$1,[4]characters!$1:$1,0)-MATCH("character_id",[4]characters!$1:$1,0)+1),MATCH(AE$1,[4]characters!$1:$1,0)-MATCH("character_id",[4]characters!$1:$1,0)+1,FALSE),"")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8" s="28">
        <v>1</v>
      </c>
      <c r="AG268" s="75">
        <f t="shared" ca="1" si="64"/>
        <v>4</v>
      </c>
      <c r="AH268" s="9">
        <v>5</v>
      </c>
      <c r="AI268" s="28">
        <v>0</v>
      </c>
      <c r="AJ268" s="28">
        <v>0</v>
      </c>
      <c r="AK268" s="28">
        <v>0</v>
      </c>
      <c r="AL268" s="28">
        <v>0</v>
      </c>
      <c r="AM268" s="28">
        <v>1</v>
      </c>
      <c r="AN268" s="28">
        <v>1</v>
      </c>
    </row>
    <row r="269" spans="1:40" ht="21" customHeight="1" x14ac:dyDescent="0.15">
      <c r="A269" s="17" t="str">
        <f t="shared" ca="1" si="65"/>
        <v>11104_4-2/107&lt;lv30&gt;s1</v>
      </c>
      <c r="B269" s="84">
        <v>11104</v>
      </c>
      <c r="C269" s="85">
        <v>4</v>
      </c>
      <c r="D269" s="16" t="str">
        <f t="shared" si="60"/>
        <v>11104_4</v>
      </c>
      <c r="E269" s="5" t="str">
        <f ca="1">VLOOKUP($B269,OFFSET([2]quests!$A$1,0,0,COUNTA([2]quests!$A:$A),MATCH(E$1,[2]quests!$1:$1,0)-MATCH($B$1,[2]quests!$1:$1,0)+1),MATCH(E$1,[2]quests!$1:$1,0)-MATCH($B$1,[2]quests!$1:$1,0)+1,FALSE)</f>
        <v>【期間限定】 緑の素材</v>
      </c>
      <c r="F269" s="5" t="str">
        <f ca="1">VLOOKUP($D269,OFFSET([2]stages!$A$1,0,0,COUNTA([2]stages!$A:$A),MATCH(F$1,[2]stages!$2:$2,0)-MATCH($D$1,[2]stages!$2:$2,0)+1),MATCH(F$1,[2]stages!$2:$2,0)-MATCH($D$1,[2]stages!$2:$2,0)+1,FALSE)</f>
        <v>【上級】樹のイモムシ</v>
      </c>
      <c r="G269" s="68">
        <v>2</v>
      </c>
      <c r="H269" s="16" t="str">
        <f t="shared" si="61"/>
        <v>11104_4-2</v>
      </c>
      <c r="I269" s="5" t="e">
        <v>#N/A</v>
      </c>
      <c r="J269" s="5" t="e">
        <v>#N/A</v>
      </c>
      <c r="K269" s="70" t="s">
        <v>217</v>
      </c>
      <c r="L269" s="70">
        <v>107</v>
      </c>
      <c r="M269" s="20" t="str">
        <f ca="1">VLOOKUP($L269,OFFSET([3]enemies!$A$1,0,0,COUNTA([3]enemies!$A:$A),MATCH(M$1,[3]enemies!$1:$1,0)-MATCH($L$1,[3]enemies!$1:$1,0)+1),MATCH(M$1,[3]enemies!$1:$1,0)-MATCH($L$1,[3]enemies!$1:$1,0)+1,FALSE)</f>
        <v>グリーンキャタップ</v>
      </c>
      <c r="N269" s="20" t="str">
        <f ca="1">VLOOKUP($L269,OFFSET([3]enemies!$A$1,0,0,COUNTA([3]enemies!$A:$A),MATCH(N$1,[3]enemies!$1:$1,0)-MATCH($L$1,[3]enemies!$1:$1,0)+1),MATCH(N$1,[3]enemies!$1:$1,0)-MATCH($L$1,[3]enemies!$1:$1,0)+1,FALSE)</f>
        <v>green</v>
      </c>
      <c r="O269" s="22" t="str">
        <f ca="1">VLOOKUP($L269,OFFSET([4]characters!$A$1,0,0,COUNTA([4]characters!$A:$A),MATCH(O$1,[4]characters!$1:$1,0)-MATCH($L$1,[4]characters!$1:$1,0)+1),MATCH(O$1,[4]characters!$1:$1,0)-MATCH($L$1,[4]characters!$1:$1,0)+1,FALSE)</f>
        <v>Material</v>
      </c>
      <c r="P269" s="20" t="str">
        <f ca="1">VLOOKUP($L269,OFFSET([3]enemies!$A$1,0,0,COUNTA([3]enemies!$A:$A),MATCH(P$1,[3]enemies!$1:$1,0)-MATCH($L$1,[3]enemies!$1:$1,0)+1),MATCH(P$1,[3]enemies!$1:$1,0)-MATCH($L$1,[3]enemies!$1:$1,0)+1,FALSE)</f>
        <v>unknown</v>
      </c>
      <c r="Q269" s="20">
        <f ca="1">VLOOKUP($L269,OFFSET([3]enemies!$A$1,0,0,COUNTA([3]enemies!$A:$A),MATCH(Q$1,[3]enemies!$1:$1,0)-MATCH($L$1,[3]enemies!$1:$1,0)+1),MATCH(Q$1,[3]enemies!$1:$1,0)-MATCH($L$1,[3]enemies!$1:$1,0)+1,FALSE)</f>
        <v>15</v>
      </c>
      <c r="R269" s="6">
        <v>30</v>
      </c>
      <c r="S269" s="30">
        <v>2</v>
      </c>
      <c r="T269" s="30">
        <v>1</v>
      </c>
      <c r="U269" s="6">
        <v>0</v>
      </c>
      <c r="V269" s="5" t="str">
        <f ca="1">VLOOKUP($W269,OFFSET([5]enemy_skill_sets!$B$1,0,0,COUNTA([5]enemy_skill_sets!$B:$B),MATCH(M$1,[5]enemy_skill_sets!$1:$1,0)-MATCH($W$1,[5]enemy_skill_sets!$1:$1,0)+2),MATCH(M$1,[5]enemy_skill_sets!$1:$1,0)-MATCH($W$1,[5]enemy_skill_sets!$1:$1,0)+2,FALSE)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9" s="5">
        <f ca="1">VLOOKUP($L269,OFFSET([3]enemies!$A$1,0,0,COUNTA([3]enemies!$A:$A),MATCH(W$1,[3]enemies!$1:$1,0)-MATCH($L$1,[3]enemies!$1:$1,0)+1),MATCH(W$1,[3]enemies!$1:$1,0)-MATCH($L$1,[3]enemies!$1:$1,0)+1,FALSE)</f>
        <v>0</v>
      </c>
      <c r="X269" s="7">
        <v>1</v>
      </c>
      <c r="Y269" s="7">
        <v>100</v>
      </c>
      <c r="Z269" s="7">
        <v>1</v>
      </c>
      <c r="AA269" s="20">
        <f ca="1">VLOOKUP($L269,OFFSET([3]enemies!$A$1,0,0,COUNTA([3]enemies!$A:$A),MATCH(AA$1,[3]enemies!$1:$1,0)-MATCH($L$1,[3]enemies!$1:$1,0)+1),MATCH(AA$1,[3]enemies!$1:$1,0)-MATCH($L$1,[3]enemies!$1:$1,0)+1,FALSE)</f>
        <v>1</v>
      </c>
      <c r="AB269" s="70">
        <v>107</v>
      </c>
      <c r="AC269" s="5" t="str">
        <f ca="1">IFERROR(VLOOKUP($AB269,OFFSET([4]characters!$A$1,0,0,COUNTA([4]characters!$A:$A),MATCH(AC$1,[4]characters!$1:$1,0)-MATCH("character_id",[4]characters!$1:$1,0)+1),MATCH(AC$1,[4]characters!$1:$1,0)-MATCH("character_id",[4]characters!$1:$1,0)+1,FALSE),"")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269" s="5">
        <f ca="1">IFERROR(VLOOKUP($AB269,OFFSET([4]characters!$A$1,0,0,COUNTA([4]characters!$A:$A),MATCH(AD$1,[4]characters!$1:$1,0)-MATCH("character_id",[4]characters!$1:$1,0)+1),MATCH(AD$1,[4]characters!$1:$1,0)-MATCH("character_id",[4]characters!$1:$1,0)+1,FALSE),"")</f>
        <v>4</v>
      </c>
      <c r="AE269" s="5" t="str">
        <f ca="1">IFERROR(VLOOKUP($AB269,OFFSET([4]characters!$A$1,0,0,COUNTA([4]characters!$A:$A),MATCH(AE$1,[4]characters!$1:$1,0)-MATCH("character_id",[4]characters!$1:$1,0)+1),MATCH(AE$1,[4]characters!$1:$1,0)-MATCH("character_id",[4]characters!$1:$1,0)+1,FALSE),"")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9" s="28">
        <v>1</v>
      </c>
      <c r="AG269" s="75">
        <f t="shared" ca="1" si="64"/>
        <v>4</v>
      </c>
      <c r="AH269" s="130">
        <v>50</v>
      </c>
      <c r="AI269" s="28">
        <v>0</v>
      </c>
      <c r="AJ269" s="28">
        <v>0</v>
      </c>
      <c r="AK269" s="28">
        <v>0</v>
      </c>
      <c r="AL269" s="28">
        <v>0</v>
      </c>
      <c r="AM269" s="28">
        <v>1</v>
      </c>
      <c r="AN269" s="28">
        <v>1</v>
      </c>
    </row>
    <row r="270" spans="1:40" ht="21" customHeight="1" x14ac:dyDescent="0.15">
      <c r="A270" s="17" t="str">
        <f t="shared" ca="1" si="65"/>
        <v>11104_4-2/35&lt;lv35&gt;s4</v>
      </c>
      <c r="B270" s="84">
        <v>11104</v>
      </c>
      <c r="C270" s="85">
        <v>4</v>
      </c>
      <c r="D270" s="16" t="str">
        <f t="shared" si="60"/>
        <v>11104_4</v>
      </c>
      <c r="E270" s="5" t="str">
        <f ca="1">VLOOKUP($B270,OFFSET([2]quests!$A$1,0,0,COUNTA([2]quests!$A:$A),MATCH(E$1,[2]quests!$1:$1,0)-MATCH($B$1,[2]quests!$1:$1,0)+1),MATCH(E$1,[2]quests!$1:$1,0)-MATCH($B$1,[2]quests!$1:$1,0)+1,FALSE)</f>
        <v>【期間限定】 緑の素材</v>
      </c>
      <c r="F270" s="5" t="str">
        <f ca="1">VLOOKUP($D270,OFFSET([2]stages!$A$1,0,0,COUNTA([2]stages!$A:$A),MATCH(F$1,[2]stages!$2:$2,0)-MATCH($D$1,[2]stages!$2:$2,0)+1),MATCH(F$1,[2]stages!$2:$2,0)-MATCH($D$1,[2]stages!$2:$2,0)+1,FALSE)</f>
        <v>【上級】樹のイモムシ</v>
      </c>
      <c r="G270" s="68">
        <v>2</v>
      </c>
      <c r="H270" s="16" t="str">
        <f t="shared" si="61"/>
        <v>11104_4-2</v>
      </c>
      <c r="I270" s="5" t="e">
        <v>#N/A</v>
      </c>
      <c r="J270" s="5" t="e">
        <v>#N/A</v>
      </c>
      <c r="K270" s="70" t="s">
        <v>217</v>
      </c>
      <c r="L270" s="70">
        <v>35</v>
      </c>
      <c r="M270" s="20" t="str">
        <f ca="1">VLOOKUP($L270,OFFSET([3]enemies!$A$1,0,0,COUNTA([3]enemies!$A:$A),MATCH(M$1,[3]enemies!$1:$1,0)-MATCH($L$1,[3]enemies!$1:$1,0)+1),MATCH(M$1,[3]enemies!$1:$1,0)-MATCH($L$1,[3]enemies!$1:$1,0)+1,FALSE)</f>
        <v>F2</v>
      </c>
      <c r="N270" s="20" t="str">
        <f ca="1">VLOOKUP($L270,OFFSET([3]enemies!$A$1,0,0,COUNTA([3]enemies!$A:$A),MATCH(N$1,[3]enemies!$1:$1,0)-MATCH($L$1,[3]enemies!$1:$1,0)+1),MATCH(N$1,[3]enemies!$1:$1,0)-MATCH($L$1,[3]enemies!$1:$1,0)+1,FALSE)</f>
        <v>green</v>
      </c>
      <c r="O270" s="22" t="str">
        <f ca="1">VLOOKUP($L270,OFFSET([4]characters!$A$1,0,0,COUNTA([4]characters!$A:$A),MATCH(O$1,[4]characters!$1:$1,0)-MATCH($L$1,[4]characters!$1:$1,0)+1),MATCH(O$1,[4]characters!$1:$1,0)-MATCH($L$1,[4]characters!$1:$1,0)+1,FALSE)</f>
        <v>Drop1S</v>
      </c>
      <c r="P270" s="20" t="str">
        <f ca="1">VLOOKUP($L270,OFFSET([3]enemies!$A$1,0,0,COUNTA([3]enemies!$A:$A),MATCH(P$1,[3]enemies!$1:$1,0)-MATCH($L$1,[3]enemies!$1:$1,0)+1),MATCH(P$1,[3]enemies!$1:$1,0)-MATCH($L$1,[3]enemies!$1:$1,0)+1,FALSE)</f>
        <v>machine</v>
      </c>
      <c r="Q270" s="20">
        <f ca="1">VLOOKUP($L270,OFFSET([3]enemies!$A$1,0,0,COUNTA([3]enemies!$A:$A),MATCH(Q$1,[3]enemies!$1:$1,0)-MATCH($L$1,[3]enemies!$1:$1,0)+1),MATCH(Q$1,[3]enemies!$1:$1,0)-MATCH($L$1,[3]enemies!$1:$1,0)+1,FALSE)</f>
        <v>15</v>
      </c>
      <c r="R270" s="6">
        <v>35</v>
      </c>
      <c r="S270" s="30">
        <v>1</v>
      </c>
      <c r="T270" s="30">
        <v>1</v>
      </c>
      <c r="U270" s="6">
        <v>0</v>
      </c>
      <c r="V270" s="5" t="str">
        <f ca="1">VLOOKUP($W270,OFFSET([5]enemy_skill_sets!$B$1,0,0,COUNTA([5]enemy_skill_sets!$B:$B),MATCH(M$1,[5]enemy_skill_sets!$1:$1,0)-MATCH($W$1,[5]enemy_skill_sets!$1:$1,0)+2),MATCH(M$1,[5]enemy_skill_sets!$1:$1,0)-MATCH($W$1,[5]enemy_skill_sets!$1:$1,0)+2,FALSE)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70" s="5">
        <f ca="1">VLOOKUP($L270,OFFSET([3]enemies!$A$1,0,0,COUNTA([3]enemies!$A:$A),MATCH(W$1,[3]enemies!$1:$1,0)-MATCH($L$1,[3]enemies!$1:$1,0)+1),MATCH(W$1,[3]enemies!$1:$1,0)-MATCH($L$1,[3]enemies!$1:$1,0)+1,FALSE)</f>
        <v>35</v>
      </c>
      <c r="X270" s="7">
        <v>0</v>
      </c>
      <c r="Y270" s="7">
        <v>100</v>
      </c>
      <c r="Z270" s="7">
        <v>0</v>
      </c>
      <c r="AA270" s="20">
        <f ca="1">VLOOKUP($L270,OFFSET([3]enemies!$A$1,0,0,COUNTA([3]enemies!$A:$A),MATCH(AA$1,[3]enemies!$1:$1,0)-MATCH($L$1,[3]enemies!$1:$1,0)+1),MATCH(AA$1,[3]enemies!$1:$1,0)-MATCH($L$1,[3]enemies!$1:$1,0)+1,FALSE)</f>
        <v>4</v>
      </c>
      <c r="AB270" s="70">
        <v>35</v>
      </c>
      <c r="AC270" s="5" t="str">
        <f ca="1">IFERROR(VLOOKUP($AB270,OFFSET([4]characters!$A$1,0,0,COUNTA([4]characters!$A:$A),MATCH(AC$1,[4]characters!$1:$1,0)-MATCH("character_id",[4]characters!$1:$1,0)+1),MATCH(AC$1,[4]characters!$1:$1,0)-MATCH("character_id",[4]characters!$1:$1,0)+1,FALSE),"")</f>
        <v>F2</v>
      </c>
      <c r="AD270" s="5">
        <f ca="1">IFERROR(VLOOKUP($AB270,OFFSET([4]characters!$A$1,0,0,COUNTA([4]characters!$A:$A),MATCH(AD$1,[4]characters!$1:$1,0)-MATCH("character_id",[4]characters!$1:$1,0)+1),MATCH(AD$1,[4]characters!$1:$1,0)-MATCH("character_id",[4]characters!$1:$1,0)+1,FALSE),"")</f>
        <v>2</v>
      </c>
      <c r="AE270" s="5" t="str">
        <f ca="1">IFERROR(VLOOKUP($AB270,OFFSET([4]characters!$A$1,0,0,COUNTA([4]characters!$A:$A),MATCH(AE$1,[4]characters!$1:$1,0)-MATCH("character_id",[4]characters!$1:$1,0)+1),MATCH(AE$1,[4]characters!$1:$1,0)-MATCH("character_id",[4]characters!$1:$1,0)+1,FALSE),"")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70" s="28">
        <v>1</v>
      </c>
      <c r="AG270" s="75">
        <f t="shared" ca="1" si="64"/>
        <v>2</v>
      </c>
      <c r="AH270" s="9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1</v>
      </c>
      <c r="AN270" s="28">
        <v>1</v>
      </c>
    </row>
    <row r="271" spans="1:40" ht="21" customHeight="1" x14ac:dyDescent="0.15">
      <c r="A271" s="17" t="str">
        <f t="shared" ca="1" si="65"/>
        <v>11104_4-2/27&lt;lv35&gt;s1</v>
      </c>
      <c r="B271" s="84">
        <v>11104</v>
      </c>
      <c r="C271" s="85">
        <v>4</v>
      </c>
      <c r="D271" s="16" t="str">
        <f t="shared" si="60"/>
        <v>11104_4</v>
      </c>
      <c r="E271" s="5" t="str">
        <f ca="1">VLOOKUP($B271,OFFSET([2]quests!$A$1,0,0,COUNTA([2]quests!$A:$A),MATCH(E$1,[2]quests!$1:$1,0)-MATCH($B$1,[2]quests!$1:$1,0)+1),MATCH(E$1,[2]quests!$1:$1,0)-MATCH($B$1,[2]quests!$1:$1,0)+1,FALSE)</f>
        <v>【期間限定】 緑の素材</v>
      </c>
      <c r="F271" s="5" t="str">
        <f ca="1">VLOOKUP($D271,OFFSET([2]stages!$A$1,0,0,COUNTA([2]stages!$A:$A),MATCH(F$1,[2]stages!$2:$2,0)-MATCH($D$1,[2]stages!$2:$2,0)+1),MATCH(F$1,[2]stages!$2:$2,0)-MATCH($D$1,[2]stages!$2:$2,0)+1,FALSE)</f>
        <v>【上級】樹のイモムシ</v>
      </c>
      <c r="G271" s="68">
        <v>2</v>
      </c>
      <c r="H271" s="16" t="str">
        <f t="shared" si="61"/>
        <v>11104_4-2</v>
      </c>
      <c r="I271" s="5" t="e">
        <v>#N/A</v>
      </c>
      <c r="J271" s="5" t="e">
        <v>#N/A</v>
      </c>
      <c r="K271" s="70" t="s">
        <v>217</v>
      </c>
      <c r="L271" s="70">
        <v>27</v>
      </c>
      <c r="M271" s="20" t="str">
        <f ca="1">VLOOKUP($L271,OFFSET([3]enemies!$A$1,0,0,COUNTA([3]enemies!$A:$A),MATCH(M$1,[3]enemies!$1:$1,0)-MATCH($L$1,[3]enemies!$1:$1,0)+1),MATCH(M$1,[3]enemies!$1:$1,0)-MATCH($L$1,[3]enemies!$1:$1,0)+1,FALSE)</f>
        <v>パトライン</v>
      </c>
      <c r="N271" s="20" t="str">
        <f ca="1">VLOOKUP($L271,OFFSET([3]enemies!$A$1,0,0,COUNTA([3]enemies!$A:$A),MATCH(N$1,[3]enemies!$1:$1,0)-MATCH($L$1,[3]enemies!$1:$1,0)+1),MATCH(N$1,[3]enemies!$1:$1,0)-MATCH($L$1,[3]enemies!$1:$1,0)+1,FALSE)</f>
        <v>green</v>
      </c>
      <c r="O271" s="22" t="str">
        <f ca="1">VLOOKUP($L271,OFFSET([4]characters!$A$1,0,0,COUNTA([4]characters!$A:$A),MATCH(O$1,[4]characters!$1:$1,0)-MATCH($L$1,[4]characters!$1:$1,0)+1),MATCH(O$1,[4]characters!$1:$1,0)-MATCH($L$1,[4]characters!$1:$1,0)+1,FALSE)</f>
        <v>Drop1N</v>
      </c>
      <c r="P271" s="20" t="str">
        <f ca="1">VLOOKUP($L271,OFFSET([3]enemies!$A$1,0,0,COUNTA([3]enemies!$A:$A),MATCH(P$1,[3]enemies!$1:$1,0)-MATCH($L$1,[3]enemies!$1:$1,0)+1),MATCH(P$1,[3]enemies!$1:$1,0)-MATCH($L$1,[3]enemies!$1:$1,0)+1,FALSE)</f>
        <v>machine</v>
      </c>
      <c r="Q271" s="20">
        <f ca="1">VLOOKUP($L271,OFFSET([3]enemies!$A$1,0,0,COUNTA([3]enemies!$A:$A),MATCH(Q$1,[3]enemies!$1:$1,0)-MATCH($L$1,[3]enemies!$1:$1,0)+1),MATCH(Q$1,[3]enemies!$1:$1,0)-MATCH($L$1,[3]enemies!$1:$1,0)+1,FALSE)</f>
        <v>15</v>
      </c>
      <c r="R271" s="6">
        <v>35</v>
      </c>
      <c r="S271" s="30">
        <v>1</v>
      </c>
      <c r="T271" s="30">
        <v>1</v>
      </c>
      <c r="U271" s="6">
        <v>0</v>
      </c>
      <c r="V271" s="5" t="str">
        <f ca="1">VLOOKUP($W271,OFFSET([5]enemy_skill_sets!$B$1,0,0,COUNTA([5]enemy_skill_sets!$B:$B),MATCH(M$1,[5]enemy_skill_sets!$1:$1,0)-MATCH($W$1,[5]enemy_skill_sets!$1:$1,0)+2),MATCH(M$1,[5]enemy_skill_sets!$1:$1,0)-MATCH($W$1,[5]enemy_skill_sets!$1:$1,0)+2,FALSE)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1" s="5">
        <f ca="1">VLOOKUP($L271,OFFSET([3]enemies!$A$1,0,0,COUNTA([3]enemies!$A:$A),MATCH(W$1,[3]enemies!$1:$1,0)-MATCH($L$1,[3]enemies!$1:$1,0)+1),MATCH(W$1,[3]enemies!$1:$1,0)-MATCH($L$1,[3]enemies!$1:$1,0)+1,FALSE)</f>
        <v>0</v>
      </c>
      <c r="X271" s="7">
        <v>0</v>
      </c>
      <c r="Y271" s="7">
        <v>100</v>
      </c>
      <c r="Z271" s="7">
        <v>0</v>
      </c>
      <c r="AA271" s="20">
        <f ca="1">VLOOKUP($L271,OFFSET([3]enemies!$A$1,0,0,COUNTA([3]enemies!$A:$A),MATCH(AA$1,[3]enemies!$1:$1,0)-MATCH($L$1,[3]enemies!$1:$1,0)+1),MATCH(AA$1,[3]enemies!$1:$1,0)-MATCH($L$1,[3]enemies!$1:$1,0)+1,FALSE)</f>
        <v>1</v>
      </c>
      <c r="AB271" s="70">
        <v>27</v>
      </c>
      <c r="AC271" s="5" t="str">
        <f ca="1">IFERROR(VLOOKUP($AB271,OFFSET([4]characters!$A$1,0,0,COUNTA([4]characters!$A:$A),MATCH(AC$1,[4]characters!$1:$1,0)-MATCH("character_id",[4]characters!$1:$1,0)+1),MATCH(AC$1,[4]characters!$1:$1,0)-MATCH("character_id",[4]characters!$1:$1,0)+1,FALSE),"")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271" s="5">
        <f ca="1">IFERROR(VLOOKUP($AB271,OFFSET([4]characters!$A$1,0,0,COUNTA([4]characters!$A:$A),MATCH(AD$1,[4]characters!$1:$1,0)-MATCH("character_id",[4]characters!$1:$1,0)+1),MATCH(AD$1,[4]characters!$1:$1,0)-MATCH("character_id",[4]characters!$1:$1,0)+1,FALSE),"")</f>
        <v>1</v>
      </c>
      <c r="AE271" s="5" t="str">
        <f ca="1">IFERROR(VLOOKUP($AB271,OFFSET([4]characters!$A$1,0,0,COUNTA([4]characters!$A:$A),MATCH(AE$1,[4]characters!$1:$1,0)-MATCH("character_id",[4]characters!$1:$1,0)+1),MATCH(AE$1,[4]characters!$1:$1,0)-MATCH("character_id",[4]characters!$1:$1,0)+1,FALSE),"")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1" s="28">
        <v>1</v>
      </c>
      <c r="AG271" s="75">
        <f t="shared" ca="1" si="64"/>
        <v>1</v>
      </c>
      <c r="AH271" s="9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1</v>
      </c>
      <c r="AN271" s="28">
        <v>1</v>
      </c>
    </row>
    <row r="272" spans="1:40" ht="21" customHeight="1" x14ac:dyDescent="0.15">
      <c r="A272" s="17" t="str">
        <f t="shared" ca="1" si="65"/>
        <v>11104_4-2/336&lt;lv1&gt;s1</v>
      </c>
      <c r="B272" s="84">
        <v>11104</v>
      </c>
      <c r="C272" s="85">
        <v>4</v>
      </c>
      <c r="D272" s="16" t="str">
        <f t="shared" si="60"/>
        <v>11104_4</v>
      </c>
      <c r="E272" s="5" t="str">
        <f ca="1">VLOOKUP($B272,OFFSET([2]quests!$A$1,0,0,COUNTA([2]quests!$A:$A),MATCH(E$1,[2]quests!$1:$1,0)-MATCH($B$1,[2]quests!$1:$1,0)+1),MATCH(E$1,[2]quests!$1:$1,0)-MATCH($B$1,[2]quests!$1:$1,0)+1,FALSE)</f>
        <v>【期間限定】 緑の素材</v>
      </c>
      <c r="F272" s="5" t="str">
        <f ca="1">VLOOKUP($D272,OFFSET([2]stages!$A$1,0,0,COUNTA([2]stages!$A:$A),MATCH(F$1,[2]stages!$2:$2,0)-MATCH($D$1,[2]stages!$2:$2,0)+1),MATCH(F$1,[2]stages!$2:$2,0)-MATCH($D$1,[2]stages!$2:$2,0)+1,FALSE)</f>
        <v>【上級】樹のイモムシ</v>
      </c>
      <c r="G272" s="68">
        <v>2</v>
      </c>
      <c r="H272" s="16" t="str">
        <f t="shared" si="61"/>
        <v>11104_4-2</v>
      </c>
      <c r="I272" s="5" t="e">
        <v>#N/A</v>
      </c>
      <c r="J272" s="5" t="e">
        <v>#N/A</v>
      </c>
      <c r="K272" s="70" t="s">
        <v>217</v>
      </c>
      <c r="L272" s="70">
        <v>336</v>
      </c>
      <c r="M272" s="20" t="str">
        <f ca="1">VLOOKUP($L272,OFFSET([3]enemies!$A$1,0,0,COUNTA([3]enemies!$A:$A),MATCH(M$1,[3]enemies!$1:$1,0)-MATCH($L$1,[3]enemies!$1:$1,0)+1),MATCH(M$1,[3]enemies!$1:$1,0)-MATCH($L$1,[3]enemies!$1:$1,0)+1,FALSE)</f>
        <v>森のメタルピヨピヨ</v>
      </c>
      <c r="N272" s="20" t="str">
        <f ca="1">VLOOKUP($L272,OFFSET([3]enemies!$A$1,0,0,COUNTA([3]enemies!$A:$A),MATCH(N$1,[3]enemies!$1:$1,0)-MATCH($L$1,[3]enemies!$1:$1,0)+1),MATCH(N$1,[3]enemies!$1:$1,0)-MATCH($L$1,[3]enemies!$1:$1,0)+1,FALSE)</f>
        <v>green</v>
      </c>
      <c r="O272" s="22" t="str">
        <f ca="1">VLOOKUP($L272,OFFSET([4]characters!$A$1,0,0,COUNTA([4]characters!$A:$A),MATCH(O$1,[4]characters!$1:$1,0)-MATCH($L$1,[4]characters!$1:$1,0)+1),MATCH(O$1,[4]characters!$1:$1,0)-MATCH($L$1,[4]characters!$1:$1,0)+1,FALSE)</f>
        <v>Material</v>
      </c>
      <c r="P272" s="20" t="str">
        <f ca="1">VLOOKUP($L272,OFFSET([3]enemies!$A$1,0,0,COUNTA([3]enemies!$A:$A),MATCH(P$1,[3]enemies!$1:$1,0)-MATCH($L$1,[3]enemies!$1:$1,0)+1),MATCH(P$1,[3]enemies!$1:$1,0)-MATCH($L$1,[3]enemies!$1:$1,0)+1,FALSE)</f>
        <v>unknown</v>
      </c>
      <c r="Q272" s="20">
        <f ca="1">VLOOKUP($L272,OFFSET([3]enemies!$A$1,0,0,COUNTA([3]enemies!$A:$A),MATCH(Q$1,[3]enemies!$1:$1,0)-MATCH($L$1,[3]enemies!$1:$1,0)+1),MATCH(Q$1,[3]enemies!$1:$1,0)-MATCH($L$1,[3]enemies!$1:$1,0)+1,FALSE)</f>
        <v>15</v>
      </c>
      <c r="R272" s="6">
        <v>1</v>
      </c>
      <c r="S272" s="30">
        <v>1</v>
      </c>
      <c r="T272" s="30">
        <v>1</v>
      </c>
      <c r="U272" s="6">
        <v>0</v>
      </c>
      <c r="V272" s="5" t="str">
        <f ca="1">VLOOKUP($W272,OFFSET([5]enemy_skill_sets!$B$1,0,0,COUNTA([5]enemy_skill_sets!$B:$B),MATCH(M$1,[5]enemy_skill_sets!$1:$1,0)-MATCH($W$1,[5]enemy_skill_sets!$1:$1,0)+2),MATCH(M$1,[5]enemy_skill_sets!$1:$1,0)-MATCH($W$1,[5]enemy_skill_sets!$1:$1,0)+2,FALSE)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2" s="5">
        <f ca="1">VLOOKUP($L272,OFFSET([3]enemies!$A$1,0,0,COUNTA([3]enemies!$A:$A),MATCH(W$1,[3]enemies!$1:$1,0)-MATCH($L$1,[3]enemies!$1:$1,0)+1),MATCH(W$1,[3]enemies!$1:$1,0)-MATCH($L$1,[3]enemies!$1:$1,0)+1,FALSE)</f>
        <v>0</v>
      </c>
      <c r="X272" s="7">
        <v>0</v>
      </c>
      <c r="Y272" s="7">
        <v>30</v>
      </c>
      <c r="Z272" s="7">
        <v>0</v>
      </c>
      <c r="AA272" s="20">
        <f ca="1">VLOOKUP($L272,OFFSET([3]enemies!$A$1,0,0,COUNTA([3]enemies!$A:$A),MATCH(AA$1,[3]enemies!$1:$1,0)-MATCH($L$1,[3]enemies!$1:$1,0)+1),MATCH(AA$1,[3]enemies!$1:$1,0)-MATCH($L$1,[3]enemies!$1:$1,0)+1,FALSE)</f>
        <v>1</v>
      </c>
      <c r="AB272" s="70">
        <v>336</v>
      </c>
      <c r="AC272" s="5" t="str">
        <f ca="1">IFERROR(VLOOKUP($AB272,OFFSET([4]characters!$A$1,0,0,COUNTA([4]characters!$A:$A),MATCH(AC$1,[4]characters!$1:$1,0)-MATCH("character_id",[4]characters!$1:$1,0)+1),MATCH(AC$1,[4]characters!$1:$1,0)-MATCH("character_id",[4]characters!$1:$1,0)+1,FALSE),"")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272" s="5">
        <f ca="1">IFERROR(VLOOKUP($AB272,OFFSET([4]characters!$A$1,0,0,COUNTA([4]characters!$A:$A),MATCH(AD$1,[4]characters!$1:$1,0)-MATCH("character_id",[4]characters!$1:$1,0)+1),MATCH(AD$1,[4]characters!$1:$1,0)-MATCH("character_id",[4]characters!$1:$1,0)+1,FALSE),"")</f>
        <v>3</v>
      </c>
      <c r="AE272" s="5" t="str">
        <f ca="1">IFERROR(VLOOKUP($AB272,OFFSET([4]characters!$A$1,0,0,COUNTA([4]characters!$A:$A),MATCH(AE$1,[4]characters!$1:$1,0)-MATCH("character_id",[4]characters!$1:$1,0)+1),MATCH(AE$1,[4]characters!$1:$1,0)-MATCH("character_id",[4]characters!$1:$1,0)+1,FALSE),"")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2" s="28">
        <v>1</v>
      </c>
      <c r="AG272" s="75">
        <f t="shared" ca="1" si="64"/>
        <v>3</v>
      </c>
      <c r="AH272" s="9">
        <v>10</v>
      </c>
      <c r="AI272" s="28">
        <v>0</v>
      </c>
      <c r="AJ272" s="28">
        <v>0</v>
      </c>
      <c r="AK272" s="28">
        <v>0</v>
      </c>
      <c r="AL272" s="28">
        <v>0</v>
      </c>
      <c r="AM272" s="28">
        <v>1</v>
      </c>
      <c r="AN272" s="28">
        <v>1</v>
      </c>
    </row>
    <row r="273" spans="1:40" ht="21" customHeight="1" x14ac:dyDescent="0.15">
      <c r="A273" s="17" t="str">
        <f t="shared" ca="1" si="65"/>
        <v>11104_4-2/337&lt;lv1&gt;s2</v>
      </c>
      <c r="B273" s="84">
        <v>11104</v>
      </c>
      <c r="C273" s="85">
        <v>4</v>
      </c>
      <c r="D273" s="16" t="str">
        <f t="shared" si="60"/>
        <v>11104_4</v>
      </c>
      <c r="E273" s="5" t="str">
        <f ca="1">VLOOKUP($B273,OFFSET([2]quests!$A$1,0,0,COUNTA([2]quests!$A:$A),MATCH(E$1,[2]quests!$1:$1,0)-MATCH($B$1,[2]quests!$1:$1,0)+1),MATCH(E$1,[2]quests!$1:$1,0)-MATCH($B$1,[2]quests!$1:$1,0)+1,FALSE)</f>
        <v>【期間限定】 緑の素材</v>
      </c>
      <c r="F273" s="5" t="str">
        <f ca="1">VLOOKUP($D273,OFFSET([2]stages!$A$1,0,0,COUNTA([2]stages!$A:$A),MATCH(F$1,[2]stages!$2:$2,0)-MATCH($D$1,[2]stages!$2:$2,0)+1),MATCH(F$1,[2]stages!$2:$2,0)-MATCH($D$1,[2]stages!$2:$2,0)+1,FALSE)</f>
        <v>【上級】樹のイモムシ</v>
      </c>
      <c r="G273" s="68">
        <v>2</v>
      </c>
      <c r="H273" s="16" t="str">
        <f t="shared" si="61"/>
        <v>11104_4-2</v>
      </c>
      <c r="I273" s="5" t="e">
        <v>#N/A</v>
      </c>
      <c r="J273" s="5" t="e">
        <v>#N/A</v>
      </c>
      <c r="K273" s="70" t="s">
        <v>217</v>
      </c>
      <c r="L273" s="70">
        <v>337</v>
      </c>
      <c r="M273" s="20" t="str">
        <f ca="1">VLOOKUP($L273,OFFSET([3]enemies!$A$1,0,0,COUNTA([3]enemies!$A:$A),MATCH(M$1,[3]enemies!$1:$1,0)-MATCH($L$1,[3]enemies!$1:$1,0)+1),MATCH(M$1,[3]enemies!$1:$1,0)-MATCH($L$1,[3]enemies!$1:$1,0)+1,FALSE)</f>
        <v>森のメタルチック</v>
      </c>
      <c r="N273" s="20" t="str">
        <f ca="1">VLOOKUP($L273,OFFSET([3]enemies!$A$1,0,0,COUNTA([3]enemies!$A:$A),MATCH(N$1,[3]enemies!$1:$1,0)-MATCH($L$1,[3]enemies!$1:$1,0)+1),MATCH(N$1,[3]enemies!$1:$1,0)-MATCH($L$1,[3]enemies!$1:$1,0)+1,FALSE)</f>
        <v>green</v>
      </c>
      <c r="O273" s="22" t="str">
        <f ca="1">VLOOKUP($L273,OFFSET([4]characters!$A$1,0,0,COUNTA([4]characters!$A:$A),MATCH(O$1,[4]characters!$1:$1,0)-MATCH($L$1,[4]characters!$1:$1,0)+1),MATCH(O$1,[4]characters!$1:$1,0)-MATCH($L$1,[4]characters!$1:$1,0)+1,FALSE)</f>
        <v>Material</v>
      </c>
      <c r="P273" s="20" t="str">
        <f ca="1">VLOOKUP($L273,OFFSET([3]enemies!$A$1,0,0,COUNTA([3]enemies!$A:$A),MATCH(P$1,[3]enemies!$1:$1,0)-MATCH($L$1,[3]enemies!$1:$1,0)+1),MATCH(P$1,[3]enemies!$1:$1,0)-MATCH($L$1,[3]enemies!$1:$1,0)+1,FALSE)</f>
        <v>unknown</v>
      </c>
      <c r="Q273" s="20">
        <f ca="1">VLOOKUP($L273,OFFSET([3]enemies!$A$1,0,0,COUNTA([3]enemies!$A:$A),MATCH(Q$1,[3]enemies!$1:$1,0)-MATCH($L$1,[3]enemies!$1:$1,0)+1),MATCH(Q$1,[3]enemies!$1:$1,0)-MATCH($L$1,[3]enemies!$1:$1,0)+1,FALSE)</f>
        <v>15</v>
      </c>
      <c r="R273" s="6">
        <v>1</v>
      </c>
      <c r="S273" s="30">
        <v>1</v>
      </c>
      <c r="T273" s="30">
        <v>1</v>
      </c>
      <c r="U273" s="6">
        <v>0</v>
      </c>
      <c r="V273" s="5" t="str">
        <f ca="1">VLOOKUP($W273,OFFSET([5]enemy_skill_sets!$B$1,0,0,COUNTA([5]enemy_skill_sets!$B:$B),MATCH(M$1,[5]enemy_skill_sets!$1:$1,0)-MATCH($W$1,[5]enemy_skill_sets!$1:$1,0)+2),MATCH(M$1,[5]enemy_skill_sets!$1:$1,0)-MATCH($W$1,[5]enemy_skill_sets!$1:$1,0)+2,FALSE)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3" s="5">
        <f ca="1">VLOOKUP($L273,OFFSET([3]enemies!$A$1,0,0,COUNTA([3]enemies!$A:$A),MATCH(W$1,[3]enemies!$1:$1,0)-MATCH($L$1,[3]enemies!$1:$1,0)+1),MATCH(W$1,[3]enemies!$1:$1,0)-MATCH($L$1,[3]enemies!$1:$1,0)+1,FALSE)</f>
        <v>0</v>
      </c>
      <c r="X273" s="7">
        <v>0</v>
      </c>
      <c r="Y273" s="7">
        <v>30</v>
      </c>
      <c r="Z273" s="7">
        <v>0</v>
      </c>
      <c r="AA273" s="20">
        <f ca="1">VLOOKUP($L273,OFFSET([3]enemies!$A$1,0,0,COUNTA([3]enemies!$A:$A),MATCH(AA$1,[3]enemies!$1:$1,0)-MATCH($L$1,[3]enemies!$1:$1,0)+1),MATCH(AA$1,[3]enemies!$1:$1,0)-MATCH($L$1,[3]enemies!$1:$1,0)+1,FALSE)</f>
        <v>2</v>
      </c>
      <c r="AB273" s="70">
        <v>337</v>
      </c>
      <c r="AC273" s="5" t="str">
        <f ca="1">IFERROR(VLOOKUP($AB273,OFFSET([4]characters!$A$1,0,0,COUNTA([4]characters!$A:$A),MATCH(AC$1,[4]characters!$1:$1,0)-MATCH("character_id",[4]characters!$1:$1,0)+1),MATCH(AC$1,[4]characters!$1:$1,0)-MATCH("character_id",[4]characters!$1:$1,0)+1,FALSE),"")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273" s="5">
        <f ca="1">IFERROR(VLOOKUP($AB273,OFFSET([4]characters!$A$1,0,0,COUNTA([4]characters!$A:$A),MATCH(AD$1,[4]characters!$1:$1,0)-MATCH("character_id",[4]characters!$1:$1,0)+1),MATCH(AD$1,[4]characters!$1:$1,0)-MATCH("character_id",[4]characters!$1:$1,0)+1,FALSE),"")</f>
        <v>4</v>
      </c>
      <c r="AE273" s="5" t="str">
        <f ca="1">IFERROR(VLOOKUP($AB273,OFFSET([4]characters!$A$1,0,0,COUNTA([4]characters!$A:$A),MATCH(AE$1,[4]characters!$1:$1,0)-MATCH("character_id",[4]characters!$1:$1,0)+1),MATCH(AE$1,[4]characters!$1:$1,0)-MATCH("character_id",[4]characters!$1:$1,0)+1,FALSE),"")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3" s="28">
        <v>1</v>
      </c>
      <c r="AG273" s="75">
        <f t="shared" ca="1" si="64"/>
        <v>4</v>
      </c>
      <c r="AH273" s="9">
        <v>5</v>
      </c>
      <c r="AI273" s="28">
        <v>0</v>
      </c>
      <c r="AJ273" s="28">
        <v>0</v>
      </c>
      <c r="AK273" s="28">
        <v>0</v>
      </c>
      <c r="AL273" s="28">
        <v>0</v>
      </c>
      <c r="AM273" s="28">
        <v>1</v>
      </c>
      <c r="AN273" s="28">
        <v>1</v>
      </c>
    </row>
    <row r="274" spans="1:40" ht="21" customHeight="1" x14ac:dyDescent="0.15">
      <c r="A274" s="17" t="str">
        <f t="shared" ca="1" si="65"/>
        <v>11104_4-3/107&lt;lv30&gt;s1</v>
      </c>
      <c r="B274" s="84">
        <v>11104</v>
      </c>
      <c r="C274" s="85">
        <v>4</v>
      </c>
      <c r="D274" s="16" t="str">
        <f t="shared" si="60"/>
        <v>11104_4</v>
      </c>
      <c r="E274" s="5" t="str">
        <f ca="1">VLOOKUP($B274,OFFSET([2]quests!$A$1,0,0,COUNTA([2]quests!$A:$A),MATCH(E$1,[2]quests!$1:$1,0)-MATCH($B$1,[2]quests!$1:$1,0)+1),MATCH(E$1,[2]quests!$1:$1,0)-MATCH($B$1,[2]quests!$1:$1,0)+1,FALSE)</f>
        <v>【期間限定】 緑の素材</v>
      </c>
      <c r="F274" s="5" t="str">
        <f ca="1">VLOOKUP($D274,OFFSET([2]stages!$A$1,0,0,COUNTA([2]stages!$A:$A),MATCH(F$1,[2]stages!$2:$2,0)-MATCH($D$1,[2]stages!$2:$2,0)+1),MATCH(F$1,[2]stages!$2:$2,0)-MATCH($D$1,[2]stages!$2:$2,0)+1,FALSE)</f>
        <v>【上級】樹のイモムシ</v>
      </c>
      <c r="G274" s="68">
        <v>3</v>
      </c>
      <c r="H274" s="16" t="str">
        <f t="shared" si="61"/>
        <v>11104_4-3</v>
      </c>
      <c r="I274" s="5" t="e">
        <v>#N/A</v>
      </c>
      <c r="J274" s="5" t="e">
        <v>#N/A</v>
      </c>
      <c r="K274" s="70" t="s">
        <v>217</v>
      </c>
      <c r="L274" s="70">
        <v>107</v>
      </c>
      <c r="M274" s="20" t="str">
        <f ca="1">VLOOKUP($L274,OFFSET([3]enemies!$A$1,0,0,COUNTA([3]enemies!$A:$A),MATCH(M$1,[3]enemies!$1:$1,0)-MATCH($L$1,[3]enemies!$1:$1,0)+1),MATCH(M$1,[3]enemies!$1:$1,0)-MATCH($L$1,[3]enemies!$1:$1,0)+1,FALSE)</f>
        <v>グリーンキャタップ</v>
      </c>
      <c r="N274" s="20" t="str">
        <f ca="1">VLOOKUP($L274,OFFSET([3]enemies!$A$1,0,0,COUNTA([3]enemies!$A:$A),MATCH(N$1,[3]enemies!$1:$1,0)-MATCH($L$1,[3]enemies!$1:$1,0)+1),MATCH(N$1,[3]enemies!$1:$1,0)-MATCH($L$1,[3]enemies!$1:$1,0)+1,FALSE)</f>
        <v>green</v>
      </c>
      <c r="O274" s="22" t="str">
        <f ca="1">VLOOKUP($L274,OFFSET([4]characters!$A$1,0,0,COUNTA([4]characters!$A:$A),MATCH(O$1,[4]characters!$1:$1,0)-MATCH($L$1,[4]characters!$1:$1,0)+1),MATCH(O$1,[4]characters!$1:$1,0)-MATCH($L$1,[4]characters!$1:$1,0)+1,FALSE)</f>
        <v>Material</v>
      </c>
      <c r="P274" s="20" t="str">
        <f ca="1">VLOOKUP($L274,OFFSET([3]enemies!$A$1,0,0,COUNTA([3]enemies!$A:$A),MATCH(P$1,[3]enemies!$1:$1,0)-MATCH($L$1,[3]enemies!$1:$1,0)+1),MATCH(P$1,[3]enemies!$1:$1,0)-MATCH($L$1,[3]enemies!$1:$1,0)+1,FALSE)</f>
        <v>unknown</v>
      </c>
      <c r="Q274" s="20">
        <f ca="1">VLOOKUP($L274,OFFSET([3]enemies!$A$1,0,0,COUNTA([3]enemies!$A:$A),MATCH(Q$1,[3]enemies!$1:$1,0)-MATCH($L$1,[3]enemies!$1:$1,0)+1),MATCH(Q$1,[3]enemies!$1:$1,0)-MATCH($L$1,[3]enemies!$1:$1,0)+1,FALSE)</f>
        <v>15</v>
      </c>
      <c r="R274" s="6">
        <v>30</v>
      </c>
      <c r="S274" s="30">
        <v>2</v>
      </c>
      <c r="T274" s="30">
        <v>1</v>
      </c>
      <c r="U274" s="6">
        <v>0</v>
      </c>
      <c r="V274" s="5" t="str">
        <f ca="1">VLOOKUP($W274,OFFSET([5]enemy_skill_sets!$B$1,0,0,COUNTA([5]enemy_skill_sets!$B:$B),MATCH(M$1,[5]enemy_skill_sets!$1:$1,0)-MATCH($W$1,[5]enemy_skill_sets!$1:$1,0)+2),MATCH(M$1,[5]enemy_skill_sets!$1:$1,0)-MATCH($W$1,[5]enemy_skill_sets!$1:$1,0)+2,FALSE)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4" s="5">
        <f ca="1">VLOOKUP($L274,OFFSET([3]enemies!$A$1,0,0,COUNTA([3]enemies!$A:$A),MATCH(W$1,[3]enemies!$1:$1,0)-MATCH($L$1,[3]enemies!$1:$1,0)+1),MATCH(W$1,[3]enemies!$1:$1,0)-MATCH($L$1,[3]enemies!$1:$1,0)+1,FALSE)</f>
        <v>0</v>
      </c>
      <c r="X274" s="7">
        <v>1</v>
      </c>
      <c r="Y274" s="7">
        <v>100</v>
      </c>
      <c r="Z274" s="7">
        <v>1</v>
      </c>
      <c r="AA274" s="20">
        <f ca="1">VLOOKUP($L274,OFFSET([3]enemies!$A$1,0,0,COUNTA([3]enemies!$A:$A),MATCH(AA$1,[3]enemies!$1:$1,0)-MATCH($L$1,[3]enemies!$1:$1,0)+1),MATCH(AA$1,[3]enemies!$1:$1,0)-MATCH($L$1,[3]enemies!$1:$1,0)+1,FALSE)</f>
        <v>1</v>
      </c>
      <c r="AB274" s="70">
        <v>107</v>
      </c>
      <c r="AC274" s="5" t="str">
        <f ca="1">IFERROR(VLOOKUP($AB274,OFFSET([4]characters!$A$1,0,0,COUNTA([4]characters!$A:$A),MATCH(AC$1,[4]characters!$1:$1,0)-MATCH("character_id",[4]characters!$1:$1,0)+1),MATCH(AC$1,[4]characters!$1:$1,0)-MATCH("character_id",[4]characters!$1:$1,0)+1,FALSE),"")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274" s="5">
        <f ca="1">IFERROR(VLOOKUP($AB274,OFFSET([4]characters!$A$1,0,0,COUNTA([4]characters!$A:$A),MATCH(AD$1,[4]characters!$1:$1,0)-MATCH("character_id",[4]characters!$1:$1,0)+1),MATCH(AD$1,[4]characters!$1:$1,0)-MATCH("character_id",[4]characters!$1:$1,0)+1,FALSE),"")</f>
        <v>4</v>
      </c>
      <c r="AE274" s="5" t="str">
        <f ca="1">IFERROR(VLOOKUP($AB274,OFFSET([4]characters!$A$1,0,0,COUNTA([4]characters!$A:$A),MATCH(AE$1,[4]characters!$1:$1,0)-MATCH("character_id",[4]characters!$1:$1,0)+1),MATCH(AE$1,[4]characters!$1:$1,0)-MATCH("character_id",[4]characters!$1:$1,0)+1,FALSE),"")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4" s="28">
        <v>1</v>
      </c>
      <c r="AG274" s="75">
        <f t="shared" ca="1" si="64"/>
        <v>4</v>
      </c>
      <c r="AH274" s="9">
        <v>50</v>
      </c>
      <c r="AI274" s="28">
        <v>0</v>
      </c>
      <c r="AJ274" s="28">
        <v>0</v>
      </c>
      <c r="AK274" s="28">
        <v>0</v>
      </c>
      <c r="AL274" s="28">
        <v>0</v>
      </c>
      <c r="AM274" s="28">
        <v>1</v>
      </c>
      <c r="AN274" s="28">
        <v>1</v>
      </c>
    </row>
    <row r="275" spans="1:40" ht="21" customHeight="1" x14ac:dyDescent="0.15">
      <c r="A275" s="17" t="str">
        <f t="shared" ca="1" si="65"/>
        <v>11104_4-3/35&lt;lv35&gt;s4</v>
      </c>
      <c r="B275" s="84">
        <v>11104</v>
      </c>
      <c r="C275" s="85">
        <v>4</v>
      </c>
      <c r="D275" s="16" t="str">
        <f t="shared" si="60"/>
        <v>11104_4</v>
      </c>
      <c r="E275" s="5" t="str">
        <f ca="1">VLOOKUP($B275,OFFSET([2]quests!$A$1,0,0,COUNTA([2]quests!$A:$A),MATCH(E$1,[2]quests!$1:$1,0)-MATCH($B$1,[2]quests!$1:$1,0)+1),MATCH(E$1,[2]quests!$1:$1,0)-MATCH($B$1,[2]quests!$1:$1,0)+1,FALSE)</f>
        <v>【期間限定】 緑の素材</v>
      </c>
      <c r="F275" s="5" t="str">
        <f ca="1">VLOOKUP($D275,OFFSET([2]stages!$A$1,0,0,COUNTA([2]stages!$A:$A),MATCH(F$1,[2]stages!$2:$2,0)-MATCH($D$1,[2]stages!$2:$2,0)+1),MATCH(F$1,[2]stages!$2:$2,0)-MATCH($D$1,[2]stages!$2:$2,0)+1,FALSE)</f>
        <v>【上級】樹のイモムシ</v>
      </c>
      <c r="G275" s="68">
        <v>3</v>
      </c>
      <c r="H275" s="16" t="str">
        <f t="shared" si="61"/>
        <v>11104_4-3</v>
      </c>
      <c r="I275" s="5" t="e">
        <v>#N/A</v>
      </c>
      <c r="J275" s="5" t="e">
        <v>#N/A</v>
      </c>
      <c r="K275" s="70" t="s">
        <v>217</v>
      </c>
      <c r="L275" s="70">
        <v>35</v>
      </c>
      <c r="M275" s="20" t="str">
        <f ca="1">VLOOKUP($L275,OFFSET([3]enemies!$A$1,0,0,COUNTA([3]enemies!$A:$A),MATCH(M$1,[3]enemies!$1:$1,0)-MATCH($L$1,[3]enemies!$1:$1,0)+1),MATCH(M$1,[3]enemies!$1:$1,0)-MATCH($L$1,[3]enemies!$1:$1,0)+1,FALSE)</f>
        <v>F2</v>
      </c>
      <c r="N275" s="20" t="str">
        <f ca="1">VLOOKUP($L275,OFFSET([3]enemies!$A$1,0,0,COUNTA([3]enemies!$A:$A),MATCH(N$1,[3]enemies!$1:$1,0)-MATCH($L$1,[3]enemies!$1:$1,0)+1),MATCH(N$1,[3]enemies!$1:$1,0)-MATCH($L$1,[3]enemies!$1:$1,0)+1,FALSE)</f>
        <v>green</v>
      </c>
      <c r="O275" s="22" t="str">
        <f ca="1">VLOOKUP($L275,OFFSET([4]characters!$A$1,0,0,COUNTA([4]characters!$A:$A),MATCH(O$1,[4]characters!$1:$1,0)-MATCH($L$1,[4]characters!$1:$1,0)+1),MATCH(O$1,[4]characters!$1:$1,0)-MATCH($L$1,[4]characters!$1:$1,0)+1,FALSE)</f>
        <v>Drop1S</v>
      </c>
      <c r="P275" s="20" t="str">
        <f ca="1">VLOOKUP($L275,OFFSET([3]enemies!$A$1,0,0,COUNTA([3]enemies!$A:$A),MATCH(P$1,[3]enemies!$1:$1,0)-MATCH($L$1,[3]enemies!$1:$1,0)+1),MATCH(P$1,[3]enemies!$1:$1,0)-MATCH($L$1,[3]enemies!$1:$1,0)+1,FALSE)</f>
        <v>machine</v>
      </c>
      <c r="Q275" s="20">
        <f ca="1">VLOOKUP($L275,OFFSET([3]enemies!$A$1,0,0,COUNTA([3]enemies!$A:$A),MATCH(Q$1,[3]enemies!$1:$1,0)-MATCH($L$1,[3]enemies!$1:$1,0)+1),MATCH(Q$1,[3]enemies!$1:$1,0)-MATCH($L$1,[3]enemies!$1:$1,0)+1,FALSE)</f>
        <v>15</v>
      </c>
      <c r="R275" s="6">
        <v>35</v>
      </c>
      <c r="S275" s="30">
        <v>1</v>
      </c>
      <c r="T275" s="30">
        <v>1</v>
      </c>
      <c r="U275" s="6">
        <v>0</v>
      </c>
      <c r="V275" s="5" t="str">
        <f ca="1">VLOOKUP($W275,OFFSET([5]enemy_skill_sets!$B$1,0,0,COUNTA([5]enemy_skill_sets!$B:$B),MATCH(M$1,[5]enemy_skill_sets!$1:$1,0)-MATCH($W$1,[5]enemy_skill_sets!$1:$1,0)+2),MATCH(M$1,[5]enemy_skill_sets!$1:$1,0)-MATCH($W$1,[5]enemy_skill_sets!$1:$1,0)+2,FALSE)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75" s="5">
        <f ca="1">VLOOKUP($L275,OFFSET([3]enemies!$A$1,0,0,COUNTA([3]enemies!$A:$A),MATCH(W$1,[3]enemies!$1:$1,0)-MATCH($L$1,[3]enemies!$1:$1,0)+1),MATCH(W$1,[3]enemies!$1:$1,0)-MATCH($L$1,[3]enemies!$1:$1,0)+1,FALSE)</f>
        <v>35</v>
      </c>
      <c r="X275" s="7">
        <v>0</v>
      </c>
      <c r="Y275" s="7">
        <v>100</v>
      </c>
      <c r="Z275" s="7">
        <v>0</v>
      </c>
      <c r="AA275" s="20">
        <f ca="1">VLOOKUP($L275,OFFSET([3]enemies!$A$1,0,0,COUNTA([3]enemies!$A:$A),MATCH(AA$1,[3]enemies!$1:$1,0)-MATCH($L$1,[3]enemies!$1:$1,0)+1),MATCH(AA$1,[3]enemies!$1:$1,0)-MATCH($L$1,[3]enemies!$1:$1,0)+1,FALSE)</f>
        <v>4</v>
      </c>
      <c r="AB275" s="70">
        <v>35</v>
      </c>
      <c r="AC275" s="5" t="str">
        <f ca="1">IFERROR(VLOOKUP($AB275,OFFSET([4]characters!$A$1,0,0,COUNTA([4]characters!$A:$A),MATCH(AC$1,[4]characters!$1:$1,0)-MATCH("character_id",[4]characters!$1:$1,0)+1),MATCH(AC$1,[4]characters!$1:$1,0)-MATCH("character_id",[4]characters!$1:$1,0)+1,FALSE),"")</f>
        <v>F2</v>
      </c>
      <c r="AD275" s="5">
        <f ca="1">IFERROR(VLOOKUP($AB275,OFFSET([4]characters!$A$1,0,0,COUNTA([4]characters!$A:$A),MATCH(AD$1,[4]characters!$1:$1,0)-MATCH("character_id",[4]characters!$1:$1,0)+1),MATCH(AD$1,[4]characters!$1:$1,0)-MATCH("character_id",[4]characters!$1:$1,0)+1,FALSE),"")</f>
        <v>2</v>
      </c>
      <c r="AE275" s="5" t="str">
        <f ca="1">IFERROR(VLOOKUP($AB275,OFFSET([4]characters!$A$1,0,0,COUNTA([4]characters!$A:$A),MATCH(AE$1,[4]characters!$1:$1,0)-MATCH("character_id",[4]characters!$1:$1,0)+1),MATCH(AE$1,[4]characters!$1:$1,0)-MATCH("character_id",[4]characters!$1:$1,0)+1,FALSE),"")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75" s="28">
        <v>1</v>
      </c>
      <c r="AG275" s="75">
        <f t="shared" ca="1" si="64"/>
        <v>2</v>
      </c>
      <c r="AH275" s="9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1</v>
      </c>
      <c r="AN275" s="28">
        <v>1</v>
      </c>
    </row>
    <row r="276" spans="1:40" ht="21" customHeight="1" x14ac:dyDescent="0.15">
      <c r="A276" s="17" t="str">
        <f t="shared" ca="1" si="65"/>
        <v>11104_4-3/27&lt;lv35&gt;s1</v>
      </c>
      <c r="B276" s="84">
        <v>11104</v>
      </c>
      <c r="C276" s="85">
        <v>4</v>
      </c>
      <c r="D276" s="16" t="str">
        <f t="shared" si="60"/>
        <v>11104_4</v>
      </c>
      <c r="E276" s="5" t="str">
        <f ca="1">VLOOKUP($B276,OFFSET([2]quests!$A$1,0,0,COUNTA([2]quests!$A:$A),MATCH(E$1,[2]quests!$1:$1,0)-MATCH($B$1,[2]quests!$1:$1,0)+1),MATCH(E$1,[2]quests!$1:$1,0)-MATCH($B$1,[2]quests!$1:$1,0)+1,FALSE)</f>
        <v>【期間限定】 緑の素材</v>
      </c>
      <c r="F276" s="5" t="str">
        <f ca="1">VLOOKUP($D276,OFFSET([2]stages!$A$1,0,0,COUNTA([2]stages!$A:$A),MATCH(F$1,[2]stages!$2:$2,0)-MATCH($D$1,[2]stages!$2:$2,0)+1),MATCH(F$1,[2]stages!$2:$2,0)-MATCH($D$1,[2]stages!$2:$2,0)+1,FALSE)</f>
        <v>【上級】樹のイモムシ</v>
      </c>
      <c r="G276" s="68">
        <v>3</v>
      </c>
      <c r="H276" s="16" t="str">
        <f t="shared" si="61"/>
        <v>11104_4-3</v>
      </c>
      <c r="I276" s="5" t="e">
        <v>#N/A</v>
      </c>
      <c r="J276" s="5" t="e">
        <v>#N/A</v>
      </c>
      <c r="K276" s="70" t="s">
        <v>217</v>
      </c>
      <c r="L276" s="70">
        <v>27</v>
      </c>
      <c r="M276" s="20" t="str">
        <f ca="1">VLOOKUP($L276,OFFSET([3]enemies!$A$1,0,0,COUNTA([3]enemies!$A:$A),MATCH(M$1,[3]enemies!$1:$1,0)-MATCH($L$1,[3]enemies!$1:$1,0)+1),MATCH(M$1,[3]enemies!$1:$1,0)-MATCH($L$1,[3]enemies!$1:$1,0)+1,FALSE)</f>
        <v>パトライン</v>
      </c>
      <c r="N276" s="20" t="str">
        <f ca="1">VLOOKUP($L276,OFFSET([3]enemies!$A$1,0,0,COUNTA([3]enemies!$A:$A),MATCH(N$1,[3]enemies!$1:$1,0)-MATCH($L$1,[3]enemies!$1:$1,0)+1),MATCH(N$1,[3]enemies!$1:$1,0)-MATCH($L$1,[3]enemies!$1:$1,0)+1,FALSE)</f>
        <v>green</v>
      </c>
      <c r="O276" s="22" t="str">
        <f ca="1">VLOOKUP($L276,OFFSET([4]characters!$A$1,0,0,COUNTA([4]characters!$A:$A),MATCH(O$1,[4]characters!$1:$1,0)-MATCH($L$1,[4]characters!$1:$1,0)+1),MATCH(O$1,[4]characters!$1:$1,0)-MATCH($L$1,[4]characters!$1:$1,0)+1,FALSE)</f>
        <v>Drop1N</v>
      </c>
      <c r="P276" s="20" t="str">
        <f ca="1">VLOOKUP($L276,OFFSET([3]enemies!$A$1,0,0,COUNTA([3]enemies!$A:$A),MATCH(P$1,[3]enemies!$1:$1,0)-MATCH($L$1,[3]enemies!$1:$1,0)+1),MATCH(P$1,[3]enemies!$1:$1,0)-MATCH($L$1,[3]enemies!$1:$1,0)+1,FALSE)</f>
        <v>machine</v>
      </c>
      <c r="Q276" s="20">
        <f ca="1">VLOOKUP($L276,OFFSET([3]enemies!$A$1,0,0,COUNTA([3]enemies!$A:$A),MATCH(Q$1,[3]enemies!$1:$1,0)-MATCH($L$1,[3]enemies!$1:$1,0)+1),MATCH(Q$1,[3]enemies!$1:$1,0)-MATCH($L$1,[3]enemies!$1:$1,0)+1,FALSE)</f>
        <v>15</v>
      </c>
      <c r="R276" s="6">
        <v>35</v>
      </c>
      <c r="S276" s="30">
        <v>1</v>
      </c>
      <c r="T276" s="30">
        <v>1</v>
      </c>
      <c r="U276" s="6">
        <v>0</v>
      </c>
      <c r="V276" s="5" t="str">
        <f ca="1">VLOOKUP($W276,OFFSET([5]enemy_skill_sets!$B$1,0,0,COUNTA([5]enemy_skill_sets!$B:$B),MATCH(M$1,[5]enemy_skill_sets!$1:$1,0)-MATCH($W$1,[5]enemy_skill_sets!$1:$1,0)+2),MATCH(M$1,[5]enemy_skill_sets!$1:$1,0)-MATCH($W$1,[5]enemy_skill_sets!$1:$1,0)+2,FALSE)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6" s="5">
        <f ca="1">VLOOKUP($L276,OFFSET([3]enemies!$A$1,0,0,COUNTA([3]enemies!$A:$A),MATCH(W$1,[3]enemies!$1:$1,0)-MATCH($L$1,[3]enemies!$1:$1,0)+1),MATCH(W$1,[3]enemies!$1:$1,0)-MATCH($L$1,[3]enemies!$1:$1,0)+1,FALSE)</f>
        <v>0</v>
      </c>
      <c r="X276" s="7">
        <v>0</v>
      </c>
      <c r="Y276" s="7">
        <v>100</v>
      </c>
      <c r="Z276" s="7">
        <v>0</v>
      </c>
      <c r="AA276" s="20">
        <f ca="1">VLOOKUP($L276,OFFSET([3]enemies!$A$1,0,0,COUNTA([3]enemies!$A:$A),MATCH(AA$1,[3]enemies!$1:$1,0)-MATCH($L$1,[3]enemies!$1:$1,0)+1),MATCH(AA$1,[3]enemies!$1:$1,0)-MATCH($L$1,[3]enemies!$1:$1,0)+1,FALSE)</f>
        <v>1</v>
      </c>
      <c r="AB276" s="70">
        <v>27</v>
      </c>
      <c r="AC276" s="5" t="str">
        <f ca="1">IFERROR(VLOOKUP($AB276,OFFSET([4]characters!$A$1,0,0,COUNTA([4]characters!$A:$A),MATCH(AC$1,[4]characters!$1:$1,0)-MATCH("character_id",[4]characters!$1:$1,0)+1),MATCH(AC$1,[4]characters!$1:$1,0)-MATCH("character_id",[4]characters!$1:$1,0)+1,FALSE),"")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276" s="5">
        <f ca="1">IFERROR(VLOOKUP($AB276,OFFSET([4]characters!$A$1,0,0,COUNTA([4]characters!$A:$A),MATCH(AD$1,[4]characters!$1:$1,0)-MATCH("character_id",[4]characters!$1:$1,0)+1),MATCH(AD$1,[4]characters!$1:$1,0)-MATCH("character_id",[4]characters!$1:$1,0)+1,FALSE),"")</f>
        <v>1</v>
      </c>
      <c r="AE276" s="5" t="str">
        <f ca="1">IFERROR(VLOOKUP($AB276,OFFSET([4]characters!$A$1,0,0,COUNTA([4]characters!$A:$A),MATCH(AE$1,[4]characters!$1:$1,0)-MATCH("character_id",[4]characters!$1:$1,0)+1),MATCH(AE$1,[4]characters!$1:$1,0)-MATCH("character_id",[4]characters!$1:$1,0)+1,FALSE),"")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6" s="28">
        <v>1</v>
      </c>
      <c r="AG276" s="75">
        <f t="shared" ca="1" si="64"/>
        <v>1</v>
      </c>
      <c r="AH276" s="9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1</v>
      </c>
      <c r="AN276" s="28">
        <v>1</v>
      </c>
    </row>
    <row r="277" spans="1:40" ht="21" customHeight="1" x14ac:dyDescent="0.15">
      <c r="A277" s="17" t="str">
        <f t="shared" ca="1" si="65"/>
        <v>11104_4-3/336&lt;lv1&gt;s1</v>
      </c>
      <c r="B277" s="84">
        <v>11104</v>
      </c>
      <c r="C277" s="85">
        <v>4</v>
      </c>
      <c r="D277" s="16" t="str">
        <f t="shared" si="60"/>
        <v>11104_4</v>
      </c>
      <c r="E277" s="5" t="str">
        <f ca="1">VLOOKUP($B277,OFFSET([2]quests!$A$1,0,0,COUNTA([2]quests!$A:$A),MATCH(E$1,[2]quests!$1:$1,0)-MATCH($B$1,[2]quests!$1:$1,0)+1),MATCH(E$1,[2]quests!$1:$1,0)-MATCH($B$1,[2]quests!$1:$1,0)+1,FALSE)</f>
        <v>【期間限定】 緑の素材</v>
      </c>
      <c r="F277" s="5" t="str">
        <f ca="1">VLOOKUP($D277,OFFSET([2]stages!$A$1,0,0,COUNTA([2]stages!$A:$A),MATCH(F$1,[2]stages!$2:$2,0)-MATCH($D$1,[2]stages!$2:$2,0)+1),MATCH(F$1,[2]stages!$2:$2,0)-MATCH($D$1,[2]stages!$2:$2,0)+1,FALSE)</f>
        <v>【上級】樹のイモムシ</v>
      </c>
      <c r="G277" s="68">
        <v>3</v>
      </c>
      <c r="H277" s="16" t="str">
        <f t="shared" si="61"/>
        <v>11104_4-3</v>
      </c>
      <c r="I277" s="5" t="e">
        <v>#N/A</v>
      </c>
      <c r="J277" s="5" t="e">
        <v>#N/A</v>
      </c>
      <c r="K277" s="70" t="s">
        <v>217</v>
      </c>
      <c r="L277" s="70">
        <v>336</v>
      </c>
      <c r="M277" s="20" t="str">
        <f ca="1">VLOOKUP($L277,OFFSET([3]enemies!$A$1,0,0,COUNTA([3]enemies!$A:$A),MATCH(M$1,[3]enemies!$1:$1,0)-MATCH($L$1,[3]enemies!$1:$1,0)+1),MATCH(M$1,[3]enemies!$1:$1,0)-MATCH($L$1,[3]enemies!$1:$1,0)+1,FALSE)</f>
        <v>森のメタルピヨピヨ</v>
      </c>
      <c r="N277" s="20" t="str">
        <f ca="1">VLOOKUP($L277,OFFSET([3]enemies!$A$1,0,0,COUNTA([3]enemies!$A:$A),MATCH(N$1,[3]enemies!$1:$1,0)-MATCH($L$1,[3]enemies!$1:$1,0)+1),MATCH(N$1,[3]enemies!$1:$1,0)-MATCH($L$1,[3]enemies!$1:$1,0)+1,FALSE)</f>
        <v>green</v>
      </c>
      <c r="O277" s="22" t="str">
        <f ca="1">VLOOKUP($L277,OFFSET([4]characters!$A$1,0,0,COUNTA([4]characters!$A:$A),MATCH(O$1,[4]characters!$1:$1,0)-MATCH($L$1,[4]characters!$1:$1,0)+1),MATCH(O$1,[4]characters!$1:$1,0)-MATCH($L$1,[4]characters!$1:$1,0)+1,FALSE)</f>
        <v>Material</v>
      </c>
      <c r="P277" s="20" t="str">
        <f ca="1">VLOOKUP($L277,OFFSET([3]enemies!$A$1,0,0,COUNTA([3]enemies!$A:$A),MATCH(P$1,[3]enemies!$1:$1,0)-MATCH($L$1,[3]enemies!$1:$1,0)+1),MATCH(P$1,[3]enemies!$1:$1,0)-MATCH($L$1,[3]enemies!$1:$1,0)+1,FALSE)</f>
        <v>unknown</v>
      </c>
      <c r="Q277" s="20">
        <f ca="1">VLOOKUP($L277,OFFSET([3]enemies!$A$1,0,0,COUNTA([3]enemies!$A:$A),MATCH(Q$1,[3]enemies!$1:$1,0)-MATCH($L$1,[3]enemies!$1:$1,0)+1),MATCH(Q$1,[3]enemies!$1:$1,0)-MATCH($L$1,[3]enemies!$1:$1,0)+1,FALSE)</f>
        <v>15</v>
      </c>
      <c r="R277" s="6">
        <v>1</v>
      </c>
      <c r="S277" s="30">
        <v>1</v>
      </c>
      <c r="T277" s="30">
        <v>1</v>
      </c>
      <c r="U277" s="6">
        <v>0</v>
      </c>
      <c r="V277" s="5" t="str">
        <f ca="1">VLOOKUP($W277,OFFSET([5]enemy_skill_sets!$B$1,0,0,COUNTA([5]enemy_skill_sets!$B:$B),MATCH(M$1,[5]enemy_skill_sets!$1:$1,0)-MATCH($W$1,[5]enemy_skill_sets!$1:$1,0)+2),MATCH(M$1,[5]enemy_skill_sets!$1:$1,0)-MATCH($W$1,[5]enemy_skill_sets!$1:$1,0)+2,FALSE)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7" s="5">
        <f ca="1">VLOOKUP($L277,OFFSET([3]enemies!$A$1,0,0,COUNTA([3]enemies!$A:$A),MATCH(W$1,[3]enemies!$1:$1,0)-MATCH($L$1,[3]enemies!$1:$1,0)+1),MATCH(W$1,[3]enemies!$1:$1,0)-MATCH($L$1,[3]enemies!$1:$1,0)+1,FALSE)</f>
        <v>0</v>
      </c>
      <c r="X277" s="7">
        <v>0</v>
      </c>
      <c r="Y277" s="7">
        <v>30</v>
      </c>
      <c r="Z277" s="7">
        <v>0</v>
      </c>
      <c r="AA277" s="20">
        <f ca="1">VLOOKUP($L277,OFFSET([3]enemies!$A$1,0,0,COUNTA([3]enemies!$A:$A),MATCH(AA$1,[3]enemies!$1:$1,0)-MATCH($L$1,[3]enemies!$1:$1,0)+1),MATCH(AA$1,[3]enemies!$1:$1,0)-MATCH($L$1,[3]enemies!$1:$1,0)+1,FALSE)</f>
        <v>1</v>
      </c>
      <c r="AB277" s="70">
        <v>336</v>
      </c>
      <c r="AC277" s="5" t="str">
        <f ca="1">IFERROR(VLOOKUP($AB277,OFFSET([4]characters!$A$1,0,0,COUNTA([4]characters!$A:$A),MATCH(AC$1,[4]characters!$1:$1,0)-MATCH("character_id",[4]characters!$1:$1,0)+1),MATCH(AC$1,[4]characters!$1:$1,0)-MATCH("character_id",[4]characters!$1:$1,0)+1,FALSE),"")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277" s="5">
        <f ca="1">IFERROR(VLOOKUP($AB277,OFFSET([4]characters!$A$1,0,0,COUNTA([4]characters!$A:$A),MATCH(AD$1,[4]characters!$1:$1,0)-MATCH("character_id",[4]characters!$1:$1,0)+1),MATCH(AD$1,[4]characters!$1:$1,0)-MATCH("character_id",[4]characters!$1:$1,0)+1,FALSE),"")</f>
        <v>3</v>
      </c>
      <c r="AE277" s="5" t="str">
        <f ca="1">IFERROR(VLOOKUP($AB277,OFFSET([4]characters!$A$1,0,0,COUNTA([4]characters!$A:$A),MATCH(AE$1,[4]characters!$1:$1,0)-MATCH("character_id",[4]characters!$1:$1,0)+1),MATCH(AE$1,[4]characters!$1:$1,0)-MATCH("character_id",[4]characters!$1:$1,0)+1,FALSE),"")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7" s="28">
        <v>1</v>
      </c>
      <c r="AG277" s="75">
        <f t="shared" ca="1" si="64"/>
        <v>3</v>
      </c>
      <c r="AH277" s="9">
        <v>10</v>
      </c>
      <c r="AI277" s="28">
        <v>0</v>
      </c>
      <c r="AJ277" s="28">
        <v>0</v>
      </c>
      <c r="AK277" s="28">
        <v>0</v>
      </c>
      <c r="AL277" s="28">
        <v>0</v>
      </c>
      <c r="AM277" s="28">
        <v>1</v>
      </c>
      <c r="AN277" s="28">
        <v>1</v>
      </c>
    </row>
    <row r="278" spans="1:40" ht="21" customHeight="1" x14ac:dyDescent="0.15">
      <c r="A278" s="17" t="str">
        <f t="shared" ca="1" si="65"/>
        <v>11104_4-3/337&lt;lv1&gt;s2</v>
      </c>
      <c r="B278" s="84">
        <v>11104</v>
      </c>
      <c r="C278" s="85">
        <v>4</v>
      </c>
      <c r="D278" s="16" t="str">
        <f t="shared" si="60"/>
        <v>11104_4</v>
      </c>
      <c r="E278" s="5" t="str">
        <f ca="1">VLOOKUP($B278,OFFSET([2]quests!$A$1,0,0,COUNTA([2]quests!$A:$A),MATCH(E$1,[2]quests!$1:$1,0)-MATCH($B$1,[2]quests!$1:$1,0)+1),MATCH(E$1,[2]quests!$1:$1,0)-MATCH($B$1,[2]quests!$1:$1,0)+1,FALSE)</f>
        <v>【期間限定】 緑の素材</v>
      </c>
      <c r="F278" s="5" t="str">
        <f ca="1">VLOOKUP($D278,OFFSET([2]stages!$A$1,0,0,COUNTA([2]stages!$A:$A),MATCH(F$1,[2]stages!$2:$2,0)-MATCH($D$1,[2]stages!$2:$2,0)+1),MATCH(F$1,[2]stages!$2:$2,0)-MATCH($D$1,[2]stages!$2:$2,0)+1,FALSE)</f>
        <v>【上級】樹のイモムシ</v>
      </c>
      <c r="G278" s="68">
        <v>3</v>
      </c>
      <c r="H278" s="16" t="str">
        <f t="shared" si="61"/>
        <v>11104_4-3</v>
      </c>
      <c r="I278" s="5" t="e">
        <v>#N/A</v>
      </c>
      <c r="J278" s="5" t="e">
        <v>#N/A</v>
      </c>
      <c r="K278" s="70" t="s">
        <v>217</v>
      </c>
      <c r="L278" s="70">
        <v>337</v>
      </c>
      <c r="M278" s="20" t="str">
        <f ca="1">VLOOKUP($L278,OFFSET([3]enemies!$A$1,0,0,COUNTA([3]enemies!$A:$A),MATCH(M$1,[3]enemies!$1:$1,0)-MATCH($L$1,[3]enemies!$1:$1,0)+1),MATCH(M$1,[3]enemies!$1:$1,0)-MATCH($L$1,[3]enemies!$1:$1,0)+1,FALSE)</f>
        <v>森のメタルチック</v>
      </c>
      <c r="N278" s="20" t="str">
        <f ca="1">VLOOKUP($L278,OFFSET([3]enemies!$A$1,0,0,COUNTA([3]enemies!$A:$A),MATCH(N$1,[3]enemies!$1:$1,0)-MATCH($L$1,[3]enemies!$1:$1,0)+1),MATCH(N$1,[3]enemies!$1:$1,0)-MATCH($L$1,[3]enemies!$1:$1,0)+1,FALSE)</f>
        <v>green</v>
      </c>
      <c r="O278" s="22" t="str">
        <f ca="1">VLOOKUP($L278,OFFSET([4]characters!$A$1,0,0,COUNTA([4]characters!$A:$A),MATCH(O$1,[4]characters!$1:$1,0)-MATCH($L$1,[4]characters!$1:$1,0)+1),MATCH(O$1,[4]characters!$1:$1,0)-MATCH($L$1,[4]characters!$1:$1,0)+1,FALSE)</f>
        <v>Material</v>
      </c>
      <c r="P278" s="20" t="str">
        <f ca="1">VLOOKUP($L278,OFFSET([3]enemies!$A$1,0,0,COUNTA([3]enemies!$A:$A),MATCH(P$1,[3]enemies!$1:$1,0)-MATCH($L$1,[3]enemies!$1:$1,0)+1),MATCH(P$1,[3]enemies!$1:$1,0)-MATCH($L$1,[3]enemies!$1:$1,0)+1,FALSE)</f>
        <v>unknown</v>
      </c>
      <c r="Q278" s="20">
        <f ca="1">VLOOKUP($L278,OFFSET([3]enemies!$A$1,0,0,COUNTA([3]enemies!$A:$A),MATCH(Q$1,[3]enemies!$1:$1,0)-MATCH($L$1,[3]enemies!$1:$1,0)+1),MATCH(Q$1,[3]enemies!$1:$1,0)-MATCH($L$1,[3]enemies!$1:$1,0)+1,FALSE)</f>
        <v>15</v>
      </c>
      <c r="R278" s="6">
        <v>1</v>
      </c>
      <c r="S278" s="30">
        <v>1</v>
      </c>
      <c r="T278" s="30">
        <v>1</v>
      </c>
      <c r="U278" s="6">
        <v>0</v>
      </c>
      <c r="V278" s="5" t="str">
        <f ca="1">VLOOKUP($W278,OFFSET([5]enemy_skill_sets!$B$1,0,0,COUNTA([5]enemy_skill_sets!$B:$B),MATCH(M$1,[5]enemy_skill_sets!$1:$1,0)-MATCH($W$1,[5]enemy_skill_sets!$1:$1,0)+2),MATCH(M$1,[5]enemy_skill_sets!$1:$1,0)-MATCH($W$1,[5]enemy_skill_sets!$1:$1,0)+2,FALSE)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8" s="5">
        <f ca="1">VLOOKUP($L278,OFFSET([3]enemies!$A$1,0,0,COUNTA([3]enemies!$A:$A),MATCH(W$1,[3]enemies!$1:$1,0)-MATCH($L$1,[3]enemies!$1:$1,0)+1),MATCH(W$1,[3]enemies!$1:$1,0)-MATCH($L$1,[3]enemies!$1:$1,0)+1,FALSE)</f>
        <v>0</v>
      </c>
      <c r="X278" s="7">
        <v>0</v>
      </c>
      <c r="Y278" s="7">
        <v>30</v>
      </c>
      <c r="Z278" s="7">
        <v>0</v>
      </c>
      <c r="AA278" s="20">
        <f ca="1">VLOOKUP($L278,OFFSET([3]enemies!$A$1,0,0,COUNTA([3]enemies!$A:$A),MATCH(AA$1,[3]enemies!$1:$1,0)-MATCH($L$1,[3]enemies!$1:$1,0)+1),MATCH(AA$1,[3]enemies!$1:$1,0)-MATCH($L$1,[3]enemies!$1:$1,0)+1,FALSE)</f>
        <v>2</v>
      </c>
      <c r="AB278" s="70">
        <v>337</v>
      </c>
      <c r="AC278" s="5" t="str">
        <f ca="1">IFERROR(VLOOKUP($AB278,OFFSET([4]characters!$A$1,0,0,COUNTA([4]characters!$A:$A),MATCH(AC$1,[4]characters!$1:$1,0)-MATCH("character_id",[4]characters!$1:$1,0)+1),MATCH(AC$1,[4]characters!$1:$1,0)-MATCH("character_id",[4]characters!$1:$1,0)+1,FALSE),"")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278" s="5">
        <f ca="1">IFERROR(VLOOKUP($AB278,OFFSET([4]characters!$A$1,0,0,COUNTA([4]characters!$A:$A),MATCH(AD$1,[4]characters!$1:$1,0)-MATCH("character_id",[4]characters!$1:$1,0)+1),MATCH(AD$1,[4]characters!$1:$1,0)-MATCH("character_id",[4]characters!$1:$1,0)+1,FALSE),"")</f>
        <v>4</v>
      </c>
      <c r="AE278" s="5" t="str">
        <f ca="1">IFERROR(VLOOKUP($AB278,OFFSET([4]characters!$A$1,0,0,COUNTA([4]characters!$A:$A),MATCH(AE$1,[4]characters!$1:$1,0)-MATCH("character_id",[4]characters!$1:$1,0)+1),MATCH(AE$1,[4]characters!$1:$1,0)-MATCH("character_id",[4]characters!$1:$1,0)+1,FALSE),"")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8" s="28">
        <v>1</v>
      </c>
      <c r="AG278" s="75">
        <f t="shared" ca="1" si="64"/>
        <v>4</v>
      </c>
      <c r="AH278" s="9">
        <v>5</v>
      </c>
      <c r="AI278" s="28">
        <v>0</v>
      </c>
      <c r="AJ278" s="28">
        <v>0</v>
      </c>
      <c r="AK278" s="28">
        <v>0</v>
      </c>
      <c r="AL278" s="28">
        <v>0</v>
      </c>
      <c r="AM278" s="28">
        <v>1</v>
      </c>
      <c r="AN278" s="28">
        <v>1</v>
      </c>
    </row>
    <row r="279" spans="1:40" ht="21" customHeight="1" x14ac:dyDescent="0.15">
      <c r="A279" s="17" t="str">
        <f t="shared" ca="1" si="65"/>
        <v>11104_4-4/107&lt;lv30&gt;s1</v>
      </c>
      <c r="B279" s="84">
        <v>11104</v>
      </c>
      <c r="C279" s="85">
        <v>4</v>
      </c>
      <c r="D279" s="16" t="str">
        <f t="shared" si="60"/>
        <v>11104_4</v>
      </c>
      <c r="E279" s="5" t="str">
        <f ca="1">VLOOKUP($B279,OFFSET([2]quests!$A$1,0,0,COUNTA([2]quests!$A:$A),MATCH(E$1,[2]quests!$1:$1,0)-MATCH($B$1,[2]quests!$1:$1,0)+1),MATCH(E$1,[2]quests!$1:$1,0)-MATCH($B$1,[2]quests!$1:$1,0)+1,FALSE)</f>
        <v>【期間限定】 緑の素材</v>
      </c>
      <c r="F279" s="5" t="str">
        <f ca="1">VLOOKUP($D279,OFFSET([2]stages!$A$1,0,0,COUNTA([2]stages!$A:$A),MATCH(F$1,[2]stages!$2:$2,0)-MATCH($D$1,[2]stages!$2:$2,0)+1),MATCH(F$1,[2]stages!$2:$2,0)-MATCH($D$1,[2]stages!$2:$2,0)+1,FALSE)</f>
        <v>【上級】樹のイモムシ</v>
      </c>
      <c r="G279" s="68">
        <v>4</v>
      </c>
      <c r="H279" s="16" t="str">
        <f t="shared" si="61"/>
        <v>11104_4-4</v>
      </c>
      <c r="I279" s="5" t="e">
        <v>#N/A</v>
      </c>
      <c r="J279" s="5" t="e">
        <v>#N/A</v>
      </c>
      <c r="K279" s="70" t="s">
        <v>217</v>
      </c>
      <c r="L279" s="70">
        <v>107</v>
      </c>
      <c r="M279" s="20" t="str">
        <f ca="1">VLOOKUP($L279,OFFSET([3]enemies!$A$1,0,0,COUNTA([3]enemies!$A:$A),MATCH(M$1,[3]enemies!$1:$1,0)-MATCH($L$1,[3]enemies!$1:$1,0)+1),MATCH(M$1,[3]enemies!$1:$1,0)-MATCH($L$1,[3]enemies!$1:$1,0)+1,FALSE)</f>
        <v>グリーンキャタップ</v>
      </c>
      <c r="N279" s="20" t="str">
        <f ca="1">VLOOKUP($L279,OFFSET([3]enemies!$A$1,0,0,COUNTA([3]enemies!$A:$A),MATCH(N$1,[3]enemies!$1:$1,0)-MATCH($L$1,[3]enemies!$1:$1,0)+1),MATCH(N$1,[3]enemies!$1:$1,0)-MATCH($L$1,[3]enemies!$1:$1,0)+1,FALSE)</f>
        <v>green</v>
      </c>
      <c r="O279" s="22" t="str">
        <f ca="1">VLOOKUP($L279,OFFSET([4]characters!$A$1,0,0,COUNTA([4]characters!$A:$A),MATCH(O$1,[4]characters!$1:$1,0)-MATCH($L$1,[4]characters!$1:$1,0)+1),MATCH(O$1,[4]characters!$1:$1,0)-MATCH($L$1,[4]characters!$1:$1,0)+1,FALSE)</f>
        <v>Material</v>
      </c>
      <c r="P279" s="20" t="str">
        <f ca="1">VLOOKUP($L279,OFFSET([3]enemies!$A$1,0,0,COUNTA([3]enemies!$A:$A),MATCH(P$1,[3]enemies!$1:$1,0)-MATCH($L$1,[3]enemies!$1:$1,0)+1),MATCH(P$1,[3]enemies!$1:$1,0)-MATCH($L$1,[3]enemies!$1:$1,0)+1,FALSE)</f>
        <v>unknown</v>
      </c>
      <c r="Q279" s="20">
        <f ca="1">VLOOKUP($L279,OFFSET([3]enemies!$A$1,0,0,COUNTA([3]enemies!$A:$A),MATCH(Q$1,[3]enemies!$1:$1,0)-MATCH($L$1,[3]enemies!$1:$1,0)+1),MATCH(Q$1,[3]enemies!$1:$1,0)-MATCH($L$1,[3]enemies!$1:$1,0)+1,FALSE)</f>
        <v>15</v>
      </c>
      <c r="R279" s="6">
        <v>30</v>
      </c>
      <c r="S279" s="30">
        <v>2</v>
      </c>
      <c r="T279" s="30">
        <v>1</v>
      </c>
      <c r="U279" s="6">
        <v>0</v>
      </c>
      <c r="V279" s="5" t="str">
        <f ca="1">VLOOKUP($W279,OFFSET([5]enemy_skill_sets!$B$1,0,0,COUNTA([5]enemy_skill_sets!$B:$B),MATCH(M$1,[5]enemy_skill_sets!$1:$1,0)-MATCH($W$1,[5]enemy_skill_sets!$1:$1,0)+2),MATCH(M$1,[5]enemy_skill_sets!$1:$1,0)-MATCH($W$1,[5]enemy_skill_sets!$1:$1,0)+2,FALSE)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9" s="5">
        <f ca="1">VLOOKUP($L279,OFFSET([3]enemies!$A$1,0,0,COUNTA([3]enemies!$A:$A),MATCH(W$1,[3]enemies!$1:$1,0)-MATCH($L$1,[3]enemies!$1:$1,0)+1),MATCH(W$1,[3]enemies!$1:$1,0)-MATCH($L$1,[3]enemies!$1:$1,0)+1,FALSE)</f>
        <v>0</v>
      </c>
      <c r="X279" s="7">
        <v>1</v>
      </c>
      <c r="Y279" s="7">
        <v>100</v>
      </c>
      <c r="Z279" s="7">
        <v>1</v>
      </c>
      <c r="AA279" s="20">
        <f ca="1">VLOOKUP($L279,OFFSET([3]enemies!$A$1,0,0,COUNTA([3]enemies!$A:$A),MATCH(AA$1,[3]enemies!$1:$1,0)-MATCH($L$1,[3]enemies!$1:$1,0)+1),MATCH(AA$1,[3]enemies!$1:$1,0)-MATCH($L$1,[3]enemies!$1:$1,0)+1,FALSE)</f>
        <v>1</v>
      </c>
      <c r="AB279" s="70">
        <v>107</v>
      </c>
      <c r="AC279" s="5" t="str">
        <f ca="1">IFERROR(VLOOKUP($AB279,OFFSET([4]characters!$A$1,0,0,COUNTA([4]characters!$A:$A),MATCH(AC$1,[4]characters!$1:$1,0)-MATCH("character_id",[4]characters!$1:$1,0)+1),MATCH(AC$1,[4]characters!$1:$1,0)-MATCH("character_id",[4]characters!$1:$1,0)+1,FALSE),"")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279" s="5">
        <f ca="1">IFERROR(VLOOKUP($AB279,OFFSET([4]characters!$A$1,0,0,COUNTA([4]characters!$A:$A),MATCH(AD$1,[4]characters!$1:$1,0)-MATCH("character_id",[4]characters!$1:$1,0)+1),MATCH(AD$1,[4]characters!$1:$1,0)-MATCH("character_id",[4]characters!$1:$1,0)+1,FALSE),"")</f>
        <v>4</v>
      </c>
      <c r="AE279" s="5" t="str">
        <f ca="1">IFERROR(VLOOKUP($AB279,OFFSET([4]characters!$A$1,0,0,COUNTA([4]characters!$A:$A),MATCH(AE$1,[4]characters!$1:$1,0)-MATCH("character_id",[4]characters!$1:$1,0)+1),MATCH(AE$1,[4]characters!$1:$1,0)-MATCH("character_id",[4]characters!$1:$1,0)+1,FALSE),"")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9" s="28">
        <v>1</v>
      </c>
      <c r="AG279" s="75">
        <f t="shared" ca="1" si="64"/>
        <v>4</v>
      </c>
      <c r="AH279" s="9">
        <v>100</v>
      </c>
      <c r="AI279" s="28">
        <v>0</v>
      </c>
      <c r="AJ279" s="28">
        <v>0</v>
      </c>
      <c r="AK279" s="28">
        <v>0</v>
      </c>
      <c r="AL279" s="28">
        <v>0</v>
      </c>
      <c r="AM279" s="28">
        <v>1</v>
      </c>
      <c r="AN279" s="28">
        <v>1</v>
      </c>
    </row>
    <row r="280" spans="1:40" ht="21" customHeight="1" x14ac:dyDescent="0.15">
      <c r="A280" s="17" t="str">
        <f t="shared" ca="1" si="65"/>
        <v>11104_4-4/35&lt;lv35&gt;s4</v>
      </c>
      <c r="B280" s="84">
        <v>11104</v>
      </c>
      <c r="C280" s="85">
        <v>4</v>
      </c>
      <c r="D280" s="16" t="str">
        <f t="shared" ref="D280:D287" si="66">B280&amp;"_"&amp;C280</f>
        <v>11104_4</v>
      </c>
      <c r="E280" s="5" t="str">
        <f ca="1">VLOOKUP($B280,OFFSET([2]quests!$A$1,0,0,COUNTA([2]quests!$A:$A),MATCH(E$1,[2]quests!$1:$1,0)-MATCH($B$1,[2]quests!$1:$1,0)+1),MATCH(E$1,[2]quests!$1:$1,0)-MATCH($B$1,[2]quests!$1:$1,0)+1,FALSE)</f>
        <v>【期間限定】 緑の素材</v>
      </c>
      <c r="F280" s="5" t="str">
        <f ca="1">VLOOKUP($D280,OFFSET([2]stages!$A$1,0,0,COUNTA([2]stages!$A:$A),MATCH(F$1,[2]stages!$2:$2,0)-MATCH($D$1,[2]stages!$2:$2,0)+1),MATCH(F$1,[2]stages!$2:$2,0)-MATCH($D$1,[2]stages!$2:$2,0)+1,FALSE)</f>
        <v>【上級】樹のイモムシ</v>
      </c>
      <c r="G280" s="68">
        <v>4</v>
      </c>
      <c r="H280" s="16" t="str">
        <f t="shared" ref="H280:H287" si="67">B280&amp;"_"&amp;C280&amp;"-"&amp;G280</f>
        <v>11104_4-4</v>
      </c>
      <c r="I280" s="5" t="e">
        <v>#N/A</v>
      </c>
      <c r="J280" s="5" t="e">
        <v>#N/A</v>
      </c>
      <c r="K280" s="70" t="s">
        <v>217</v>
      </c>
      <c r="L280" s="70">
        <v>35</v>
      </c>
      <c r="M280" s="20" t="str">
        <f ca="1">VLOOKUP($L280,OFFSET([3]enemies!$A$1,0,0,COUNTA([3]enemies!$A:$A),MATCH(M$1,[3]enemies!$1:$1,0)-MATCH($L$1,[3]enemies!$1:$1,0)+1),MATCH(M$1,[3]enemies!$1:$1,0)-MATCH($L$1,[3]enemies!$1:$1,0)+1,FALSE)</f>
        <v>F2</v>
      </c>
      <c r="N280" s="20" t="str">
        <f ca="1">VLOOKUP($L280,OFFSET([3]enemies!$A$1,0,0,COUNTA([3]enemies!$A:$A),MATCH(N$1,[3]enemies!$1:$1,0)-MATCH($L$1,[3]enemies!$1:$1,0)+1),MATCH(N$1,[3]enemies!$1:$1,0)-MATCH($L$1,[3]enemies!$1:$1,0)+1,FALSE)</f>
        <v>green</v>
      </c>
      <c r="O280" s="22" t="str">
        <f ca="1">VLOOKUP($L280,OFFSET([4]characters!$A$1,0,0,COUNTA([4]characters!$A:$A),MATCH(O$1,[4]characters!$1:$1,0)-MATCH($L$1,[4]characters!$1:$1,0)+1),MATCH(O$1,[4]characters!$1:$1,0)-MATCH($L$1,[4]characters!$1:$1,0)+1,FALSE)</f>
        <v>Drop1S</v>
      </c>
      <c r="P280" s="20" t="str">
        <f ca="1">VLOOKUP($L280,OFFSET([3]enemies!$A$1,0,0,COUNTA([3]enemies!$A:$A),MATCH(P$1,[3]enemies!$1:$1,0)-MATCH($L$1,[3]enemies!$1:$1,0)+1),MATCH(P$1,[3]enemies!$1:$1,0)-MATCH($L$1,[3]enemies!$1:$1,0)+1,FALSE)</f>
        <v>machine</v>
      </c>
      <c r="Q280" s="20">
        <f ca="1">VLOOKUP($L280,OFFSET([3]enemies!$A$1,0,0,COUNTA([3]enemies!$A:$A),MATCH(Q$1,[3]enemies!$1:$1,0)-MATCH($L$1,[3]enemies!$1:$1,0)+1),MATCH(Q$1,[3]enemies!$1:$1,0)-MATCH($L$1,[3]enemies!$1:$1,0)+1,FALSE)</f>
        <v>15</v>
      </c>
      <c r="R280" s="6">
        <v>35</v>
      </c>
      <c r="S280" s="30">
        <v>1</v>
      </c>
      <c r="T280" s="30">
        <v>1</v>
      </c>
      <c r="U280" s="6">
        <v>0</v>
      </c>
      <c r="V280" s="5" t="str">
        <f ca="1">VLOOKUP($W280,OFFSET([5]enemy_skill_sets!$B$1,0,0,COUNTA([5]enemy_skill_sets!$B:$B),MATCH(M$1,[5]enemy_skill_sets!$1:$1,0)-MATCH($W$1,[5]enemy_skill_sets!$1:$1,0)+2),MATCH(M$1,[5]enemy_skill_sets!$1:$1,0)-MATCH($W$1,[5]enemy_skill_sets!$1:$1,0)+2,FALSE)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80" s="5">
        <f ca="1">VLOOKUP($L280,OFFSET([3]enemies!$A$1,0,0,COUNTA([3]enemies!$A:$A),MATCH(W$1,[3]enemies!$1:$1,0)-MATCH($L$1,[3]enemies!$1:$1,0)+1),MATCH(W$1,[3]enemies!$1:$1,0)-MATCH($L$1,[3]enemies!$1:$1,0)+1,FALSE)</f>
        <v>35</v>
      </c>
      <c r="X280" s="7">
        <v>0</v>
      </c>
      <c r="Y280" s="7">
        <v>100</v>
      </c>
      <c r="Z280" s="7">
        <v>0</v>
      </c>
      <c r="AA280" s="20">
        <f ca="1">VLOOKUP($L280,OFFSET([3]enemies!$A$1,0,0,COUNTA([3]enemies!$A:$A),MATCH(AA$1,[3]enemies!$1:$1,0)-MATCH($L$1,[3]enemies!$1:$1,0)+1),MATCH(AA$1,[3]enemies!$1:$1,0)-MATCH($L$1,[3]enemies!$1:$1,0)+1,FALSE)</f>
        <v>4</v>
      </c>
      <c r="AB280" s="70">
        <v>35</v>
      </c>
      <c r="AC280" s="5" t="str">
        <f ca="1">IFERROR(VLOOKUP($AB280,OFFSET([4]characters!$A$1,0,0,COUNTA([4]characters!$A:$A),MATCH(AC$1,[4]characters!$1:$1,0)-MATCH("character_id",[4]characters!$1:$1,0)+1),MATCH(AC$1,[4]characters!$1:$1,0)-MATCH("character_id",[4]characters!$1:$1,0)+1,FALSE),"")</f>
        <v>F2</v>
      </c>
      <c r="AD280" s="5">
        <f ca="1">IFERROR(VLOOKUP($AB280,OFFSET([4]characters!$A$1,0,0,COUNTA([4]characters!$A:$A),MATCH(AD$1,[4]characters!$1:$1,0)-MATCH("character_id",[4]characters!$1:$1,0)+1),MATCH(AD$1,[4]characters!$1:$1,0)-MATCH("character_id",[4]characters!$1:$1,0)+1,FALSE),"")</f>
        <v>2</v>
      </c>
      <c r="AE280" s="5" t="str">
        <f ca="1">IFERROR(VLOOKUP($AB280,OFFSET([4]characters!$A$1,0,0,COUNTA([4]characters!$A:$A),MATCH(AE$1,[4]characters!$1:$1,0)-MATCH("character_id",[4]characters!$1:$1,0)+1),MATCH(AE$1,[4]characters!$1:$1,0)-MATCH("character_id",[4]characters!$1:$1,0)+1,FALSE),"")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80" s="28">
        <v>1</v>
      </c>
      <c r="AG280" s="75">
        <f t="shared" ca="1" si="64"/>
        <v>2</v>
      </c>
      <c r="AH280" s="9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1</v>
      </c>
      <c r="AN280" s="28">
        <v>1</v>
      </c>
    </row>
    <row r="281" spans="1:40" ht="21" customHeight="1" x14ac:dyDescent="0.15">
      <c r="A281" s="17" t="str">
        <f t="shared" ca="1" si="65"/>
        <v>11104_4-4/27&lt;lv35&gt;s1</v>
      </c>
      <c r="B281" s="84">
        <v>11104</v>
      </c>
      <c r="C281" s="85">
        <v>4</v>
      </c>
      <c r="D281" s="16" t="str">
        <f t="shared" si="66"/>
        <v>11104_4</v>
      </c>
      <c r="E281" s="5" t="str">
        <f ca="1">VLOOKUP($B281,OFFSET([2]quests!$A$1,0,0,COUNTA([2]quests!$A:$A),MATCH(E$1,[2]quests!$1:$1,0)-MATCH($B$1,[2]quests!$1:$1,0)+1),MATCH(E$1,[2]quests!$1:$1,0)-MATCH($B$1,[2]quests!$1:$1,0)+1,FALSE)</f>
        <v>【期間限定】 緑の素材</v>
      </c>
      <c r="F281" s="5" t="str">
        <f ca="1">VLOOKUP($D281,OFFSET([2]stages!$A$1,0,0,COUNTA([2]stages!$A:$A),MATCH(F$1,[2]stages!$2:$2,0)-MATCH($D$1,[2]stages!$2:$2,0)+1),MATCH(F$1,[2]stages!$2:$2,0)-MATCH($D$1,[2]stages!$2:$2,0)+1,FALSE)</f>
        <v>【上級】樹のイモムシ</v>
      </c>
      <c r="G281" s="68">
        <v>4</v>
      </c>
      <c r="H281" s="16" t="str">
        <f t="shared" si="67"/>
        <v>11104_4-4</v>
      </c>
      <c r="I281" s="5" t="e">
        <v>#N/A</v>
      </c>
      <c r="J281" s="5" t="e">
        <v>#N/A</v>
      </c>
      <c r="K281" s="70" t="s">
        <v>217</v>
      </c>
      <c r="L281" s="70">
        <v>27</v>
      </c>
      <c r="M281" s="20" t="str">
        <f ca="1">VLOOKUP($L281,OFFSET([3]enemies!$A$1,0,0,COUNTA([3]enemies!$A:$A),MATCH(M$1,[3]enemies!$1:$1,0)-MATCH($L$1,[3]enemies!$1:$1,0)+1),MATCH(M$1,[3]enemies!$1:$1,0)-MATCH($L$1,[3]enemies!$1:$1,0)+1,FALSE)</f>
        <v>パトライン</v>
      </c>
      <c r="N281" s="20" t="str">
        <f ca="1">VLOOKUP($L281,OFFSET([3]enemies!$A$1,0,0,COUNTA([3]enemies!$A:$A),MATCH(N$1,[3]enemies!$1:$1,0)-MATCH($L$1,[3]enemies!$1:$1,0)+1),MATCH(N$1,[3]enemies!$1:$1,0)-MATCH($L$1,[3]enemies!$1:$1,0)+1,FALSE)</f>
        <v>green</v>
      </c>
      <c r="O281" s="22" t="str">
        <f ca="1">VLOOKUP($L281,OFFSET([4]characters!$A$1,0,0,COUNTA([4]characters!$A:$A),MATCH(O$1,[4]characters!$1:$1,0)-MATCH($L$1,[4]characters!$1:$1,0)+1),MATCH(O$1,[4]characters!$1:$1,0)-MATCH($L$1,[4]characters!$1:$1,0)+1,FALSE)</f>
        <v>Drop1N</v>
      </c>
      <c r="P281" s="20" t="str">
        <f ca="1">VLOOKUP($L281,OFFSET([3]enemies!$A$1,0,0,COUNTA([3]enemies!$A:$A),MATCH(P$1,[3]enemies!$1:$1,0)-MATCH($L$1,[3]enemies!$1:$1,0)+1),MATCH(P$1,[3]enemies!$1:$1,0)-MATCH($L$1,[3]enemies!$1:$1,0)+1,FALSE)</f>
        <v>machine</v>
      </c>
      <c r="Q281" s="20">
        <f ca="1">VLOOKUP($L281,OFFSET([3]enemies!$A$1,0,0,COUNTA([3]enemies!$A:$A),MATCH(Q$1,[3]enemies!$1:$1,0)-MATCH($L$1,[3]enemies!$1:$1,0)+1),MATCH(Q$1,[3]enemies!$1:$1,0)-MATCH($L$1,[3]enemies!$1:$1,0)+1,FALSE)</f>
        <v>15</v>
      </c>
      <c r="R281" s="6">
        <v>35</v>
      </c>
      <c r="S281" s="30">
        <v>1</v>
      </c>
      <c r="T281" s="30">
        <v>1</v>
      </c>
      <c r="U281" s="6">
        <v>0</v>
      </c>
      <c r="V281" s="5" t="str">
        <f ca="1">VLOOKUP($W281,OFFSET([5]enemy_skill_sets!$B$1,0,0,COUNTA([5]enemy_skill_sets!$B:$B),MATCH(M$1,[5]enemy_skill_sets!$1:$1,0)-MATCH($W$1,[5]enemy_skill_sets!$1:$1,0)+2),MATCH(M$1,[5]enemy_skill_sets!$1:$1,0)-MATCH($W$1,[5]enemy_skill_sets!$1:$1,0)+2,FALSE)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1" s="5">
        <f ca="1">VLOOKUP($L281,OFFSET([3]enemies!$A$1,0,0,COUNTA([3]enemies!$A:$A),MATCH(W$1,[3]enemies!$1:$1,0)-MATCH($L$1,[3]enemies!$1:$1,0)+1),MATCH(W$1,[3]enemies!$1:$1,0)-MATCH($L$1,[3]enemies!$1:$1,0)+1,FALSE)</f>
        <v>0</v>
      </c>
      <c r="X281" s="7">
        <v>0</v>
      </c>
      <c r="Y281" s="7">
        <v>100</v>
      </c>
      <c r="Z281" s="7">
        <v>0</v>
      </c>
      <c r="AA281" s="20">
        <f ca="1">VLOOKUP($L281,OFFSET([3]enemies!$A$1,0,0,COUNTA([3]enemies!$A:$A),MATCH(AA$1,[3]enemies!$1:$1,0)-MATCH($L$1,[3]enemies!$1:$1,0)+1),MATCH(AA$1,[3]enemies!$1:$1,0)-MATCH($L$1,[3]enemies!$1:$1,0)+1,FALSE)</f>
        <v>1</v>
      </c>
      <c r="AB281" s="70">
        <v>27</v>
      </c>
      <c r="AC281" s="5" t="str">
        <f ca="1">IFERROR(VLOOKUP($AB281,OFFSET([4]characters!$A$1,0,0,COUNTA([4]characters!$A:$A),MATCH(AC$1,[4]characters!$1:$1,0)-MATCH("character_id",[4]characters!$1:$1,0)+1),MATCH(AC$1,[4]characters!$1:$1,0)-MATCH("character_id",[4]characters!$1:$1,0)+1,FALSE),"")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281" s="5">
        <f ca="1">IFERROR(VLOOKUP($AB281,OFFSET([4]characters!$A$1,0,0,COUNTA([4]characters!$A:$A),MATCH(AD$1,[4]characters!$1:$1,0)-MATCH("character_id",[4]characters!$1:$1,0)+1),MATCH(AD$1,[4]characters!$1:$1,0)-MATCH("character_id",[4]characters!$1:$1,0)+1,FALSE),"")</f>
        <v>1</v>
      </c>
      <c r="AE281" s="5" t="str">
        <f ca="1">IFERROR(VLOOKUP($AB281,OFFSET([4]characters!$A$1,0,0,COUNTA([4]characters!$A:$A),MATCH(AE$1,[4]characters!$1:$1,0)-MATCH("character_id",[4]characters!$1:$1,0)+1),MATCH(AE$1,[4]characters!$1:$1,0)-MATCH("character_id",[4]characters!$1:$1,0)+1,FALSE),"")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81" s="28">
        <v>1</v>
      </c>
      <c r="AG281" s="75">
        <f t="shared" ca="1" si="64"/>
        <v>1</v>
      </c>
      <c r="AH281" s="9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1</v>
      </c>
      <c r="AN281" s="28">
        <v>1</v>
      </c>
    </row>
    <row r="282" spans="1:40" ht="21" customHeight="1" x14ac:dyDescent="0.15">
      <c r="A282" s="17" t="str">
        <f t="shared" ca="1" si="65"/>
        <v>11104_4-5/107&lt;lv30&gt;s1</v>
      </c>
      <c r="B282" s="84">
        <v>11104</v>
      </c>
      <c r="C282" s="85">
        <v>4</v>
      </c>
      <c r="D282" s="16" t="str">
        <f t="shared" si="66"/>
        <v>11104_4</v>
      </c>
      <c r="E282" s="5" t="str">
        <f ca="1">VLOOKUP($B282,OFFSET([2]quests!$A$1,0,0,COUNTA([2]quests!$A:$A),MATCH(E$1,[2]quests!$1:$1,0)-MATCH($B$1,[2]quests!$1:$1,0)+1),MATCH(E$1,[2]quests!$1:$1,0)-MATCH($B$1,[2]quests!$1:$1,0)+1,FALSE)</f>
        <v>【期間限定】 緑の素材</v>
      </c>
      <c r="F282" s="5" t="str">
        <f ca="1">VLOOKUP($D282,OFFSET([2]stages!$A$1,0,0,COUNTA([2]stages!$A:$A),MATCH(F$1,[2]stages!$2:$2,0)-MATCH($D$1,[2]stages!$2:$2,0)+1),MATCH(F$1,[2]stages!$2:$2,0)-MATCH($D$1,[2]stages!$2:$2,0)+1,FALSE)</f>
        <v>【上級】樹のイモムシ</v>
      </c>
      <c r="G282" s="68">
        <v>5</v>
      </c>
      <c r="H282" s="16" t="str">
        <f t="shared" si="67"/>
        <v>11104_4-5</v>
      </c>
      <c r="I282" s="5" t="e">
        <v>#N/A</v>
      </c>
      <c r="J282" s="5" t="e">
        <v>#N/A</v>
      </c>
      <c r="K282" s="70" t="s">
        <v>217</v>
      </c>
      <c r="L282" s="70">
        <v>107</v>
      </c>
      <c r="M282" s="20" t="str">
        <f ca="1">VLOOKUP($L282,OFFSET([3]enemies!$A$1,0,0,COUNTA([3]enemies!$A:$A),MATCH(M$1,[3]enemies!$1:$1,0)-MATCH($L$1,[3]enemies!$1:$1,0)+1),MATCH(M$1,[3]enemies!$1:$1,0)-MATCH($L$1,[3]enemies!$1:$1,0)+1,FALSE)</f>
        <v>グリーンキャタップ</v>
      </c>
      <c r="N282" s="20" t="str">
        <f ca="1">VLOOKUP($L282,OFFSET([3]enemies!$A$1,0,0,COUNTA([3]enemies!$A:$A),MATCH(N$1,[3]enemies!$1:$1,0)-MATCH($L$1,[3]enemies!$1:$1,0)+1),MATCH(N$1,[3]enemies!$1:$1,0)-MATCH($L$1,[3]enemies!$1:$1,0)+1,FALSE)</f>
        <v>green</v>
      </c>
      <c r="O282" s="22" t="str">
        <f ca="1">VLOOKUP($L282,OFFSET([4]characters!$A$1,0,0,COUNTA([4]characters!$A:$A),MATCH(O$1,[4]characters!$1:$1,0)-MATCH($L$1,[4]characters!$1:$1,0)+1),MATCH(O$1,[4]characters!$1:$1,0)-MATCH($L$1,[4]characters!$1:$1,0)+1,FALSE)</f>
        <v>Material</v>
      </c>
      <c r="P282" s="20" t="str">
        <f ca="1">VLOOKUP($L282,OFFSET([3]enemies!$A$1,0,0,COUNTA([3]enemies!$A:$A),MATCH(P$1,[3]enemies!$1:$1,0)-MATCH($L$1,[3]enemies!$1:$1,0)+1),MATCH(P$1,[3]enemies!$1:$1,0)-MATCH($L$1,[3]enemies!$1:$1,0)+1,FALSE)</f>
        <v>unknown</v>
      </c>
      <c r="Q282" s="20">
        <f ca="1">VLOOKUP($L282,OFFSET([3]enemies!$A$1,0,0,COUNTA([3]enemies!$A:$A),MATCH(Q$1,[3]enemies!$1:$1,0)-MATCH($L$1,[3]enemies!$1:$1,0)+1),MATCH(Q$1,[3]enemies!$1:$1,0)-MATCH($L$1,[3]enemies!$1:$1,0)+1,FALSE)</f>
        <v>15</v>
      </c>
      <c r="R282" s="6">
        <v>30</v>
      </c>
      <c r="S282" s="30">
        <v>2</v>
      </c>
      <c r="T282" s="30">
        <v>1</v>
      </c>
      <c r="U282" s="6">
        <v>0</v>
      </c>
      <c r="V282" s="5" t="str">
        <f ca="1">VLOOKUP($W282,OFFSET([5]enemy_skill_sets!$B$1,0,0,COUNTA([5]enemy_skill_sets!$B:$B),MATCH(M$1,[5]enemy_skill_sets!$1:$1,0)-MATCH($W$1,[5]enemy_skill_sets!$1:$1,0)+2),MATCH(M$1,[5]enemy_skill_sets!$1:$1,0)-MATCH($W$1,[5]enemy_skill_sets!$1:$1,0)+2,FALSE)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2" s="5">
        <f ca="1">VLOOKUP($L282,OFFSET([3]enemies!$A$1,0,0,COUNTA([3]enemies!$A:$A),MATCH(W$1,[3]enemies!$1:$1,0)-MATCH($L$1,[3]enemies!$1:$1,0)+1),MATCH(W$1,[3]enemies!$1:$1,0)-MATCH($L$1,[3]enemies!$1:$1,0)+1,FALSE)</f>
        <v>0</v>
      </c>
      <c r="X282" s="7">
        <v>0</v>
      </c>
      <c r="Y282" s="7">
        <v>100</v>
      </c>
      <c r="Z282" s="7">
        <v>2</v>
      </c>
      <c r="AA282" s="20">
        <f ca="1">VLOOKUP($L282,OFFSET([3]enemies!$A$1,0,0,COUNTA([3]enemies!$A:$A),MATCH(AA$1,[3]enemies!$1:$1,0)-MATCH($L$1,[3]enemies!$1:$1,0)+1),MATCH(AA$1,[3]enemies!$1:$1,0)-MATCH($L$1,[3]enemies!$1:$1,0)+1,FALSE)</f>
        <v>1</v>
      </c>
      <c r="AB282" s="70">
        <v>107</v>
      </c>
      <c r="AC282" s="5" t="str">
        <f ca="1">IFERROR(VLOOKUP($AB282,OFFSET([4]characters!$A$1,0,0,COUNTA([4]characters!$A:$A),MATCH(AC$1,[4]characters!$1:$1,0)-MATCH("character_id",[4]characters!$1:$1,0)+1),MATCH(AC$1,[4]characters!$1:$1,0)-MATCH("character_id",[4]characters!$1:$1,0)+1,FALSE),"")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282" s="5">
        <f ca="1">IFERROR(VLOOKUP($AB282,OFFSET([4]characters!$A$1,0,0,COUNTA([4]characters!$A:$A),MATCH(AD$1,[4]characters!$1:$1,0)-MATCH("character_id",[4]characters!$1:$1,0)+1),MATCH(AD$1,[4]characters!$1:$1,0)-MATCH("character_id",[4]characters!$1:$1,0)+1,FALSE),"")</f>
        <v>4</v>
      </c>
      <c r="AE282" s="5" t="str">
        <f ca="1">IFERROR(VLOOKUP($AB282,OFFSET([4]characters!$A$1,0,0,COUNTA([4]characters!$A:$A),MATCH(AE$1,[4]characters!$1:$1,0)-MATCH("character_id",[4]characters!$1:$1,0)+1),MATCH(AE$1,[4]characters!$1:$1,0)-MATCH("character_id",[4]characters!$1:$1,0)+1,FALSE),"")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2" s="28">
        <v>1</v>
      </c>
      <c r="AG282" s="75">
        <f t="shared" ca="1" si="64"/>
        <v>4</v>
      </c>
      <c r="AH282" s="130">
        <v>50</v>
      </c>
      <c r="AI282" s="28">
        <v>0</v>
      </c>
      <c r="AJ282" s="28">
        <v>0</v>
      </c>
      <c r="AK282" s="28">
        <v>0</v>
      </c>
      <c r="AL282" s="28">
        <v>0</v>
      </c>
      <c r="AM282" s="28">
        <v>1</v>
      </c>
      <c r="AN282" s="28">
        <v>1</v>
      </c>
    </row>
    <row r="283" spans="1:40" ht="21" customHeight="1" x14ac:dyDescent="0.15">
      <c r="A283" s="17" t="str">
        <f ca="1">B283&amp;"_"&amp;C283&amp;"-"&amp;G283&amp;"/"&amp;L283&amp;"&lt;lv"&amp;R283&amp;"&gt;s"&amp;AA283</f>
        <v>11104_4-5/128&lt;lv30&gt;s2</v>
      </c>
      <c r="B283" s="84">
        <v>11104</v>
      </c>
      <c r="C283" s="85">
        <v>4</v>
      </c>
      <c r="D283" s="16" t="str">
        <f t="shared" si="66"/>
        <v>11104_4</v>
      </c>
      <c r="E283" s="5" t="str">
        <f ca="1">VLOOKUP($B283,OFFSET([2]quests!$A$1,0,0,COUNTA([2]quests!$A:$A),MATCH(E$1,[2]quests!$1:$1,0)-MATCH($B$1,[2]quests!$1:$1,0)+1),MATCH(E$1,[2]quests!$1:$1,0)-MATCH($B$1,[2]quests!$1:$1,0)+1,FALSE)</f>
        <v>【期間限定】 緑の素材</v>
      </c>
      <c r="F283" s="5" t="str">
        <f ca="1">VLOOKUP($D283,OFFSET([2]stages!$A$1,0,0,COUNTA([2]stages!$A:$A),MATCH(F$1,[2]stages!$2:$2,0)-MATCH($D$1,[2]stages!$2:$2,0)+1),MATCH(F$1,[2]stages!$2:$2,0)-MATCH($D$1,[2]stages!$2:$2,0)+1,FALSE)</f>
        <v>【上級】樹のイモムシ</v>
      </c>
      <c r="G283" s="68">
        <v>5</v>
      </c>
      <c r="H283" s="16" t="str">
        <f t="shared" si="67"/>
        <v>11104_4-5</v>
      </c>
      <c r="I283" s="5" t="e">
        <v>#N/A</v>
      </c>
      <c r="J283" s="5" t="e">
        <v>#N/A</v>
      </c>
      <c r="K283" s="70" t="s">
        <v>217</v>
      </c>
      <c r="L283" s="70">
        <v>128</v>
      </c>
      <c r="M283" s="20" t="str">
        <f ca="1">VLOOKUP($L283,OFFSET([3]enemies!$A$1,0,0,COUNTA([3]enemies!$A:$A),MATCH(M$1,[3]enemies!$1:$1,0)-MATCH($L$1,[3]enemies!$1:$1,0)+1),MATCH(M$1,[3]enemies!$1:$1,0)-MATCH($L$1,[3]enemies!$1:$1,0)+1,FALSE)</f>
        <v>野生児 アマラ</v>
      </c>
      <c r="N283" s="20" t="str">
        <f ca="1">VLOOKUP($L283,OFFSET([3]enemies!$A$1,0,0,COUNTA([3]enemies!$A:$A),MATCH(N$1,[3]enemies!$1:$1,0)-MATCH($L$1,[3]enemies!$1:$1,0)+1),MATCH(N$1,[3]enemies!$1:$1,0)-MATCH($L$1,[3]enemies!$1:$1,0)+1,FALSE)</f>
        <v>green</v>
      </c>
      <c r="O283" s="22" t="str">
        <f ca="1">VLOOKUP($L283,OFFSET([4]characters!$A$1,0,0,COUNTA([4]characters!$A:$A),MATCH(O$1,[4]characters!$1:$1,0)-MATCH($L$1,[4]characters!$1:$1,0)+1),MATCH(O$1,[4]characters!$1:$1,0)-MATCH($L$1,[4]characters!$1:$1,0)+1,FALSE)</f>
        <v>PremiumW</v>
      </c>
      <c r="P283" s="20" t="str">
        <f ca="1">VLOOKUP($L283,OFFSET([3]enemies!$A$1,0,0,COUNTA([3]enemies!$A:$A),MATCH(P$1,[3]enemies!$1:$1,0)-MATCH($L$1,[3]enemies!$1:$1,0)+1),MATCH(P$1,[3]enemies!$1:$1,0)-MATCH($L$1,[3]enemies!$1:$1,0)+1,FALSE)</f>
        <v>human</v>
      </c>
      <c r="Q283" s="20">
        <f ca="1">VLOOKUP($L283,OFFSET([3]enemies!$A$1,0,0,COUNTA([3]enemies!$A:$A),MATCH(Q$1,[3]enemies!$1:$1,0)-MATCH($L$1,[3]enemies!$1:$1,0)+1),MATCH(Q$1,[3]enemies!$1:$1,0)-MATCH($L$1,[3]enemies!$1:$1,0)+1,FALSE)</f>
        <v>20</v>
      </c>
      <c r="R283" s="6">
        <v>30</v>
      </c>
      <c r="S283" s="30">
        <v>1</v>
      </c>
      <c r="T283" s="30">
        <v>1</v>
      </c>
      <c r="U283" s="6">
        <v>0</v>
      </c>
      <c r="V283" s="5" t="str">
        <f ca="1">VLOOKUP($W283,OFFSET([5]enemy_skill_sets!$B$1,0,0,COUNTA([5]enemy_skill_sets!$B:$B),MATCH(M$1,[5]enemy_skill_sets!$1:$1,0)-MATCH($W$1,[5]enemy_skill_sets!$1:$1,0)+2),MATCH(M$1,[5]enemy_skill_sets!$1:$1,0)-MATCH($W$1,[5]enemy_skill_sets!$1:$1,0)+2,FALSE)</f>
        <v>5ターン攻撃力小UP</v>
      </c>
      <c r="W283" s="5">
        <f ca="1">VLOOKUP($L283,OFFSET([3]enemies!$A$1,0,0,COUNTA([3]enemies!$A:$A),MATCH(W$1,[3]enemies!$1:$1,0)-MATCH($L$1,[3]enemies!$1:$1,0)+1),MATCH(W$1,[3]enemies!$1:$1,0)-MATCH($L$1,[3]enemies!$1:$1,0)+1,FALSE)</f>
        <v>128</v>
      </c>
      <c r="X283" s="7">
        <v>0</v>
      </c>
      <c r="Y283" s="7">
        <v>100</v>
      </c>
      <c r="Z283" s="7">
        <v>0</v>
      </c>
      <c r="AA283" s="20">
        <f ca="1">VLOOKUP($L283,OFFSET([3]enemies!$A$1,0,0,COUNTA([3]enemies!$A:$A),MATCH(AA$1,[3]enemies!$1:$1,0)-MATCH($L$1,[3]enemies!$1:$1,0)+1),MATCH(AA$1,[3]enemies!$1:$1,0)-MATCH($L$1,[3]enemies!$1:$1,0)+1,FALSE)</f>
        <v>2</v>
      </c>
      <c r="AB283" s="70">
        <v>128</v>
      </c>
      <c r="AC283" s="5" t="str">
        <f ca="1">IFERROR(VLOOKUP($AB283,OFFSET([4]characters!$A$1,0,0,COUNTA([4]characters!$A:$A),MATCH(AC$1,[4]characters!$1:$1,0)-MATCH("character_id",[4]characters!$1:$1,0)+1),MATCH(AC$1,[4]characters!$1:$1,0)-MATCH("character_id",[4]characters!$1:$1,0)+1,FALSE),"")</f>
        <v>野生児 アマラ</v>
      </c>
      <c r="AD283" s="5">
        <f ca="1">IFERROR(VLOOKUP($AB283,OFFSET([4]characters!$A$1,0,0,COUNTA([4]characters!$A:$A),MATCH(AD$1,[4]characters!$1:$1,0)-MATCH("character_id",[4]characters!$1:$1,0)+1),MATCH(AD$1,[4]characters!$1:$1,0)-MATCH("character_id",[4]characters!$1:$1,0)+1,FALSE),"")</f>
        <v>3</v>
      </c>
      <c r="AE283" s="5" t="str">
        <f ca="1">IFERROR(VLOOKUP($AB283,OFFSET([4]characters!$A$1,0,0,COUNTA([4]characters!$A:$A),MATCH(AE$1,[4]characters!$1:$1,0)-MATCH("character_id",[4]characters!$1:$1,0)+1),MATCH(AE$1,[4]characters!$1:$1,0)-MATCH("character_id",[4]characters!$1:$1,0)+1,FALSE),"")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83" s="28">
        <v>1</v>
      </c>
      <c r="AG283" s="75">
        <f t="shared" ca="1" si="64"/>
        <v>3</v>
      </c>
      <c r="AH283" s="9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1</v>
      </c>
      <c r="AN283" s="28">
        <v>1</v>
      </c>
    </row>
    <row r="284" spans="1:40" ht="21" customHeight="1" x14ac:dyDescent="0.15">
      <c r="A284" s="17" t="str">
        <f ca="1">B284&amp;"_"&amp;C284&amp;"-"&amp;G284&amp;"/"&amp;L284&amp;"&lt;lv"&amp;R284&amp;"&gt;s"&amp;AA284</f>
        <v>11104_4-5/136&lt;lv30&gt;s4</v>
      </c>
      <c r="B284" s="84">
        <v>11104</v>
      </c>
      <c r="C284" s="85">
        <v>4</v>
      </c>
      <c r="D284" s="16" t="str">
        <f t="shared" si="66"/>
        <v>11104_4</v>
      </c>
      <c r="E284" s="5" t="str">
        <f ca="1">VLOOKUP($B284,OFFSET([2]quests!$A$1,0,0,COUNTA([2]quests!$A:$A),MATCH(E$1,[2]quests!$1:$1,0)-MATCH($B$1,[2]quests!$1:$1,0)+1),MATCH(E$1,[2]quests!$1:$1,0)-MATCH($B$1,[2]quests!$1:$1,0)+1,FALSE)</f>
        <v>【期間限定】 緑の素材</v>
      </c>
      <c r="F284" s="5" t="str">
        <f ca="1">VLOOKUP($D284,OFFSET([2]stages!$A$1,0,0,COUNTA([2]stages!$A:$A),MATCH(F$1,[2]stages!$2:$2,0)-MATCH($D$1,[2]stages!$2:$2,0)+1),MATCH(F$1,[2]stages!$2:$2,0)-MATCH($D$1,[2]stages!$2:$2,0)+1,FALSE)</f>
        <v>【上級】樹のイモムシ</v>
      </c>
      <c r="G284" s="68">
        <v>5</v>
      </c>
      <c r="H284" s="16" t="str">
        <f t="shared" si="67"/>
        <v>11104_4-5</v>
      </c>
      <c r="I284" s="5" t="e">
        <v>#N/A</v>
      </c>
      <c r="J284" s="5" t="e">
        <v>#N/A</v>
      </c>
      <c r="K284" s="70" t="s">
        <v>217</v>
      </c>
      <c r="L284" s="70">
        <v>136</v>
      </c>
      <c r="M284" s="20" t="str">
        <f ca="1">VLOOKUP($L284,OFFSET([3]enemies!$A$1,0,0,COUNTA([3]enemies!$A:$A),MATCH(M$1,[3]enemies!$1:$1,0)-MATCH($L$1,[3]enemies!$1:$1,0)+1),MATCH(M$1,[3]enemies!$1:$1,0)-MATCH($L$1,[3]enemies!$1:$1,0)+1,FALSE)</f>
        <v>お針子チハヤ</v>
      </c>
      <c r="N284" s="20" t="str">
        <f ca="1">VLOOKUP($L284,OFFSET([3]enemies!$A$1,0,0,COUNTA([3]enemies!$A:$A),MATCH(N$1,[3]enemies!$1:$1,0)-MATCH($L$1,[3]enemies!$1:$1,0)+1),MATCH(N$1,[3]enemies!$1:$1,0)-MATCH($L$1,[3]enemies!$1:$1,0)+1,FALSE)</f>
        <v>green</v>
      </c>
      <c r="O284" s="22" t="str">
        <f ca="1">VLOOKUP($L284,OFFSET([4]characters!$A$1,0,0,COUNTA([4]characters!$A:$A),MATCH(O$1,[4]characters!$1:$1,0)-MATCH($L$1,[4]characters!$1:$1,0)+1),MATCH(O$1,[4]characters!$1:$1,0)-MATCH($L$1,[4]characters!$1:$1,0)+1,FALSE)</f>
        <v>PremiumW</v>
      </c>
      <c r="P284" s="20" t="str">
        <f ca="1">VLOOKUP($L284,OFFSET([3]enemies!$A$1,0,0,COUNTA([3]enemies!$A:$A),MATCH(P$1,[3]enemies!$1:$1,0)-MATCH($L$1,[3]enemies!$1:$1,0)+1),MATCH(P$1,[3]enemies!$1:$1,0)-MATCH($L$1,[3]enemies!$1:$1,0)+1,FALSE)</f>
        <v>human</v>
      </c>
      <c r="Q284" s="20">
        <f ca="1">VLOOKUP($L284,OFFSET([3]enemies!$A$1,0,0,COUNTA([3]enemies!$A:$A),MATCH(Q$1,[3]enemies!$1:$1,0)-MATCH($L$1,[3]enemies!$1:$1,0)+1),MATCH(Q$1,[3]enemies!$1:$1,0)-MATCH($L$1,[3]enemies!$1:$1,0)+1,FALSE)</f>
        <v>20</v>
      </c>
      <c r="R284" s="6">
        <v>30</v>
      </c>
      <c r="S284" s="30">
        <v>1</v>
      </c>
      <c r="T284" s="30">
        <v>1</v>
      </c>
      <c r="U284" s="6">
        <v>0</v>
      </c>
      <c r="V284" s="5" t="str">
        <f ca="1">VLOOKUP($W284,OFFSET([5]enemy_skill_sets!$B$1,0,0,COUNTA([5]enemy_skill_sets!$B:$B),MATCH(M$1,[5]enemy_skill_sets!$1:$1,0)-MATCH($W$1,[5]enemy_skill_sets!$1:$1,0)+2),MATCH(M$1,[5]enemy_skill_sets!$1:$1,0)-MATCH($W$1,[5]enemy_skill_sets!$1:$1,0)+2,FALSE)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84" s="5">
        <f ca="1">VLOOKUP($L284,OFFSET([3]enemies!$A$1,0,0,COUNTA([3]enemies!$A:$A),MATCH(W$1,[3]enemies!$1:$1,0)-MATCH($L$1,[3]enemies!$1:$1,0)+1),MATCH(W$1,[3]enemies!$1:$1,0)-MATCH($L$1,[3]enemies!$1:$1,0)+1,FALSE)</f>
        <v>136</v>
      </c>
      <c r="X284" s="7">
        <v>0</v>
      </c>
      <c r="Y284" s="7">
        <v>100</v>
      </c>
      <c r="Z284" s="7">
        <v>0</v>
      </c>
      <c r="AA284" s="20">
        <f ca="1">VLOOKUP($L284,OFFSET([3]enemies!$A$1,0,0,COUNTA([3]enemies!$A:$A),MATCH(AA$1,[3]enemies!$1:$1,0)-MATCH($L$1,[3]enemies!$1:$1,0)+1),MATCH(AA$1,[3]enemies!$1:$1,0)-MATCH($L$1,[3]enemies!$1:$1,0)+1,FALSE)</f>
        <v>4</v>
      </c>
      <c r="AB284" s="70">
        <v>136</v>
      </c>
      <c r="AC284" s="5" t="str">
        <f ca="1">IFERROR(VLOOKUP($AB284,OFFSET([4]characters!$A$1,0,0,COUNTA([4]characters!$A:$A),MATCH(AC$1,[4]characters!$1:$1,0)-MATCH("character_id",[4]characters!$1:$1,0)+1),MATCH(AC$1,[4]characters!$1:$1,0)-MATCH("character_id",[4]characters!$1:$1,0)+1,FALSE),"")</f>
        <v>お針子チハヤ</v>
      </c>
      <c r="AD284" s="5">
        <f ca="1">IFERROR(VLOOKUP($AB284,OFFSET([4]characters!$A$1,0,0,COUNTA([4]characters!$A:$A),MATCH(AD$1,[4]characters!$1:$1,0)-MATCH("character_id",[4]characters!$1:$1,0)+1),MATCH(AD$1,[4]characters!$1:$1,0)-MATCH("character_id",[4]characters!$1:$1,0)+1,FALSE),"")</f>
        <v>3</v>
      </c>
      <c r="AE284" s="5" t="str">
        <f ca="1">IFERROR(VLOOKUP($AB284,OFFSET([4]characters!$A$1,0,0,COUNTA([4]characters!$A:$A),MATCH(AE$1,[4]characters!$1:$1,0)-MATCH("character_id",[4]characters!$1:$1,0)+1),MATCH(AE$1,[4]characters!$1:$1,0)-MATCH("character_id",[4]characters!$1:$1,0)+1,FALSE),"")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84" s="28">
        <v>1</v>
      </c>
      <c r="AG284" s="75">
        <f t="shared" ca="1" si="64"/>
        <v>3</v>
      </c>
      <c r="AH284" s="9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1</v>
      </c>
      <c r="AN284" s="28">
        <v>1</v>
      </c>
    </row>
    <row r="285" spans="1:40" ht="21" customHeight="1" x14ac:dyDescent="0.15">
      <c r="A285" s="17" t="str">
        <f ca="1">B285&amp;"_"&amp;C285&amp;"-"&amp;G285&amp;"/"&amp;L285&amp;"&lt;lv"&amp;R285&amp;"&gt;s"&amp;AA285</f>
        <v>11104_4-5/144&lt;lv30&gt;s2</v>
      </c>
      <c r="B285" s="84">
        <v>11104</v>
      </c>
      <c r="C285" s="85">
        <v>4</v>
      </c>
      <c r="D285" s="16" t="str">
        <f t="shared" si="66"/>
        <v>11104_4</v>
      </c>
      <c r="E285" s="5" t="str">
        <f ca="1">VLOOKUP($B285,OFFSET([2]quests!$A$1,0,0,COUNTA([2]quests!$A:$A),MATCH(E$1,[2]quests!$1:$1,0)-MATCH($B$1,[2]quests!$1:$1,0)+1),MATCH(E$1,[2]quests!$1:$1,0)-MATCH($B$1,[2]quests!$1:$1,0)+1,FALSE)</f>
        <v>【期間限定】 緑の素材</v>
      </c>
      <c r="F285" s="5" t="str">
        <f ca="1">VLOOKUP($D285,OFFSET([2]stages!$A$1,0,0,COUNTA([2]stages!$A:$A),MATCH(F$1,[2]stages!$2:$2,0)-MATCH($D$1,[2]stages!$2:$2,0)+1),MATCH(F$1,[2]stages!$2:$2,0)-MATCH($D$1,[2]stages!$2:$2,0)+1,FALSE)</f>
        <v>【上級】樹のイモムシ</v>
      </c>
      <c r="G285" s="68">
        <v>5</v>
      </c>
      <c r="H285" s="16" t="str">
        <f t="shared" si="67"/>
        <v>11104_4-5</v>
      </c>
      <c r="I285" s="5" t="e">
        <v>#N/A</v>
      </c>
      <c r="J285" s="5" t="e">
        <v>#N/A</v>
      </c>
      <c r="K285" s="70" t="s">
        <v>219</v>
      </c>
      <c r="L285" s="70">
        <v>144</v>
      </c>
      <c r="M285" s="20" t="str">
        <f ca="1">VLOOKUP($L285,OFFSET([3]enemies!$A$1,0,0,COUNTA([3]enemies!$A:$A),MATCH(M$1,[3]enemies!$1:$1,0)-MATCH($L$1,[3]enemies!$1:$1,0)+1),MATCH(M$1,[3]enemies!$1:$1,0)-MATCH($L$1,[3]enemies!$1:$1,0)+1,FALSE)</f>
        <v>かぐや</v>
      </c>
      <c r="N285" s="20" t="str">
        <f ca="1">VLOOKUP($L285,OFFSET([3]enemies!$A$1,0,0,COUNTA([3]enemies!$A:$A),MATCH(N$1,[3]enemies!$1:$1,0)-MATCH($L$1,[3]enemies!$1:$1,0)+1),MATCH(N$1,[3]enemies!$1:$1,0)-MATCH($L$1,[3]enemies!$1:$1,0)+1,FALSE)</f>
        <v>green</v>
      </c>
      <c r="O285" s="22" t="str">
        <f ca="1">VLOOKUP($L285,OFFSET([4]characters!$A$1,0,0,COUNTA([4]characters!$A:$A),MATCH(O$1,[4]characters!$1:$1,0)-MATCH($L$1,[4]characters!$1:$1,0)+1),MATCH(O$1,[4]characters!$1:$1,0)-MATCH($L$1,[4]characters!$1:$1,0)+1,FALSE)</f>
        <v>PremiumW</v>
      </c>
      <c r="P285" s="20" t="str">
        <f ca="1">VLOOKUP($L285,OFFSET([3]enemies!$A$1,0,0,COUNTA([3]enemies!$A:$A),MATCH(P$1,[3]enemies!$1:$1,0)-MATCH($L$1,[3]enemies!$1:$1,0)+1),MATCH(P$1,[3]enemies!$1:$1,0)-MATCH($L$1,[3]enemies!$1:$1,0)+1,FALSE)</f>
        <v>human</v>
      </c>
      <c r="Q285" s="20">
        <f ca="1">VLOOKUP($L285,OFFSET([3]enemies!$A$1,0,0,COUNTA([3]enemies!$A:$A),MATCH(Q$1,[3]enemies!$1:$1,0)-MATCH($L$1,[3]enemies!$1:$1,0)+1),MATCH(Q$1,[3]enemies!$1:$1,0)-MATCH($L$1,[3]enemies!$1:$1,0)+1,FALSE)</f>
        <v>20</v>
      </c>
      <c r="R285" s="6">
        <v>30</v>
      </c>
      <c r="S285" s="30">
        <v>1</v>
      </c>
      <c r="T285" s="30">
        <v>1</v>
      </c>
      <c r="U285" s="6">
        <v>0</v>
      </c>
      <c r="V285" s="5" t="str">
        <f ca="1">VLOOKUP($W285,OFFSET([5]enemy_skill_sets!$B$1,0,0,COUNTA([5]enemy_skill_sets!$B:$B),MATCH(M$1,[5]enemy_skill_sets!$1:$1,0)-MATCH($W$1,[5]enemy_skill_sets!$1:$1,0)+2),MATCH(M$1,[5]enemy_skill_sets!$1:$1,0)-MATCH($W$1,[5]enemy_skill_sets!$1:$1,0)+2,FALSE)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5" s="5">
        <f ca="1">VLOOKUP($L285,OFFSET([3]enemies!$A$1,0,0,COUNTA([3]enemies!$A:$A),MATCH(W$1,[3]enemies!$1:$1,0)-MATCH($L$1,[3]enemies!$1:$1,0)+1),MATCH(W$1,[3]enemies!$1:$1,0)-MATCH($L$1,[3]enemies!$1:$1,0)+1,FALSE)</f>
        <v>0</v>
      </c>
      <c r="X285" s="7">
        <v>0</v>
      </c>
      <c r="Y285" s="7">
        <v>100</v>
      </c>
      <c r="Z285" s="7">
        <v>0</v>
      </c>
      <c r="AA285" s="20">
        <f ca="1">VLOOKUP($L285,OFFSET([3]enemies!$A$1,0,0,COUNTA([3]enemies!$A:$A),MATCH(AA$1,[3]enemies!$1:$1,0)-MATCH($L$1,[3]enemies!$1:$1,0)+1),MATCH(AA$1,[3]enemies!$1:$1,0)-MATCH($L$1,[3]enemies!$1:$1,0)+1,FALSE)</f>
        <v>2</v>
      </c>
      <c r="AB285" s="70">
        <v>144</v>
      </c>
      <c r="AC285" s="5" t="str">
        <f ca="1">IFERROR(VLOOKUP($AB285,OFFSET([4]characters!$A$1,0,0,COUNTA([4]characters!$A:$A),MATCH(AC$1,[4]characters!$1:$1,0)-MATCH("character_id",[4]characters!$1:$1,0)+1),MATCH(AC$1,[4]characters!$1:$1,0)-MATCH("character_id",[4]characters!$1:$1,0)+1,FALSE),"")</f>
        <v>かぐや</v>
      </c>
      <c r="AD285" s="5">
        <f ca="1">IFERROR(VLOOKUP($AB285,OFFSET([4]characters!$A$1,0,0,COUNTA([4]characters!$A:$A),MATCH(AD$1,[4]characters!$1:$1,0)-MATCH("character_id",[4]characters!$1:$1,0)+1),MATCH(AD$1,[4]characters!$1:$1,0)-MATCH("character_id",[4]characters!$1:$1,0)+1,FALSE),"")</f>
        <v>3</v>
      </c>
      <c r="AE285" s="5" t="str">
        <f ca="1">IFERROR(VLOOKUP($AB285,OFFSET([4]characters!$A$1,0,0,COUNTA([4]characters!$A:$A),MATCH(AE$1,[4]characters!$1:$1,0)-MATCH("character_id",[4]characters!$1:$1,0)+1),MATCH(AE$1,[4]characters!$1:$1,0)-MATCH("character_id",[4]characters!$1:$1,0)+1,FALSE),"")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85" s="28">
        <v>1</v>
      </c>
      <c r="AG285" s="75">
        <f t="shared" ca="1" si="64"/>
        <v>3</v>
      </c>
      <c r="AH285" s="9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1</v>
      </c>
      <c r="AN285" s="28">
        <v>1</v>
      </c>
    </row>
    <row r="286" spans="1:40" ht="21" customHeight="1" x14ac:dyDescent="0.15">
      <c r="A286" s="17" t="str">
        <f ca="1">B286&amp;"_"&amp;C286&amp;"-"&amp;G286&amp;"/"&amp;L286&amp;"&lt;lv"&amp;R286&amp;"&gt;s"&amp;AA286</f>
        <v>11104_4-5/152&lt;lv30&gt;s1</v>
      </c>
      <c r="B286" s="84">
        <v>11104</v>
      </c>
      <c r="C286" s="85">
        <v>4</v>
      </c>
      <c r="D286" s="16" t="str">
        <f t="shared" si="66"/>
        <v>11104_4</v>
      </c>
      <c r="E286" s="5" t="str">
        <f ca="1">VLOOKUP($B286,OFFSET([2]quests!$A$1,0,0,COUNTA([2]quests!$A:$A),MATCH(E$1,[2]quests!$1:$1,0)-MATCH($B$1,[2]quests!$1:$1,0)+1),MATCH(E$1,[2]quests!$1:$1,0)-MATCH($B$1,[2]quests!$1:$1,0)+1,FALSE)</f>
        <v>【期間限定】 緑の素材</v>
      </c>
      <c r="F286" s="5" t="str">
        <f ca="1">VLOOKUP($D286,OFFSET([2]stages!$A$1,0,0,COUNTA([2]stages!$A:$A),MATCH(F$1,[2]stages!$2:$2,0)-MATCH($D$1,[2]stages!$2:$2,0)+1),MATCH(F$1,[2]stages!$2:$2,0)-MATCH($D$1,[2]stages!$2:$2,0)+1,FALSE)</f>
        <v>【上級】樹のイモムシ</v>
      </c>
      <c r="G286" s="68">
        <v>5</v>
      </c>
      <c r="H286" s="16" t="str">
        <f t="shared" si="67"/>
        <v>11104_4-5</v>
      </c>
      <c r="I286" s="5" t="e">
        <v>#N/A</v>
      </c>
      <c r="J286" s="5" t="e">
        <v>#N/A</v>
      </c>
      <c r="K286" s="70" t="s">
        <v>219</v>
      </c>
      <c r="L286" s="70">
        <v>152</v>
      </c>
      <c r="M286" s="20" t="str">
        <f ca="1">VLOOKUP($L286,OFFSET([3]enemies!$A$1,0,0,COUNTA([3]enemies!$A:$A),MATCH(M$1,[3]enemies!$1:$1,0)-MATCH($L$1,[3]enemies!$1:$1,0)+1),MATCH(M$1,[3]enemies!$1:$1,0)-MATCH($L$1,[3]enemies!$1:$1,0)+1,FALSE)</f>
        <v>功夫少女ランラン</v>
      </c>
      <c r="N286" s="20" t="str">
        <f ca="1">VLOOKUP($L286,OFFSET([3]enemies!$A$1,0,0,COUNTA([3]enemies!$A:$A),MATCH(N$1,[3]enemies!$1:$1,0)-MATCH($L$1,[3]enemies!$1:$1,0)+1),MATCH(N$1,[3]enemies!$1:$1,0)-MATCH($L$1,[3]enemies!$1:$1,0)+1,FALSE)</f>
        <v>green</v>
      </c>
      <c r="O286" s="22" t="str">
        <f ca="1">VLOOKUP($L286,OFFSET([4]characters!$A$1,0,0,COUNTA([4]characters!$A:$A),MATCH(O$1,[4]characters!$1:$1,0)-MATCH($L$1,[4]characters!$1:$1,0)+1),MATCH(O$1,[4]characters!$1:$1,0)-MATCH($L$1,[4]characters!$1:$1,0)+1,FALSE)</f>
        <v>PremiumW</v>
      </c>
      <c r="P286" s="20" t="str">
        <f ca="1">VLOOKUP($L286,OFFSET([3]enemies!$A$1,0,0,COUNTA([3]enemies!$A:$A),MATCH(P$1,[3]enemies!$1:$1,0)-MATCH($L$1,[3]enemies!$1:$1,0)+1),MATCH(P$1,[3]enemies!$1:$1,0)-MATCH($L$1,[3]enemies!$1:$1,0)+1,FALSE)</f>
        <v>human</v>
      </c>
      <c r="Q286" s="20">
        <f ca="1">VLOOKUP($L286,OFFSET([3]enemies!$A$1,0,0,COUNTA([3]enemies!$A:$A),MATCH(Q$1,[3]enemies!$1:$1,0)-MATCH($L$1,[3]enemies!$1:$1,0)+1),MATCH(Q$1,[3]enemies!$1:$1,0)-MATCH($L$1,[3]enemies!$1:$1,0)+1,FALSE)</f>
        <v>20</v>
      </c>
      <c r="R286" s="6">
        <v>30</v>
      </c>
      <c r="S286" s="30">
        <v>1</v>
      </c>
      <c r="T286" s="30">
        <v>1</v>
      </c>
      <c r="U286" s="6">
        <v>0</v>
      </c>
      <c r="V286" s="5" t="str">
        <f ca="1">VLOOKUP($W286,OFFSET([5]enemy_skill_sets!$B$1,0,0,COUNTA([5]enemy_skill_sets!$B:$B),MATCH(M$1,[5]enemy_skill_sets!$1:$1,0)-MATCH($W$1,[5]enemy_skill_sets!$1:$1,0)+2),MATCH(M$1,[5]enemy_skill_sets!$1:$1,0)-MATCH($W$1,[5]enemy_skill_sets!$1:$1,0)+2,FALSE)</f>
        <v>攻撃力×1.3倍の攻撃</v>
      </c>
      <c r="W286" s="5">
        <f ca="1">VLOOKUP($L286,OFFSET([3]enemies!$A$1,0,0,COUNTA([3]enemies!$A:$A),MATCH(W$1,[3]enemies!$1:$1,0)-MATCH($L$1,[3]enemies!$1:$1,0)+1),MATCH(W$1,[3]enemies!$1:$1,0)-MATCH($L$1,[3]enemies!$1:$1,0)+1,FALSE)</f>
        <v>152</v>
      </c>
      <c r="X286" s="7">
        <v>0</v>
      </c>
      <c r="Y286" s="7">
        <v>100</v>
      </c>
      <c r="Z286" s="7">
        <v>0</v>
      </c>
      <c r="AA286" s="20">
        <f ca="1">VLOOKUP($L286,OFFSET([3]enemies!$A$1,0,0,COUNTA([3]enemies!$A:$A),MATCH(AA$1,[3]enemies!$1:$1,0)-MATCH($L$1,[3]enemies!$1:$1,0)+1),MATCH(AA$1,[3]enemies!$1:$1,0)-MATCH($L$1,[3]enemies!$1:$1,0)+1,FALSE)</f>
        <v>1</v>
      </c>
      <c r="AB286" s="70">
        <v>152</v>
      </c>
      <c r="AC286" s="5" t="str">
        <f ca="1">IFERROR(VLOOKUP($AB286,OFFSET([4]characters!$A$1,0,0,COUNTA([4]characters!$A:$A),MATCH(AC$1,[4]characters!$1:$1,0)-MATCH("character_id",[4]characters!$1:$1,0)+1),MATCH(AC$1,[4]characters!$1:$1,0)-MATCH("character_id",[4]characters!$1:$1,0)+1,FALSE),"")</f>
        <v>功夫少女ランラン</v>
      </c>
      <c r="AD286" s="5">
        <f ca="1">IFERROR(VLOOKUP($AB286,OFFSET([4]characters!$A$1,0,0,COUNTA([4]characters!$A:$A),MATCH(AD$1,[4]characters!$1:$1,0)-MATCH("character_id",[4]characters!$1:$1,0)+1),MATCH(AD$1,[4]characters!$1:$1,0)-MATCH("character_id",[4]characters!$1:$1,0)+1,FALSE),"")</f>
        <v>3</v>
      </c>
      <c r="AE286" s="5" t="str">
        <f ca="1">IFERROR(VLOOKUP($AB286,OFFSET([4]characters!$A$1,0,0,COUNTA([4]characters!$A:$A),MATCH(AE$1,[4]characters!$1:$1,0)-MATCH("character_id",[4]characters!$1:$1,0)+1),MATCH(AE$1,[4]characters!$1:$1,0)-MATCH("character_id",[4]characters!$1:$1,0)+1,FALSE),"")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86" s="28">
        <v>1</v>
      </c>
      <c r="AG286" s="75">
        <f t="shared" ca="1" si="64"/>
        <v>3</v>
      </c>
      <c r="AH286" s="9">
        <v>0</v>
      </c>
      <c r="AI286" s="28">
        <v>0</v>
      </c>
      <c r="AJ286" s="28">
        <v>0</v>
      </c>
      <c r="AK286" s="28">
        <v>0</v>
      </c>
      <c r="AL286" s="28">
        <v>0</v>
      </c>
      <c r="AM286" s="28">
        <v>1</v>
      </c>
      <c r="AN286" s="28">
        <v>1</v>
      </c>
    </row>
    <row r="287" spans="1:40" ht="21" customHeight="1" x14ac:dyDescent="0.15">
      <c r="A287" s="17" t="str">
        <f ca="1">B287&amp;"_"&amp;C287&amp;"-"&amp;G287&amp;"/"&amp;L287&amp;"&lt;lv"&amp;R287&amp;"&gt;s"&amp;AA287</f>
        <v>11104_4-5/837&lt;lv30&gt;s3</v>
      </c>
      <c r="B287" s="84">
        <v>11104</v>
      </c>
      <c r="C287" s="85">
        <v>4</v>
      </c>
      <c r="D287" s="16" t="str">
        <f t="shared" si="66"/>
        <v>11104_4</v>
      </c>
      <c r="E287" s="5" t="str">
        <f ca="1">VLOOKUP($B287,OFFSET([2]quests!$A$1,0,0,COUNTA([2]quests!$A:$A),MATCH(E$1,[2]quests!$1:$1,0)-MATCH($B$1,[2]quests!$1:$1,0)+1),MATCH(E$1,[2]quests!$1:$1,0)-MATCH($B$1,[2]quests!$1:$1,0)+1,FALSE)</f>
        <v>【期間限定】 緑の素材</v>
      </c>
      <c r="F287" s="5" t="str">
        <f ca="1">VLOOKUP($D287,OFFSET([2]stages!$A$1,0,0,COUNTA([2]stages!$A:$A),MATCH(F$1,[2]stages!$2:$2,0)-MATCH($D$1,[2]stages!$2:$2,0)+1),MATCH(F$1,[2]stages!$2:$2,0)-MATCH($D$1,[2]stages!$2:$2,0)+1,FALSE)</f>
        <v>【上級】樹のイモムシ</v>
      </c>
      <c r="G287" s="68">
        <v>5</v>
      </c>
      <c r="H287" s="16" t="str">
        <f t="shared" si="67"/>
        <v>11104_4-5</v>
      </c>
      <c r="I287" s="5" t="e">
        <v>#N/A</v>
      </c>
      <c r="J287" s="5" t="e">
        <v>#N/A</v>
      </c>
      <c r="K287" s="70" t="s">
        <v>219</v>
      </c>
      <c r="L287" s="70">
        <v>837</v>
      </c>
      <c r="M287" s="20" t="str">
        <f ca="1">VLOOKUP($L287,OFFSET([3]enemies!$A$1,0,0,COUNTA([3]enemies!$A:$A),MATCH(M$1,[3]enemies!$1:$1,0)-MATCH($L$1,[3]enemies!$1:$1,0)+1),MATCH(M$1,[3]enemies!$1:$1,0)-MATCH($L$1,[3]enemies!$1:$1,0)+1,FALSE)</f>
        <v>リトルハンプティ</v>
      </c>
      <c r="N287" s="20" t="str">
        <f ca="1">VLOOKUP($L287,OFFSET([3]enemies!$A$1,0,0,COUNTA([3]enemies!$A:$A),MATCH(N$1,[3]enemies!$1:$1,0)-MATCH($L$1,[3]enemies!$1:$1,0)+1),MATCH(N$1,[3]enemies!$1:$1,0)-MATCH($L$1,[3]enemies!$1:$1,0)+1,FALSE)</f>
        <v>yellow</v>
      </c>
      <c r="O287" s="22" t="str">
        <f ca="1">VLOOKUP($L287,OFFSET([4]characters!$A$1,0,0,COUNTA([4]characters!$A:$A),MATCH(O$1,[4]characters!$1:$1,0)-MATCH($L$1,[4]characters!$1:$1,0)+1),MATCH(O$1,[4]characters!$1:$1,0)-MATCH($L$1,[4]characters!$1:$1,0)+1,FALSE)</f>
        <v>Material</v>
      </c>
      <c r="P287" s="20" t="str">
        <f ca="1">VLOOKUP($L287,OFFSET([3]enemies!$A$1,0,0,COUNTA([3]enemies!$A:$A),MATCH(P$1,[3]enemies!$1:$1,0)-MATCH($L$1,[3]enemies!$1:$1,0)+1),MATCH(P$1,[3]enemies!$1:$1,0)-MATCH($L$1,[3]enemies!$1:$1,0)+1,FALSE)</f>
        <v>unknown</v>
      </c>
      <c r="Q287" s="20">
        <f ca="1">VLOOKUP($L287,OFFSET([3]enemies!$A$1,0,0,COUNTA([3]enemies!$A:$A),MATCH(Q$1,[3]enemies!$1:$1,0)-MATCH($L$1,[3]enemies!$1:$1,0)+1),MATCH(Q$1,[3]enemies!$1:$1,0)-MATCH($L$1,[3]enemies!$1:$1,0)+1,FALSE)</f>
        <v>60</v>
      </c>
      <c r="R287" s="6">
        <v>30</v>
      </c>
      <c r="S287" s="30">
        <v>10</v>
      </c>
      <c r="T287" s="30">
        <v>30</v>
      </c>
      <c r="U287" s="6">
        <v>0</v>
      </c>
      <c r="V287" s="5" t="str">
        <f ca="1">VLOOKUP($W287,OFFSET([5]enemy_skill_sets!$B$1,0,0,COUNTA([5]enemy_skill_sets!$B:$B),MATCH(M$1,[5]enemy_skill_sets!$1:$1,0)-MATCH($W$1,[5]enemy_skill_sets!$1:$1,0)+2),MATCH(M$1,[5]enemy_skill_sets!$1:$1,0)-MATCH($W$1,[5]enemy_skill_sets!$1:$1,0)+2,FALSE)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7" s="5">
        <f ca="1">VLOOKUP($L287,OFFSET([3]enemies!$A$1,0,0,COUNTA([3]enemies!$A:$A),MATCH(W$1,[3]enemies!$1:$1,0)-MATCH($L$1,[3]enemies!$1:$1,0)+1),MATCH(W$1,[3]enemies!$1:$1,0)-MATCH($L$1,[3]enemies!$1:$1,0)+1,FALSE)</f>
        <v>0</v>
      </c>
      <c r="X287" s="7">
        <v>0</v>
      </c>
      <c r="Y287" s="7">
        <v>10</v>
      </c>
      <c r="Z287" s="7">
        <v>1</v>
      </c>
      <c r="AA287" s="20">
        <f ca="1">VLOOKUP($L287,OFFSET([3]enemies!$A$1,0,0,COUNTA([3]enemies!$A:$A),MATCH(AA$1,[3]enemies!$1:$1,0)-MATCH($L$1,[3]enemies!$1:$1,0)+1),MATCH(AA$1,[3]enemies!$1:$1,0)-MATCH($L$1,[3]enemies!$1:$1,0)+1,FALSE)</f>
        <v>3</v>
      </c>
      <c r="AB287" s="70">
        <v>837</v>
      </c>
      <c r="AC287" s="5" t="str">
        <f ca="1">IFERROR(VLOOKUP($AB287,OFFSET([4]characters!$A$1,0,0,COUNTA([4]characters!$A:$A),MATCH(AC$1,[4]characters!$1:$1,0)-MATCH("character_id",[4]characters!$1:$1,0)+1),MATCH(AC$1,[4]characters!$1:$1,0)-MATCH("character_id",[4]characters!$1:$1,0)+1,FALSE),"")</f>
        <v>リトルハンプティ</v>
      </c>
      <c r="AD287" s="5">
        <f ca="1">IFERROR(VLOOKUP($AB287,OFFSET([4]characters!$A$1,0,0,COUNTA([4]characters!$A:$A),MATCH(AD$1,[4]characters!$1:$1,0)-MATCH("character_id",[4]characters!$1:$1,0)+1),MATCH(AD$1,[4]characters!$1:$1,0)-MATCH("character_id",[4]characters!$1:$1,0)+1,FALSE),"")</f>
        <v>6</v>
      </c>
      <c r="AE287" s="5" t="str">
        <f ca="1">IFERROR(VLOOKUP($AB287,OFFSET([4]characters!$A$1,0,0,COUNTA([4]characters!$A:$A),MATCH(AE$1,[4]characters!$1:$1,0)-MATCH("character_id",[4]characters!$1:$1,0)+1),MATCH(AE$1,[4]characters!$1:$1,0)-MATCH("character_id",[4]characters!$1:$1,0)+1,FALSE),"")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7" s="28">
        <v>1</v>
      </c>
      <c r="AG287" s="75">
        <f t="shared" ca="1" si="64"/>
        <v>6</v>
      </c>
      <c r="AH287" s="9">
        <v>33</v>
      </c>
      <c r="AI287" s="28">
        <v>0</v>
      </c>
      <c r="AJ287" s="28">
        <v>0</v>
      </c>
      <c r="AK287" s="28">
        <v>0</v>
      </c>
      <c r="AL287" s="28">
        <v>0</v>
      </c>
      <c r="AM287" s="28">
        <v>1</v>
      </c>
      <c r="AN287" s="28">
        <v>1</v>
      </c>
    </row>
  </sheetData>
  <sheetProtection selectLockedCells="1" selectUnlockedCells="1"/>
  <autoFilter ref="B1:AH7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18" sqref="K18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8.832031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6.6640625" style="4" customWidth="1"/>
    <col min="24" max="24" width="10" style="4" bestFit="1" customWidth="1" outlineLevel="1"/>
    <col min="25" max="25" width="9.33203125" style="4" bestFit="1" customWidth="1"/>
    <col min="26" max="16384" width="13" style="4"/>
  </cols>
  <sheetData>
    <row r="1" spans="1:25" s="66" customFormat="1" ht="21" customHeight="1" x14ac:dyDescent="0.15">
      <c r="A1" s="62" t="s">
        <v>193</v>
      </c>
      <c r="B1" s="29" t="s">
        <v>0</v>
      </c>
      <c r="C1" s="29" t="s">
        <v>1</v>
      </c>
      <c r="D1" s="31" t="s">
        <v>194</v>
      </c>
      <c r="E1" s="31" t="s">
        <v>195</v>
      </c>
      <c r="F1" s="31" t="s">
        <v>195</v>
      </c>
      <c r="G1" s="29" t="s">
        <v>196</v>
      </c>
      <c r="H1" s="31" t="s">
        <v>197</v>
      </c>
      <c r="I1" s="31" t="s">
        <v>14</v>
      </c>
      <c r="J1" s="31" t="s">
        <v>15</v>
      </c>
      <c r="K1" s="63" t="s">
        <v>198</v>
      </c>
      <c r="L1" s="63" t="s">
        <v>199</v>
      </c>
      <c r="M1" s="63" t="s">
        <v>2</v>
      </c>
      <c r="N1" s="64" t="s">
        <v>195</v>
      </c>
      <c r="O1" s="31" t="s">
        <v>200</v>
      </c>
      <c r="P1" s="31" t="s">
        <v>201</v>
      </c>
      <c r="Q1" s="65" t="s">
        <v>202</v>
      </c>
      <c r="R1" s="31" t="s">
        <v>203</v>
      </c>
      <c r="S1" s="29" t="s">
        <v>3</v>
      </c>
      <c r="T1" s="29" t="s">
        <v>204</v>
      </c>
      <c r="U1" s="29" t="s">
        <v>205</v>
      </c>
      <c r="V1" s="29" t="s">
        <v>206</v>
      </c>
      <c r="W1" s="29" t="s">
        <v>207</v>
      </c>
      <c r="X1" s="31" t="s">
        <v>76</v>
      </c>
      <c r="Y1" s="29" t="s">
        <v>8</v>
      </c>
    </row>
    <row r="2" spans="1:25" ht="21" customHeight="1" x14ac:dyDescent="0.15">
      <c r="A2" s="17" t="str">
        <f>B2&amp;"_"&amp;C2&amp;"-"&amp;G2&amp;"/"&amp;M2&amp;"&lt;lv"&amp;S2&amp;"&gt;sq"&amp;K2&amp;"st"&amp;L2</f>
        <v>11001_4-5/2&lt;lv1&gt;sq1st2</v>
      </c>
      <c r="B2" s="67">
        <v>11001</v>
      </c>
      <c r="C2" s="68">
        <v>4</v>
      </c>
      <c r="D2" s="16" t="str">
        <f>B2&amp;"_"&amp;C2</f>
        <v>11001_4</v>
      </c>
      <c r="E2" s="5" t="str">
        <f ca="1">VLOOKUP($B2,OFFSET([2]quests!$A$1,0,0,COUNTA([2]quests!$A:$A),MATCH(E$1,[2]quests!$1:$1,0)-MATCH($B$1,[2]quests!$1:$1,0)+1),MATCH(E$1,[2]quests!$1:$1,0)-MATCH($B$1,[2]quests!$1:$1,0)+1,FALSE)</f>
        <v>【月曜限定】 黄の素材</v>
      </c>
      <c r="F2" s="5" t="str">
        <f ca="1">VLOOKUP($D2,OFFSET([2]stages!$A$1,0,0,COUNTA([2]stages!$A:$A),MATCH(F$1,[2]stages!$2:$2,0)-MATCH($D$1,[2]stages!$2:$2,0)+1),MATCH(F$1,[2]stages!$2:$2,0)-MATCH($D$1,[2]stages!$2:$2,0)+1,FALSE)</f>
        <v>【上級】雷のイモムシ</v>
      </c>
      <c r="G2" s="68">
        <v>5</v>
      </c>
      <c r="H2" s="16" t="str">
        <f>B2&amp;"_"&amp;C2&amp;"-"&amp;G2</f>
        <v>11001_4-5</v>
      </c>
      <c r="I2" s="5">
        <f ca="1">VLOOKUP($H2,OFFSET(floors!$A$1,0,0,COUNTA(floors!$A:$A),MATCH(I$1,floors!$1:$1,0)-MATCH($H$1,floors!$1:$1,0)+1),MATCH(I$1,floors!$1:$1,0)-MATCH($H$1,floors!$1:$1,0)+1,FALSE)</f>
        <v>60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69">
        <v>1</v>
      </c>
      <c r="L2" s="69">
        <v>2</v>
      </c>
      <c r="M2" s="70">
        <v>2</v>
      </c>
      <c r="N2" s="20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15</v>
      </c>
      <c r="S2" s="6">
        <v>1</v>
      </c>
      <c r="T2" s="30">
        <v>1</v>
      </c>
      <c r="U2" s="30">
        <v>1</v>
      </c>
      <c r="V2" s="6">
        <v>0</v>
      </c>
      <c r="W2" s="5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5">
        <f ca="1">VLOOKUP($M2,OFFSET([3]enemies!$A$1,0,0,COUNTA([3]enemies!$A:$A),MATCH(X$1,[3]enemies!$1:$1,0)-MATCH($M$1,[3]enemies!$1:$1,0)+1),MATCH(X$1,[3]enemies!$1:$1,0)-MATCH($M$1,[3]enemies!$1:$1,0)+1,FALSE)</f>
        <v>0</v>
      </c>
      <c r="Y2" s="5">
        <f ca="1">VLOOKUP(M2,[3]enemies!$A:$V,22,FALSE)</f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"/>
  <sheetViews>
    <sheetView showGridLines="0" workbookViewId="0">
      <pane xSplit="5" ySplit="1" topLeftCell="H2" activePane="bottomRight" state="frozen"/>
      <selection pane="topRight"/>
      <selection pane="bottomLeft"/>
      <selection pane="bottomRight" activeCell="D13" sqref="D13"/>
    </sheetView>
  </sheetViews>
  <sheetFormatPr baseColWidth="12" defaultColWidth="12.83203125" defaultRowHeight="21" customHeight="1" outlineLevelCol="1" x14ac:dyDescent="0.15"/>
  <cols>
    <col min="1" max="1" width="11.33203125" style="44" bestFit="1" customWidth="1"/>
    <col min="2" max="2" width="9.5" style="54" bestFit="1" customWidth="1"/>
    <col min="3" max="3" width="9.6640625" style="54" customWidth="1"/>
    <col min="4" max="4" width="18.5" style="54" customWidth="1" outlineLevel="1"/>
    <col min="5" max="5" width="44.1640625" style="54" bestFit="1" customWidth="1" outlineLevel="1"/>
    <col min="6" max="6" width="10.83203125" style="54" bestFit="1" customWidth="1"/>
    <col min="7" max="7" width="8.33203125" style="54" bestFit="1" customWidth="1" outlineLevel="1"/>
    <col min="8" max="9" width="12.83203125" style="54" outlineLevel="1"/>
    <col min="10" max="10" width="17.6640625" style="54" bestFit="1" customWidth="1" outlineLevel="1"/>
    <col min="11" max="15" width="12.83203125" style="54" outlineLevel="1"/>
    <col min="16" max="16" width="8.33203125" style="50" bestFit="1" customWidth="1"/>
    <col min="17" max="17" width="9.6640625" style="50" customWidth="1"/>
    <col min="18" max="18" width="56.5" style="50" bestFit="1" customWidth="1"/>
    <col min="19" max="16384" width="12.83203125" style="50"/>
  </cols>
  <sheetData>
    <row r="1" spans="1:18" ht="21" customHeight="1" x14ac:dyDescent="0.15">
      <c r="A1" s="44" t="s">
        <v>124</v>
      </c>
      <c r="B1" s="45" t="s">
        <v>125</v>
      </c>
      <c r="C1" s="45" t="s">
        <v>126</v>
      </c>
      <c r="D1" s="46" t="s">
        <v>127</v>
      </c>
      <c r="E1" s="46" t="s">
        <v>128</v>
      </c>
      <c r="F1" s="47" t="s">
        <v>129</v>
      </c>
      <c r="G1" s="48" t="s">
        <v>130</v>
      </c>
      <c r="H1" s="48" t="s">
        <v>131</v>
      </c>
      <c r="I1" s="48" t="s">
        <v>132</v>
      </c>
      <c r="J1" s="48" t="s">
        <v>133</v>
      </c>
      <c r="K1" s="49" t="s">
        <v>98</v>
      </c>
      <c r="L1" s="49" t="s">
        <v>134</v>
      </c>
      <c r="M1" s="48" t="s">
        <v>101</v>
      </c>
      <c r="N1" s="48" t="s">
        <v>102</v>
      </c>
      <c r="O1" s="48" t="s">
        <v>100</v>
      </c>
      <c r="P1" s="46" t="s">
        <v>135</v>
      </c>
      <c r="Q1" s="46" t="s">
        <v>136</v>
      </c>
      <c r="R1" s="46" t="s">
        <v>137</v>
      </c>
    </row>
    <row r="2" spans="1:18" ht="21" customHeight="1" x14ac:dyDescent="0.15">
      <c r="B2" s="52"/>
      <c r="C2" s="52"/>
      <c r="D2" s="51"/>
      <c r="E2" s="51"/>
      <c r="F2" s="52"/>
      <c r="G2" s="53"/>
      <c r="H2" s="53"/>
      <c r="I2" s="53"/>
      <c r="J2" s="53"/>
      <c r="K2" s="53"/>
      <c r="L2" s="53"/>
      <c r="M2" s="53"/>
      <c r="N2" s="53"/>
      <c r="O2" s="53"/>
      <c r="P2" s="52"/>
      <c r="Q2" s="52"/>
      <c r="R2" s="52"/>
    </row>
    <row r="3" spans="1:18" ht="21" customHeight="1" x14ac:dyDescent="0.15">
      <c r="B3" s="52"/>
      <c r="C3" s="52"/>
      <c r="D3" s="51"/>
      <c r="E3" s="51"/>
      <c r="F3" s="52"/>
      <c r="G3" s="53"/>
      <c r="H3" s="53"/>
      <c r="I3" s="53"/>
      <c r="J3" s="53"/>
      <c r="K3" s="53"/>
      <c r="L3" s="53"/>
      <c r="M3" s="53"/>
      <c r="N3" s="53"/>
      <c r="O3" s="53"/>
      <c r="P3" s="52"/>
      <c r="Q3" s="52"/>
      <c r="R3" s="52"/>
    </row>
    <row r="4" spans="1:18" ht="21" customHeight="1" x14ac:dyDescent="0.15">
      <c r="B4" s="52"/>
      <c r="C4" s="52"/>
      <c r="D4" s="51"/>
      <c r="E4" s="51"/>
      <c r="F4" s="52"/>
      <c r="G4" s="53"/>
      <c r="H4" s="53"/>
      <c r="I4" s="53"/>
      <c r="J4" s="53"/>
      <c r="K4" s="53"/>
      <c r="L4" s="53"/>
      <c r="M4" s="53"/>
      <c r="N4" s="53"/>
      <c r="O4" s="53"/>
      <c r="P4" s="52"/>
      <c r="Q4" s="52"/>
      <c r="R4" s="52"/>
    </row>
    <row r="5" spans="1:18" ht="21" customHeight="1" x14ac:dyDescent="0.15">
      <c r="B5" s="52"/>
      <c r="C5" s="52"/>
      <c r="D5" s="51"/>
      <c r="E5" s="51"/>
      <c r="F5" s="52"/>
      <c r="G5" s="53"/>
      <c r="H5" s="53"/>
      <c r="I5" s="53"/>
      <c r="J5" s="53"/>
      <c r="K5" s="53"/>
      <c r="L5" s="53"/>
      <c r="M5" s="53"/>
      <c r="N5" s="53"/>
      <c r="O5" s="53"/>
      <c r="P5" s="52"/>
      <c r="Q5" s="52"/>
      <c r="R5" s="52"/>
    </row>
    <row r="6" spans="1:18" ht="21" customHeight="1" x14ac:dyDescent="0.15">
      <c r="B6" s="52"/>
      <c r="C6" s="52"/>
      <c r="D6" s="51"/>
      <c r="E6" s="51"/>
      <c r="F6" s="52"/>
      <c r="G6" s="53"/>
      <c r="H6" s="53"/>
      <c r="I6" s="53"/>
      <c r="J6" s="53"/>
      <c r="K6" s="53"/>
      <c r="L6" s="53"/>
      <c r="M6" s="53"/>
      <c r="N6" s="53"/>
      <c r="O6" s="53"/>
      <c r="P6" s="52"/>
      <c r="Q6" s="52"/>
      <c r="R6" s="52"/>
    </row>
    <row r="7" spans="1:18" ht="21" customHeight="1" x14ac:dyDescent="0.15">
      <c r="B7" s="52"/>
      <c r="C7" s="52"/>
      <c r="D7" s="51"/>
      <c r="E7" s="51"/>
      <c r="F7" s="52"/>
      <c r="G7" s="53"/>
      <c r="H7" s="53"/>
      <c r="I7" s="53"/>
      <c r="J7" s="53"/>
      <c r="K7" s="53"/>
      <c r="L7" s="53"/>
      <c r="M7" s="53"/>
      <c r="N7" s="53"/>
      <c r="O7" s="53"/>
      <c r="P7" s="52"/>
      <c r="Q7" s="52"/>
      <c r="R7" s="52"/>
    </row>
    <row r="8" spans="1:18" ht="21" customHeight="1" x14ac:dyDescent="0.15">
      <c r="B8" s="52"/>
      <c r="C8" s="52"/>
      <c r="D8" s="51"/>
      <c r="E8" s="51"/>
      <c r="F8" s="52"/>
      <c r="G8" s="53"/>
      <c r="H8" s="53"/>
      <c r="I8" s="53"/>
      <c r="J8" s="53"/>
      <c r="K8" s="53"/>
      <c r="L8" s="53"/>
      <c r="M8" s="53"/>
      <c r="N8" s="53"/>
      <c r="O8" s="53"/>
      <c r="P8" s="52"/>
      <c r="Q8" s="52"/>
      <c r="R8" s="52"/>
    </row>
    <row r="9" spans="1:18" ht="21" customHeight="1" x14ac:dyDescent="0.15">
      <c r="B9" s="52"/>
      <c r="C9" s="52"/>
      <c r="D9" s="51"/>
      <c r="E9" s="51"/>
      <c r="F9" s="52"/>
      <c r="G9" s="53"/>
      <c r="H9" s="53"/>
      <c r="I9" s="53"/>
      <c r="J9" s="53"/>
      <c r="K9" s="53"/>
      <c r="L9" s="53"/>
      <c r="M9" s="53"/>
      <c r="N9" s="53"/>
      <c r="O9" s="53"/>
      <c r="P9" s="52"/>
      <c r="Q9" s="52"/>
      <c r="R9" s="5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"/>
  <sheetViews>
    <sheetView showGridLines="0" zoomScale="75" zoomScaleNormal="75" zoomScalePageLayoutView="75" workbookViewId="0">
      <pane ySplit="1" topLeftCell="A2" activePane="bottomLeft" state="frozenSplit"/>
      <selection pane="bottomLeft" activeCell="B22" sqref="B22"/>
    </sheetView>
  </sheetViews>
  <sheetFormatPr baseColWidth="12" defaultColWidth="12.83203125" defaultRowHeight="21" customHeight="1" outlineLevelCol="1" x14ac:dyDescent="0.15"/>
  <cols>
    <col min="1" max="1" width="12.83203125" style="54"/>
    <col min="2" max="2" width="67.1640625" style="54" customWidth="1"/>
    <col min="3" max="4" width="12.83203125" style="54"/>
    <col min="5" max="5" width="24.83203125" style="54" bestFit="1" customWidth="1"/>
    <col min="6" max="6" width="44.1640625" style="54" bestFit="1" customWidth="1"/>
    <col min="7" max="7" width="52" style="54" hidden="1" customWidth="1" outlineLevel="1"/>
    <col min="8" max="8" width="18.33203125" style="54" hidden="1" customWidth="1" outlineLevel="1"/>
    <col min="9" max="11" width="18.6640625" style="54" hidden="1" customWidth="1" outlineLevel="1"/>
    <col min="12" max="12" width="23.6640625" style="54" customWidth="1" collapsed="1"/>
    <col min="13" max="18" width="23.6640625" style="54" hidden="1" customWidth="1" outlineLevel="1"/>
    <col min="19" max="19" width="23.6640625" style="54" customWidth="1" collapsed="1"/>
    <col min="20" max="24" width="23.6640625" style="54" hidden="1" customWidth="1" outlineLevel="1"/>
    <col min="25" max="25" width="23.6640625" style="54" customWidth="1" collapsed="1"/>
    <col min="26" max="27" width="12.83203125" style="54"/>
    <col min="28" max="28" width="44.5" style="54" customWidth="1"/>
    <col min="29" max="16384" width="12.83203125" style="54"/>
  </cols>
  <sheetData>
    <row r="1" spans="1:28" ht="21" customHeight="1" x14ac:dyDescent="0.15">
      <c r="A1" s="45" t="s">
        <v>86</v>
      </c>
      <c r="B1" s="45" t="s">
        <v>138</v>
      </c>
      <c r="C1" s="45" t="s">
        <v>88</v>
      </c>
      <c r="D1" s="45" t="s">
        <v>139</v>
      </c>
      <c r="E1" s="45" t="s">
        <v>140</v>
      </c>
      <c r="F1" s="45" t="s">
        <v>160</v>
      </c>
      <c r="G1" s="46" t="s">
        <v>141</v>
      </c>
      <c r="H1" s="46" t="s">
        <v>142</v>
      </c>
      <c r="I1" s="46" t="s">
        <v>143</v>
      </c>
      <c r="J1" s="46" t="s">
        <v>144</v>
      </c>
      <c r="K1" s="46" t="s">
        <v>145</v>
      </c>
      <c r="L1" s="46" t="s">
        <v>146</v>
      </c>
      <c r="M1" s="46" t="s">
        <v>147</v>
      </c>
      <c r="N1" s="46" t="s">
        <v>148</v>
      </c>
      <c r="O1" s="46" t="s">
        <v>149</v>
      </c>
      <c r="P1" s="46" t="s">
        <v>150</v>
      </c>
      <c r="Q1" s="46" t="s">
        <v>151</v>
      </c>
      <c r="R1" s="46" t="s">
        <v>152</v>
      </c>
      <c r="S1" s="46" t="s">
        <v>153</v>
      </c>
      <c r="T1" s="46" t="s">
        <v>154</v>
      </c>
      <c r="U1" s="46" t="s">
        <v>155</v>
      </c>
      <c r="V1" s="46" t="s">
        <v>156</v>
      </c>
      <c r="W1" s="46" t="s">
        <v>157</v>
      </c>
      <c r="X1" s="46" t="s">
        <v>158</v>
      </c>
      <c r="Y1" s="46" t="s">
        <v>159</v>
      </c>
      <c r="Z1" s="46" t="s">
        <v>135</v>
      </c>
      <c r="AA1" s="46" t="s">
        <v>136</v>
      </c>
      <c r="AB1" s="46" t="s">
        <v>137</v>
      </c>
    </row>
    <row r="2" spans="1:28" ht="14" x14ac:dyDescent="0.15">
      <c r="A2" s="52"/>
      <c r="B2" s="52"/>
      <c r="C2" s="55"/>
      <c r="D2" s="55"/>
      <c r="E2" s="56"/>
      <c r="F2" s="56"/>
      <c r="G2" s="57"/>
      <c r="H2" s="57"/>
      <c r="I2" s="57"/>
      <c r="J2" s="57"/>
      <c r="K2" s="57"/>
      <c r="L2" s="57"/>
      <c r="M2" s="57"/>
      <c r="N2" s="53"/>
      <c r="O2" s="57"/>
      <c r="P2" s="57"/>
      <c r="Q2" s="57"/>
      <c r="R2" s="57"/>
      <c r="S2" s="57"/>
      <c r="T2" s="53"/>
      <c r="U2" s="57"/>
      <c r="V2" s="57"/>
      <c r="W2" s="57"/>
      <c r="X2" s="57"/>
      <c r="Y2" s="57"/>
      <c r="Z2" s="55"/>
      <c r="AA2" s="58"/>
      <c r="AB2" s="55"/>
    </row>
    <row r="3" spans="1:28" ht="22" customHeight="1" x14ac:dyDescent="0.15">
      <c r="A3" s="52"/>
      <c r="B3" s="52"/>
      <c r="C3" s="55"/>
      <c r="D3" s="55"/>
      <c r="E3" s="56"/>
      <c r="F3" s="56"/>
      <c r="G3" s="57"/>
      <c r="H3" s="57"/>
      <c r="I3" s="57"/>
      <c r="J3" s="57"/>
      <c r="K3" s="57"/>
      <c r="L3" s="57"/>
      <c r="M3" s="57"/>
      <c r="N3" s="53"/>
      <c r="O3" s="57"/>
      <c r="P3" s="57"/>
      <c r="Q3" s="57"/>
      <c r="R3" s="57"/>
      <c r="S3" s="57"/>
      <c r="T3" s="53"/>
      <c r="U3" s="57"/>
      <c r="V3" s="57"/>
      <c r="W3" s="57"/>
      <c r="X3" s="57"/>
      <c r="Y3" s="57"/>
      <c r="Z3" s="55"/>
      <c r="AA3" s="58"/>
      <c r="AB3" s="55"/>
    </row>
    <row r="4" spans="1:28" ht="14" x14ac:dyDescent="0.15">
      <c r="A4" s="52"/>
      <c r="B4" s="52"/>
      <c r="C4" s="55"/>
      <c r="D4" s="55"/>
      <c r="E4" s="56"/>
      <c r="F4" s="56"/>
      <c r="G4" s="57"/>
      <c r="H4" s="57"/>
      <c r="I4" s="57"/>
      <c r="J4" s="57"/>
      <c r="K4" s="57"/>
      <c r="L4" s="57"/>
      <c r="M4" s="57"/>
      <c r="N4" s="53"/>
      <c r="O4" s="57"/>
      <c r="P4" s="57"/>
      <c r="Q4" s="57"/>
      <c r="R4" s="57"/>
      <c r="S4" s="57"/>
      <c r="T4" s="53"/>
      <c r="U4" s="57"/>
      <c r="V4" s="57"/>
      <c r="W4" s="57"/>
      <c r="X4" s="57"/>
      <c r="Y4" s="57"/>
      <c r="Z4" s="55"/>
      <c r="AA4" s="58"/>
      <c r="AB4" s="55"/>
    </row>
    <row r="5" spans="1:28" ht="22" customHeight="1" x14ac:dyDescent="0.15">
      <c r="A5" s="52"/>
      <c r="B5" s="52"/>
      <c r="C5" s="55"/>
      <c r="D5" s="55"/>
      <c r="E5" s="56"/>
      <c r="F5" s="56"/>
      <c r="G5" s="57"/>
      <c r="H5" s="57"/>
      <c r="I5" s="57"/>
      <c r="J5" s="57"/>
      <c r="K5" s="57"/>
      <c r="L5" s="57"/>
      <c r="M5" s="57"/>
      <c r="N5" s="53"/>
      <c r="O5" s="57"/>
      <c r="P5" s="57"/>
      <c r="Q5" s="57"/>
      <c r="R5" s="57"/>
      <c r="S5" s="57"/>
      <c r="T5" s="53"/>
      <c r="U5" s="57"/>
      <c r="V5" s="57"/>
      <c r="W5" s="57"/>
      <c r="X5" s="57"/>
      <c r="Y5" s="57"/>
      <c r="Z5" s="55"/>
      <c r="AA5" s="58"/>
      <c r="AB5" s="55"/>
    </row>
    <row r="6" spans="1:28" ht="14" x14ac:dyDescent="0.15">
      <c r="A6" s="52"/>
      <c r="B6" s="52"/>
      <c r="C6" s="55"/>
      <c r="D6" s="55"/>
      <c r="E6" s="56"/>
      <c r="F6" s="56"/>
      <c r="G6" s="57"/>
      <c r="H6" s="57"/>
      <c r="I6" s="57"/>
      <c r="J6" s="57"/>
      <c r="K6" s="57"/>
      <c r="L6" s="57"/>
      <c r="M6" s="57"/>
      <c r="N6" s="53"/>
      <c r="O6" s="57"/>
      <c r="P6" s="57"/>
      <c r="Q6" s="57"/>
      <c r="R6" s="57"/>
      <c r="S6" s="57"/>
      <c r="T6" s="53"/>
      <c r="U6" s="57"/>
      <c r="V6" s="57"/>
      <c r="W6" s="57"/>
      <c r="X6" s="57"/>
      <c r="Y6" s="57"/>
      <c r="Z6" s="55"/>
      <c r="AA6" s="58"/>
      <c r="AB6" s="55"/>
    </row>
    <row r="7" spans="1:28" ht="22" customHeight="1" x14ac:dyDescent="0.15">
      <c r="A7" s="52"/>
      <c r="B7" s="52"/>
      <c r="C7" s="55"/>
      <c r="D7" s="55"/>
      <c r="E7" s="56"/>
      <c r="F7" s="56"/>
      <c r="G7" s="57"/>
      <c r="H7" s="57"/>
      <c r="I7" s="57"/>
      <c r="J7" s="57"/>
      <c r="K7" s="57"/>
      <c r="L7" s="57"/>
      <c r="M7" s="57"/>
      <c r="N7" s="53"/>
      <c r="O7" s="57"/>
      <c r="P7" s="57"/>
      <c r="Q7" s="57"/>
      <c r="R7" s="57"/>
      <c r="S7" s="57"/>
      <c r="T7" s="53"/>
      <c r="U7" s="57"/>
      <c r="V7" s="57"/>
      <c r="W7" s="57"/>
      <c r="X7" s="57"/>
      <c r="Y7" s="57"/>
      <c r="Z7" s="55"/>
      <c r="AA7" s="58"/>
      <c r="AB7" s="55"/>
    </row>
    <row r="8" spans="1:28" ht="14" x14ac:dyDescent="0.15">
      <c r="A8" s="52"/>
      <c r="B8" s="52"/>
      <c r="C8" s="55"/>
      <c r="D8" s="55"/>
      <c r="E8" s="56"/>
      <c r="F8" s="56"/>
      <c r="G8" s="57"/>
      <c r="H8" s="57"/>
      <c r="I8" s="57"/>
      <c r="J8" s="57"/>
      <c r="K8" s="57"/>
      <c r="L8" s="57"/>
      <c r="M8" s="57"/>
      <c r="N8" s="53"/>
      <c r="O8" s="57"/>
      <c r="P8" s="57"/>
      <c r="Q8" s="57"/>
      <c r="R8" s="57"/>
      <c r="S8" s="57"/>
      <c r="T8" s="53"/>
      <c r="U8" s="57"/>
      <c r="V8" s="57"/>
      <c r="W8" s="57"/>
      <c r="X8" s="57"/>
      <c r="Y8" s="57"/>
      <c r="Z8" s="55"/>
      <c r="AA8" s="58"/>
      <c r="AB8" s="55"/>
    </row>
    <row r="9" spans="1:28" ht="22" customHeight="1" x14ac:dyDescent="0.15">
      <c r="A9" s="52"/>
      <c r="B9" s="52"/>
      <c r="C9" s="55"/>
      <c r="D9" s="55"/>
      <c r="E9" s="56"/>
      <c r="F9" s="56"/>
      <c r="G9" s="57"/>
      <c r="H9" s="57"/>
      <c r="I9" s="57"/>
      <c r="J9" s="57"/>
      <c r="K9" s="57"/>
      <c r="L9" s="57"/>
      <c r="M9" s="57"/>
      <c r="N9" s="53"/>
      <c r="O9" s="57"/>
      <c r="P9" s="57"/>
      <c r="Q9" s="57"/>
      <c r="R9" s="57"/>
      <c r="S9" s="57"/>
      <c r="T9" s="53"/>
      <c r="U9" s="57"/>
      <c r="V9" s="57"/>
      <c r="W9" s="57"/>
      <c r="X9" s="57"/>
      <c r="Y9" s="57"/>
      <c r="Z9" s="55"/>
      <c r="AA9" s="58"/>
      <c r="AB9" s="5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"/>
  <sheetViews>
    <sheetView showGridLines="0" zoomScale="75" zoomScaleNormal="75" zoomScalePageLayoutView="75" workbookViewId="0">
      <pane ySplit="1" topLeftCell="A2" activePane="bottomLeft" state="frozenSplit"/>
      <selection pane="bottomLeft" activeCell="P13" sqref="P13"/>
    </sheetView>
  </sheetViews>
  <sheetFormatPr baseColWidth="12" defaultColWidth="12.83203125" defaultRowHeight="21" customHeight="1" x14ac:dyDescent="0.15"/>
  <cols>
    <col min="1" max="1" width="16.1640625" style="54" bestFit="1" customWidth="1"/>
    <col min="2" max="2" width="13.33203125" style="54" bestFit="1" customWidth="1"/>
    <col min="3" max="3" width="11.83203125" style="54" bestFit="1" customWidth="1"/>
    <col min="4" max="4" width="14.6640625" style="54" bestFit="1" customWidth="1"/>
    <col min="5" max="5" width="15.6640625" style="54" bestFit="1" customWidth="1"/>
    <col min="6" max="6" width="17" style="54" bestFit="1" customWidth="1"/>
    <col min="7" max="7" width="15.6640625" style="54" bestFit="1" customWidth="1"/>
    <col min="8" max="9" width="14.6640625" style="54" customWidth="1"/>
    <col min="10" max="10" width="14.6640625" style="54" bestFit="1" customWidth="1"/>
    <col min="11" max="11" width="22.83203125" style="44" bestFit="1" customWidth="1"/>
    <col min="12" max="16384" width="12.83203125" style="50"/>
  </cols>
  <sheetData>
    <row r="1" spans="1:11" ht="21" customHeight="1" x14ac:dyDescent="0.15">
      <c r="A1" s="47" t="s">
        <v>161</v>
      </c>
      <c r="B1" s="47" t="s">
        <v>162</v>
      </c>
      <c r="C1" s="47" t="s">
        <v>163</v>
      </c>
      <c r="D1" s="47" t="s">
        <v>164</v>
      </c>
      <c r="E1" s="47" t="s">
        <v>165</v>
      </c>
      <c r="F1" s="59" t="s">
        <v>166</v>
      </c>
      <c r="G1" s="59" t="s">
        <v>167</v>
      </c>
      <c r="H1" s="47" t="s">
        <v>168</v>
      </c>
      <c r="I1" s="47" t="s">
        <v>169</v>
      </c>
      <c r="J1" s="47" t="s">
        <v>170</v>
      </c>
      <c r="K1" s="60" t="s">
        <v>171</v>
      </c>
    </row>
    <row r="2" spans="1:11" ht="21" customHeight="1" x14ac:dyDescent="0.15">
      <c r="A2" s="52"/>
      <c r="B2" s="52"/>
      <c r="C2" s="52"/>
      <c r="D2" s="52"/>
      <c r="E2" s="52"/>
      <c r="F2" s="52"/>
      <c r="G2" s="52"/>
      <c r="H2" s="52"/>
      <c r="I2" s="52"/>
      <c r="J2" s="53"/>
    </row>
    <row r="3" spans="1:11" ht="21" customHeight="1" x14ac:dyDescent="0.15">
      <c r="A3" s="52"/>
      <c r="B3" s="52"/>
      <c r="C3" s="52"/>
      <c r="D3" s="52"/>
      <c r="E3" s="52"/>
      <c r="F3" s="52"/>
      <c r="G3" s="52"/>
      <c r="H3" s="52"/>
      <c r="I3" s="52"/>
      <c r="J3" s="53"/>
    </row>
  </sheetData>
  <autoFilter ref="A1:G1"/>
  <phoneticPr fontId="5"/>
  <conditionalFormatting sqref="K1:K2 K4:K1048576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P34" sqref="P3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2" t="s">
        <v>173</v>
      </c>
      <c r="B1" s="42" t="s">
        <v>174</v>
      </c>
      <c r="C1" s="61" t="s">
        <v>175</v>
      </c>
      <c r="D1" s="72" t="s">
        <v>176</v>
      </c>
      <c r="E1" s="43" t="s">
        <v>177</v>
      </c>
      <c r="F1" s="42" t="s">
        <v>178</v>
      </c>
      <c r="G1" s="42" t="s">
        <v>179</v>
      </c>
      <c r="H1" s="42" t="s">
        <v>180</v>
      </c>
      <c r="I1" s="42" t="s">
        <v>181</v>
      </c>
      <c r="J1" s="42" t="s">
        <v>182</v>
      </c>
      <c r="K1" s="42" t="s">
        <v>183</v>
      </c>
      <c r="L1" s="42" t="s">
        <v>184</v>
      </c>
      <c r="M1" s="42" t="s">
        <v>185</v>
      </c>
      <c r="N1" s="42" t="s">
        <v>186</v>
      </c>
      <c r="O1" s="42" t="s">
        <v>187</v>
      </c>
      <c r="P1" s="42" t="s">
        <v>188</v>
      </c>
      <c r="Q1" s="42" t="s">
        <v>189</v>
      </c>
      <c r="R1" s="42" t="s">
        <v>190</v>
      </c>
    </row>
    <row r="2" spans="1:18" x14ac:dyDescent="0.15">
      <c r="A2" s="36">
        <v>11001</v>
      </c>
      <c r="B2" s="36">
        <v>4</v>
      </c>
      <c r="C2" s="71" t="str">
        <f t="shared" ref="C2:C12" si="0">A2&amp; "_"&amp;B2</f>
        <v>11001_4</v>
      </c>
      <c r="D2" s="7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36">
        <v>1</v>
      </c>
      <c r="F2" s="36" t="s">
        <v>214</v>
      </c>
      <c r="G2" s="36">
        <v>1000</v>
      </c>
      <c r="H2" s="36" t="s">
        <v>216</v>
      </c>
      <c r="I2" s="36">
        <v>1</v>
      </c>
      <c r="J2" s="36">
        <v>0</v>
      </c>
      <c r="K2" s="36">
        <v>0</v>
      </c>
      <c r="L2" s="36">
        <v>0</v>
      </c>
      <c r="M2" s="36">
        <v>0</v>
      </c>
      <c r="N2" s="36">
        <v>0</v>
      </c>
      <c r="O2" s="36">
        <v>1</v>
      </c>
      <c r="P2" s="36">
        <v>790</v>
      </c>
      <c r="Q2" s="36" t="s">
        <v>191</v>
      </c>
      <c r="R2" s="36" t="s">
        <v>192</v>
      </c>
    </row>
    <row r="3" spans="1:18" x14ac:dyDescent="0.15">
      <c r="A3" s="36">
        <v>11001</v>
      </c>
      <c r="B3" s="36">
        <v>4</v>
      </c>
      <c r="C3" s="71" t="str">
        <f t="shared" si="0"/>
        <v>11001_4</v>
      </c>
      <c r="D3" s="7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36">
        <v>2</v>
      </c>
      <c r="F3" s="36" t="s">
        <v>215</v>
      </c>
      <c r="G3" s="36">
        <v>837</v>
      </c>
      <c r="H3" s="36">
        <v>1</v>
      </c>
      <c r="I3" s="36">
        <v>1</v>
      </c>
      <c r="J3" s="36">
        <v>0</v>
      </c>
      <c r="K3" s="36">
        <v>0</v>
      </c>
      <c r="L3" s="36">
        <v>0</v>
      </c>
      <c r="M3" s="36">
        <v>0</v>
      </c>
      <c r="N3" s="36">
        <v>0</v>
      </c>
      <c r="O3" s="36">
        <v>1</v>
      </c>
      <c r="P3" s="36">
        <v>10</v>
      </c>
      <c r="Q3" s="36" t="s">
        <v>191</v>
      </c>
      <c r="R3" s="36" t="s">
        <v>192</v>
      </c>
    </row>
    <row r="4" spans="1:18" s="132" customFormat="1" x14ac:dyDescent="0.15">
      <c r="A4" s="37">
        <v>11001</v>
      </c>
      <c r="B4" s="37">
        <v>4</v>
      </c>
      <c r="C4" s="37" t="str">
        <f t="shared" ref="C4" si="1">A4&amp; "_"&amp;B4</f>
        <v>11001_4</v>
      </c>
      <c r="D4" s="3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37">
        <v>3</v>
      </c>
      <c r="F4" s="37" t="s">
        <v>215</v>
      </c>
      <c r="G4" s="37">
        <v>115</v>
      </c>
      <c r="H4" s="37">
        <v>1</v>
      </c>
      <c r="I4" s="37">
        <v>1</v>
      </c>
      <c r="J4" s="37">
        <v>0</v>
      </c>
      <c r="K4" s="37">
        <v>0</v>
      </c>
      <c r="L4" s="37">
        <v>0</v>
      </c>
      <c r="M4" s="37">
        <v>0</v>
      </c>
      <c r="N4" s="37">
        <v>0</v>
      </c>
      <c r="O4" s="37">
        <v>1</v>
      </c>
      <c r="P4" s="37">
        <v>200</v>
      </c>
      <c r="Q4" s="37" t="s">
        <v>191</v>
      </c>
      <c r="R4" s="37" t="s">
        <v>192</v>
      </c>
    </row>
    <row r="5" spans="1:18" x14ac:dyDescent="0.15">
      <c r="A5" s="36">
        <v>11002</v>
      </c>
      <c r="B5" s="36">
        <v>4</v>
      </c>
      <c r="C5" s="71" t="str">
        <f t="shared" si="0"/>
        <v>11002_4</v>
      </c>
      <c r="D5" s="7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36">
        <v>4</v>
      </c>
      <c r="F5" s="36" t="s">
        <v>214</v>
      </c>
      <c r="G5" s="36">
        <v>1000</v>
      </c>
      <c r="H5" s="36" t="s">
        <v>216</v>
      </c>
      <c r="I5" s="36">
        <v>1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1</v>
      </c>
      <c r="P5" s="36">
        <v>790</v>
      </c>
      <c r="Q5" s="36" t="s">
        <v>191</v>
      </c>
      <c r="R5" s="36" t="s">
        <v>192</v>
      </c>
    </row>
    <row r="6" spans="1:18" x14ac:dyDescent="0.15">
      <c r="A6" s="36">
        <v>11002</v>
      </c>
      <c r="B6" s="36">
        <v>4</v>
      </c>
      <c r="C6" s="71" t="str">
        <f t="shared" si="0"/>
        <v>11002_4</v>
      </c>
      <c r="D6" s="7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36">
        <v>5</v>
      </c>
      <c r="F6" s="36" t="s">
        <v>215</v>
      </c>
      <c r="G6" s="36">
        <v>837</v>
      </c>
      <c r="H6" s="36">
        <v>1</v>
      </c>
      <c r="I6" s="36">
        <v>1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1</v>
      </c>
      <c r="P6" s="36">
        <v>10</v>
      </c>
      <c r="Q6" s="36" t="s">
        <v>191</v>
      </c>
      <c r="R6" s="36" t="s">
        <v>192</v>
      </c>
    </row>
    <row r="7" spans="1:18" s="132" customFormat="1" x14ac:dyDescent="0.15">
      <c r="A7" s="37">
        <v>11002</v>
      </c>
      <c r="B7" s="37">
        <v>4</v>
      </c>
      <c r="C7" s="37" t="str">
        <f t="shared" ref="C7" si="2">A7&amp; "_"&amp;B7</f>
        <v>11002_4</v>
      </c>
      <c r="D7" s="3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37">
        <v>6</v>
      </c>
      <c r="F7" s="37" t="s">
        <v>215</v>
      </c>
      <c r="G7" s="37">
        <v>103</v>
      </c>
      <c r="H7" s="37">
        <v>1</v>
      </c>
      <c r="I7" s="37">
        <v>1</v>
      </c>
      <c r="J7" s="37">
        <v>0</v>
      </c>
      <c r="K7" s="37">
        <v>0</v>
      </c>
      <c r="L7" s="37">
        <v>0</v>
      </c>
      <c r="M7" s="37">
        <v>0</v>
      </c>
      <c r="N7" s="37">
        <v>0</v>
      </c>
      <c r="O7" s="37">
        <v>1</v>
      </c>
      <c r="P7" s="37">
        <v>200</v>
      </c>
      <c r="Q7" s="37" t="s">
        <v>191</v>
      </c>
      <c r="R7" s="37" t="s">
        <v>192</v>
      </c>
    </row>
    <row r="8" spans="1:18" x14ac:dyDescent="0.15">
      <c r="A8" s="36">
        <v>11003</v>
      </c>
      <c r="B8" s="36">
        <v>4</v>
      </c>
      <c r="C8" s="71" t="str">
        <f t="shared" si="0"/>
        <v>11003_4</v>
      </c>
      <c r="D8" s="7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36">
        <v>7</v>
      </c>
      <c r="F8" s="36" t="s">
        <v>214</v>
      </c>
      <c r="G8" s="36">
        <v>1000</v>
      </c>
      <c r="H8" s="36" t="s">
        <v>216</v>
      </c>
      <c r="I8" s="36">
        <v>1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1</v>
      </c>
      <c r="P8" s="36">
        <v>790</v>
      </c>
      <c r="Q8" s="36" t="s">
        <v>191</v>
      </c>
      <c r="R8" s="36" t="s">
        <v>192</v>
      </c>
    </row>
    <row r="9" spans="1:18" x14ac:dyDescent="0.15">
      <c r="A9" s="36">
        <v>11003</v>
      </c>
      <c r="B9" s="36">
        <v>4</v>
      </c>
      <c r="C9" s="71" t="str">
        <f t="shared" si="0"/>
        <v>11003_4</v>
      </c>
      <c r="D9" s="7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36">
        <v>8</v>
      </c>
      <c r="F9" s="36" t="s">
        <v>215</v>
      </c>
      <c r="G9" s="36">
        <v>837</v>
      </c>
      <c r="H9" s="36">
        <v>1</v>
      </c>
      <c r="I9" s="36">
        <v>1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1</v>
      </c>
      <c r="P9" s="36">
        <v>10</v>
      </c>
      <c r="Q9" s="36" t="s">
        <v>191</v>
      </c>
      <c r="R9" s="36" t="s">
        <v>192</v>
      </c>
    </row>
    <row r="10" spans="1:18" s="132" customFormat="1" x14ac:dyDescent="0.15">
      <c r="A10" s="37">
        <v>11003</v>
      </c>
      <c r="B10" s="37">
        <v>4</v>
      </c>
      <c r="C10" s="37" t="str">
        <f t="shared" ref="C10" si="3">A10&amp; "_"&amp;B10</f>
        <v>11003_4</v>
      </c>
      <c r="D10" s="3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37">
        <v>9</v>
      </c>
      <c r="F10" s="37" t="s">
        <v>215</v>
      </c>
      <c r="G10" s="37">
        <v>111</v>
      </c>
      <c r="H10" s="37">
        <v>1</v>
      </c>
      <c r="I10" s="37">
        <v>1</v>
      </c>
      <c r="J10" s="37">
        <v>0</v>
      </c>
      <c r="K10" s="37">
        <v>0</v>
      </c>
      <c r="L10" s="37">
        <v>0</v>
      </c>
      <c r="M10" s="37">
        <v>0</v>
      </c>
      <c r="N10" s="37">
        <v>0</v>
      </c>
      <c r="O10" s="37">
        <v>1</v>
      </c>
      <c r="P10" s="37">
        <v>200</v>
      </c>
      <c r="Q10" s="37" t="s">
        <v>191</v>
      </c>
      <c r="R10" s="37" t="s">
        <v>192</v>
      </c>
    </row>
    <row r="11" spans="1:18" x14ac:dyDescent="0.15">
      <c r="A11" s="36">
        <v>11004</v>
      </c>
      <c r="B11" s="36">
        <v>4</v>
      </c>
      <c r="C11" s="71" t="str">
        <f t="shared" si="0"/>
        <v>11004_4</v>
      </c>
      <c r="D11" s="7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36">
        <v>10</v>
      </c>
      <c r="F11" s="36" t="s">
        <v>214</v>
      </c>
      <c r="G11" s="36">
        <v>1000</v>
      </c>
      <c r="H11" s="36" t="s">
        <v>216</v>
      </c>
      <c r="I11" s="36">
        <v>1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1</v>
      </c>
      <c r="P11" s="36">
        <v>790</v>
      </c>
      <c r="Q11" s="36" t="s">
        <v>191</v>
      </c>
      <c r="R11" s="36" t="s">
        <v>192</v>
      </c>
    </row>
    <row r="12" spans="1:18" x14ac:dyDescent="0.15">
      <c r="A12" s="36">
        <v>11004</v>
      </c>
      <c r="B12" s="36">
        <v>4</v>
      </c>
      <c r="C12" s="71" t="str">
        <f t="shared" si="0"/>
        <v>11004_4</v>
      </c>
      <c r="D12" s="7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36">
        <v>11</v>
      </c>
      <c r="F12" s="36" t="s">
        <v>215</v>
      </c>
      <c r="G12" s="36">
        <v>837</v>
      </c>
      <c r="H12" s="36">
        <v>1</v>
      </c>
      <c r="I12" s="36">
        <v>1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1</v>
      </c>
      <c r="P12" s="36">
        <v>10</v>
      </c>
      <c r="Q12" s="36" t="s">
        <v>191</v>
      </c>
      <c r="R12" s="36" t="s">
        <v>192</v>
      </c>
    </row>
    <row r="13" spans="1:18" s="132" customFormat="1" x14ac:dyDescent="0.15">
      <c r="A13" s="37">
        <v>11004</v>
      </c>
      <c r="B13" s="37">
        <v>4</v>
      </c>
      <c r="C13" s="37" t="str">
        <f t="shared" ref="C13" si="4">A13&amp; "_"&amp;B13</f>
        <v>11004_4</v>
      </c>
      <c r="D13" s="3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37">
        <v>12</v>
      </c>
      <c r="F13" s="37" t="s">
        <v>215</v>
      </c>
      <c r="G13" s="37">
        <v>107</v>
      </c>
      <c r="H13" s="37">
        <v>1</v>
      </c>
      <c r="I13" s="37">
        <v>1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1</v>
      </c>
      <c r="P13" s="37">
        <v>200</v>
      </c>
      <c r="Q13" s="37" t="s">
        <v>191</v>
      </c>
      <c r="R13" s="37" t="s">
        <v>192</v>
      </c>
    </row>
    <row r="14" spans="1:18" x14ac:dyDescent="0.15">
      <c r="A14" s="36">
        <v>11007</v>
      </c>
      <c r="B14" s="36">
        <v>3</v>
      </c>
      <c r="C14" s="71" t="str">
        <f t="shared" ref="C14:C21" si="5">A14&amp; "_"&amp;B14</f>
        <v>11007_3</v>
      </c>
      <c r="D14" s="7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36">
        <v>13</v>
      </c>
      <c r="F14" s="36" t="s">
        <v>214</v>
      </c>
      <c r="G14" s="36">
        <v>1000</v>
      </c>
      <c r="H14" s="36" t="s">
        <v>172</v>
      </c>
      <c r="I14" s="36">
        <v>1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1</v>
      </c>
      <c r="P14" s="36">
        <v>790</v>
      </c>
      <c r="Q14" s="36" t="s">
        <v>191</v>
      </c>
      <c r="R14" s="36" t="s">
        <v>192</v>
      </c>
    </row>
    <row r="15" spans="1:18" x14ac:dyDescent="0.15">
      <c r="A15" s="36">
        <v>11007</v>
      </c>
      <c r="B15" s="36">
        <v>3</v>
      </c>
      <c r="C15" s="71" t="str">
        <f t="shared" si="5"/>
        <v>11007_3</v>
      </c>
      <c r="D15" s="7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36">
        <v>14</v>
      </c>
      <c r="F15" s="36" t="s">
        <v>215</v>
      </c>
      <c r="G15" s="36">
        <v>837</v>
      </c>
      <c r="H15" s="36">
        <v>1</v>
      </c>
      <c r="I15" s="36">
        <v>1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1</v>
      </c>
      <c r="P15" s="36">
        <v>10</v>
      </c>
      <c r="Q15" s="36" t="s">
        <v>191</v>
      </c>
      <c r="R15" s="36" t="s">
        <v>192</v>
      </c>
    </row>
    <row r="16" spans="1:18" s="132" customFormat="1" x14ac:dyDescent="0.15">
      <c r="A16" s="37">
        <v>11007</v>
      </c>
      <c r="B16" s="37">
        <v>3</v>
      </c>
      <c r="C16" s="37" t="str">
        <f t="shared" ref="C16" si="6">A16&amp; "_"&amp;B16</f>
        <v>11007_3</v>
      </c>
      <c r="D16" s="3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37">
        <v>15</v>
      </c>
      <c r="F16" s="37" t="s">
        <v>215</v>
      </c>
      <c r="G16" s="37">
        <v>103</v>
      </c>
      <c r="H16" s="37">
        <v>1</v>
      </c>
      <c r="I16" s="37">
        <v>1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1</v>
      </c>
      <c r="P16" s="37">
        <v>100</v>
      </c>
      <c r="Q16" s="37" t="s">
        <v>191</v>
      </c>
      <c r="R16" s="37" t="s">
        <v>192</v>
      </c>
    </row>
    <row r="17" spans="1:18" s="132" customFormat="1" x14ac:dyDescent="0.15">
      <c r="A17" s="37">
        <v>11007</v>
      </c>
      <c r="B17" s="37">
        <v>3</v>
      </c>
      <c r="C17" s="37" t="str">
        <f t="shared" ref="C17" si="7">A17&amp; "_"&amp;B17</f>
        <v>11007_3</v>
      </c>
      <c r="D17" s="3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37">
        <v>16</v>
      </c>
      <c r="F17" s="37" t="s">
        <v>215</v>
      </c>
      <c r="G17" s="37">
        <v>107</v>
      </c>
      <c r="H17" s="37">
        <v>1</v>
      </c>
      <c r="I17" s="37">
        <v>1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1</v>
      </c>
      <c r="P17" s="37">
        <v>100</v>
      </c>
      <c r="Q17" s="37" t="s">
        <v>191</v>
      </c>
      <c r="R17" s="37" t="s">
        <v>192</v>
      </c>
    </row>
    <row r="18" spans="1:18" x14ac:dyDescent="0.15">
      <c r="A18" s="36">
        <v>11008</v>
      </c>
      <c r="B18" s="36">
        <v>3</v>
      </c>
      <c r="C18" s="71" t="str">
        <f t="shared" si="5"/>
        <v>11008_3</v>
      </c>
      <c r="D18" s="7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36">
        <v>17</v>
      </c>
      <c r="F18" s="36" t="s">
        <v>214</v>
      </c>
      <c r="G18" s="36">
        <v>1000</v>
      </c>
      <c r="H18" s="36" t="s">
        <v>172</v>
      </c>
      <c r="I18" s="36">
        <v>1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1</v>
      </c>
      <c r="P18" s="36">
        <v>790</v>
      </c>
      <c r="Q18" s="36" t="s">
        <v>191</v>
      </c>
      <c r="R18" s="36" t="s">
        <v>192</v>
      </c>
    </row>
    <row r="19" spans="1:18" x14ac:dyDescent="0.15">
      <c r="A19" s="36">
        <v>11008</v>
      </c>
      <c r="B19" s="36">
        <v>3</v>
      </c>
      <c r="C19" s="71" t="str">
        <f t="shared" si="5"/>
        <v>11008_3</v>
      </c>
      <c r="D19" s="7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36">
        <v>18</v>
      </c>
      <c r="F19" s="36" t="s">
        <v>215</v>
      </c>
      <c r="G19" s="36">
        <v>837</v>
      </c>
      <c r="H19" s="36">
        <v>1</v>
      </c>
      <c r="I19" s="36">
        <v>1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1</v>
      </c>
      <c r="P19" s="36">
        <v>10</v>
      </c>
      <c r="Q19" s="36" t="s">
        <v>191</v>
      </c>
      <c r="R19" s="36" t="s">
        <v>192</v>
      </c>
    </row>
    <row r="20" spans="1:18" s="132" customFormat="1" x14ac:dyDescent="0.15">
      <c r="A20" s="37">
        <v>11008</v>
      </c>
      <c r="B20" s="37">
        <v>3</v>
      </c>
      <c r="C20" s="37" t="str">
        <f t="shared" ref="C20" si="8">A20&amp; "_"&amp;B20</f>
        <v>11008_3</v>
      </c>
      <c r="D20" s="37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37">
        <v>19</v>
      </c>
      <c r="F20" s="37" t="s">
        <v>215</v>
      </c>
      <c r="G20" s="37">
        <v>111</v>
      </c>
      <c r="H20" s="37">
        <v>1</v>
      </c>
      <c r="I20" s="37">
        <v>1</v>
      </c>
      <c r="J20" s="37">
        <v>0</v>
      </c>
      <c r="K20" s="37">
        <v>0</v>
      </c>
      <c r="L20" s="37">
        <v>0</v>
      </c>
      <c r="M20" s="37">
        <v>0</v>
      </c>
      <c r="N20" s="37">
        <v>0</v>
      </c>
      <c r="O20" s="37">
        <v>1</v>
      </c>
      <c r="P20" s="37">
        <v>100</v>
      </c>
      <c r="Q20" s="37" t="s">
        <v>191</v>
      </c>
      <c r="R20" s="37" t="s">
        <v>192</v>
      </c>
    </row>
    <row r="21" spans="1:18" s="132" customFormat="1" x14ac:dyDescent="0.15">
      <c r="A21" s="37">
        <v>11008</v>
      </c>
      <c r="B21" s="37">
        <v>3</v>
      </c>
      <c r="C21" s="37" t="str">
        <f t="shared" si="5"/>
        <v>11008_3</v>
      </c>
      <c r="D21" s="37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37">
        <v>20</v>
      </c>
      <c r="F21" s="37" t="s">
        <v>215</v>
      </c>
      <c r="G21" s="37">
        <v>115</v>
      </c>
      <c r="H21" s="37">
        <v>1</v>
      </c>
      <c r="I21" s="37">
        <v>1</v>
      </c>
      <c r="J21" s="37">
        <v>0</v>
      </c>
      <c r="K21" s="37">
        <v>0</v>
      </c>
      <c r="L21" s="37">
        <v>0</v>
      </c>
      <c r="M21" s="37">
        <v>0</v>
      </c>
      <c r="N21" s="37">
        <v>0</v>
      </c>
      <c r="O21" s="37">
        <v>1</v>
      </c>
      <c r="P21" s="37">
        <v>100</v>
      </c>
      <c r="Q21" s="37" t="s">
        <v>191</v>
      </c>
      <c r="R21" s="37" t="s">
        <v>192</v>
      </c>
    </row>
    <row r="22" spans="1:18" x14ac:dyDescent="0.15">
      <c r="A22" s="36">
        <v>11101</v>
      </c>
      <c r="B22" s="36">
        <v>4</v>
      </c>
      <c r="C22" s="71" t="str">
        <f t="shared" ref="C22:C33" si="9">A22&amp; "_"&amp;B22</f>
        <v>11101_4</v>
      </c>
      <c r="D22" s="7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36">
        <v>21</v>
      </c>
      <c r="F22" s="36" t="s">
        <v>214</v>
      </c>
      <c r="G22" s="36">
        <v>1000</v>
      </c>
      <c r="H22" s="36" t="s">
        <v>216</v>
      </c>
      <c r="I22" s="36">
        <v>1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1</v>
      </c>
      <c r="P22" s="36">
        <v>790</v>
      </c>
      <c r="Q22" s="36" t="s">
        <v>191</v>
      </c>
      <c r="R22" s="36" t="s">
        <v>192</v>
      </c>
    </row>
    <row r="23" spans="1:18" x14ac:dyDescent="0.15">
      <c r="A23" s="36">
        <v>11101</v>
      </c>
      <c r="B23" s="36">
        <v>4</v>
      </c>
      <c r="C23" s="71" t="str">
        <f t="shared" ref="C23" si="10">A23&amp; "_"&amp;B23</f>
        <v>11101_4</v>
      </c>
      <c r="D23" s="7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36">
        <v>22</v>
      </c>
      <c r="F23" s="36" t="s">
        <v>215</v>
      </c>
      <c r="G23" s="36">
        <v>837</v>
      </c>
      <c r="H23" s="36">
        <v>1</v>
      </c>
      <c r="I23" s="36">
        <v>1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1</v>
      </c>
      <c r="P23" s="36">
        <v>10</v>
      </c>
      <c r="Q23" s="36" t="s">
        <v>191</v>
      </c>
      <c r="R23" s="36" t="s">
        <v>192</v>
      </c>
    </row>
    <row r="24" spans="1:18" s="132" customFormat="1" x14ac:dyDescent="0.15">
      <c r="A24" s="37">
        <v>11101</v>
      </c>
      <c r="B24" s="37">
        <v>4</v>
      </c>
      <c r="C24" s="37" t="str">
        <f t="shared" si="9"/>
        <v>11101_4</v>
      </c>
      <c r="D24" s="3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37">
        <v>23</v>
      </c>
      <c r="F24" s="37" t="s">
        <v>215</v>
      </c>
      <c r="G24" s="37">
        <v>115</v>
      </c>
      <c r="H24" s="37">
        <v>1</v>
      </c>
      <c r="I24" s="37">
        <v>1</v>
      </c>
      <c r="J24" s="37">
        <v>0</v>
      </c>
      <c r="K24" s="37">
        <v>0</v>
      </c>
      <c r="L24" s="37">
        <v>0</v>
      </c>
      <c r="M24" s="37">
        <v>0</v>
      </c>
      <c r="N24" s="37">
        <v>0</v>
      </c>
      <c r="O24" s="37">
        <v>1</v>
      </c>
      <c r="P24" s="37">
        <v>200</v>
      </c>
      <c r="Q24" s="37" t="s">
        <v>191</v>
      </c>
      <c r="R24" s="37" t="s">
        <v>192</v>
      </c>
    </row>
    <row r="25" spans="1:18" x14ac:dyDescent="0.15">
      <c r="A25" s="36">
        <v>11102</v>
      </c>
      <c r="B25" s="36">
        <v>4</v>
      </c>
      <c r="C25" s="71" t="str">
        <f t="shared" si="9"/>
        <v>11102_4</v>
      </c>
      <c r="D25" s="7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36">
        <v>24</v>
      </c>
      <c r="F25" s="36" t="s">
        <v>214</v>
      </c>
      <c r="G25" s="36">
        <v>1000</v>
      </c>
      <c r="H25" s="36" t="s">
        <v>216</v>
      </c>
      <c r="I25" s="36">
        <v>1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1</v>
      </c>
      <c r="P25" s="36">
        <v>790</v>
      </c>
      <c r="Q25" s="36" t="s">
        <v>191</v>
      </c>
      <c r="R25" s="36" t="s">
        <v>192</v>
      </c>
    </row>
    <row r="26" spans="1:18" x14ac:dyDescent="0.15">
      <c r="A26" s="36">
        <v>11102</v>
      </c>
      <c r="B26" s="36">
        <v>4</v>
      </c>
      <c r="C26" s="71" t="str">
        <f t="shared" ref="C26" si="11">A26&amp; "_"&amp;B26</f>
        <v>11102_4</v>
      </c>
      <c r="D26" s="7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36">
        <v>25</v>
      </c>
      <c r="F26" s="36" t="s">
        <v>215</v>
      </c>
      <c r="G26" s="36">
        <v>837</v>
      </c>
      <c r="H26" s="36">
        <v>1</v>
      </c>
      <c r="I26" s="36">
        <v>1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1</v>
      </c>
      <c r="P26" s="36">
        <v>10</v>
      </c>
      <c r="Q26" s="36" t="s">
        <v>191</v>
      </c>
      <c r="R26" s="36" t="s">
        <v>192</v>
      </c>
    </row>
    <row r="27" spans="1:18" s="132" customFormat="1" x14ac:dyDescent="0.15">
      <c r="A27" s="37">
        <v>11102</v>
      </c>
      <c r="B27" s="37">
        <v>4</v>
      </c>
      <c r="C27" s="37" t="str">
        <f t="shared" si="9"/>
        <v>11102_4</v>
      </c>
      <c r="D27" s="37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37">
        <v>26</v>
      </c>
      <c r="F27" s="37" t="s">
        <v>215</v>
      </c>
      <c r="G27" s="37">
        <v>103</v>
      </c>
      <c r="H27" s="37">
        <v>1</v>
      </c>
      <c r="I27" s="37">
        <v>1</v>
      </c>
      <c r="J27" s="37">
        <v>0</v>
      </c>
      <c r="K27" s="37">
        <v>0</v>
      </c>
      <c r="L27" s="37">
        <v>0</v>
      </c>
      <c r="M27" s="37">
        <v>0</v>
      </c>
      <c r="N27" s="37">
        <v>0</v>
      </c>
      <c r="O27" s="37">
        <v>1</v>
      </c>
      <c r="P27" s="37">
        <v>200</v>
      </c>
      <c r="Q27" s="37" t="s">
        <v>191</v>
      </c>
      <c r="R27" s="37" t="s">
        <v>192</v>
      </c>
    </row>
    <row r="28" spans="1:18" x14ac:dyDescent="0.15">
      <c r="A28" s="36">
        <v>11103</v>
      </c>
      <c r="B28" s="36">
        <v>4</v>
      </c>
      <c r="C28" s="71" t="str">
        <f t="shared" si="9"/>
        <v>11103_4</v>
      </c>
      <c r="D28" s="7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36">
        <v>27</v>
      </c>
      <c r="F28" s="36" t="s">
        <v>214</v>
      </c>
      <c r="G28" s="36">
        <v>1000</v>
      </c>
      <c r="H28" s="36" t="s">
        <v>216</v>
      </c>
      <c r="I28" s="36">
        <v>1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1</v>
      </c>
      <c r="P28" s="36">
        <v>790</v>
      </c>
      <c r="Q28" s="36" t="s">
        <v>191</v>
      </c>
      <c r="R28" s="36" t="s">
        <v>192</v>
      </c>
    </row>
    <row r="29" spans="1:18" x14ac:dyDescent="0.15">
      <c r="A29" s="36">
        <v>11103</v>
      </c>
      <c r="B29" s="36">
        <v>4</v>
      </c>
      <c r="C29" s="71" t="str">
        <f t="shared" ref="C29" si="12">A29&amp; "_"&amp;B29</f>
        <v>11103_4</v>
      </c>
      <c r="D29" s="7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36">
        <v>28</v>
      </c>
      <c r="F29" s="36" t="s">
        <v>215</v>
      </c>
      <c r="G29" s="36">
        <v>837</v>
      </c>
      <c r="H29" s="36">
        <v>1</v>
      </c>
      <c r="I29" s="36">
        <v>1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1</v>
      </c>
      <c r="P29" s="36">
        <v>10</v>
      </c>
      <c r="Q29" s="36" t="s">
        <v>191</v>
      </c>
      <c r="R29" s="36" t="s">
        <v>192</v>
      </c>
    </row>
    <row r="30" spans="1:18" s="132" customFormat="1" x14ac:dyDescent="0.15">
      <c r="A30" s="37">
        <v>11103</v>
      </c>
      <c r="B30" s="37">
        <v>4</v>
      </c>
      <c r="C30" s="37" t="str">
        <f t="shared" si="9"/>
        <v>11103_4</v>
      </c>
      <c r="D30" s="37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37">
        <v>29</v>
      </c>
      <c r="F30" s="37" t="s">
        <v>215</v>
      </c>
      <c r="G30" s="37">
        <v>111</v>
      </c>
      <c r="H30" s="37">
        <v>1</v>
      </c>
      <c r="I30" s="37">
        <v>1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1</v>
      </c>
      <c r="P30" s="37">
        <v>200</v>
      </c>
      <c r="Q30" s="37" t="s">
        <v>191</v>
      </c>
      <c r="R30" s="37" t="s">
        <v>192</v>
      </c>
    </row>
    <row r="31" spans="1:18" x14ac:dyDescent="0.15">
      <c r="A31" s="36">
        <v>11104</v>
      </c>
      <c r="B31" s="36">
        <v>4</v>
      </c>
      <c r="C31" s="71" t="str">
        <f t="shared" si="9"/>
        <v>11104_4</v>
      </c>
      <c r="D31" s="7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36">
        <v>30</v>
      </c>
      <c r="F31" s="36" t="s">
        <v>214</v>
      </c>
      <c r="G31" s="36">
        <v>1000</v>
      </c>
      <c r="H31" s="36" t="s">
        <v>216</v>
      </c>
      <c r="I31" s="36">
        <v>1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1</v>
      </c>
      <c r="P31" s="36">
        <v>790</v>
      </c>
      <c r="Q31" s="36" t="s">
        <v>191</v>
      </c>
      <c r="R31" s="36" t="s">
        <v>192</v>
      </c>
    </row>
    <row r="32" spans="1:18" x14ac:dyDescent="0.15">
      <c r="A32" s="36">
        <v>11104</v>
      </c>
      <c r="B32" s="36">
        <v>4</v>
      </c>
      <c r="C32" s="71" t="str">
        <f t="shared" ref="C32" si="13">A32&amp; "_"&amp;B32</f>
        <v>11104_4</v>
      </c>
      <c r="D32" s="7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36">
        <v>31</v>
      </c>
      <c r="F32" s="36" t="s">
        <v>215</v>
      </c>
      <c r="G32" s="36">
        <v>837</v>
      </c>
      <c r="H32" s="36">
        <v>1</v>
      </c>
      <c r="I32" s="36">
        <v>1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1</v>
      </c>
      <c r="P32" s="36">
        <v>10</v>
      </c>
      <c r="Q32" s="36" t="s">
        <v>191</v>
      </c>
      <c r="R32" s="36" t="s">
        <v>192</v>
      </c>
    </row>
    <row r="33" spans="1:18" s="132" customFormat="1" x14ac:dyDescent="0.15">
      <c r="A33" s="37">
        <v>11104</v>
      </c>
      <c r="B33" s="37">
        <v>4</v>
      </c>
      <c r="C33" s="37" t="str">
        <f t="shared" si="9"/>
        <v>11104_4</v>
      </c>
      <c r="D33" s="37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37">
        <v>32</v>
      </c>
      <c r="F33" s="37" t="s">
        <v>215</v>
      </c>
      <c r="G33" s="37">
        <v>107</v>
      </c>
      <c r="H33" s="37">
        <v>1</v>
      </c>
      <c r="I33" s="37">
        <v>1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1</v>
      </c>
      <c r="P33" s="37">
        <v>200</v>
      </c>
      <c r="Q33" s="37" t="s">
        <v>191</v>
      </c>
      <c r="R33" s="37" t="s">
        <v>192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P331"/>
  <sheetViews>
    <sheetView showGridLines="0" workbookViewId="0">
      <pane ySplit="1" topLeftCell="A2" activePane="bottomLeft" state="frozen"/>
      <selection pane="bottomLeft" activeCell="F134" sqref="F134:F199"/>
    </sheetView>
  </sheetViews>
  <sheetFormatPr baseColWidth="12" defaultColWidth="13" defaultRowHeight="15" outlineLevelCol="1" x14ac:dyDescent="0.15"/>
  <cols>
    <col min="2" max="2" width="13" style="123"/>
    <col min="4" max="4" width="17" customWidth="1" outlineLevel="1"/>
    <col min="5" max="5" width="18.83203125" customWidth="1" outlineLevel="1"/>
    <col min="7" max="7" width="22.5" customWidth="1" outlineLevel="1"/>
    <col min="8" max="8" width="22" customWidth="1" outlineLevel="1"/>
    <col min="9" max="9" width="22" customWidth="1"/>
    <col min="10" max="10" width="11.1640625" bestFit="1" customWidth="1"/>
    <col min="11" max="12" width="11.1640625" customWidth="1"/>
    <col min="13" max="13" width="11.1640625" style="124" customWidth="1"/>
    <col min="14" max="14" width="35.33203125" style="124" customWidth="1"/>
    <col min="15" max="15" width="13" style="124"/>
  </cols>
  <sheetData>
    <row r="1" spans="1:16" x14ac:dyDescent="0.15">
      <c r="A1" s="107" t="s">
        <v>124</v>
      </c>
      <c r="B1" s="108" t="s">
        <v>221</v>
      </c>
      <c r="C1" s="109" t="s">
        <v>0</v>
      </c>
      <c r="D1" s="110" t="s">
        <v>222</v>
      </c>
      <c r="E1" s="110" t="s">
        <v>33</v>
      </c>
      <c r="F1" s="109" t="s">
        <v>1</v>
      </c>
      <c r="G1" s="110" t="s">
        <v>222</v>
      </c>
      <c r="H1" s="110" t="s">
        <v>33</v>
      </c>
      <c r="I1" s="109" t="s">
        <v>223</v>
      </c>
      <c r="J1" s="109" t="s">
        <v>224</v>
      </c>
      <c r="K1" s="111" t="s">
        <v>225</v>
      </c>
      <c r="L1" s="112" t="s">
        <v>226</v>
      </c>
      <c r="M1" s="110" t="s">
        <v>227</v>
      </c>
      <c r="N1" s="113" t="s">
        <v>228</v>
      </c>
      <c r="O1" s="71" t="s">
        <v>229</v>
      </c>
      <c r="P1" t="s">
        <v>230</v>
      </c>
    </row>
    <row r="2" spans="1:16" x14ac:dyDescent="0.15">
      <c r="A2" s="114" t="str">
        <f t="shared" ref="A2:A65" si="0">C2&amp;"_"&amp;F2&amp;"_"&amp;J2</f>
        <v>11001_4_1</v>
      </c>
      <c r="B2" s="115" t="s">
        <v>231</v>
      </c>
      <c r="C2" s="116">
        <v>11001</v>
      </c>
      <c r="D2" s="117" t="str">
        <f ca="1">VLOOKUP($C2,OFFSET([2]quests!$A$1,0,0,COUNTA([2]quests!$A:$A),MATCH(D$1,[2]quests!$1:$1,0)-MATCH($C$1,[2]quests!$1:$1,0)+1),MATCH(D$1,[2]quests!$1:$1,0)-MATCH($C$1,[2]quests!$1:$1,0)+1,FALSE)</f>
        <v>【月曜限定】 黄の素材</v>
      </c>
      <c r="E2" s="117" t="str">
        <f ca="1">VLOOKUP($C2,OFFSET([2]quests!$A$1,0,0,COUNTA([2]quests!$A:$A),MATCH(E$1,[2]quests!$1:$1,0)-MATCH($C$1,[2]quests!$1:$1,0)+1),MATCH(E$1,[2]quests!$1:$1,0)-MATCH($C$1,[2]quests!$1:$1,0)+1,FALSE)</f>
        <v>月曜クエスト</v>
      </c>
      <c r="F2" s="118">
        <v>4</v>
      </c>
      <c r="G2" s="117" t="str">
        <f ca="1">VLOOKUP($C2&amp;"_"&amp;$F2,OFFSET([2]stages!$A$1,0,0,COUNTA([2]stages!$A:$A),MATCH(G$1,[2]stages!$2:$2,0)-MATCH("temp_stage",[2]stages!$2:$2,0)+1),MATCH(G$1,[2]stages!$2:$2,0)-MATCH("temp_stage",[2]stages!$2:$2,0)+1,FALSE)</f>
        <v>【上級】雷のイモムシ</v>
      </c>
      <c r="H2" s="117" t="str">
        <f ca="1">VLOOKUP($C2&amp;"_"&amp;$F2,OFFSET([2]stages!$A$1,0,0,COUNTA([2]stages!$A:$A),MATCH(H$1,[2]stages!$2:$2,0)-MATCH("temp_stage",[2]stages!$2:$2,0)+1),MATCH(H$1,[2]stages!$2:$2,0)-MATCH("temp_stage",[2]stages!$2:$2,0)+1,FALSE)</f>
        <v>月曜クエスト</v>
      </c>
      <c r="I2" s="119">
        <v>0</v>
      </c>
      <c r="J2" s="118">
        <f>COUNTIF(C$1:C2,C2)</f>
        <v>1</v>
      </c>
      <c r="K2" s="120">
        <v>3</v>
      </c>
      <c r="L2" s="118" t="s">
        <v>232</v>
      </c>
      <c r="M2" s="121" t="str">
        <f>VLOOKUP(K2,[6]stage_hints!$A:$C,3,FALSE)</f>
        <v>ターゲット</v>
      </c>
      <c r="N2" s="122" t="str">
        <f>VLOOKUP(K2,[6]stage_hints!$A:$D,4,FALSE)</f>
        <v>敵ユニットをタップすると_x000D_その敵を狙い撃ちできます</v>
      </c>
      <c r="O2" s="36" t="s">
        <v>233</v>
      </c>
      <c r="P2">
        <v>3</v>
      </c>
    </row>
    <row r="3" spans="1:16" x14ac:dyDescent="0.15">
      <c r="A3" s="114" t="str">
        <f t="shared" si="0"/>
        <v>11001_4_2</v>
      </c>
      <c r="B3" s="115" t="s">
        <v>231</v>
      </c>
      <c r="C3" s="116">
        <v>11001</v>
      </c>
      <c r="D3" s="117" t="str">
        <f ca="1">VLOOKUP($C3,OFFSET([2]quests!$A$1,0,0,COUNTA([2]quests!$A:$A),MATCH(D$1,[2]quests!$1:$1,0)-MATCH($C$1,[2]quests!$1:$1,0)+1),MATCH(D$1,[2]quests!$1:$1,0)-MATCH($C$1,[2]quests!$1:$1,0)+1,FALSE)</f>
        <v>【月曜限定】 黄の素材</v>
      </c>
      <c r="E3" s="117" t="str">
        <f ca="1">VLOOKUP($C3,OFFSET([2]quests!$A$1,0,0,COUNTA([2]quests!$A:$A),MATCH(E$1,[2]quests!$1:$1,0)-MATCH($C$1,[2]quests!$1:$1,0)+1),MATCH(E$1,[2]quests!$1:$1,0)-MATCH($C$1,[2]quests!$1:$1,0)+1,FALSE)</f>
        <v>月曜クエスト</v>
      </c>
      <c r="F3" s="118">
        <v>4</v>
      </c>
      <c r="G3" s="117" t="str">
        <f ca="1">VLOOKUP($C3&amp;"_"&amp;$F3,OFFSET([2]stages!$A$1,0,0,COUNTA([2]stages!$A:$A),MATCH(G$1,[2]stages!$2:$2,0)-MATCH("temp_stage",[2]stages!$2:$2,0)+1),MATCH(G$1,[2]stages!$2:$2,0)-MATCH("temp_stage",[2]stages!$2:$2,0)+1,FALSE)</f>
        <v>【上級】雷のイモムシ</v>
      </c>
      <c r="H3" s="117" t="str">
        <f ca="1">VLOOKUP($C3&amp;"_"&amp;$F3,OFFSET([2]stages!$A$1,0,0,COUNTA([2]stages!$A:$A),MATCH(H$1,[2]stages!$2:$2,0)-MATCH("temp_stage",[2]stages!$2:$2,0)+1),MATCH(H$1,[2]stages!$2:$2,0)-MATCH("temp_stage",[2]stages!$2:$2,0)+1,FALSE)</f>
        <v>月曜クエスト</v>
      </c>
      <c r="I3" s="119">
        <v>0</v>
      </c>
      <c r="J3" s="118">
        <f>COUNTIF(C$1:C3,C3)</f>
        <v>2</v>
      </c>
      <c r="K3" s="120">
        <v>6</v>
      </c>
      <c r="L3" s="118" t="s">
        <v>234</v>
      </c>
      <c r="M3" s="121" t="str">
        <f>VLOOKUP(K3,[6]stage_hints!$A:$C,3,FALSE)</f>
        <v>ユニット強化の属性ボーナス</v>
      </c>
      <c r="N3" s="122" t="str">
        <f>VLOOKUP(K3,[6]stage_hints!$A:$D,4,FALSE)</f>
        <v>同属性ユニットを強化素材にすると_x000D_経験値が多くもらえます</v>
      </c>
      <c r="O3" s="36" t="s">
        <v>235</v>
      </c>
      <c r="P3">
        <v>6</v>
      </c>
    </row>
    <row r="4" spans="1:16" x14ac:dyDescent="0.15">
      <c r="A4" s="114" t="str">
        <f t="shared" si="0"/>
        <v>11001_4_3</v>
      </c>
      <c r="B4" s="115" t="s">
        <v>231</v>
      </c>
      <c r="C4" s="116">
        <v>11001</v>
      </c>
      <c r="D4" s="117" t="str">
        <f ca="1">VLOOKUP($C4,OFFSET([2]quests!$A$1,0,0,COUNTA([2]quests!$A:$A),MATCH(D$1,[2]quests!$1:$1,0)-MATCH($C$1,[2]quests!$1:$1,0)+1),MATCH(D$1,[2]quests!$1:$1,0)-MATCH($C$1,[2]quests!$1:$1,0)+1,FALSE)</f>
        <v>【月曜限定】 黄の素材</v>
      </c>
      <c r="E4" s="117" t="str">
        <f ca="1">VLOOKUP($C4,OFFSET([2]quests!$A$1,0,0,COUNTA([2]quests!$A:$A),MATCH(E$1,[2]quests!$1:$1,0)-MATCH($C$1,[2]quests!$1:$1,0)+1),MATCH(E$1,[2]quests!$1:$1,0)-MATCH($C$1,[2]quests!$1:$1,0)+1,FALSE)</f>
        <v>月曜クエスト</v>
      </c>
      <c r="F4" s="118">
        <v>4</v>
      </c>
      <c r="G4" s="117" t="str">
        <f ca="1">VLOOKUP($C4&amp;"_"&amp;$F4,OFFSET([2]stages!$A$1,0,0,COUNTA([2]stages!$A:$A),MATCH(G$1,[2]stages!$2:$2,0)-MATCH("temp_stage",[2]stages!$2:$2,0)+1),MATCH(G$1,[2]stages!$2:$2,0)-MATCH("temp_stage",[2]stages!$2:$2,0)+1,FALSE)</f>
        <v>【上級】雷のイモムシ</v>
      </c>
      <c r="H4" s="117" t="str">
        <f ca="1">VLOOKUP($C4&amp;"_"&amp;$F4,OFFSET([2]stages!$A$1,0,0,COUNTA([2]stages!$A:$A),MATCH(H$1,[2]stages!$2:$2,0)-MATCH("temp_stage",[2]stages!$2:$2,0)+1),MATCH(H$1,[2]stages!$2:$2,0)-MATCH("temp_stage",[2]stages!$2:$2,0)+1,FALSE)</f>
        <v>月曜クエスト</v>
      </c>
      <c r="I4" s="119">
        <v>0</v>
      </c>
      <c r="J4" s="118">
        <f>COUNTIF(C$1:C4,C4)</f>
        <v>3</v>
      </c>
      <c r="K4" s="120">
        <v>7</v>
      </c>
      <c r="L4" s="118" t="s">
        <v>236</v>
      </c>
      <c r="M4" s="121" t="str">
        <f>VLOOKUP(K4,[6]stage_hints!$A:$C,3,FALSE)</f>
        <v>メタルダックで経験値を獲得</v>
      </c>
      <c r="N4" s="122" t="str">
        <f>VLOOKUP(K4,[6]stage_hints!$A:$D,4,FALSE)</f>
        <v>「メタルなアヒル」を強化素材にすると_x000D_大量の経験値がもらえます</v>
      </c>
      <c r="O4" s="36" t="s">
        <v>233</v>
      </c>
      <c r="P4">
        <v>7</v>
      </c>
    </row>
    <row r="5" spans="1:16" x14ac:dyDescent="0.15">
      <c r="A5" s="114" t="str">
        <f t="shared" si="0"/>
        <v>11001_4_4</v>
      </c>
      <c r="B5" s="115" t="s">
        <v>231</v>
      </c>
      <c r="C5" s="116">
        <v>11001</v>
      </c>
      <c r="D5" s="117" t="str">
        <f ca="1">VLOOKUP($C5,OFFSET([2]quests!$A$1,0,0,COUNTA([2]quests!$A:$A),MATCH(D$1,[2]quests!$1:$1,0)-MATCH($C$1,[2]quests!$1:$1,0)+1),MATCH(D$1,[2]quests!$1:$1,0)-MATCH($C$1,[2]quests!$1:$1,0)+1,FALSE)</f>
        <v>【月曜限定】 黄の素材</v>
      </c>
      <c r="E5" s="117" t="str">
        <f ca="1">VLOOKUP($C5,OFFSET([2]quests!$A$1,0,0,COUNTA([2]quests!$A:$A),MATCH(E$1,[2]quests!$1:$1,0)-MATCH($C$1,[2]quests!$1:$1,0)+1),MATCH(E$1,[2]quests!$1:$1,0)-MATCH($C$1,[2]quests!$1:$1,0)+1,FALSE)</f>
        <v>月曜クエスト</v>
      </c>
      <c r="F5" s="118">
        <v>4</v>
      </c>
      <c r="G5" s="117" t="str">
        <f ca="1">VLOOKUP($C5&amp;"_"&amp;$F5,OFFSET([2]stages!$A$1,0,0,COUNTA([2]stages!$A:$A),MATCH(G$1,[2]stages!$2:$2,0)-MATCH("temp_stage",[2]stages!$2:$2,0)+1),MATCH(G$1,[2]stages!$2:$2,0)-MATCH("temp_stage",[2]stages!$2:$2,0)+1,FALSE)</f>
        <v>【上級】雷のイモムシ</v>
      </c>
      <c r="H5" s="117" t="str">
        <f ca="1">VLOOKUP($C5&amp;"_"&amp;$F5,OFFSET([2]stages!$A$1,0,0,COUNTA([2]stages!$A:$A),MATCH(H$1,[2]stages!$2:$2,0)-MATCH("temp_stage",[2]stages!$2:$2,0)+1),MATCH(H$1,[2]stages!$2:$2,0)-MATCH("temp_stage",[2]stages!$2:$2,0)+1,FALSE)</f>
        <v>月曜クエスト</v>
      </c>
      <c r="I5" s="119">
        <v>0</v>
      </c>
      <c r="J5" s="118">
        <f>COUNTIF(C$1:C5,C5)</f>
        <v>4</v>
      </c>
      <c r="K5" s="120">
        <v>8</v>
      </c>
      <c r="L5" s="118" t="s">
        <v>237</v>
      </c>
      <c r="M5" s="121" t="str">
        <f>VLOOKUP(K5,[6]stage_hints!$A:$C,3,FALSE)</f>
        <v>ゲリラクエストは要チェック</v>
      </c>
      <c r="N5" s="122" t="str">
        <f>VLOOKUP(K5,[6]stage_hints!$A:$D,4,FALSE)</f>
        <v>時間限定の「アヒル捕獲作戦」では_x000D_経験値素材ユニットが多く手に入ります</v>
      </c>
      <c r="O5" s="36" t="s">
        <v>238</v>
      </c>
      <c r="P5">
        <v>8</v>
      </c>
    </row>
    <row r="6" spans="1:16" x14ac:dyDescent="0.15">
      <c r="A6" s="114" t="str">
        <f t="shared" si="0"/>
        <v>11001_4_5</v>
      </c>
      <c r="B6" s="115" t="s">
        <v>231</v>
      </c>
      <c r="C6" s="116">
        <v>11001</v>
      </c>
      <c r="D6" s="117" t="str">
        <f ca="1">VLOOKUP($C6,OFFSET([2]quests!$A$1,0,0,COUNTA([2]quests!$A:$A),MATCH(D$1,[2]quests!$1:$1,0)-MATCH($C$1,[2]quests!$1:$1,0)+1),MATCH(D$1,[2]quests!$1:$1,0)-MATCH($C$1,[2]quests!$1:$1,0)+1,FALSE)</f>
        <v>【月曜限定】 黄の素材</v>
      </c>
      <c r="E6" s="117" t="str">
        <f ca="1">VLOOKUP($C6,OFFSET([2]quests!$A$1,0,0,COUNTA([2]quests!$A:$A),MATCH(E$1,[2]quests!$1:$1,0)-MATCH($C$1,[2]quests!$1:$1,0)+1),MATCH(E$1,[2]quests!$1:$1,0)-MATCH($C$1,[2]quests!$1:$1,0)+1,FALSE)</f>
        <v>月曜クエスト</v>
      </c>
      <c r="F6" s="118">
        <v>4</v>
      </c>
      <c r="G6" s="117" t="str">
        <f ca="1">VLOOKUP($C6&amp;"_"&amp;$F6,OFFSET([2]stages!$A$1,0,0,COUNTA([2]stages!$A:$A),MATCH(G$1,[2]stages!$2:$2,0)-MATCH("temp_stage",[2]stages!$2:$2,0)+1),MATCH(G$1,[2]stages!$2:$2,0)-MATCH("temp_stage",[2]stages!$2:$2,0)+1,FALSE)</f>
        <v>【上級】雷のイモムシ</v>
      </c>
      <c r="H6" s="117" t="str">
        <f ca="1">VLOOKUP($C6&amp;"_"&amp;$F6,OFFSET([2]stages!$A$1,0,0,COUNTA([2]stages!$A:$A),MATCH(H$1,[2]stages!$2:$2,0)-MATCH("temp_stage",[2]stages!$2:$2,0)+1),MATCH(H$1,[2]stages!$2:$2,0)-MATCH("temp_stage",[2]stages!$2:$2,0)+1,FALSE)</f>
        <v>月曜クエスト</v>
      </c>
      <c r="I6" s="119">
        <v>0</v>
      </c>
      <c r="J6" s="118">
        <f>COUNTIF(C$1:C6,C6)</f>
        <v>5</v>
      </c>
      <c r="K6" s="120">
        <v>9</v>
      </c>
      <c r="L6" s="118" t="s">
        <v>234</v>
      </c>
      <c r="M6" s="121" t="str">
        <f>VLOOKUP(K6,[6]stage_hints!$A:$C,3,FALSE)</f>
        <v>ゴールドダックでビットを獲得</v>
      </c>
      <c r="N6" s="122" t="str">
        <f>VLOOKUP(K6,[6]stage_hints!$A:$D,4,FALSE)</f>
        <v>「ゴールドなアヒル」を売却すると_x000D_大量のビットがもらえます</v>
      </c>
      <c r="O6" s="36" t="s">
        <v>235</v>
      </c>
      <c r="P6">
        <v>9</v>
      </c>
    </row>
    <row r="7" spans="1:16" x14ac:dyDescent="0.15">
      <c r="A7" s="114" t="str">
        <f t="shared" si="0"/>
        <v>11001_4_6</v>
      </c>
      <c r="B7" s="115" t="s">
        <v>231</v>
      </c>
      <c r="C7" s="116">
        <v>11001</v>
      </c>
      <c r="D7" s="117" t="str">
        <f ca="1">VLOOKUP($C7,OFFSET([2]quests!$A$1,0,0,COUNTA([2]quests!$A:$A),MATCH(D$1,[2]quests!$1:$1,0)-MATCH($C$1,[2]quests!$1:$1,0)+1),MATCH(D$1,[2]quests!$1:$1,0)-MATCH($C$1,[2]quests!$1:$1,0)+1,FALSE)</f>
        <v>【月曜限定】 黄の素材</v>
      </c>
      <c r="E7" s="117" t="str">
        <f ca="1">VLOOKUP($C7,OFFSET([2]quests!$A$1,0,0,COUNTA([2]quests!$A:$A),MATCH(E$1,[2]quests!$1:$1,0)-MATCH($C$1,[2]quests!$1:$1,0)+1),MATCH(E$1,[2]quests!$1:$1,0)-MATCH($C$1,[2]quests!$1:$1,0)+1,FALSE)</f>
        <v>月曜クエスト</v>
      </c>
      <c r="F7" s="118">
        <v>4</v>
      </c>
      <c r="G7" s="117" t="str">
        <f ca="1">VLOOKUP($C7&amp;"_"&amp;$F7,OFFSET([2]stages!$A$1,0,0,COUNTA([2]stages!$A:$A),MATCH(G$1,[2]stages!$2:$2,0)-MATCH("temp_stage",[2]stages!$2:$2,0)+1),MATCH(G$1,[2]stages!$2:$2,0)-MATCH("temp_stage",[2]stages!$2:$2,0)+1,FALSE)</f>
        <v>【上級】雷のイモムシ</v>
      </c>
      <c r="H7" s="117" t="str">
        <f ca="1">VLOOKUP($C7&amp;"_"&amp;$F7,OFFSET([2]stages!$A$1,0,0,COUNTA([2]stages!$A:$A),MATCH(H$1,[2]stages!$2:$2,0)-MATCH("temp_stage",[2]stages!$2:$2,0)+1),MATCH(H$1,[2]stages!$2:$2,0)-MATCH("temp_stage",[2]stages!$2:$2,0)+1,FALSE)</f>
        <v>月曜クエスト</v>
      </c>
      <c r="I7" s="119">
        <v>0</v>
      </c>
      <c r="J7" s="118">
        <f>COUNTIF(C$1:C7,C7)</f>
        <v>6</v>
      </c>
      <c r="K7" s="120">
        <v>10</v>
      </c>
      <c r="L7" s="118" t="s">
        <v>239</v>
      </c>
      <c r="M7" s="121" t="str">
        <f>VLOOKUP(K7,[6]stage_hints!$A:$C,3,FALSE)</f>
        <v>土日に大量のビットを獲得</v>
      </c>
      <c r="N7" s="122" t="str">
        <f>VLOOKUP(K7,[6]stage_hints!$A:$D,4,FALSE)</f>
        <v>土日限定の「ゴールドカジノ」では_x000D_売却素材ユニットが多く手に入ります</v>
      </c>
      <c r="O7" s="36" t="s">
        <v>240</v>
      </c>
      <c r="P7">
        <v>10</v>
      </c>
    </row>
    <row r="8" spans="1:16" x14ac:dyDescent="0.15">
      <c r="A8" s="114" t="str">
        <f t="shared" si="0"/>
        <v>11001_4_7</v>
      </c>
      <c r="B8" s="115" t="s">
        <v>231</v>
      </c>
      <c r="C8" s="116">
        <v>11001</v>
      </c>
      <c r="D8" s="117" t="str">
        <f ca="1">VLOOKUP($C8,OFFSET([2]quests!$A$1,0,0,COUNTA([2]quests!$A:$A),MATCH(D$1,[2]quests!$1:$1,0)-MATCH($C$1,[2]quests!$1:$1,0)+1),MATCH(D$1,[2]quests!$1:$1,0)-MATCH($C$1,[2]quests!$1:$1,0)+1,FALSE)</f>
        <v>【月曜限定】 黄の素材</v>
      </c>
      <c r="E8" s="117" t="str">
        <f ca="1">VLOOKUP($C8,OFFSET([2]quests!$A$1,0,0,COUNTA([2]quests!$A:$A),MATCH(E$1,[2]quests!$1:$1,0)-MATCH($C$1,[2]quests!$1:$1,0)+1),MATCH(E$1,[2]quests!$1:$1,0)-MATCH($C$1,[2]quests!$1:$1,0)+1,FALSE)</f>
        <v>月曜クエスト</v>
      </c>
      <c r="F8" s="118">
        <v>4</v>
      </c>
      <c r="G8" s="117" t="str">
        <f ca="1">VLOOKUP($C8&amp;"_"&amp;$F8,OFFSET([2]stages!$A$1,0,0,COUNTA([2]stages!$A:$A),MATCH(G$1,[2]stages!$2:$2,0)-MATCH("temp_stage",[2]stages!$2:$2,0)+1),MATCH(G$1,[2]stages!$2:$2,0)-MATCH("temp_stage",[2]stages!$2:$2,0)+1,FALSE)</f>
        <v>【上級】雷のイモムシ</v>
      </c>
      <c r="H8" s="117" t="str">
        <f ca="1">VLOOKUP($C8&amp;"_"&amp;$F8,OFFSET([2]stages!$A$1,0,0,COUNTA([2]stages!$A:$A),MATCH(H$1,[2]stages!$2:$2,0)-MATCH("temp_stage",[2]stages!$2:$2,0)+1),MATCH(H$1,[2]stages!$2:$2,0)-MATCH("temp_stage",[2]stages!$2:$2,0)+1,FALSE)</f>
        <v>月曜クエスト</v>
      </c>
      <c r="I8" s="119">
        <v>0</v>
      </c>
      <c r="J8" s="118">
        <f>COUNTIF(C$1:C8,C8)</f>
        <v>7</v>
      </c>
      <c r="K8" s="120">
        <v>11</v>
      </c>
      <c r="L8" s="118" t="s">
        <v>241</v>
      </c>
      <c r="M8" s="121" t="str">
        <f>VLOOKUP(K8,[6]stage_hints!$A:$C,3,FALSE)</f>
        <v>ランク解放クエスト</v>
      </c>
      <c r="N8" s="122" t="str">
        <f>VLOOKUP(K8,[6]stage_hints!$A:$D,4,FALSE)</f>
        <v>一定ランクに到達すると_x000D_報酬付きのランク開放クエストが現れます</v>
      </c>
      <c r="O8" s="36" t="s">
        <v>242</v>
      </c>
      <c r="P8">
        <v>11</v>
      </c>
    </row>
    <row r="9" spans="1:16" x14ac:dyDescent="0.15">
      <c r="A9" s="114" t="str">
        <f t="shared" si="0"/>
        <v>11001_4_8</v>
      </c>
      <c r="B9" s="115" t="s">
        <v>231</v>
      </c>
      <c r="C9" s="116">
        <v>11001</v>
      </c>
      <c r="D9" s="117" t="str">
        <f ca="1">VLOOKUP($C9,OFFSET([2]quests!$A$1,0,0,COUNTA([2]quests!$A:$A),MATCH(D$1,[2]quests!$1:$1,0)-MATCH($C$1,[2]quests!$1:$1,0)+1),MATCH(D$1,[2]quests!$1:$1,0)-MATCH($C$1,[2]quests!$1:$1,0)+1,FALSE)</f>
        <v>【月曜限定】 黄の素材</v>
      </c>
      <c r="E9" s="117" t="str">
        <f ca="1">VLOOKUP($C9,OFFSET([2]quests!$A$1,0,0,COUNTA([2]quests!$A:$A),MATCH(E$1,[2]quests!$1:$1,0)-MATCH($C$1,[2]quests!$1:$1,0)+1),MATCH(E$1,[2]quests!$1:$1,0)-MATCH($C$1,[2]quests!$1:$1,0)+1,FALSE)</f>
        <v>月曜クエスト</v>
      </c>
      <c r="F9" s="118">
        <v>4</v>
      </c>
      <c r="G9" s="117" t="str">
        <f ca="1">VLOOKUP($C9&amp;"_"&amp;$F9,OFFSET([2]stages!$A$1,0,0,COUNTA([2]stages!$A:$A),MATCH(G$1,[2]stages!$2:$2,0)-MATCH("temp_stage",[2]stages!$2:$2,0)+1),MATCH(G$1,[2]stages!$2:$2,0)-MATCH("temp_stage",[2]stages!$2:$2,0)+1,FALSE)</f>
        <v>【上級】雷のイモムシ</v>
      </c>
      <c r="H9" s="117" t="str">
        <f ca="1">VLOOKUP($C9&amp;"_"&amp;$F9,OFFSET([2]stages!$A$1,0,0,COUNTA([2]stages!$A:$A),MATCH(H$1,[2]stages!$2:$2,0)-MATCH("temp_stage",[2]stages!$2:$2,0)+1),MATCH(H$1,[2]stages!$2:$2,0)-MATCH("temp_stage",[2]stages!$2:$2,0)+1,FALSE)</f>
        <v>月曜クエスト</v>
      </c>
      <c r="I9" s="119">
        <v>0</v>
      </c>
      <c r="J9" s="118">
        <f>COUNTIF(C$1:C9,C9)</f>
        <v>8</v>
      </c>
      <c r="K9" s="120">
        <v>12</v>
      </c>
      <c r="L9" s="118" t="s">
        <v>234</v>
      </c>
      <c r="M9" s="121" t="str">
        <f>VLOOKUP(K9,[6]stage_hints!$A:$C,3,FALSE)</f>
        <v>ユニットのお気に入り登録</v>
      </c>
      <c r="N9" s="122" t="str">
        <f>VLOOKUP(K9,[6]stage_hints!$A:$D,4,FALSE)</f>
        <v>大事なユニットを誤って消さないように_x000D_フォルダから「お気に入り登録」しましょう</v>
      </c>
      <c r="O9" s="36" t="s">
        <v>235</v>
      </c>
      <c r="P9">
        <v>12</v>
      </c>
    </row>
    <row r="10" spans="1:16" x14ac:dyDescent="0.15">
      <c r="A10" s="114" t="str">
        <f t="shared" si="0"/>
        <v>11001_4_9</v>
      </c>
      <c r="B10" s="115" t="s">
        <v>231</v>
      </c>
      <c r="C10" s="116">
        <v>11001</v>
      </c>
      <c r="D10" s="117" t="str">
        <f ca="1">VLOOKUP($C10,OFFSET([2]quests!$A$1,0,0,COUNTA([2]quests!$A:$A),MATCH(D$1,[2]quests!$1:$1,0)-MATCH($C$1,[2]quests!$1:$1,0)+1),MATCH(D$1,[2]quests!$1:$1,0)-MATCH($C$1,[2]quests!$1:$1,0)+1,FALSE)</f>
        <v>【月曜限定】 黄の素材</v>
      </c>
      <c r="E10" s="117" t="str">
        <f ca="1">VLOOKUP($C10,OFFSET([2]quests!$A$1,0,0,COUNTA([2]quests!$A:$A),MATCH(E$1,[2]quests!$1:$1,0)-MATCH($C$1,[2]quests!$1:$1,0)+1),MATCH(E$1,[2]quests!$1:$1,0)-MATCH($C$1,[2]quests!$1:$1,0)+1,FALSE)</f>
        <v>月曜クエスト</v>
      </c>
      <c r="F10" s="118">
        <v>4</v>
      </c>
      <c r="G10" s="117" t="str">
        <f ca="1">VLOOKUP($C10&amp;"_"&amp;$F10,OFFSET([2]stages!$A$1,0,0,COUNTA([2]stages!$A:$A),MATCH(G$1,[2]stages!$2:$2,0)-MATCH("temp_stage",[2]stages!$2:$2,0)+1),MATCH(G$1,[2]stages!$2:$2,0)-MATCH("temp_stage",[2]stages!$2:$2,0)+1,FALSE)</f>
        <v>【上級】雷のイモムシ</v>
      </c>
      <c r="H10" s="117" t="str">
        <f ca="1">VLOOKUP($C10&amp;"_"&amp;$F10,OFFSET([2]stages!$A$1,0,0,COUNTA([2]stages!$A:$A),MATCH(H$1,[2]stages!$2:$2,0)-MATCH("temp_stage",[2]stages!$2:$2,0)+1),MATCH(H$1,[2]stages!$2:$2,0)-MATCH("temp_stage",[2]stages!$2:$2,0)+1,FALSE)</f>
        <v>月曜クエスト</v>
      </c>
      <c r="I10" s="119">
        <v>0</v>
      </c>
      <c r="J10" s="118">
        <f>COUNTIF(C$1:C10,C10)</f>
        <v>9</v>
      </c>
      <c r="K10" s="120">
        <v>13</v>
      </c>
      <c r="L10" s="118" t="s">
        <v>234</v>
      </c>
      <c r="M10" s="121" t="str">
        <f>VLOOKUP(K10,[6]stage_hints!$A:$C,3,FALSE)</f>
        <v>ユニットの覚醒</v>
      </c>
      <c r="N10" s="122" t="str">
        <f>VLOOKUP(K10,[6]stage_hints!$A:$D,4,FALSE)</f>
        <v>ユニットを覚醒させると_x000D_比べものにならない強さが手に入ります</v>
      </c>
      <c r="O10" s="36" t="s">
        <v>235</v>
      </c>
      <c r="P10">
        <v>13</v>
      </c>
    </row>
    <row r="11" spans="1:16" x14ac:dyDescent="0.15">
      <c r="A11" s="114" t="str">
        <f t="shared" si="0"/>
        <v>11001_4_10</v>
      </c>
      <c r="B11" s="115" t="s">
        <v>231</v>
      </c>
      <c r="C11" s="116">
        <v>11001</v>
      </c>
      <c r="D11" s="117" t="str">
        <f ca="1">VLOOKUP($C11,OFFSET([2]quests!$A$1,0,0,COUNTA([2]quests!$A:$A),MATCH(D$1,[2]quests!$1:$1,0)-MATCH($C$1,[2]quests!$1:$1,0)+1),MATCH(D$1,[2]quests!$1:$1,0)-MATCH($C$1,[2]quests!$1:$1,0)+1,FALSE)</f>
        <v>【月曜限定】 黄の素材</v>
      </c>
      <c r="E11" s="117" t="str">
        <f ca="1">VLOOKUP($C11,OFFSET([2]quests!$A$1,0,0,COUNTA([2]quests!$A:$A),MATCH(E$1,[2]quests!$1:$1,0)-MATCH($C$1,[2]quests!$1:$1,0)+1),MATCH(E$1,[2]quests!$1:$1,0)-MATCH($C$1,[2]quests!$1:$1,0)+1,FALSE)</f>
        <v>月曜クエスト</v>
      </c>
      <c r="F11" s="118">
        <v>4</v>
      </c>
      <c r="G11" s="117" t="str">
        <f ca="1">VLOOKUP($C11&amp;"_"&amp;$F11,OFFSET([2]stages!$A$1,0,0,COUNTA([2]stages!$A:$A),MATCH(G$1,[2]stages!$2:$2,0)-MATCH("temp_stage",[2]stages!$2:$2,0)+1),MATCH(G$1,[2]stages!$2:$2,0)-MATCH("temp_stage",[2]stages!$2:$2,0)+1,FALSE)</f>
        <v>【上級】雷のイモムシ</v>
      </c>
      <c r="H11" s="117" t="str">
        <f ca="1">VLOOKUP($C11&amp;"_"&amp;$F11,OFFSET([2]stages!$A$1,0,0,COUNTA([2]stages!$A:$A),MATCH(H$1,[2]stages!$2:$2,0)-MATCH("temp_stage",[2]stages!$2:$2,0)+1),MATCH(H$1,[2]stages!$2:$2,0)-MATCH("temp_stage",[2]stages!$2:$2,0)+1,FALSE)</f>
        <v>月曜クエスト</v>
      </c>
      <c r="I11" s="119">
        <v>0</v>
      </c>
      <c r="J11" s="118">
        <f>COUNTIF(C$1:C11,C11)</f>
        <v>10</v>
      </c>
      <c r="K11" s="120">
        <v>14</v>
      </c>
      <c r="L11" s="118" t="s">
        <v>243</v>
      </c>
      <c r="M11" s="121" t="str">
        <f>VLOOKUP(K11,[6]stage_hints!$A:$C,3,FALSE)</f>
        <v>覚醒するにはレベルを最大に</v>
      </c>
      <c r="N11" s="122" t="str">
        <f>VLOOKUP(K11,[6]stage_hints!$A:$D,4,FALSE)</f>
        <v>覚醒するにはユニットのレベルを_x000D_最大まで上げる必要があります</v>
      </c>
      <c r="O11" s="36" t="s">
        <v>244</v>
      </c>
      <c r="P11">
        <v>14</v>
      </c>
    </row>
    <row r="12" spans="1:16" x14ac:dyDescent="0.15">
      <c r="A12" s="114" t="str">
        <f t="shared" si="0"/>
        <v>11001_4_11</v>
      </c>
      <c r="B12" s="115" t="s">
        <v>231</v>
      </c>
      <c r="C12" s="116">
        <v>11001</v>
      </c>
      <c r="D12" s="117" t="str">
        <f ca="1">VLOOKUP($C12,OFFSET([2]quests!$A$1,0,0,COUNTA([2]quests!$A:$A),MATCH(D$1,[2]quests!$1:$1,0)-MATCH($C$1,[2]quests!$1:$1,0)+1),MATCH(D$1,[2]quests!$1:$1,0)-MATCH($C$1,[2]quests!$1:$1,0)+1,FALSE)</f>
        <v>【月曜限定】 黄の素材</v>
      </c>
      <c r="E12" s="117" t="str">
        <f ca="1">VLOOKUP($C12,OFFSET([2]quests!$A$1,0,0,COUNTA([2]quests!$A:$A),MATCH(E$1,[2]quests!$1:$1,0)-MATCH($C$1,[2]quests!$1:$1,0)+1),MATCH(E$1,[2]quests!$1:$1,0)-MATCH($C$1,[2]quests!$1:$1,0)+1,FALSE)</f>
        <v>月曜クエスト</v>
      </c>
      <c r="F12" s="118">
        <v>4</v>
      </c>
      <c r="G12" s="117" t="str">
        <f ca="1">VLOOKUP($C12&amp;"_"&amp;$F12,OFFSET([2]stages!$A$1,0,0,COUNTA([2]stages!$A:$A),MATCH(G$1,[2]stages!$2:$2,0)-MATCH("temp_stage",[2]stages!$2:$2,0)+1),MATCH(G$1,[2]stages!$2:$2,0)-MATCH("temp_stage",[2]stages!$2:$2,0)+1,FALSE)</f>
        <v>【上級】雷のイモムシ</v>
      </c>
      <c r="H12" s="117" t="str">
        <f ca="1">VLOOKUP($C12&amp;"_"&amp;$F12,OFFSET([2]stages!$A$1,0,0,COUNTA([2]stages!$A:$A),MATCH(H$1,[2]stages!$2:$2,0)-MATCH("temp_stage",[2]stages!$2:$2,0)+1),MATCH(H$1,[2]stages!$2:$2,0)-MATCH("temp_stage",[2]stages!$2:$2,0)+1,FALSE)</f>
        <v>月曜クエスト</v>
      </c>
      <c r="I12" s="119">
        <v>0</v>
      </c>
      <c r="J12" s="118">
        <f>COUNTIF(C$1:C12,C12)</f>
        <v>11</v>
      </c>
      <c r="K12" s="120">
        <v>15</v>
      </c>
      <c r="L12" s="118" t="s">
        <v>241</v>
      </c>
      <c r="M12" s="121" t="str">
        <f>VLOOKUP(K12,[6]stage_hints!$A:$C,3,FALSE)</f>
        <v>覚醒素材を獲得</v>
      </c>
      <c r="N12" s="122" t="str">
        <f>VLOOKUP(K12,[6]stage_hints!$A:$D,4,FALSE)</f>
        <v>「曜日クエスト」では_x000D_ユニットの覚醒に必要な素材が手に入ります</v>
      </c>
      <c r="O12" s="36" t="s">
        <v>242</v>
      </c>
      <c r="P12">
        <v>15</v>
      </c>
    </row>
    <row r="13" spans="1:16" x14ac:dyDescent="0.15">
      <c r="A13" s="114" t="str">
        <f t="shared" si="0"/>
        <v>11001_4_12</v>
      </c>
      <c r="B13" s="115" t="s">
        <v>231</v>
      </c>
      <c r="C13" s="116">
        <v>11001</v>
      </c>
      <c r="D13" s="117" t="str">
        <f ca="1">VLOOKUP($C13,OFFSET([2]quests!$A$1,0,0,COUNTA([2]quests!$A:$A),MATCH(D$1,[2]quests!$1:$1,0)-MATCH($C$1,[2]quests!$1:$1,0)+1),MATCH(D$1,[2]quests!$1:$1,0)-MATCH($C$1,[2]quests!$1:$1,0)+1,FALSE)</f>
        <v>【月曜限定】 黄の素材</v>
      </c>
      <c r="E13" s="117" t="str">
        <f ca="1">VLOOKUP($C13,OFFSET([2]quests!$A$1,0,0,COUNTA([2]quests!$A:$A),MATCH(E$1,[2]quests!$1:$1,0)-MATCH($C$1,[2]quests!$1:$1,0)+1),MATCH(E$1,[2]quests!$1:$1,0)-MATCH($C$1,[2]quests!$1:$1,0)+1,FALSE)</f>
        <v>月曜クエスト</v>
      </c>
      <c r="F13" s="118">
        <v>4</v>
      </c>
      <c r="G13" s="117" t="str">
        <f ca="1">VLOOKUP($C13&amp;"_"&amp;$F13,OFFSET([2]stages!$A$1,0,0,COUNTA([2]stages!$A:$A),MATCH(G$1,[2]stages!$2:$2,0)-MATCH("temp_stage",[2]stages!$2:$2,0)+1),MATCH(G$1,[2]stages!$2:$2,0)-MATCH("temp_stage",[2]stages!$2:$2,0)+1,FALSE)</f>
        <v>【上級】雷のイモムシ</v>
      </c>
      <c r="H13" s="117" t="str">
        <f ca="1">VLOOKUP($C13&amp;"_"&amp;$F13,OFFSET([2]stages!$A$1,0,0,COUNTA([2]stages!$A:$A),MATCH(H$1,[2]stages!$2:$2,0)-MATCH("temp_stage",[2]stages!$2:$2,0)+1),MATCH(H$1,[2]stages!$2:$2,0)-MATCH("temp_stage",[2]stages!$2:$2,0)+1,FALSE)</f>
        <v>月曜クエスト</v>
      </c>
      <c r="I13" s="119">
        <v>0</v>
      </c>
      <c r="J13" s="118">
        <f>COUNTIF(C$1:C13,C13)</f>
        <v>12</v>
      </c>
      <c r="K13" s="120">
        <v>16</v>
      </c>
      <c r="L13" s="118" t="s">
        <v>234</v>
      </c>
      <c r="M13" s="121" t="str">
        <f>VLOOKUP(K13,[6]stage_hints!$A:$C,3,FALSE)</f>
        <v>マルチプレイのメリット（その1）</v>
      </c>
      <c r="N13" s="122" t="str">
        <f>VLOOKUP(K13,[6]stage_hints!$A:$D,4,FALSE)</f>
        <v>他のプレイヤーとマルチプレイで遊ぶと_x000D_ポリゴンがもらえます（100人まで）</v>
      </c>
      <c r="O13" s="36" t="s">
        <v>245</v>
      </c>
      <c r="P13">
        <v>16</v>
      </c>
    </row>
    <row r="14" spans="1:16" x14ac:dyDescent="0.15">
      <c r="A14" s="114" t="str">
        <f t="shared" si="0"/>
        <v>11001_4_13</v>
      </c>
      <c r="B14" s="115" t="s">
        <v>231</v>
      </c>
      <c r="C14" s="116">
        <v>11001</v>
      </c>
      <c r="D14" s="117" t="str">
        <f ca="1">VLOOKUP($C14,OFFSET([2]quests!$A$1,0,0,COUNTA([2]quests!$A:$A),MATCH(D$1,[2]quests!$1:$1,0)-MATCH($C$1,[2]quests!$1:$1,0)+1),MATCH(D$1,[2]quests!$1:$1,0)-MATCH($C$1,[2]quests!$1:$1,0)+1,FALSE)</f>
        <v>【月曜限定】 黄の素材</v>
      </c>
      <c r="E14" s="117" t="str">
        <f ca="1">VLOOKUP($C14,OFFSET([2]quests!$A$1,0,0,COUNTA([2]quests!$A:$A),MATCH(E$1,[2]quests!$1:$1,0)-MATCH($C$1,[2]quests!$1:$1,0)+1),MATCH(E$1,[2]quests!$1:$1,0)-MATCH($C$1,[2]quests!$1:$1,0)+1,FALSE)</f>
        <v>月曜クエスト</v>
      </c>
      <c r="F14" s="118">
        <v>4</v>
      </c>
      <c r="G14" s="117" t="str">
        <f ca="1">VLOOKUP($C14&amp;"_"&amp;$F14,OFFSET([2]stages!$A$1,0,0,COUNTA([2]stages!$A:$A),MATCH(G$1,[2]stages!$2:$2,0)-MATCH("temp_stage",[2]stages!$2:$2,0)+1),MATCH(G$1,[2]stages!$2:$2,0)-MATCH("temp_stage",[2]stages!$2:$2,0)+1,FALSE)</f>
        <v>【上級】雷のイモムシ</v>
      </c>
      <c r="H14" s="117" t="str">
        <f ca="1">VLOOKUP($C14&amp;"_"&amp;$F14,OFFSET([2]stages!$A$1,0,0,COUNTA([2]stages!$A:$A),MATCH(H$1,[2]stages!$2:$2,0)-MATCH("temp_stage",[2]stages!$2:$2,0)+1),MATCH(H$1,[2]stages!$2:$2,0)-MATCH("temp_stage",[2]stages!$2:$2,0)+1,FALSE)</f>
        <v>月曜クエスト</v>
      </c>
      <c r="I14" s="119">
        <v>0</v>
      </c>
      <c r="J14" s="118">
        <f>COUNTIF(C$1:C14,C14)</f>
        <v>13</v>
      </c>
      <c r="K14" s="120">
        <v>17</v>
      </c>
      <c r="L14" s="118" t="s">
        <v>234</v>
      </c>
      <c r="M14" s="121" t="str">
        <f>VLOOKUP(K14,[6]stage_hints!$A:$C,3,FALSE)</f>
        <v>リンクガチャ</v>
      </c>
      <c r="N14" s="122" t="str">
        <f>VLOOKUP(K14,[6]stage_hints!$A:$D,4,FALSE)</f>
        <v>無料のリンクガチャを回して_x000D_経験値素材や売却素材を獲得しましょう</v>
      </c>
      <c r="O14" s="36" t="s">
        <v>235</v>
      </c>
      <c r="P14">
        <v>17</v>
      </c>
    </row>
    <row r="15" spans="1:16" x14ac:dyDescent="0.15">
      <c r="A15" s="114" t="str">
        <f t="shared" si="0"/>
        <v>11001_4_14</v>
      </c>
      <c r="B15" s="115" t="s">
        <v>231</v>
      </c>
      <c r="C15" s="116">
        <v>11001</v>
      </c>
      <c r="D15" s="117" t="str">
        <f ca="1">VLOOKUP($C15,OFFSET([2]quests!$A$1,0,0,COUNTA([2]quests!$A:$A),MATCH(D$1,[2]quests!$1:$1,0)-MATCH($C$1,[2]quests!$1:$1,0)+1),MATCH(D$1,[2]quests!$1:$1,0)-MATCH($C$1,[2]quests!$1:$1,0)+1,FALSE)</f>
        <v>【月曜限定】 黄の素材</v>
      </c>
      <c r="E15" s="117" t="str">
        <f ca="1">VLOOKUP($C15,OFFSET([2]quests!$A$1,0,0,COUNTA([2]quests!$A:$A),MATCH(E$1,[2]quests!$1:$1,0)-MATCH($C$1,[2]quests!$1:$1,0)+1),MATCH(E$1,[2]quests!$1:$1,0)-MATCH($C$1,[2]quests!$1:$1,0)+1,FALSE)</f>
        <v>月曜クエスト</v>
      </c>
      <c r="F15" s="118">
        <v>4</v>
      </c>
      <c r="G15" s="117" t="str">
        <f ca="1">VLOOKUP($C15&amp;"_"&amp;$F15,OFFSET([2]stages!$A$1,0,0,COUNTA([2]stages!$A:$A),MATCH(G$1,[2]stages!$2:$2,0)-MATCH("temp_stage",[2]stages!$2:$2,0)+1),MATCH(G$1,[2]stages!$2:$2,0)-MATCH("temp_stage",[2]stages!$2:$2,0)+1,FALSE)</f>
        <v>【上級】雷のイモムシ</v>
      </c>
      <c r="H15" s="117" t="str">
        <f ca="1">VLOOKUP($C15&amp;"_"&amp;$F15,OFFSET([2]stages!$A$1,0,0,COUNTA([2]stages!$A:$A),MATCH(H$1,[2]stages!$2:$2,0)-MATCH("temp_stage",[2]stages!$2:$2,0)+1),MATCH(H$1,[2]stages!$2:$2,0)-MATCH("temp_stage",[2]stages!$2:$2,0)+1,FALSE)</f>
        <v>月曜クエスト</v>
      </c>
      <c r="I15" s="119">
        <v>0</v>
      </c>
      <c r="J15" s="118">
        <f>COUNTIF(C$1:C15,C15)</f>
        <v>14</v>
      </c>
      <c r="K15" s="120">
        <v>18</v>
      </c>
      <c r="L15" s="118" t="s">
        <v>246</v>
      </c>
      <c r="M15" s="121" t="str">
        <f>VLOOKUP(K15,[6]stage_hints!$A:$C,3,FALSE)</f>
        <v>マルチプレイのメリット（その2）</v>
      </c>
      <c r="N15" s="122" t="str">
        <f>VLOOKUP(K15,[6]stage_hints!$A:$D,4,FALSE)</f>
        <v>マルチプレイならリンクが2倍もらえます_x000D_リンクガチャをたくさん回しましょう</v>
      </c>
      <c r="O15" s="36" t="s">
        <v>235</v>
      </c>
      <c r="P15">
        <v>18</v>
      </c>
    </row>
    <row r="16" spans="1:16" x14ac:dyDescent="0.15">
      <c r="A16" s="114" t="str">
        <f t="shared" si="0"/>
        <v>11001_4_15</v>
      </c>
      <c r="B16" s="115" t="s">
        <v>231</v>
      </c>
      <c r="C16" s="116">
        <v>11001</v>
      </c>
      <c r="D16" s="117" t="str">
        <f ca="1">VLOOKUP($C16,OFFSET([2]quests!$A$1,0,0,COUNTA([2]quests!$A:$A),MATCH(D$1,[2]quests!$1:$1,0)-MATCH($C$1,[2]quests!$1:$1,0)+1),MATCH(D$1,[2]quests!$1:$1,0)-MATCH($C$1,[2]quests!$1:$1,0)+1,FALSE)</f>
        <v>【月曜限定】 黄の素材</v>
      </c>
      <c r="E16" s="117" t="str">
        <f ca="1">VLOOKUP($C16,OFFSET([2]quests!$A$1,0,0,COUNTA([2]quests!$A:$A),MATCH(E$1,[2]quests!$1:$1,0)-MATCH($C$1,[2]quests!$1:$1,0)+1),MATCH(E$1,[2]quests!$1:$1,0)-MATCH($C$1,[2]quests!$1:$1,0)+1,FALSE)</f>
        <v>月曜クエスト</v>
      </c>
      <c r="F16" s="118">
        <v>4</v>
      </c>
      <c r="G16" s="117" t="str">
        <f ca="1">VLOOKUP($C16&amp;"_"&amp;$F16,OFFSET([2]stages!$A$1,0,0,COUNTA([2]stages!$A:$A),MATCH(G$1,[2]stages!$2:$2,0)-MATCH("temp_stage",[2]stages!$2:$2,0)+1),MATCH(G$1,[2]stages!$2:$2,0)-MATCH("temp_stage",[2]stages!$2:$2,0)+1,FALSE)</f>
        <v>【上級】雷のイモムシ</v>
      </c>
      <c r="H16" s="117" t="str">
        <f ca="1">VLOOKUP($C16&amp;"_"&amp;$F16,OFFSET([2]stages!$A$1,0,0,COUNTA([2]stages!$A:$A),MATCH(H$1,[2]stages!$2:$2,0)-MATCH("temp_stage",[2]stages!$2:$2,0)+1),MATCH(H$1,[2]stages!$2:$2,0)-MATCH("temp_stage",[2]stages!$2:$2,0)+1,FALSE)</f>
        <v>月曜クエスト</v>
      </c>
      <c r="I16" s="119">
        <v>0</v>
      </c>
      <c r="J16" s="118">
        <f>COUNTIF(C$1:C16,C16)</f>
        <v>15</v>
      </c>
      <c r="K16" s="120">
        <v>19</v>
      </c>
      <c r="L16" s="118" t="s">
        <v>247</v>
      </c>
      <c r="M16" s="121" t="str">
        <f>VLOOKUP(K16,[6]stage_hints!$A:$C,3,FALSE)</f>
        <v>ソロ専用タワーオブザクイーン</v>
      </c>
      <c r="N16" s="122" t="str">
        <f>VLOOKUP(K16,[6]stage_hints!$A:$D,4,FALSE)</f>
        <v>ソロ専用の「タワーオブザクイーン」は_x000D_期間限定で定期的に開催されます_x000D_ここでしか獲得できない報酬もあるようです</v>
      </c>
      <c r="O16" s="36" t="s">
        <v>248</v>
      </c>
      <c r="P16">
        <v>19</v>
      </c>
    </row>
    <row r="17" spans="1:16" x14ac:dyDescent="0.15">
      <c r="A17" s="114" t="str">
        <f t="shared" si="0"/>
        <v>11001_4_16</v>
      </c>
      <c r="B17" s="115" t="s">
        <v>231</v>
      </c>
      <c r="C17" s="116">
        <v>11001</v>
      </c>
      <c r="D17" s="117" t="str">
        <f ca="1">VLOOKUP($C17,OFFSET([2]quests!$A$1,0,0,COUNTA([2]quests!$A:$A),MATCH(D$1,[2]quests!$1:$1,0)-MATCH($C$1,[2]quests!$1:$1,0)+1),MATCH(D$1,[2]quests!$1:$1,0)-MATCH($C$1,[2]quests!$1:$1,0)+1,FALSE)</f>
        <v>【月曜限定】 黄の素材</v>
      </c>
      <c r="E17" s="117" t="str">
        <f ca="1">VLOOKUP($C17,OFFSET([2]quests!$A$1,0,0,COUNTA([2]quests!$A:$A),MATCH(E$1,[2]quests!$1:$1,0)-MATCH($C$1,[2]quests!$1:$1,0)+1),MATCH(E$1,[2]quests!$1:$1,0)-MATCH($C$1,[2]quests!$1:$1,0)+1,FALSE)</f>
        <v>月曜クエスト</v>
      </c>
      <c r="F17" s="118">
        <v>4</v>
      </c>
      <c r="G17" s="117" t="str">
        <f ca="1">VLOOKUP($C17&amp;"_"&amp;$F17,OFFSET([2]stages!$A$1,0,0,COUNTA([2]stages!$A:$A),MATCH(G$1,[2]stages!$2:$2,0)-MATCH("temp_stage",[2]stages!$2:$2,0)+1),MATCH(G$1,[2]stages!$2:$2,0)-MATCH("temp_stage",[2]stages!$2:$2,0)+1,FALSE)</f>
        <v>【上級】雷のイモムシ</v>
      </c>
      <c r="H17" s="117" t="str">
        <f ca="1">VLOOKUP($C17&amp;"_"&amp;$F17,OFFSET([2]stages!$A$1,0,0,COUNTA([2]stages!$A:$A),MATCH(H$1,[2]stages!$2:$2,0)-MATCH("temp_stage",[2]stages!$2:$2,0)+1),MATCH(H$1,[2]stages!$2:$2,0)-MATCH("temp_stage",[2]stages!$2:$2,0)+1,FALSE)</f>
        <v>月曜クエスト</v>
      </c>
      <c r="I17" s="119">
        <v>0</v>
      </c>
      <c r="J17" s="118">
        <f>COUNTIF(C$1:C17,C17)</f>
        <v>16</v>
      </c>
      <c r="K17" s="120">
        <v>20</v>
      </c>
      <c r="L17" s="118" t="s">
        <v>249</v>
      </c>
      <c r="M17" s="121" t="str">
        <f>VLOOKUP(K17,[6]stage_hints!$A:$C,3,FALSE)</f>
        <v>マルチプレイのメリット（その3）</v>
      </c>
      <c r="N17" s="122" t="str">
        <f>VLOOKUP(K17,[6]stage_hints!$A:$D,4,FALSE)</f>
        <v>マルチプレイへの参加はエナジー消費ゼロ_x000D_いつでも好きなだけ遊ぶことができます</v>
      </c>
      <c r="O17" s="36" t="s">
        <v>250</v>
      </c>
      <c r="P17">
        <v>20</v>
      </c>
    </row>
    <row r="18" spans="1:16" x14ac:dyDescent="0.15">
      <c r="A18" s="114" t="str">
        <f t="shared" si="0"/>
        <v>11001_4_17</v>
      </c>
      <c r="B18" s="115" t="s">
        <v>231</v>
      </c>
      <c r="C18" s="116">
        <v>11001</v>
      </c>
      <c r="D18" s="117" t="str">
        <f ca="1">VLOOKUP($C18,OFFSET([2]quests!$A$1,0,0,COUNTA([2]quests!$A:$A),MATCH(D$1,[2]quests!$1:$1,0)-MATCH($C$1,[2]quests!$1:$1,0)+1),MATCH(D$1,[2]quests!$1:$1,0)-MATCH($C$1,[2]quests!$1:$1,0)+1,FALSE)</f>
        <v>【月曜限定】 黄の素材</v>
      </c>
      <c r="E18" s="117" t="str">
        <f ca="1">VLOOKUP($C18,OFFSET([2]quests!$A$1,0,0,COUNTA([2]quests!$A:$A),MATCH(E$1,[2]quests!$1:$1,0)-MATCH($C$1,[2]quests!$1:$1,0)+1),MATCH(E$1,[2]quests!$1:$1,0)-MATCH($C$1,[2]quests!$1:$1,0)+1,FALSE)</f>
        <v>月曜クエスト</v>
      </c>
      <c r="F18" s="118">
        <v>4</v>
      </c>
      <c r="G18" s="117" t="str">
        <f ca="1">VLOOKUP($C18&amp;"_"&amp;$F18,OFFSET([2]stages!$A$1,0,0,COUNTA([2]stages!$A:$A),MATCH(G$1,[2]stages!$2:$2,0)-MATCH("temp_stage",[2]stages!$2:$2,0)+1),MATCH(G$1,[2]stages!$2:$2,0)-MATCH("temp_stage",[2]stages!$2:$2,0)+1,FALSE)</f>
        <v>【上級】雷のイモムシ</v>
      </c>
      <c r="H18" s="117" t="str">
        <f ca="1">VLOOKUP($C18&amp;"_"&amp;$F18,OFFSET([2]stages!$A$1,0,0,COUNTA([2]stages!$A:$A),MATCH(H$1,[2]stages!$2:$2,0)-MATCH("temp_stage",[2]stages!$2:$2,0)+1),MATCH(H$1,[2]stages!$2:$2,0)-MATCH("temp_stage",[2]stages!$2:$2,0)+1,FALSE)</f>
        <v>月曜クエスト</v>
      </c>
      <c r="I18" s="119">
        <v>0</v>
      </c>
      <c r="J18" s="118">
        <f>COUNTIF(C$1:C18,C18)</f>
        <v>17</v>
      </c>
      <c r="K18" s="120">
        <v>21</v>
      </c>
      <c r="L18" s="118" t="s">
        <v>251</v>
      </c>
      <c r="M18" s="121" t="str">
        <f>VLOOKUP(K18,[6]stage_hints!$A:$C,3,FALSE)</f>
        <v>スキルを有効に</v>
      </c>
      <c r="N18" s="122" t="str">
        <f>VLOOKUP(K18,[6]stage_hints!$A:$D,4,FALSE)</f>
        <v>ターン経過でユニットのスキルが使えます_x000D_強力スキルでバトルを有利に進めましょう</v>
      </c>
      <c r="O18" s="36" t="s">
        <v>235</v>
      </c>
      <c r="P18">
        <v>21</v>
      </c>
    </row>
    <row r="19" spans="1:16" x14ac:dyDescent="0.15">
      <c r="A19" s="114" t="str">
        <f t="shared" si="0"/>
        <v>11001_4_18</v>
      </c>
      <c r="B19" s="115" t="s">
        <v>231</v>
      </c>
      <c r="C19" s="116">
        <v>11001</v>
      </c>
      <c r="D19" s="117" t="str">
        <f ca="1">VLOOKUP($C19,OFFSET([2]quests!$A$1,0,0,COUNTA([2]quests!$A:$A),MATCH(D$1,[2]quests!$1:$1,0)-MATCH($C$1,[2]quests!$1:$1,0)+1),MATCH(D$1,[2]quests!$1:$1,0)-MATCH($C$1,[2]quests!$1:$1,0)+1,FALSE)</f>
        <v>【月曜限定】 黄の素材</v>
      </c>
      <c r="E19" s="117" t="str">
        <f ca="1">VLOOKUP($C19,OFFSET([2]quests!$A$1,0,0,COUNTA([2]quests!$A:$A),MATCH(E$1,[2]quests!$1:$1,0)-MATCH($C$1,[2]quests!$1:$1,0)+1),MATCH(E$1,[2]quests!$1:$1,0)-MATCH($C$1,[2]quests!$1:$1,0)+1,FALSE)</f>
        <v>月曜クエスト</v>
      </c>
      <c r="F19" s="118">
        <v>4</v>
      </c>
      <c r="G19" s="117" t="str">
        <f ca="1">VLOOKUP($C19&amp;"_"&amp;$F19,OFFSET([2]stages!$A$1,0,0,COUNTA([2]stages!$A:$A),MATCH(G$1,[2]stages!$2:$2,0)-MATCH("temp_stage",[2]stages!$2:$2,0)+1),MATCH(G$1,[2]stages!$2:$2,0)-MATCH("temp_stage",[2]stages!$2:$2,0)+1,FALSE)</f>
        <v>【上級】雷のイモムシ</v>
      </c>
      <c r="H19" s="117" t="str">
        <f ca="1">VLOOKUP($C19&amp;"_"&amp;$F19,OFFSET([2]stages!$A$1,0,0,COUNTA([2]stages!$A:$A),MATCH(H$1,[2]stages!$2:$2,0)-MATCH("temp_stage",[2]stages!$2:$2,0)+1),MATCH(H$1,[2]stages!$2:$2,0)-MATCH("temp_stage",[2]stages!$2:$2,0)+1,FALSE)</f>
        <v>月曜クエスト</v>
      </c>
      <c r="I19" s="119">
        <v>0</v>
      </c>
      <c r="J19" s="118">
        <f>COUNTIF(C$1:C19,C19)</f>
        <v>18</v>
      </c>
      <c r="K19" s="120">
        <v>22</v>
      </c>
      <c r="L19" s="118" t="s">
        <v>234</v>
      </c>
      <c r="M19" s="121" t="str">
        <f>VLOOKUP(K19,[6]stage_hints!$A:$C,3,FALSE)</f>
        <v>フィーバーで一発逆転（その1）</v>
      </c>
      <c r="N19" s="122" t="str">
        <f>VLOOKUP(K19,[6]stage_hints!$A:$D,4,FALSE)</f>
        <v>フィーバーは攻撃と回復を兼ね備えます_x000D_ピンチからの一発逆転を狙いましょう</v>
      </c>
      <c r="O19" s="36" t="s">
        <v>235</v>
      </c>
      <c r="P19">
        <v>22</v>
      </c>
    </row>
    <row r="20" spans="1:16" x14ac:dyDescent="0.15">
      <c r="A20" s="114" t="str">
        <f t="shared" si="0"/>
        <v>11001_4_19</v>
      </c>
      <c r="B20" s="115" t="s">
        <v>231</v>
      </c>
      <c r="C20" s="116">
        <v>11001</v>
      </c>
      <c r="D20" s="117" t="str">
        <f ca="1">VLOOKUP($C20,OFFSET([2]quests!$A$1,0,0,COUNTA([2]quests!$A:$A),MATCH(D$1,[2]quests!$1:$1,0)-MATCH($C$1,[2]quests!$1:$1,0)+1),MATCH(D$1,[2]quests!$1:$1,0)-MATCH($C$1,[2]quests!$1:$1,0)+1,FALSE)</f>
        <v>【月曜限定】 黄の素材</v>
      </c>
      <c r="E20" s="117" t="str">
        <f ca="1">VLOOKUP($C20,OFFSET([2]quests!$A$1,0,0,COUNTA([2]quests!$A:$A),MATCH(E$1,[2]quests!$1:$1,0)-MATCH($C$1,[2]quests!$1:$1,0)+1),MATCH(E$1,[2]quests!$1:$1,0)-MATCH($C$1,[2]quests!$1:$1,0)+1,FALSE)</f>
        <v>月曜クエスト</v>
      </c>
      <c r="F20" s="118">
        <v>4</v>
      </c>
      <c r="G20" s="117" t="str">
        <f ca="1">VLOOKUP($C20&amp;"_"&amp;$F20,OFFSET([2]stages!$A$1,0,0,COUNTA([2]stages!$A:$A),MATCH(G$1,[2]stages!$2:$2,0)-MATCH("temp_stage",[2]stages!$2:$2,0)+1),MATCH(G$1,[2]stages!$2:$2,0)-MATCH("temp_stage",[2]stages!$2:$2,0)+1,FALSE)</f>
        <v>【上級】雷のイモムシ</v>
      </c>
      <c r="H20" s="117" t="str">
        <f ca="1">VLOOKUP($C20&amp;"_"&amp;$F20,OFFSET([2]stages!$A$1,0,0,COUNTA([2]stages!$A:$A),MATCH(H$1,[2]stages!$2:$2,0)-MATCH("temp_stage",[2]stages!$2:$2,0)+1),MATCH(H$1,[2]stages!$2:$2,0)-MATCH("temp_stage",[2]stages!$2:$2,0)+1,FALSE)</f>
        <v>月曜クエスト</v>
      </c>
      <c r="I20" s="119">
        <v>0</v>
      </c>
      <c r="J20" s="118">
        <f>COUNTIF(C$1:C20,C20)</f>
        <v>19</v>
      </c>
      <c r="K20" s="120">
        <v>23</v>
      </c>
      <c r="L20" s="118" t="s">
        <v>234</v>
      </c>
      <c r="M20" s="121" t="str">
        <f>VLOOKUP(K20,[6]stage_hints!$A:$C,3,FALSE)</f>
        <v>フィーバーで一発逆転（その2）</v>
      </c>
      <c r="N20" s="122" t="str">
        <f>VLOOKUP(K20,[6]stage_hints!$A:$D,4,FALSE)</f>
        <v>フィーバー中は虹色のボムパネルを狙って_x000D_画面上のパネルを一気に破壊しましょう</v>
      </c>
      <c r="O20" s="36" t="s">
        <v>252</v>
      </c>
      <c r="P20">
        <v>23</v>
      </c>
    </row>
    <row r="21" spans="1:16" x14ac:dyDescent="0.15">
      <c r="A21" s="114" t="str">
        <f t="shared" si="0"/>
        <v>11001_4_20</v>
      </c>
      <c r="B21" s="115" t="s">
        <v>231</v>
      </c>
      <c r="C21" s="116">
        <v>11001</v>
      </c>
      <c r="D21" s="117" t="str">
        <f ca="1">VLOOKUP($C21,OFFSET([2]quests!$A$1,0,0,COUNTA([2]quests!$A:$A),MATCH(D$1,[2]quests!$1:$1,0)-MATCH($C$1,[2]quests!$1:$1,0)+1),MATCH(D$1,[2]quests!$1:$1,0)-MATCH($C$1,[2]quests!$1:$1,0)+1,FALSE)</f>
        <v>【月曜限定】 黄の素材</v>
      </c>
      <c r="E21" s="117" t="str">
        <f ca="1">VLOOKUP($C21,OFFSET([2]quests!$A$1,0,0,COUNTA([2]quests!$A:$A),MATCH(E$1,[2]quests!$1:$1,0)-MATCH($C$1,[2]quests!$1:$1,0)+1),MATCH(E$1,[2]quests!$1:$1,0)-MATCH($C$1,[2]quests!$1:$1,0)+1,FALSE)</f>
        <v>月曜クエスト</v>
      </c>
      <c r="F21" s="118">
        <v>4</v>
      </c>
      <c r="G21" s="117" t="str">
        <f ca="1">VLOOKUP($C21&amp;"_"&amp;$F21,OFFSET([2]stages!$A$1,0,0,COUNTA([2]stages!$A:$A),MATCH(G$1,[2]stages!$2:$2,0)-MATCH("temp_stage",[2]stages!$2:$2,0)+1),MATCH(G$1,[2]stages!$2:$2,0)-MATCH("temp_stage",[2]stages!$2:$2,0)+1,FALSE)</f>
        <v>【上級】雷のイモムシ</v>
      </c>
      <c r="H21" s="117" t="str">
        <f ca="1">VLOOKUP($C21&amp;"_"&amp;$F21,OFFSET([2]stages!$A$1,0,0,COUNTA([2]stages!$A:$A),MATCH(H$1,[2]stages!$2:$2,0)-MATCH("temp_stage",[2]stages!$2:$2,0)+1),MATCH(H$1,[2]stages!$2:$2,0)-MATCH("temp_stage",[2]stages!$2:$2,0)+1,FALSE)</f>
        <v>月曜クエスト</v>
      </c>
      <c r="I21" s="119">
        <v>0</v>
      </c>
      <c r="J21" s="118">
        <f>COUNTIF(C$1:C21,C21)</f>
        <v>20</v>
      </c>
      <c r="K21" s="120">
        <v>24</v>
      </c>
      <c r="L21" s="118" t="s">
        <v>253</v>
      </c>
      <c r="M21" s="121" t="str">
        <f>VLOOKUP(K21,[6]stage_hints!$A:$C,3,FALSE)</f>
        <v>果実を使って限界突破</v>
      </c>
      <c r="N21" s="122" t="str">
        <f>VLOOKUP(K21,[6]stage_hints!$A:$D,4,FALSE)</f>
        <v>攻めの果実 癒しの果実_x000D_生命の果実をユニット強化に使うと_x000D_ステータスが限界突破します（計99個迄）</v>
      </c>
      <c r="O21" s="36" t="s">
        <v>254</v>
      </c>
      <c r="P21">
        <v>24</v>
      </c>
    </row>
    <row r="22" spans="1:16" x14ac:dyDescent="0.15">
      <c r="A22" s="114" t="str">
        <f t="shared" si="0"/>
        <v>11001_4_21</v>
      </c>
      <c r="B22" s="115" t="s">
        <v>231</v>
      </c>
      <c r="C22" s="116">
        <v>11001</v>
      </c>
      <c r="D22" s="117" t="str">
        <f ca="1">VLOOKUP($C22,OFFSET([2]quests!$A$1,0,0,COUNTA([2]quests!$A:$A),MATCH(D$1,[2]quests!$1:$1,0)-MATCH($C$1,[2]quests!$1:$1,0)+1),MATCH(D$1,[2]quests!$1:$1,0)-MATCH($C$1,[2]quests!$1:$1,0)+1,FALSE)</f>
        <v>【月曜限定】 黄の素材</v>
      </c>
      <c r="E22" s="117" t="str">
        <f ca="1">VLOOKUP($C22,OFFSET([2]quests!$A$1,0,0,COUNTA([2]quests!$A:$A),MATCH(E$1,[2]quests!$1:$1,0)-MATCH($C$1,[2]quests!$1:$1,0)+1),MATCH(E$1,[2]quests!$1:$1,0)-MATCH($C$1,[2]quests!$1:$1,0)+1,FALSE)</f>
        <v>月曜クエスト</v>
      </c>
      <c r="F22" s="118">
        <v>4</v>
      </c>
      <c r="G22" s="117" t="str">
        <f ca="1">VLOOKUP($C22&amp;"_"&amp;$F22,OFFSET([2]stages!$A$1,0,0,COUNTA([2]stages!$A:$A),MATCH(G$1,[2]stages!$2:$2,0)-MATCH("temp_stage",[2]stages!$2:$2,0)+1),MATCH(G$1,[2]stages!$2:$2,0)-MATCH("temp_stage",[2]stages!$2:$2,0)+1,FALSE)</f>
        <v>【上級】雷のイモムシ</v>
      </c>
      <c r="H22" s="117" t="str">
        <f ca="1">VLOOKUP($C22&amp;"_"&amp;$F22,OFFSET([2]stages!$A$1,0,0,COUNTA([2]stages!$A:$A),MATCH(H$1,[2]stages!$2:$2,0)-MATCH("temp_stage",[2]stages!$2:$2,0)+1),MATCH(H$1,[2]stages!$2:$2,0)-MATCH("temp_stage",[2]stages!$2:$2,0)+1,FALSE)</f>
        <v>月曜クエスト</v>
      </c>
      <c r="I22" s="119">
        <v>0</v>
      </c>
      <c r="J22" s="118">
        <f>COUNTIF(C$1:C22,C22)</f>
        <v>21</v>
      </c>
      <c r="K22" s="120">
        <v>25</v>
      </c>
      <c r="L22" s="118" t="s">
        <v>234</v>
      </c>
      <c r="M22" s="121" t="str">
        <f>VLOOKUP(K22,[6]stage_hints!$A:$C,3,FALSE)</f>
        <v>スキルレベルアップ</v>
      </c>
      <c r="N22" s="122" t="str">
        <f>VLOOKUP(K22,[6]stage_hints!$A:$D,4,FALSE)</f>
        <v>「秘術の果実」を強化に使うと_x000D_スキルレベルを上げることができます</v>
      </c>
      <c r="O22" s="36" t="s">
        <v>235</v>
      </c>
      <c r="P22">
        <v>25</v>
      </c>
    </row>
    <row r="23" spans="1:16" x14ac:dyDescent="0.15">
      <c r="A23" s="114" t="str">
        <f t="shared" si="0"/>
        <v>11001_4_22</v>
      </c>
      <c r="B23" s="115" t="s">
        <v>231</v>
      </c>
      <c r="C23" s="116">
        <v>11001</v>
      </c>
      <c r="D23" s="117" t="str">
        <f ca="1">VLOOKUP($C23,OFFSET([2]quests!$A$1,0,0,COUNTA([2]quests!$A:$A),MATCH(D$1,[2]quests!$1:$1,0)-MATCH($C$1,[2]quests!$1:$1,0)+1),MATCH(D$1,[2]quests!$1:$1,0)-MATCH($C$1,[2]quests!$1:$1,0)+1,FALSE)</f>
        <v>【月曜限定】 黄の素材</v>
      </c>
      <c r="E23" s="117" t="str">
        <f ca="1">VLOOKUP($C23,OFFSET([2]quests!$A$1,0,0,COUNTA([2]quests!$A:$A),MATCH(E$1,[2]quests!$1:$1,0)-MATCH($C$1,[2]quests!$1:$1,0)+1),MATCH(E$1,[2]quests!$1:$1,0)-MATCH($C$1,[2]quests!$1:$1,0)+1,FALSE)</f>
        <v>月曜クエスト</v>
      </c>
      <c r="F23" s="118">
        <v>4</v>
      </c>
      <c r="G23" s="117" t="str">
        <f ca="1">VLOOKUP($C23&amp;"_"&amp;$F23,OFFSET([2]stages!$A$1,0,0,COUNTA([2]stages!$A:$A),MATCH(G$1,[2]stages!$2:$2,0)-MATCH("temp_stage",[2]stages!$2:$2,0)+1),MATCH(G$1,[2]stages!$2:$2,0)-MATCH("temp_stage",[2]stages!$2:$2,0)+1,FALSE)</f>
        <v>【上級】雷のイモムシ</v>
      </c>
      <c r="H23" s="117" t="str">
        <f ca="1">VLOOKUP($C23&amp;"_"&amp;$F23,OFFSET([2]stages!$A$1,0,0,COUNTA([2]stages!$A:$A),MATCH(H$1,[2]stages!$2:$2,0)-MATCH("temp_stage",[2]stages!$2:$2,0)+1),MATCH(H$1,[2]stages!$2:$2,0)-MATCH("temp_stage",[2]stages!$2:$2,0)+1,FALSE)</f>
        <v>月曜クエスト</v>
      </c>
      <c r="I23" s="119">
        <v>0</v>
      </c>
      <c r="J23" s="118">
        <f>COUNTIF(C$1:C23,C23)</f>
        <v>22</v>
      </c>
      <c r="K23" s="120">
        <v>26</v>
      </c>
      <c r="L23" s="118" t="s">
        <v>234</v>
      </c>
      <c r="M23" s="121" t="str">
        <f>VLOOKUP(K23,[6]stage_hints!$A:$C,3,FALSE)</f>
        <v>スキルレベルの効果</v>
      </c>
      <c r="N23" s="122" t="str">
        <f>VLOOKUP(K23,[6]stage_hints!$A:$D,4,FALSE)</f>
        <v>スキルレベルが上がると_x000D_短いターンでスキルを使うことができます</v>
      </c>
      <c r="O23" s="36" t="s">
        <v>255</v>
      </c>
      <c r="P23">
        <v>26</v>
      </c>
    </row>
    <row r="24" spans="1:16" x14ac:dyDescent="0.15">
      <c r="A24" s="114" t="str">
        <f t="shared" si="0"/>
        <v>11001_4_23</v>
      </c>
      <c r="B24" s="115" t="s">
        <v>231</v>
      </c>
      <c r="C24" s="116">
        <v>11001</v>
      </c>
      <c r="D24" s="117" t="str">
        <f ca="1">VLOOKUP($C24,OFFSET([2]quests!$A$1,0,0,COUNTA([2]quests!$A:$A),MATCH(D$1,[2]quests!$1:$1,0)-MATCH($C$1,[2]quests!$1:$1,0)+1),MATCH(D$1,[2]quests!$1:$1,0)-MATCH($C$1,[2]quests!$1:$1,0)+1,FALSE)</f>
        <v>【月曜限定】 黄の素材</v>
      </c>
      <c r="E24" s="117" t="str">
        <f ca="1">VLOOKUP($C24,OFFSET([2]quests!$A$1,0,0,COUNTA([2]quests!$A:$A),MATCH(E$1,[2]quests!$1:$1,0)-MATCH($C$1,[2]quests!$1:$1,0)+1),MATCH(E$1,[2]quests!$1:$1,0)-MATCH($C$1,[2]quests!$1:$1,0)+1,FALSE)</f>
        <v>月曜クエスト</v>
      </c>
      <c r="F24" s="118">
        <v>4</v>
      </c>
      <c r="G24" s="117" t="str">
        <f ca="1">VLOOKUP($C24&amp;"_"&amp;$F24,OFFSET([2]stages!$A$1,0,0,COUNTA([2]stages!$A:$A),MATCH(G$1,[2]stages!$2:$2,0)-MATCH("temp_stage",[2]stages!$2:$2,0)+1),MATCH(G$1,[2]stages!$2:$2,0)-MATCH("temp_stage",[2]stages!$2:$2,0)+1,FALSE)</f>
        <v>【上級】雷のイモムシ</v>
      </c>
      <c r="H24" s="117" t="str">
        <f ca="1">VLOOKUP($C24&amp;"_"&amp;$F24,OFFSET([2]stages!$A$1,0,0,COUNTA([2]stages!$A:$A),MATCH(H$1,[2]stages!$2:$2,0)-MATCH("temp_stage",[2]stages!$2:$2,0)+1),MATCH(H$1,[2]stages!$2:$2,0)-MATCH("temp_stage",[2]stages!$2:$2,0)+1,FALSE)</f>
        <v>月曜クエスト</v>
      </c>
      <c r="I24" s="119">
        <v>0</v>
      </c>
      <c r="J24" s="118">
        <f>COUNTIF(C$1:C24,C24)</f>
        <v>23</v>
      </c>
      <c r="K24" s="120">
        <v>27</v>
      </c>
      <c r="L24" s="118" t="s">
        <v>234</v>
      </c>
      <c r="M24" s="121" t="str">
        <f>VLOOKUP(K24,[6]stage_hints!$A:$C,3,FALSE)</f>
        <v>ホーム画面からデッキを編成</v>
      </c>
      <c r="N24" s="122" t="str">
        <f>VLOOKUP(K24,[6]stage_hints!$A:$D,4,FALSE)</f>
        <v>ホーム画面でユニットを長押しすると_x000D_すぐにパーティ編成に移動できます</v>
      </c>
      <c r="O24" s="36" t="s">
        <v>242</v>
      </c>
      <c r="P24">
        <v>27</v>
      </c>
    </row>
    <row r="25" spans="1:16" x14ac:dyDescent="0.15">
      <c r="A25" s="114" t="str">
        <f t="shared" si="0"/>
        <v>11001_4_24</v>
      </c>
      <c r="B25" s="115" t="s">
        <v>231</v>
      </c>
      <c r="C25" s="116">
        <v>11001</v>
      </c>
      <c r="D25" s="117" t="str">
        <f ca="1">VLOOKUP($C25,OFFSET([2]quests!$A$1,0,0,COUNTA([2]quests!$A:$A),MATCH(D$1,[2]quests!$1:$1,0)-MATCH($C$1,[2]quests!$1:$1,0)+1),MATCH(D$1,[2]quests!$1:$1,0)-MATCH($C$1,[2]quests!$1:$1,0)+1,FALSE)</f>
        <v>【月曜限定】 黄の素材</v>
      </c>
      <c r="E25" s="117" t="str">
        <f ca="1">VLOOKUP($C25,OFFSET([2]quests!$A$1,0,0,COUNTA([2]quests!$A:$A),MATCH(E$1,[2]quests!$1:$1,0)-MATCH($C$1,[2]quests!$1:$1,0)+1),MATCH(E$1,[2]quests!$1:$1,0)-MATCH($C$1,[2]quests!$1:$1,0)+1,FALSE)</f>
        <v>月曜クエスト</v>
      </c>
      <c r="F25" s="118">
        <v>4</v>
      </c>
      <c r="G25" s="117" t="str">
        <f ca="1">VLOOKUP($C25&amp;"_"&amp;$F25,OFFSET([2]stages!$A$1,0,0,COUNTA([2]stages!$A:$A),MATCH(G$1,[2]stages!$2:$2,0)-MATCH("temp_stage",[2]stages!$2:$2,0)+1),MATCH(G$1,[2]stages!$2:$2,0)-MATCH("temp_stage",[2]stages!$2:$2,0)+1,FALSE)</f>
        <v>【上級】雷のイモムシ</v>
      </c>
      <c r="H25" s="117" t="str">
        <f ca="1">VLOOKUP($C25&amp;"_"&amp;$F25,OFFSET([2]stages!$A$1,0,0,COUNTA([2]stages!$A:$A),MATCH(H$1,[2]stages!$2:$2,0)-MATCH("temp_stage",[2]stages!$2:$2,0)+1),MATCH(H$1,[2]stages!$2:$2,0)-MATCH("temp_stage",[2]stages!$2:$2,0)+1,FALSE)</f>
        <v>月曜クエスト</v>
      </c>
      <c r="I25" s="119">
        <v>0</v>
      </c>
      <c r="J25" s="118">
        <f>COUNTIF(C$1:C25,C25)</f>
        <v>24</v>
      </c>
      <c r="K25" s="120">
        <v>28</v>
      </c>
      <c r="L25" s="118" t="s">
        <v>234</v>
      </c>
      <c r="M25" s="121" t="str">
        <f>VLOOKUP(K25,[6]stage_hints!$A:$C,3,FALSE)</f>
        <v>ステータス情報は長押しで</v>
      </c>
      <c r="N25" s="122" t="str">
        <f>VLOOKUP(K25,[6]stage_hints!$A:$D,4,FALSE)</f>
        <v>ユニットのアイコンを長押しすると_x000D_ステータス情報を確認することができます</v>
      </c>
      <c r="O25" s="36" t="s">
        <v>235</v>
      </c>
      <c r="P25">
        <v>28</v>
      </c>
    </row>
    <row r="26" spans="1:16" x14ac:dyDescent="0.15">
      <c r="A26" s="114" t="str">
        <f t="shared" si="0"/>
        <v>11001_4_25</v>
      </c>
      <c r="B26" s="115" t="s">
        <v>231</v>
      </c>
      <c r="C26" s="116">
        <v>11001</v>
      </c>
      <c r="D26" s="117" t="str">
        <f ca="1">VLOOKUP($C26,OFFSET([2]quests!$A$1,0,0,COUNTA([2]quests!$A:$A),MATCH(D$1,[2]quests!$1:$1,0)-MATCH($C$1,[2]quests!$1:$1,0)+1),MATCH(D$1,[2]quests!$1:$1,0)-MATCH($C$1,[2]quests!$1:$1,0)+1,FALSE)</f>
        <v>【月曜限定】 黄の素材</v>
      </c>
      <c r="E26" s="117" t="str">
        <f ca="1">VLOOKUP($C26,OFFSET([2]quests!$A$1,0,0,COUNTA([2]quests!$A:$A),MATCH(E$1,[2]quests!$1:$1,0)-MATCH($C$1,[2]quests!$1:$1,0)+1),MATCH(E$1,[2]quests!$1:$1,0)-MATCH($C$1,[2]quests!$1:$1,0)+1,FALSE)</f>
        <v>月曜クエスト</v>
      </c>
      <c r="F26" s="118">
        <v>4</v>
      </c>
      <c r="G26" s="117" t="str">
        <f ca="1">VLOOKUP($C26&amp;"_"&amp;$F26,OFFSET([2]stages!$A$1,0,0,COUNTA([2]stages!$A:$A),MATCH(G$1,[2]stages!$2:$2,0)-MATCH("temp_stage",[2]stages!$2:$2,0)+1),MATCH(G$1,[2]stages!$2:$2,0)-MATCH("temp_stage",[2]stages!$2:$2,0)+1,FALSE)</f>
        <v>【上級】雷のイモムシ</v>
      </c>
      <c r="H26" s="117" t="str">
        <f ca="1">VLOOKUP($C26&amp;"_"&amp;$F26,OFFSET([2]stages!$A$1,0,0,COUNTA([2]stages!$A:$A),MATCH(H$1,[2]stages!$2:$2,0)-MATCH("temp_stage",[2]stages!$2:$2,0)+1),MATCH(H$1,[2]stages!$2:$2,0)-MATCH("temp_stage",[2]stages!$2:$2,0)+1,FALSE)</f>
        <v>月曜クエスト</v>
      </c>
      <c r="I26" s="119">
        <v>0</v>
      </c>
      <c r="J26" s="118">
        <f>COUNTIF(C$1:C26,C26)</f>
        <v>25</v>
      </c>
      <c r="K26" s="120">
        <v>29</v>
      </c>
      <c r="L26" s="118" t="s">
        <v>234</v>
      </c>
      <c r="M26" s="121" t="str">
        <f>VLOOKUP(K26,[6]stage_hints!$A:$C,3,FALSE)</f>
        <v>「バグ」のメリット</v>
      </c>
      <c r="N26" s="122" t="str">
        <f>VLOOKUP(K26,[6]stage_hints!$A:$D,4,FALSE)</f>
        <v>ユニットの「バグ」を増やすと_x000D_報酬をもらえる確率がアップします</v>
      </c>
      <c r="O26" s="36" t="s">
        <v>252</v>
      </c>
      <c r="P26">
        <v>29</v>
      </c>
    </row>
    <row r="27" spans="1:16" x14ac:dyDescent="0.15">
      <c r="A27" s="114" t="str">
        <f t="shared" si="0"/>
        <v>11001_4_26</v>
      </c>
      <c r="B27" s="115" t="s">
        <v>231</v>
      </c>
      <c r="C27" s="116">
        <v>11001</v>
      </c>
      <c r="D27" s="117" t="str">
        <f ca="1">VLOOKUP($C27,OFFSET([2]quests!$A$1,0,0,COUNTA([2]quests!$A:$A),MATCH(D$1,[2]quests!$1:$1,0)-MATCH($C$1,[2]quests!$1:$1,0)+1),MATCH(D$1,[2]quests!$1:$1,0)-MATCH($C$1,[2]quests!$1:$1,0)+1,FALSE)</f>
        <v>【月曜限定】 黄の素材</v>
      </c>
      <c r="E27" s="117" t="str">
        <f ca="1">VLOOKUP($C27,OFFSET([2]quests!$A$1,0,0,COUNTA([2]quests!$A:$A),MATCH(E$1,[2]quests!$1:$1,0)-MATCH($C$1,[2]quests!$1:$1,0)+1),MATCH(E$1,[2]quests!$1:$1,0)-MATCH($C$1,[2]quests!$1:$1,0)+1,FALSE)</f>
        <v>月曜クエスト</v>
      </c>
      <c r="F27" s="118">
        <v>4</v>
      </c>
      <c r="G27" s="117" t="str">
        <f ca="1">VLOOKUP($C27&amp;"_"&amp;$F27,OFFSET([2]stages!$A$1,0,0,COUNTA([2]stages!$A:$A),MATCH(G$1,[2]stages!$2:$2,0)-MATCH("temp_stage",[2]stages!$2:$2,0)+1),MATCH(G$1,[2]stages!$2:$2,0)-MATCH("temp_stage",[2]stages!$2:$2,0)+1,FALSE)</f>
        <v>【上級】雷のイモムシ</v>
      </c>
      <c r="H27" s="117" t="str">
        <f ca="1">VLOOKUP($C27&amp;"_"&amp;$F27,OFFSET([2]stages!$A$1,0,0,COUNTA([2]stages!$A:$A),MATCH(H$1,[2]stages!$2:$2,0)-MATCH("temp_stage",[2]stages!$2:$2,0)+1),MATCH(H$1,[2]stages!$2:$2,0)-MATCH("temp_stage",[2]stages!$2:$2,0)+1,FALSE)</f>
        <v>月曜クエスト</v>
      </c>
      <c r="I27" s="119">
        <v>0</v>
      </c>
      <c r="J27" s="118">
        <f>COUNTIF(C$1:C27,C27)</f>
        <v>26</v>
      </c>
      <c r="K27" s="120">
        <v>30</v>
      </c>
      <c r="L27" s="118" t="s">
        <v>234</v>
      </c>
      <c r="M27" s="121" t="str">
        <f>VLOOKUP(K27,[6]stage_hints!$A:$C,3,FALSE)</f>
        <v>「バグ」の増やし方</v>
      </c>
      <c r="N27" s="122" t="str">
        <f>VLOOKUP(K27,[6]stage_hints!$A:$D,4,FALSE)</f>
        <v>同じユニット同士を強化で合成すると_x000D_「バグ」を増やすことができます</v>
      </c>
      <c r="O27" s="36" t="s">
        <v>235</v>
      </c>
      <c r="P27">
        <v>30</v>
      </c>
    </row>
    <row r="28" spans="1:16" x14ac:dyDescent="0.15">
      <c r="A28" s="114" t="str">
        <f t="shared" si="0"/>
        <v>11001_4_27</v>
      </c>
      <c r="B28" s="115" t="s">
        <v>231</v>
      </c>
      <c r="C28" s="116">
        <v>11001</v>
      </c>
      <c r="D28" s="117" t="str">
        <f ca="1">VLOOKUP($C28,OFFSET([2]quests!$A$1,0,0,COUNTA([2]quests!$A:$A),MATCH(D$1,[2]quests!$1:$1,0)-MATCH($C$1,[2]quests!$1:$1,0)+1),MATCH(D$1,[2]quests!$1:$1,0)-MATCH($C$1,[2]quests!$1:$1,0)+1,FALSE)</f>
        <v>【月曜限定】 黄の素材</v>
      </c>
      <c r="E28" s="117" t="str">
        <f ca="1">VLOOKUP($C28,OFFSET([2]quests!$A$1,0,0,COUNTA([2]quests!$A:$A),MATCH(E$1,[2]quests!$1:$1,0)-MATCH($C$1,[2]quests!$1:$1,0)+1),MATCH(E$1,[2]quests!$1:$1,0)-MATCH($C$1,[2]quests!$1:$1,0)+1,FALSE)</f>
        <v>月曜クエスト</v>
      </c>
      <c r="F28" s="118">
        <v>4</v>
      </c>
      <c r="G28" s="117" t="str">
        <f ca="1">VLOOKUP($C28&amp;"_"&amp;$F28,OFFSET([2]stages!$A$1,0,0,COUNTA([2]stages!$A:$A),MATCH(G$1,[2]stages!$2:$2,0)-MATCH("temp_stage",[2]stages!$2:$2,0)+1),MATCH(G$1,[2]stages!$2:$2,0)-MATCH("temp_stage",[2]stages!$2:$2,0)+1,FALSE)</f>
        <v>【上級】雷のイモムシ</v>
      </c>
      <c r="H28" s="117" t="str">
        <f ca="1">VLOOKUP($C28&amp;"_"&amp;$F28,OFFSET([2]stages!$A$1,0,0,COUNTA([2]stages!$A:$A),MATCH(H$1,[2]stages!$2:$2,0)-MATCH("temp_stage",[2]stages!$2:$2,0)+1),MATCH(H$1,[2]stages!$2:$2,0)-MATCH("temp_stage",[2]stages!$2:$2,0)+1,FALSE)</f>
        <v>月曜クエスト</v>
      </c>
      <c r="I28" s="119">
        <v>0</v>
      </c>
      <c r="J28" s="118">
        <f>COUNTIF(C$1:C28,C28)</f>
        <v>27</v>
      </c>
      <c r="K28" s="120">
        <v>31</v>
      </c>
      <c r="L28" s="118" t="s">
        <v>256</v>
      </c>
      <c r="M28" s="121" t="str">
        <f>VLOOKUP(K28,[6]stage_hints!$A:$C,3,FALSE)</f>
        <v>イベントはお知らせでチェック</v>
      </c>
      <c r="N28" s="122" t="str">
        <f>VLOOKUP(K28,[6]stage_hints!$A:$D,4,FALSE)</f>
        <v>イベント限定ユニットを取り忘れないように_x000D_お知らせをこまめにチェックしましょう</v>
      </c>
      <c r="O28" s="36" t="s">
        <v>255</v>
      </c>
      <c r="P28">
        <v>31</v>
      </c>
    </row>
    <row r="29" spans="1:16" x14ac:dyDescent="0.15">
      <c r="A29" s="114" t="str">
        <f t="shared" si="0"/>
        <v>11001_4_28</v>
      </c>
      <c r="B29" s="115" t="s">
        <v>231</v>
      </c>
      <c r="C29" s="116">
        <v>11001</v>
      </c>
      <c r="D29" s="117" t="str">
        <f ca="1">VLOOKUP($C29,OFFSET([2]quests!$A$1,0,0,COUNTA([2]quests!$A:$A),MATCH(D$1,[2]quests!$1:$1,0)-MATCH($C$1,[2]quests!$1:$1,0)+1),MATCH(D$1,[2]quests!$1:$1,0)-MATCH($C$1,[2]quests!$1:$1,0)+1,FALSE)</f>
        <v>【月曜限定】 黄の素材</v>
      </c>
      <c r="E29" s="117" t="str">
        <f ca="1">VLOOKUP($C29,OFFSET([2]quests!$A$1,0,0,COUNTA([2]quests!$A:$A),MATCH(E$1,[2]quests!$1:$1,0)-MATCH($C$1,[2]quests!$1:$1,0)+1),MATCH(E$1,[2]quests!$1:$1,0)-MATCH($C$1,[2]quests!$1:$1,0)+1,FALSE)</f>
        <v>月曜クエスト</v>
      </c>
      <c r="F29" s="118">
        <v>4</v>
      </c>
      <c r="G29" s="117" t="str">
        <f ca="1">VLOOKUP($C29&amp;"_"&amp;$F29,OFFSET([2]stages!$A$1,0,0,COUNTA([2]stages!$A:$A),MATCH(G$1,[2]stages!$2:$2,0)-MATCH("temp_stage",[2]stages!$2:$2,0)+1),MATCH(G$1,[2]stages!$2:$2,0)-MATCH("temp_stage",[2]stages!$2:$2,0)+1,FALSE)</f>
        <v>【上級】雷のイモムシ</v>
      </c>
      <c r="H29" s="117" t="str">
        <f ca="1">VLOOKUP($C29&amp;"_"&amp;$F29,OFFSET([2]stages!$A$1,0,0,COUNTA([2]stages!$A:$A),MATCH(H$1,[2]stages!$2:$2,0)-MATCH("temp_stage",[2]stages!$2:$2,0)+1),MATCH(H$1,[2]stages!$2:$2,0)-MATCH("temp_stage",[2]stages!$2:$2,0)+1,FALSE)</f>
        <v>月曜クエスト</v>
      </c>
      <c r="I29" s="119">
        <v>0</v>
      </c>
      <c r="J29" s="118">
        <f>COUNTIF(C$1:C29,C29)</f>
        <v>28</v>
      </c>
      <c r="K29" s="120">
        <v>32</v>
      </c>
      <c r="L29" s="118" t="s">
        <v>257</v>
      </c>
      <c r="M29" s="121" t="str">
        <f>VLOOKUP(K29,[6]stage_hints!$A:$C,3,FALSE)</f>
        <v>敵の連続攻撃には</v>
      </c>
      <c r="N29" s="122" t="str">
        <f>VLOOKUP(K29,[6]stage_hints!$A:$D,4,FALSE)</f>
        <v>カウンタースキルを持つユニットがいれば_x000D_ダメージ回数分の反撃ができます</v>
      </c>
      <c r="O29" s="36" t="s">
        <v>258</v>
      </c>
      <c r="P29">
        <v>32</v>
      </c>
    </row>
    <row r="30" spans="1:16" x14ac:dyDescent="0.15">
      <c r="A30" s="114" t="str">
        <f t="shared" si="0"/>
        <v>11001_4_29</v>
      </c>
      <c r="B30" s="115" t="s">
        <v>231</v>
      </c>
      <c r="C30" s="116">
        <v>11001</v>
      </c>
      <c r="D30" s="117" t="str">
        <f ca="1">VLOOKUP($C30,OFFSET([2]quests!$A$1,0,0,COUNTA([2]quests!$A:$A),MATCH(D$1,[2]quests!$1:$1,0)-MATCH($C$1,[2]quests!$1:$1,0)+1),MATCH(D$1,[2]quests!$1:$1,0)-MATCH($C$1,[2]quests!$1:$1,0)+1,FALSE)</f>
        <v>【月曜限定】 黄の素材</v>
      </c>
      <c r="E30" s="117" t="str">
        <f ca="1">VLOOKUP($C30,OFFSET([2]quests!$A$1,0,0,COUNTA([2]quests!$A:$A),MATCH(E$1,[2]quests!$1:$1,0)-MATCH($C$1,[2]quests!$1:$1,0)+1),MATCH(E$1,[2]quests!$1:$1,0)-MATCH($C$1,[2]quests!$1:$1,0)+1,FALSE)</f>
        <v>月曜クエスト</v>
      </c>
      <c r="F30" s="118">
        <v>4</v>
      </c>
      <c r="G30" s="117" t="str">
        <f ca="1">VLOOKUP($C30&amp;"_"&amp;$F30,OFFSET([2]stages!$A$1,0,0,COUNTA([2]stages!$A:$A),MATCH(G$1,[2]stages!$2:$2,0)-MATCH("temp_stage",[2]stages!$2:$2,0)+1),MATCH(G$1,[2]stages!$2:$2,0)-MATCH("temp_stage",[2]stages!$2:$2,0)+1,FALSE)</f>
        <v>【上級】雷のイモムシ</v>
      </c>
      <c r="H30" s="117" t="str">
        <f ca="1">VLOOKUP($C30&amp;"_"&amp;$F30,OFFSET([2]stages!$A$1,0,0,COUNTA([2]stages!$A:$A),MATCH(H$1,[2]stages!$2:$2,0)-MATCH("temp_stage",[2]stages!$2:$2,0)+1),MATCH(H$1,[2]stages!$2:$2,0)-MATCH("temp_stage",[2]stages!$2:$2,0)+1,FALSE)</f>
        <v>月曜クエスト</v>
      </c>
      <c r="I30" s="119">
        <v>0</v>
      </c>
      <c r="J30" s="118">
        <f>COUNTIF(C$1:C30,C30)</f>
        <v>29</v>
      </c>
      <c r="K30" s="120">
        <v>33</v>
      </c>
      <c r="L30" s="118" t="s">
        <v>234</v>
      </c>
      <c r="M30" s="121" t="str">
        <f>VLOOKUP(K30,[6]stage_hints!$A:$C,3,FALSE)</f>
        <v>敵のカウンター攻撃には</v>
      </c>
      <c r="N30" s="122" t="str">
        <f>VLOOKUP(K30,[6]stage_hints!$A:$D,4,FALSE)</f>
        <v>カウンターブレイクスキルを持っていれば_x000D_敵のカウンターを解除して攻撃ができます</v>
      </c>
      <c r="O30" s="36" t="s">
        <v>235</v>
      </c>
      <c r="P30">
        <v>33</v>
      </c>
    </row>
    <row r="31" spans="1:16" x14ac:dyDescent="0.15">
      <c r="A31" s="114" t="str">
        <f t="shared" si="0"/>
        <v>11001_4_30</v>
      </c>
      <c r="B31" s="115" t="s">
        <v>231</v>
      </c>
      <c r="C31" s="116">
        <v>11001</v>
      </c>
      <c r="D31" s="117" t="str">
        <f ca="1">VLOOKUP($C31,OFFSET([2]quests!$A$1,0,0,COUNTA([2]quests!$A:$A),MATCH(D$1,[2]quests!$1:$1,0)-MATCH($C$1,[2]quests!$1:$1,0)+1),MATCH(D$1,[2]quests!$1:$1,0)-MATCH($C$1,[2]quests!$1:$1,0)+1,FALSE)</f>
        <v>【月曜限定】 黄の素材</v>
      </c>
      <c r="E31" s="117" t="str">
        <f ca="1">VLOOKUP($C31,OFFSET([2]quests!$A$1,0,0,COUNTA([2]quests!$A:$A),MATCH(E$1,[2]quests!$1:$1,0)-MATCH($C$1,[2]quests!$1:$1,0)+1),MATCH(E$1,[2]quests!$1:$1,0)-MATCH($C$1,[2]quests!$1:$1,0)+1,FALSE)</f>
        <v>月曜クエスト</v>
      </c>
      <c r="F31" s="118">
        <v>4</v>
      </c>
      <c r="G31" s="117" t="str">
        <f ca="1">VLOOKUP($C31&amp;"_"&amp;$F31,OFFSET([2]stages!$A$1,0,0,COUNTA([2]stages!$A:$A),MATCH(G$1,[2]stages!$2:$2,0)-MATCH("temp_stage",[2]stages!$2:$2,0)+1),MATCH(G$1,[2]stages!$2:$2,0)-MATCH("temp_stage",[2]stages!$2:$2,0)+1,FALSE)</f>
        <v>【上級】雷のイモムシ</v>
      </c>
      <c r="H31" s="117" t="str">
        <f ca="1">VLOOKUP($C31&amp;"_"&amp;$F31,OFFSET([2]stages!$A$1,0,0,COUNTA([2]stages!$A:$A),MATCH(H$1,[2]stages!$2:$2,0)-MATCH("temp_stage",[2]stages!$2:$2,0)+1),MATCH(H$1,[2]stages!$2:$2,0)-MATCH("temp_stage",[2]stages!$2:$2,0)+1,FALSE)</f>
        <v>月曜クエスト</v>
      </c>
      <c r="I31" s="119">
        <v>0</v>
      </c>
      <c r="J31" s="118">
        <f>COUNTIF(C$1:C31,C31)</f>
        <v>30</v>
      </c>
      <c r="K31" s="120">
        <v>34</v>
      </c>
      <c r="L31" s="118" t="s">
        <v>241</v>
      </c>
      <c r="M31" s="121" t="str">
        <f>VLOOKUP(K31,[6]stage_hints!$A:$C,3,FALSE)</f>
        <v>ステータスをスキルで下げられたら</v>
      </c>
      <c r="N31" s="122" t="str">
        <f>VLOOKUP(K31,[6]stage_hints!$A:$D,4,FALSE)</f>
        <v>ステータスダウンのスキルを受けたら_x000D_ステータスアップスキルで上書きしましょう</v>
      </c>
      <c r="O31" s="36" t="s">
        <v>235</v>
      </c>
      <c r="P31">
        <v>34</v>
      </c>
    </row>
    <row r="32" spans="1:16" x14ac:dyDescent="0.15">
      <c r="A32" s="114" t="str">
        <f t="shared" si="0"/>
        <v>11001_4_31</v>
      </c>
      <c r="B32" s="115" t="s">
        <v>231</v>
      </c>
      <c r="C32" s="116">
        <v>11001</v>
      </c>
      <c r="D32" s="117" t="str">
        <f ca="1">VLOOKUP($C32,OFFSET([2]quests!$A$1,0,0,COUNTA([2]quests!$A:$A),MATCH(D$1,[2]quests!$1:$1,0)-MATCH($C$1,[2]quests!$1:$1,0)+1),MATCH(D$1,[2]quests!$1:$1,0)-MATCH($C$1,[2]quests!$1:$1,0)+1,FALSE)</f>
        <v>【月曜限定】 黄の素材</v>
      </c>
      <c r="E32" s="117" t="str">
        <f ca="1">VLOOKUP($C32,OFFSET([2]quests!$A$1,0,0,COUNTA([2]quests!$A:$A),MATCH(E$1,[2]quests!$1:$1,0)-MATCH($C$1,[2]quests!$1:$1,0)+1),MATCH(E$1,[2]quests!$1:$1,0)-MATCH($C$1,[2]quests!$1:$1,0)+1,FALSE)</f>
        <v>月曜クエスト</v>
      </c>
      <c r="F32" s="118">
        <v>4</v>
      </c>
      <c r="G32" s="117" t="str">
        <f ca="1">VLOOKUP($C32&amp;"_"&amp;$F32,OFFSET([2]stages!$A$1,0,0,COUNTA([2]stages!$A:$A),MATCH(G$1,[2]stages!$2:$2,0)-MATCH("temp_stage",[2]stages!$2:$2,0)+1),MATCH(G$1,[2]stages!$2:$2,0)-MATCH("temp_stage",[2]stages!$2:$2,0)+1,FALSE)</f>
        <v>【上級】雷のイモムシ</v>
      </c>
      <c r="H32" s="117" t="str">
        <f ca="1">VLOOKUP($C32&amp;"_"&amp;$F32,OFFSET([2]stages!$A$1,0,0,COUNTA([2]stages!$A:$A),MATCH(H$1,[2]stages!$2:$2,0)-MATCH("temp_stage",[2]stages!$2:$2,0)+1),MATCH(H$1,[2]stages!$2:$2,0)-MATCH("temp_stage",[2]stages!$2:$2,0)+1,FALSE)</f>
        <v>月曜クエスト</v>
      </c>
      <c r="I32" s="119">
        <v>0</v>
      </c>
      <c r="J32" s="118">
        <f>COUNTIF(C$1:C32,C32)</f>
        <v>31</v>
      </c>
      <c r="K32" s="120">
        <v>35</v>
      </c>
      <c r="L32" s="118" t="s">
        <v>259</v>
      </c>
      <c r="M32" s="121" t="str">
        <f>VLOOKUP(K32,[6]stage_hints!$A:$C,3,FALSE)</f>
        <v>敵のステータスがスキルで上がったら</v>
      </c>
      <c r="N32" s="122" t="str">
        <f>VLOOKUP(K32,[6]stage_hints!$A:$D,4,FALSE)</f>
        <v>敵のステータスがスキルでアップしたときは_x000D_ステータスダウンスキルで上書きしましょう</v>
      </c>
      <c r="O32" s="36" t="s">
        <v>235</v>
      </c>
      <c r="P32">
        <v>35</v>
      </c>
    </row>
    <row r="33" spans="1:16" x14ac:dyDescent="0.15">
      <c r="A33" s="114" t="str">
        <f t="shared" si="0"/>
        <v>11001_4_32</v>
      </c>
      <c r="B33" s="115" t="s">
        <v>231</v>
      </c>
      <c r="C33" s="116">
        <v>11001</v>
      </c>
      <c r="D33" s="117" t="str">
        <f ca="1">VLOOKUP($C33,OFFSET([2]quests!$A$1,0,0,COUNTA([2]quests!$A:$A),MATCH(D$1,[2]quests!$1:$1,0)-MATCH($C$1,[2]quests!$1:$1,0)+1),MATCH(D$1,[2]quests!$1:$1,0)-MATCH($C$1,[2]quests!$1:$1,0)+1,FALSE)</f>
        <v>【月曜限定】 黄の素材</v>
      </c>
      <c r="E33" s="117" t="str">
        <f ca="1">VLOOKUP($C33,OFFSET([2]quests!$A$1,0,0,COUNTA([2]quests!$A:$A),MATCH(E$1,[2]quests!$1:$1,0)-MATCH($C$1,[2]quests!$1:$1,0)+1),MATCH(E$1,[2]quests!$1:$1,0)-MATCH($C$1,[2]quests!$1:$1,0)+1,FALSE)</f>
        <v>月曜クエスト</v>
      </c>
      <c r="F33" s="118">
        <v>4</v>
      </c>
      <c r="G33" s="117" t="str">
        <f ca="1">VLOOKUP($C33&amp;"_"&amp;$F33,OFFSET([2]stages!$A$1,0,0,COUNTA([2]stages!$A:$A),MATCH(G$1,[2]stages!$2:$2,0)-MATCH("temp_stage",[2]stages!$2:$2,0)+1),MATCH(G$1,[2]stages!$2:$2,0)-MATCH("temp_stage",[2]stages!$2:$2,0)+1,FALSE)</f>
        <v>【上級】雷のイモムシ</v>
      </c>
      <c r="H33" s="117" t="str">
        <f ca="1">VLOOKUP($C33&amp;"_"&amp;$F33,OFFSET([2]stages!$A$1,0,0,COUNTA([2]stages!$A:$A),MATCH(H$1,[2]stages!$2:$2,0)-MATCH("temp_stage",[2]stages!$2:$2,0)+1),MATCH(H$1,[2]stages!$2:$2,0)-MATCH("temp_stage",[2]stages!$2:$2,0)+1,FALSE)</f>
        <v>月曜クエスト</v>
      </c>
      <c r="I33" s="119">
        <v>0</v>
      </c>
      <c r="J33" s="118">
        <f>COUNTIF(C$1:C33,C33)</f>
        <v>32</v>
      </c>
      <c r="K33" s="120">
        <v>36</v>
      </c>
      <c r="L33" s="118" t="s">
        <v>241</v>
      </c>
      <c r="M33" s="121" t="str">
        <f>VLOOKUP(K33,[6]stage_hints!$A:$C,3,FALSE)</f>
        <v>タワーオブザクイーンのボス</v>
      </c>
      <c r="N33" s="122" t="str">
        <f>VLOOKUP(K33,[6]stage_hints!$A:$D,4,FALSE)</f>
        <v>「タワーオブザクイーン」最上階のボスは_x000D_15階の初回クリア報酬で獲得できるほか_x000D_その階にて低確率でドロップもします</v>
      </c>
      <c r="O33" s="36" t="s">
        <v>235</v>
      </c>
      <c r="P33">
        <v>36</v>
      </c>
    </row>
    <row r="34" spans="1:16" x14ac:dyDescent="0.15">
      <c r="A34" s="114" t="str">
        <f t="shared" si="0"/>
        <v>11001_4_33</v>
      </c>
      <c r="B34" s="115" t="s">
        <v>231</v>
      </c>
      <c r="C34" s="116">
        <v>11001</v>
      </c>
      <c r="D34" s="117" t="str">
        <f ca="1">VLOOKUP($C34,OFFSET([2]quests!$A$1,0,0,COUNTA([2]quests!$A:$A),MATCH(D$1,[2]quests!$1:$1,0)-MATCH($C$1,[2]quests!$1:$1,0)+1),MATCH(D$1,[2]quests!$1:$1,0)-MATCH($C$1,[2]quests!$1:$1,0)+1,FALSE)</f>
        <v>【月曜限定】 黄の素材</v>
      </c>
      <c r="E34" s="117" t="str">
        <f ca="1">VLOOKUP($C34,OFFSET([2]quests!$A$1,0,0,COUNTA([2]quests!$A:$A),MATCH(E$1,[2]quests!$1:$1,0)-MATCH($C$1,[2]quests!$1:$1,0)+1),MATCH(E$1,[2]quests!$1:$1,0)-MATCH($C$1,[2]quests!$1:$1,0)+1,FALSE)</f>
        <v>月曜クエスト</v>
      </c>
      <c r="F34" s="118">
        <v>4</v>
      </c>
      <c r="G34" s="117" t="str">
        <f ca="1">VLOOKUP($C34&amp;"_"&amp;$F34,OFFSET([2]stages!$A$1,0,0,COUNTA([2]stages!$A:$A),MATCH(G$1,[2]stages!$2:$2,0)-MATCH("temp_stage",[2]stages!$2:$2,0)+1),MATCH(G$1,[2]stages!$2:$2,0)-MATCH("temp_stage",[2]stages!$2:$2,0)+1,FALSE)</f>
        <v>【上級】雷のイモムシ</v>
      </c>
      <c r="H34" s="117" t="str">
        <f ca="1">VLOOKUP($C34&amp;"_"&amp;$F34,OFFSET([2]stages!$A$1,0,0,COUNTA([2]stages!$A:$A),MATCH(H$1,[2]stages!$2:$2,0)-MATCH("temp_stage",[2]stages!$2:$2,0)+1),MATCH(H$1,[2]stages!$2:$2,0)-MATCH("temp_stage",[2]stages!$2:$2,0)+1,FALSE)</f>
        <v>月曜クエスト</v>
      </c>
      <c r="I34" s="119">
        <v>0</v>
      </c>
      <c r="J34" s="118">
        <f>COUNTIF(C$1:C34,C34)</f>
        <v>33</v>
      </c>
      <c r="K34" s="120">
        <v>37</v>
      </c>
      <c r="L34" s="118" t="s">
        <v>234</v>
      </c>
      <c r="M34" s="121" t="str">
        <f>VLOOKUP(K34,[6]stage_hints!$A:$C,3,FALSE)</f>
        <v>限界突破値の引き継ぎ</v>
      </c>
      <c r="N34" s="122" t="str">
        <f>VLOOKUP(K34,[6]stage_hints!$A:$D,4,FALSE)</f>
        <v>同じユニットを強化で合成すると_x000D_限界突破値を引き継げます（覚醒前後も可）</v>
      </c>
      <c r="O34" s="36" t="s">
        <v>235</v>
      </c>
      <c r="P34">
        <v>37</v>
      </c>
    </row>
    <row r="35" spans="1:16" x14ac:dyDescent="0.15">
      <c r="A35" s="114" t="str">
        <f t="shared" si="0"/>
        <v>11002_4_1</v>
      </c>
      <c r="B35" s="115" t="s">
        <v>231</v>
      </c>
      <c r="C35" s="116">
        <v>11002</v>
      </c>
      <c r="D35" s="117" t="str">
        <f ca="1">VLOOKUP($C35,OFFSET([2]quests!$A$1,0,0,COUNTA([2]quests!$A:$A),MATCH(D$1,[2]quests!$1:$1,0)-MATCH($C$1,[2]quests!$1:$1,0)+1),MATCH(D$1,[2]quests!$1:$1,0)-MATCH($C$1,[2]quests!$1:$1,0)+1,FALSE)</f>
        <v>【火曜限定】 赤の素材</v>
      </c>
      <c r="E35" s="117" t="str">
        <f ca="1">VLOOKUP($C35,OFFSET([2]quests!$A$1,0,0,COUNTA([2]quests!$A:$A),MATCH(E$1,[2]quests!$1:$1,0)-MATCH($C$1,[2]quests!$1:$1,0)+1),MATCH(E$1,[2]quests!$1:$1,0)-MATCH($C$1,[2]quests!$1:$1,0)+1,FALSE)</f>
        <v>火曜クエスト</v>
      </c>
      <c r="F35" s="118">
        <v>4</v>
      </c>
      <c r="G35" s="117" t="str">
        <f ca="1">VLOOKUP($C35&amp;"_"&amp;$F35,OFFSET([2]stages!$A$1,0,0,COUNTA([2]stages!$A:$A),MATCH(G$1,[2]stages!$2:$2,0)-MATCH("temp_stage",[2]stages!$2:$2,0)+1),MATCH(G$1,[2]stages!$2:$2,0)-MATCH("temp_stage",[2]stages!$2:$2,0)+1,FALSE)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35" s="117" t="str">
        <f ca="1">VLOOKUP($C35&amp;"_"&amp;$F35,OFFSET([2]stages!$A$1,0,0,COUNTA([2]stages!$A:$A),MATCH(H$1,[2]stages!$2:$2,0)-MATCH("temp_stage",[2]stages!$2:$2,0)+1),MATCH(H$1,[2]stages!$2:$2,0)-MATCH("temp_stage",[2]stages!$2:$2,0)+1,FALSE)</f>
        <v>火曜クエスト</v>
      </c>
      <c r="I35" s="119">
        <v>0</v>
      </c>
      <c r="J35" s="118">
        <f>COUNTIF(C$1:C35,C35)</f>
        <v>1</v>
      </c>
      <c r="K35" s="120">
        <v>3</v>
      </c>
      <c r="L35" s="118" t="s">
        <v>260</v>
      </c>
      <c r="M35" s="121" t="str">
        <f>VLOOKUP(K35,[6]stage_hints!$A:$C,3,FALSE)</f>
        <v>ターゲット</v>
      </c>
      <c r="N35" s="122" t="str">
        <f>VLOOKUP(K35,[6]stage_hints!$A:$D,4,FALSE)</f>
        <v>敵ユニットをタップすると_x000D_その敵を狙い撃ちできます</v>
      </c>
      <c r="O35" s="36" t="s">
        <v>235</v>
      </c>
      <c r="P35">
        <v>3</v>
      </c>
    </row>
    <row r="36" spans="1:16" x14ac:dyDescent="0.15">
      <c r="A36" s="114" t="str">
        <f t="shared" si="0"/>
        <v>11002_4_2</v>
      </c>
      <c r="B36" s="115" t="s">
        <v>231</v>
      </c>
      <c r="C36" s="116">
        <v>11002</v>
      </c>
      <c r="D36" s="117" t="str">
        <f ca="1">VLOOKUP($C36,OFFSET([2]quests!$A$1,0,0,COUNTA([2]quests!$A:$A),MATCH(D$1,[2]quests!$1:$1,0)-MATCH($C$1,[2]quests!$1:$1,0)+1),MATCH(D$1,[2]quests!$1:$1,0)-MATCH($C$1,[2]quests!$1:$1,0)+1,FALSE)</f>
        <v>【火曜限定】 赤の素材</v>
      </c>
      <c r="E36" s="117" t="str">
        <f ca="1">VLOOKUP($C36,OFFSET([2]quests!$A$1,0,0,COUNTA([2]quests!$A:$A),MATCH(E$1,[2]quests!$1:$1,0)-MATCH($C$1,[2]quests!$1:$1,0)+1),MATCH(E$1,[2]quests!$1:$1,0)-MATCH($C$1,[2]quests!$1:$1,0)+1,FALSE)</f>
        <v>火曜クエスト</v>
      </c>
      <c r="F36" s="118">
        <v>4</v>
      </c>
      <c r="G36" s="117" t="str">
        <f ca="1">VLOOKUP($C36&amp;"_"&amp;$F36,OFFSET([2]stages!$A$1,0,0,COUNTA([2]stages!$A:$A),MATCH(G$1,[2]stages!$2:$2,0)-MATCH("temp_stage",[2]stages!$2:$2,0)+1),MATCH(G$1,[2]stages!$2:$2,0)-MATCH("temp_stage",[2]stages!$2:$2,0)+1,FALSE)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36" s="117" t="str">
        <f ca="1">VLOOKUP($C36&amp;"_"&amp;$F36,OFFSET([2]stages!$A$1,0,0,COUNTA([2]stages!$A:$A),MATCH(H$1,[2]stages!$2:$2,0)-MATCH("temp_stage",[2]stages!$2:$2,0)+1),MATCH(H$1,[2]stages!$2:$2,0)-MATCH("temp_stage",[2]stages!$2:$2,0)+1,FALSE)</f>
        <v>火曜クエスト</v>
      </c>
      <c r="I36" s="119">
        <v>0</v>
      </c>
      <c r="J36" s="118">
        <f>COUNTIF(C$1:C36,C36)</f>
        <v>2</v>
      </c>
      <c r="K36" s="120">
        <v>6</v>
      </c>
      <c r="L36" s="118" t="s">
        <v>260</v>
      </c>
      <c r="M36" s="121" t="str">
        <f>VLOOKUP(K36,[6]stage_hints!$A:$C,3,FALSE)</f>
        <v>ユニット強化の属性ボーナス</v>
      </c>
      <c r="N36" s="122" t="str">
        <f>VLOOKUP(K36,[6]stage_hints!$A:$D,4,FALSE)</f>
        <v>同属性ユニットを強化素材にすると_x000D_経験値が多くもらえます</v>
      </c>
      <c r="O36" s="36" t="s">
        <v>235</v>
      </c>
      <c r="P36">
        <v>6</v>
      </c>
    </row>
    <row r="37" spans="1:16" x14ac:dyDescent="0.15">
      <c r="A37" s="114" t="str">
        <f t="shared" si="0"/>
        <v>11002_4_3</v>
      </c>
      <c r="B37" s="115" t="s">
        <v>231</v>
      </c>
      <c r="C37" s="116">
        <v>11002</v>
      </c>
      <c r="D37" s="117" t="str">
        <f ca="1">VLOOKUP($C37,OFFSET([2]quests!$A$1,0,0,COUNTA([2]quests!$A:$A),MATCH(D$1,[2]quests!$1:$1,0)-MATCH($C$1,[2]quests!$1:$1,0)+1),MATCH(D$1,[2]quests!$1:$1,0)-MATCH($C$1,[2]quests!$1:$1,0)+1,FALSE)</f>
        <v>【火曜限定】 赤の素材</v>
      </c>
      <c r="E37" s="117" t="str">
        <f ca="1">VLOOKUP($C37,OFFSET([2]quests!$A$1,0,0,COUNTA([2]quests!$A:$A),MATCH(E$1,[2]quests!$1:$1,0)-MATCH($C$1,[2]quests!$1:$1,0)+1),MATCH(E$1,[2]quests!$1:$1,0)-MATCH($C$1,[2]quests!$1:$1,0)+1,FALSE)</f>
        <v>火曜クエスト</v>
      </c>
      <c r="F37" s="118">
        <v>4</v>
      </c>
      <c r="G37" s="117" t="str">
        <f ca="1">VLOOKUP($C37&amp;"_"&amp;$F37,OFFSET([2]stages!$A$1,0,0,COUNTA([2]stages!$A:$A),MATCH(G$1,[2]stages!$2:$2,0)-MATCH("temp_stage",[2]stages!$2:$2,0)+1),MATCH(G$1,[2]stages!$2:$2,0)-MATCH("temp_stage",[2]stages!$2:$2,0)+1,FALSE)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37" s="117" t="str">
        <f ca="1">VLOOKUP($C37&amp;"_"&amp;$F37,OFFSET([2]stages!$A$1,0,0,COUNTA([2]stages!$A:$A),MATCH(H$1,[2]stages!$2:$2,0)-MATCH("temp_stage",[2]stages!$2:$2,0)+1),MATCH(H$1,[2]stages!$2:$2,0)-MATCH("temp_stage",[2]stages!$2:$2,0)+1,FALSE)</f>
        <v>火曜クエスト</v>
      </c>
      <c r="I37" s="119">
        <v>0</v>
      </c>
      <c r="J37" s="118">
        <f>COUNTIF(C$1:C37,C37)</f>
        <v>3</v>
      </c>
      <c r="K37" s="120">
        <v>7</v>
      </c>
      <c r="L37" s="118" t="s">
        <v>261</v>
      </c>
      <c r="M37" s="121" t="str">
        <f>VLOOKUP(K37,[6]stage_hints!$A:$C,3,FALSE)</f>
        <v>メタルダックで経験値を獲得</v>
      </c>
      <c r="N37" s="122" t="str">
        <f>VLOOKUP(K37,[6]stage_hints!$A:$D,4,FALSE)</f>
        <v>「メタルなアヒル」を強化素材にすると_x000D_大量の経験値がもらえます</v>
      </c>
      <c r="O37" s="36" t="s">
        <v>235</v>
      </c>
      <c r="P37">
        <v>7</v>
      </c>
    </row>
    <row r="38" spans="1:16" x14ac:dyDescent="0.15">
      <c r="A38" s="114" t="str">
        <f t="shared" si="0"/>
        <v>11002_4_4</v>
      </c>
      <c r="B38" s="115" t="s">
        <v>231</v>
      </c>
      <c r="C38" s="116">
        <v>11002</v>
      </c>
      <c r="D38" s="117" t="str">
        <f ca="1">VLOOKUP($C38,OFFSET([2]quests!$A$1,0,0,COUNTA([2]quests!$A:$A),MATCH(D$1,[2]quests!$1:$1,0)-MATCH($C$1,[2]quests!$1:$1,0)+1),MATCH(D$1,[2]quests!$1:$1,0)-MATCH($C$1,[2]quests!$1:$1,0)+1,FALSE)</f>
        <v>【火曜限定】 赤の素材</v>
      </c>
      <c r="E38" s="117" t="str">
        <f ca="1">VLOOKUP($C38,OFFSET([2]quests!$A$1,0,0,COUNTA([2]quests!$A:$A),MATCH(E$1,[2]quests!$1:$1,0)-MATCH($C$1,[2]quests!$1:$1,0)+1),MATCH(E$1,[2]quests!$1:$1,0)-MATCH($C$1,[2]quests!$1:$1,0)+1,FALSE)</f>
        <v>火曜クエスト</v>
      </c>
      <c r="F38" s="118">
        <v>4</v>
      </c>
      <c r="G38" s="117" t="str">
        <f ca="1">VLOOKUP($C38&amp;"_"&amp;$F38,OFFSET([2]stages!$A$1,0,0,COUNTA([2]stages!$A:$A),MATCH(G$1,[2]stages!$2:$2,0)-MATCH("temp_stage",[2]stages!$2:$2,0)+1),MATCH(G$1,[2]stages!$2:$2,0)-MATCH("temp_stage",[2]stages!$2:$2,0)+1,FALSE)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38" s="117" t="str">
        <f ca="1">VLOOKUP($C38&amp;"_"&amp;$F38,OFFSET([2]stages!$A$1,0,0,COUNTA([2]stages!$A:$A),MATCH(H$1,[2]stages!$2:$2,0)-MATCH("temp_stage",[2]stages!$2:$2,0)+1),MATCH(H$1,[2]stages!$2:$2,0)-MATCH("temp_stage",[2]stages!$2:$2,0)+1,FALSE)</f>
        <v>火曜クエスト</v>
      </c>
      <c r="I38" s="119">
        <v>0</v>
      </c>
      <c r="J38" s="118">
        <f>COUNTIF(C$1:C38,C38)</f>
        <v>4</v>
      </c>
      <c r="K38" s="120">
        <v>8</v>
      </c>
      <c r="L38" s="118" t="s">
        <v>234</v>
      </c>
      <c r="M38" s="121" t="str">
        <f>VLOOKUP(K38,[6]stage_hints!$A:$C,3,FALSE)</f>
        <v>ゲリラクエストは要チェック</v>
      </c>
      <c r="N38" s="122" t="str">
        <f>VLOOKUP(K38,[6]stage_hints!$A:$D,4,FALSE)</f>
        <v>時間限定の「アヒル捕獲作戦」では_x000D_経験値素材ユニットが多く手に入ります</v>
      </c>
      <c r="O38" s="36" t="s">
        <v>255</v>
      </c>
      <c r="P38">
        <v>8</v>
      </c>
    </row>
    <row r="39" spans="1:16" x14ac:dyDescent="0.15">
      <c r="A39" s="114" t="str">
        <f t="shared" si="0"/>
        <v>11002_4_5</v>
      </c>
      <c r="B39" s="115" t="s">
        <v>231</v>
      </c>
      <c r="C39" s="116">
        <v>11002</v>
      </c>
      <c r="D39" s="117" t="str">
        <f ca="1">VLOOKUP($C39,OFFSET([2]quests!$A$1,0,0,COUNTA([2]quests!$A:$A),MATCH(D$1,[2]quests!$1:$1,0)-MATCH($C$1,[2]quests!$1:$1,0)+1),MATCH(D$1,[2]quests!$1:$1,0)-MATCH($C$1,[2]quests!$1:$1,0)+1,FALSE)</f>
        <v>【火曜限定】 赤の素材</v>
      </c>
      <c r="E39" s="117" t="str">
        <f ca="1">VLOOKUP($C39,OFFSET([2]quests!$A$1,0,0,COUNTA([2]quests!$A:$A),MATCH(E$1,[2]quests!$1:$1,0)-MATCH($C$1,[2]quests!$1:$1,0)+1),MATCH(E$1,[2]quests!$1:$1,0)-MATCH($C$1,[2]quests!$1:$1,0)+1,FALSE)</f>
        <v>火曜クエスト</v>
      </c>
      <c r="F39" s="118">
        <v>4</v>
      </c>
      <c r="G39" s="117" t="str">
        <f ca="1">VLOOKUP($C39&amp;"_"&amp;$F39,OFFSET([2]stages!$A$1,0,0,COUNTA([2]stages!$A:$A),MATCH(G$1,[2]stages!$2:$2,0)-MATCH("temp_stage",[2]stages!$2:$2,0)+1),MATCH(G$1,[2]stages!$2:$2,0)-MATCH("temp_stage",[2]stages!$2:$2,0)+1,FALSE)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39" s="117" t="str">
        <f ca="1">VLOOKUP($C39&amp;"_"&amp;$F39,OFFSET([2]stages!$A$1,0,0,COUNTA([2]stages!$A:$A),MATCH(H$1,[2]stages!$2:$2,0)-MATCH("temp_stage",[2]stages!$2:$2,0)+1),MATCH(H$1,[2]stages!$2:$2,0)-MATCH("temp_stage",[2]stages!$2:$2,0)+1,FALSE)</f>
        <v>火曜クエスト</v>
      </c>
      <c r="I39" s="119">
        <v>0</v>
      </c>
      <c r="J39" s="118">
        <f>COUNTIF(C$1:C39,C39)</f>
        <v>5</v>
      </c>
      <c r="K39" s="120">
        <v>9</v>
      </c>
      <c r="L39" s="118" t="s">
        <v>234</v>
      </c>
      <c r="M39" s="121" t="str">
        <f>VLOOKUP(K39,[6]stage_hints!$A:$C,3,FALSE)</f>
        <v>ゴールドダックでビットを獲得</v>
      </c>
      <c r="N39" s="122" t="str">
        <f>VLOOKUP(K39,[6]stage_hints!$A:$D,4,FALSE)</f>
        <v>「ゴールドなアヒル」を売却すると_x000D_大量のビットがもらえます</v>
      </c>
      <c r="O39" s="36" t="s">
        <v>235</v>
      </c>
      <c r="P39">
        <v>9</v>
      </c>
    </row>
    <row r="40" spans="1:16" x14ac:dyDescent="0.15">
      <c r="A40" s="114" t="str">
        <f t="shared" si="0"/>
        <v>11002_4_6</v>
      </c>
      <c r="B40" s="115" t="s">
        <v>231</v>
      </c>
      <c r="C40" s="116">
        <v>11002</v>
      </c>
      <c r="D40" s="117" t="str">
        <f ca="1">VLOOKUP($C40,OFFSET([2]quests!$A$1,0,0,COUNTA([2]quests!$A:$A),MATCH(D$1,[2]quests!$1:$1,0)-MATCH($C$1,[2]quests!$1:$1,0)+1),MATCH(D$1,[2]quests!$1:$1,0)-MATCH($C$1,[2]quests!$1:$1,0)+1,FALSE)</f>
        <v>【火曜限定】 赤の素材</v>
      </c>
      <c r="E40" s="117" t="str">
        <f ca="1">VLOOKUP($C40,OFFSET([2]quests!$A$1,0,0,COUNTA([2]quests!$A:$A),MATCH(E$1,[2]quests!$1:$1,0)-MATCH($C$1,[2]quests!$1:$1,0)+1),MATCH(E$1,[2]quests!$1:$1,0)-MATCH($C$1,[2]quests!$1:$1,0)+1,FALSE)</f>
        <v>火曜クエスト</v>
      </c>
      <c r="F40" s="118">
        <v>4</v>
      </c>
      <c r="G40" s="117" t="str">
        <f ca="1">VLOOKUP($C40&amp;"_"&amp;$F40,OFFSET([2]stages!$A$1,0,0,COUNTA([2]stages!$A:$A),MATCH(G$1,[2]stages!$2:$2,0)-MATCH("temp_stage",[2]stages!$2:$2,0)+1),MATCH(G$1,[2]stages!$2:$2,0)-MATCH("temp_stage",[2]stages!$2:$2,0)+1,FALSE)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0" s="117" t="str">
        <f ca="1">VLOOKUP($C40&amp;"_"&amp;$F40,OFFSET([2]stages!$A$1,0,0,COUNTA([2]stages!$A:$A),MATCH(H$1,[2]stages!$2:$2,0)-MATCH("temp_stage",[2]stages!$2:$2,0)+1),MATCH(H$1,[2]stages!$2:$2,0)-MATCH("temp_stage",[2]stages!$2:$2,0)+1,FALSE)</f>
        <v>火曜クエスト</v>
      </c>
      <c r="I40" s="119">
        <v>0</v>
      </c>
      <c r="J40" s="118">
        <f>COUNTIF(C$1:C40,C40)</f>
        <v>6</v>
      </c>
      <c r="K40" s="120">
        <v>10</v>
      </c>
      <c r="L40" s="118" t="s">
        <v>234</v>
      </c>
      <c r="M40" s="121" t="str">
        <f>VLOOKUP(K40,[6]stage_hints!$A:$C,3,FALSE)</f>
        <v>土日に大量のビットを獲得</v>
      </c>
      <c r="N40" s="122" t="str">
        <f>VLOOKUP(K40,[6]stage_hints!$A:$D,4,FALSE)</f>
        <v>土日限定の「ゴールドカジノ」では_x000D_売却素材ユニットが多く手に入ります</v>
      </c>
      <c r="O40" s="36" t="s">
        <v>235</v>
      </c>
      <c r="P40">
        <v>10</v>
      </c>
    </row>
    <row r="41" spans="1:16" x14ac:dyDescent="0.15">
      <c r="A41" s="114" t="str">
        <f t="shared" si="0"/>
        <v>11002_4_7</v>
      </c>
      <c r="B41" s="115" t="s">
        <v>231</v>
      </c>
      <c r="C41" s="116">
        <v>11002</v>
      </c>
      <c r="D41" s="117" t="str">
        <f ca="1">VLOOKUP($C41,OFFSET([2]quests!$A$1,0,0,COUNTA([2]quests!$A:$A),MATCH(D$1,[2]quests!$1:$1,0)-MATCH($C$1,[2]quests!$1:$1,0)+1),MATCH(D$1,[2]quests!$1:$1,0)-MATCH($C$1,[2]quests!$1:$1,0)+1,FALSE)</f>
        <v>【火曜限定】 赤の素材</v>
      </c>
      <c r="E41" s="117" t="str">
        <f ca="1">VLOOKUP($C41,OFFSET([2]quests!$A$1,0,0,COUNTA([2]quests!$A:$A),MATCH(E$1,[2]quests!$1:$1,0)-MATCH($C$1,[2]quests!$1:$1,0)+1),MATCH(E$1,[2]quests!$1:$1,0)-MATCH($C$1,[2]quests!$1:$1,0)+1,FALSE)</f>
        <v>火曜クエスト</v>
      </c>
      <c r="F41" s="118">
        <v>4</v>
      </c>
      <c r="G41" s="117" t="str">
        <f ca="1">VLOOKUP($C41&amp;"_"&amp;$F41,OFFSET([2]stages!$A$1,0,0,COUNTA([2]stages!$A:$A),MATCH(G$1,[2]stages!$2:$2,0)-MATCH("temp_stage",[2]stages!$2:$2,0)+1),MATCH(G$1,[2]stages!$2:$2,0)-MATCH("temp_stage",[2]stages!$2:$2,0)+1,FALSE)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1" s="117" t="str">
        <f ca="1">VLOOKUP($C41&amp;"_"&amp;$F41,OFFSET([2]stages!$A$1,0,0,COUNTA([2]stages!$A:$A),MATCH(H$1,[2]stages!$2:$2,0)-MATCH("temp_stage",[2]stages!$2:$2,0)+1),MATCH(H$1,[2]stages!$2:$2,0)-MATCH("temp_stage",[2]stages!$2:$2,0)+1,FALSE)</f>
        <v>火曜クエスト</v>
      </c>
      <c r="I41" s="119">
        <v>0</v>
      </c>
      <c r="J41" s="118">
        <f>COUNTIF(C$1:C41,C41)</f>
        <v>7</v>
      </c>
      <c r="K41" s="120">
        <v>11</v>
      </c>
      <c r="L41" s="118" t="s">
        <v>257</v>
      </c>
      <c r="M41" s="121" t="str">
        <f>VLOOKUP(K41,[6]stage_hints!$A:$C,3,FALSE)</f>
        <v>ランク解放クエスト</v>
      </c>
      <c r="N41" s="122" t="str">
        <f>VLOOKUP(K41,[6]stage_hints!$A:$D,4,FALSE)</f>
        <v>一定ランクに到達すると_x000D_報酬付きのランク開放クエストが現れます</v>
      </c>
      <c r="O41" s="36" t="s">
        <v>262</v>
      </c>
      <c r="P41">
        <v>11</v>
      </c>
    </row>
    <row r="42" spans="1:16" x14ac:dyDescent="0.15">
      <c r="A42" s="114" t="str">
        <f t="shared" si="0"/>
        <v>11002_4_8</v>
      </c>
      <c r="B42" s="115" t="s">
        <v>231</v>
      </c>
      <c r="C42" s="116">
        <v>11002</v>
      </c>
      <c r="D42" s="117" t="str">
        <f ca="1">VLOOKUP($C42,OFFSET([2]quests!$A$1,0,0,COUNTA([2]quests!$A:$A),MATCH(D$1,[2]quests!$1:$1,0)-MATCH($C$1,[2]quests!$1:$1,0)+1),MATCH(D$1,[2]quests!$1:$1,0)-MATCH($C$1,[2]quests!$1:$1,0)+1,FALSE)</f>
        <v>【火曜限定】 赤の素材</v>
      </c>
      <c r="E42" s="117" t="str">
        <f ca="1">VLOOKUP($C42,OFFSET([2]quests!$A$1,0,0,COUNTA([2]quests!$A:$A),MATCH(E$1,[2]quests!$1:$1,0)-MATCH($C$1,[2]quests!$1:$1,0)+1),MATCH(E$1,[2]quests!$1:$1,0)-MATCH($C$1,[2]quests!$1:$1,0)+1,FALSE)</f>
        <v>火曜クエスト</v>
      </c>
      <c r="F42" s="118">
        <v>4</v>
      </c>
      <c r="G42" s="117" t="str">
        <f ca="1">VLOOKUP($C42&amp;"_"&amp;$F42,OFFSET([2]stages!$A$1,0,0,COUNTA([2]stages!$A:$A),MATCH(G$1,[2]stages!$2:$2,0)-MATCH("temp_stage",[2]stages!$2:$2,0)+1),MATCH(G$1,[2]stages!$2:$2,0)-MATCH("temp_stage",[2]stages!$2:$2,0)+1,FALSE)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2" s="117" t="str">
        <f ca="1">VLOOKUP($C42&amp;"_"&amp;$F42,OFFSET([2]stages!$A$1,0,0,COUNTA([2]stages!$A:$A),MATCH(H$1,[2]stages!$2:$2,0)-MATCH("temp_stage",[2]stages!$2:$2,0)+1),MATCH(H$1,[2]stages!$2:$2,0)-MATCH("temp_stage",[2]stages!$2:$2,0)+1,FALSE)</f>
        <v>火曜クエスト</v>
      </c>
      <c r="I42" s="119">
        <v>0</v>
      </c>
      <c r="J42" s="118">
        <f>COUNTIF(C$1:C42,C42)</f>
        <v>8</v>
      </c>
      <c r="K42" s="120">
        <v>12</v>
      </c>
      <c r="L42" s="118" t="s">
        <v>234</v>
      </c>
      <c r="M42" s="121" t="str">
        <f>VLOOKUP(K42,[6]stage_hints!$A:$C,3,FALSE)</f>
        <v>ユニットのお気に入り登録</v>
      </c>
      <c r="N42" s="122" t="str">
        <f>VLOOKUP(K42,[6]stage_hints!$A:$D,4,FALSE)</f>
        <v>大事なユニットを誤って消さないように_x000D_フォルダから「お気に入り登録」しましょう</v>
      </c>
      <c r="O42" s="36" t="s">
        <v>235</v>
      </c>
      <c r="P42">
        <v>12</v>
      </c>
    </row>
    <row r="43" spans="1:16" x14ac:dyDescent="0.15">
      <c r="A43" s="114" t="str">
        <f t="shared" si="0"/>
        <v>11002_4_9</v>
      </c>
      <c r="B43" s="115" t="s">
        <v>231</v>
      </c>
      <c r="C43" s="116">
        <v>11002</v>
      </c>
      <c r="D43" s="117" t="str">
        <f ca="1">VLOOKUP($C43,OFFSET([2]quests!$A$1,0,0,COUNTA([2]quests!$A:$A),MATCH(D$1,[2]quests!$1:$1,0)-MATCH($C$1,[2]quests!$1:$1,0)+1),MATCH(D$1,[2]quests!$1:$1,0)-MATCH($C$1,[2]quests!$1:$1,0)+1,FALSE)</f>
        <v>【火曜限定】 赤の素材</v>
      </c>
      <c r="E43" s="117" t="str">
        <f ca="1">VLOOKUP($C43,OFFSET([2]quests!$A$1,0,0,COUNTA([2]quests!$A:$A),MATCH(E$1,[2]quests!$1:$1,0)-MATCH($C$1,[2]quests!$1:$1,0)+1),MATCH(E$1,[2]quests!$1:$1,0)-MATCH($C$1,[2]quests!$1:$1,0)+1,FALSE)</f>
        <v>火曜クエスト</v>
      </c>
      <c r="F43" s="118">
        <v>4</v>
      </c>
      <c r="G43" s="117" t="str">
        <f ca="1">VLOOKUP($C43&amp;"_"&amp;$F43,OFFSET([2]stages!$A$1,0,0,COUNTA([2]stages!$A:$A),MATCH(G$1,[2]stages!$2:$2,0)-MATCH("temp_stage",[2]stages!$2:$2,0)+1),MATCH(G$1,[2]stages!$2:$2,0)-MATCH("temp_stage",[2]stages!$2:$2,0)+1,FALSE)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3" s="117" t="str">
        <f ca="1">VLOOKUP($C43&amp;"_"&amp;$F43,OFFSET([2]stages!$A$1,0,0,COUNTA([2]stages!$A:$A),MATCH(H$1,[2]stages!$2:$2,0)-MATCH("temp_stage",[2]stages!$2:$2,0)+1),MATCH(H$1,[2]stages!$2:$2,0)-MATCH("temp_stage",[2]stages!$2:$2,0)+1,FALSE)</f>
        <v>火曜クエスト</v>
      </c>
      <c r="I43" s="119">
        <v>0</v>
      </c>
      <c r="J43" s="118">
        <f>COUNTIF(C$1:C43,C43)</f>
        <v>9</v>
      </c>
      <c r="K43" s="120">
        <v>13</v>
      </c>
      <c r="L43" s="118" t="s">
        <v>234</v>
      </c>
      <c r="M43" s="121" t="str">
        <f>VLOOKUP(K43,[6]stage_hints!$A:$C,3,FALSE)</f>
        <v>ユニットの覚醒</v>
      </c>
      <c r="N43" s="122" t="str">
        <f>VLOOKUP(K43,[6]stage_hints!$A:$D,4,FALSE)</f>
        <v>ユニットを覚醒させると_x000D_比べものにならない強さが手に入ります</v>
      </c>
      <c r="O43" s="36" t="s">
        <v>235</v>
      </c>
      <c r="P43">
        <v>13</v>
      </c>
    </row>
    <row r="44" spans="1:16" x14ac:dyDescent="0.15">
      <c r="A44" s="114" t="str">
        <f t="shared" si="0"/>
        <v>11002_4_10</v>
      </c>
      <c r="B44" s="115" t="s">
        <v>231</v>
      </c>
      <c r="C44" s="116">
        <v>11002</v>
      </c>
      <c r="D44" s="117" t="str">
        <f ca="1">VLOOKUP($C44,OFFSET([2]quests!$A$1,0,0,COUNTA([2]quests!$A:$A),MATCH(D$1,[2]quests!$1:$1,0)-MATCH($C$1,[2]quests!$1:$1,0)+1),MATCH(D$1,[2]quests!$1:$1,0)-MATCH($C$1,[2]quests!$1:$1,0)+1,FALSE)</f>
        <v>【火曜限定】 赤の素材</v>
      </c>
      <c r="E44" s="117" t="str">
        <f ca="1">VLOOKUP($C44,OFFSET([2]quests!$A$1,0,0,COUNTA([2]quests!$A:$A),MATCH(E$1,[2]quests!$1:$1,0)-MATCH($C$1,[2]quests!$1:$1,0)+1),MATCH(E$1,[2]quests!$1:$1,0)-MATCH($C$1,[2]quests!$1:$1,0)+1,FALSE)</f>
        <v>火曜クエスト</v>
      </c>
      <c r="F44" s="118">
        <v>4</v>
      </c>
      <c r="G44" s="117" t="str">
        <f ca="1">VLOOKUP($C44&amp;"_"&amp;$F44,OFFSET([2]stages!$A$1,0,0,COUNTA([2]stages!$A:$A),MATCH(G$1,[2]stages!$2:$2,0)-MATCH("temp_stage",[2]stages!$2:$2,0)+1),MATCH(G$1,[2]stages!$2:$2,0)-MATCH("temp_stage",[2]stages!$2:$2,0)+1,FALSE)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4" s="117" t="str">
        <f ca="1">VLOOKUP($C44&amp;"_"&amp;$F44,OFFSET([2]stages!$A$1,0,0,COUNTA([2]stages!$A:$A),MATCH(H$1,[2]stages!$2:$2,0)-MATCH("temp_stage",[2]stages!$2:$2,0)+1),MATCH(H$1,[2]stages!$2:$2,0)-MATCH("temp_stage",[2]stages!$2:$2,0)+1,FALSE)</f>
        <v>火曜クエスト</v>
      </c>
      <c r="I44" s="119">
        <v>0</v>
      </c>
      <c r="J44" s="118">
        <f>COUNTIF(C$1:C44,C44)</f>
        <v>10</v>
      </c>
      <c r="K44" s="120">
        <v>14</v>
      </c>
      <c r="L44" s="118" t="s">
        <v>234</v>
      </c>
      <c r="M44" s="121" t="str">
        <f>VLOOKUP(K44,[6]stage_hints!$A:$C,3,FALSE)</f>
        <v>覚醒するにはレベルを最大に</v>
      </c>
      <c r="N44" s="122" t="str">
        <f>VLOOKUP(K44,[6]stage_hints!$A:$D,4,FALSE)</f>
        <v>覚醒するにはユニットのレベルを_x000D_最大まで上げる必要があります</v>
      </c>
      <c r="O44" s="36" t="s">
        <v>235</v>
      </c>
      <c r="P44">
        <v>14</v>
      </c>
    </row>
    <row r="45" spans="1:16" x14ac:dyDescent="0.15">
      <c r="A45" s="114" t="str">
        <f t="shared" si="0"/>
        <v>11002_4_11</v>
      </c>
      <c r="B45" s="115" t="s">
        <v>231</v>
      </c>
      <c r="C45" s="116">
        <v>11002</v>
      </c>
      <c r="D45" s="117" t="str">
        <f ca="1">VLOOKUP($C45,OFFSET([2]quests!$A$1,0,0,COUNTA([2]quests!$A:$A),MATCH(D$1,[2]quests!$1:$1,0)-MATCH($C$1,[2]quests!$1:$1,0)+1),MATCH(D$1,[2]quests!$1:$1,0)-MATCH($C$1,[2]quests!$1:$1,0)+1,FALSE)</f>
        <v>【火曜限定】 赤の素材</v>
      </c>
      <c r="E45" s="117" t="str">
        <f ca="1">VLOOKUP($C45,OFFSET([2]quests!$A$1,0,0,COUNTA([2]quests!$A:$A),MATCH(E$1,[2]quests!$1:$1,0)-MATCH($C$1,[2]quests!$1:$1,0)+1),MATCH(E$1,[2]quests!$1:$1,0)-MATCH($C$1,[2]quests!$1:$1,0)+1,FALSE)</f>
        <v>火曜クエスト</v>
      </c>
      <c r="F45" s="118">
        <v>4</v>
      </c>
      <c r="G45" s="117" t="str">
        <f ca="1">VLOOKUP($C45&amp;"_"&amp;$F45,OFFSET([2]stages!$A$1,0,0,COUNTA([2]stages!$A:$A),MATCH(G$1,[2]stages!$2:$2,0)-MATCH("temp_stage",[2]stages!$2:$2,0)+1),MATCH(G$1,[2]stages!$2:$2,0)-MATCH("temp_stage",[2]stages!$2:$2,0)+1,FALSE)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5" s="117" t="str">
        <f ca="1">VLOOKUP($C45&amp;"_"&amp;$F45,OFFSET([2]stages!$A$1,0,0,COUNTA([2]stages!$A:$A),MATCH(H$1,[2]stages!$2:$2,0)-MATCH("temp_stage",[2]stages!$2:$2,0)+1),MATCH(H$1,[2]stages!$2:$2,0)-MATCH("temp_stage",[2]stages!$2:$2,0)+1,FALSE)</f>
        <v>火曜クエスト</v>
      </c>
      <c r="I45" s="119">
        <v>0</v>
      </c>
      <c r="J45" s="118">
        <f>COUNTIF(C$1:C45,C45)</f>
        <v>11</v>
      </c>
      <c r="K45" s="120">
        <v>15</v>
      </c>
      <c r="L45" s="118" t="s">
        <v>241</v>
      </c>
      <c r="M45" s="121" t="str">
        <f>VLOOKUP(K45,[6]stage_hints!$A:$C,3,FALSE)</f>
        <v>覚醒素材を獲得</v>
      </c>
      <c r="N45" s="122" t="str">
        <f>VLOOKUP(K45,[6]stage_hints!$A:$D,4,FALSE)</f>
        <v>「曜日クエスト」では_x000D_ユニットの覚醒に必要な素材が手に入ります</v>
      </c>
      <c r="O45" s="36" t="s">
        <v>235</v>
      </c>
      <c r="P45">
        <v>15</v>
      </c>
    </row>
    <row r="46" spans="1:16" x14ac:dyDescent="0.15">
      <c r="A46" s="114" t="str">
        <f t="shared" si="0"/>
        <v>11002_4_12</v>
      </c>
      <c r="B46" s="115" t="s">
        <v>231</v>
      </c>
      <c r="C46" s="116">
        <v>11002</v>
      </c>
      <c r="D46" s="117" t="str">
        <f ca="1">VLOOKUP($C46,OFFSET([2]quests!$A$1,0,0,COUNTA([2]quests!$A:$A),MATCH(D$1,[2]quests!$1:$1,0)-MATCH($C$1,[2]quests!$1:$1,0)+1),MATCH(D$1,[2]quests!$1:$1,0)-MATCH($C$1,[2]quests!$1:$1,0)+1,FALSE)</f>
        <v>【火曜限定】 赤の素材</v>
      </c>
      <c r="E46" s="117" t="str">
        <f ca="1">VLOOKUP($C46,OFFSET([2]quests!$A$1,0,0,COUNTA([2]quests!$A:$A),MATCH(E$1,[2]quests!$1:$1,0)-MATCH($C$1,[2]quests!$1:$1,0)+1),MATCH(E$1,[2]quests!$1:$1,0)-MATCH($C$1,[2]quests!$1:$1,0)+1,FALSE)</f>
        <v>火曜クエスト</v>
      </c>
      <c r="F46" s="118">
        <v>4</v>
      </c>
      <c r="G46" s="117" t="str">
        <f ca="1">VLOOKUP($C46&amp;"_"&amp;$F46,OFFSET([2]stages!$A$1,0,0,COUNTA([2]stages!$A:$A),MATCH(G$1,[2]stages!$2:$2,0)-MATCH("temp_stage",[2]stages!$2:$2,0)+1),MATCH(G$1,[2]stages!$2:$2,0)-MATCH("temp_stage",[2]stages!$2:$2,0)+1,FALSE)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6" s="117" t="str">
        <f ca="1">VLOOKUP($C46&amp;"_"&amp;$F46,OFFSET([2]stages!$A$1,0,0,COUNTA([2]stages!$A:$A),MATCH(H$1,[2]stages!$2:$2,0)-MATCH("temp_stage",[2]stages!$2:$2,0)+1),MATCH(H$1,[2]stages!$2:$2,0)-MATCH("temp_stage",[2]stages!$2:$2,0)+1,FALSE)</f>
        <v>火曜クエスト</v>
      </c>
      <c r="I46" s="119">
        <v>0</v>
      </c>
      <c r="J46" s="118">
        <f>COUNTIF(C$1:C46,C46)</f>
        <v>12</v>
      </c>
      <c r="K46" s="120">
        <v>16</v>
      </c>
      <c r="L46" s="118" t="s">
        <v>234</v>
      </c>
      <c r="M46" s="121" t="str">
        <f>VLOOKUP(K46,[6]stage_hints!$A:$C,3,FALSE)</f>
        <v>マルチプレイのメリット（その1）</v>
      </c>
      <c r="N46" s="122" t="str">
        <f>VLOOKUP(K46,[6]stage_hints!$A:$D,4,FALSE)</f>
        <v>他のプレイヤーとマルチプレイで遊ぶと_x000D_ポリゴンがもらえます（100人まで）</v>
      </c>
      <c r="O46" s="36" t="s">
        <v>242</v>
      </c>
      <c r="P46">
        <v>16</v>
      </c>
    </row>
    <row r="47" spans="1:16" x14ac:dyDescent="0.15">
      <c r="A47" s="114" t="str">
        <f t="shared" si="0"/>
        <v>11002_4_13</v>
      </c>
      <c r="B47" s="115" t="s">
        <v>231</v>
      </c>
      <c r="C47" s="116">
        <v>11002</v>
      </c>
      <c r="D47" s="117" t="str">
        <f ca="1">VLOOKUP($C47,OFFSET([2]quests!$A$1,0,0,COUNTA([2]quests!$A:$A),MATCH(D$1,[2]quests!$1:$1,0)-MATCH($C$1,[2]quests!$1:$1,0)+1),MATCH(D$1,[2]quests!$1:$1,0)-MATCH($C$1,[2]quests!$1:$1,0)+1,FALSE)</f>
        <v>【火曜限定】 赤の素材</v>
      </c>
      <c r="E47" s="117" t="str">
        <f ca="1">VLOOKUP($C47,OFFSET([2]quests!$A$1,0,0,COUNTA([2]quests!$A:$A),MATCH(E$1,[2]quests!$1:$1,0)-MATCH($C$1,[2]quests!$1:$1,0)+1),MATCH(E$1,[2]quests!$1:$1,0)-MATCH($C$1,[2]quests!$1:$1,0)+1,FALSE)</f>
        <v>火曜クエスト</v>
      </c>
      <c r="F47" s="118">
        <v>4</v>
      </c>
      <c r="G47" s="117" t="str">
        <f ca="1">VLOOKUP($C47&amp;"_"&amp;$F47,OFFSET([2]stages!$A$1,0,0,COUNTA([2]stages!$A:$A),MATCH(G$1,[2]stages!$2:$2,0)-MATCH("temp_stage",[2]stages!$2:$2,0)+1),MATCH(G$1,[2]stages!$2:$2,0)-MATCH("temp_stage",[2]stages!$2:$2,0)+1,FALSE)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7" s="117" t="str">
        <f ca="1">VLOOKUP($C47&amp;"_"&amp;$F47,OFFSET([2]stages!$A$1,0,0,COUNTA([2]stages!$A:$A),MATCH(H$1,[2]stages!$2:$2,0)-MATCH("temp_stage",[2]stages!$2:$2,0)+1),MATCH(H$1,[2]stages!$2:$2,0)-MATCH("temp_stage",[2]stages!$2:$2,0)+1,FALSE)</f>
        <v>火曜クエスト</v>
      </c>
      <c r="I47" s="119">
        <v>0</v>
      </c>
      <c r="J47" s="118">
        <f>COUNTIF(C$1:C47,C47)</f>
        <v>13</v>
      </c>
      <c r="K47" s="120">
        <v>17</v>
      </c>
      <c r="L47" s="118" t="s">
        <v>263</v>
      </c>
      <c r="M47" s="121" t="str">
        <f>VLOOKUP(K47,[6]stage_hints!$A:$C,3,FALSE)</f>
        <v>リンクガチャ</v>
      </c>
      <c r="N47" s="122" t="str">
        <f>VLOOKUP(K47,[6]stage_hints!$A:$D,4,FALSE)</f>
        <v>無料のリンクガチャを回して_x000D_経験値素材や売却素材を獲得しましょう</v>
      </c>
      <c r="O47" s="36" t="s">
        <v>235</v>
      </c>
      <c r="P47">
        <v>17</v>
      </c>
    </row>
    <row r="48" spans="1:16" x14ac:dyDescent="0.15">
      <c r="A48" s="114" t="str">
        <f t="shared" si="0"/>
        <v>11002_4_14</v>
      </c>
      <c r="B48" s="115" t="s">
        <v>231</v>
      </c>
      <c r="C48" s="116">
        <v>11002</v>
      </c>
      <c r="D48" s="117" t="str">
        <f ca="1">VLOOKUP($C48,OFFSET([2]quests!$A$1,0,0,COUNTA([2]quests!$A:$A),MATCH(D$1,[2]quests!$1:$1,0)-MATCH($C$1,[2]quests!$1:$1,0)+1),MATCH(D$1,[2]quests!$1:$1,0)-MATCH($C$1,[2]quests!$1:$1,0)+1,FALSE)</f>
        <v>【火曜限定】 赤の素材</v>
      </c>
      <c r="E48" s="117" t="str">
        <f ca="1">VLOOKUP($C48,OFFSET([2]quests!$A$1,0,0,COUNTA([2]quests!$A:$A),MATCH(E$1,[2]quests!$1:$1,0)-MATCH($C$1,[2]quests!$1:$1,0)+1),MATCH(E$1,[2]quests!$1:$1,0)-MATCH($C$1,[2]quests!$1:$1,0)+1,FALSE)</f>
        <v>火曜クエスト</v>
      </c>
      <c r="F48" s="118">
        <v>4</v>
      </c>
      <c r="G48" s="117" t="str">
        <f ca="1">VLOOKUP($C48&amp;"_"&amp;$F48,OFFSET([2]stages!$A$1,0,0,COUNTA([2]stages!$A:$A),MATCH(G$1,[2]stages!$2:$2,0)-MATCH("temp_stage",[2]stages!$2:$2,0)+1),MATCH(G$1,[2]stages!$2:$2,0)-MATCH("temp_stage",[2]stages!$2:$2,0)+1,FALSE)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8" s="117" t="str">
        <f ca="1">VLOOKUP($C48&amp;"_"&amp;$F48,OFFSET([2]stages!$A$1,0,0,COUNTA([2]stages!$A:$A),MATCH(H$1,[2]stages!$2:$2,0)-MATCH("temp_stage",[2]stages!$2:$2,0)+1),MATCH(H$1,[2]stages!$2:$2,0)-MATCH("temp_stage",[2]stages!$2:$2,0)+1,FALSE)</f>
        <v>火曜クエスト</v>
      </c>
      <c r="I48" s="119">
        <v>0</v>
      </c>
      <c r="J48" s="118">
        <f>COUNTIF(C$1:C48,C48)</f>
        <v>14</v>
      </c>
      <c r="K48" s="120">
        <v>18</v>
      </c>
      <c r="L48" s="118" t="s">
        <v>234</v>
      </c>
      <c r="M48" s="121" t="str">
        <f>VLOOKUP(K48,[6]stage_hints!$A:$C,3,FALSE)</f>
        <v>マルチプレイのメリット（その2）</v>
      </c>
      <c r="N48" s="122" t="str">
        <f>VLOOKUP(K48,[6]stage_hints!$A:$D,4,FALSE)</f>
        <v>マルチプレイならリンクが2倍もらえます_x000D_リンクガチャをたくさん回しましょう</v>
      </c>
      <c r="O48" s="36" t="s">
        <v>258</v>
      </c>
      <c r="P48">
        <v>18</v>
      </c>
    </row>
    <row r="49" spans="1:16" x14ac:dyDescent="0.15">
      <c r="A49" s="114" t="str">
        <f t="shared" si="0"/>
        <v>11002_4_15</v>
      </c>
      <c r="B49" s="115" t="s">
        <v>231</v>
      </c>
      <c r="C49" s="116">
        <v>11002</v>
      </c>
      <c r="D49" s="117" t="str">
        <f ca="1">VLOOKUP($C49,OFFSET([2]quests!$A$1,0,0,COUNTA([2]quests!$A:$A),MATCH(D$1,[2]quests!$1:$1,0)-MATCH($C$1,[2]quests!$1:$1,0)+1),MATCH(D$1,[2]quests!$1:$1,0)-MATCH($C$1,[2]quests!$1:$1,0)+1,FALSE)</f>
        <v>【火曜限定】 赤の素材</v>
      </c>
      <c r="E49" s="117" t="str">
        <f ca="1">VLOOKUP($C49,OFFSET([2]quests!$A$1,0,0,COUNTA([2]quests!$A:$A),MATCH(E$1,[2]quests!$1:$1,0)-MATCH($C$1,[2]quests!$1:$1,0)+1),MATCH(E$1,[2]quests!$1:$1,0)-MATCH($C$1,[2]quests!$1:$1,0)+1,FALSE)</f>
        <v>火曜クエスト</v>
      </c>
      <c r="F49" s="118">
        <v>4</v>
      </c>
      <c r="G49" s="117" t="str">
        <f ca="1">VLOOKUP($C49&amp;"_"&amp;$F49,OFFSET([2]stages!$A$1,0,0,COUNTA([2]stages!$A:$A),MATCH(G$1,[2]stages!$2:$2,0)-MATCH("temp_stage",[2]stages!$2:$2,0)+1),MATCH(G$1,[2]stages!$2:$2,0)-MATCH("temp_stage",[2]stages!$2:$2,0)+1,FALSE)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49" s="117" t="str">
        <f ca="1">VLOOKUP($C49&amp;"_"&amp;$F49,OFFSET([2]stages!$A$1,0,0,COUNTA([2]stages!$A:$A),MATCH(H$1,[2]stages!$2:$2,0)-MATCH("temp_stage",[2]stages!$2:$2,0)+1),MATCH(H$1,[2]stages!$2:$2,0)-MATCH("temp_stage",[2]stages!$2:$2,0)+1,FALSE)</f>
        <v>火曜クエスト</v>
      </c>
      <c r="I49" s="119">
        <v>0</v>
      </c>
      <c r="J49" s="118">
        <f>COUNTIF(C$1:C49,C49)</f>
        <v>15</v>
      </c>
      <c r="K49" s="120">
        <v>19</v>
      </c>
      <c r="L49" s="118" t="s">
        <v>264</v>
      </c>
      <c r="M49" s="121" t="str">
        <f>VLOOKUP(K49,[6]stage_hints!$A:$C,3,FALSE)</f>
        <v>ソロ専用タワーオブザクイーン</v>
      </c>
      <c r="N49" s="122" t="str">
        <f>VLOOKUP(K49,[6]stage_hints!$A:$D,4,FALSE)</f>
        <v>ソロ専用の「タワーオブザクイーン」は_x000D_期間限定で定期的に開催されます_x000D_ここでしか獲得できない報酬もあるようです</v>
      </c>
      <c r="O49" s="36" t="s">
        <v>242</v>
      </c>
      <c r="P49">
        <v>19</v>
      </c>
    </row>
    <row r="50" spans="1:16" x14ac:dyDescent="0.15">
      <c r="A50" s="114" t="str">
        <f t="shared" si="0"/>
        <v>11002_4_16</v>
      </c>
      <c r="B50" s="115" t="s">
        <v>231</v>
      </c>
      <c r="C50" s="116">
        <v>11002</v>
      </c>
      <c r="D50" s="117" t="str">
        <f ca="1">VLOOKUP($C50,OFFSET([2]quests!$A$1,0,0,COUNTA([2]quests!$A:$A),MATCH(D$1,[2]quests!$1:$1,0)-MATCH($C$1,[2]quests!$1:$1,0)+1),MATCH(D$1,[2]quests!$1:$1,0)-MATCH($C$1,[2]quests!$1:$1,0)+1,FALSE)</f>
        <v>【火曜限定】 赤の素材</v>
      </c>
      <c r="E50" s="117" t="str">
        <f ca="1">VLOOKUP($C50,OFFSET([2]quests!$A$1,0,0,COUNTA([2]quests!$A:$A),MATCH(E$1,[2]quests!$1:$1,0)-MATCH($C$1,[2]quests!$1:$1,0)+1),MATCH(E$1,[2]quests!$1:$1,0)-MATCH($C$1,[2]quests!$1:$1,0)+1,FALSE)</f>
        <v>火曜クエスト</v>
      </c>
      <c r="F50" s="118">
        <v>4</v>
      </c>
      <c r="G50" s="117" t="str">
        <f ca="1">VLOOKUP($C50&amp;"_"&amp;$F50,OFFSET([2]stages!$A$1,0,0,COUNTA([2]stages!$A:$A),MATCH(G$1,[2]stages!$2:$2,0)-MATCH("temp_stage",[2]stages!$2:$2,0)+1),MATCH(G$1,[2]stages!$2:$2,0)-MATCH("temp_stage",[2]stages!$2:$2,0)+1,FALSE)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0" s="117" t="str">
        <f ca="1">VLOOKUP($C50&amp;"_"&amp;$F50,OFFSET([2]stages!$A$1,0,0,COUNTA([2]stages!$A:$A),MATCH(H$1,[2]stages!$2:$2,0)-MATCH("temp_stage",[2]stages!$2:$2,0)+1),MATCH(H$1,[2]stages!$2:$2,0)-MATCH("temp_stage",[2]stages!$2:$2,0)+1,FALSE)</f>
        <v>火曜クエスト</v>
      </c>
      <c r="I50" s="119">
        <v>0</v>
      </c>
      <c r="J50" s="118">
        <f>COUNTIF(C$1:C50,C50)</f>
        <v>16</v>
      </c>
      <c r="K50" s="120">
        <v>20</v>
      </c>
      <c r="L50" s="118" t="s">
        <v>256</v>
      </c>
      <c r="M50" s="121" t="str">
        <f>VLOOKUP(K50,[6]stage_hints!$A:$C,3,FALSE)</f>
        <v>マルチプレイのメリット（その3）</v>
      </c>
      <c r="N50" s="122" t="str">
        <f>VLOOKUP(K50,[6]stage_hints!$A:$D,4,FALSE)</f>
        <v>マルチプレイへの参加はエナジー消費ゼロ_x000D_いつでも好きなだけ遊ぶことができます</v>
      </c>
      <c r="O50" s="36" t="s">
        <v>255</v>
      </c>
      <c r="P50">
        <v>20</v>
      </c>
    </row>
    <row r="51" spans="1:16" x14ac:dyDescent="0.15">
      <c r="A51" s="114" t="str">
        <f t="shared" si="0"/>
        <v>11002_4_17</v>
      </c>
      <c r="B51" s="115" t="s">
        <v>231</v>
      </c>
      <c r="C51" s="116">
        <v>11002</v>
      </c>
      <c r="D51" s="117" t="str">
        <f ca="1">VLOOKUP($C51,OFFSET([2]quests!$A$1,0,0,COUNTA([2]quests!$A:$A),MATCH(D$1,[2]quests!$1:$1,0)-MATCH($C$1,[2]quests!$1:$1,0)+1),MATCH(D$1,[2]quests!$1:$1,0)-MATCH($C$1,[2]quests!$1:$1,0)+1,FALSE)</f>
        <v>【火曜限定】 赤の素材</v>
      </c>
      <c r="E51" s="117" t="str">
        <f ca="1">VLOOKUP($C51,OFFSET([2]quests!$A$1,0,0,COUNTA([2]quests!$A:$A),MATCH(E$1,[2]quests!$1:$1,0)-MATCH($C$1,[2]quests!$1:$1,0)+1),MATCH(E$1,[2]quests!$1:$1,0)-MATCH($C$1,[2]quests!$1:$1,0)+1,FALSE)</f>
        <v>火曜クエスト</v>
      </c>
      <c r="F51" s="118">
        <v>4</v>
      </c>
      <c r="G51" s="117" t="str">
        <f ca="1">VLOOKUP($C51&amp;"_"&amp;$F51,OFFSET([2]stages!$A$1,0,0,COUNTA([2]stages!$A:$A),MATCH(G$1,[2]stages!$2:$2,0)-MATCH("temp_stage",[2]stages!$2:$2,0)+1),MATCH(G$1,[2]stages!$2:$2,0)-MATCH("temp_stage",[2]stages!$2:$2,0)+1,FALSE)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1" s="117" t="str">
        <f ca="1">VLOOKUP($C51&amp;"_"&amp;$F51,OFFSET([2]stages!$A$1,0,0,COUNTA([2]stages!$A:$A),MATCH(H$1,[2]stages!$2:$2,0)-MATCH("temp_stage",[2]stages!$2:$2,0)+1),MATCH(H$1,[2]stages!$2:$2,0)-MATCH("temp_stage",[2]stages!$2:$2,0)+1,FALSE)</f>
        <v>火曜クエスト</v>
      </c>
      <c r="I51" s="119">
        <v>0</v>
      </c>
      <c r="J51" s="118">
        <f>COUNTIF(C$1:C51,C51)</f>
        <v>17</v>
      </c>
      <c r="K51" s="120">
        <v>21</v>
      </c>
      <c r="L51" s="118" t="s">
        <v>241</v>
      </c>
      <c r="M51" s="121" t="str">
        <f>VLOOKUP(K51,[6]stage_hints!$A:$C,3,FALSE)</f>
        <v>スキルを有効に</v>
      </c>
      <c r="N51" s="122" t="str">
        <f>VLOOKUP(K51,[6]stage_hints!$A:$D,4,FALSE)</f>
        <v>ターン経過でユニットのスキルが使えます_x000D_強力スキルでバトルを有利に進めましょう</v>
      </c>
      <c r="O51" s="36" t="s">
        <v>265</v>
      </c>
      <c r="P51">
        <v>21</v>
      </c>
    </row>
    <row r="52" spans="1:16" x14ac:dyDescent="0.15">
      <c r="A52" s="114" t="str">
        <f t="shared" si="0"/>
        <v>11002_4_18</v>
      </c>
      <c r="B52" s="115" t="s">
        <v>231</v>
      </c>
      <c r="C52" s="116">
        <v>11002</v>
      </c>
      <c r="D52" s="117" t="str">
        <f ca="1">VLOOKUP($C52,OFFSET([2]quests!$A$1,0,0,COUNTA([2]quests!$A:$A),MATCH(D$1,[2]quests!$1:$1,0)-MATCH($C$1,[2]quests!$1:$1,0)+1),MATCH(D$1,[2]quests!$1:$1,0)-MATCH($C$1,[2]quests!$1:$1,0)+1,FALSE)</f>
        <v>【火曜限定】 赤の素材</v>
      </c>
      <c r="E52" s="117" t="str">
        <f ca="1">VLOOKUP($C52,OFFSET([2]quests!$A$1,0,0,COUNTA([2]quests!$A:$A),MATCH(E$1,[2]quests!$1:$1,0)-MATCH($C$1,[2]quests!$1:$1,0)+1),MATCH(E$1,[2]quests!$1:$1,0)-MATCH($C$1,[2]quests!$1:$1,0)+1,FALSE)</f>
        <v>火曜クエスト</v>
      </c>
      <c r="F52" s="118">
        <v>4</v>
      </c>
      <c r="G52" s="117" t="str">
        <f ca="1">VLOOKUP($C52&amp;"_"&amp;$F52,OFFSET([2]stages!$A$1,0,0,COUNTA([2]stages!$A:$A),MATCH(G$1,[2]stages!$2:$2,0)-MATCH("temp_stage",[2]stages!$2:$2,0)+1),MATCH(G$1,[2]stages!$2:$2,0)-MATCH("temp_stage",[2]stages!$2:$2,0)+1,FALSE)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2" s="117" t="str">
        <f ca="1">VLOOKUP($C52&amp;"_"&amp;$F52,OFFSET([2]stages!$A$1,0,0,COUNTA([2]stages!$A:$A),MATCH(H$1,[2]stages!$2:$2,0)-MATCH("temp_stage",[2]stages!$2:$2,0)+1),MATCH(H$1,[2]stages!$2:$2,0)-MATCH("temp_stage",[2]stages!$2:$2,0)+1,FALSE)</f>
        <v>火曜クエスト</v>
      </c>
      <c r="I52" s="119">
        <v>0</v>
      </c>
      <c r="J52" s="118">
        <f>COUNTIF(C$1:C52,C52)</f>
        <v>18</v>
      </c>
      <c r="K52" s="120">
        <v>22</v>
      </c>
      <c r="L52" s="118" t="s">
        <v>234</v>
      </c>
      <c r="M52" s="121" t="str">
        <f>VLOOKUP(K52,[6]stage_hints!$A:$C,3,FALSE)</f>
        <v>フィーバーで一発逆転（その1）</v>
      </c>
      <c r="N52" s="122" t="str">
        <f>VLOOKUP(K52,[6]stage_hints!$A:$D,4,FALSE)</f>
        <v>フィーバーは攻撃と回復を兼ね備えます_x000D_ピンチからの一発逆転を狙いましょう</v>
      </c>
      <c r="O52" s="36" t="s">
        <v>266</v>
      </c>
      <c r="P52">
        <v>22</v>
      </c>
    </row>
    <row r="53" spans="1:16" x14ac:dyDescent="0.15">
      <c r="A53" s="114" t="str">
        <f t="shared" si="0"/>
        <v>11002_4_19</v>
      </c>
      <c r="B53" s="115" t="s">
        <v>231</v>
      </c>
      <c r="C53" s="116">
        <v>11002</v>
      </c>
      <c r="D53" s="117" t="str">
        <f ca="1">VLOOKUP($C53,OFFSET([2]quests!$A$1,0,0,COUNTA([2]quests!$A:$A),MATCH(D$1,[2]quests!$1:$1,0)-MATCH($C$1,[2]quests!$1:$1,0)+1),MATCH(D$1,[2]quests!$1:$1,0)-MATCH($C$1,[2]quests!$1:$1,0)+1,FALSE)</f>
        <v>【火曜限定】 赤の素材</v>
      </c>
      <c r="E53" s="117" t="str">
        <f ca="1">VLOOKUP($C53,OFFSET([2]quests!$A$1,0,0,COUNTA([2]quests!$A:$A),MATCH(E$1,[2]quests!$1:$1,0)-MATCH($C$1,[2]quests!$1:$1,0)+1),MATCH(E$1,[2]quests!$1:$1,0)-MATCH($C$1,[2]quests!$1:$1,0)+1,FALSE)</f>
        <v>火曜クエスト</v>
      </c>
      <c r="F53" s="118">
        <v>4</v>
      </c>
      <c r="G53" s="117" t="str">
        <f ca="1">VLOOKUP($C53&amp;"_"&amp;$F53,OFFSET([2]stages!$A$1,0,0,COUNTA([2]stages!$A:$A),MATCH(G$1,[2]stages!$2:$2,0)-MATCH("temp_stage",[2]stages!$2:$2,0)+1),MATCH(G$1,[2]stages!$2:$2,0)-MATCH("temp_stage",[2]stages!$2:$2,0)+1,FALSE)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3" s="117" t="str">
        <f ca="1">VLOOKUP($C53&amp;"_"&amp;$F53,OFFSET([2]stages!$A$1,0,0,COUNTA([2]stages!$A:$A),MATCH(H$1,[2]stages!$2:$2,0)-MATCH("temp_stage",[2]stages!$2:$2,0)+1),MATCH(H$1,[2]stages!$2:$2,0)-MATCH("temp_stage",[2]stages!$2:$2,0)+1,FALSE)</f>
        <v>火曜クエスト</v>
      </c>
      <c r="I53" s="119">
        <v>0</v>
      </c>
      <c r="J53" s="118">
        <f>COUNTIF(C$1:C53,C53)</f>
        <v>19</v>
      </c>
      <c r="K53" s="120">
        <v>23</v>
      </c>
      <c r="L53" s="118" t="s">
        <v>267</v>
      </c>
      <c r="M53" s="121" t="str">
        <f>VLOOKUP(K53,[6]stage_hints!$A:$C,3,FALSE)</f>
        <v>フィーバーで一発逆転（その2）</v>
      </c>
      <c r="N53" s="122" t="str">
        <f>VLOOKUP(K53,[6]stage_hints!$A:$D,4,FALSE)</f>
        <v>フィーバー中は虹色のボムパネルを狙って_x000D_画面上のパネルを一気に破壊しましょう</v>
      </c>
      <c r="O53" s="36" t="s">
        <v>255</v>
      </c>
      <c r="P53">
        <v>23</v>
      </c>
    </row>
    <row r="54" spans="1:16" x14ac:dyDescent="0.15">
      <c r="A54" s="114" t="str">
        <f t="shared" si="0"/>
        <v>11002_4_20</v>
      </c>
      <c r="B54" s="115" t="s">
        <v>231</v>
      </c>
      <c r="C54" s="116">
        <v>11002</v>
      </c>
      <c r="D54" s="117" t="str">
        <f ca="1">VLOOKUP($C54,OFFSET([2]quests!$A$1,0,0,COUNTA([2]quests!$A:$A),MATCH(D$1,[2]quests!$1:$1,0)-MATCH($C$1,[2]quests!$1:$1,0)+1),MATCH(D$1,[2]quests!$1:$1,0)-MATCH($C$1,[2]quests!$1:$1,0)+1,FALSE)</f>
        <v>【火曜限定】 赤の素材</v>
      </c>
      <c r="E54" s="117" t="str">
        <f ca="1">VLOOKUP($C54,OFFSET([2]quests!$A$1,0,0,COUNTA([2]quests!$A:$A),MATCH(E$1,[2]quests!$1:$1,0)-MATCH($C$1,[2]quests!$1:$1,0)+1),MATCH(E$1,[2]quests!$1:$1,0)-MATCH($C$1,[2]quests!$1:$1,0)+1,FALSE)</f>
        <v>火曜クエスト</v>
      </c>
      <c r="F54" s="118">
        <v>4</v>
      </c>
      <c r="G54" s="117" t="str">
        <f ca="1">VLOOKUP($C54&amp;"_"&amp;$F54,OFFSET([2]stages!$A$1,0,0,COUNTA([2]stages!$A:$A),MATCH(G$1,[2]stages!$2:$2,0)-MATCH("temp_stage",[2]stages!$2:$2,0)+1),MATCH(G$1,[2]stages!$2:$2,0)-MATCH("temp_stage",[2]stages!$2:$2,0)+1,FALSE)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4" s="117" t="str">
        <f ca="1">VLOOKUP($C54&amp;"_"&amp;$F54,OFFSET([2]stages!$A$1,0,0,COUNTA([2]stages!$A:$A),MATCH(H$1,[2]stages!$2:$2,0)-MATCH("temp_stage",[2]stages!$2:$2,0)+1),MATCH(H$1,[2]stages!$2:$2,0)-MATCH("temp_stage",[2]stages!$2:$2,0)+1,FALSE)</f>
        <v>火曜クエスト</v>
      </c>
      <c r="I54" s="119">
        <v>0</v>
      </c>
      <c r="J54" s="118">
        <f>COUNTIF(C$1:C54,C54)</f>
        <v>20</v>
      </c>
      <c r="K54" s="120">
        <v>24</v>
      </c>
      <c r="L54" s="118" t="s">
        <v>234</v>
      </c>
      <c r="M54" s="121" t="str">
        <f>VLOOKUP(K54,[6]stage_hints!$A:$C,3,FALSE)</f>
        <v>果実を使って限界突破</v>
      </c>
      <c r="N54" s="122" t="str">
        <f>VLOOKUP(K54,[6]stage_hints!$A:$D,4,FALSE)</f>
        <v>攻めの果実 癒しの果実_x000D_生命の果実をユニット強化に使うと_x000D_ステータスが限界突破します（計99個迄）</v>
      </c>
      <c r="O54" s="36" t="s">
        <v>268</v>
      </c>
      <c r="P54">
        <v>24</v>
      </c>
    </row>
    <row r="55" spans="1:16" x14ac:dyDescent="0.15">
      <c r="A55" s="114" t="str">
        <f t="shared" si="0"/>
        <v>11002_4_21</v>
      </c>
      <c r="B55" s="115" t="s">
        <v>231</v>
      </c>
      <c r="C55" s="116">
        <v>11002</v>
      </c>
      <c r="D55" s="117" t="str">
        <f ca="1">VLOOKUP($C55,OFFSET([2]quests!$A$1,0,0,COUNTA([2]quests!$A:$A),MATCH(D$1,[2]quests!$1:$1,0)-MATCH($C$1,[2]quests!$1:$1,0)+1),MATCH(D$1,[2]quests!$1:$1,0)-MATCH($C$1,[2]quests!$1:$1,0)+1,FALSE)</f>
        <v>【火曜限定】 赤の素材</v>
      </c>
      <c r="E55" s="117" t="str">
        <f ca="1">VLOOKUP($C55,OFFSET([2]quests!$A$1,0,0,COUNTA([2]quests!$A:$A),MATCH(E$1,[2]quests!$1:$1,0)-MATCH($C$1,[2]quests!$1:$1,0)+1),MATCH(E$1,[2]quests!$1:$1,0)-MATCH($C$1,[2]quests!$1:$1,0)+1,FALSE)</f>
        <v>火曜クエスト</v>
      </c>
      <c r="F55" s="118">
        <v>4</v>
      </c>
      <c r="G55" s="117" t="str">
        <f ca="1">VLOOKUP($C55&amp;"_"&amp;$F55,OFFSET([2]stages!$A$1,0,0,COUNTA([2]stages!$A:$A),MATCH(G$1,[2]stages!$2:$2,0)-MATCH("temp_stage",[2]stages!$2:$2,0)+1),MATCH(G$1,[2]stages!$2:$2,0)-MATCH("temp_stage",[2]stages!$2:$2,0)+1,FALSE)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5" s="117" t="str">
        <f ca="1">VLOOKUP($C55&amp;"_"&amp;$F55,OFFSET([2]stages!$A$1,0,0,COUNTA([2]stages!$A:$A),MATCH(H$1,[2]stages!$2:$2,0)-MATCH("temp_stage",[2]stages!$2:$2,0)+1),MATCH(H$1,[2]stages!$2:$2,0)-MATCH("temp_stage",[2]stages!$2:$2,0)+1,FALSE)</f>
        <v>火曜クエスト</v>
      </c>
      <c r="I55" s="119">
        <v>0</v>
      </c>
      <c r="J55" s="118">
        <f>COUNTIF(C$1:C55,C55)</f>
        <v>21</v>
      </c>
      <c r="K55" s="120">
        <v>25</v>
      </c>
      <c r="L55" s="118" t="s">
        <v>234</v>
      </c>
      <c r="M55" s="121" t="str">
        <f>VLOOKUP(K55,[6]stage_hints!$A:$C,3,FALSE)</f>
        <v>スキルレベルアップ</v>
      </c>
      <c r="N55" s="122" t="str">
        <f>VLOOKUP(K55,[6]stage_hints!$A:$D,4,FALSE)</f>
        <v>「秘術の果実」を強化に使うと_x000D_スキルレベルを上げることができます</v>
      </c>
      <c r="O55" s="36" t="s">
        <v>235</v>
      </c>
      <c r="P55">
        <v>25</v>
      </c>
    </row>
    <row r="56" spans="1:16" x14ac:dyDescent="0.15">
      <c r="A56" s="114" t="str">
        <f t="shared" si="0"/>
        <v>11002_4_22</v>
      </c>
      <c r="B56" s="115" t="s">
        <v>231</v>
      </c>
      <c r="C56" s="116">
        <v>11002</v>
      </c>
      <c r="D56" s="117" t="str">
        <f ca="1">VLOOKUP($C56,OFFSET([2]quests!$A$1,0,0,COUNTA([2]quests!$A:$A),MATCH(D$1,[2]quests!$1:$1,0)-MATCH($C$1,[2]quests!$1:$1,0)+1),MATCH(D$1,[2]quests!$1:$1,0)-MATCH($C$1,[2]quests!$1:$1,0)+1,FALSE)</f>
        <v>【火曜限定】 赤の素材</v>
      </c>
      <c r="E56" s="117" t="str">
        <f ca="1">VLOOKUP($C56,OFFSET([2]quests!$A$1,0,0,COUNTA([2]quests!$A:$A),MATCH(E$1,[2]quests!$1:$1,0)-MATCH($C$1,[2]quests!$1:$1,0)+1),MATCH(E$1,[2]quests!$1:$1,0)-MATCH($C$1,[2]quests!$1:$1,0)+1,FALSE)</f>
        <v>火曜クエスト</v>
      </c>
      <c r="F56" s="118">
        <v>4</v>
      </c>
      <c r="G56" s="117" t="str">
        <f ca="1">VLOOKUP($C56&amp;"_"&amp;$F56,OFFSET([2]stages!$A$1,0,0,COUNTA([2]stages!$A:$A),MATCH(G$1,[2]stages!$2:$2,0)-MATCH("temp_stage",[2]stages!$2:$2,0)+1),MATCH(G$1,[2]stages!$2:$2,0)-MATCH("temp_stage",[2]stages!$2:$2,0)+1,FALSE)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6" s="117" t="str">
        <f ca="1">VLOOKUP($C56&amp;"_"&amp;$F56,OFFSET([2]stages!$A$1,0,0,COUNTA([2]stages!$A:$A),MATCH(H$1,[2]stages!$2:$2,0)-MATCH("temp_stage",[2]stages!$2:$2,0)+1),MATCH(H$1,[2]stages!$2:$2,0)-MATCH("temp_stage",[2]stages!$2:$2,0)+1,FALSE)</f>
        <v>火曜クエスト</v>
      </c>
      <c r="I56" s="119">
        <v>0</v>
      </c>
      <c r="J56" s="118">
        <f>COUNTIF(C$1:C56,C56)</f>
        <v>22</v>
      </c>
      <c r="K56" s="120">
        <v>26</v>
      </c>
      <c r="L56" s="118" t="s">
        <v>269</v>
      </c>
      <c r="M56" s="121" t="str">
        <f>VLOOKUP(K56,[6]stage_hints!$A:$C,3,FALSE)</f>
        <v>スキルレベルの効果</v>
      </c>
      <c r="N56" s="122" t="str">
        <f>VLOOKUP(K56,[6]stage_hints!$A:$D,4,FALSE)</f>
        <v>スキルレベルが上がると_x000D_短いターンでスキルを使うことができます</v>
      </c>
      <c r="O56" s="36" t="s">
        <v>270</v>
      </c>
      <c r="P56">
        <v>26</v>
      </c>
    </row>
    <row r="57" spans="1:16" x14ac:dyDescent="0.15">
      <c r="A57" s="114" t="str">
        <f t="shared" si="0"/>
        <v>11002_4_23</v>
      </c>
      <c r="B57" s="115" t="s">
        <v>231</v>
      </c>
      <c r="C57" s="116">
        <v>11002</v>
      </c>
      <c r="D57" s="117" t="str">
        <f ca="1">VLOOKUP($C57,OFFSET([2]quests!$A$1,0,0,COUNTA([2]quests!$A:$A),MATCH(D$1,[2]quests!$1:$1,0)-MATCH($C$1,[2]quests!$1:$1,0)+1),MATCH(D$1,[2]quests!$1:$1,0)-MATCH($C$1,[2]quests!$1:$1,0)+1,FALSE)</f>
        <v>【火曜限定】 赤の素材</v>
      </c>
      <c r="E57" s="117" t="str">
        <f ca="1">VLOOKUP($C57,OFFSET([2]quests!$A$1,0,0,COUNTA([2]quests!$A:$A),MATCH(E$1,[2]quests!$1:$1,0)-MATCH($C$1,[2]quests!$1:$1,0)+1),MATCH(E$1,[2]quests!$1:$1,0)-MATCH($C$1,[2]quests!$1:$1,0)+1,FALSE)</f>
        <v>火曜クエスト</v>
      </c>
      <c r="F57" s="118">
        <v>4</v>
      </c>
      <c r="G57" s="117" t="str">
        <f ca="1">VLOOKUP($C57&amp;"_"&amp;$F57,OFFSET([2]stages!$A$1,0,0,COUNTA([2]stages!$A:$A),MATCH(G$1,[2]stages!$2:$2,0)-MATCH("temp_stage",[2]stages!$2:$2,0)+1),MATCH(G$1,[2]stages!$2:$2,0)-MATCH("temp_stage",[2]stages!$2:$2,0)+1,FALSE)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7" s="117" t="str">
        <f ca="1">VLOOKUP($C57&amp;"_"&amp;$F57,OFFSET([2]stages!$A$1,0,0,COUNTA([2]stages!$A:$A),MATCH(H$1,[2]stages!$2:$2,0)-MATCH("temp_stage",[2]stages!$2:$2,0)+1),MATCH(H$1,[2]stages!$2:$2,0)-MATCH("temp_stage",[2]stages!$2:$2,0)+1,FALSE)</f>
        <v>火曜クエスト</v>
      </c>
      <c r="I57" s="119">
        <v>0</v>
      </c>
      <c r="J57" s="118">
        <f>COUNTIF(C$1:C57,C57)</f>
        <v>23</v>
      </c>
      <c r="K57" s="120">
        <v>27</v>
      </c>
      <c r="L57" s="118" t="s">
        <v>234</v>
      </c>
      <c r="M57" s="121" t="str">
        <f>VLOOKUP(K57,[6]stage_hints!$A:$C,3,FALSE)</f>
        <v>ホーム画面からデッキを編成</v>
      </c>
      <c r="N57" s="122" t="str">
        <f>VLOOKUP(K57,[6]stage_hints!$A:$D,4,FALSE)</f>
        <v>ホーム画面でユニットを長押しすると_x000D_すぐにパーティ編成に移動できます</v>
      </c>
      <c r="O57" s="36" t="s">
        <v>271</v>
      </c>
      <c r="P57">
        <v>27</v>
      </c>
    </row>
    <row r="58" spans="1:16" x14ac:dyDescent="0.15">
      <c r="A58" s="114" t="str">
        <f t="shared" si="0"/>
        <v>11002_4_24</v>
      </c>
      <c r="B58" s="115" t="s">
        <v>231</v>
      </c>
      <c r="C58" s="116">
        <v>11002</v>
      </c>
      <c r="D58" s="117" t="str">
        <f ca="1">VLOOKUP($C58,OFFSET([2]quests!$A$1,0,0,COUNTA([2]quests!$A:$A),MATCH(D$1,[2]quests!$1:$1,0)-MATCH($C$1,[2]quests!$1:$1,0)+1),MATCH(D$1,[2]quests!$1:$1,0)-MATCH($C$1,[2]quests!$1:$1,0)+1,FALSE)</f>
        <v>【火曜限定】 赤の素材</v>
      </c>
      <c r="E58" s="117" t="str">
        <f ca="1">VLOOKUP($C58,OFFSET([2]quests!$A$1,0,0,COUNTA([2]quests!$A:$A),MATCH(E$1,[2]quests!$1:$1,0)-MATCH($C$1,[2]quests!$1:$1,0)+1),MATCH(E$1,[2]quests!$1:$1,0)-MATCH($C$1,[2]quests!$1:$1,0)+1,FALSE)</f>
        <v>火曜クエスト</v>
      </c>
      <c r="F58" s="118">
        <v>4</v>
      </c>
      <c r="G58" s="117" t="str">
        <f ca="1">VLOOKUP($C58&amp;"_"&amp;$F58,OFFSET([2]stages!$A$1,0,0,COUNTA([2]stages!$A:$A),MATCH(G$1,[2]stages!$2:$2,0)-MATCH("temp_stage",[2]stages!$2:$2,0)+1),MATCH(G$1,[2]stages!$2:$2,0)-MATCH("temp_stage",[2]stages!$2:$2,0)+1,FALSE)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8" s="117" t="str">
        <f ca="1">VLOOKUP($C58&amp;"_"&amp;$F58,OFFSET([2]stages!$A$1,0,0,COUNTA([2]stages!$A:$A),MATCH(H$1,[2]stages!$2:$2,0)-MATCH("temp_stage",[2]stages!$2:$2,0)+1),MATCH(H$1,[2]stages!$2:$2,0)-MATCH("temp_stage",[2]stages!$2:$2,0)+1,FALSE)</f>
        <v>火曜クエスト</v>
      </c>
      <c r="I58" s="119">
        <v>0</v>
      </c>
      <c r="J58" s="118">
        <f>COUNTIF(C$1:C58,C58)</f>
        <v>24</v>
      </c>
      <c r="K58" s="120">
        <v>28</v>
      </c>
      <c r="L58" s="118" t="s">
        <v>234</v>
      </c>
      <c r="M58" s="121" t="str">
        <f>VLOOKUP(K58,[6]stage_hints!$A:$C,3,FALSE)</f>
        <v>ステータス情報は長押しで</v>
      </c>
      <c r="N58" s="122" t="str">
        <f>VLOOKUP(K58,[6]stage_hints!$A:$D,4,FALSE)</f>
        <v>ユニットのアイコンを長押しすると_x000D_ステータス情報を確認することができます</v>
      </c>
      <c r="O58" s="36" t="s">
        <v>235</v>
      </c>
      <c r="P58">
        <v>28</v>
      </c>
    </row>
    <row r="59" spans="1:16" x14ac:dyDescent="0.15">
      <c r="A59" s="114" t="str">
        <f t="shared" si="0"/>
        <v>11002_4_25</v>
      </c>
      <c r="B59" s="115" t="s">
        <v>231</v>
      </c>
      <c r="C59" s="116">
        <v>11002</v>
      </c>
      <c r="D59" s="117" t="str">
        <f ca="1">VLOOKUP($C59,OFFSET([2]quests!$A$1,0,0,COUNTA([2]quests!$A:$A),MATCH(D$1,[2]quests!$1:$1,0)-MATCH($C$1,[2]quests!$1:$1,0)+1),MATCH(D$1,[2]quests!$1:$1,0)-MATCH($C$1,[2]quests!$1:$1,0)+1,FALSE)</f>
        <v>【火曜限定】 赤の素材</v>
      </c>
      <c r="E59" s="117" t="str">
        <f ca="1">VLOOKUP($C59,OFFSET([2]quests!$A$1,0,0,COUNTA([2]quests!$A:$A),MATCH(E$1,[2]quests!$1:$1,0)-MATCH($C$1,[2]quests!$1:$1,0)+1),MATCH(E$1,[2]quests!$1:$1,0)-MATCH($C$1,[2]quests!$1:$1,0)+1,FALSE)</f>
        <v>火曜クエスト</v>
      </c>
      <c r="F59" s="118">
        <v>4</v>
      </c>
      <c r="G59" s="117" t="str">
        <f ca="1">VLOOKUP($C59&amp;"_"&amp;$F59,OFFSET([2]stages!$A$1,0,0,COUNTA([2]stages!$A:$A),MATCH(G$1,[2]stages!$2:$2,0)-MATCH("temp_stage",[2]stages!$2:$2,0)+1),MATCH(G$1,[2]stages!$2:$2,0)-MATCH("temp_stage",[2]stages!$2:$2,0)+1,FALSE)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59" s="117" t="str">
        <f ca="1">VLOOKUP($C59&amp;"_"&amp;$F59,OFFSET([2]stages!$A$1,0,0,COUNTA([2]stages!$A:$A),MATCH(H$1,[2]stages!$2:$2,0)-MATCH("temp_stage",[2]stages!$2:$2,0)+1),MATCH(H$1,[2]stages!$2:$2,0)-MATCH("temp_stage",[2]stages!$2:$2,0)+1,FALSE)</f>
        <v>火曜クエスト</v>
      </c>
      <c r="I59" s="119">
        <v>0</v>
      </c>
      <c r="J59" s="118">
        <f>COUNTIF(C$1:C59,C59)</f>
        <v>25</v>
      </c>
      <c r="K59" s="120">
        <v>29</v>
      </c>
      <c r="L59" s="118" t="s">
        <v>234</v>
      </c>
      <c r="M59" s="121" t="str">
        <f>VLOOKUP(K59,[6]stage_hints!$A:$C,3,FALSE)</f>
        <v>「バグ」のメリット</v>
      </c>
      <c r="N59" s="122" t="str">
        <f>VLOOKUP(K59,[6]stage_hints!$A:$D,4,FALSE)</f>
        <v>ユニットの「バグ」を増やすと_x000D_報酬をもらえる確率がアップします</v>
      </c>
      <c r="O59" s="36" t="s">
        <v>235</v>
      </c>
      <c r="P59">
        <v>29</v>
      </c>
    </row>
    <row r="60" spans="1:16" x14ac:dyDescent="0.15">
      <c r="A60" s="114" t="str">
        <f t="shared" si="0"/>
        <v>11002_4_26</v>
      </c>
      <c r="B60" s="115" t="s">
        <v>231</v>
      </c>
      <c r="C60" s="116">
        <v>11002</v>
      </c>
      <c r="D60" s="117" t="str">
        <f ca="1">VLOOKUP($C60,OFFSET([2]quests!$A$1,0,0,COUNTA([2]quests!$A:$A),MATCH(D$1,[2]quests!$1:$1,0)-MATCH($C$1,[2]quests!$1:$1,0)+1),MATCH(D$1,[2]quests!$1:$1,0)-MATCH($C$1,[2]quests!$1:$1,0)+1,FALSE)</f>
        <v>【火曜限定】 赤の素材</v>
      </c>
      <c r="E60" s="117" t="str">
        <f ca="1">VLOOKUP($C60,OFFSET([2]quests!$A$1,0,0,COUNTA([2]quests!$A:$A),MATCH(E$1,[2]quests!$1:$1,0)-MATCH($C$1,[2]quests!$1:$1,0)+1),MATCH(E$1,[2]quests!$1:$1,0)-MATCH($C$1,[2]quests!$1:$1,0)+1,FALSE)</f>
        <v>火曜クエスト</v>
      </c>
      <c r="F60" s="118">
        <v>4</v>
      </c>
      <c r="G60" s="117" t="str">
        <f ca="1">VLOOKUP($C60&amp;"_"&amp;$F60,OFFSET([2]stages!$A$1,0,0,COUNTA([2]stages!$A:$A),MATCH(G$1,[2]stages!$2:$2,0)-MATCH("temp_stage",[2]stages!$2:$2,0)+1),MATCH(G$1,[2]stages!$2:$2,0)-MATCH("temp_stage",[2]stages!$2:$2,0)+1,FALSE)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0" s="117" t="str">
        <f ca="1">VLOOKUP($C60&amp;"_"&amp;$F60,OFFSET([2]stages!$A$1,0,0,COUNTA([2]stages!$A:$A),MATCH(H$1,[2]stages!$2:$2,0)-MATCH("temp_stage",[2]stages!$2:$2,0)+1),MATCH(H$1,[2]stages!$2:$2,0)-MATCH("temp_stage",[2]stages!$2:$2,0)+1,FALSE)</f>
        <v>火曜クエスト</v>
      </c>
      <c r="I60" s="119">
        <v>0</v>
      </c>
      <c r="J60" s="118">
        <f>COUNTIF(C$1:C60,C60)</f>
        <v>26</v>
      </c>
      <c r="K60" s="120">
        <v>30</v>
      </c>
      <c r="L60" s="118" t="s">
        <v>234</v>
      </c>
      <c r="M60" s="121" t="str">
        <f>VLOOKUP(K60,[6]stage_hints!$A:$C,3,FALSE)</f>
        <v>「バグ」の増やし方</v>
      </c>
      <c r="N60" s="122" t="str">
        <f>VLOOKUP(K60,[6]stage_hints!$A:$D,4,FALSE)</f>
        <v>同じユニット同士を強化で合成すると_x000D_「バグ」を増やすことができます</v>
      </c>
      <c r="O60" s="36" t="s">
        <v>272</v>
      </c>
      <c r="P60">
        <v>30</v>
      </c>
    </row>
    <row r="61" spans="1:16" x14ac:dyDescent="0.15">
      <c r="A61" s="114" t="str">
        <f t="shared" si="0"/>
        <v>11002_4_27</v>
      </c>
      <c r="B61" s="115" t="s">
        <v>231</v>
      </c>
      <c r="C61" s="116">
        <v>11002</v>
      </c>
      <c r="D61" s="117" t="str">
        <f ca="1">VLOOKUP($C61,OFFSET([2]quests!$A$1,0,0,COUNTA([2]quests!$A:$A),MATCH(D$1,[2]quests!$1:$1,0)-MATCH($C$1,[2]quests!$1:$1,0)+1),MATCH(D$1,[2]quests!$1:$1,0)-MATCH($C$1,[2]quests!$1:$1,0)+1,FALSE)</f>
        <v>【火曜限定】 赤の素材</v>
      </c>
      <c r="E61" s="117" t="str">
        <f ca="1">VLOOKUP($C61,OFFSET([2]quests!$A$1,0,0,COUNTA([2]quests!$A:$A),MATCH(E$1,[2]quests!$1:$1,0)-MATCH($C$1,[2]quests!$1:$1,0)+1),MATCH(E$1,[2]quests!$1:$1,0)-MATCH($C$1,[2]quests!$1:$1,0)+1,FALSE)</f>
        <v>火曜クエスト</v>
      </c>
      <c r="F61" s="118">
        <v>4</v>
      </c>
      <c r="G61" s="117" t="str">
        <f ca="1">VLOOKUP($C61&amp;"_"&amp;$F61,OFFSET([2]stages!$A$1,0,0,COUNTA([2]stages!$A:$A),MATCH(G$1,[2]stages!$2:$2,0)-MATCH("temp_stage",[2]stages!$2:$2,0)+1),MATCH(G$1,[2]stages!$2:$2,0)-MATCH("temp_stage",[2]stages!$2:$2,0)+1,FALSE)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1" s="117" t="str">
        <f ca="1">VLOOKUP($C61&amp;"_"&amp;$F61,OFFSET([2]stages!$A$1,0,0,COUNTA([2]stages!$A:$A),MATCH(H$1,[2]stages!$2:$2,0)-MATCH("temp_stage",[2]stages!$2:$2,0)+1),MATCH(H$1,[2]stages!$2:$2,0)-MATCH("temp_stage",[2]stages!$2:$2,0)+1,FALSE)</f>
        <v>火曜クエスト</v>
      </c>
      <c r="I61" s="119">
        <v>0</v>
      </c>
      <c r="J61" s="118">
        <f>COUNTIF(C$1:C61,C61)</f>
        <v>27</v>
      </c>
      <c r="K61" s="120">
        <v>31</v>
      </c>
      <c r="L61" s="118" t="s">
        <v>234</v>
      </c>
      <c r="M61" s="121" t="str">
        <f>VLOOKUP(K61,[6]stage_hints!$A:$C,3,FALSE)</f>
        <v>イベントはお知らせでチェック</v>
      </c>
      <c r="N61" s="122" t="str">
        <f>VLOOKUP(K61,[6]stage_hints!$A:$D,4,FALSE)</f>
        <v>イベント限定ユニットを取り忘れないように_x000D_お知らせをこまめにチェックしましょう</v>
      </c>
      <c r="O61" s="36" t="s">
        <v>235</v>
      </c>
      <c r="P61">
        <v>31</v>
      </c>
    </row>
    <row r="62" spans="1:16" x14ac:dyDescent="0.15">
      <c r="A62" s="114" t="str">
        <f t="shared" si="0"/>
        <v>11002_4_28</v>
      </c>
      <c r="B62" s="115" t="s">
        <v>231</v>
      </c>
      <c r="C62" s="116">
        <v>11002</v>
      </c>
      <c r="D62" s="117" t="str">
        <f ca="1">VLOOKUP($C62,OFFSET([2]quests!$A$1,0,0,COUNTA([2]quests!$A:$A),MATCH(D$1,[2]quests!$1:$1,0)-MATCH($C$1,[2]quests!$1:$1,0)+1),MATCH(D$1,[2]quests!$1:$1,0)-MATCH($C$1,[2]quests!$1:$1,0)+1,FALSE)</f>
        <v>【火曜限定】 赤の素材</v>
      </c>
      <c r="E62" s="117" t="str">
        <f ca="1">VLOOKUP($C62,OFFSET([2]quests!$A$1,0,0,COUNTA([2]quests!$A:$A),MATCH(E$1,[2]quests!$1:$1,0)-MATCH($C$1,[2]quests!$1:$1,0)+1),MATCH(E$1,[2]quests!$1:$1,0)-MATCH($C$1,[2]quests!$1:$1,0)+1,FALSE)</f>
        <v>火曜クエスト</v>
      </c>
      <c r="F62" s="118">
        <v>4</v>
      </c>
      <c r="G62" s="117" t="str">
        <f ca="1">VLOOKUP($C62&amp;"_"&amp;$F62,OFFSET([2]stages!$A$1,0,0,COUNTA([2]stages!$A:$A),MATCH(G$1,[2]stages!$2:$2,0)-MATCH("temp_stage",[2]stages!$2:$2,0)+1),MATCH(G$1,[2]stages!$2:$2,0)-MATCH("temp_stage",[2]stages!$2:$2,0)+1,FALSE)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2" s="117" t="str">
        <f ca="1">VLOOKUP($C62&amp;"_"&amp;$F62,OFFSET([2]stages!$A$1,0,0,COUNTA([2]stages!$A:$A),MATCH(H$1,[2]stages!$2:$2,0)-MATCH("temp_stage",[2]stages!$2:$2,0)+1),MATCH(H$1,[2]stages!$2:$2,0)-MATCH("temp_stage",[2]stages!$2:$2,0)+1,FALSE)</f>
        <v>火曜クエスト</v>
      </c>
      <c r="I62" s="119">
        <v>0</v>
      </c>
      <c r="J62" s="118">
        <f>COUNTIF(C$1:C62,C62)</f>
        <v>28</v>
      </c>
      <c r="K62" s="120">
        <v>32</v>
      </c>
      <c r="L62" s="118" t="s">
        <v>273</v>
      </c>
      <c r="M62" s="121" t="str">
        <f>VLOOKUP(K62,[6]stage_hints!$A:$C,3,FALSE)</f>
        <v>敵の連続攻撃には</v>
      </c>
      <c r="N62" s="122" t="str">
        <f>VLOOKUP(K62,[6]stage_hints!$A:$D,4,FALSE)</f>
        <v>カウンタースキルを持つユニットがいれば_x000D_ダメージ回数分の反撃ができます</v>
      </c>
      <c r="O62" s="36" t="s">
        <v>274</v>
      </c>
      <c r="P62">
        <v>32</v>
      </c>
    </row>
    <row r="63" spans="1:16" x14ac:dyDescent="0.15">
      <c r="A63" s="114" t="str">
        <f t="shared" si="0"/>
        <v>11002_4_29</v>
      </c>
      <c r="B63" s="115" t="s">
        <v>231</v>
      </c>
      <c r="C63" s="116">
        <v>11002</v>
      </c>
      <c r="D63" s="117" t="str">
        <f ca="1">VLOOKUP($C63,OFFSET([2]quests!$A$1,0,0,COUNTA([2]quests!$A:$A),MATCH(D$1,[2]quests!$1:$1,0)-MATCH($C$1,[2]quests!$1:$1,0)+1),MATCH(D$1,[2]quests!$1:$1,0)-MATCH($C$1,[2]quests!$1:$1,0)+1,FALSE)</f>
        <v>【火曜限定】 赤の素材</v>
      </c>
      <c r="E63" s="117" t="str">
        <f ca="1">VLOOKUP($C63,OFFSET([2]quests!$A$1,0,0,COUNTA([2]quests!$A:$A),MATCH(E$1,[2]quests!$1:$1,0)-MATCH($C$1,[2]quests!$1:$1,0)+1),MATCH(E$1,[2]quests!$1:$1,0)-MATCH($C$1,[2]quests!$1:$1,0)+1,FALSE)</f>
        <v>火曜クエスト</v>
      </c>
      <c r="F63" s="118">
        <v>4</v>
      </c>
      <c r="G63" s="117" t="str">
        <f ca="1">VLOOKUP($C63&amp;"_"&amp;$F63,OFFSET([2]stages!$A$1,0,0,COUNTA([2]stages!$A:$A),MATCH(G$1,[2]stages!$2:$2,0)-MATCH("temp_stage",[2]stages!$2:$2,0)+1),MATCH(G$1,[2]stages!$2:$2,0)-MATCH("temp_stage",[2]stages!$2:$2,0)+1,FALSE)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3" s="117" t="str">
        <f ca="1">VLOOKUP($C63&amp;"_"&amp;$F63,OFFSET([2]stages!$A$1,0,0,COUNTA([2]stages!$A:$A),MATCH(H$1,[2]stages!$2:$2,0)-MATCH("temp_stage",[2]stages!$2:$2,0)+1),MATCH(H$1,[2]stages!$2:$2,0)-MATCH("temp_stage",[2]stages!$2:$2,0)+1,FALSE)</f>
        <v>火曜クエスト</v>
      </c>
      <c r="I63" s="119">
        <v>0</v>
      </c>
      <c r="J63" s="118">
        <f>COUNTIF(C$1:C63,C63)</f>
        <v>29</v>
      </c>
      <c r="K63" s="120">
        <v>33</v>
      </c>
      <c r="L63" s="118" t="s">
        <v>234</v>
      </c>
      <c r="M63" s="121" t="str">
        <f>VLOOKUP(K63,[6]stage_hints!$A:$C,3,FALSE)</f>
        <v>敵のカウンター攻撃には</v>
      </c>
      <c r="N63" s="122" t="str">
        <f>VLOOKUP(K63,[6]stage_hints!$A:$D,4,FALSE)</f>
        <v>カウンターブレイクスキルを持っていれば_x000D_敵のカウンターを解除して攻撃ができます</v>
      </c>
      <c r="O63" s="36" t="s">
        <v>235</v>
      </c>
      <c r="P63">
        <v>33</v>
      </c>
    </row>
    <row r="64" spans="1:16" x14ac:dyDescent="0.15">
      <c r="A64" s="114" t="str">
        <f t="shared" si="0"/>
        <v>11002_4_30</v>
      </c>
      <c r="B64" s="115" t="s">
        <v>231</v>
      </c>
      <c r="C64" s="116">
        <v>11002</v>
      </c>
      <c r="D64" s="117" t="str">
        <f ca="1">VLOOKUP($C64,OFFSET([2]quests!$A$1,0,0,COUNTA([2]quests!$A:$A),MATCH(D$1,[2]quests!$1:$1,0)-MATCH($C$1,[2]quests!$1:$1,0)+1),MATCH(D$1,[2]quests!$1:$1,0)-MATCH($C$1,[2]quests!$1:$1,0)+1,FALSE)</f>
        <v>【火曜限定】 赤の素材</v>
      </c>
      <c r="E64" s="117" t="str">
        <f ca="1">VLOOKUP($C64,OFFSET([2]quests!$A$1,0,0,COUNTA([2]quests!$A:$A),MATCH(E$1,[2]quests!$1:$1,0)-MATCH($C$1,[2]quests!$1:$1,0)+1),MATCH(E$1,[2]quests!$1:$1,0)-MATCH($C$1,[2]quests!$1:$1,0)+1,FALSE)</f>
        <v>火曜クエスト</v>
      </c>
      <c r="F64" s="118">
        <v>4</v>
      </c>
      <c r="G64" s="117" t="str">
        <f ca="1">VLOOKUP($C64&amp;"_"&amp;$F64,OFFSET([2]stages!$A$1,0,0,COUNTA([2]stages!$A:$A),MATCH(G$1,[2]stages!$2:$2,0)-MATCH("temp_stage",[2]stages!$2:$2,0)+1),MATCH(G$1,[2]stages!$2:$2,0)-MATCH("temp_stage",[2]stages!$2:$2,0)+1,FALSE)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4" s="117" t="str">
        <f ca="1">VLOOKUP($C64&amp;"_"&amp;$F64,OFFSET([2]stages!$A$1,0,0,COUNTA([2]stages!$A:$A),MATCH(H$1,[2]stages!$2:$2,0)-MATCH("temp_stage",[2]stages!$2:$2,0)+1),MATCH(H$1,[2]stages!$2:$2,0)-MATCH("temp_stage",[2]stages!$2:$2,0)+1,FALSE)</f>
        <v>火曜クエスト</v>
      </c>
      <c r="I64" s="119">
        <v>0</v>
      </c>
      <c r="J64" s="118">
        <f>COUNTIF(C$1:C64,C64)</f>
        <v>30</v>
      </c>
      <c r="K64" s="120">
        <v>34</v>
      </c>
      <c r="L64" s="118" t="s">
        <v>260</v>
      </c>
      <c r="M64" s="121" t="str">
        <f>VLOOKUP(K64,[6]stage_hints!$A:$C,3,FALSE)</f>
        <v>ステータスをスキルで下げられたら</v>
      </c>
      <c r="N64" s="122" t="str">
        <f>VLOOKUP(K64,[6]stage_hints!$A:$D,4,FALSE)</f>
        <v>ステータスダウンのスキルを受けたら_x000D_ステータスアップスキルで上書きしましょう</v>
      </c>
      <c r="O64" s="36" t="s">
        <v>235</v>
      </c>
      <c r="P64">
        <v>34</v>
      </c>
    </row>
    <row r="65" spans="1:16" x14ac:dyDescent="0.15">
      <c r="A65" s="114" t="str">
        <f t="shared" si="0"/>
        <v>11002_4_31</v>
      </c>
      <c r="B65" s="115" t="s">
        <v>231</v>
      </c>
      <c r="C65" s="116">
        <v>11002</v>
      </c>
      <c r="D65" s="117" t="str">
        <f ca="1">VLOOKUP($C65,OFFSET([2]quests!$A$1,0,0,COUNTA([2]quests!$A:$A),MATCH(D$1,[2]quests!$1:$1,0)-MATCH($C$1,[2]quests!$1:$1,0)+1),MATCH(D$1,[2]quests!$1:$1,0)-MATCH($C$1,[2]quests!$1:$1,0)+1,FALSE)</f>
        <v>【火曜限定】 赤の素材</v>
      </c>
      <c r="E65" s="117" t="str">
        <f ca="1">VLOOKUP($C65,OFFSET([2]quests!$A$1,0,0,COUNTA([2]quests!$A:$A),MATCH(E$1,[2]quests!$1:$1,0)-MATCH($C$1,[2]quests!$1:$1,0)+1),MATCH(E$1,[2]quests!$1:$1,0)-MATCH($C$1,[2]quests!$1:$1,0)+1,FALSE)</f>
        <v>火曜クエスト</v>
      </c>
      <c r="F65" s="118">
        <v>4</v>
      </c>
      <c r="G65" s="117" t="str">
        <f ca="1">VLOOKUP($C65&amp;"_"&amp;$F65,OFFSET([2]stages!$A$1,0,0,COUNTA([2]stages!$A:$A),MATCH(G$1,[2]stages!$2:$2,0)-MATCH("temp_stage",[2]stages!$2:$2,0)+1),MATCH(G$1,[2]stages!$2:$2,0)-MATCH("temp_stage",[2]stages!$2:$2,0)+1,FALSE)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5" s="117" t="str">
        <f ca="1">VLOOKUP($C65&amp;"_"&amp;$F65,OFFSET([2]stages!$A$1,0,0,COUNTA([2]stages!$A:$A),MATCH(H$1,[2]stages!$2:$2,0)-MATCH("temp_stage",[2]stages!$2:$2,0)+1),MATCH(H$1,[2]stages!$2:$2,0)-MATCH("temp_stage",[2]stages!$2:$2,0)+1,FALSE)</f>
        <v>火曜クエスト</v>
      </c>
      <c r="I65" s="119">
        <v>0</v>
      </c>
      <c r="J65" s="118">
        <f>COUNTIF(C$1:C65,C65)</f>
        <v>31</v>
      </c>
      <c r="K65" s="120">
        <v>35</v>
      </c>
      <c r="L65" s="118" t="s">
        <v>234</v>
      </c>
      <c r="M65" s="121" t="str">
        <f>VLOOKUP(K65,[6]stage_hints!$A:$C,3,FALSE)</f>
        <v>敵のステータスがスキルで上がったら</v>
      </c>
      <c r="N65" s="122" t="str">
        <f>VLOOKUP(K65,[6]stage_hints!$A:$D,4,FALSE)</f>
        <v>敵のステータスがスキルでアップしたときは_x000D_ステータスダウンスキルで上書きしましょう</v>
      </c>
      <c r="O65" s="36" t="s">
        <v>265</v>
      </c>
      <c r="P65">
        <v>35</v>
      </c>
    </row>
    <row r="66" spans="1:16" x14ac:dyDescent="0.15">
      <c r="A66" s="114" t="str">
        <f t="shared" ref="A66:A129" si="1">C66&amp;"_"&amp;F66&amp;"_"&amp;J66</f>
        <v>11002_4_32</v>
      </c>
      <c r="B66" s="115" t="s">
        <v>231</v>
      </c>
      <c r="C66" s="116">
        <v>11002</v>
      </c>
      <c r="D66" s="117" t="str">
        <f ca="1">VLOOKUP($C66,OFFSET([2]quests!$A$1,0,0,COUNTA([2]quests!$A:$A),MATCH(D$1,[2]quests!$1:$1,0)-MATCH($C$1,[2]quests!$1:$1,0)+1),MATCH(D$1,[2]quests!$1:$1,0)-MATCH($C$1,[2]quests!$1:$1,0)+1,FALSE)</f>
        <v>【火曜限定】 赤の素材</v>
      </c>
      <c r="E66" s="117" t="str">
        <f ca="1">VLOOKUP($C66,OFFSET([2]quests!$A$1,0,0,COUNTA([2]quests!$A:$A),MATCH(E$1,[2]quests!$1:$1,0)-MATCH($C$1,[2]quests!$1:$1,0)+1),MATCH(E$1,[2]quests!$1:$1,0)-MATCH($C$1,[2]quests!$1:$1,0)+1,FALSE)</f>
        <v>火曜クエスト</v>
      </c>
      <c r="F66" s="118">
        <v>4</v>
      </c>
      <c r="G66" s="117" t="str">
        <f ca="1">VLOOKUP($C66&amp;"_"&amp;$F66,OFFSET([2]stages!$A$1,0,0,COUNTA([2]stages!$A:$A),MATCH(G$1,[2]stages!$2:$2,0)-MATCH("temp_stage",[2]stages!$2:$2,0)+1),MATCH(G$1,[2]stages!$2:$2,0)-MATCH("temp_stage",[2]stages!$2:$2,0)+1,FALSE)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6" s="117" t="str">
        <f ca="1">VLOOKUP($C66&amp;"_"&amp;$F66,OFFSET([2]stages!$A$1,0,0,COUNTA([2]stages!$A:$A),MATCH(H$1,[2]stages!$2:$2,0)-MATCH("temp_stage",[2]stages!$2:$2,0)+1),MATCH(H$1,[2]stages!$2:$2,0)-MATCH("temp_stage",[2]stages!$2:$2,0)+1,FALSE)</f>
        <v>火曜クエスト</v>
      </c>
      <c r="I66" s="119">
        <v>0</v>
      </c>
      <c r="J66" s="118">
        <f>COUNTIF(C$1:C66,C66)</f>
        <v>32</v>
      </c>
      <c r="K66" s="120">
        <v>36</v>
      </c>
      <c r="L66" s="118" t="s">
        <v>234</v>
      </c>
      <c r="M66" s="121" t="str">
        <f>VLOOKUP(K66,[6]stage_hints!$A:$C,3,FALSE)</f>
        <v>タワーオブザクイーンのボス</v>
      </c>
      <c r="N66" s="122" t="str">
        <f>VLOOKUP(K66,[6]stage_hints!$A:$D,4,FALSE)</f>
        <v>「タワーオブザクイーン」最上階のボスは_x000D_15階の初回クリア報酬で獲得できるほか_x000D_その階にて低確率でドロップもします</v>
      </c>
      <c r="O66" s="36" t="s">
        <v>235</v>
      </c>
      <c r="P66">
        <v>36</v>
      </c>
    </row>
    <row r="67" spans="1:16" x14ac:dyDescent="0.15">
      <c r="A67" s="114" t="str">
        <f t="shared" si="1"/>
        <v>11002_4_33</v>
      </c>
      <c r="B67" s="115" t="s">
        <v>231</v>
      </c>
      <c r="C67" s="116">
        <v>11002</v>
      </c>
      <c r="D67" s="117" t="str">
        <f ca="1">VLOOKUP($C67,OFFSET([2]quests!$A$1,0,0,COUNTA([2]quests!$A:$A),MATCH(D$1,[2]quests!$1:$1,0)-MATCH($C$1,[2]quests!$1:$1,0)+1),MATCH(D$1,[2]quests!$1:$1,0)-MATCH($C$1,[2]quests!$1:$1,0)+1,FALSE)</f>
        <v>【火曜限定】 赤の素材</v>
      </c>
      <c r="E67" s="117" t="str">
        <f ca="1">VLOOKUP($C67,OFFSET([2]quests!$A$1,0,0,COUNTA([2]quests!$A:$A),MATCH(E$1,[2]quests!$1:$1,0)-MATCH($C$1,[2]quests!$1:$1,0)+1),MATCH(E$1,[2]quests!$1:$1,0)-MATCH($C$1,[2]quests!$1:$1,0)+1,FALSE)</f>
        <v>火曜クエスト</v>
      </c>
      <c r="F67" s="118">
        <v>4</v>
      </c>
      <c r="G67" s="117" t="str">
        <f ca="1">VLOOKUP($C67&amp;"_"&amp;$F67,OFFSET([2]stages!$A$1,0,0,COUNTA([2]stages!$A:$A),MATCH(G$1,[2]stages!$2:$2,0)-MATCH("temp_stage",[2]stages!$2:$2,0)+1),MATCH(G$1,[2]stages!$2:$2,0)-MATCH("temp_stage",[2]stages!$2:$2,0)+1,FALSE)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67" s="117" t="str">
        <f ca="1">VLOOKUP($C67&amp;"_"&amp;$F67,OFFSET([2]stages!$A$1,0,0,COUNTA([2]stages!$A:$A),MATCH(H$1,[2]stages!$2:$2,0)-MATCH("temp_stage",[2]stages!$2:$2,0)+1),MATCH(H$1,[2]stages!$2:$2,0)-MATCH("temp_stage",[2]stages!$2:$2,0)+1,FALSE)</f>
        <v>火曜クエスト</v>
      </c>
      <c r="I67" s="119">
        <v>0</v>
      </c>
      <c r="J67" s="118">
        <f>COUNTIF(C$1:C67,C67)</f>
        <v>33</v>
      </c>
      <c r="K67" s="120">
        <v>37</v>
      </c>
      <c r="L67" s="118" t="s">
        <v>275</v>
      </c>
      <c r="M67" s="121" t="str">
        <f>VLOOKUP(K67,[6]stage_hints!$A:$C,3,FALSE)</f>
        <v>限界突破値の引き継ぎ</v>
      </c>
      <c r="N67" s="122" t="str">
        <f>VLOOKUP(K67,[6]stage_hints!$A:$D,4,FALSE)</f>
        <v>同じユニットを強化で合成すると_x000D_限界突破値を引き継げます（覚醒前後も可）</v>
      </c>
      <c r="O67" s="36" t="s">
        <v>265</v>
      </c>
      <c r="P67">
        <v>37</v>
      </c>
    </row>
    <row r="68" spans="1:16" x14ac:dyDescent="0.15">
      <c r="A68" s="114" t="str">
        <f t="shared" si="1"/>
        <v>11003_4_1</v>
      </c>
      <c r="B68" s="115" t="s">
        <v>231</v>
      </c>
      <c r="C68" s="116">
        <v>11003</v>
      </c>
      <c r="D68" s="117" t="str">
        <f ca="1">VLOOKUP($C68,OFFSET([2]quests!$A$1,0,0,COUNTA([2]quests!$A:$A),MATCH(D$1,[2]quests!$1:$1,0)-MATCH($C$1,[2]quests!$1:$1,0)+1),MATCH(D$1,[2]quests!$1:$1,0)-MATCH($C$1,[2]quests!$1:$1,0)+1,FALSE)</f>
        <v>【水曜限定】 青の素材</v>
      </c>
      <c r="E68" s="117" t="str">
        <f ca="1">VLOOKUP($C68,OFFSET([2]quests!$A$1,0,0,COUNTA([2]quests!$A:$A),MATCH(E$1,[2]quests!$1:$1,0)-MATCH($C$1,[2]quests!$1:$1,0)+1),MATCH(E$1,[2]quests!$1:$1,0)-MATCH($C$1,[2]quests!$1:$1,0)+1,FALSE)</f>
        <v>水曜クエスト</v>
      </c>
      <c r="F68" s="118">
        <v>4</v>
      </c>
      <c r="G68" s="117" t="str">
        <f ca="1">VLOOKUP($C68&amp;"_"&amp;$F68,OFFSET([2]stages!$A$1,0,0,COUNTA([2]stages!$A:$A),MATCH(G$1,[2]stages!$2:$2,0)-MATCH("temp_stage",[2]stages!$2:$2,0)+1),MATCH(G$1,[2]stages!$2:$2,0)-MATCH("temp_stage",[2]stages!$2:$2,0)+1,FALSE)</f>
        <v>【上級】水のイモムシ</v>
      </c>
      <c r="H68" s="117" t="str">
        <f ca="1">VLOOKUP($C68&amp;"_"&amp;$F68,OFFSET([2]stages!$A$1,0,0,COUNTA([2]stages!$A:$A),MATCH(H$1,[2]stages!$2:$2,0)-MATCH("temp_stage",[2]stages!$2:$2,0)+1),MATCH(H$1,[2]stages!$2:$2,0)-MATCH("temp_stage",[2]stages!$2:$2,0)+1,FALSE)</f>
        <v>水曜クエスト</v>
      </c>
      <c r="I68" s="119">
        <v>0</v>
      </c>
      <c r="J68" s="118">
        <f>COUNTIF(C$1:C68,C68)</f>
        <v>1</v>
      </c>
      <c r="K68" s="120">
        <v>3</v>
      </c>
      <c r="L68" s="118" t="s">
        <v>234</v>
      </c>
      <c r="M68" s="121" t="str">
        <f>VLOOKUP(K68,[6]stage_hints!$A:$C,3,FALSE)</f>
        <v>ターゲット</v>
      </c>
      <c r="N68" s="122" t="str">
        <f>VLOOKUP(K68,[6]stage_hints!$A:$D,4,FALSE)</f>
        <v>敵ユニットをタップすると_x000D_その敵を狙い撃ちできます</v>
      </c>
      <c r="O68" s="36" t="s">
        <v>265</v>
      </c>
      <c r="P68">
        <v>3</v>
      </c>
    </row>
    <row r="69" spans="1:16" x14ac:dyDescent="0.15">
      <c r="A69" s="114" t="str">
        <f t="shared" si="1"/>
        <v>11003_4_2</v>
      </c>
      <c r="B69" s="115" t="s">
        <v>231</v>
      </c>
      <c r="C69" s="116">
        <v>11003</v>
      </c>
      <c r="D69" s="117" t="str">
        <f ca="1">VLOOKUP($C69,OFFSET([2]quests!$A$1,0,0,COUNTA([2]quests!$A:$A),MATCH(D$1,[2]quests!$1:$1,0)-MATCH($C$1,[2]quests!$1:$1,0)+1),MATCH(D$1,[2]quests!$1:$1,0)-MATCH($C$1,[2]quests!$1:$1,0)+1,FALSE)</f>
        <v>【水曜限定】 青の素材</v>
      </c>
      <c r="E69" s="117" t="str">
        <f ca="1">VLOOKUP($C69,OFFSET([2]quests!$A$1,0,0,COUNTA([2]quests!$A:$A),MATCH(E$1,[2]quests!$1:$1,0)-MATCH($C$1,[2]quests!$1:$1,0)+1),MATCH(E$1,[2]quests!$1:$1,0)-MATCH($C$1,[2]quests!$1:$1,0)+1,FALSE)</f>
        <v>水曜クエスト</v>
      </c>
      <c r="F69" s="118">
        <v>4</v>
      </c>
      <c r="G69" s="117" t="str">
        <f ca="1">VLOOKUP($C69&amp;"_"&amp;$F69,OFFSET([2]stages!$A$1,0,0,COUNTA([2]stages!$A:$A),MATCH(G$1,[2]stages!$2:$2,0)-MATCH("temp_stage",[2]stages!$2:$2,0)+1),MATCH(G$1,[2]stages!$2:$2,0)-MATCH("temp_stage",[2]stages!$2:$2,0)+1,FALSE)</f>
        <v>【上級】水のイモムシ</v>
      </c>
      <c r="H69" s="117" t="str">
        <f ca="1">VLOOKUP($C69&amp;"_"&amp;$F69,OFFSET([2]stages!$A$1,0,0,COUNTA([2]stages!$A:$A),MATCH(H$1,[2]stages!$2:$2,0)-MATCH("temp_stage",[2]stages!$2:$2,0)+1),MATCH(H$1,[2]stages!$2:$2,0)-MATCH("temp_stage",[2]stages!$2:$2,0)+1,FALSE)</f>
        <v>水曜クエスト</v>
      </c>
      <c r="I69" s="119">
        <v>0</v>
      </c>
      <c r="J69" s="118">
        <f>COUNTIF(C$1:C69,C69)</f>
        <v>2</v>
      </c>
      <c r="K69" s="120">
        <v>6</v>
      </c>
      <c r="L69" s="118" t="s">
        <v>264</v>
      </c>
      <c r="M69" s="121" t="str">
        <f>VLOOKUP(K69,[6]stage_hints!$A:$C,3,FALSE)</f>
        <v>ユニット強化の属性ボーナス</v>
      </c>
      <c r="N69" s="122" t="str">
        <f>VLOOKUP(K69,[6]stage_hints!$A:$D,4,FALSE)</f>
        <v>同属性ユニットを強化素材にすると_x000D_経験値が多くもらえます</v>
      </c>
      <c r="O69" s="36" t="s">
        <v>276</v>
      </c>
      <c r="P69">
        <v>6</v>
      </c>
    </row>
    <row r="70" spans="1:16" x14ac:dyDescent="0.15">
      <c r="A70" s="114" t="str">
        <f t="shared" si="1"/>
        <v>11003_4_3</v>
      </c>
      <c r="B70" s="115" t="s">
        <v>231</v>
      </c>
      <c r="C70" s="116">
        <v>11003</v>
      </c>
      <c r="D70" s="117" t="str">
        <f ca="1">VLOOKUP($C70,OFFSET([2]quests!$A$1,0,0,COUNTA([2]quests!$A:$A),MATCH(D$1,[2]quests!$1:$1,0)-MATCH($C$1,[2]quests!$1:$1,0)+1),MATCH(D$1,[2]quests!$1:$1,0)-MATCH($C$1,[2]quests!$1:$1,0)+1,FALSE)</f>
        <v>【水曜限定】 青の素材</v>
      </c>
      <c r="E70" s="117" t="str">
        <f ca="1">VLOOKUP($C70,OFFSET([2]quests!$A$1,0,0,COUNTA([2]quests!$A:$A),MATCH(E$1,[2]quests!$1:$1,0)-MATCH($C$1,[2]quests!$1:$1,0)+1),MATCH(E$1,[2]quests!$1:$1,0)-MATCH($C$1,[2]quests!$1:$1,0)+1,FALSE)</f>
        <v>水曜クエスト</v>
      </c>
      <c r="F70" s="118">
        <v>4</v>
      </c>
      <c r="G70" s="117" t="str">
        <f ca="1">VLOOKUP($C70&amp;"_"&amp;$F70,OFFSET([2]stages!$A$1,0,0,COUNTA([2]stages!$A:$A),MATCH(G$1,[2]stages!$2:$2,0)-MATCH("temp_stage",[2]stages!$2:$2,0)+1),MATCH(G$1,[2]stages!$2:$2,0)-MATCH("temp_stage",[2]stages!$2:$2,0)+1,FALSE)</f>
        <v>【上級】水のイモムシ</v>
      </c>
      <c r="H70" s="117" t="str">
        <f ca="1">VLOOKUP($C70&amp;"_"&amp;$F70,OFFSET([2]stages!$A$1,0,0,COUNTA([2]stages!$A:$A),MATCH(H$1,[2]stages!$2:$2,0)-MATCH("temp_stage",[2]stages!$2:$2,0)+1),MATCH(H$1,[2]stages!$2:$2,0)-MATCH("temp_stage",[2]stages!$2:$2,0)+1,FALSE)</f>
        <v>水曜クエスト</v>
      </c>
      <c r="I70" s="119">
        <v>0</v>
      </c>
      <c r="J70" s="118">
        <f>COUNTIF(C$1:C70,C70)</f>
        <v>3</v>
      </c>
      <c r="K70" s="120">
        <v>7</v>
      </c>
      <c r="L70" s="118" t="s">
        <v>234</v>
      </c>
      <c r="M70" s="121" t="str">
        <f>VLOOKUP(K70,[6]stage_hints!$A:$C,3,FALSE)</f>
        <v>メタルダックで経験値を獲得</v>
      </c>
      <c r="N70" s="122" t="str">
        <f>VLOOKUP(K70,[6]stage_hints!$A:$D,4,FALSE)</f>
        <v>「メタルなアヒル」を強化素材にすると_x000D_大量の経験値がもらえます</v>
      </c>
      <c r="O70" s="36" t="s">
        <v>235</v>
      </c>
      <c r="P70">
        <v>7</v>
      </c>
    </row>
    <row r="71" spans="1:16" x14ac:dyDescent="0.15">
      <c r="A71" s="114" t="str">
        <f t="shared" si="1"/>
        <v>11003_4_4</v>
      </c>
      <c r="B71" s="115" t="s">
        <v>231</v>
      </c>
      <c r="C71" s="116">
        <v>11003</v>
      </c>
      <c r="D71" s="117" t="str">
        <f ca="1">VLOOKUP($C71,OFFSET([2]quests!$A$1,0,0,COUNTA([2]quests!$A:$A),MATCH(D$1,[2]quests!$1:$1,0)-MATCH($C$1,[2]quests!$1:$1,0)+1),MATCH(D$1,[2]quests!$1:$1,0)-MATCH($C$1,[2]quests!$1:$1,0)+1,FALSE)</f>
        <v>【水曜限定】 青の素材</v>
      </c>
      <c r="E71" s="117" t="str">
        <f ca="1">VLOOKUP($C71,OFFSET([2]quests!$A$1,0,0,COUNTA([2]quests!$A:$A),MATCH(E$1,[2]quests!$1:$1,0)-MATCH($C$1,[2]quests!$1:$1,0)+1),MATCH(E$1,[2]quests!$1:$1,0)-MATCH($C$1,[2]quests!$1:$1,0)+1,FALSE)</f>
        <v>水曜クエスト</v>
      </c>
      <c r="F71" s="118">
        <v>4</v>
      </c>
      <c r="G71" s="117" t="str">
        <f ca="1">VLOOKUP($C71&amp;"_"&amp;$F71,OFFSET([2]stages!$A$1,0,0,COUNTA([2]stages!$A:$A),MATCH(G$1,[2]stages!$2:$2,0)-MATCH("temp_stage",[2]stages!$2:$2,0)+1),MATCH(G$1,[2]stages!$2:$2,0)-MATCH("temp_stage",[2]stages!$2:$2,0)+1,FALSE)</f>
        <v>【上級】水のイモムシ</v>
      </c>
      <c r="H71" s="117" t="str">
        <f ca="1">VLOOKUP($C71&amp;"_"&amp;$F71,OFFSET([2]stages!$A$1,0,0,COUNTA([2]stages!$A:$A),MATCH(H$1,[2]stages!$2:$2,0)-MATCH("temp_stage",[2]stages!$2:$2,0)+1),MATCH(H$1,[2]stages!$2:$2,0)-MATCH("temp_stage",[2]stages!$2:$2,0)+1,FALSE)</f>
        <v>水曜クエスト</v>
      </c>
      <c r="I71" s="119">
        <v>0</v>
      </c>
      <c r="J71" s="118">
        <f>COUNTIF(C$1:C71,C71)</f>
        <v>4</v>
      </c>
      <c r="K71" s="120">
        <v>8</v>
      </c>
      <c r="L71" s="118" t="s">
        <v>234</v>
      </c>
      <c r="M71" s="121" t="str">
        <f>VLOOKUP(K71,[6]stage_hints!$A:$C,3,FALSE)</f>
        <v>ゲリラクエストは要チェック</v>
      </c>
      <c r="N71" s="122" t="str">
        <f>VLOOKUP(K71,[6]stage_hints!$A:$D,4,FALSE)</f>
        <v>時間限定の「アヒル捕獲作戦」では_x000D_経験値素材ユニットが多く手に入ります</v>
      </c>
      <c r="O71" s="36" t="s">
        <v>235</v>
      </c>
      <c r="P71">
        <v>8</v>
      </c>
    </row>
    <row r="72" spans="1:16" x14ac:dyDescent="0.15">
      <c r="A72" s="114" t="str">
        <f t="shared" si="1"/>
        <v>11003_4_5</v>
      </c>
      <c r="B72" s="115" t="s">
        <v>231</v>
      </c>
      <c r="C72" s="116">
        <v>11003</v>
      </c>
      <c r="D72" s="117" t="str">
        <f ca="1">VLOOKUP($C72,OFFSET([2]quests!$A$1,0,0,COUNTA([2]quests!$A:$A),MATCH(D$1,[2]quests!$1:$1,0)-MATCH($C$1,[2]quests!$1:$1,0)+1),MATCH(D$1,[2]quests!$1:$1,0)-MATCH($C$1,[2]quests!$1:$1,0)+1,FALSE)</f>
        <v>【水曜限定】 青の素材</v>
      </c>
      <c r="E72" s="117" t="str">
        <f ca="1">VLOOKUP($C72,OFFSET([2]quests!$A$1,0,0,COUNTA([2]quests!$A:$A),MATCH(E$1,[2]quests!$1:$1,0)-MATCH($C$1,[2]quests!$1:$1,0)+1),MATCH(E$1,[2]quests!$1:$1,0)-MATCH($C$1,[2]quests!$1:$1,0)+1,FALSE)</f>
        <v>水曜クエスト</v>
      </c>
      <c r="F72" s="118">
        <v>4</v>
      </c>
      <c r="G72" s="117" t="str">
        <f ca="1">VLOOKUP($C72&amp;"_"&amp;$F72,OFFSET([2]stages!$A$1,0,0,COUNTA([2]stages!$A:$A),MATCH(G$1,[2]stages!$2:$2,0)-MATCH("temp_stage",[2]stages!$2:$2,0)+1),MATCH(G$1,[2]stages!$2:$2,0)-MATCH("temp_stage",[2]stages!$2:$2,0)+1,FALSE)</f>
        <v>【上級】水のイモムシ</v>
      </c>
      <c r="H72" s="117" t="str">
        <f ca="1">VLOOKUP($C72&amp;"_"&amp;$F72,OFFSET([2]stages!$A$1,0,0,COUNTA([2]stages!$A:$A),MATCH(H$1,[2]stages!$2:$2,0)-MATCH("temp_stage",[2]stages!$2:$2,0)+1),MATCH(H$1,[2]stages!$2:$2,0)-MATCH("temp_stage",[2]stages!$2:$2,0)+1,FALSE)</f>
        <v>水曜クエスト</v>
      </c>
      <c r="I72" s="119">
        <v>0</v>
      </c>
      <c r="J72" s="118">
        <f>COUNTIF(C$1:C72,C72)</f>
        <v>5</v>
      </c>
      <c r="K72" s="120">
        <v>9</v>
      </c>
      <c r="L72" s="118" t="s">
        <v>277</v>
      </c>
      <c r="M72" s="121" t="str">
        <f>VLOOKUP(K72,[6]stage_hints!$A:$C,3,FALSE)</f>
        <v>ゴールドダックでビットを獲得</v>
      </c>
      <c r="N72" s="122" t="str">
        <f>VLOOKUP(K72,[6]stage_hints!$A:$D,4,FALSE)</f>
        <v>「ゴールドなアヒル」を売却すると_x000D_大量のビットがもらえます</v>
      </c>
      <c r="O72" s="36" t="s">
        <v>235</v>
      </c>
      <c r="P72">
        <v>9</v>
      </c>
    </row>
    <row r="73" spans="1:16" x14ac:dyDescent="0.15">
      <c r="A73" s="114" t="str">
        <f t="shared" si="1"/>
        <v>11003_4_6</v>
      </c>
      <c r="B73" s="115" t="s">
        <v>231</v>
      </c>
      <c r="C73" s="116">
        <v>11003</v>
      </c>
      <c r="D73" s="117" t="str">
        <f ca="1">VLOOKUP($C73,OFFSET([2]quests!$A$1,0,0,COUNTA([2]quests!$A:$A),MATCH(D$1,[2]quests!$1:$1,0)-MATCH($C$1,[2]quests!$1:$1,0)+1),MATCH(D$1,[2]quests!$1:$1,0)-MATCH($C$1,[2]quests!$1:$1,0)+1,FALSE)</f>
        <v>【水曜限定】 青の素材</v>
      </c>
      <c r="E73" s="117" t="str">
        <f ca="1">VLOOKUP($C73,OFFSET([2]quests!$A$1,0,0,COUNTA([2]quests!$A:$A),MATCH(E$1,[2]quests!$1:$1,0)-MATCH($C$1,[2]quests!$1:$1,0)+1),MATCH(E$1,[2]quests!$1:$1,0)-MATCH($C$1,[2]quests!$1:$1,0)+1,FALSE)</f>
        <v>水曜クエスト</v>
      </c>
      <c r="F73" s="118">
        <v>4</v>
      </c>
      <c r="G73" s="117" t="str">
        <f ca="1">VLOOKUP($C73&amp;"_"&amp;$F73,OFFSET([2]stages!$A$1,0,0,COUNTA([2]stages!$A:$A),MATCH(G$1,[2]stages!$2:$2,0)-MATCH("temp_stage",[2]stages!$2:$2,0)+1),MATCH(G$1,[2]stages!$2:$2,0)-MATCH("temp_stage",[2]stages!$2:$2,0)+1,FALSE)</f>
        <v>【上級】水のイモムシ</v>
      </c>
      <c r="H73" s="117" t="str">
        <f ca="1">VLOOKUP($C73&amp;"_"&amp;$F73,OFFSET([2]stages!$A$1,0,0,COUNTA([2]stages!$A:$A),MATCH(H$1,[2]stages!$2:$2,0)-MATCH("temp_stage",[2]stages!$2:$2,0)+1),MATCH(H$1,[2]stages!$2:$2,0)-MATCH("temp_stage",[2]stages!$2:$2,0)+1,FALSE)</f>
        <v>水曜クエスト</v>
      </c>
      <c r="I73" s="119">
        <v>0</v>
      </c>
      <c r="J73" s="118">
        <f>COUNTIF(C$1:C73,C73)</f>
        <v>6</v>
      </c>
      <c r="K73" s="120">
        <v>10</v>
      </c>
      <c r="L73" s="118" t="s">
        <v>278</v>
      </c>
      <c r="M73" s="121" t="str">
        <f>VLOOKUP(K73,[6]stage_hints!$A:$C,3,FALSE)</f>
        <v>土日に大量のビットを獲得</v>
      </c>
      <c r="N73" s="122" t="str">
        <f>VLOOKUP(K73,[6]stage_hints!$A:$D,4,FALSE)</f>
        <v>土日限定の「ゴールドカジノ」では_x000D_売却素材ユニットが多く手に入ります</v>
      </c>
      <c r="O73" s="36" t="s">
        <v>235</v>
      </c>
      <c r="P73">
        <v>10</v>
      </c>
    </row>
    <row r="74" spans="1:16" x14ac:dyDescent="0.15">
      <c r="A74" s="114" t="str">
        <f t="shared" si="1"/>
        <v>11003_4_7</v>
      </c>
      <c r="B74" s="115" t="s">
        <v>231</v>
      </c>
      <c r="C74" s="116">
        <v>11003</v>
      </c>
      <c r="D74" s="117" t="str">
        <f ca="1">VLOOKUP($C74,OFFSET([2]quests!$A$1,0,0,COUNTA([2]quests!$A:$A),MATCH(D$1,[2]quests!$1:$1,0)-MATCH($C$1,[2]quests!$1:$1,0)+1),MATCH(D$1,[2]quests!$1:$1,0)-MATCH($C$1,[2]quests!$1:$1,0)+1,FALSE)</f>
        <v>【水曜限定】 青の素材</v>
      </c>
      <c r="E74" s="117" t="str">
        <f ca="1">VLOOKUP($C74,OFFSET([2]quests!$A$1,0,0,COUNTA([2]quests!$A:$A),MATCH(E$1,[2]quests!$1:$1,0)-MATCH($C$1,[2]quests!$1:$1,0)+1),MATCH(E$1,[2]quests!$1:$1,0)-MATCH($C$1,[2]quests!$1:$1,0)+1,FALSE)</f>
        <v>水曜クエスト</v>
      </c>
      <c r="F74" s="118">
        <v>4</v>
      </c>
      <c r="G74" s="117" t="str">
        <f ca="1">VLOOKUP($C74&amp;"_"&amp;$F74,OFFSET([2]stages!$A$1,0,0,COUNTA([2]stages!$A:$A),MATCH(G$1,[2]stages!$2:$2,0)-MATCH("temp_stage",[2]stages!$2:$2,0)+1),MATCH(G$1,[2]stages!$2:$2,0)-MATCH("temp_stage",[2]stages!$2:$2,0)+1,FALSE)</f>
        <v>【上級】水のイモムシ</v>
      </c>
      <c r="H74" s="117" t="str">
        <f ca="1">VLOOKUP($C74&amp;"_"&amp;$F74,OFFSET([2]stages!$A$1,0,0,COUNTA([2]stages!$A:$A),MATCH(H$1,[2]stages!$2:$2,0)-MATCH("temp_stage",[2]stages!$2:$2,0)+1),MATCH(H$1,[2]stages!$2:$2,0)-MATCH("temp_stage",[2]stages!$2:$2,0)+1,FALSE)</f>
        <v>水曜クエスト</v>
      </c>
      <c r="I74" s="119">
        <v>0</v>
      </c>
      <c r="J74" s="118">
        <f>COUNTIF(C$1:C74,C74)</f>
        <v>7</v>
      </c>
      <c r="K74" s="120">
        <v>11</v>
      </c>
      <c r="L74" s="118" t="s">
        <v>257</v>
      </c>
      <c r="M74" s="121" t="str">
        <f>VLOOKUP(K74,[6]stage_hints!$A:$C,3,FALSE)</f>
        <v>ランク解放クエスト</v>
      </c>
      <c r="N74" s="122" t="str">
        <f>VLOOKUP(K74,[6]stage_hints!$A:$D,4,FALSE)</f>
        <v>一定ランクに到達すると_x000D_報酬付きのランク開放クエストが現れます</v>
      </c>
      <c r="O74" s="36" t="s">
        <v>262</v>
      </c>
      <c r="P74">
        <v>11</v>
      </c>
    </row>
    <row r="75" spans="1:16" x14ac:dyDescent="0.15">
      <c r="A75" s="114" t="str">
        <f t="shared" si="1"/>
        <v>11003_4_8</v>
      </c>
      <c r="B75" s="115" t="s">
        <v>231</v>
      </c>
      <c r="C75" s="116">
        <v>11003</v>
      </c>
      <c r="D75" s="117" t="str">
        <f ca="1">VLOOKUP($C75,OFFSET([2]quests!$A$1,0,0,COUNTA([2]quests!$A:$A),MATCH(D$1,[2]quests!$1:$1,0)-MATCH($C$1,[2]quests!$1:$1,0)+1),MATCH(D$1,[2]quests!$1:$1,0)-MATCH($C$1,[2]quests!$1:$1,0)+1,FALSE)</f>
        <v>【水曜限定】 青の素材</v>
      </c>
      <c r="E75" s="117" t="str">
        <f ca="1">VLOOKUP($C75,OFFSET([2]quests!$A$1,0,0,COUNTA([2]quests!$A:$A),MATCH(E$1,[2]quests!$1:$1,0)-MATCH($C$1,[2]quests!$1:$1,0)+1),MATCH(E$1,[2]quests!$1:$1,0)-MATCH($C$1,[2]quests!$1:$1,0)+1,FALSE)</f>
        <v>水曜クエスト</v>
      </c>
      <c r="F75" s="118">
        <v>4</v>
      </c>
      <c r="G75" s="117" t="str">
        <f ca="1">VLOOKUP($C75&amp;"_"&amp;$F75,OFFSET([2]stages!$A$1,0,0,COUNTA([2]stages!$A:$A),MATCH(G$1,[2]stages!$2:$2,0)-MATCH("temp_stage",[2]stages!$2:$2,0)+1),MATCH(G$1,[2]stages!$2:$2,0)-MATCH("temp_stage",[2]stages!$2:$2,0)+1,FALSE)</f>
        <v>【上級】水のイモムシ</v>
      </c>
      <c r="H75" s="117" t="str">
        <f ca="1">VLOOKUP($C75&amp;"_"&amp;$F75,OFFSET([2]stages!$A$1,0,0,COUNTA([2]stages!$A:$A),MATCH(H$1,[2]stages!$2:$2,0)-MATCH("temp_stage",[2]stages!$2:$2,0)+1),MATCH(H$1,[2]stages!$2:$2,0)-MATCH("temp_stage",[2]stages!$2:$2,0)+1,FALSE)</f>
        <v>水曜クエスト</v>
      </c>
      <c r="I75" s="119">
        <v>0</v>
      </c>
      <c r="J75" s="118">
        <f>COUNTIF(C$1:C75,C75)</f>
        <v>8</v>
      </c>
      <c r="K75" s="120">
        <v>12</v>
      </c>
      <c r="L75" s="118" t="s">
        <v>279</v>
      </c>
      <c r="M75" s="121" t="str">
        <f>VLOOKUP(K75,[6]stage_hints!$A:$C,3,FALSE)</f>
        <v>ユニットのお気に入り登録</v>
      </c>
      <c r="N75" s="122" t="str">
        <f>VLOOKUP(K75,[6]stage_hints!$A:$D,4,FALSE)</f>
        <v>大事なユニットを誤って消さないように_x000D_フォルダから「お気に入り登録」しましょう</v>
      </c>
      <c r="O75" s="36" t="s">
        <v>235</v>
      </c>
      <c r="P75">
        <v>12</v>
      </c>
    </row>
    <row r="76" spans="1:16" x14ac:dyDescent="0.15">
      <c r="A76" s="114" t="str">
        <f t="shared" si="1"/>
        <v>11003_4_9</v>
      </c>
      <c r="B76" s="115" t="s">
        <v>231</v>
      </c>
      <c r="C76" s="116">
        <v>11003</v>
      </c>
      <c r="D76" s="117" t="str">
        <f ca="1">VLOOKUP($C76,OFFSET([2]quests!$A$1,0,0,COUNTA([2]quests!$A:$A),MATCH(D$1,[2]quests!$1:$1,0)-MATCH($C$1,[2]quests!$1:$1,0)+1),MATCH(D$1,[2]quests!$1:$1,0)-MATCH($C$1,[2]quests!$1:$1,0)+1,FALSE)</f>
        <v>【水曜限定】 青の素材</v>
      </c>
      <c r="E76" s="117" t="str">
        <f ca="1">VLOOKUP($C76,OFFSET([2]quests!$A$1,0,0,COUNTA([2]quests!$A:$A),MATCH(E$1,[2]quests!$1:$1,0)-MATCH($C$1,[2]quests!$1:$1,0)+1),MATCH(E$1,[2]quests!$1:$1,0)-MATCH($C$1,[2]quests!$1:$1,0)+1,FALSE)</f>
        <v>水曜クエスト</v>
      </c>
      <c r="F76" s="118">
        <v>4</v>
      </c>
      <c r="G76" s="117" t="str">
        <f ca="1">VLOOKUP($C76&amp;"_"&amp;$F76,OFFSET([2]stages!$A$1,0,0,COUNTA([2]stages!$A:$A),MATCH(G$1,[2]stages!$2:$2,0)-MATCH("temp_stage",[2]stages!$2:$2,0)+1),MATCH(G$1,[2]stages!$2:$2,0)-MATCH("temp_stage",[2]stages!$2:$2,0)+1,FALSE)</f>
        <v>【上級】水のイモムシ</v>
      </c>
      <c r="H76" s="117" t="str">
        <f ca="1">VLOOKUP($C76&amp;"_"&amp;$F76,OFFSET([2]stages!$A$1,0,0,COUNTA([2]stages!$A:$A),MATCH(H$1,[2]stages!$2:$2,0)-MATCH("temp_stage",[2]stages!$2:$2,0)+1),MATCH(H$1,[2]stages!$2:$2,0)-MATCH("temp_stage",[2]stages!$2:$2,0)+1,FALSE)</f>
        <v>水曜クエスト</v>
      </c>
      <c r="I76" s="119">
        <v>0</v>
      </c>
      <c r="J76" s="118">
        <f>COUNTIF(C$1:C76,C76)</f>
        <v>9</v>
      </c>
      <c r="K76" s="120">
        <v>13</v>
      </c>
      <c r="L76" s="118" t="s">
        <v>234</v>
      </c>
      <c r="M76" s="121" t="str">
        <f>VLOOKUP(K76,[6]stage_hints!$A:$C,3,FALSE)</f>
        <v>ユニットの覚醒</v>
      </c>
      <c r="N76" s="122" t="str">
        <f>VLOOKUP(K76,[6]stage_hints!$A:$D,4,FALSE)</f>
        <v>ユニットを覚醒させると_x000D_比べものにならない強さが手に入ります</v>
      </c>
      <c r="O76" s="36" t="s">
        <v>235</v>
      </c>
      <c r="P76">
        <v>13</v>
      </c>
    </row>
    <row r="77" spans="1:16" x14ac:dyDescent="0.15">
      <c r="A77" s="114" t="str">
        <f t="shared" si="1"/>
        <v>11003_4_10</v>
      </c>
      <c r="B77" s="115" t="s">
        <v>231</v>
      </c>
      <c r="C77" s="116">
        <v>11003</v>
      </c>
      <c r="D77" s="117" t="str">
        <f ca="1">VLOOKUP($C77,OFFSET([2]quests!$A$1,0,0,COUNTA([2]quests!$A:$A),MATCH(D$1,[2]quests!$1:$1,0)-MATCH($C$1,[2]quests!$1:$1,0)+1),MATCH(D$1,[2]quests!$1:$1,0)-MATCH($C$1,[2]quests!$1:$1,0)+1,FALSE)</f>
        <v>【水曜限定】 青の素材</v>
      </c>
      <c r="E77" s="117" t="str">
        <f ca="1">VLOOKUP($C77,OFFSET([2]quests!$A$1,0,0,COUNTA([2]quests!$A:$A),MATCH(E$1,[2]quests!$1:$1,0)-MATCH($C$1,[2]quests!$1:$1,0)+1),MATCH(E$1,[2]quests!$1:$1,0)-MATCH($C$1,[2]quests!$1:$1,0)+1,FALSE)</f>
        <v>水曜クエスト</v>
      </c>
      <c r="F77" s="118">
        <v>4</v>
      </c>
      <c r="G77" s="117" t="str">
        <f ca="1">VLOOKUP($C77&amp;"_"&amp;$F77,OFFSET([2]stages!$A$1,0,0,COUNTA([2]stages!$A:$A),MATCH(G$1,[2]stages!$2:$2,0)-MATCH("temp_stage",[2]stages!$2:$2,0)+1),MATCH(G$1,[2]stages!$2:$2,0)-MATCH("temp_stage",[2]stages!$2:$2,0)+1,FALSE)</f>
        <v>【上級】水のイモムシ</v>
      </c>
      <c r="H77" s="117" t="str">
        <f ca="1">VLOOKUP($C77&amp;"_"&amp;$F77,OFFSET([2]stages!$A$1,0,0,COUNTA([2]stages!$A:$A),MATCH(H$1,[2]stages!$2:$2,0)-MATCH("temp_stage",[2]stages!$2:$2,0)+1),MATCH(H$1,[2]stages!$2:$2,0)-MATCH("temp_stage",[2]stages!$2:$2,0)+1,FALSE)</f>
        <v>水曜クエスト</v>
      </c>
      <c r="I77" s="119">
        <v>0</v>
      </c>
      <c r="J77" s="118">
        <f>COUNTIF(C$1:C77,C77)</f>
        <v>10</v>
      </c>
      <c r="K77" s="120">
        <v>14</v>
      </c>
      <c r="L77" s="118" t="s">
        <v>257</v>
      </c>
      <c r="M77" s="121" t="str">
        <f>VLOOKUP(K77,[6]stage_hints!$A:$C,3,FALSE)</f>
        <v>覚醒するにはレベルを最大に</v>
      </c>
      <c r="N77" s="122" t="str">
        <f>VLOOKUP(K77,[6]stage_hints!$A:$D,4,FALSE)</f>
        <v>覚醒するにはユニットのレベルを_x000D_最大まで上げる必要があります</v>
      </c>
      <c r="O77" s="36" t="s">
        <v>235</v>
      </c>
      <c r="P77">
        <v>14</v>
      </c>
    </row>
    <row r="78" spans="1:16" x14ac:dyDescent="0.15">
      <c r="A78" s="114" t="str">
        <f t="shared" si="1"/>
        <v>11003_4_11</v>
      </c>
      <c r="B78" s="115" t="s">
        <v>231</v>
      </c>
      <c r="C78" s="116">
        <v>11003</v>
      </c>
      <c r="D78" s="117" t="str">
        <f ca="1">VLOOKUP($C78,OFFSET([2]quests!$A$1,0,0,COUNTA([2]quests!$A:$A),MATCH(D$1,[2]quests!$1:$1,0)-MATCH($C$1,[2]quests!$1:$1,0)+1),MATCH(D$1,[2]quests!$1:$1,0)-MATCH($C$1,[2]quests!$1:$1,0)+1,FALSE)</f>
        <v>【水曜限定】 青の素材</v>
      </c>
      <c r="E78" s="117" t="str">
        <f ca="1">VLOOKUP($C78,OFFSET([2]quests!$A$1,0,0,COUNTA([2]quests!$A:$A),MATCH(E$1,[2]quests!$1:$1,0)-MATCH($C$1,[2]quests!$1:$1,0)+1),MATCH(E$1,[2]quests!$1:$1,0)-MATCH($C$1,[2]quests!$1:$1,0)+1,FALSE)</f>
        <v>水曜クエスト</v>
      </c>
      <c r="F78" s="118">
        <v>4</v>
      </c>
      <c r="G78" s="117" t="str">
        <f ca="1">VLOOKUP($C78&amp;"_"&amp;$F78,OFFSET([2]stages!$A$1,0,0,COUNTA([2]stages!$A:$A),MATCH(G$1,[2]stages!$2:$2,0)-MATCH("temp_stage",[2]stages!$2:$2,0)+1),MATCH(G$1,[2]stages!$2:$2,0)-MATCH("temp_stage",[2]stages!$2:$2,0)+1,FALSE)</f>
        <v>【上級】水のイモムシ</v>
      </c>
      <c r="H78" s="117" t="str">
        <f ca="1">VLOOKUP($C78&amp;"_"&amp;$F78,OFFSET([2]stages!$A$1,0,0,COUNTA([2]stages!$A:$A),MATCH(H$1,[2]stages!$2:$2,0)-MATCH("temp_stage",[2]stages!$2:$2,0)+1),MATCH(H$1,[2]stages!$2:$2,0)-MATCH("temp_stage",[2]stages!$2:$2,0)+1,FALSE)</f>
        <v>水曜クエスト</v>
      </c>
      <c r="I78" s="119">
        <v>0</v>
      </c>
      <c r="J78" s="118">
        <f>COUNTIF(C$1:C78,C78)</f>
        <v>11</v>
      </c>
      <c r="K78" s="120">
        <v>15</v>
      </c>
      <c r="L78" s="118" t="s">
        <v>241</v>
      </c>
      <c r="M78" s="121" t="str">
        <f>VLOOKUP(K78,[6]stage_hints!$A:$C,3,FALSE)</f>
        <v>覚醒素材を獲得</v>
      </c>
      <c r="N78" s="122" t="str">
        <f>VLOOKUP(K78,[6]stage_hints!$A:$D,4,FALSE)</f>
        <v>「曜日クエスト」では_x000D_ユニットの覚醒に必要な素材が手に入ります</v>
      </c>
      <c r="O78" s="36" t="s">
        <v>265</v>
      </c>
      <c r="P78">
        <v>15</v>
      </c>
    </row>
    <row r="79" spans="1:16" x14ac:dyDescent="0.15">
      <c r="A79" s="114" t="str">
        <f t="shared" si="1"/>
        <v>11003_4_12</v>
      </c>
      <c r="B79" s="115" t="s">
        <v>231</v>
      </c>
      <c r="C79" s="116">
        <v>11003</v>
      </c>
      <c r="D79" s="117" t="str">
        <f ca="1">VLOOKUP($C79,OFFSET([2]quests!$A$1,0,0,COUNTA([2]quests!$A:$A),MATCH(D$1,[2]quests!$1:$1,0)-MATCH($C$1,[2]quests!$1:$1,0)+1),MATCH(D$1,[2]quests!$1:$1,0)-MATCH($C$1,[2]quests!$1:$1,0)+1,FALSE)</f>
        <v>【水曜限定】 青の素材</v>
      </c>
      <c r="E79" s="117" t="str">
        <f ca="1">VLOOKUP($C79,OFFSET([2]quests!$A$1,0,0,COUNTA([2]quests!$A:$A),MATCH(E$1,[2]quests!$1:$1,0)-MATCH($C$1,[2]quests!$1:$1,0)+1),MATCH(E$1,[2]quests!$1:$1,0)-MATCH($C$1,[2]quests!$1:$1,0)+1,FALSE)</f>
        <v>水曜クエスト</v>
      </c>
      <c r="F79" s="118">
        <v>4</v>
      </c>
      <c r="G79" s="117" t="str">
        <f ca="1">VLOOKUP($C79&amp;"_"&amp;$F79,OFFSET([2]stages!$A$1,0,0,COUNTA([2]stages!$A:$A),MATCH(G$1,[2]stages!$2:$2,0)-MATCH("temp_stage",[2]stages!$2:$2,0)+1),MATCH(G$1,[2]stages!$2:$2,0)-MATCH("temp_stage",[2]stages!$2:$2,0)+1,FALSE)</f>
        <v>【上級】水のイモムシ</v>
      </c>
      <c r="H79" s="117" t="str">
        <f ca="1">VLOOKUP($C79&amp;"_"&amp;$F79,OFFSET([2]stages!$A$1,0,0,COUNTA([2]stages!$A:$A),MATCH(H$1,[2]stages!$2:$2,0)-MATCH("temp_stage",[2]stages!$2:$2,0)+1),MATCH(H$1,[2]stages!$2:$2,0)-MATCH("temp_stage",[2]stages!$2:$2,0)+1,FALSE)</f>
        <v>水曜クエスト</v>
      </c>
      <c r="I79" s="119">
        <v>0</v>
      </c>
      <c r="J79" s="118">
        <f>COUNTIF(C$1:C79,C79)</f>
        <v>12</v>
      </c>
      <c r="K79" s="120">
        <v>16</v>
      </c>
      <c r="L79" s="118" t="s">
        <v>277</v>
      </c>
      <c r="M79" s="121" t="str">
        <f>VLOOKUP(K79,[6]stage_hints!$A:$C,3,FALSE)</f>
        <v>マルチプレイのメリット（その1）</v>
      </c>
      <c r="N79" s="122" t="str">
        <f>VLOOKUP(K79,[6]stage_hints!$A:$D,4,FALSE)</f>
        <v>他のプレイヤーとマルチプレイで遊ぶと_x000D_ポリゴンがもらえます（100人まで）</v>
      </c>
      <c r="O79" s="36" t="s">
        <v>235</v>
      </c>
      <c r="P79">
        <v>16</v>
      </c>
    </row>
    <row r="80" spans="1:16" x14ac:dyDescent="0.15">
      <c r="A80" s="114" t="str">
        <f t="shared" si="1"/>
        <v>11003_4_13</v>
      </c>
      <c r="B80" s="115" t="s">
        <v>231</v>
      </c>
      <c r="C80" s="116">
        <v>11003</v>
      </c>
      <c r="D80" s="117" t="str">
        <f ca="1">VLOOKUP($C80,OFFSET([2]quests!$A$1,0,0,COUNTA([2]quests!$A:$A),MATCH(D$1,[2]quests!$1:$1,0)-MATCH($C$1,[2]quests!$1:$1,0)+1),MATCH(D$1,[2]quests!$1:$1,0)-MATCH($C$1,[2]quests!$1:$1,0)+1,FALSE)</f>
        <v>【水曜限定】 青の素材</v>
      </c>
      <c r="E80" s="117" t="str">
        <f ca="1">VLOOKUP($C80,OFFSET([2]quests!$A$1,0,0,COUNTA([2]quests!$A:$A),MATCH(E$1,[2]quests!$1:$1,0)-MATCH($C$1,[2]quests!$1:$1,0)+1),MATCH(E$1,[2]quests!$1:$1,0)-MATCH($C$1,[2]quests!$1:$1,0)+1,FALSE)</f>
        <v>水曜クエスト</v>
      </c>
      <c r="F80" s="118">
        <v>4</v>
      </c>
      <c r="G80" s="117" t="str">
        <f ca="1">VLOOKUP($C80&amp;"_"&amp;$F80,OFFSET([2]stages!$A$1,0,0,COUNTA([2]stages!$A:$A),MATCH(G$1,[2]stages!$2:$2,0)-MATCH("temp_stage",[2]stages!$2:$2,0)+1),MATCH(G$1,[2]stages!$2:$2,0)-MATCH("temp_stage",[2]stages!$2:$2,0)+1,FALSE)</f>
        <v>【上級】水のイモムシ</v>
      </c>
      <c r="H80" s="117" t="str">
        <f ca="1">VLOOKUP($C80&amp;"_"&amp;$F80,OFFSET([2]stages!$A$1,0,0,COUNTA([2]stages!$A:$A),MATCH(H$1,[2]stages!$2:$2,0)-MATCH("temp_stage",[2]stages!$2:$2,0)+1),MATCH(H$1,[2]stages!$2:$2,0)-MATCH("temp_stage",[2]stages!$2:$2,0)+1,FALSE)</f>
        <v>水曜クエスト</v>
      </c>
      <c r="I80" s="119">
        <v>0</v>
      </c>
      <c r="J80" s="118">
        <f>COUNTIF(C$1:C80,C80)</f>
        <v>13</v>
      </c>
      <c r="K80" s="120">
        <v>17</v>
      </c>
      <c r="L80" s="118" t="s">
        <v>280</v>
      </c>
      <c r="M80" s="121" t="str">
        <f>VLOOKUP(K80,[6]stage_hints!$A:$C,3,FALSE)</f>
        <v>リンクガチャ</v>
      </c>
      <c r="N80" s="122" t="str">
        <f>VLOOKUP(K80,[6]stage_hints!$A:$D,4,FALSE)</f>
        <v>無料のリンクガチャを回して_x000D_経験値素材や売却素材を獲得しましょう</v>
      </c>
      <c r="O80" s="36" t="s">
        <v>265</v>
      </c>
      <c r="P80">
        <v>17</v>
      </c>
    </row>
    <row r="81" spans="1:16" x14ac:dyDescent="0.15">
      <c r="A81" s="114" t="str">
        <f t="shared" si="1"/>
        <v>11003_4_14</v>
      </c>
      <c r="B81" s="115" t="s">
        <v>231</v>
      </c>
      <c r="C81" s="116">
        <v>11003</v>
      </c>
      <c r="D81" s="117" t="str">
        <f ca="1">VLOOKUP($C81,OFFSET([2]quests!$A$1,0,0,COUNTA([2]quests!$A:$A),MATCH(D$1,[2]quests!$1:$1,0)-MATCH($C$1,[2]quests!$1:$1,0)+1),MATCH(D$1,[2]quests!$1:$1,0)-MATCH($C$1,[2]quests!$1:$1,0)+1,FALSE)</f>
        <v>【水曜限定】 青の素材</v>
      </c>
      <c r="E81" s="117" t="str">
        <f ca="1">VLOOKUP($C81,OFFSET([2]quests!$A$1,0,0,COUNTA([2]quests!$A:$A),MATCH(E$1,[2]quests!$1:$1,0)-MATCH($C$1,[2]quests!$1:$1,0)+1),MATCH(E$1,[2]quests!$1:$1,0)-MATCH($C$1,[2]quests!$1:$1,0)+1,FALSE)</f>
        <v>水曜クエスト</v>
      </c>
      <c r="F81" s="118">
        <v>4</v>
      </c>
      <c r="G81" s="117" t="str">
        <f ca="1">VLOOKUP($C81&amp;"_"&amp;$F81,OFFSET([2]stages!$A$1,0,0,COUNTA([2]stages!$A:$A),MATCH(G$1,[2]stages!$2:$2,0)-MATCH("temp_stage",[2]stages!$2:$2,0)+1),MATCH(G$1,[2]stages!$2:$2,0)-MATCH("temp_stage",[2]stages!$2:$2,0)+1,FALSE)</f>
        <v>【上級】水のイモムシ</v>
      </c>
      <c r="H81" s="117" t="str">
        <f ca="1">VLOOKUP($C81&amp;"_"&amp;$F81,OFFSET([2]stages!$A$1,0,0,COUNTA([2]stages!$A:$A),MATCH(H$1,[2]stages!$2:$2,0)-MATCH("temp_stage",[2]stages!$2:$2,0)+1),MATCH(H$1,[2]stages!$2:$2,0)-MATCH("temp_stage",[2]stages!$2:$2,0)+1,FALSE)</f>
        <v>水曜クエスト</v>
      </c>
      <c r="I81" s="119">
        <v>0</v>
      </c>
      <c r="J81" s="118">
        <f>COUNTIF(C$1:C81,C81)</f>
        <v>14</v>
      </c>
      <c r="K81" s="120">
        <v>18</v>
      </c>
      <c r="L81" s="118" t="s">
        <v>234</v>
      </c>
      <c r="M81" s="121" t="str">
        <f>VLOOKUP(K81,[6]stage_hints!$A:$C,3,FALSE)</f>
        <v>マルチプレイのメリット（その2）</v>
      </c>
      <c r="N81" s="122" t="str">
        <f>VLOOKUP(K81,[6]stage_hints!$A:$D,4,FALSE)</f>
        <v>マルチプレイならリンクが2倍もらえます_x000D_リンクガチャをたくさん回しましょう</v>
      </c>
      <c r="O81" s="36" t="s">
        <v>235</v>
      </c>
      <c r="P81">
        <v>18</v>
      </c>
    </row>
    <row r="82" spans="1:16" x14ac:dyDescent="0.15">
      <c r="A82" s="114" t="str">
        <f t="shared" si="1"/>
        <v>11003_4_15</v>
      </c>
      <c r="B82" s="115" t="s">
        <v>231</v>
      </c>
      <c r="C82" s="116">
        <v>11003</v>
      </c>
      <c r="D82" s="117" t="str">
        <f ca="1">VLOOKUP($C82,OFFSET([2]quests!$A$1,0,0,COUNTA([2]quests!$A:$A),MATCH(D$1,[2]quests!$1:$1,0)-MATCH($C$1,[2]quests!$1:$1,0)+1),MATCH(D$1,[2]quests!$1:$1,0)-MATCH($C$1,[2]quests!$1:$1,0)+1,FALSE)</f>
        <v>【水曜限定】 青の素材</v>
      </c>
      <c r="E82" s="117" t="str">
        <f ca="1">VLOOKUP($C82,OFFSET([2]quests!$A$1,0,0,COUNTA([2]quests!$A:$A),MATCH(E$1,[2]quests!$1:$1,0)-MATCH($C$1,[2]quests!$1:$1,0)+1),MATCH(E$1,[2]quests!$1:$1,0)-MATCH($C$1,[2]quests!$1:$1,0)+1,FALSE)</f>
        <v>水曜クエスト</v>
      </c>
      <c r="F82" s="118">
        <v>4</v>
      </c>
      <c r="G82" s="117" t="str">
        <f ca="1">VLOOKUP($C82&amp;"_"&amp;$F82,OFFSET([2]stages!$A$1,0,0,COUNTA([2]stages!$A:$A),MATCH(G$1,[2]stages!$2:$2,0)-MATCH("temp_stage",[2]stages!$2:$2,0)+1),MATCH(G$1,[2]stages!$2:$2,0)-MATCH("temp_stage",[2]stages!$2:$2,0)+1,FALSE)</f>
        <v>【上級】水のイモムシ</v>
      </c>
      <c r="H82" s="117" t="str">
        <f ca="1">VLOOKUP($C82&amp;"_"&amp;$F82,OFFSET([2]stages!$A$1,0,0,COUNTA([2]stages!$A:$A),MATCH(H$1,[2]stages!$2:$2,0)-MATCH("temp_stage",[2]stages!$2:$2,0)+1),MATCH(H$1,[2]stages!$2:$2,0)-MATCH("temp_stage",[2]stages!$2:$2,0)+1,FALSE)</f>
        <v>水曜クエスト</v>
      </c>
      <c r="I82" s="119">
        <v>0</v>
      </c>
      <c r="J82" s="118">
        <f>COUNTIF(C$1:C82,C82)</f>
        <v>15</v>
      </c>
      <c r="K82" s="120">
        <v>19</v>
      </c>
      <c r="L82" s="118" t="s">
        <v>234</v>
      </c>
      <c r="M82" s="121" t="str">
        <f>VLOOKUP(K82,[6]stage_hints!$A:$C,3,FALSE)</f>
        <v>ソロ専用タワーオブザクイーン</v>
      </c>
      <c r="N82" s="122" t="str">
        <f>VLOOKUP(K82,[6]stage_hints!$A:$D,4,FALSE)</f>
        <v>ソロ専用の「タワーオブザクイーン」は_x000D_期間限定で定期的に開催されます_x000D_ここでしか獲得できない報酬もあるようです</v>
      </c>
      <c r="O82" s="36" t="s">
        <v>235</v>
      </c>
      <c r="P82">
        <v>19</v>
      </c>
    </row>
    <row r="83" spans="1:16" x14ac:dyDescent="0.15">
      <c r="A83" s="114" t="str">
        <f t="shared" si="1"/>
        <v>11003_4_16</v>
      </c>
      <c r="B83" s="115" t="s">
        <v>231</v>
      </c>
      <c r="C83" s="116">
        <v>11003</v>
      </c>
      <c r="D83" s="117" t="str">
        <f ca="1">VLOOKUP($C83,OFFSET([2]quests!$A$1,0,0,COUNTA([2]quests!$A:$A),MATCH(D$1,[2]quests!$1:$1,0)-MATCH($C$1,[2]quests!$1:$1,0)+1),MATCH(D$1,[2]quests!$1:$1,0)-MATCH($C$1,[2]quests!$1:$1,0)+1,FALSE)</f>
        <v>【水曜限定】 青の素材</v>
      </c>
      <c r="E83" s="117" t="str">
        <f ca="1">VLOOKUP($C83,OFFSET([2]quests!$A$1,0,0,COUNTA([2]quests!$A:$A),MATCH(E$1,[2]quests!$1:$1,0)-MATCH($C$1,[2]quests!$1:$1,0)+1),MATCH(E$1,[2]quests!$1:$1,0)-MATCH($C$1,[2]quests!$1:$1,0)+1,FALSE)</f>
        <v>水曜クエスト</v>
      </c>
      <c r="F83" s="118">
        <v>4</v>
      </c>
      <c r="G83" s="117" t="str">
        <f ca="1">VLOOKUP($C83&amp;"_"&amp;$F83,OFFSET([2]stages!$A$1,0,0,COUNTA([2]stages!$A:$A),MATCH(G$1,[2]stages!$2:$2,0)-MATCH("temp_stage",[2]stages!$2:$2,0)+1),MATCH(G$1,[2]stages!$2:$2,0)-MATCH("temp_stage",[2]stages!$2:$2,0)+1,FALSE)</f>
        <v>【上級】水のイモムシ</v>
      </c>
      <c r="H83" s="117" t="str">
        <f ca="1">VLOOKUP($C83&amp;"_"&amp;$F83,OFFSET([2]stages!$A$1,0,0,COUNTA([2]stages!$A:$A),MATCH(H$1,[2]stages!$2:$2,0)-MATCH("temp_stage",[2]stages!$2:$2,0)+1),MATCH(H$1,[2]stages!$2:$2,0)-MATCH("temp_stage",[2]stages!$2:$2,0)+1,FALSE)</f>
        <v>水曜クエスト</v>
      </c>
      <c r="I83" s="119">
        <v>0</v>
      </c>
      <c r="J83" s="118">
        <f>COUNTIF(C$1:C83,C83)</f>
        <v>16</v>
      </c>
      <c r="K83" s="120">
        <v>20</v>
      </c>
      <c r="L83" s="118" t="s">
        <v>281</v>
      </c>
      <c r="M83" s="121" t="str">
        <f>VLOOKUP(K83,[6]stage_hints!$A:$C,3,FALSE)</f>
        <v>マルチプレイのメリット（その3）</v>
      </c>
      <c r="N83" s="122" t="str">
        <f>VLOOKUP(K83,[6]stage_hints!$A:$D,4,FALSE)</f>
        <v>マルチプレイへの参加はエナジー消費ゼロ_x000D_いつでも好きなだけ遊ぶことができます</v>
      </c>
      <c r="O83" s="36" t="s">
        <v>276</v>
      </c>
      <c r="P83">
        <v>20</v>
      </c>
    </row>
    <row r="84" spans="1:16" x14ac:dyDescent="0.15">
      <c r="A84" s="114" t="str">
        <f t="shared" si="1"/>
        <v>11003_4_17</v>
      </c>
      <c r="B84" s="115" t="s">
        <v>231</v>
      </c>
      <c r="C84" s="116">
        <v>11003</v>
      </c>
      <c r="D84" s="117" t="str">
        <f ca="1">VLOOKUP($C84,OFFSET([2]quests!$A$1,0,0,COUNTA([2]quests!$A:$A),MATCH(D$1,[2]quests!$1:$1,0)-MATCH($C$1,[2]quests!$1:$1,0)+1),MATCH(D$1,[2]quests!$1:$1,0)-MATCH($C$1,[2]quests!$1:$1,0)+1,FALSE)</f>
        <v>【水曜限定】 青の素材</v>
      </c>
      <c r="E84" s="117" t="str">
        <f ca="1">VLOOKUP($C84,OFFSET([2]quests!$A$1,0,0,COUNTA([2]quests!$A:$A),MATCH(E$1,[2]quests!$1:$1,0)-MATCH($C$1,[2]quests!$1:$1,0)+1),MATCH(E$1,[2]quests!$1:$1,0)-MATCH($C$1,[2]quests!$1:$1,0)+1,FALSE)</f>
        <v>水曜クエスト</v>
      </c>
      <c r="F84" s="118">
        <v>4</v>
      </c>
      <c r="G84" s="117" t="str">
        <f ca="1">VLOOKUP($C84&amp;"_"&amp;$F84,OFFSET([2]stages!$A$1,0,0,COUNTA([2]stages!$A:$A),MATCH(G$1,[2]stages!$2:$2,0)-MATCH("temp_stage",[2]stages!$2:$2,0)+1),MATCH(G$1,[2]stages!$2:$2,0)-MATCH("temp_stage",[2]stages!$2:$2,0)+1,FALSE)</f>
        <v>【上級】水のイモムシ</v>
      </c>
      <c r="H84" s="117" t="str">
        <f ca="1">VLOOKUP($C84&amp;"_"&amp;$F84,OFFSET([2]stages!$A$1,0,0,COUNTA([2]stages!$A:$A),MATCH(H$1,[2]stages!$2:$2,0)-MATCH("temp_stage",[2]stages!$2:$2,0)+1),MATCH(H$1,[2]stages!$2:$2,0)-MATCH("temp_stage",[2]stages!$2:$2,0)+1,FALSE)</f>
        <v>水曜クエスト</v>
      </c>
      <c r="I84" s="119">
        <v>0</v>
      </c>
      <c r="J84" s="118">
        <f>COUNTIF(C$1:C84,C84)</f>
        <v>17</v>
      </c>
      <c r="K84" s="120">
        <v>21</v>
      </c>
      <c r="L84" s="118" t="s">
        <v>282</v>
      </c>
      <c r="M84" s="121" t="str">
        <f>VLOOKUP(K84,[6]stage_hints!$A:$C,3,FALSE)</f>
        <v>スキルを有効に</v>
      </c>
      <c r="N84" s="122" t="str">
        <f>VLOOKUP(K84,[6]stage_hints!$A:$D,4,FALSE)</f>
        <v>ターン経過でユニットのスキルが使えます_x000D_強力スキルでバトルを有利に進めましょう</v>
      </c>
      <c r="O84" s="36" t="s">
        <v>276</v>
      </c>
      <c r="P84">
        <v>21</v>
      </c>
    </row>
    <row r="85" spans="1:16" x14ac:dyDescent="0.15">
      <c r="A85" s="114" t="str">
        <f t="shared" si="1"/>
        <v>11003_4_18</v>
      </c>
      <c r="B85" s="115" t="s">
        <v>231</v>
      </c>
      <c r="C85" s="116">
        <v>11003</v>
      </c>
      <c r="D85" s="117" t="str">
        <f ca="1">VLOOKUP($C85,OFFSET([2]quests!$A$1,0,0,COUNTA([2]quests!$A:$A),MATCH(D$1,[2]quests!$1:$1,0)-MATCH($C$1,[2]quests!$1:$1,0)+1),MATCH(D$1,[2]quests!$1:$1,0)-MATCH($C$1,[2]quests!$1:$1,0)+1,FALSE)</f>
        <v>【水曜限定】 青の素材</v>
      </c>
      <c r="E85" s="117" t="str">
        <f ca="1">VLOOKUP($C85,OFFSET([2]quests!$A$1,0,0,COUNTA([2]quests!$A:$A),MATCH(E$1,[2]quests!$1:$1,0)-MATCH($C$1,[2]quests!$1:$1,0)+1),MATCH(E$1,[2]quests!$1:$1,0)-MATCH($C$1,[2]quests!$1:$1,0)+1,FALSE)</f>
        <v>水曜クエスト</v>
      </c>
      <c r="F85" s="118">
        <v>4</v>
      </c>
      <c r="G85" s="117" t="str">
        <f ca="1">VLOOKUP($C85&amp;"_"&amp;$F85,OFFSET([2]stages!$A$1,0,0,COUNTA([2]stages!$A:$A),MATCH(G$1,[2]stages!$2:$2,0)-MATCH("temp_stage",[2]stages!$2:$2,0)+1),MATCH(G$1,[2]stages!$2:$2,0)-MATCH("temp_stage",[2]stages!$2:$2,0)+1,FALSE)</f>
        <v>【上級】水のイモムシ</v>
      </c>
      <c r="H85" s="117" t="str">
        <f ca="1">VLOOKUP($C85&amp;"_"&amp;$F85,OFFSET([2]stages!$A$1,0,0,COUNTA([2]stages!$A:$A),MATCH(H$1,[2]stages!$2:$2,0)-MATCH("temp_stage",[2]stages!$2:$2,0)+1),MATCH(H$1,[2]stages!$2:$2,0)-MATCH("temp_stage",[2]stages!$2:$2,0)+1,FALSE)</f>
        <v>水曜クエスト</v>
      </c>
      <c r="I85" s="119">
        <v>0</v>
      </c>
      <c r="J85" s="118">
        <f>COUNTIF(C$1:C85,C85)</f>
        <v>18</v>
      </c>
      <c r="K85" s="120">
        <v>22</v>
      </c>
      <c r="L85" s="118" t="s">
        <v>234</v>
      </c>
      <c r="M85" s="121" t="str">
        <f>VLOOKUP(K85,[6]stage_hints!$A:$C,3,FALSE)</f>
        <v>フィーバーで一発逆転（その1）</v>
      </c>
      <c r="N85" s="122" t="str">
        <f>VLOOKUP(K85,[6]stage_hints!$A:$D,4,FALSE)</f>
        <v>フィーバーは攻撃と回復を兼ね備えます_x000D_ピンチからの一発逆転を狙いましょう</v>
      </c>
      <c r="O85" s="36" t="s">
        <v>235</v>
      </c>
      <c r="P85">
        <v>22</v>
      </c>
    </row>
    <row r="86" spans="1:16" x14ac:dyDescent="0.15">
      <c r="A86" s="114" t="str">
        <f t="shared" si="1"/>
        <v>11003_4_19</v>
      </c>
      <c r="B86" s="115" t="s">
        <v>231</v>
      </c>
      <c r="C86" s="116">
        <v>11003</v>
      </c>
      <c r="D86" s="117" t="str">
        <f ca="1">VLOOKUP($C86,OFFSET([2]quests!$A$1,0,0,COUNTA([2]quests!$A:$A),MATCH(D$1,[2]quests!$1:$1,0)-MATCH($C$1,[2]quests!$1:$1,0)+1),MATCH(D$1,[2]quests!$1:$1,0)-MATCH($C$1,[2]quests!$1:$1,0)+1,FALSE)</f>
        <v>【水曜限定】 青の素材</v>
      </c>
      <c r="E86" s="117" t="str">
        <f ca="1">VLOOKUP($C86,OFFSET([2]quests!$A$1,0,0,COUNTA([2]quests!$A:$A),MATCH(E$1,[2]quests!$1:$1,0)-MATCH($C$1,[2]quests!$1:$1,0)+1),MATCH(E$1,[2]quests!$1:$1,0)-MATCH($C$1,[2]quests!$1:$1,0)+1,FALSE)</f>
        <v>水曜クエスト</v>
      </c>
      <c r="F86" s="118">
        <v>4</v>
      </c>
      <c r="G86" s="117" t="str">
        <f ca="1">VLOOKUP($C86&amp;"_"&amp;$F86,OFFSET([2]stages!$A$1,0,0,COUNTA([2]stages!$A:$A),MATCH(G$1,[2]stages!$2:$2,0)-MATCH("temp_stage",[2]stages!$2:$2,0)+1),MATCH(G$1,[2]stages!$2:$2,0)-MATCH("temp_stage",[2]stages!$2:$2,0)+1,FALSE)</f>
        <v>【上級】水のイモムシ</v>
      </c>
      <c r="H86" s="117" t="str">
        <f ca="1">VLOOKUP($C86&amp;"_"&amp;$F86,OFFSET([2]stages!$A$1,0,0,COUNTA([2]stages!$A:$A),MATCH(H$1,[2]stages!$2:$2,0)-MATCH("temp_stage",[2]stages!$2:$2,0)+1),MATCH(H$1,[2]stages!$2:$2,0)-MATCH("temp_stage",[2]stages!$2:$2,0)+1,FALSE)</f>
        <v>水曜クエスト</v>
      </c>
      <c r="I86" s="119">
        <v>0</v>
      </c>
      <c r="J86" s="118">
        <f>COUNTIF(C$1:C86,C86)</f>
        <v>19</v>
      </c>
      <c r="K86" s="120">
        <v>23</v>
      </c>
      <c r="L86" s="118" t="s">
        <v>234</v>
      </c>
      <c r="M86" s="121" t="str">
        <f>VLOOKUP(K86,[6]stage_hints!$A:$C,3,FALSE)</f>
        <v>フィーバーで一発逆転（その2）</v>
      </c>
      <c r="N86" s="122" t="str">
        <f>VLOOKUP(K86,[6]stage_hints!$A:$D,4,FALSE)</f>
        <v>フィーバー中は虹色のボムパネルを狙って_x000D_画面上のパネルを一気に破壊しましょう</v>
      </c>
      <c r="O86" s="36" t="s">
        <v>235</v>
      </c>
      <c r="P86">
        <v>23</v>
      </c>
    </row>
    <row r="87" spans="1:16" x14ac:dyDescent="0.15">
      <c r="A87" s="114" t="str">
        <f t="shared" si="1"/>
        <v>11003_4_20</v>
      </c>
      <c r="B87" s="115" t="s">
        <v>231</v>
      </c>
      <c r="C87" s="116">
        <v>11003</v>
      </c>
      <c r="D87" s="117" t="str">
        <f ca="1">VLOOKUP($C87,OFFSET([2]quests!$A$1,0,0,COUNTA([2]quests!$A:$A),MATCH(D$1,[2]quests!$1:$1,0)-MATCH($C$1,[2]quests!$1:$1,0)+1),MATCH(D$1,[2]quests!$1:$1,0)-MATCH($C$1,[2]quests!$1:$1,0)+1,FALSE)</f>
        <v>【水曜限定】 青の素材</v>
      </c>
      <c r="E87" s="117" t="str">
        <f ca="1">VLOOKUP($C87,OFFSET([2]quests!$A$1,0,0,COUNTA([2]quests!$A:$A),MATCH(E$1,[2]quests!$1:$1,0)-MATCH($C$1,[2]quests!$1:$1,0)+1),MATCH(E$1,[2]quests!$1:$1,0)-MATCH($C$1,[2]quests!$1:$1,0)+1,FALSE)</f>
        <v>水曜クエスト</v>
      </c>
      <c r="F87" s="118">
        <v>4</v>
      </c>
      <c r="G87" s="117" t="str">
        <f ca="1">VLOOKUP($C87&amp;"_"&amp;$F87,OFFSET([2]stages!$A$1,0,0,COUNTA([2]stages!$A:$A),MATCH(G$1,[2]stages!$2:$2,0)-MATCH("temp_stage",[2]stages!$2:$2,0)+1),MATCH(G$1,[2]stages!$2:$2,0)-MATCH("temp_stage",[2]stages!$2:$2,0)+1,FALSE)</f>
        <v>【上級】水のイモムシ</v>
      </c>
      <c r="H87" s="117" t="str">
        <f ca="1">VLOOKUP($C87&amp;"_"&amp;$F87,OFFSET([2]stages!$A$1,0,0,COUNTA([2]stages!$A:$A),MATCH(H$1,[2]stages!$2:$2,0)-MATCH("temp_stage",[2]stages!$2:$2,0)+1),MATCH(H$1,[2]stages!$2:$2,0)-MATCH("temp_stage",[2]stages!$2:$2,0)+1,FALSE)</f>
        <v>水曜クエスト</v>
      </c>
      <c r="I87" s="119">
        <v>0</v>
      </c>
      <c r="J87" s="118">
        <f>COUNTIF(C$1:C87,C87)</f>
        <v>20</v>
      </c>
      <c r="K87" s="120">
        <v>24</v>
      </c>
      <c r="L87" s="118" t="s">
        <v>234</v>
      </c>
      <c r="M87" s="121" t="str">
        <f>VLOOKUP(K87,[6]stage_hints!$A:$C,3,FALSE)</f>
        <v>果実を使って限界突破</v>
      </c>
      <c r="N87" s="122" t="str">
        <f>VLOOKUP(K87,[6]stage_hints!$A:$D,4,FALSE)</f>
        <v>攻めの果実 癒しの果実_x000D_生命の果実をユニット強化に使うと_x000D_ステータスが限界突破します（計99個迄）</v>
      </c>
      <c r="O87" s="36" t="s">
        <v>283</v>
      </c>
      <c r="P87">
        <v>24</v>
      </c>
    </row>
    <row r="88" spans="1:16" x14ac:dyDescent="0.15">
      <c r="A88" s="114" t="str">
        <f t="shared" si="1"/>
        <v>11003_4_21</v>
      </c>
      <c r="B88" s="115" t="s">
        <v>231</v>
      </c>
      <c r="C88" s="116">
        <v>11003</v>
      </c>
      <c r="D88" s="117" t="str">
        <f ca="1">VLOOKUP($C88,OFFSET([2]quests!$A$1,0,0,COUNTA([2]quests!$A:$A),MATCH(D$1,[2]quests!$1:$1,0)-MATCH($C$1,[2]quests!$1:$1,0)+1),MATCH(D$1,[2]quests!$1:$1,0)-MATCH($C$1,[2]quests!$1:$1,0)+1,FALSE)</f>
        <v>【水曜限定】 青の素材</v>
      </c>
      <c r="E88" s="117" t="str">
        <f ca="1">VLOOKUP($C88,OFFSET([2]quests!$A$1,0,0,COUNTA([2]quests!$A:$A),MATCH(E$1,[2]quests!$1:$1,0)-MATCH($C$1,[2]quests!$1:$1,0)+1),MATCH(E$1,[2]quests!$1:$1,0)-MATCH($C$1,[2]quests!$1:$1,0)+1,FALSE)</f>
        <v>水曜クエスト</v>
      </c>
      <c r="F88" s="118">
        <v>4</v>
      </c>
      <c r="G88" s="117" t="str">
        <f ca="1">VLOOKUP($C88&amp;"_"&amp;$F88,OFFSET([2]stages!$A$1,0,0,COUNTA([2]stages!$A:$A),MATCH(G$1,[2]stages!$2:$2,0)-MATCH("temp_stage",[2]stages!$2:$2,0)+1),MATCH(G$1,[2]stages!$2:$2,0)-MATCH("temp_stage",[2]stages!$2:$2,0)+1,FALSE)</f>
        <v>【上級】水のイモムシ</v>
      </c>
      <c r="H88" s="117" t="str">
        <f ca="1">VLOOKUP($C88&amp;"_"&amp;$F88,OFFSET([2]stages!$A$1,0,0,COUNTA([2]stages!$A:$A),MATCH(H$1,[2]stages!$2:$2,0)-MATCH("temp_stage",[2]stages!$2:$2,0)+1),MATCH(H$1,[2]stages!$2:$2,0)-MATCH("temp_stage",[2]stages!$2:$2,0)+1,FALSE)</f>
        <v>水曜クエスト</v>
      </c>
      <c r="I88" s="119">
        <v>0</v>
      </c>
      <c r="J88" s="118">
        <f>COUNTIF(C$1:C88,C88)</f>
        <v>21</v>
      </c>
      <c r="K88" s="120">
        <v>25</v>
      </c>
      <c r="L88" s="118" t="s">
        <v>269</v>
      </c>
      <c r="M88" s="121" t="str">
        <f>VLOOKUP(K88,[6]stage_hints!$A:$C,3,FALSE)</f>
        <v>スキルレベルアップ</v>
      </c>
      <c r="N88" s="122" t="str">
        <f>VLOOKUP(K88,[6]stage_hints!$A:$D,4,FALSE)</f>
        <v>「秘術の果実」を強化に使うと_x000D_スキルレベルを上げることができます</v>
      </c>
      <c r="O88" s="36" t="s">
        <v>284</v>
      </c>
      <c r="P88">
        <v>25</v>
      </c>
    </row>
    <row r="89" spans="1:16" x14ac:dyDescent="0.15">
      <c r="A89" s="114" t="str">
        <f t="shared" si="1"/>
        <v>11003_4_22</v>
      </c>
      <c r="B89" s="115" t="s">
        <v>231</v>
      </c>
      <c r="C89" s="116">
        <v>11003</v>
      </c>
      <c r="D89" s="117" t="str">
        <f ca="1">VLOOKUP($C89,OFFSET([2]quests!$A$1,0,0,COUNTA([2]quests!$A:$A),MATCH(D$1,[2]quests!$1:$1,0)-MATCH($C$1,[2]quests!$1:$1,0)+1),MATCH(D$1,[2]quests!$1:$1,0)-MATCH($C$1,[2]quests!$1:$1,0)+1,FALSE)</f>
        <v>【水曜限定】 青の素材</v>
      </c>
      <c r="E89" s="117" t="str">
        <f ca="1">VLOOKUP($C89,OFFSET([2]quests!$A$1,0,0,COUNTA([2]quests!$A:$A),MATCH(E$1,[2]quests!$1:$1,0)-MATCH($C$1,[2]quests!$1:$1,0)+1),MATCH(E$1,[2]quests!$1:$1,0)-MATCH($C$1,[2]quests!$1:$1,0)+1,FALSE)</f>
        <v>水曜クエスト</v>
      </c>
      <c r="F89" s="118">
        <v>4</v>
      </c>
      <c r="G89" s="117" t="str">
        <f ca="1">VLOOKUP($C89&amp;"_"&amp;$F89,OFFSET([2]stages!$A$1,0,0,COUNTA([2]stages!$A:$A),MATCH(G$1,[2]stages!$2:$2,0)-MATCH("temp_stage",[2]stages!$2:$2,0)+1),MATCH(G$1,[2]stages!$2:$2,0)-MATCH("temp_stage",[2]stages!$2:$2,0)+1,FALSE)</f>
        <v>【上級】水のイモムシ</v>
      </c>
      <c r="H89" s="117" t="str">
        <f ca="1">VLOOKUP($C89&amp;"_"&amp;$F89,OFFSET([2]stages!$A$1,0,0,COUNTA([2]stages!$A:$A),MATCH(H$1,[2]stages!$2:$2,0)-MATCH("temp_stage",[2]stages!$2:$2,0)+1),MATCH(H$1,[2]stages!$2:$2,0)-MATCH("temp_stage",[2]stages!$2:$2,0)+1,FALSE)</f>
        <v>水曜クエスト</v>
      </c>
      <c r="I89" s="119">
        <v>0</v>
      </c>
      <c r="J89" s="118">
        <f>COUNTIF(C$1:C89,C89)</f>
        <v>22</v>
      </c>
      <c r="K89" s="120">
        <v>26</v>
      </c>
      <c r="L89" s="118" t="s">
        <v>234</v>
      </c>
      <c r="M89" s="121" t="str">
        <f>VLOOKUP(K89,[6]stage_hints!$A:$C,3,FALSE)</f>
        <v>スキルレベルの効果</v>
      </c>
      <c r="N89" s="122" t="str">
        <f>VLOOKUP(K89,[6]stage_hints!$A:$D,4,FALSE)</f>
        <v>スキルレベルが上がると_x000D_短いターンでスキルを使うことができます</v>
      </c>
      <c r="O89" s="36" t="s">
        <v>235</v>
      </c>
      <c r="P89">
        <v>26</v>
      </c>
    </row>
    <row r="90" spans="1:16" x14ac:dyDescent="0.15">
      <c r="A90" s="114" t="str">
        <f t="shared" si="1"/>
        <v>11003_4_23</v>
      </c>
      <c r="B90" s="115" t="s">
        <v>231</v>
      </c>
      <c r="C90" s="116">
        <v>11003</v>
      </c>
      <c r="D90" s="117" t="str">
        <f ca="1">VLOOKUP($C90,OFFSET([2]quests!$A$1,0,0,COUNTA([2]quests!$A:$A),MATCH(D$1,[2]quests!$1:$1,0)-MATCH($C$1,[2]quests!$1:$1,0)+1),MATCH(D$1,[2]quests!$1:$1,0)-MATCH($C$1,[2]quests!$1:$1,0)+1,FALSE)</f>
        <v>【水曜限定】 青の素材</v>
      </c>
      <c r="E90" s="117" t="str">
        <f ca="1">VLOOKUP($C90,OFFSET([2]quests!$A$1,0,0,COUNTA([2]quests!$A:$A),MATCH(E$1,[2]quests!$1:$1,0)-MATCH($C$1,[2]quests!$1:$1,0)+1),MATCH(E$1,[2]quests!$1:$1,0)-MATCH($C$1,[2]quests!$1:$1,0)+1,FALSE)</f>
        <v>水曜クエスト</v>
      </c>
      <c r="F90" s="118">
        <v>4</v>
      </c>
      <c r="G90" s="117" t="str">
        <f ca="1">VLOOKUP($C90&amp;"_"&amp;$F90,OFFSET([2]stages!$A$1,0,0,COUNTA([2]stages!$A:$A),MATCH(G$1,[2]stages!$2:$2,0)-MATCH("temp_stage",[2]stages!$2:$2,0)+1),MATCH(G$1,[2]stages!$2:$2,0)-MATCH("temp_stage",[2]stages!$2:$2,0)+1,FALSE)</f>
        <v>【上級】水のイモムシ</v>
      </c>
      <c r="H90" s="117" t="str">
        <f ca="1">VLOOKUP($C90&amp;"_"&amp;$F90,OFFSET([2]stages!$A$1,0,0,COUNTA([2]stages!$A:$A),MATCH(H$1,[2]stages!$2:$2,0)-MATCH("temp_stage",[2]stages!$2:$2,0)+1),MATCH(H$1,[2]stages!$2:$2,0)-MATCH("temp_stage",[2]stages!$2:$2,0)+1,FALSE)</f>
        <v>水曜クエスト</v>
      </c>
      <c r="I90" s="119">
        <v>0</v>
      </c>
      <c r="J90" s="118">
        <f>COUNTIF(C$1:C90,C90)</f>
        <v>23</v>
      </c>
      <c r="K90" s="120">
        <v>27</v>
      </c>
      <c r="L90" s="118" t="s">
        <v>234</v>
      </c>
      <c r="M90" s="121" t="str">
        <f>VLOOKUP(K90,[6]stage_hints!$A:$C,3,FALSE)</f>
        <v>ホーム画面からデッキを編成</v>
      </c>
      <c r="N90" s="122" t="str">
        <f>VLOOKUP(K90,[6]stage_hints!$A:$D,4,FALSE)</f>
        <v>ホーム画面でユニットを長押しすると_x000D_すぐにパーティ編成に移動できます</v>
      </c>
      <c r="O90" s="36" t="s">
        <v>235</v>
      </c>
      <c r="P90">
        <v>27</v>
      </c>
    </row>
    <row r="91" spans="1:16" x14ac:dyDescent="0.15">
      <c r="A91" s="114" t="str">
        <f t="shared" si="1"/>
        <v>11003_4_24</v>
      </c>
      <c r="B91" s="115" t="s">
        <v>231</v>
      </c>
      <c r="C91" s="116">
        <v>11003</v>
      </c>
      <c r="D91" s="117" t="str">
        <f ca="1">VLOOKUP($C91,OFFSET([2]quests!$A$1,0,0,COUNTA([2]quests!$A:$A),MATCH(D$1,[2]quests!$1:$1,0)-MATCH($C$1,[2]quests!$1:$1,0)+1),MATCH(D$1,[2]quests!$1:$1,0)-MATCH($C$1,[2]quests!$1:$1,0)+1,FALSE)</f>
        <v>【水曜限定】 青の素材</v>
      </c>
      <c r="E91" s="117" t="str">
        <f ca="1">VLOOKUP($C91,OFFSET([2]quests!$A$1,0,0,COUNTA([2]quests!$A:$A),MATCH(E$1,[2]quests!$1:$1,0)-MATCH($C$1,[2]quests!$1:$1,0)+1),MATCH(E$1,[2]quests!$1:$1,0)-MATCH($C$1,[2]quests!$1:$1,0)+1,FALSE)</f>
        <v>水曜クエスト</v>
      </c>
      <c r="F91" s="118">
        <v>4</v>
      </c>
      <c r="G91" s="117" t="str">
        <f ca="1">VLOOKUP($C91&amp;"_"&amp;$F91,OFFSET([2]stages!$A$1,0,0,COUNTA([2]stages!$A:$A),MATCH(G$1,[2]stages!$2:$2,0)-MATCH("temp_stage",[2]stages!$2:$2,0)+1),MATCH(G$1,[2]stages!$2:$2,0)-MATCH("temp_stage",[2]stages!$2:$2,0)+1,FALSE)</f>
        <v>【上級】水のイモムシ</v>
      </c>
      <c r="H91" s="117" t="str">
        <f ca="1">VLOOKUP($C91&amp;"_"&amp;$F91,OFFSET([2]stages!$A$1,0,0,COUNTA([2]stages!$A:$A),MATCH(H$1,[2]stages!$2:$2,0)-MATCH("temp_stage",[2]stages!$2:$2,0)+1),MATCH(H$1,[2]stages!$2:$2,0)-MATCH("temp_stage",[2]stages!$2:$2,0)+1,FALSE)</f>
        <v>水曜クエスト</v>
      </c>
      <c r="I91" s="119">
        <v>0</v>
      </c>
      <c r="J91" s="118">
        <f>COUNTIF(C$1:C91,C91)</f>
        <v>24</v>
      </c>
      <c r="K91" s="120">
        <v>28</v>
      </c>
      <c r="L91" s="118" t="s">
        <v>234</v>
      </c>
      <c r="M91" s="121" t="str">
        <f>VLOOKUP(K91,[6]stage_hints!$A:$C,3,FALSE)</f>
        <v>ステータス情報は長押しで</v>
      </c>
      <c r="N91" s="122" t="str">
        <f>VLOOKUP(K91,[6]stage_hints!$A:$D,4,FALSE)</f>
        <v>ユニットのアイコンを長押しすると_x000D_ステータス情報を確認することができます</v>
      </c>
      <c r="O91" s="36" t="s">
        <v>235</v>
      </c>
      <c r="P91">
        <v>28</v>
      </c>
    </row>
    <row r="92" spans="1:16" x14ac:dyDescent="0.15">
      <c r="A92" s="114" t="str">
        <f t="shared" si="1"/>
        <v>11003_4_25</v>
      </c>
      <c r="B92" s="115" t="s">
        <v>231</v>
      </c>
      <c r="C92" s="116">
        <v>11003</v>
      </c>
      <c r="D92" s="117" t="str">
        <f ca="1">VLOOKUP($C92,OFFSET([2]quests!$A$1,0,0,COUNTA([2]quests!$A:$A),MATCH(D$1,[2]quests!$1:$1,0)-MATCH($C$1,[2]quests!$1:$1,0)+1),MATCH(D$1,[2]quests!$1:$1,0)-MATCH($C$1,[2]quests!$1:$1,0)+1,FALSE)</f>
        <v>【水曜限定】 青の素材</v>
      </c>
      <c r="E92" s="117" t="str">
        <f ca="1">VLOOKUP($C92,OFFSET([2]quests!$A$1,0,0,COUNTA([2]quests!$A:$A),MATCH(E$1,[2]quests!$1:$1,0)-MATCH($C$1,[2]quests!$1:$1,0)+1),MATCH(E$1,[2]quests!$1:$1,0)-MATCH($C$1,[2]quests!$1:$1,0)+1,FALSE)</f>
        <v>水曜クエスト</v>
      </c>
      <c r="F92" s="118">
        <v>4</v>
      </c>
      <c r="G92" s="117" t="str">
        <f ca="1">VLOOKUP($C92&amp;"_"&amp;$F92,OFFSET([2]stages!$A$1,0,0,COUNTA([2]stages!$A:$A),MATCH(G$1,[2]stages!$2:$2,0)-MATCH("temp_stage",[2]stages!$2:$2,0)+1),MATCH(G$1,[2]stages!$2:$2,0)-MATCH("temp_stage",[2]stages!$2:$2,0)+1,FALSE)</f>
        <v>【上級】水のイモムシ</v>
      </c>
      <c r="H92" s="117" t="str">
        <f ca="1">VLOOKUP($C92&amp;"_"&amp;$F92,OFFSET([2]stages!$A$1,0,0,COUNTA([2]stages!$A:$A),MATCH(H$1,[2]stages!$2:$2,0)-MATCH("temp_stage",[2]stages!$2:$2,0)+1),MATCH(H$1,[2]stages!$2:$2,0)-MATCH("temp_stage",[2]stages!$2:$2,0)+1,FALSE)</f>
        <v>水曜クエスト</v>
      </c>
      <c r="I92" s="119">
        <v>0</v>
      </c>
      <c r="J92" s="118">
        <f>COUNTIF(C$1:C92,C92)</f>
        <v>25</v>
      </c>
      <c r="K92" s="120">
        <v>29</v>
      </c>
      <c r="L92" s="118" t="s">
        <v>234</v>
      </c>
      <c r="M92" s="121" t="str">
        <f>VLOOKUP(K92,[6]stage_hints!$A:$C,3,FALSE)</f>
        <v>「バグ」のメリット</v>
      </c>
      <c r="N92" s="122" t="str">
        <f>VLOOKUP(K92,[6]stage_hints!$A:$D,4,FALSE)</f>
        <v>ユニットの「バグ」を増やすと_x000D_報酬をもらえる確率がアップします</v>
      </c>
      <c r="O92" s="36" t="s">
        <v>235</v>
      </c>
      <c r="P92">
        <v>29</v>
      </c>
    </row>
    <row r="93" spans="1:16" x14ac:dyDescent="0.15">
      <c r="A93" s="114" t="str">
        <f t="shared" si="1"/>
        <v>11003_4_26</v>
      </c>
      <c r="B93" s="115" t="s">
        <v>231</v>
      </c>
      <c r="C93" s="116">
        <v>11003</v>
      </c>
      <c r="D93" s="117" t="str">
        <f ca="1">VLOOKUP($C93,OFFSET([2]quests!$A$1,0,0,COUNTA([2]quests!$A:$A),MATCH(D$1,[2]quests!$1:$1,0)-MATCH($C$1,[2]quests!$1:$1,0)+1),MATCH(D$1,[2]quests!$1:$1,0)-MATCH($C$1,[2]quests!$1:$1,0)+1,FALSE)</f>
        <v>【水曜限定】 青の素材</v>
      </c>
      <c r="E93" s="117" t="str">
        <f ca="1">VLOOKUP($C93,OFFSET([2]quests!$A$1,0,0,COUNTA([2]quests!$A:$A),MATCH(E$1,[2]quests!$1:$1,0)-MATCH($C$1,[2]quests!$1:$1,0)+1),MATCH(E$1,[2]quests!$1:$1,0)-MATCH($C$1,[2]quests!$1:$1,0)+1,FALSE)</f>
        <v>水曜クエスト</v>
      </c>
      <c r="F93" s="118">
        <v>4</v>
      </c>
      <c r="G93" s="117" t="str">
        <f ca="1">VLOOKUP($C93&amp;"_"&amp;$F93,OFFSET([2]stages!$A$1,0,0,COUNTA([2]stages!$A:$A),MATCH(G$1,[2]stages!$2:$2,0)-MATCH("temp_stage",[2]stages!$2:$2,0)+1),MATCH(G$1,[2]stages!$2:$2,0)-MATCH("temp_stage",[2]stages!$2:$2,0)+1,FALSE)</f>
        <v>【上級】水のイモムシ</v>
      </c>
      <c r="H93" s="117" t="str">
        <f ca="1">VLOOKUP($C93&amp;"_"&amp;$F93,OFFSET([2]stages!$A$1,0,0,COUNTA([2]stages!$A:$A),MATCH(H$1,[2]stages!$2:$2,0)-MATCH("temp_stage",[2]stages!$2:$2,0)+1),MATCH(H$1,[2]stages!$2:$2,0)-MATCH("temp_stage",[2]stages!$2:$2,0)+1,FALSE)</f>
        <v>水曜クエスト</v>
      </c>
      <c r="I93" s="119">
        <v>0</v>
      </c>
      <c r="J93" s="118">
        <f>COUNTIF(C$1:C93,C93)</f>
        <v>26</v>
      </c>
      <c r="K93" s="120">
        <v>30</v>
      </c>
      <c r="L93" s="118" t="s">
        <v>234</v>
      </c>
      <c r="M93" s="121" t="str">
        <f>VLOOKUP(K93,[6]stage_hints!$A:$C,3,FALSE)</f>
        <v>「バグ」の増やし方</v>
      </c>
      <c r="N93" s="122" t="str">
        <f>VLOOKUP(K93,[6]stage_hints!$A:$D,4,FALSE)</f>
        <v>同じユニット同士を強化で合成すると_x000D_「バグ」を増やすことができます</v>
      </c>
      <c r="O93" s="36" t="s">
        <v>235</v>
      </c>
      <c r="P93">
        <v>30</v>
      </c>
    </row>
    <row r="94" spans="1:16" x14ac:dyDescent="0.15">
      <c r="A94" s="114" t="str">
        <f t="shared" si="1"/>
        <v>11003_4_27</v>
      </c>
      <c r="B94" s="115" t="s">
        <v>231</v>
      </c>
      <c r="C94" s="116">
        <v>11003</v>
      </c>
      <c r="D94" s="117" t="str">
        <f ca="1">VLOOKUP($C94,OFFSET([2]quests!$A$1,0,0,COUNTA([2]quests!$A:$A),MATCH(D$1,[2]quests!$1:$1,0)-MATCH($C$1,[2]quests!$1:$1,0)+1),MATCH(D$1,[2]quests!$1:$1,0)-MATCH($C$1,[2]quests!$1:$1,0)+1,FALSE)</f>
        <v>【水曜限定】 青の素材</v>
      </c>
      <c r="E94" s="117" t="str">
        <f ca="1">VLOOKUP($C94,OFFSET([2]quests!$A$1,0,0,COUNTA([2]quests!$A:$A),MATCH(E$1,[2]quests!$1:$1,0)-MATCH($C$1,[2]quests!$1:$1,0)+1),MATCH(E$1,[2]quests!$1:$1,0)-MATCH($C$1,[2]quests!$1:$1,0)+1,FALSE)</f>
        <v>水曜クエスト</v>
      </c>
      <c r="F94" s="118">
        <v>4</v>
      </c>
      <c r="G94" s="117" t="str">
        <f ca="1">VLOOKUP($C94&amp;"_"&amp;$F94,OFFSET([2]stages!$A$1,0,0,COUNTA([2]stages!$A:$A),MATCH(G$1,[2]stages!$2:$2,0)-MATCH("temp_stage",[2]stages!$2:$2,0)+1),MATCH(G$1,[2]stages!$2:$2,0)-MATCH("temp_stage",[2]stages!$2:$2,0)+1,FALSE)</f>
        <v>【上級】水のイモムシ</v>
      </c>
      <c r="H94" s="117" t="str">
        <f ca="1">VLOOKUP($C94&amp;"_"&amp;$F94,OFFSET([2]stages!$A$1,0,0,COUNTA([2]stages!$A:$A),MATCH(H$1,[2]stages!$2:$2,0)-MATCH("temp_stage",[2]stages!$2:$2,0)+1),MATCH(H$1,[2]stages!$2:$2,0)-MATCH("temp_stage",[2]stages!$2:$2,0)+1,FALSE)</f>
        <v>水曜クエスト</v>
      </c>
      <c r="I94" s="119">
        <v>0</v>
      </c>
      <c r="J94" s="118">
        <f>COUNTIF(C$1:C94,C94)</f>
        <v>27</v>
      </c>
      <c r="K94" s="120">
        <v>31</v>
      </c>
      <c r="L94" s="118" t="s">
        <v>234</v>
      </c>
      <c r="M94" s="121" t="str">
        <f>VLOOKUP(K94,[6]stage_hints!$A:$C,3,FALSE)</f>
        <v>イベントはお知らせでチェック</v>
      </c>
      <c r="N94" s="122" t="str">
        <f>VLOOKUP(K94,[6]stage_hints!$A:$D,4,FALSE)</f>
        <v>イベント限定ユニットを取り忘れないように_x000D_お知らせをこまめにチェックしましょう</v>
      </c>
      <c r="O94" s="36" t="s">
        <v>235</v>
      </c>
      <c r="P94">
        <v>31</v>
      </c>
    </row>
    <row r="95" spans="1:16" x14ac:dyDescent="0.15">
      <c r="A95" s="114" t="str">
        <f t="shared" si="1"/>
        <v>11003_4_28</v>
      </c>
      <c r="B95" s="115" t="s">
        <v>231</v>
      </c>
      <c r="C95" s="116">
        <v>11003</v>
      </c>
      <c r="D95" s="117" t="str">
        <f ca="1">VLOOKUP($C95,OFFSET([2]quests!$A$1,0,0,COUNTA([2]quests!$A:$A),MATCH(D$1,[2]quests!$1:$1,0)-MATCH($C$1,[2]quests!$1:$1,0)+1),MATCH(D$1,[2]quests!$1:$1,0)-MATCH($C$1,[2]quests!$1:$1,0)+1,FALSE)</f>
        <v>【水曜限定】 青の素材</v>
      </c>
      <c r="E95" s="117" t="str">
        <f ca="1">VLOOKUP($C95,OFFSET([2]quests!$A$1,0,0,COUNTA([2]quests!$A:$A),MATCH(E$1,[2]quests!$1:$1,0)-MATCH($C$1,[2]quests!$1:$1,0)+1),MATCH(E$1,[2]quests!$1:$1,0)-MATCH($C$1,[2]quests!$1:$1,0)+1,FALSE)</f>
        <v>水曜クエスト</v>
      </c>
      <c r="F95" s="118">
        <v>4</v>
      </c>
      <c r="G95" s="117" t="str">
        <f ca="1">VLOOKUP($C95&amp;"_"&amp;$F95,OFFSET([2]stages!$A$1,0,0,COUNTA([2]stages!$A:$A),MATCH(G$1,[2]stages!$2:$2,0)-MATCH("temp_stage",[2]stages!$2:$2,0)+1),MATCH(G$1,[2]stages!$2:$2,0)-MATCH("temp_stage",[2]stages!$2:$2,0)+1,FALSE)</f>
        <v>【上級】水のイモムシ</v>
      </c>
      <c r="H95" s="117" t="str">
        <f ca="1">VLOOKUP($C95&amp;"_"&amp;$F95,OFFSET([2]stages!$A$1,0,0,COUNTA([2]stages!$A:$A),MATCH(H$1,[2]stages!$2:$2,0)-MATCH("temp_stage",[2]stages!$2:$2,0)+1),MATCH(H$1,[2]stages!$2:$2,0)-MATCH("temp_stage",[2]stages!$2:$2,0)+1,FALSE)</f>
        <v>水曜クエスト</v>
      </c>
      <c r="I95" s="119">
        <v>0</v>
      </c>
      <c r="J95" s="118">
        <f>COUNTIF(C$1:C95,C95)</f>
        <v>28</v>
      </c>
      <c r="K95" s="120">
        <v>32</v>
      </c>
      <c r="L95" s="118" t="s">
        <v>234</v>
      </c>
      <c r="M95" s="121" t="str">
        <f>VLOOKUP(K95,[6]stage_hints!$A:$C,3,FALSE)</f>
        <v>敵の連続攻撃には</v>
      </c>
      <c r="N95" s="122" t="str">
        <f>VLOOKUP(K95,[6]stage_hints!$A:$D,4,FALSE)</f>
        <v>カウンタースキルを持つユニットがいれば_x000D_ダメージ回数分の反撃ができます</v>
      </c>
      <c r="O95" s="36" t="s">
        <v>235</v>
      </c>
      <c r="P95">
        <v>32</v>
      </c>
    </row>
    <row r="96" spans="1:16" x14ac:dyDescent="0.15">
      <c r="A96" s="114" t="str">
        <f t="shared" si="1"/>
        <v>11003_4_29</v>
      </c>
      <c r="B96" s="115" t="s">
        <v>231</v>
      </c>
      <c r="C96" s="116">
        <v>11003</v>
      </c>
      <c r="D96" s="117" t="str">
        <f ca="1">VLOOKUP($C96,OFFSET([2]quests!$A$1,0,0,COUNTA([2]quests!$A:$A),MATCH(D$1,[2]quests!$1:$1,0)-MATCH($C$1,[2]quests!$1:$1,0)+1),MATCH(D$1,[2]quests!$1:$1,0)-MATCH($C$1,[2]quests!$1:$1,0)+1,FALSE)</f>
        <v>【水曜限定】 青の素材</v>
      </c>
      <c r="E96" s="117" t="str">
        <f ca="1">VLOOKUP($C96,OFFSET([2]quests!$A$1,0,0,COUNTA([2]quests!$A:$A),MATCH(E$1,[2]quests!$1:$1,0)-MATCH($C$1,[2]quests!$1:$1,0)+1),MATCH(E$1,[2]quests!$1:$1,0)-MATCH($C$1,[2]quests!$1:$1,0)+1,FALSE)</f>
        <v>水曜クエスト</v>
      </c>
      <c r="F96" s="118">
        <v>4</v>
      </c>
      <c r="G96" s="117" t="str">
        <f ca="1">VLOOKUP($C96&amp;"_"&amp;$F96,OFFSET([2]stages!$A$1,0,0,COUNTA([2]stages!$A:$A),MATCH(G$1,[2]stages!$2:$2,0)-MATCH("temp_stage",[2]stages!$2:$2,0)+1),MATCH(G$1,[2]stages!$2:$2,0)-MATCH("temp_stage",[2]stages!$2:$2,0)+1,FALSE)</f>
        <v>【上級】水のイモムシ</v>
      </c>
      <c r="H96" s="117" t="str">
        <f ca="1">VLOOKUP($C96&amp;"_"&amp;$F96,OFFSET([2]stages!$A$1,0,0,COUNTA([2]stages!$A:$A),MATCH(H$1,[2]stages!$2:$2,0)-MATCH("temp_stage",[2]stages!$2:$2,0)+1),MATCH(H$1,[2]stages!$2:$2,0)-MATCH("temp_stage",[2]stages!$2:$2,0)+1,FALSE)</f>
        <v>水曜クエスト</v>
      </c>
      <c r="I96" s="119">
        <v>0</v>
      </c>
      <c r="J96" s="118">
        <f>COUNTIF(C$1:C96,C96)</f>
        <v>29</v>
      </c>
      <c r="K96" s="120">
        <v>33</v>
      </c>
      <c r="L96" s="118" t="s">
        <v>234</v>
      </c>
      <c r="M96" s="121" t="str">
        <f>VLOOKUP(K96,[6]stage_hints!$A:$C,3,FALSE)</f>
        <v>敵のカウンター攻撃には</v>
      </c>
      <c r="N96" s="122" t="str">
        <f>VLOOKUP(K96,[6]stage_hints!$A:$D,4,FALSE)</f>
        <v>カウンターブレイクスキルを持っていれば_x000D_敵のカウンターを解除して攻撃ができます</v>
      </c>
      <c r="O96" s="36" t="s">
        <v>235</v>
      </c>
      <c r="P96">
        <v>33</v>
      </c>
    </row>
    <row r="97" spans="1:16" x14ac:dyDescent="0.15">
      <c r="A97" s="114" t="str">
        <f t="shared" si="1"/>
        <v>11003_4_30</v>
      </c>
      <c r="B97" s="115" t="s">
        <v>231</v>
      </c>
      <c r="C97" s="116">
        <v>11003</v>
      </c>
      <c r="D97" s="117" t="str">
        <f ca="1">VLOOKUP($C97,OFFSET([2]quests!$A$1,0,0,COUNTA([2]quests!$A:$A),MATCH(D$1,[2]quests!$1:$1,0)-MATCH($C$1,[2]quests!$1:$1,0)+1),MATCH(D$1,[2]quests!$1:$1,0)-MATCH($C$1,[2]quests!$1:$1,0)+1,FALSE)</f>
        <v>【水曜限定】 青の素材</v>
      </c>
      <c r="E97" s="117" t="str">
        <f ca="1">VLOOKUP($C97,OFFSET([2]quests!$A$1,0,0,COUNTA([2]quests!$A:$A),MATCH(E$1,[2]quests!$1:$1,0)-MATCH($C$1,[2]quests!$1:$1,0)+1),MATCH(E$1,[2]quests!$1:$1,0)-MATCH($C$1,[2]quests!$1:$1,0)+1,FALSE)</f>
        <v>水曜クエスト</v>
      </c>
      <c r="F97" s="118">
        <v>4</v>
      </c>
      <c r="G97" s="117" t="str">
        <f ca="1">VLOOKUP($C97&amp;"_"&amp;$F97,OFFSET([2]stages!$A$1,0,0,COUNTA([2]stages!$A:$A),MATCH(G$1,[2]stages!$2:$2,0)-MATCH("temp_stage",[2]stages!$2:$2,0)+1),MATCH(G$1,[2]stages!$2:$2,0)-MATCH("temp_stage",[2]stages!$2:$2,0)+1,FALSE)</f>
        <v>【上級】水のイモムシ</v>
      </c>
      <c r="H97" s="117" t="str">
        <f ca="1">VLOOKUP($C97&amp;"_"&amp;$F97,OFFSET([2]stages!$A$1,0,0,COUNTA([2]stages!$A:$A),MATCH(H$1,[2]stages!$2:$2,0)-MATCH("temp_stage",[2]stages!$2:$2,0)+1),MATCH(H$1,[2]stages!$2:$2,0)-MATCH("temp_stage",[2]stages!$2:$2,0)+1,FALSE)</f>
        <v>水曜クエスト</v>
      </c>
      <c r="I97" s="119">
        <v>0</v>
      </c>
      <c r="J97" s="118">
        <f>COUNTIF(C$1:C97,C97)</f>
        <v>30</v>
      </c>
      <c r="K97" s="120">
        <v>34</v>
      </c>
      <c r="L97" s="118" t="s">
        <v>234</v>
      </c>
      <c r="M97" s="121" t="str">
        <f>VLOOKUP(K97,[6]stage_hints!$A:$C,3,FALSE)</f>
        <v>ステータスをスキルで下げられたら</v>
      </c>
      <c r="N97" s="122" t="str">
        <f>VLOOKUP(K97,[6]stage_hints!$A:$D,4,FALSE)</f>
        <v>ステータスダウンのスキルを受けたら_x000D_ステータスアップスキルで上書きしましょう</v>
      </c>
      <c r="O97" s="36" t="s">
        <v>235</v>
      </c>
      <c r="P97">
        <v>34</v>
      </c>
    </row>
    <row r="98" spans="1:16" x14ac:dyDescent="0.15">
      <c r="A98" s="114" t="str">
        <f t="shared" si="1"/>
        <v>11003_4_31</v>
      </c>
      <c r="B98" s="115" t="s">
        <v>231</v>
      </c>
      <c r="C98" s="116">
        <v>11003</v>
      </c>
      <c r="D98" s="117" t="str">
        <f ca="1">VLOOKUP($C98,OFFSET([2]quests!$A$1,0,0,COUNTA([2]quests!$A:$A),MATCH(D$1,[2]quests!$1:$1,0)-MATCH($C$1,[2]quests!$1:$1,0)+1),MATCH(D$1,[2]quests!$1:$1,0)-MATCH($C$1,[2]quests!$1:$1,0)+1,FALSE)</f>
        <v>【水曜限定】 青の素材</v>
      </c>
      <c r="E98" s="117" t="str">
        <f ca="1">VLOOKUP($C98,OFFSET([2]quests!$A$1,0,0,COUNTA([2]quests!$A:$A),MATCH(E$1,[2]quests!$1:$1,0)-MATCH($C$1,[2]quests!$1:$1,0)+1),MATCH(E$1,[2]quests!$1:$1,0)-MATCH($C$1,[2]quests!$1:$1,0)+1,FALSE)</f>
        <v>水曜クエスト</v>
      </c>
      <c r="F98" s="118">
        <v>4</v>
      </c>
      <c r="G98" s="117" t="str">
        <f ca="1">VLOOKUP($C98&amp;"_"&amp;$F98,OFFSET([2]stages!$A$1,0,0,COUNTA([2]stages!$A:$A),MATCH(G$1,[2]stages!$2:$2,0)-MATCH("temp_stage",[2]stages!$2:$2,0)+1),MATCH(G$1,[2]stages!$2:$2,0)-MATCH("temp_stage",[2]stages!$2:$2,0)+1,FALSE)</f>
        <v>【上級】水のイモムシ</v>
      </c>
      <c r="H98" s="117" t="str">
        <f ca="1">VLOOKUP($C98&amp;"_"&amp;$F98,OFFSET([2]stages!$A$1,0,0,COUNTA([2]stages!$A:$A),MATCH(H$1,[2]stages!$2:$2,0)-MATCH("temp_stage",[2]stages!$2:$2,0)+1),MATCH(H$1,[2]stages!$2:$2,0)-MATCH("temp_stage",[2]stages!$2:$2,0)+1,FALSE)</f>
        <v>水曜クエスト</v>
      </c>
      <c r="I98" s="119">
        <v>0</v>
      </c>
      <c r="J98" s="118">
        <f>COUNTIF(C$1:C98,C98)</f>
        <v>31</v>
      </c>
      <c r="K98" s="120">
        <v>35</v>
      </c>
      <c r="L98" s="118" t="s">
        <v>285</v>
      </c>
      <c r="M98" s="121" t="str">
        <f>VLOOKUP(K98,[6]stage_hints!$A:$C,3,FALSE)</f>
        <v>敵のステータスがスキルで上がったら</v>
      </c>
      <c r="N98" s="122" t="str">
        <f>VLOOKUP(K98,[6]stage_hints!$A:$D,4,FALSE)</f>
        <v>敵のステータスがスキルでアップしたときは_x000D_ステータスダウンスキルで上書きしましょう</v>
      </c>
      <c r="O98" s="36" t="s">
        <v>235</v>
      </c>
      <c r="P98">
        <v>35</v>
      </c>
    </row>
    <row r="99" spans="1:16" x14ac:dyDescent="0.15">
      <c r="A99" s="114" t="str">
        <f t="shared" si="1"/>
        <v>11003_4_32</v>
      </c>
      <c r="B99" s="115" t="s">
        <v>231</v>
      </c>
      <c r="C99" s="116">
        <v>11003</v>
      </c>
      <c r="D99" s="117" t="str">
        <f ca="1">VLOOKUP($C99,OFFSET([2]quests!$A$1,0,0,COUNTA([2]quests!$A:$A),MATCH(D$1,[2]quests!$1:$1,0)-MATCH($C$1,[2]quests!$1:$1,0)+1),MATCH(D$1,[2]quests!$1:$1,0)-MATCH($C$1,[2]quests!$1:$1,0)+1,FALSE)</f>
        <v>【水曜限定】 青の素材</v>
      </c>
      <c r="E99" s="117" t="str">
        <f ca="1">VLOOKUP($C99,OFFSET([2]quests!$A$1,0,0,COUNTA([2]quests!$A:$A),MATCH(E$1,[2]quests!$1:$1,0)-MATCH($C$1,[2]quests!$1:$1,0)+1),MATCH(E$1,[2]quests!$1:$1,0)-MATCH($C$1,[2]quests!$1:$1,0)+1,FALSE)</f>
        <v>水曜クエスト</v>
      </c>
      <c r="F99" s="118">
        <v>4</v>
      </c>
      <c r="G99" s="117" t="str">
        <f ca="1">VLOOKUP($C99&amp;"_"&amp;$F99,OFFSET([2]stages!$A$1,0,0,COUNTA([2]stages!$A:$A),MATCH(G$1,[2]stages!$2:$2,0)-MATCH("temp_stage",[2]stages!$2:$2,0)+1),MATCH(G$1,[2]stages!$2:$2,0)-MATCH("temp_stage",[2]stages!$2:$2,0)+1,FALSE)</f>
        <v>【上級】水のイモムシ</v>
      </c>
      <c r="H99" s="117" t="str">
        <f ca="1">VLOOKUP($C99&amp;"_"&amp;$F99,OFFSET([2]stages!$A$1,0,0,COUNTA([2]stages!$A:$A),MATCH(H$1,[2]stages!$2:$2,0)-MATCH("temp_stage",[2]stages!$2:$2,0)+1),MATCH(H$1,[2]stages!$2:$2,0)-MATCH("temp_stage",[2]stages!$2:$2,0)+1,FALSE)</f>
        <v>水曜クエスト</v>
      </c>
      <c r="I99" s="119">
        <v>0</v>
      </c>
      <c r="J99" s="118">
        <f>COUNTIF(C$1:C99,C99)</f>
        <v>32</v>
      </c>
      <c r="K99" s="120">
        <v>36</v>
      </c>
      <c r="L99" s="118" t="s">
        <v>234</v>
      </c>
      <c r="M99" s="121" t="str">
        <f>VLOOKUP(K99,[6]stage_hints!$A:$C,3,FALSE)</f>
        <v>タワーオブザクイーンのボス</v>
      </c>
      <c r="N99" s="122" t="str">
        <f>VLOOKUP(K99,[6]stage_hints!$A:$D,4,FALSE)</f>
        <v>「タワーオブザクイーン」最上階のボスは_x000D_15階の初回クリア報酬で獲得できるほか_x000D_その階にて低確率でドロップもします</v>
      </c>
      <c r="O99" s="36" t="s">
        <v>235</v>
      </c>
      <c r="P99">
        <v>36</v>
      </c>
    </row>
    <row r="100" spans="1:16" x14ac:dyDescent="0.15">
      <c r="A100" s="114" t="str">
        <f t="shared" si="1"/>
        <v>11003_4_33</v>
      </c>
      <c r="B100" s="115" t="s">
        <v>231</v>
      </c>
      <c r="C100" s="116">
        <v>11003</v>
      </c>
      <c r="D100" s="117" t="str">
        <f ca="1">VLOOKUP($C100,OFFSET([2]quests!$A$1,0,0,COUNTA([2]quests!$A:$A),MATCH(D$1,[2]quests!$1:$1,0)-MATCH($C$1,[2]quests!$1:$1,0)+1),MATCH(D$1,[2]quests!$1:$1,0)-MATCH($C$1,[2]quests!$1:$1,0)+1,FALSE)</f>
        <v>【水曜限定】 青の素材</v>
      </c>
      <c r="E100" s="117" t="str">
        <f ca="1">VLOOKUP($C100,OFFSET([2]quests!$A$1,0,0,COUNTA([2]quests!$A:$A),MATCH(E$1,[2]quests!$1:$1,0)-MATCH($C$1,[2]quests!$1:$1,0)+1),MATCH(E$1,[2]quests!$1:$1,0)-MATCH($C$1,[2]quests!$1:$1,0)+1,FALSE)</f>
        <v>水曜クエスト</v>
      </c>
      <c r="F100" s="118">
        <v>4</v>
      </c>
      <c r="G100" s="117" t="str">
        <f ca="1">VLOOKUP($C100&amp;"_"&amp;$F100,OFFSET([2]stages!$A$1,0,0,COUNTA([2]stages!$A:$A),MATCH(G$1,[2]stages!$2:$2,0)-MATCH("temp_stage",[2]stages!$2:$2,0)+1),MATCH(G$1,[2]stages!$2:$2,0)-MATCH("temp_stage",[2]stages!$2:$2,0)+1,FALSE)</f>
        <v>【上級】水のイモムシ</v>
      </c>
      <c r="H100" s="117" t="str">
        <f ca="1">VLOOKUP($C100&amp;"_"&amp;$F100,OFFSET([2]stages!$A$1,0,0,COUNTA([2]stages!$A:$A),MATCH(H$1,[2]stages!$2:$2,0)-MATCH("temp_stage",[2]stages!$2:$2,0)+1),MATCH(H$1,[2]stages!$2:$2,0)-MATCH("temp_stage",[2]stages!$2:$2,0)+1,FALSE)</f>
        <v>水曜クエスト</v>
      </c>
      <c r="I100" s="119">
        <v>0</v>
      </c>
      <c r="J100" s="118">
        <f>COUNTIF(C$1:C100,C100)</f>
        <v>33</v>
      </c>
      <c r="K100" s="120">
        <v>37</v>
      </c>
      <c r="L100" s="118" t="s">
        <v>286</v>
      </c>
      <c r="M100" s="121" t="str">
        <f>VLOOKUP(K100,[6]stage_hints!$A:$C,3,FALSE)</f>
        <v>限界突破値の引き継ぎ</v>
      </c>
      <c r="N100" s="122" t="str">
        <f>VLOOKUP(K100,[6]stage_hints!$A:$D,4,FALSE)</f>
        <v>同じユニットを強化で合成すると_x000D_限界突破値を引き継げます（覚醒前後も可）</v>
      </c>
      <c r="O100" s="36" t="s">
        <v>287</v>
      </c>
      <c r="P100">
        <v>37</v>
      </c>
    </row>
    <row r="101" spans="1:16" x14ac:dyDescent="0.15">
      <c r="A101" s="114" t="str">
        <f t="shared" si="1"/>
        <v>11004_4_1</v>
      </c>
      <c r="B101" s="115" t="s">
        <v>231</v>
      </c>
      <c r="C101" s="116">
        <v>11004</v>
      </c>
      <c r="D101" s="117" t="str">
        <f ca="1">VLOOKUP($C101,OFFSET([2]quests!$A$1,0,0,COUNTA([2]quests!$A:$A),MATCH(D$1,[2]quests!$1:$1,0)-MATCH($C$1,[2]quests!$1:$1,0)+1),MATCH(D$1,[2]quests!$1:$1,0)-MATCH($C$1,[2]quests!$1:$1,0)+1,FALSE)</f>
        <v>【木曜限定】 緑の素材</v>
      </c>
      <c r="E101" s="117" t="str">
        <f ca="1">VLOOKUP($C101,OFFSET([2]quests!$A$1,0,0,COUNTA([2]quests!$A:$A),MATCH(E$1,[2]quests!$1:$1,0)-MATCH($C$1,[2]quests!$1:$1,0)+1),MATCH(E$1,[2]quests!$1:$1,0)-MATCH($C$1,[2]quests!$1:$1,0)+1,FALSE)</f>
        <v>木曜クエスト</v>
      </c>
      <c r="F101" s="118">
        <v>4</v>
      </c>
      <c r="G101" s="117" t="str">
        <f ca="1">VLOOKUP($C101&amp;"_"&amp;$F101,OFFSET([2]stages!$A$1,0,0,COUNTA([2]stages!$A:$A),MATCH(G$1,[2]stages!$2:$2,0)-MATCH("temp_stage",[2]stages!$2:$2,0)+1),MATCH(G$1,[2]stages!$2:$2,0)-MATCH("temp_stage",[2]stages!$2:$2,0)+1,FALSE)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1" s="117" t="str">
        <f ca="1">VLOOKUP($C101&amp;"_"&amp;$F101,OFFSET([2]stages!$A$1,0,0,COUNTA([2]stages!$A:$A),MATCH(H$1,[2]stages!$2:$2,0)-MATCH("temp_stage",[2]stages!$2:$2,0)+1),MATCH(H$1,[2]stages!$2:$2,0)-MATCH("temp_stage",[2]stages!$2:$2,0)+1,FALSE)</f>
        <v>木曜クエスト</v>
      </c>
      <c r="I101" s="119">
        <v>0</v>
      </c>
      <c r="J101" s="118">
        <f>COUNTIF(C$1:C101,C101)</f>
        <v>1</v>
      </c>
      <c r="K101" s="120">
        <v>3</v>
      </c>
      <c r="L101" s="118" t="s">
        <v>260</v>
      </c>
      <c r="M101" s="121" t="str">
        <f>VLOOKUP(K101,[6]stage_hints!$A:$C,3,FALSE)</f>
        <v>ターゲット</v>
      </c>
      <c r="N101" s="122" t="str">
        <f>VLOOKUP(K101,[6]stage_hints!$A:$D,4,FALSE)</f>
        <v>敵ユニットをタップすると_x000D_その敵を狙い撃ちできます</v>
      </c>
      <c r="O101" s="36" t="s">
        <v>235</v>
      </c>
      <c r="P101">
        <v>3</v>
      </c>
    </row>
    <row r="102" spans="1:16" x14ac:dyDescent="0.15">
      <c r="A102" s="114" t="str">
        <f t="shared" si="1"/>
        <v>11004_4_2</v>
      </c>
      <c r="B102" s="115" t="s">
        <v>231</v>
      </c>
      <c r="C102" s="116">
        <v>11004</v>
      </c>
      <c r="D102" s="117" t="str">
        <f ca="1">VLOOKUP($C102,OFFSET([2]quests!$A$1,0,0,COUNTA([2]quests!$A:$A),MATCH(D$1,[2]quests!$1:$1,0)-MATCH($C$1,[2]quests!$1:$1,0)+1),MATCH(D$1,[2]quests!$1:$1,0)-MATCH($C$1,[2]quests!$1:$1,0)+1,FALSE)</f>
        <v>【木曜限定】 緑の素材</v>
      </c>
      <c r="E102" s="117" t="str">
        <f ca="1">VLOOKUP($C102,OFFSET([2]quests!$A$1,0,0,COUNTA([2]quests!$A:$A),MATCH(E$1,[2]quests!$1:$1,0)-MATCH($C$1,[2]quests!$1:$1,0)+1),MATCH(E$1,[2]quests!$1:$1,0)-MATCH($C$1,[2]quests!$1:$1,0)+1,FALSE)</f>
        <v>木曜クエスト</v>
      </c>
      <c r="F102" s="118">
        <v>4</v>
      </c>
      <c r="G102" s="117" t="str">
        <f ca="1">VLOOKUP($C102&amp;"_"&amp;$F102,OFFSET([2]stages!$A$1,0,0,COUNTA([2]stages!$A:$A),MATCH(G$1,[2]stages!$2:$2,0)-MATCH("temp_stage",[2]stages!$2:$2,0)+1),MATCH(G$1,[2]stages!$2:$2,0)-MATCH("temp_stage",[2]stages!$2:$2,0)+1,FALSE)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2" s="117" t="str">
        <f ca="1">VLOOKUP($C102&amp;"_"&amp;$F102,OFFSET([2]stages!$A$1,0,0,COUNTA([2]stages!$A:$A),MATCH(H$1,[2]stages!$2:$2,0)-MATCH("temp_stage",[2]stages!$2:$2,0)+1),MATCH(H$1,[2]stages!$2:$2,0)-MATCH("temp_stage",[2]stages!$2:$2,0)+1,FALSE)</f>
        <v>木曜クエスト</v>
      </c>
      <c r="I102" s="119">
        <v>0</v>
      </c>
      <c r="J102" s="118">
        <f>COUNTIF(C$1:C102,C102)</f>
        <v>2</v>
      </c>
      <c r="K102" s="120">
        <v>6</v>
      </c>
      <c r="L102" s="118" t="s">
        <v>234</v>
      </c>
      <c r="M102" s="121" t="str">
        <f>VLOOKUP(K102,[6]stage_hints!$A:$C,3,FALSE)</f>
        <v>ユニット強化の属性ボーナス</v>
      </c>
      <c r="N102" s="122" t="str">
        <f>VLOOKUP(K102,[6]stage_hints!$A:$D,4,FALSE)</f>
        <v>同属性ユニットを強化素材にすると_x000D_経験値が多くもらえます</v>
      </c>
      <c r="O102" s="36" t="s">
        <v>288</v>
      </c>
      <c r="P102">
        <v>6</v>
      </c>
    </row>
    <row r="103" spans="1:16" x14ac:dyDescent="0.15">
      <c r="A103" s="114" t="str">
        <f t="shared" si="1"/>
        <v>11004_4_3</v>
      </c>
      <c r="B103" s="115" t="s">
        <v>231</v>
      </c>
      <c r="C103" s="116">
        <v>11004</v>
      </c>
      <c r="D103" s="117" t="str">
        <f ca="1">VLOOKUP($C103,OFFSET([2]quests!$A$1,0,0,COUNTA([2]quests!$A:$A),MATCH(D$1,[2]quests!$1:$1,0)-MATCH($C$1,[2]quests!$1:$1,0)+1),MATCH(D$1,[2]quests!$1:$1,0)-MATCH($C$1,[2]quests!$1:$1,0)+1,FALSE)</f>
        <v>【木曜限定】 緑の素材</v>
      </c>
      <c r="E103" s="117" t="str">
        <f ca="1">VLOOKUP($C103,OFFSET([2]quests!$A$1,0,0,COUNTA([2]quests!$A:$A),MATCH(E$1,[2]quests!$1:$1,0)-MATCH($C$1,[2]quests!$1:$1,0)+1),MATCH(E$1,[2]quests!$1:$1,0)-MATCH($C$1,[2]quests!$1:$1,0)+1,FALSE)</f>
        <v>木曜クエスト</v>
      </c>
      <c r="F103" s="118">
        <v>4</v>
      </c>
      <c r="G103" s="117" t="str">
        <f ca="1">VLOOKUP($C103&amp;"_"&amp;$F103,OFFSET([2]stages!$A$1,0,0,COUNTA([2]stages!$A:$A),MATCH(G$1,[2]stages!$2:$2,0)-MATCH("temp_stage",[2]stages!$2:$2,0)+1),MATCH(G$1,[2]stages!$2:$2,0)-MATCH("temp_stage",[2]stages!$2:$2,0)+1,FALSE)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3" s="117" t="str">
        <f ca="1">VLOOKUP($C103&amp;"_"&amp;$F103,OFFSET([2]stages!$A$1,0,0,COUNTA([2]stages!$A:$A),MATCH(H$1,[2]stages!$2:$2,0)-MATCH("temp_stage",[2]stages!$2:$2,0)+1),MATCH(H$1,[2]stages!$2:$2,0)-MATCH("temp_stage",[2]stages!$2:$2,0)+1,FALSE)</f>
        <v>木曜クエスト</v>
      </c>
      <c r="I103" s="119">
        <v>0</v>
      </c>
      <c r="J103" s="118">
        <f>COUNTIF(C$1:C103,C103)</f>
        <v>3</v>
      </c>
      <c r="K103" s="120">
        <v>7</v>
      </c>
      <c r="L103" s="118" t="s">
        <v>234</v>
      </c>
      <c r="M103" s="121" t="str">
        <f>VLOOKUP(K103,[6]stage_hints!$A:$C,3,FALSE)</f>
        <v>メタルダックで経験値を獲得</v>
      </c>
      <c r="N103" s="122" t="str">
        <f>VLOOKUP(K103,[6]stage_hints!$A:$D,4,FALSE)</f>
        <v>「メタルなアヒル」を強化素材にすると_x000D_大量の経験値がもらえます</v>
      </c>
      <c r="O103" s="36" t="s">
        <v>289</v>
      </c>
      <c r="P103">
        <v>7</v>
      </c>
    </row>
    <row r="104" spans="1:16" x14ac:dyDescent="0.15">
      <c r="A104" s="114" t="str">
        <f t="shared" si="1"/>
        <v>11004_4_4</v>
      </c>
      <c r="B104" s="115" t="s">
        <v>231</v>
      </c>
      <c r="C104" s="116">
        <v>11004</v>
      </c>
      <c r="D104" s="117" t="str">
        <f ca="1">VLOOKUP($C104,OFFSET([2]quests!$A$1,0,0,COUNTA([2]quests!$A:$A),MATCH(D$1,[2]quests!$1:$1,0)-MATCH($C$1,[2]quests!$1:$1,0)+1),MATCH(D$1,[2]quests!$1:$1,0)-MATCH($C$1,[2]quests!$1:$1,0)+1,FALSE)</f>
        <v>【木曜限定】 緑の素材</v>
      </c>
      <c r="E104" s="117" t="str">
        <f ca="1">VLOOKUP($C104,OFFSET([2]quests!$A$1,0,0,COUNTA([2]quests!$A:$A),MATCH(E$1,[2]quests!$1:$1,0)-MATCH($C$1,[2]quests!$1:$1,0)+1),MATCH(E$1,[2]quests!$1:$1,0)-MATCH($C$1,[2]quests!$1:$1,0)+1,FALSE)</f>
        <v>木曜クエスト</v>
      </c>
      <c r="F104" s="118">
        <v>4</v>
      </c>
      <c r="G104" s="117" t="str">
        <f ca="1">VLOOKUP($C104&amp;"_"&amp;$F104,OFFSET([2]stages!$A$1,0,0,COUNTA([2]stages!$A:$A),MATCH(G$1,[2]stages!$2:$2,0)-MATCH("temp_stage",[2]stages!$2:$2,0)+1),MATCH(G$1,[2]stages!$2:$2,0)-MATCH("temp_stage",[2]stages!$2:$2,0)+1,FALSE)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4" s="117" t="str">
        <f ca="1">VLOOKUP($C104&amp;"_"&amp;$F104,OFFSET([2]stages!$A$1,0,0,COUNTA([2]stages!$A:$A),MATCH(H$1,[2]stages!$2:$2,0)-MATCH("temp_stage",[2]stages!$2:$2,0)+1),MATCH(H$1,[2]stages!$2:$2,0)-MATCH("temp_stage",[2]stages!$2:$2,0)+1,FALSE)</f>
        <v>木曜クエスト</v>
      </c>
      <c r="I104" s="119">
        <v>0</v>
      </c>
      <c r="J104" s="118">
        <f>COUNTIF(C$1:C104,C104)</f>
        <v>4</v>
      </c>
      <c r="K104" s="120">
        <v>8</v>
      </c>
      <c r="L104" s="118" t="s">
        <v>234</v>
      </c>
      <c r="M104" s="121" t="str">
        <f>VLOOKUP(K104,[6]stage_hints!$A:$C,3,FALSE)</f>
        <v>ゲリラクエストは要チェック</v>
      </c>
      <c r="N104" s="122" t="str">
        <f>VLOOKUP(K104,[6]stage_hints!$A:$D,4,FALSE)</f>
        <v>時間限定の「アヒル捕獲作戦」では_x000D_経験値素材ユニットが多く手に入ります</v>
      </c>
      <c r="O104" s="36" t="s">
        <v>235</v>
      </c>
      <c r="P104">
        <v>8</v>
      </c>
    </row>
    <row r="105" spans="1:16" x14ac:dyDescent="0.15">
      <c r="A105" s="114" t="str">
        <f t="shared" si="1"/>
        <v>11004_4_5</v>
      </c>
      <c r="B105" s="115" t="s">
        <v>231</v>
      </c>
      <c r="C105" s="116">
        <v>11004</v>
      </c>
      <c r="D105" s="117" t="str">
        <f ca="1">VLOOKUP($C105,OFFSET([2]quests!$A$1,0,0,COUNTA([2]quests!$A:$A),MATCH(D$1,[2]quests!$1:$1,0)-MATCH($C$1,[2]quests!$1:$1,0)+1),MATCH(D$1,[2]quests!$1:$1,0)-MATCH($C$1,[2]quests!$1:$1,0)+1,FALSE)</f>
        <v>【木曜限定】 緑の素材</v>
      </c>
      <c r="E105" s="117" t="str">
        <f ca="1">VLOOKUP($C105,OFFSET([2]quests!$A$1,0,0,COUNTA([2]quests!$A:$A),MATCH(E$1,[2]quests!$1:$1,0)-MATCH($C$1,[2]quests!$1:$1,0)+1),MATCH(E$1,[2]quests!$1:$1,0)-MATCH($C$1,[2]quests!$1:$1,0)+1,FALSE)</f>
        <v>木曜クエスト</v>
      </c>
      <c r="F105" s="118">
        <v>4</v>
      </c>
      <c r="G105" s="117" t="str">
        <f ca="1">VLOOKUP($C105&amp;"_"&amp;$F105,OFFSET([2]stages!$A$1,0,0,COUNTA([2]stages!$A:$A),MATCH(G$1,[2]stages!$2:$2,0)-MATCH("temp_stage",[2]stages!$2:$2,0)+1),MATCH(G$1,[2]stages!$2:$2,0)-MATCH("temp_stage",[2]stages!$2:$2,0)+1,FALSE)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5" s="117" t="str">
        <f ca="1">VLOOKUP($C105&amp;"_"&amp;$F105,OFFSET([2]stages!$A$1,0,0,COUNTA([2]stages!$A:$A),MATCH(H$1,[2]stages!$2:$2,0)-MATCH("temp_stage",[2]stages!$2:$2,0)+1),MATCH(H$1,[2]stages!$2:$2,0)-MATCH("temp_stage",[2]stages!$2:$2,0)+1,FALSE)</f>
        <v>木曜クエスト</v>
      </c>
      <c r="I105" s="119">
        <v>0</v>
      </c>
      <c r="J105" s="118">
        <f>COUNTIF(C$1:C105,C105)</f>
        <v>5</v>
      </c>
      <c r="K105" s="120">
        <v>9</v>
      </c>
      <c r="L105" s="118" t="s">
        <v>290</v>
      </c>
      <c r="M105" s="121" t="str">
        <f>VLOOKUP(K105,[6]stage_hints!$A:$C,3,FALSE)</f>
        <v>ゴールドダックでビットを獲得</v>
      </c>
      <c r="N105" s="122" t="str">
        <f>VLOOKUP(K105,[6]stage_hints!$A:$D,4,FALSE)</f>
        <v>「ゴールドなアヒル」を売却すると_x000D_大量のビットがもらえます</v>
      </c>
      <c r="O105" s="36" t="s">
        <v>291</v>
      </c>
      <c r="P105">
        <v>9</v>
      </c>
    </row>
    <row r="106" spans="1:16" x14ac:dyDescent="0.15">
      <c r="A106" s="114" t="str">
        <f t="shared" si="1"/>
        <v>11004_4_6</v>
      </c>
      <c r="B106" s="115" t="s">
        <v>231</v>
      </c>
      <c r="C106" s="116">
        <v>11004</v>
      </c>
      <c r="D106" s="117" t="str">
        <f ca="1">VLOOKUP($C106,OFFSET([2]quests!$A$1,0,0,COUNTA([2]quests!$A:$A),MATCH(D$1,[2]quests!$1:$1,0)-MATCH($C$1,[2]quests!$1:$1,0)+1),MATCH(D$1,[2]quests!$1:$1,0)-MATCH($C$1,[2]quests!$1:$1,0)+1,FALSE)</f>
        <v>【木曜限定】 緑の素材</v>
      </c>
      <c r="E106" s="117" t="str">
        <f ca="1">VLOOKUP($C106,OFFSET([2]quests!$A$1,0,0,COUNTA([2]quests!$A:$A),MATCH(E$1,[2]quests!$1:$1,0)-MATCH($C$1,[2]quests!$1:$1,0)+1),MATCH(E$1,[2]quests!$1:$1,0)-MATCH($C$1,[2]quests!$1:$1,0)+1,FALSE)</f>
        <v>木曜クエスト</v>
      </c>
      <c r="F106" s="118">
        <v>4</v>
      </c>
      <c r="G106" s="117" t="str">
        <f ca="1">VLOOKUP($C106&amp;"_"&amp;$F106,OFFSET([2]stages!$A$1,0,0,COUNTA([2]stages!$A:$A),MATCH(G$1,[2]stages!$2:$2,0)-MATCH("temp_stage",[2]stages!$2:$2,0)+1),MATCH(G$1,[2]stages!$2:$2,0)-MATCH("temp_stage",[2]stages!$2:$2,0)+1,FALSE)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6" s="117" t="str">
        <f ca="1">VLOOKUP($C106&amp;"_"&amp;$F106,OFFSET([2]stages!$A$1,0,0,COUNTA([2]stages!$A:$A),MATCH(H$1,[2]stages!$2:$2,0)-MATCH("temp_stage",[2]stages!$2:$2,0)+1),MATCH(H$1,[2]stages!$2:$2,0)-MATCH("temp_stage",[2]stages!$2:$2,0)+1,FALSE)</f>
        <v>木曜クエスト</v>
      </c>
      <c r="I106" s="119">
        <v>0</v>
      </c>
      <c r="J106" s="118">
        <f>COUNTIF(C$1:C106,C106)</f>
        <v>6</v>
      </c>
      <c r="K106" s="120">
        <v>10</v>
      </c>
      <c r="L106" s="118" t="s">
        <v>234</v>
      </c>
      <c r="M106" s="121" t="str">
        <f>VLOOKUP(K106,[6]stage_hints!$A:$C,3,FALSE)</f>
        <v>土日に大量のビットを獲得</v>
      </c>
      <c r="N106" s="122" t="str">
        <f>VLOOKUP(K106,[6]stage_hints!$A:$D,4,FALSE)</f>
        <v>土日限定の「ゴールドカジノ」では_x000D_売却素材ユニットが多く手に入ります</v>
      </c>
      <c r="O106" s="36" t="s">
        <v>235</v>
      </c>
      <c r="P106">
        <v>10</v>
      </c>
    </row>
    <row r="107" spans="1:16" x14ac:dyDescent="0.15">
      <c r="A107" s="114" t="str">
        <f t="shared" si="1"/>
        <v>11004_4_7</v>
      </c>
      <c r="B107" s="115" t="s">
        <v>231</v>
      </c>
      <c r="C107" s="116">
        <v>11004</v>
      </c>
      <c r="D107" s="117" t="str">
        <f ca="1">VLOOKUP($C107,OFFSET([2]quests!$A$1,0,0,COUNTA([2]quests!$A:$A),MATCH(D$1,[2]quests!$1:$1,0)-MATCH($C$1,[2]quests!$1:$1,0)+1),MATCH(D$1,[2]quests!$1:$1,0)-MATCH($C$1,[2]quests!$1:$1,0)+1,FALSE)</f>
        <v>【木曜限定】 緑の素材</v>
      </c>
      <c r="E107" s="117" t="str">
        <f ca="1">VLOOKUP($C107,OFFSET([2]quests!$A$1,0,0,COUNTA([2]quests!$A:$A),MATCH(E$1,[2]quests!$1:$1,0)-MATCH($C$1,[2]quests!$1:$1,0)+1),MATCH(E$1,[2]quests!$1:$1,0)-MATCH($C$1,[2]quests!$1:$1,0)+1,FALSE)</f>
        <v>木曜クエスト</v>
      </c>
      <c r="F107" s="118">
        <v>4</v>
      </c>
      <c r="G107" s="117" t="str">
        <f ca="1">VLOOKUP($C107&amp;"_"&amp;$F107,OFFSET([2]stages!$A$1,0,0,COUNTA([2]stages!$A:$A),MATCH(G$1,[2]stages!$2:$2,0)-MATCH("temp_stage",[2]stages!$2:$2,0)+1),MATCH(G$1,[2]stages!$2:$2,0)-MATCH("temp_stage",[2]stages!$2:$2,0)+1,FALSE)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7" s="117" t="str">
        <f ca="1">VLOOKUP($C107&amp;"_"&amp;$F107,OFFSET([2]stages!$A$1,0,0,COUNTA([2]stages!$A:$A),MATCH(H$1,[2]stages!$2:$2,0)-MATCH("temp_stage",[2]stages!$2:$2,0)+1),MATCH(H$1,[2]stages!$2:$2,0)-MATCH("temp_stage",[2]stages!$2:$2,0)+1,FALSE)</f>
        <v>木曜クエスト</v>
      </c>
      <c r="I107" s="119">
        <v>0</v>
      </c>
      <c r="J107" s="118">
        <f>COUNTIF(C$1:C107,C107)</f>
        <v>7</v>
      </c>
      <c r="K107" s="120">
        <v>11</v>
      </c>
      <c r="L107" s="118" t="s">
        <v>234</v>
      </c>
      <c r="M107" s="121" t="str">
        <f>VLOOKUP(K107,[6]stage_hints!$A:$C,3,FALSE)</f>
        <v>ランク解放クエスト</v>
      </c>
      <c r="N107" s="122" t="str">
        <f>VLOOKUP(K107,[6]stage_hints!$A:$D,4,FALSE)</f>
        <v>一定ランクに到達すると_x000D_報酬付きのランク開放クエストが現れます</v>
      </c>
      <c r="O107" s="36" t="s">
        <v>235</v>
      </c>
      <c r="P107">
        <v>11</v>
      </c>
    </row>
    <row r="108" spans="1:16" x14ac:dyDescent="0.15">
      <c r="A108" s="114" t="str">
        <f t="shared" si="1"/>
        <v>11004_4_8</v>
      </c>
      <c r="B108" s="115" t="s">
        <v>231</v>
      </c>
      <c r="C108" s="116">
        <v>11004</v>
      </c>
      <c r="D108" s="117" t="str">
        <f ca="1">VLOOKUP($C108,OFFSET([2]quests!$A$1,0,0,COUNTA([2]quests!$A:$A),MATCH(D$1,[2]quests!$1:$1,0)-MATCH($C$1,[2]quests!$1:$1,0)+1),MATCH(D$1,[2]quests!$1:$1,0)-MATCH($C$1,[2]quests!$1:$1,0)+1,FALSE)</f>
        <v>【木曜限定】 緑の素材</v>
      </c>
      <c r="E108" s="117" t="str">
        <f ca="1">VLOOKUP($C108,OFFSET([2]quests!$A$1,0,0,COUNTA([2]quests!$A:$A),MATCH(E$1,[2]quests!$1:$1,0)-MATCH($C$1,[2]quests!$1:$1,0)+1),MATCH(E$1,[2]quests!$1:$1,0)-MATCH($C$1,[2]quests!$1:$1,0)+1,FALSE)</f>
        <v>木曜クエスト</v>
      </c>
      <c r="F108" s="118">
        <v>4</v>
      </c>
      <c r="G108" s="117" t="str">
        <f ca="1">VLOOKUP($C108&amp;"_"&amp;$F108,OFFSET([2]stages!$A$1,0,0,COUNTA([2]stages!$A:$A),MATCH(G$1,[2]stages!$2:$2,0)-MATCH("temp_stage",[2]stages!$2:$2,0)+1),MATCH(G$1,[2]stages!$2:$2,0)-MATCH("temp_stage",[2]stages!$2:$2,0)+1,FALSE)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8" s="117" t="str">
        <f ca="1">VLOOKUP($C108&amp;"_"&amp;$F108,OFFSET([2]stages!$A$1,0,0,COUNTA([2]stages!$A:$A),MATCH(H$1,[2]stages!$2:$2,0)-MATCH("temp_stage",[2]stages!$2:$2,0)+1),MATCH(H$1,[2]stages!$2:$2,0)-MATCH("temp_stage",[2]stages!$2:$2,0)+1,FALSE)</f>
        <v>木曜クエスト</v>
      </c>
      <c r="I108" s="119">
        <v>0</v>
      </c>
      <c r="J108" s="118">
        <f>COUNTIF(C$1:C108,C108)</f>
        <v>8</v>
      </c>
      <c r="K108" s="120">
        <v>12</v>
      </c>
      <c r="L108" s="118" t="s">
        <v>234</v>
      </c>
      <c r="M108" s="121" t="str">
        <f>VLOOKUP(K108,[6]stage_hints!$A:$C,3,FALSE)</f>
        <v>ユニットのお気に入り登録</v>
      </c>
      <c r="N108" s="122" t="str">
        <f>VLOOKUP(K108,[6]stage_hints!$A:$D,4,FALSE)</f>
        <v>大事なユニットを誤って消さないように_x000D_フォルダから「お気に入り登録」しましょう</v>
      </c>
      <c r="O108" s="36" t="s">
        <v>292</v>
      </c>
      <c r="P108">
        <v>12</v>
      </c>
    </row>
    <row r="109" spans="1:16" x14ac:dyDescent="0.15">
      <c r="A109" s="114" t="str">
        <f t="shared" si="1"/>
        <v>11004_4_9</v>
      </c>
      <c r="B109" s="115" t="s">
        <v>231</v>
      </c>
      <c r="C109" s="116">
        <v>11004</v>
      </c>
      <c r="D109" s="117" t="str">
        <f ca="1">VLOOKUP($C109,OFFSET([2]quests!$A$1,0,0,COUNTA([2]quests!$A:$A),MATCH(D$1,[2]quests!$1:$1,0)-MATCH($C$1,[2]quests!$1:$1,0)+1),MATCH(D$1,[2]quests!$1:$1,0)-MATCH($C$1,[2]quests!$1:$1,0)+1,FALSE)</f>
        <v>【木曜限定】 緑の素材</v>
      </c>
      <c r="E109" s="117" t="str">
        <f ca="1">VLOOKUP($C109,OFFSET([2]quests!$A$1,0,0,COUNTA([2]quests!$A:$A),MATCH(E$1,[2]quests!$1:$1,0)-MATCH($C$1,[2]quests!$1:$1,0)+1),MATCH(E$1,[2]quests!$1:$1,0)-MATCH($C$1,[2]quests!$1:$1,0)+1,FALSE)</f>
        <v>木曜クエスト</v>
      </c>
      <c r="F109" s="118">
        <v>4</v>
      </c>
      <c r="G109" s="117" t="str">
        <f ca="1">VLOOKUP($C109&amp;"_"&amp;$F109,OFFSET([2]stages!$A$1,0,0,COUNTA([2]stages!$A:$A),MATCH(G$1,[2]stages!$2:$2,0)-MATCH("temp_stage",[2]stages!$2:$2,0)+1),MATCH(G$1,[2]stages!$2:$2,0)-MATCH("temp_stage",[2]stages!$2:$2,0)+1,FALSE)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09" s="117" t="str">
        <f ca="1">VLOOKUP($C109&amp;"_"&amp;$F109,OFFSET([2]stages!$A$1,0,0,COUNTA([2]stages!$A:$A),MATCH(H$1,[2]stages!$2:$2,0)-MATCH("temp_stage",[2]stages!$2:$2,0)+1),MATCH(H$1,[2]stages!$2:$2,0)-MATCH("temp_stage",[2]stages!$2:$2,0)+1,FALSE)</f>
        <v>木曜クエスト</v>
      </c>
      <c r="I109" s="119">
        <v>0</v>
      </c>
      <c r="J109" s="118">
        <f>COUNTIF(C$1:C109,C109)</f>
        <v>9</v>
      </c>
      <c r="K109" s="120">
        <v>13</v>
      </c>
      <c r="L109" s="118" t="s">
        <v>234</v>
      </c>
      <c r="M109" s="121" t="str">
        <f>VLOOKUP(K109,[6]stage_hints!$A:$C,3,FALSE)</f>
        <v>ユニットの覚醒</v>
      </c>
      <c r="N109" s="122" t="str">
        <f>VLOOKUP(K109,[6]stage_hints!$A:$D,4,FALSE)</f>
        <v>ユニットを覚醒させると_x000D_比べものにならない強さが手に入ります</v>
      </c>
      <c r="O109" s="36" t="s">
        <v>235</v>
      </c>
      <c r="P109">
        <v>13</v>
      </c>
    </row>
    <row r="110" spans="1:16" x14ac:dyDescent="0.15">
      <c r="A110" s="114" t="str">
        <f t="shared" si="1"/>
        <v>11004_4_10</v>
      </c>
      <c r="B110" s="115" t="s">
        <v>231</v>
      </c>
      <c r="C110" s="116">
        <v>11004</v>
      </c>
      <c r="D110" s="117" t="str">
        <f ca="1">VLOOKUP($C110,OFFSET([2]quests!$A$1,0,0,COUNTA([2]quests!$A:$A),MATCH(D$1,[2]quests!$1:$1,0)-MATCH($C$1,[2]quests!$1:$1,0)+1),MATCH(D$1,[2]quests!$1:$1,0)-MATCH($C$1,[2]quests!$1:$1,0)+1,FALSE)</f>
        <v>【木曜限定】 緑の素材</v>
      </c>
      <c r="E110" s="117" t="str">
        <f ca="1">VLOOKUP($C110,OFFSET([2]quests!$A$1,0,0,COUNTA([2]quests!$A:$A),MATCH(E$1,[2]quests!$1:$1,0)-MATCH($C$1,[2]quests!$1:$1,0)+1),MATCH(E$1,[2]quests!$1:$1,0)-MATCH($C$1,[2]quests!$1:$1,0)+1,FALSE)</f>
        <v>木曜クエスト</v>
      </c>
      <c r="F110" s="118">
        <v>4</v>
      </c>
      <c r="G110" s="117" t="str">
        <f ca="1">VLOOKUP($C110&amp;"_"&amp;$F110,OFFSET([2]stages!$A$1,0,0,COUNTA([2]stages!$A:$A),MATCH(G$1,[2]stages!$2:$2,0)-MATCH("temp_stage",[2]stages!$2:$2,0)+1),MATCH(G$1,[2]stages!$2:$2,0)-MATCH("temp_stage",[2]stages!$2:$2,0)+1,FALSE)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0" s="117" t="str">
        <f ca="1">VLOOKUP($C110&amp;"_"&amp;$F110,OFFSET([2]stages!$A$1,0,0,COUNTA([2]stages!$A:$A),MATCH(H$1,[2]stages!$2:$2,0)-MATCH("temp_stage",[2]stages!$2:$2,0)+1),MATCH(H$1,[2]stages!$2:$2,0)-MATCH("temp_stage",[2]stages!$2:$2,0)+1,FALSE)</f>
        <v>木曜クエスト</v>
      </c>
      <c r="I110" s="119">
        <v>0</v>
      </c>
      <c r="J110" s="118">
        <f>COUNTIF(C$1:C110,C110)</f>
        <v>10</v>
      </c>
      <c r="K110" s="120">
        <v>14</v>
      </c>
      <c r="L110" s="118" t="s">
        <v>234</v>
      </c>
      <c r="M110" s="121" t="str">
        <f>VLOOKUP(K110,[6]stage_hints!$A:$C,3,FALSE)</f>
        <v>覚醒するにはレベルを最大に</v>
      </c>
      <c r="N110" s="122" t="str">
        <f>VLOOKUP(K110,[6]stage_hints!$A:$D,4,FALSE)</f>
        <v>覚醒するにはユニットのレベルを_x000D_最大まで上げる必要があります</v>
      </c>
      <c r="O110" s="36" t="s">
        <v>291</v>
      </c>
      <c r="P110">
        <v>14</v>
      </c>
    </row>
    <row r="111" spans="1:16" x14ac:dyDescent="0.15">
      <c r="A111" s="114" t="str">
        <f t="shared" si="1"/>
        <v>11004_4_11</v>
      </c>
      <c r="B111" s="115" t="s">
        <v>231</v>
      </c>
      <c r="C111" s="116">
        <v>11004</v>
      </c>
      <c r="D111" s="117" t="str">
        <f ca="1">VLOOKUP($C111,OFFSET([2]quests!$A$1,0,0,COUNTA([2]quests!$A:$A),MATCH(D$1,[2]quests!$1:$1,0)-MATCH($C$1,[2]quests!$1:$1,0)+1),MATCH(D$1,[2]quests!$1:$1,0)-MATCH($C$1,[2]quests!$1:$1,0)+1,FALSE)</f>
        <v>【木曜限定】 緑の素材</v>
      </c>
      <c r="E111" s="117" t="str">
        <f ca="1">VLOOKUP($C111,OFFSET([2]quests!$A$1,0,0,COUNTA([2]quests!$A:$A),MATCH(E$1,[2]quests!$1:$1,0)-MATCH($C$1,[2]quests!$1:$1,0)+1),MATCH(E$1,[2]quests!$1:$1,0)-MATCH($C$1,[2]quests!$1:$1,0)+1,FALSE)</f>
        <v>木曜クエスト</v>
      </c>
      <c r="F111" s="118">
        <v>4</v>
      </c>
      <c r="G111" s="117" t="str">
        <f ca="1">VLOOKUP($C111&amp;"_"&amp;$F111,OFFSET([2]stages!$A$1,0,0,COUNTA([2]stages!$A:$A),MATCH(G$1,[2]stages!$2:$2,0)-MATCH("temp_stage",[2]stages!$2:$2,0)+1),MATCH(G$1,[2]stages!$2:$2,0)-MATCH("temp_stage",[2]stages!$2:$2,0)+1,FALSE)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1" s="117" t="str">
        <f ca="1">VLOOKUP($C111&amp;"_"&amp;$F111,OFFSET([2]stages!$A$1,0,0,COUNTA([2]stages!$A:$A),MATCH(H$1,[2]stages!$2:$2,0)-MATCH("temp_stage",[2]stages!$2:$2,0)+1),MATCH(H$1,[2]stages!$2:$2,0)-MATCH("temp_stage",[2]stages!$2:$2,0)+1,FALSE)</f>
        <v>木曜クエスト</v>
      </c>
      <c r="I111" s="119">
        <v>0</v>
      </c>
      <c r="J111" s="118">
        <f>COUNTIF(C$1:C111,C111)</f>
        <v>11</v>
      </c>
      <c r="K111" s="120">
        <v>15</v>
      </c>
      <c r="L111" s="118" t="s">
        <v>234</v>
      </c>
      <c r="M111" s="121" t="str">
        <f>VLOOKUP(K111,[6]stage_hints!$A:$C,3,FALSE)</f>
        <v>覚醒素材を獲得</v>
      </c>
      <c r="N111" s="122" t="str">
        <f>VLOOKUP(K111,[6]stage_hints!$A:$D,4,FALSE)</f>
        <v>「曜日クエスト」では_x000D_ユニットの覚醒に必要な素材が手に入ります</v>
      </c>
      <c r="O111" s="36" t="s">
        <v>293</v>
      </c>
      <c r="P111">
        <v>15</v>
      </c>
    </row>
    <row r="112" spans="1:16" x14ac:dyDescent="0.15">
      <c r="A112" s="114" t="str">
        <f t="shared" si="1"/>
        <v>11004_4_12</v>
      </c>
      <c r="B112" s="115" t="s">
        <v>231</v>
      </c>
      <c r="C112" s="116">
        <v>11004</v>
      </c>
      <c r="D112" s="117" t="str">
        <f ca="1">VLOOKUP($C112,OFFSET([2]quests!$A$1,0,0,COUNTA([2]quests!$A:$A),MATCH(D$1,[2]quests!$1:$1,0)-MATCH($C$1,[2]quests!$1:$1,0)+1),MATCH(D$1,[2]quests!$1:$1,0)-MATCH($C$1,[2]quests!$1:$1,0)+1,FALSE)</f>
        <v>【木曜限定】 緑の素材</v>
      </c>
      <c r="E112" s="117" t="str">
        <f ca="1">VLOOKUP($C112,OFFSET([2]quests!$A$1,0,0,COUNTA([2]quests!$A:$A),MATCH(E$1,[2]quests!$1:$1,0)-MATCH($C$1,[2]quests!$1:$1,0)+1),MATCH(E$1,[2]quests!$1:$1,0)-MATCH($C$1,[2]quests!$1:$1,0)+1,FALSE)</f>
        <v>木曜クエスト</v>
      </c>
      <c r="F112" s="118">
        <v>4</v>
      </c>
      <c r="G112" s="117" t="str">
        <f ca="1">VLOOKUP($C112&amp;"_"&amp;$F112,OFFSET([2]stages!$A$1,0,0,COUNTA([2]stages!$A:$A),MATCH(G$1,[2]stages!$2:$2,0)-MATCH("temp_stage",[2]stages!$2:$2,0)+1),MATCH(G$1,[2]stages!$2:$2,0)-MATCH("temp_stage",[2]stages!$2:$2,0)+1,FALSE)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2" s="117" t="str">
        <f ca="1">VLOOKUP($C112&amp;"_"&amp;$F112,OFFSET([2]stages!$A$1,0,0,COUNTA([2]stages!$A:$A),MATCH(H$1,[2]stages!$2:$2,0)-MATCH("temp_stage",[2]stages!$2:$2,0)+1),MATCH(H$1,[2]stages!$2:$2,0)-MATCH("temp_stage",[2]stages!$2:$2,0)+1,FALSE)</f>
        <v>木曜クエスト</v>
      </c>
      <c r="I112" s="119">
        <v>0</v>
      </c>
      <c r="J112" s="118">
        <f>COUNTIF(C$1:C112,C112)</f>
        <v>12</v>
      </c>
      <c r="K112" s="120">
        <v>16</v>
      </c>
      <c r="L112" s="118" t="s">
        <v>234</v>
      </c>
      <c r="M112" s="121" t="str">
        <f>VLOOKUP(K112,[6]stage_hints!$A:$C,3,FALSE)</f>
        <v>マルチプレイのメリット（その1）</v>
      </c>
      <c r="N112" s="122" t="str">
        <f>VLOOKUP(K112,[6]stage_hints!$A:$D,4,FALSE)</f>
        <v>他のプレイヤーとマルチプレイで遊ぶと_x000D_ポリゴンがもらえます（100人まで）</v>
      </c>
      <c r="O112" s="36" t="s">
        <v>235</v>
      </c>
      <c r="P112">
        <v>16</v>
      </c>
    </row>
    <row r="113" spans="1:16" x14ac:dyDescent="0.15">
      <c r="A113" s="114" t="str">
        <f t="shared" si="1"/>
        <v>11004_4_13</v>
      </c>
      <c r="B113" s="115" t="s">
        <v>231</v>
      </c>
      <c r="C113" s="116">
        <v>11004</v>
      </c>
      <c r="D113" s="117" t="str">
        <f ca="1">VLOOKUP($C113,OFFSET([2]quests!$A$1,0,0,COUNTA([2]quests!$A:$A),MATCH(D$1,[2]quests!$1:$1,0)-MATCH($C$1,[2]quests!$1:$1,0)+1),MATCH(D$1,[2]quests!$1:$1,0)-MATCH($C$1,[2]quests!$1:$1,0)+1,FALSE)</f>
        <v>【木曜限定】 緑の素材</v>
      </c>
      <c r="E113" s="117" t="str">
        <f ca="1">VLOOKUP($C113,OFFSET([2]quests!$A$1,0,0,COUNTA([2]quests!$A:$A),MATCH(E$1,[2]quests!$1:$1,0)-MATCH($C$1,[2]quests!$1:$1,0)+1),MATCH(E$1,[2]quests!$1:$1,0)-MATCH($C$1,[2]quests!$1:$1,0)+1,FALSE)</f>
        <v>木曜クエスト</v>
      </c>
      <c r="F113" s="118">
        <v>4</v>
      </c>
      <c r="G113" s="117" t="str">
        <f ca="1">VLOOKUP($C113&amp;"_"&amp;$F113,OFFSET([2]stages!$A$1,0,0,COUNTA([2]stages!$A:$A),MATCH(G$1,[2]stages!$2:$2,0)-MATCH("temp_stage",[2]stages!$2:$2,0)+1),MATCH(G$1,[2]stages!$2:$2,0)-MATCH("temp_stage",[2]stages!$2:$2,0)+1,FALSE)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3" s="117" t="str">
        <f ca="1">VLOOKUP($C113&amp;"_"&amp;$F113,OFFSET([2]stages!$A$1,0,0,COUNTA([2]stages!$A:$A),MATCH(H$1,[2]stages!$2:$2,0)-MATCH("temp_stage",[2]stages!$2:$2,0)+1),MATCH(H$1,[2]stages!$2:$2,0)-MATCH("temp_stage",[2]stages!$2:$2,0)+1,FALSE)</f>
        <v>木曜クエスト</v>
      </c>
      <c r="I113" s="119">
        <v>0</v>
      </c>
      <c r="J113" s="118">
        <f>COUNTIF(C$1:C113,C113)</f>
        <v>13</v>
      </c>
      <c r="K113" s="120">
        <v>17</v>
      </c>
      <c r="L113" s="118" t="s">
        <v>234</v>
      </c>
      <c r="M113" s="121" t="str">
        <f>VLOOKUP(K113,[6]stage_hints!$A:$C,3,FALSE)</f>
        <v>リンクガチャ</v>
      </c>
      <c r="N113" s="122" t="str">
        <f>VLOOKUP(K113,[6]stage_hints!$A:$D,4,FALSE)</f>
        <v>無料のリンクガチャを回して_x000D_経験値素材や売却素材を獲得しましょう</v>
      </c>
      <c r="O113" s="36" t="s">
        <v>235</v>
      </c>
      <c r="P113">
        <v>17</v>
      </c>
    </row>
    <row r="114" spans="1:16" x14ac:dyDescent="0.15">
      <c r="A114" s="114" t="str">
        <f t="shared" si="1"/>
        <v>11004_4_14</v>
      </c>
      <c r="B114" s="115" t="s">
        <v>231</v>
      </c>
      <c r="C114" s="116">
        <v>11004</v>
      </c>
      <c r="D114" s="117" t="str">
        <f ca="1">VLOOKUP($C114,OFFSET([2]quests!$A$1,0,0,COUNTA([2]quests!$A:$A),MATCH(D$1,[2]quests!$1:$1,0)-MATCH($C$1,[2]quests!$1:$1,0)+1),MATCH(D$1,[2]quests!$1:$1,0)-MATCH($C$1,[2]quests!$1:$1,0)+1,FALSE)</f>
        <v>【木曜限定】 緑の素材</v>
      </c>
      <c r="E114" s="117" t="str">
        <f ca="1">VLOOKUP($C114,OFFSET([2]quests!$A$1,0,0,COUNTA([2]quests!$A:$A),MATCH(E$1,[2]quests!$1:$1,0)-MATCH($C$1,[2]quests!$1:$1,0)+1),MATCH(E$1,[2]quests!$1:$1,0)-MATCH($C$1,[2]quests!$1:$1,0)+1,FALSE)</f>
        <v>木曜クエスト</v>
      </c>
      <c r="F114" s="118">
        <v>4</v>
      </c>
      <c r="G114" s="117" t="str">
        <f ca="1">VLOOKUP($C114&amp;"_"&amp;$F114,OFFSET([2]stages!$A$1,0,0,COUNTA([2]stages!$A:$A),MATCH(G$1,[2]stages!$2:$2,0)-MATCH("temp_stage",[2]stages!$2:$2,0)+1),MATCH(G$1,[2]stages!$2:$2,0)-MATCH("temp_stage",[2]stages!$2:$2,0)+1,FALSE)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4" s="117" t="str">
        <f ca="1">VLOOKUP($C114&amp;"_"&amp;$F114,OFFSET([2]stages!$A$1,0,0,COUNTA([2]stages!$A:$A),MATCH(H$1,[2]stages!$2:$2,0)-MATCH("temp_stage",[2]stages!$2:$2,0)+1),MATCH(H$1,[2]stages!$2:$2,0)-MATCH("temp_stage",[2]stages!$2:$2,0)+1,FALSE)</f>
        <v>木曜クエスト</v>
      </c>
      <c r="I114" s="119">
        <v>0</v>
      </c>
      <c r="J114" s="118">
        <f>COUNTIF(C$1:C114,C114)</f>
        <v>14</v>
      </c>
      <c r="K114" s="120">
        <v>18</v>
      </c>
      <c r="L114" s="118" t="s">
        <v>234</v>
      </c>
      <c r="M114" s="121" t="str">
        <f>VLOOKUP(K114,[6]stage_hints!$A:$C,3,FALSE)</f>
        <v>マルチプレイのメリット（その2）</v>
      </c>
      <c r="N114" s="122" t="str">
        <f>VLOOKUP(K114,[6]stage_hints!$A:$D,4,FALSE)</f>
        <v>マルチプレイならリンクが2倍もらえます_x000D_リンクガチャをたくさん回しましょう</v>
      </c>
      <c r="O114" s="36" t="s">
        <v>294</v>
      </c>
      <c r="P114">
        <v>18</v>
      </c>
    </row>
    <row r="115" spans="1:16" x14ac:dyDescent="0.15">
      <c r="A115" s="114" t="str">
        <f t="shared" si="1"/>
        <v>11004_4_15</v>
      </c>
      <c r="B115" s="115" t="s">
        <v>231</v>
      </c>
      <c r="C115" s="116">
        <v>11004</v>
      </c>
      <c r="D115" s="117" t="str">
        <f ca="1">VLOOKUP($C115,OFFSET([2]quests!$A$1,0,0,COUNTA([2]quests!$A:$A),MATCH(D$1,[2]quests!$1:$1,0)-MATCH($C$1,[2]quests!$1:$1,0)+1),MATCH(D$1,[2]quests!$1:$1,0)-MATCH($C$1,[2]quests!$1:$1,0)+1,FALSE)</f>
        <v>【木曜限定】 緑の素材</v>
      </c>
      <c r="E115" s="117" t="str">
        <f ca="1">VLOOKUP($C115,OFFSET([2]quests!$A$1,0,0,COUNTA([2]quests!$A:$A),MATCH(E$1,[2]quests!$1:$1,0)-MATCH($C$1,[2]quests!$1:$1,0)+1),MATCH(E$1,[2]quests!$1:$1,0)-MATCH($C$1,[2]quests!$1:$1,0)+1,FALSE)</f>
        <v>木曜クエスト</v>
      </c>
      <c r="F115" s="118">
        <v>4</v>
      </c>
      <c r="G115" s="117" t="str">
        <f ca="1">VLOOKUP($C115&amp;"_"&amp;$F115,OFFSET([2]stages!$A$1,0,0,COUNTA([2]stages!$A:$A),MATCH(G$1,[2]stages!$2:$2,0)-MATCH("temp_stage",[2]stages!$2:$2,0)+1),MATCH(G$1,[2]stages!$2:$2,0)-MATCH("temp_stage",[2]stages!$2:$2,0)+1,FALSE)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5" s="117" t="str">
        <f ca="1">VLOOKUP($C115&amp;"_"&amp;$F115,OFFSET([2]stages!$A$1,0,0,COUNTA([2]stages!$A:$A),MATCH(H$1,[2]stages!$2:$2,0)-MATCH("temp_stage",[2]stages!$2:$2,0)+1),MATCH(H$1,[2]stages!$2:$2,0)-MATCH("temp_stage",[2]stages!$2:$2,0)+1,FALSE)</f>
        <v>木曜クエスト</v>
      </c>
      <c r="I115" s="119">
        <v>0</v>
      </c>
      <c r="J115" s="118">
        <f>COUNTIF(C$1:C115,C115)</f>
        <v>15</v>
      </c>
      <c r="K115" s="120">
        <v>19</v>
      </c>
      <c r="L115" s="118" t="s">
        <v>279</v>
      </c>
      <c r="M115" s="121" t="str">
        <f>VLOOKUP(K115,[6]stage_hints!$A:$C,3,FALSE)</f>
        <v>ソロ専用タワーオブザクイーン</v>
      </c>
      <c r="N115" s="122" t="str">
        <f>VLOOKUP(K115,[6]stage_hints!$A:$D,4,FALSE)</f>
        <v>ソロ専用の「タワーオブザクイーン」は_x000D_期間限定で定期的に開催されます_x000D_ここでしか獲得できない報酬もあるようです</v>
      </c>
      <c r="O115" s="36" t="s">
        <v>235</v>
      </c>
      <c r="P115">
        <v>19</v>
      </c>
    </row>
    <row r="116" spans="1:16" x14ac:dyDescent="0.15">
      <c r="A116" s="114" t="str">
        <f t="shared" si="1"/>
        <v>11004_4_16</v>
      </c>
      <c r="B116" s="115" t="s">
        <v>231</v>
      </c>
      <c r="C116" s="116">
        <v>11004</v>
      </c>
      <c r="D116" s="117" t="str">
        <f ca="1">VLOOKUP($C116,OFFSET([2]quests!$A$1,0,0,COUNTA([2]quests!$A:$A),MATCH(D$1,[2]quests!$1:$1,0)-MATCH($C$1,[2]quests!$1:$1,0)+1),MATCH(D$1,[2]quests!$1:$1,0)-MATCH($C$1,[2]quests!$1:$1,0)+1,FALSE)</f>
        <v>【木曜限定】 緑の素材</v>
      </c>
      <c r="E116" s="117" t="str">
        <f ca="1">VLOOKUP($C116,OFFSET([2]quests!$A$1,0,0,COUNTA([2]quests!$A:$A),MATCH(E$1,[2]quests!$1:$1,0)-MATCH($C$1,[2]quests!$1:$1,0)+1),MATCH(E$1,[2]quests!$1:$1,0)-MATCH($C$1,[2]quests!$1:$1,0)+1,FALSE)</f>
        <v>木曜クエスト</v>
      </c>
      <c r="F116" s="118">
        <v>4</v>
      </c>
      <c r="G116" s="117" t="str">
        <f ca="1">VLOOKUP($C116&amp;"_"&amp;$F116,OFFSET([2]stages!$A$1,0,0,COUNTA([2]stages!$A:$A),MATCH(G$1,[2]stages!$2:$2,0)-MATCH("temp_stage",[2]stages!$2:$2,0)+1),MATCH(G$1,[2]stages!$2:$2,0)-MATCH("temp_stage",[2]stages!$2:$2,0)+1,FALSE)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6" s="117" t="str">
        <f ca="1">VLOOKUP($C116&amp;"_"&amp;$F116,OFFSET([2]stages!$A$1,0,0,COUNTA([2]stages!$A:$A),MATCH(H$1,[2]stages!$2:$2,0)-MATCH("temp_stage",[2]stages!$2:$2,0)+1),MATCH(H$1,[2]stages!$2:$2,0)-MATCH("temp_stage",[2]stages!$2:$2,0)+1,FALSE)</f>
        <v>木曜クエスト</v>
      </c>
      <c r="I116" s="119">
        <v>0</v>
      </c>
      <c r="J116" s="118">
        <f>COUNTIF(C$1:C116,C116)</f>
        <v>16</v>
      </c>
      <c r="K116" s="120">
        <v>20</v>
      </c>
      <c r="L116" s="118" t="s">
        <v>234</v>
      </c>
      <c r="M116" s="121" t="str">
        <f>VLOOKUP(K116,[6]stage_hints!$A:$C,3,FALSE)</f>
        <v>マルチプレイのメリット（その3）</v>
      </c>
      <c r="N116" s="122" t="str">
        <f>VLOOKUP(K116,[6]stage_hints!$A:$D,4,FALSE)</f>
        <v>マルチプレイへの参加はエナジー消費ゼロ_x000D_いつでも好きなだけ遊ぶことができます</v>
      </c>
      <c r="O116" s="36" t="s">
        <v>295</v>
      </c>
      <c r="P116">
        <v>20</v>
      </c>
    </row>
    <row r="117" spans="1:16" x14ac:dyDescent="0.15">
      <c r="A117" s="114" t="str">
        <f t="shared" si="1"/>
        <v>11004_4_17</v>
      </c>
      <c r="B117" s="115" t="s">
        <v>231</v>
      </c>
      <c r="C117" s="116">
        <v>11004</v>
      </c>
      <c r="D117" s="117" t="str">
        <f ca="1">VLOOKUP($C117,OFFSET([2]quests!$A$1,0,0,COUNTA([2]quests!$A:$A),MATCH(D$1,[2]quests!$1:$1,0)-MATCH($C$1,[2]quests!$1:$1,0)+1),MATCH(D$1,[2]quests!$1:$1,0)-MATCH($C$1,[2]quests!$1:$1,0)+1,FALSE)</f>
        <v>【木曜限定】 緑の素材</v>
      </c>
      <c r="E117" s="117" t="str">
        <f ca="1">VLOOKUP($C117,OFFSET([2]quests!$A$1,0,0,COUNTA([2]quests!$A:$A),MATCH(E$1,[2]quests!$1:$1,0)-MATCH($C$1,[2]quests!$1:$1,0)+1),MATCH(E$1,[2]quests!$1:$1,0)-MATCH($C$1,[2]quests!$1:$1,0)+1,FALSE)</f>
        <v>木曜クエスト</v>
      </c>
      <c r="F117" s="118">
        <v>4</v>
      </c>
      <c r="G117" s="117" t="str">
        <f ca="1">VLOOKUP($C117&amp;"_"&amp;$F117,OFFSET([2]stages!$A$1,0,0,COUNTA([2]stages!$A:$A),MATCH(G$1,[2]stages!$2:$2,0)-MATCH("temp_stage",[2]stages!$2:$2,0)+1),MATCH(G$1,[2]stages!$2:$2,0)-MATCH("temp_stage",[2]stages!$2:$2,0)+1,FALSE)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7" s="117" t="str">
        <f ca="1">VLOOKUP($C117&amp;"_"&amp;$F117,OFFSET([2]stages!$A$1,0,0,COUNTA([2]stages!$A:$A),MATCH(H$1,[2]stages!$2:$2,0)-MATCH("temp_stage",[2]stages!$2:$2,0)+1),MATCH(H$1,[2]stages!$2:$2,0)-MATCH("temp_stage",[2]stages!$2:$2,0)+1,FALSE)</f>
        <v>木曜クエスト</v>
      </c>
      <c r="I117" s="119">
        <v>0</v>
      </c>
      <c r="J117" s="118">
        <f>COUNTIF(C$1:C117,C117)</f>
        <v>17</v>
      </c>
      <c r="K117" s="120">
        <v>21</v>
      </c>
      <c r="L117" s="118" t="s">
        <v>261</v>
      </c>
      <c r="M117" s="121" t="str">
        <f>VLOOKUP(K117,[6]stage_hints!$A:$C,3,FALSE)</f>
        <v>スキルを有効に</v>
      </c>
      <c r="N117" s="122" t="str">
        <f>VLOOKUP(K117,[6]stage_hints!$A:$D,4,FALSE)</f>
        <v>ターン経過でユニットのスキルが使えます_x000D_強力スキルでバトルを有利に進めましょう</v>
      </c>
      <c r="O117" s="36" t="s">
        <v>235</v>
      </c>
      <c r="P117">
        <v>21</v>
      </c>
    </row>
    <row r="118" spans="1:16" x14ac:dyDescent="0.15">
      <c r="A118" s="114" t="str">
        <f t="shared" si="1"/>
        <v>11004_4_18</v>
      </c>
      <c r="B118" s="115" t="s">
        <v>231</v>
      </c>
      <c r="C118" s="116">
        <v>11004</v>
      </c>
      <c r="D118" s="117" t="str">
        <f ca="1">VLOOKUP($C118,OFFSET([2]quests!$A$1,0,0,COUNTA([2]quests!$A:$A),MATCH(D$1,[2]quests!$1:$1,0)-MATCH($C$1,[2]quests!$1:$1,0)+1),MATCH(D$1,[2]quests!$1:$1,0)-MATCH($C$1,[2]quests!$1:$1,0)+1,FALSE)</f>
        <v>【木曜限定】 緑の素材</v>
      </c>
      <c r="E118" s="117" t="str">
        <f ca="1">VLOOKUP($C118,OFFSET([2]quests!$A$1,0,0,COUNTA([2]quests!$A:$A),MATCH(E$1,[2]quests!$1:$1,0)-MATCH($C$1,[2]quests!$1:$1,0)+1),MATCH(E$1,[2]quests!$1:$1,0)-MATCH($C$1,[2]quests!$1:$1,0)+1,FALSE)</f>
        <v>木曜クエスト</v>
      </c>
      <c r="F118" s="118">
        <v>4</v>
      </c>
      <c r="G118" s="117" t="str">
        <f ca="1">VLOOKUP($C118&amp;"_"&amp;$F118,OFFSET([2]stages!$A$1,0,0,COUNTA([2]stages!$A:$A),MATCH(G$1,[2]stages!$2:$2,0)-MATCH("temp_stage",[2]stages!$2:$2,0)+1),MATCH(G$1,[2]stages!$2:$2,0)-MATCH("temp_stage",[2]stages!$2:$2,0)+1,FALSE)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8" s="117" t="str">
        <f ca="1">VLOOKUP($C118&amp;"_"&amp;$F118,OFFSET([2]stages!$A$1,0,0,COUNTA([2]stages!$A:$A),MATCH(H$1,[2]stages!$2:$2,0)-MATCH("temp_stage",[2]stages!$2:$2,0)+1),MATCH(H$1,[2]stages!$2:$2,0)-MATCH("temp_stage",[2]stages!$2:$2,0)+1,FALSE)</f>
        <v>木曜クエスト</v>
      </c>
      <c r="I118" s="119">
        <v>0</v>
      </c>
      <c r="J118" s="118">
        <f>COUNTIF(C$1:C118,C118)</f>
        <v>18</v>
      </c>
      <c r="K118" s="120">
        <v>22</v>
      </c>
      <c r="L118" s="118" t="s">
        <v>234</v>
      </c>
      <c r="M118" s="121" t="str">
        <f>VLOOKUP(K118,[6]stage_hints!$A:$C,3,FALSE)</f>
        <v>フィーバーで一発逆転（その1）</v>
      </c>
      <c r="N118" s="122" t="str">
        <f>VLOOKUP(K118,[6]stage_hints!$A:$D,4,FALSE)</f>
        <v>フィーバーは攻撃と回復を兼ね備えます_x000D_ピンチからの一発逆転を狙いましょう</v>
      </c>
      <c r="O118" s="36" t="s">
        <v>235</v>
      </c>
      <c r="P118">
        <v>22</v>
      </c>
    </row>
    <row r="119" spans="1:16" x14ac:dyDescent="0.15">
      <c r="A119" s="114" t="str">
        <f t="shared" si="1"/>
        <v>11004_4_19</v>
      </c>
      <c r="B119" s="115" t="s">
        <v>231</v>
      </c>
      <c r="C119" s="116">
        <v>11004</v>
      </c>
      <c r="D119" s="117" t="str">
        <f ca="1">VLOOKUP($C119,OFFSET([2]quests!$A$1,0,0,COUNTA([2]quests!$A:$A),MATCH(D$1,[2]quests!$1:$1,0)-MATCH($C$1,[2]quests!$1:$1,0)+1),MATCH(D$1,[2]quests!$1:$1,0)-MATCH($C$1,[2]quests!$1:$1,0)+1,FALSE)</f>
        <v>【木曜限定】 緑の素材</v>
      </c>
      <c r="E119" s="117" t="str">
        <f ca="1">VLOOKUP($C119,OFFSET([2]quests!$A$1,0,0,COUNTA([2]quests!$A:$A),MATCH(E$1,[2]quests!$1:$1,0)-MATCH($C$1,[2]quests!$1:$1,0)+1),MATCH(E$1,[2]quests!$1:$1,0)-MATCH($C$1,[2]quests!$1:$1,0)+1,FALSE)</f>
        <v>木曜クエスト</v>
      </c>
      <c r="F119" s="118">
        <v>4</v>
      </c>
      <c r="G119" s="117" t="str">
        <f ca="1">VLOOKUP($C119&amp;"_"&amp;$F119,OFFSET([2]stages!$A$1,0,0,COUNTA([2]stages!$A:$A),MATCH(G$1,[2]stages!$2:$2,0)-MATCH("temp_stage",[2]stages!$2:$2,0)+1),MATCH(G$1,[2]stages!$2:$2,0)-MATCH("temp_stage",[2]stages!$2:$2,0)+1,FALSE)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19" s="117" t="str">
        <f ca="1">VLOOKUP($C119&amp;"_"&amp;$F119,OFFSET([2]stages!$A$1,0,0,COUNTA([2]stages!$A:$A),MATCH(H$1,[2]stages!$2:$2,0)-MATCH("temp_stage",[2]stages!$2:$2,0)+1),MATCH(H$1,[2]stages!$2:$2,0)-MATCH("temp_stage",[2]stages!$2:$2,0)+1,FALSE)</f>
        <v>木曜クエスト</v>
      </c>
      <c r="I119" s="119">
        <v>0</v>
      </c>
      <c r="J119" s="118">
        <f>COUNTIF(C$1:C119,C119)</f>
        <v>19</v>
      </c>
      <c r="K119" s="120">
        <v>23</v>
      </c>
      <c r="L119" s="118" t="s">
        <v>234</v>
      </c>
      <c r="M119" s="121" t="str">
        <f>VLOOKUP(K119,[6]stage_hints!$A:$C,3,FALSE)</f>
        <v>フィーバーで一発逆転（その2）</v>
      </c>
      <c r="N119" s="122" t="str">
        <f>VLOOKUP(K119,[6]stage_hints!$A:$D,4,FALSE)</f>
        <v>フィーバー中は虹色のボムパネルを狙って_x000D_画面上のパネルを一気に破壊しましょう</v>
      </c>
      <c r="O119" s="36" t="s">
        <v>235</v>
      </c>
      <c r="P119">
        <v>23</v>
      </c>
    </row>
    <row r="120" spans="1:16" x14ac:dyDescent="0.15">
      <c r="A120" s="114" t="str">
        <f t="shared" si="1"/>
        <v>11004_4_20</v>
      </c>
      <c r="B120" s="115" t="s">
        <v>231</v>
      </c>
      <c r="C120" s="116">
        <v>11004</v>
      </c>
      <c r="D120" s="117" t="str">
        <f ca="1">VLOOKUP($C120,OFFSET([2]quests!$A$1,0,0,COUNTA([2]quests!$A:$A),MATCH(D$1,[2]quests!$1:$1,0)-MATCH($C$1,[2]quests!$1:$1,0)+1),MATCH(D$1,[2]quests!$1:$1,0)-MATCH($C$1,[2]quests!$1:$1,0)+1,FALSE)</f>
        <v>【木曜限定】 緑の素材</v>
      </c>
      <c r="E120" s="117" t="str">
        <f ca="1">VLOOKUP($C120,OFFSET([2]quests!$A$1,0,0,COUNTA([2]quests!$A:$A),MATCH(E$1,[2]quests!$1:$1,0)-MATCH($C$1,[2]quests!$1:$1,0)+1),MATCH(E$1,[2]quests!$1:$1,0)-MATCH($C$1,[2]quests!$1:$1,0)+1,FALSE)</f>
        <v>木曜クエスト</v>
      </c>
      <c r="F120" s="118">
        <v>4</v>
      </c>
      <c r="G120" s="117" t="str">
        <f ca="1">VLOOKUP($C120&amp;"_"&amp;$F120,OFFSET([2]stages!$A$1,0,0,COUNTA([2]stages!$A:$A),MATCH(G$1,[2]stages!$2:$2,0)-MATCH("temp_stage",[2]stages!$2:$2,0)+1),MATCH(G$1,[2]stages!$2:$2,0)-MATCH("temp_stage",[2]stages!$2:$2,0)+1,FALSE)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0" s="117" t="str">
        <f ca="1">VLOOKUP($C120&amp;"_"&amp;$F120,OFFSET([2]stages!$A$1,0,0,COUNTA([2]stages!$A:$A),MATCH(H$1,[2]stages!$2:$2,0)-MATCH("temp_stage",[2]stages!$2:$2,0)+1),MATCH(H$1,[2]stages!$2:$2,0)-MATCH("temp_stage",[2]stages!$2:$2,0)+1,FALSE)</f>
        <v>木曜クエスト</v>
      </c>
      <c r="I120" s="119">
        <v>0</v>
      </c>
      <c r="J120" s="118">
        <f>COUNTIF(C$1:C120,C120)</f>
        <v>20</v>
      </c>
      <c r="K120" s="120">
        <v>24</v>
      </c>
      <c r="L120" s="118" t="s">
        <v>296</v>
      </c>
      <c r="M120" s="121" t="str">
        <f>VLOOKUP(K120,[6]stage_hints!$A:$C,3,FALSE)</f>
        <v>果実を使って限界突破</v>
      </c>
      <c r="N120" s="122" t="str">
        <f>VLOOKUP(K120,[6]stage_hints!$A:$D,4,FALSE)</f>
        <v>攻めの果実 癒しの果実_x000D_生命の果実をユニット強化に使うと_x000D_ステータスが限界突破します（計99個迄）</v>
      </c>
      <c r="O120" s="36" t="s">
        <v>235</v>
      </c>
      <c r="P120">
        <v>24</v>
      </c>
    </row>
    <row r="121" spans="1:16" x14ac:dyDescent="0.15">
      <c r="A121" s="114" t="str">
        <f t="shared" si="1"/>
        <v>11004_4_21</v>
      </c>
      <c r="B121" s="115" t="s">
        <v>231</v>
      </c>
      <c r="C121" s="116">
        <v>11004</v>
      </c>
      <c r="D121" s="117" t="str">
        <f ca="1">VLOOKUP($C121,OFFSET([2]quests!$A$1,0,0,COUNTA([2]quests!$A:$A),MATCH(D$1,[2]quests!$1:$1,0)-MATCH($C$1,[2]quests!$1:$1,0)+1),MATCH(D$1,[2]quests!$1:$1,0)-MATCH($C$1,[2]quests!$1:$1,0)+1,FALSE)</f>
        <v>【木曜限定】 緑の素材</v>
      </c>
      <c r="E121" s="117" t="str">
        <f ca="1">VLOOKUP($C121,OFFSET([2]quests!$A$1,0,0,COUNTA([2]quests!$A:$A),MATCH(E$1,[2]quests!$1:$1,0)-MATCH($C$1,[2]quests!$1:$1,0)+1),MATCH(E$1,[2]quests!$1:$1,0)-MATCH($C$1,[2]quests!$1:$1,0)+1,FALSE)</f>
        <v>木曜クエスト</v>
      </c>
      <c r="F121" s="118">
        <v>4</v>
      </c>
      <c r="G121" s="117" t="str">
        <f ca="1">VLOOKUP($C121&amp;"_"&amp;$F121,OFFSET([2]stages!$A$1,0,0,COUNTA([2]stages!$A:$A),MATCH(G$1,[2]stages!$2:$2,0)-MATCH("temp_stage",[2]stages!$2:$2,0)+1),MATCH(G$1,[2]stages!$2:$2,0)-MATCH("temp_stage",[2]stages!$2:$2,0)+1,FALSE)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1" s="117" t="str">
        <f ca="1">VLOOKUP($C121&amp;"_"&amp;$F121,OFFSET([2]stages!$A$1,0,0,COUNTA([2]stages!$A:$A),MATCH(H$1,[2]stages!$2:$2,0)-MATCH("temp_stage",[2]stages!$2:$2,0)+1),MATCH(H$1,[2]stages!$2:$2,0)-MATCH("temp_stage",[2]stages!$2:$2,0)+1,FALSE)</f>
        <v>木曜クエスト</v>
      </c>
      <c r="I121" s="119">
        <v>0</v>
      </c>
      <c r="J121" s="118">
        <f>COUNTIF(C$1:C121,C121)</f>
        <v>21</v>
      </c>
      <c r="K121" s="120">
        <v>25</v>
      </c>
      <c r="L121" s="118" t="s">
        <v>234</v>
      </c>
      <c r="M121" s="121" t="str">
        <f>VLOOKUP(K121,[6]stage_hints!$A:$C,3,FALSE)</f>
        <v>スキルレベルアップ</v>
      </c>
      <c r="N121" s="122" t="str">
        <f>VLOOKUP(K121,[6]stage_hints!$A:$D,4,FALSE)</f>
        <v>「秘術の果実」を強化に使うと_x000D_スキルレベルを上げることができます</v>
      </c>
      <c r="O121" s="36" t="s">
        <v>235</v>
      </c>
      <c r="P121">
        <v>25</v>
      </c>
    </row>
    <row r="122" spans="1:16" x14ac:dyDescent="0.15">
      <c r="A122" s="114" t="str">
        <f t="shared" si="1"/>
        <v>11004_4_22</v>
      </c>
      <c r="B122" s="115" t="s">
        <v>231</v>
      </c>
      <c r="C122" s="116">
        <v>11004</v>
      </c>
      <c r="D122" s="117" t="str">
        <f ca="1">VLOOKUP($C122,OFFSET([2]quests!$A$1,0,0,COUNTA([2]quests!$A:$A),MATCH(D$1,[2]quests!$1:$1,0)-MATCH($C$1,[2]quests!$1:$1,0)+1),MATCH(D$1,[2]quests!$1:$1,0)-MATCH($C$1,[2]quests!$1:$1,0)+1,FALSE)</f>
        <v>【木曜限定】 緑の素材</v>
      </c>
      <c r="E122" s="117" t="str">
        <f ca="1">VLOOKUP($C122,OFFSET([2]quests!$A$1,0,0,COUNTA([2]quests!$A:$A),MATCH(E$1,[2]quests!$1:$1,0)-MATCH($C$1,[2]quests!$1:$1,0)+1),MATCH(E$1,[2]quests!$1:$1,0)-MATCH($C$1,[2]quests!$1:$1,0)+1,FALSE)</f>
        <v>木曜クエスト</v>
      </c>
      <c r="F122" s="118">
        <v>4</v>
      </c>
      <c r="G122" s="117" t="str">
        <f ca="1">VLOOKUP($C122&amp;"_"&amp;$F122,OFFSET([2]stages!$A$1,0,0,COUNTA([2]stages!$A:$A),MATCH(G$1,[2]stages!$2:$2,0)-MATCH("temp_stage",[2]stages!$2:$2,0)+1),MATCH(G$1,[2]stages!$2:$2,0)-MATCH("temp_stage",[2]stages!$2:$2,0)+1,FALSE)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2" s="117" t="str">
        <f ca="1">VLOOKUP($C122&amp;"_"&amp;$F122,OFFSET([2]stages!$A$1,0,0,COUNTA([2]stages!$A:$A),MATCH(H$1,[2]stages!$2:$2,0)-MATCH("temp_stage",[2]stages!$2:$2,0)+1),MATCH(H$1,[2]stages!$2:$2,0)-MATCH("temp_stage",[2]stages!$2:$2,0)+1,FALSE)</f>
        <v>木曜クエスト</v>
      </c>
      <c r="I122" s="119">
        <v>0</v>
      </c>
      <c r="J122" s="118">
        <f>COUNTIF(C$1:C122,C122)</f>
        <v>22</v>
      </c>
      <c r="K122" s="120">
        <v>26</v>
      </c>
      <c r="L122" s="118" t="s">
        <v>297</v>
      </c>
      <c r="M122" s="121" t="str">
        <f>VLOOKUP(K122,[6]stage_hints!$A:$C,3,FALSE)</f>
        <v>スキルレベルの効果</v>
      </c>
      <c r="N122" s="122" t="str">
        <f>VLOOKUP(K122,[6]stage_hints!$A:$D,4,FALSE)</f>
        <v>スキルレベルが上がると_x000D_短いターンでスキルを使うことができます</v>
      </c>
      <c r="O122" s="36" t="s">
        <v>235</v>
      </c>
      <c r="P122">
        <v>26</v>
      </c>
    </row>
    <row r="123" spans="1:16" x14ac:dyDescent="0.15">
      <c r="A123" s="114" t="str">
        <f t="shared" si="1"/>
        <v>11004_4_23</v>
      </c>
      <c r="B123" s="115" t="s">
        <v>231</v>
      </c>
      <c r="C123" s="116">
        <v>11004</v>
      </c>
      <c r="D123" s="117" t="str">
        <f ca="1">VLOOKUP($C123,OFFSET([2]quests!$A$1,0,0,COUNTA([2]quests!$A:$A),MATCH(D$1,[2]quests!$1:$1,0)-MATCH($C$1,[2]quests!$1:$1,0)+1),MATCH(D$1,[2]quests!$1:$1,0)-MATCH($C$1,[2]quests!$1:$1,0)+1,FALSE)</f>
        <v>【木曜限定】 緑の素材</v>
      </c>
      <c r="E123" s="117" t="str">
        <f ca="1">VLOOKUP($C123,OFFSET([2]quests!$A$1,0,0,COUNTA([2]quests!$A:$A),MATCH(E$1,[2]quests!$1:$1,0)-MATCH($C$1,[2]quests!$1:$1,0)+1),MATCH(E$1,[2]quests!$1:$1,0)-MATCH($C$1,[2]quests!$1:$1,0)+1,FALSE)</f>
        <v>木曜クエスト</v>
      </c>
      <c r="F123" s="118">
        <v>4</v>
      </c>
      <c r="G123" s="117" t="str">
        <f ca="1">VLOOKUP($C123&amp;"_"&amp;$F123,OFFSET([2]stages!$A$1,0,0,COUNTA([2]stages!$A:$A),MATCH(G$1,[2]stages!$2:$2,0)-MATCH("temp_stage",[2]stages!$2:$2,0)+1),MATCH(G$1,[2]stages!$2:$2,0)-MATCH("temp_stage",[2]stages!$2:$2,0)+1,FALSE)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3" s="117" t="str">
        <f ca="1">VLOOKUP($C123&amp;"_"&amp;$F123,OFFSET([2]stages!$A$1,0,0,COUNTA([2]stages!$A:$A),MATCH(H$1,[2]stages!$2:$2,0)-MATCH("temp_stage",[2]stages!$2:$2,0)+1),MATCH(H$1,[2]stages!$2:$2,0)-MATCH("temp_stage",[2]stages!$2:$2,0)+1,FALSE)</f>
        <v>木曜クエスト</v>
      </c>
      <c r="I123" s="119">
        <v>0</v>
      </c>
      <c r="J123" s="118">
        <f>COUNTIF(C$1:C123,C123)</f>
        <v>23</v>
      </c>
      <c r="K123" s="120">
        <v>27</v>
      </c>
      <c r="L123" s="118" t="s">
        <v>234</v>
      </c>
      <c r="M123" s="121" t="str">
        <f>VLOOKUP(K123,[6]stage_hints!$A:$C,3,FALSE)</f>
        <v>ホーム画面からデッキを編成</v>
      </c>
      <c r="N123" s="122" t="str">
        <f>VLOOKUP(K123,[6]stage_hints!$A:$D,4,FALSE)</f>
        <v>ホーム画面でユニットを長押しすると_x000D_すぐにパーティ編成に移動できます</v>
      </c>
      <c r="O123" s="36" t="s">
        <v>235</v>
      </c>
      <c r="P123">
        <v>27</v>
      </c>
    </row>
    <row r="124" spans="1:16" x14ac:dyDescent="0.15">
      <c r="A124" s="114" t="str">
        <f t="shared" si="1"/>
        <v>11004_4_24</v>
      </c>
      <c r="B124" s="115" t="s">
        <v>231</v>
      </c>
      <c r="C124" s="116">
        <v>11004</v>
      </c>
      <c r="D124" s="117" t="str">
        <f ca="1">VLOOKUP($C124,OFFSET([2]quests!$A$1,0,0,COUNTA([2]quests!$A:$A),MATCH(D$1,[2]quests!$1:$1,0)-MATCH($C$1,[2]quests!$1:$1,0)+1),MATCH(D$1,[2]quests!$1:$1,0)-MATCH($C$1,[2]quests!$1:$1,0)+1,FALSE)</f>
        <v>【木曜限定】 緑の素材</v>
      </c>
      <c r="E124" s="117" t="str">
        <f ca="1">VLOOKUP($C124,OFFSET([2]quests!$A$1,0,0,COUNTA([2]quests!$A:$A),MATCH(E$1,[2]quests!$1:$1,0)-MATCH($C$1,[2]quests!$1:$1,0)+1),MATCH(E$1,[2]quests!$1:$1,0)-MATCH($C$1,[2]quests!$1:$1,0)+1,FALSE)</f>
        <v>木曜クエスト</v>
      </c>
      <c r="F124" s="118">
        <v>4</v>
      </c>
      <c r="G124" s="117" t="str">
        <f ca="1">VLOOKUP($C124&amp;"_"&amp;$F124,OFFSET([2]stages!$A$1,0,0,COUNTA([2]stages!$A:$A),MATCH(G$1,[2]stages!$2:$2,0)-MATCH("temp_stage",[2]stages!$2:$2,0)+1),MATCH(G$1,[2]stages!$2:$2,0)-MATCH("temp_stage",[2]stages!$2:$2,0)+1,FALSE)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4" s="117" t="str">
        <f ca="1">VLOOKUP($C124&amp;"_"&amp;$F124,OFFSET([2]stages!$A$1,0,0,COUNTA([2]stages!$A:$A),MATCH(H$1,[2]stages!$2:$2,0)-MATCH("temp_stage",[2]stages!$2:$2,0)+1),MATCH(H$1,[2]stages!$2:$2,0)-MATCH("temp_stage",[2]stages!$2:$2,0)+1,FALSE)</f>
        <v>木曜クエスト</v>
      </c>
      <c r="I124" s="119">
        <v>0</v>
      </c>
      <c r="J124" s="118">
        <f>COUNTIF(C$1:C124,C124)</f>
        <v>24</v>
      </c>
      <c r="K124" s="120">
        <v>28</v>
      </c>
      <c r="L124" s="118" t="s">
        <v>298</v>
      </c>
      <c r="M124" s="121" t="str">
        <f>VLOOKUP(K124,[6]stage_hints!$A:$C,3,FALSE)</f>
        <v>ステータス情報は長押しで</v>
      </c>
      <c r="N124" s="122" t="str">
        <f>VLOOKUP(K124,[6]stage_hints!$A:$D,4,FALSE)</f>
        <v>ユニットのアイコンを長押しすると_x000D_ステータス情報を確認することができます</v>
      </c>
      <c r="O124" s="36" t="s">
        <v>299</v>
      </c>
      <c r="P124">
        <v>28</v>
      </c>
    </row>
    <row r="125" spans="1:16" x14ac:dyDescent="0.15">
      <c r="A125" s="114" t="str">
        <f t="shared" si="1"/>
        <v>11004_4_25</v>
      </c>
      <c r="B125" s="115" t="s">
        <v>231</v>
      </c>
      <c r="C125" s="116">
        <v>11004</v>
      </c>
      <c r="D125" s="117" t="str">
        <f ca="1">VLOOKUP($C125,OFFSET([2]quests!$A$1,0,0,COUNTA([2]quests!$A:$A),MATCH(D$1,[2]quests!$1:$1,0)-MATCH($C$1,[2]quests!$1:$1,0)+1),MATCH(D$1,[2]quests!$1:$1,0)-MATCH($C$1,[2]quests!$1:$1,0)+1,FALSE)</f>
        <v>【木曜限定】 緑の素材</v>
      </c>
      <c r="E125" s="117" t="str">
        <f ca="1">VLOOKUP($C125,OFFSET([2]quests!$A$1,0,0,COUNTA([2]quests!$A:$A),MATCH(E$1,[2]quests!$1:$1,0)-MATCH($C$1,[2]quests!$1:$1,0)+1),MATCH(E$1,[2]quests!$1:$1,0)-MATCH($C$1,[2]quests!$1:$1,0)+1,FALSE)</f>
        <v>木曜クエスト</v>
      </c>
      <c r="F125" s="118">
        <v>4</v>
      </c>
      <c r="G125" s="117" t="str">
        <f ca="1">VLOOKUP($C125&amp;"_"&amp;$F125,OFFSET([2]stages!$A$1,0,0,COUNTA([2]stages!$A:$A),MATCH(G$1,[2]stages!$2:$2,0)-MATCH("temp_stage",[2]stages!$2:$2,0)+1),MATCH(G$1,[2]stages!$2:$2,0)-MATCH("temp_stage",[2]stages!$2:$2,0)+1,FALSE)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5" s="117" t="str">
        <f ca="1">VLOOKUP($C125&amp;"_"&amp;$F125,OFFSET([2]stages!$A$1,0,0,COUNTA([2]stages!$A:$A),MATCH(H$1,[2]stages!$2:$2,0)-MATCH("temp_stage",[2]stages!$2:$2,0)+1),MATCH(H$1,[2]stages!$2:$2,0)-MATCH("temp_stage",[2]stages!$2:$2,0)+1,FALSE)</f>
        <v>木曜クエスト</v>
      </c>
      <c r="I125" s="119">
        <v>0</v>
      </c>
      <c r="J125" s="118">
        <f>COUNTIF(C$1:C125,C125)</f>
        <v>25</v>
      </c>
      <c r="K125" s="120">
        <v>29</v>
      </c>
      <c r="L125" s="118" t="s">
        <v>234</v>
      </c>
      <c r="M125" s="121" t="str">
        <f>VLOOKUP(K125,[6]stage_hints!$A:$C,3,FALSE)</f>
        <v>「バグ」のメリット</v>
      </c>
      <c r="N125" s="122" t="str">
        <f>VLOOKUP(K125,[6]stage_hints!$A:$D,4,FALSE)</f>
        <v>ユニットの「バグ」を増やすと_x000D_報酬をもらえる確率がアップします</v>
      </c>
      <c r="O125" s="36" t="s">
        <v>300</v>
      </c>
      <c r="P125">
        <v>29</v>
      </c>
    </row>
    <row r="126" spans="1:16" x14ac:dyDescent="0.15">
      <c r="A126" s="114" t="str">
        <f t="shared" si="1"/>
        <v>11004_4_26</v>
      </c>
      <c r="B126" s="115" t="s">
        <v>231</v>
      </c>
      <c r="C126" s="116">
        <v>11004</v>
      </c>
      <c r="D126" s="117" t="str">
        <f ca="1">VLOOKUP($C126,OFFSET([2]quests!$A$1,0,0,COUNTA([2]quests!$A:$A),MATCH(D$1,[2]quests!$1:$1,0)-MATCH($C$1,[2]quests!$1:$1,0)+1),MATCH(D$1,[2]quests!$1:$1,0)-MATCH($C$1,[2]quests!$1:$1,0)+1,FALSE)</f>
        <v>【木曜限定】 緑の素材</v>
      </c>
      <c r="E126" s="117" t="str">
        <f ca="1">VLOOKUP($C126,OFFSET([2]quests!$A$1,0,0,COUNTA([2]quests!$A:$A),MATCH(E$1,[2]quests!$1:$1,0)-MATCH($C$1,[2]quests!$1:$1,0)+1),MATCH(E$1,[2]quests!$1:$1,0)-MATCH($C$1,[2]quests!$1:$1,0)+1,FALSE)</f>
        <v>木曜クエスト</v>
      </c>
      <c r="F126" s="118">
        <v>4</v>
      </c>
      <c r="G126" s="117" t="str">
        <f ca="1">VLOOKUP($C126&amp;"_"&amp;$F126,OFFSET([2]stages!$A$1,0,0,COUNTA([2]stages!$A:$A),MATCH(G$1,[2]stages!$2:$2,0)-MATCH("temp_stage",[2]stages!$2:$2,0)+1),MATCH(G$1,[2]stages!$2:$2,0)-MATCH("temp_stage",[2]stages!$2:$2,0)+1,FALSE)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6" s="117" t="str">
        <f ca="1">VLOOKUP($C126&amp;"_"&amp;$F126,OFFSET([2]stages!$A$1,0,0,COUNTA([2]stages!$A:$A),MATCH(H$1,[2]stages!$2:$2,0)-MATCH("temp_stage",[2]stages!$2:$2,0)+1),MATCH(H$1,[2]stages!$2:$2,0)-MATCH("temp_stage",[2]stages!$2:$2,0)+1,FALSE)</f>
        <v>木曜クエスト</v>
      </c>
      <c r="I126" s="119">
        <v>0</v>
      </c>
      <c r="J126" s="118">
        <f>COUNTIF(C$1:C126,C126)</f>
        <v>26</v>
      </c>
      <c r="K126" s="120">
        <v>30</v>
      </c>
      <c r="L126" s="118" t="s">
        <v>234</v>
      </c>
      <c r="M126" s="121" t="str">
        <f>VLOOKUP(K126,[6]stage_hints!$A:$C,3,FALSE)</f>
        <v>「バグ」の増やし方</v>
      </c>
      <c r="N126" s="122" t="str">
        <f>VLOOKUP(K126,[6]stage_hints!$A:$D,4,FALSE)</f>
        <v>同じユニット同士を強化で合成すると_x000D_「バグ」を増やすことができます</v>
      </c>
      <c r="O126" s="36" t="s">
        <v>235</v>
      </c>
      <c r="P126">
        <v>30</v>
      </c>
    </row>
    <row r="127" spans="1:16" x14ac:dyDescent="0.15">
      <c r="A127" s="114" t="str">
        <f t="shared" si="1"/>
        <v>11004_4_27</v>
      </c>
      <c r="B127" s="115" t="s">
        <v>231</v>
      </c>
      <c r="C127" s="116">
        <v>11004</v>
      </c>
      <c r="D127" s="117" t="str">
        <f ca="1">VLOOKUP($C127,OFFSET([2]quests!$A$1,0,0,COUNTA([2]quests!$A:$A),MATCH(D$1,[2]quests!$1:$1,0)-MATCH($C$1,[2]quests!$1:$1,0)+1),MATCH(D$1,[2]quests!$1:$1,0)-MATCH($C$1,[2]quests!$1:$1,0)+1,FALSE)</f>
        <v>【木曜限定】 緑の素材</v>
      </c>
      <c r="E127" s="117" t="str">
        <f ca="1">VLOOKUP($C127,OFFSET([2]quests!$A$1,0,0,COUNTA([2]quests!$A:$A),MATCH(E$1,[2]quests!$1:$1,0)-MATCH($C$1,[2]quests!$1:$1,0)+1),MATCH(E$1,[2]quests!$1:$1,0)-MATCH($C$1,[2]quests!$1:$1,0)+1,FALSE)</f>
        <v>木曜クエスト</v>
      </c>
      <c r="F127" s="118">
        <v>4</v>
      </c>
      <c r="G127" s="117" t="str">
        <f ca="1">VLOOKUP($C127&amp;"_"&amp;$F127,OFFSET([2]stages!$A$1,0,0,COUNTA([2]stages!$A:$A),MATCH(G$1,[2]stages!$2:$2,0)-MATCH("temp_stage",[2]stages!$2:$2,0)+1),MATCH(G$1,[2]stages!$2:$2,0)-MATCH("temp_stage",[2]stages!$2:$2,0)+1,FALSE)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7" s="117" t="str">
        <f ca="1">VLOOKUP($C127&amp;"_"&amp;$F127,OFFSET([2]stages!$A$1,0,0,COUNTA([2]stages!$A:$A),MATCH(H$1,[2]stages!$2:$2,0)-MATCH("temp_stage",[2]stages!$2:$2,0)+1),MATCH(H$1,[2]stages!$2:$2,0)-MATCH("temp_stage",[2]stages!$2:$2,0)+1,FALSE)</f>
        <v>木曜クエスト</v>
      </c>
      <c r="I127" s="119">
        <v>0</v>
      </c>
      <c r="J127" s="118">
        <f>COUNTIF(C$1:C127,C127)</f>
        <v>27</v>
      </c>
      <c r="K127" s="120">
        <v>31</v>
      </c>
      <c r="L127" s="118" t="s">
        <v>301</v>
      </c>
      <c r="M127" s="121" t="str">
        <f>VLOOKUP(K127,[6]stage_hints!$A:$C,3,FALSE)</f>
        <v>イベントはお知らせでチェック</v>
      </c>
      <c r="N127" s="122" t="str">
        <f>VLOOKUP(K127,[6]stage_hints!$A:$D,4,FALSE)</f>
        <v>イベント限定ユニットを取り忘れないように_x000D_お知らせをこまめにチェックしましょう</v>
      </c>
      <c r="O127" s="36" t="s">
        <v>235</v>
      </c>
      <c r="P127">
        <v>31</v>
      </c>
    </row>
    <row r="128" spans="1:16" x14ac:dyDescent="0.15">
      <c r="A128" s="114" t="str">
        <f t="shared" si="1"/>
        <v>11004_4_28</v>
      </c>
      <c r="B128" s="115" t="s">
        <v>231</v>
      </c>
      <c r="C128" s="116">
        <v>11004</v>
      </c>
      <c r="D128" s="117" t="str">
        <f ca="1">VLOOKUP($C128,OFFSET([2]quests!$A$1,0,0,COUNTA([2]quests!$A:$A),MATCH(D$1,[2]quests!$1:$1,0)-MATCH($C$1,[2]quests!$1:$1,0)+1),MATCH(D$1,[2]quests!$1:$1,0)-MATCH($C$1,[2]quests!$1:$1,0)+1,FALSE)</f>
        <v>【木曜限定】 緑の素材</v>
      </c>
      <c r="E128" s="117" t="str">
        <f ca="1">VLOOKUP($C128,OFFSET([2]quests!$A$1,0,0,COUNTA([2]quests!$A:$A),MATCH(E$1,[2]quests!$1:$1,0)-MATCH($C$1,[2]quests!$1:$1,0)+1),MATCH(E$1,[2]quests!$1:$1,0)-MATCH($C$1,[2]quests!$1:$1,0)+1,FALSE)</f>
        <v>木曜クエスト</v>
      </c>
      <c r="F128" s="118">
        <v>4</v>
      </c>
      <c r="G128" s="117" t="str">
        <f ca="1">VLOOKUP($C128&amp;"_"&amp;$F128,OFFSET([2]stages!$A$1,0,0,COUNTA([2]stages!$A:$A),MATCH(G$1,[2]stages!$2:$2,0)-MATCH("temp_stage",[2]stages!$2:$2,0)+1),MATCH(G$1,[2]stages!$2:$2,0)-MATCH("temp_stage",[2]stages!$2:$2,0)+1,FALSE)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8" s="117" t="str">
        <f ca="1">VLOOKUP($C128&amp;"_"&amp;$F128,OFFSET([2]stages!$A$1,0,0,COUNTA([2]stages!$A:$A),MATCH(H$1,[2]stages!$2:$2,0)-MATCH("temp_stage",[2]stages!$2:$2,0)+1),MATCH(H$1,[2]stages!$2:$2,0)-MATCH("temp_stage",[2]stages!$2:$2,0)+1,FALSE)</f>
        <v>木曜クエスト</v>
      </c>
      <c r="I128" s="119">
        <v>0</v>
      </c>
      <c r="J128" s="118">
        <f>COUNTIF(C$1:C128,C128)</f>
        <v>28</v>
      </c>
      <c r="K128" s="120">
        <v>32</v>
      </c>
      <c r="L128" s="118" t="s">
        <v>234</v>
      </c>
      <c r="M128" s="121" t="str">
        <f>VLOOKUP(K128,[6]stage_hints!$A:$C,3,FALSE)</f>
        <v>敵の連続攻撃には</v>
      </c>
      <c r="N128" s="122" t="str">
        <f>VLOOKUP(K128,[6]stage_hints!$A:$D,4,FALSE)</f>
        <v>カウンタースキルを持つユニットがいれば_x000D_ダメージ回数分の反撃ができます</v>
      </c>
      <c r="O128" s="36" t="s">
        <v>302</v>
      </c>
      <c r="P128">
        <v>32</v>
      </c>
    </row>
    <row r="129" spans="1:16" x14ac:dyDescent="0.15">
      <c r="A129" s="114" t="str">
        <f t="shared" si="1"/>
        <v>11004_4_29</v>
      </c>
      <c r="B129" s="115" t="s">
        <v>231</v>
      </c>
      <c r="C129" s="116">
        <v>11004</v>
      </c>
      <c r="D129" s="117" t="str">
        <f ca="1">VLOOKUP($C129,OFFSET([2]quests!$A$1,0,0,COUNTA([2]quests!$A:$A),MATCH(D$1,[2]quests!$1:$1,0)-MATCH($C$1,[2]quests!$1:$1,0)+1),MATCH(D$1,[2]quests!$1:$1,0)-MATCH($C$1,[2]quests!$1:$1,0)+1,FALSE)</f>
        <v>【木曜限定】 緑の素材</v>
      </c>
      <c r="E129" s="117" t="str">
        <f ca="1">VLOOKUP($C129,OFFSET([2]quests!$A$1,0,0,COUNTA([2]quests!$A:$A),MATCH(E$1,[2]quests!$1:$1,0)-MATCH($C$1,[2]quests!$1:$1,0)+1),MATCH(E$1,[2]quests!$1:$1,0)-MATCH($C$1,[2]quests!$1:$1,0)+1,FALSE)</f>
        <v>木曜クエスト</v>
      </c>
      <c r="F129" s="118">
        <v>4</v>
      </c>
      <c r="G129" s="117" t="str">
        <f ca="1">VLOOKUP($C129&amp;"_"&amp;$F129,OFFSET([2]stages!$A$1,0,0,COUNTA([2]stages!$A:$A),MATCH(G$1,[2]stages!$2:$2,0)-MATCH("temp_stage",[2]stages!$2:$2,0)+1),MATCH(G$1,[2]stages!$2:$2,0)-MATCH("temp_stage",[2]stages!$2:$2,0)+1,FALSE)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29" s="117" t="str">
        <f ca="1">VLOOKUP($C129&amp;"_"&amp;$F129,OFFSET([2]stages!$A$1,0,0,COUNTA([2]stages!$A:$A),MATCH(H$1,[2]stages!$2:$2,0)-MATCH("temp_stage",[2]stages!$2:$2,0)+1),MATCH(H$1,[2]stages!$2:$2,0)-MATCH("temp_stage",[2]stages!$2:$2,0)+1,FALSE)</f>
        <v>木曜クエスト</v>
      </c>
      <c r="I129" s="119">
        <v>0</v>
      </c>
      <c r="J129" s="118">
        <f>COUNTIF(C$1:C129,C129)</f>
        <v>29</v>
      </c>
      <c r="K129" s="120">
        <v>33</v>
      </c>
      <c r="L129" s="118" t="s">
        <v>303</v>
      </c>
      <c r="M129" s="121" t="str">
        <f>VLOOKUP(K129,[6]stage_hints!$A:$C,3,FALSE)</f>
        <v>敵のカウンター攻撃には</v>
      </c>
      <c r="N129" s="122" t="str">
        <f>VLOOKUP(K129,[6]stage_hints!$A:$D,4,FALSE)</f>
        <v>カウンターブレイクスキルを持っていれば_x000D_敵のカウンターを解除して攻撃ができます</v>
      </c>
      <c r="O129" s="36" t="s">
        <v>235</v>
      </c>
      <c r="P129">
        <v>33</v>
      </c>
    </row>
    <row r="130" spans="1:16" x14ac:dyDescent="0.15">
      <c r="A130" s="114" t="str">
        <f t="shared" ref="A130:A259" si="2">C130&amp;"_"&amp;F130&amp;"_"&amp;J130</f>
        <v>11004_4_30</v>
      </c>
      <c r="B130" s="115" t="s">
        <v>231</v>
      </c>
      <c r="C130" s="116">
        <v>11004</v>
      </c>
      <c r="D130" s="117" t="str">
        <f ca="1">VLOOKUP($C130,OFFSET([2]quests!$A$1,0,0,COUNTA([2]quests!$A:$A),MATCH(D$1,[2]quests!$1:$1,0)-MATCH($C$1,[2]quests!$1:$1,0)+1),MATCH(D$1,[2]quests!$1:$1,0)-MATCH($C$1,[2]quests!$1:$1,0)+1,FALSE)</f>
        <v>【木曜限定】 緑の素材</v>
      </c>
      <c r="E130" s="117" t="str">
        <f ca="1">VLOOKUP($C130,OFFSET([2]quests!$A$1,0,0,COUNTA([2]quests!$A:$A),MATCH(E$1,[2]quests!$1:$1,0)-MATCH($C$1,[2]quests!$1:$1,0)+1),MATCH(E$1,[2]quests!$1:$1,0)-MATCH($C$1,[2]quests!$1:$1,0)+1,FALSE)</f>
        <v>木曜クエスト</v>
      </c>
      <c r="F130" s="118">
        <v>4</v>
      </c>
      <c r="G130" s="117" t="str">
        <f ca="1">VLOOKUP($C130&amp;"_"&amp;$F130,OFFSET([2]stages!$A$1,0,0,COUNTA([2]stages!$A:$A),MATCH(G$1,[2]stages!$2:$2,0)-MATCH("temp_stage",[2]stages!$2:$2,0)+1),MATCH(G$1,[2]stages!$2:$2,0)-MATCH("temp_stage",[2]stages!$2:$2,0)+1,FALSE)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30" s="117" t="str">
        <f ca="1">VLOOKUP($C130&amp;"_"&amp;$F130,OFFSET([2]stages!$A$1,0,0,COUNTA([2]stages!$A:$A),MATCH(H$1,[2]stages!$2:$2,0)-MATCH("temp_stage",[2]stages!$2:$2,0)+1),MATCH(H$1,[2]stages!$2:$2,0)-MATCH("temp_stage",[2]stages!$2:$2,0)+1,FALSE)</f>
        <v>木曜クエスト</v>
      </c>
      <c r="I130" s="119">
        <v>0</v>
      </c>
      <c r="J130" s="118">
        <f>COUNTIF(C$1:C130,C130)</f>
        <v>30</v>
      </c>
      <c r="K130" s="120">
        <v>34</v>
      </c>
      <c r="L130" s="118" t="s">
        <v>304</v>
      </c>
      <c r="M130" s="121" t="str">
        <f>VLOOKUP(K130,[6]stage_hints!$A:$C,3,FALSE)</f>
        <v>ステータスをスキルで下げられたら</v>
      </c>
      <c r="N130" s="122" t="str">
        <f>VLOOKUP(K130,[6]stage_hints!$A:$D,4,FALSE)</f>
        <v>ステータスダウンのスキルを受けたら_x000D_ステータスアップスキルで上書きしましょう</v>
      </c>
      <c r="O130" s="36" t="s">
        <v>305</v>
      </c>
      <c r="P130">
        <v>34</v>
      </c>
    </row>
    <row r="131" spans="1:16" x14ac:dyDescent="0.15">
      <c r="A131" s="114" t="str">
        <f t="shared" si="2"/>
        <v>11004_4_31</v>
      </c>
      <c r="B131" s="115" t="s">
        <v>231</v>
      </c>
      <c r="C131" s="116">
        <v>11004</v>
      </c>
      <c r="D131" s="117" t="str">
        <f ca="1">VLOOKUP($C131,OFFSET([2]quests!$A$1,0,0,COUNTA([2]quests!$A:$A),MATCH(D$1,[2]quests!$1:$1,0)-MATCH($C$1,[2]quests!$1:$1,0)+1),MATCH(D$1,[2]quests!$1:$1,0)-MATCH($C$1,[2]quests!$1:$1,0)+1,FALSE)</f>
        <v>【木曜限定】 緑の素材</v>
      </c>
      <c r="E131" s="117" t="str">
        <f ca="1">VLOOKUP($C131,OFFSET([2]quests!$A$1,0,0,COUNTA([2]quests!$A:$A),MATCH(E$1,[2]quests!$1:$1,0)-MATCH($C$1,[2]quests!$1:$1,0)+1),MATCH(E$1,[2]quests!$1:$1,0)-MATCH($C$1,[2]quests!$1:$1,0)+1,FALSE)</f>
        <v>木曜クエスト</v>
      </c>
      <c r="F131" s="118">
        <v>4</v>
      </c>
      <c r="G131" s="117" t="str">
        <f ca="1">VLOOKUP($C131&amp;"_"&amp;$F131,OFFSET([2]stages!$A$1,0,0,COUNTA([2]stages!$A:$A),MATCH(G$1,[2]stages!$2:$2,0)-MATCH("temp_stage",[2]stages!$2:$2,0)+1),MATCH(G$1,[2]stages!$2:$2,0)-MATCH("temp_stage",[2]stages!$2:$2,0)+1,FALSE)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31" s="117" t="str">
        <f ca="1">VLOOKUP($C131&amp;"_"&amp;$F131,OFFSET([2]stages!$A$1,0,0,COUNTA([2]stages!$A:$A),MATCH(H$1,[2]stages!$2:$2,0)-MATCH("temp_stage",[2]stages!$2:$2,0)+1),MATCH(H$1,[2]stages!$2:$2,0)-MATCH("temp_stage",[2]stages!$2:$2,0)+1,FALSE)</f>
        <v>木曜クエスト</v>
      </c>
      <c r="I131" s="119">
        <v>0</v>
      </c>
      <c r="J131" s="118">
        <f>COUNTIF(C$1:C131,C131)</f>
        <v>31</v>
      </c>
      <c r="K131" s="120">
        <v>35</v>
      </c>
      <c r="L131" s="118" t="s">
        <v>234</v>
      </c>
      <c r="M131" s="121" t="str">
        <f>VLOOKUP(K131,[6]stage_hints!$A:$C,3,FALSE)</f>
        <v>敵のステータスがスキルで上がったら</v>
      </c>
      <c r="N131" s="122" t="str">
        <f>VLOOKUP(K131,[6]stage_hints!$A:$D,4,FALSE)</f>
        <v>敵のステータスがスキルでアップしたときは_x000D_ステータスダウンスキルで上書きしましょう</v>
      </c>
      <c r="O131" s="36" t="s">
        <v>235</v>
      </c>
      <c r="P131">
        <v>35</v>
      </c>
    </row>
    <row r="132" spans="1:16" x14ac:dyDescent="0.15">
      <c r="A132" s="114" t="str">
        <f t="shared" si="2"/>
        <v>11004_4_32</v>
      </c>
      <c r="B132" s="115" t="s">
        <v>231</v>
      </c>
      <c r="C132" s="116">
        <v>11004</v>
      </c>
      <c r="D132" s="117" t="str">
        <f ca="1">VLOOKUP($C132,OFFSET([2]quests!$A$1,0,0,COUNTA([2]quests!$A:$A),MATCH(D$1,[2]quests!$1:$1,0)-MATCH($C$1,[2]quests!$1:$1,0)+1),MATCH(D$1,[2]quests!$1:$1,0)-MATCH($C$1,[2]quests!$1:$1,0)+1,FALSE)</f>
        <v>【木曜限定】 緑の素材</v>
      </c>
      <c r="E132" s="117" t="str">
        <f ca="1">VLOOKUP($C132,OFFSET([2]quests!$A$1,0,0,COUNTA([2]quests!$A:$A),MATCH(E$1,[2]quests!$1:$1,0)-MATCH($C$1,[2]quests!$1:$1,0)+1),MATCH(E$1,[2]quests!$1:$1,0)-MATCH($C$1,[2]quests!$1:$1,0)+1,FALSE)</f>
        <v>木曜クエスト</v>
      </c>
      <c r="F132" s="118">
        <v>4</v>
      </c>
      <c r="G132" s="117" t="str">
        <f ca="1">VLOOKUP($C132&amp;"_"&amp;$F132,OFFSET([2]stages!$A$1,0,0,COUNTA([2]stages!$A:$A),MATCH(G$1,[2]stages!$2:$2,0)-MATCH("temp_stage",[2]stages!$2:$2,0)+1),MATCH(G$1,[2]stages!$2:$2,0)-MATCH("temp_stage",[2]stages!$2:$2,0)+1,FALSE)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32" s="117" t="str">
        <f ca="1">VLOOKUP($C132&amp;"_"&amp;$F132,OFFSET([2]stages!$A$1,0,0,COUNTA([2]stages!$A:$A),MATCH(H$1,[2]stages!$2:$2,0)-MATCH("temp_stage",[2]stages!$2:$2,0)+1),MATCH(H$1,[2]stages!$2:$2,0)-MATCH("temp_stage",[2]stages!$2:$2,0)+1,FALSE)</f>
        <v>木曜クエスト</v>
      </c>
      <c r="I132" s="119">
        <v>0</v>
      </c>
      <c r="J132" s="118">
        <f>COUNTIF(C$1:C132,C132)</f>
        <v>32</v>
      </c>
      <c r="K132" s="120">
        <v>36</v>
      </c>
      <c r="L132" s="118" t="s">
        <v>297</v>
      </c>
      <c r="M132" s="121" t="str">
        <f>VLOOKUP(K132,[6]stage_hints!$A:$C,3,FALSE)</f>
        <v>タワーオブザクイーンのボス</v>
      </c>
      <c r="N132" s="122" t="str">
        <f>VLOOKUP(K132,[6]stage_hints!$A:$D,4,FALSE)</f>
        <v>「タワーオブザクイーン」最上階のボスは_x000D_15階の初回クリア報酬で獲得できるほか_x000D_その階にて低確率でドロップもします</v>
      </c>
      <c r="O132" s="36" t="s">
        <v>235</v>
      </c>
      <c r="P132">
        <v>36</v>
      </c>
    </row>
    <row r="133" spans="1:16" x14ac:dyDescent="0.15">
      <c r="A133" s="114" t="str">
        <f t="shared" si="2"/>
        <v>11004_4_33</v>
      </c>
      <c r="B133" s="115" t="s">
        <v>231</v>
      </c>
      <c r="C133" s="116">
        <v>11004</v>
      </c>
      <c r="D133" s="117" t="str">
        <f ca="1">VLOOKUP($C133,OFFSET([2]quests!$A$1,0,0,COUNTA([2]quests!$A:$A),MATCH(D$1,[2]quests!$1:$1,0)-MATCH($C$1,[2]quests!$1:$1,0)+1),MATCH(D$1,[2]quests!$1:$1,0)-MATCH($C$1,[2]quests!$1:$1,0)+1,FALSE)</f>
        <v>【木曜限定】 緑の素材</v>
      </c>
      <c r="E133" s="117" t="str">
        <f ca="1">VLOOKUP($C133,OFFSET([2]quests!$A$1,0,0,COUNTA([2]quests!$A:$A),MATCH(E$1,[2]quests!$1:$1,0)-MATCH($C$1,[2]quests!$1:$1,0)+1),MATCH(E$1,[2]quests!$1:$1,0)-MATCH($C$1,[2]quests!$1:$1,0)+1,FALSE)</f>
        <v>木曜クエスト</v>
      </c>
      <c r="F133" s="118">
        <v>4</v>
      </c>
      <c r="G133" s="117" t="str">
        <f ca="1">VLOOKUP($C133&amp;"_"&amp;$F133,OFFSET([2]stages!$A$1,0,0,COUNTA([2]stages!$A:$A),MATCH(G$1,[2]stages!$2:$2,0)-MATCH("temp_stage",[2]stages!$2:$2,0)+1),MATCH(G$1,[2]stages!$2:$2,0)-MATCH("temp_stage",[2]stages!$2:$2,0)+1,FALSE)</f>
        <v xml:space="preserve">【上級】樹のイモムシ </v>
      </c>
      <c r="H133" s="117" t="str">
        <f ca="1">VLOOKUP($C133&amp;"_"&amp;$F133,OFFSET([2]stages!$A$1,0,0,COUNTA([2]stages!$A:$A),MATCH(H$1,[2]stages!$2:$2,0)-MATCH("temp_stage",[2]stages!$2:$2,0)+1),MATCH(H$1,[2]stages!$2:$2,0)-MATCH("temp_stage",[2]stages!$2:$2,0)+1,FALSE)</f>
        <v>木曜クエスト</v>
      </c>
      <c r="I133" s="119">
        <v>0</v>
      </c>
      <c r="J133" s="118">
        <f>COUNTIF(C$1:C133,C133)</f>
        <v>33</v>
      </c>
      <c r="K133" s="120">
        <v>37</v>
      </c>
      <c r="L133" s="118" t="s">
        <v>306</v>
      </c>
      <c r="M133" s="121" t="str">
        <f>VLOOKUP(K133,[6]stage_hints!$A:$C,3,FALSE)</f>
        <v>限界突破値の引き継ぎ</v>
      </c>
      <c r="N133" s="122" t="str">
        <f>VLOOKUP(K133,[6]stage_hints!$A:$D,4,FALSE)</f>
        <v>同じユニットを強化で合成すると_x000D_限界突破値を引き継げます（覚醒前後も可）</v>
      </c>
      <c r="O133" s="36" t="s">
        <v>307</v>
      </c>
      <c r="P133">
        <v>37</v>
      </c>
    </row>
    <row r="134" spans="1:16" x14ac:dyDescent="0.15">
      <c r="A134" s="114" t="str">
        <f t="shared" si="2"/>
        <v>11007_3_1</v>
      </c>
      <c r="B134" s="115" t="s">
        <v>231</v>
      </c>
      <c r="C134" s="116">
        <v>11007</v>
      </c>
      <c r="D134" s="117" t="str">
        <f ca="1">VLOOKUP($C134,OFFSET([2]quests!$A$1,0,0,COUNTA([2]quests!$A:$A),MATCH(D$1,[2]quests!$1:$1,0)-MATCH($C$1,[2]quests!$1:$1,0)+1),MATCH(D$1,[2]quests!$1:$1,0)-MATCH($C$1,[2]quests!$1:$1,0)+1,FALSE)</f>
        <v>【土曜限定】 赤と緑の素材</v>
      </c>
      <c r="E134" s="117" t="str">
        <f ca="1">VLOOKUP($C134,OFFSET([2]quests!$A$1,0,0,COUNTA([2]quests!$A:$A),MATCH(E$1,[2]quests!$1:$1,0)-MATCH($C$1,[2]quests!$1:$1,0)+1),MATCH(E$1,[2]quests!$1:$1,0)-MATCH($C$1,[2]quests!$1:$1,0)+1,FALSE)</f>
        <v>土曜クエスト</v>
      </c>
      <c r="F134" s="118">
        <v>3</v>
      </c>
      <c r="G134" s="117" t="str">
        <f ca="1">VLOOKUP($C134&amp;"_"&amp;$F134,OFFSET([2]stages!$A$1,0,0,COUNTA([2]stages!$A:$A),MATCH(G$1,[2]stages!$2:$2,0)-MATCH("temp_stage",[2]stages!$2:$2,0)+1),MATCH(G$1,[2]stages!$2:$2,0)-MATCH("temp_stage",[2]stages!$2:$2,0)+1,FALSE)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34" s="117" t="str">
        <f ca="1">VLOOKUP($C134&amp;"_"&amp;$F134,OFFSET([2]stages!$A$1,0,0,COUNTA([2]stages!$A:$A),MATCH(H$1,[2]stages!$2:$2,0)-MATCH("temp_stage",[2]stages!$2:$2,0)+1),MATCH(H$1,[2]stages!$2:$2,0)-MATCH("temp_stage",[2]stages!$2:$2,0)+1,FALSE)</f>
        <v>土曜クエスト</v>
      </c>
      <c r="I134" s="119">
        <v>0</v>
      </c>
      <c r="J134" s="118">
        <f>COUNTIF(C$1:C134,C134)</f>
        <v>1</v>
      </c>
      <c r="K134" s="120">
        <v>3</v>
      </c>
      <c r="L134" s="118" t="s">
        <v>234</v>
      </c>
      <c r="M134" s="121" t="str">
        <f>VLOOKUP(K134,[6]stage_hints!$A:$C,3,FALSE)</f>
        <v>ターゲット</v>
      </c>
      <c r="N134" s="122" t="str">
        <f>VLOOKUP(K134,[6]stage_hints!$A:$D,4,FALSE)</f>
        <v>敵ユニットをタップすると_x000D_その敵を狙い撃ちできます</v>
      </c>
      <c r="O134" s="36" t="s">
        <v>265</v>
      </c>
      <c r="P134">
        <v>3</v>
      </c>
    </row>
    <row r="135" spans="1:16" x14ac:dyDescent="0.15">
      <c r="A135" s="114" t="str">
        <f t="shared" si="2"/>
        <v>11007_3_2</v>
      </c>
      <c r="B135" s="115" t="s">
        <v>231</v>
      </c>
      <c r="C135" s="116">
        <v>11007</v>
      </c>
      <c r="D135" s="117" t="str">
        <f ca="1">VLOOKUP($C135,OFFSET([2]quests!$A$1,0,0,COUNTA([2]quests!$A:$A),MATCH(D$1,[2]quests!$1:$1,0)-MATCH($C$1,[2]quests!$1:$1,0)+1),MATCH(D$1,[2]quests!$1:$1,0)-MATCH($C$1,[2]quests!$1:$1,0)+1,FALSE)</f>
        <v>【土曜限定】 赤と緑の素材</v>
      </c>
      <c r="E135" s="117" t="str">
        <f ca="1">VLOOKUP($C135,OFFSET([2]quests!$A$1,0,0,COUNTA([2]quests!$A:$A),MATCH(E$1,[2]quests!$1:$1,0)-MATCH($C$1,[2]quests!$1:$1,0)+1),MATCH(E$1,[2]quests!$1:$1,0)-MATCH($C$1,[2]quests!$1:$1,0)+1,FALSE)</f>
        <v>土曜クエスト</v>
      </c>
      <c r="F135" s="118">
        <v>3</v>
      </c>
      <c r="G135" s="117" t="str">
        <f ca="1">VLOOKUP($C135&amp;"_"&amp;$F135,OFFSET([2]stages!$A$1,0,0,COUNTA([2]stages!$A:$A),MATCH(G$1,[2]stages!$2:$2,0)-MATCH("temp_stage",[2]stages!$2:$2,0)+1),MATCH(G$1,[2]stages!$2:$2,0)-MATCH("temp_stage",[2]stages!$2:$2,0)+1,FALSE)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35" s="117" t="str">
        <f ca="1">VLOOKUP($C135&amp;"_"&amp;$F135,OFFSET([2]stages!$A$1,0,0,COUNTA([2]stages!$A:$A),MATCH(H$1,[2]stages!$2:$2,0)-MATCH("temp_stage",[2]stages!$2:$2,0)+1),MATCH(H$1,[2]stages!$2:$2,0)-MATCH("temp_stage",[2]stages!$2:$2,0)+1,FALSE)</f>
        <v>土曜クエスト</v>
      </c>
      <c r="I135" s="119">
        <v>0</v>
      </c>
      <c r="J135" s="118">
        <f>COUNTIF(C$1:C135,C135)</f>
        <v>2</v>
      </c>
      <c r="K135" s="120">
        <v>6</v>
      </c>
      <c r="L135" s="118" t="s">
        <v>264</v>
      </c>
      <c r="M135" s="121" t="str">
        <f>VLOOKUP(K135,[6]stage_hints!$A:$C,3,FALSE)</f>
        <v>ユニット強化の属性ボーナス</v>
      </c>
      <c r="N135" s="122" t="str">
        <f>VLOOKUP(K135,[6]stage_hints!$A:$D,4,FALSE)</f>
        <v>同属性ユニットを強化素材にすると_x000D_経験値が多くもらえます</v>
      </c>
      <c r="O135" s="36" t="s">
        <v>276</v>
      </c>
      <c r="P135">
        <v>6</v>
      </c>
    </row>
    <row r="136" spans="1:16" x14ac:dyDescent="0.15">
      <c r="A136" s="114" t="str">
        <f t="shared" si="2"/>
        <v>11007_3_3</v>
      </c>
      <c r="B136" s="115" t="s">
        <v>231</v>
      </c>
      <c r="C136" s="116">
        <v>11007</v>
      </c>
      <c r="D136" s="117" t="str">
        <f ca="1">VLOOKUP($C136,OFFSET([2]quests!$A$1,0,0,COUNTA([2]quests!$A:$A),MATCH(D$1,[2]quests!$1:$1,0)-MATCH($C$1,[2]quests!$1:$1,0)+1),MATCH(D$1,[2]quests!$1:$1,0)-MATCH($C$1,[2]quests!$1:$1,0)+1,FALSE)</f>
        <v>【土曜限定】 赤と緑の素材</v>
      </c>
      <c r="E136" s="117" t="str">
        <f ca="1">VLOOKUP($C136,OFFSET([2]quests!$A$1,0,0,COUNTA([2]quests!$A:$A),MATCH(E$1,[2]quests!$1:$1,0)-MATCH($C$1,[2]quests!$1:$1,0)+1),MATCH(E$1,[2]quests!$1:$1,0)-MATCH($C$1,[2]quests!$1:$1,0)+1,FALSE)</f>
        <v>土曜クエスト</v>
      </c>
      <c r="F136" s="118">
        <v>3</v>
      </c>
      <c r="G136" s="117" t="str">
        <f ca="1">VLOOKUP($C136&amp;"_"&amp;$F136,OFFSET([2]stages!$A$1,0,0,COUNTA([2]stages!$A:$A),MATCH(G$1,[2]stages!$2:$2,0)-MATCH("temp_stage",[2]stages!$2:$2,0)+1),MATCH(G$1,[2]stages!$2:$2,0)-MATCH("temp_stage",[2]stages!$2:$2,0)+1,FALSE)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36" s="117" t="str">
        <f ca="1">VLOOKUP($C136&amp;"_"&amp;$F136,OFFSET([2]stages!$A$1,0,0,COUNTA([2]stages!$A:$A),MATCH(H$1,[2]stages!$2:$2,0)-MATCH("temp_stage",[2]stages!$2:$2,0)+1),MATCH(H$1,[2]stages!$2:$2,0)-MATCH("temp_stage",[2]stages!$2:$2,0)+1,FALSE)</f>
        <v>土曜クエスト</v>
      </c>
      <c r="I136" s="119">
        <v>0</v>
      </c>
      <c r="J136" s="118">
        <f>COUNTIF(C$1:C136,C136)</f>
        <v>3</v>
      </c>
      <c r="K136" s="120">
        <v>7</v>
      </c>
      <c r="L136" s="118" t="s">
        <v>234</v>
      </c>
      <c r="M136" s="121" t="str">
        <f>VLOOKUP(K136,[6]stage_hints!$A:$C,3,FALSE)</f>
        <v>メタルダックで経験値を獲得</v>
      </c>
      <c r="N136" s="122" t="str">
        <f>VLOOKUP(K136,[6]stage_hints!$A:$D,4,FALSE)</f>
        <v>「メタルなアヒル」を強化素材にすると_x000D_大量の経験値がもらえます</v>
      </c>
      <c r="O136" s="36" t="s">
        <v>235</v>
      </c>
      <c r="P136">
        <v>7</v>
      </c>
    </row>
    <row r="137" spans="1:16" x14ac:dyDescent="0.15">
      <c r="A137" s="114" t="str">
        <f t="shared" si="2"/>
        <v>11007_3_4</v>
      </c>
      <c r="B137" s="115" t="s">
        <v>231</v>
      </c>
      <c r="C137" s="116">
        <v>11007</v>
      </c>
      <c r="D137" s="117" t="str">
        <f ca="1">VLOOKUP($C137,OFFSET([2]quests!$A$1,0,0,COUNTA([2]quests!$A:$A),MATCH(D$1,[2]quests!$1:$1,0)-MATCH($C$1,[2]quests!$1:$1,0)+1),MATCH(D$1,[2]quests!$1:$1,0)-MATCH($C$1,[2]quests!$1:$1,0)+1,FALSE)</f>
        <v>【土曜限定】 赤と緑の素材</v>
      </c>
      <c r="E137" s="117" t="str">
        <f ca="1">VLOOKUP($C137,OFFSET([2]quests!$A$1,0,0,COUNTA([2]quests!$A:$A),MATCH(E$1,[2]quests!$1:$1,0)-MATCH($C$1,[2]quests!$1:$1,0)+1),MATCH(E$1,[2]quests!$1:$1,0)-MATCH($C$1,[2]quests!$1:$1,0)+1,FALSE)</f>
        <v>土曜クエスト</v>
      </c>
      <c r="F137" s="118">
        <v>3</v>
      </c>
      <c r="G137" s="117" t="str">
        <f ca="1">VLOOKUP($C137&amp;"_"&amp;$F137,OFFSET([2]stages!$A$1,0,0,COUNTA([2]stages!$A:$A),MATCH(G$1,[2]stages!$2:$2,0)-MATCH("temp_stage",[2]stages!$2:$2,0)+1),MATCH(G$1,[2]stages!$2:$2,0)-MATCH("temp_stage",[2]stages!$2:$2,0)+1,FALSE)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37" s="117" t="str">
        <f ca="1">VLOOKUP($C137&amp;"_"&amp;$F137,OFFSET([2]stages!$A$1,0,0,COUNTA([2]stages!$A:$A),MATCH(H$1,[2]stages!$2:$2,0)-MATCH("temp_stage",[2]stages!$2:$2,0)+1),MATCH(H$1,[2]stages!$2:$2,0)-MATCH("temp_stage",[2]stages!$2:$2,0)+1,FALSE)</f>
        <v>土曜クエスト</v>
      </c>
      <c r="I137" s="119">
        <v>0</v>
      </c>
      <c r="J137" s="118">
        <f>COUNTIF(C$1:C137,C137)</f>
        <v>4</v>
      </c>
      <c r="K137" s="120">
        <v>8</v>
      </c>
      <c r="L137" s="118" t="s">
        <v>234</v>
      </c>
      <c r="M137" s="121" t="str">
        <f>VLOOKUP(K137,[6]stage_hints!$A:$C,3,FALSE)</f>
        <v>ゲリラクエストは要チェック</v>
      </c>
      <c r="N137" s="122" t="str">
        <f>VLOOKUP(K137,[6]stage_hints!$A:$D,4,FALSE)</f>
        <v>時間限定の「アヒル捕獲作戦」では_x000D_経験値素材ユニットが多く手に入ります</v>
      </c>
      <c r="O137" s="36" t="s">
        <v>235</v>
      </c>
      <c r="P137">
        <v>8</v>
      </c>
    </row>
    <row r="138" spans="1:16" x14ac:dyDescent="0.15">
      <c r="A138" s="114" t="str">
        <f t="shared" si="2"/>
        <v>11007_3_5</v>
      </c>
      <c r="B138" s="115" t="s">
        <v>231</v>
      </c>
      <c r="C138" s="116">
        <v>11007</v>
      </c>
      <c r="D138" s="117" t="str">
        <f ca="1">VLOOKUP($C138,OFFSET([2]quests!$A$1,0,0,COUNTA([2]quests!$A:$A),MATCH(D$1,[2]quests!$1:$1,0)-MATCH($C$1,[2]quests!$1:$1,0)+1),MATCH(D$1,[2]quests!$1:$1,0)-MATCH($C$1,[2]quests!$1:$1,0)+1,FALSE)</f>
        <v>【土曜限定】 赤と緑の素材</v>
      </c>
      <c r="E138" s="117" t="str">
        <f ca="1">VLOOKUP($C138,OFFSET([2]quests!$A$1,0,0,COUNTA([2]quests!$A:$A),MATCH(E$1,[2]quests!$1:$1,0)-MATCH($C$1,[2]quests!$1:$1,0)+1),MATCH(E$1,[2]quests!$1:$1,0)-MATCH($C$1,[2]quests!$1:$1,0)+1,FALSE)</f>
        <v>土曜クエスト</v>
      </c>
      <c r="F138" s="118">
        <v>3</v>
      </c>
      <c r="G138" s="117" t="str">
        <f ca="1">VLOOKUP($C138&amp;"_"&amp;$F138,OFFSET([2]stages!$A$1,0,0,COUNTA([2]stages!$A:$A),MATCH(G$1,[2]stages!$2:$2,0)-MATCH("temp_stage",[2]stages!$2:$2,0)+1),MATCH(G$1,[2]stages!$2:$2,0)-MATCH("temp_stage",[2]stages!$2:$2,0)+1,FALSE)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38" s="117" t="str">
        <f ca="1">VLOOKUP($C138&amp;"_"&amp;$F138,OFFSET([2]stages!$A$1,0,0,COUNTA([2]stages!$A:$A),MATCH(H$1,[2]stages!$2:$2,0)-MATCH("temp_stage",[2]stages!$2:$2,0)+1),MATCH(H$1,[2]stages!$2:$2,0)-MATCH("temp_stage",[2]stages!$2:$2,0)+1,FALSE)</f>
        <v>土曜クエスト</v>
      </c>
      <c r="I138" s="119">
        <v>0</v>
      </c>
      <c r="J138" s="118">
        <f>COUNTIF(C$1:C138,C138)</f>
        <v>5</v>
      </c>
      <c r="K138" s="120">
        <v>9</v>
      </c>
      <c r="L138" s="118" t="s">
        <v>277</v>
      </c>
      <c r="M138" s="121" t="str">
        <f>VLOOKUP(K138,[6]stage_hints!$A:$C,3,FALSE)</f>
        <v>ゴールドダックでビットを獲得</v>
      </c>
      <c r="N138" s="122" t="str">
        <f>VLOOKUP(K138,[6]stage_hints!$A:$D,4,FALSE)</f>
        <v>「ゴールドなアヒル」を売却すると_x000D_大量のビットがもらえます</v>
      </c>
      <c r="O138" s="36" t="s">
        <v>235</v>
      </c>
      <c r="P138">
        <v>9</v>
      </c>
    </row>
    <row r="139" spans="1:16" x14ac:dyDescent="0.15">
      <c r="A139" s="114" t="str">
        <f t="shared" si="2"/>
        <v>11007_3_6</v>
      </c>
      <c r="B139" s="115" t="s">
        <v>231</v>
      </c>
      <c r="C139" s="116">
        <v>11007</v>
      </c>
      <c r="D139" s="117" t="str">
        <f ca="1">VLOOKUP($C139,OFFSET([2]quests!$A$1,0,0,COUNTA([2]quests!$A:$A),MATCH(D$1,[2]quests!$1:$1,0)-MATCH($C$1,[2]quests!$1:$1,0)+1),MATCH(D$1,[2]quests!$1:$1,0)-MATCH($C$1,[2]quests!$1:$1,0)+1,FALSE)</f>
        <v>【土曜限定】 赤と緑の素材</v>
      </c>
      <c r="E139" s="117" t="str">
        <f ca="1">VLOOKUP($C139,OFFSET([2]quests!$A$1,0,0,COUNTA([2]quests!$A:$A),MATCH(E$1,[2]quests!$1:$1,0)-MATCH($C$1,[2]quests!$1:$1,0)+1),MATCH(E$1,[2]quests!$1:$1,0)-MATCH($C$1,[2]quests!$1:$1,0)+1,FALSE)</f>
        <v>土曜クエスト</v>
      </c>
      <c r="F139" s="118">
        <v>3</v>
      </c>
      <c r="G139" s="117" t="str">
        <f ca="1">VLOOKUP($C139&amp;"_"&amp;$F139,OFFSET([2]stages!$A$1,0,0,COUNTA([2]stages!$A:$A),MATCH(G$1,[2]stages!$2:$2,0)-MATCH("temp_stage",[2]stages!$2:$2,0)+1),MATCH(G$1,[2]stages!$2:$2,0)-MATCH("temp_stage",[2]stages!$2:$2,0)+1,FALSE)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39" s="117" t="str">
        <f ca="1">VLOOKUP($C139&amp;"_"&amp;$F139,OFFSET([2]stages!$A$1,0,0,COUNTA([2]stages!$A:$A),MATCH(H$1,[2]stages!$2:$2,0)-MATCH("temp_stage",[2]stages!$2:$2,0)+1),MATCH(H$1,[2]stages!$2:$2,0)-MATCH("temp_stage",[2]stages!$2:$2,0)+1,FALSE)</f>
        <v>土曜クエスト</v>
      </c>
      <c r="I139" s="119">
        <v>0</v>
      </c>
      <c r="J139" s="118">
        <f>COUNTIF(C$1:C139,C139)</f>
        <v>6</v>
      </c>
      <c r="K139" s="120">
        <v>10</v>
      </c>
      <c r="L139" s="118" t="s">
        <v>278</v>
      </c>
      <c r="M139" s="121" t="str">
        <f>VLOOKUP(K139,[6]stage_hints!$A:$C,3,FALSE)</f>
        <v>土日に大量のビットを獲得</v>
      </c>
      <c r="N139" s="122" t="str">
        <f>VLOOKUP(K139,[6]stage_hints!$A:$D,4,FALSE)</f>
        <v>土日限定の「ゴールドカジノ」では_x000D_売却素材ユニットが多く手に入ります</v>
      </c>
      <c r="O139" s="36" t="s">
        <v>235</v>
      </c>
      <c r="P139">
        <v>10</v>
      </c>
    </row>
    <row r="140" spans="1:16" x14ac:dyDescent="0.15">
      <c r="A140" s="114" t="str">
        <f t="shared" si="2"/>
        <v>11007_3_7</v>
      </c>
      <c r="B140" s="115" t="s">
        <v>231</v>
      </c>
      <c r="C140" s="116">
        <v>11007</v>
      </c>
      <c r="D140" s="117" t="str">
        <f ca="1">VLOOKUP($C140,OFFSET([2]quests!$A$1,0,0,COUNTA([2]quests!$A:$A),MATCH(D$1,[2]quests!$1:$1,0)-MATCH($C$1,[2]quests!$1:$1,0)+1),MATCH(D$1,[2]quests!$1:$1,0)-MATCH($C$1,[2]quests!$1:$1,0)+1,FALSE)</f>
        <v>【土曜限定】 赤と緑の素材</v>
      </c>
      <c r="E140" s="117" t="str">
        <f ca="1">VLOOKUP($C140,OFFSET([2]quests!$A$1,0,0,COUNTA([2]quests!$A:$A),MATCH(E$1,[2]quests!$1:$1,0)-MATCH($C$1,[2]quests!$1:$1,0)+1),MATCH(E$1,[2]quests!$1:$1,0)-MATCH($C$1,[2]quests!$1:$1,0)+1,FALSE)</f>
        <v>土曜クエスト</v>
      </c>
      <c r="F140" s="118">
        <v>3</v>
      </c>
      <c r="G140" s="117" t="str">
        <f ca="1">VLOOKUP($C140&amp;"_"&amp;$F140,OFFSET([2]stages!$A$1,0,0,COUNTA([2]stages!$A:$A),MATCH(G$1,[2]stages!$2:$2,0)-MATCH("temp_stage",[2]stages!$2:$2,0)+1),MATCH(G$1,[2]stages!$2:$2,0)-MATCH("temp_stage",[2]stages!$2:$2,0)+1,FALSE)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0" s="117" t="str">
        <f ca="1">VLOOKUP($C140&amp;"_"&amp;$F140,OFFSET([2]stages!$A$1,0,0,COUNTA([2]stages!$A:$A),MATCH(H$1,[2]stages!$2:$2,0)-MATCH("temp_stage",[2]stages!$2:$2,0)+1),MATCH(H$1,[2]stages!$2:$2,0)-MATCH("temp_stage",[2]stages!$2:$2,0)+1,FALSE)</f>
        <v>土曜クエスト</v>
      </c>
      <c r="I140" s="119">
        <v>0</v>
      </c>
      <c r="J140" s="118">
        <f>COUNTIF(C$1:C140,C140)</f>
        <v>7</v>
      </c>
      <c r="K140" s="120">
        <v>11</v>
      </c>
      <c r="L140" s="118" t="s">
        <v>257</v>
      </c>
      <c r="M140" s="121" t="str">
        <f>VLOOKUP(K140,[6]stage_hints!$A:$C,3,FALSE)</f>
        <v>ランク解放クエスト</v>
      </c>
      <c r="N140" s="122" t="str">
        <f>VLOOKUP(K140,[6]stage_hints!$A:$D,4,FALSE)</f>
        <v>一定ランクに到達すると_x000D_報酬付きのランク開放クエストが現れます</v>
      </c>
      <c r="O140" s="36" t="s">
        <v>262</v>
      </c>
      <c r="P140">
        <v>11</v>
      </c>
    </row>
    <row r="141" spans="1:16" x14ac:dyDescent="0.15">
      <c r="A141" s="114" t="str">
        <f t="shared" si="2"/>
        <v>11007_3_8</v>
      </c>
      <c r="B141" s="115" t="s">
        <v>231</v>
      </c>
      <c r="C141" s="116">
        <v>11007</v>
      </c>
      <c r="D141" s="117" t="str">
        <f ca="1">VLOOKUP($C141,OFFSET([2]quests!$A$1,0,0,COUNTA([2]quests!$A:$A),MATCH(D$1,[2]quests!$1:$1,0)-MATCH($C$1,[2]quests!$1:$1,0)+1),MATCH(D$1,[2]quests!$1:$1,0)-MATCH($C$1,[2]quests!$1:$1,0)+1,FALSE)</f>
        <v>【土曜限定】 赤と緑の素材</v>
      </c>
      <c r="E141" s="117" t="str">
        <f ca="1">VLOOKUP($C141,OFFSET([2]quests!$A$1,0,0,COUNTA([2]quests!$A:$A),MATCH(E$1,[2]quests!$1:$1,0)-MATCH($C$1,[2]quests!$1:$1,0)+1),MATCH(E$1,[2]quests!$1:$1,0)-MATCH($C$1,[2]quests!$1:$1,0)+1,FALSE)</f>
        <v>土曜クエスト</v>
      </c>
      <c r="F141" s="118">
        <v>3</v>
      </c>
      <c r="G141" s="117" t="str">
        <f ca="1">VLOOKUP($C141&amp;"_"&amp;$F141,OFFSET([2]stages!$A$1,0,0,COUNTA([2]stages!$A:$A),MATCH(G$1,[2]stages!$2:$2,0)-MATCH("temp_stage",[2]stages!$2:$2,0)+1),MATCH(G$1,[2]stages!$2:$2,0)-MATCH("temp_stage",[2]stages!$2:$2,0)+1,FALSE)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1" s="117" t="str">
        <f ca="1">VLOOKUP($C141&amp;"_"&amp;$F141,OFFSET([2]stages!$A$1,0,0,COUNTA([2]stages!$A:$A),MATCH(H$1,[2]stages!$2:$2,0)-MATCH("temp_stage",[2]stages!$2:$2,0)+1),MATCH(H$1,[2]stages!$2:$2,0)-MATCH("temp_stage",[2]stages!$2:$2,0)+1,FALSE)</f>
        <v>土曜クエスト</v>
      </c>
      <c r="I141" s="119">
        <v>0</v>
      </c>
      <c r="J141" s="118">
        <f>COUNTIF(C$1:C141,C141)</f>
        <v>8</v>
      </c>
      <c r="K141" s="120">
        <v>12</v>
      </c>
      <c r="L141" s="118" t="s">
        <v>279</v>
      </c>
      <c r="M141" s="121" t="str">
        <f>VLOOKUP(K141,[6]stage_hints!$A:$C,3,FALSE)</f>
        <v>ユニットのお気に入り登録</v>
      </c>
      <c r="N141" s="122" t="str">
        <f>VLOOKUP(K141,[6]stage_hints!$A:$D,4,FALSE)</f>
        <v>大事なユニットを誤って消さないように_x000D_フォルダから「お気に入り登録」しましょう</v>
      </c>
      <c r="O141" s="36" t="s">
        <v>235</v>
      </c>
      <c r="P141">
        <v>12</v>
      </c>
    </row>
    <row r="142" spans="1:16" x14ac:dyDescent="0.15">
      <c r="A142" s="114" t="str">
        <f t="shared" si="2"/>
        <v>11007_3_9</v>
      </c>
      <c r="B142" s="115" t="s">
        <v>231</v>
      </c>
      <c r="C142" s="116">
        <v>11007</v>
      </c>
      <c r="D142" s="117" t="str">
        <f ca="1">VLOOKUP($C142,OFFSET([2]quests!$A$1,0,0,COUNTA([2]quests!$A:$A),MATCH(D$1,[2]quests!$1:$1,0)-MATCH($C$1,[2]quests!$1:$1,0)+1),MATCH(D$1,[2]quests!$1:$1,0)-MATCH($C$1,[2]quests!$1:$1,0)+1,FALSE)</f>
        <v>【土曜限定】 赤と緑の素材</v>
      </c>
      <c r="E142" s="117" t="str">
        <f ca="1">VLOOKUP($C142,OFFSET([2]quests!$A$1,0,0,COUNTA([2]quests!$A:$A),MATCH(E$1,[2]quests!$1:$1,0)-MATCH($C$1,[2]quests!$1:$1,0)+1),MATCH(E$1,[2]quests!$1:$1,0)-MATCH($C$1,[2]quests!$1:$1,0)+1,FALSE)</f>
        <v>土曜クエスト</v>
      </c>
      <c r="F142" s="118">
        <v>3</v>
      </c>
      <c r="G142" s="117" t="str">
        <f ca="1">VLOOKUP($C142&amp;"_"&amp;$F142,OFFSET([2]stages!$A$1,0,0,COUNTA([2]stages!$A:$A),MATCH(G$1,[2]stages!$2:$2,0)-MATCH("temp_stage",[2]stages!$2:$2,0)+1),MATCH(G$1,[2]stages!$2:$2,0)-MATCH("temp_stage",[2]stages!$2:$2,0)+1,FALSE)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2" s="117" t="str">
        <f ca="1">VLOOKUP($C142&amp;"_"&amp;$F142,OFFSET([2]stages!$A$1,0,0,COUNTA([2]stages!$A:$A),MATCH(H$1,[2]stages!$2:$2,0)-MATCH("temp_stage",[2]stages!$2:$2,0)+1),MATCH(H$1,[2]stages!$2:$2,0)-MATCH("temp_stage",[2]stages!$2:$2,0)+1,FALSE)</f>
        <v>土曜クエスト</v>
      </c>
      <c r="I142" s="119">
        <v>0</v>
      </c>
      <c r="J142" s="118">
        <f>COUNTIF(C$1:C142,C142)</f>
        <v>9</v>
      </c>
      <c r="K142" s="120">
        <v>13</v>
      </c>
      <c r="L142" s="118" t="s">
        <v>234</v>
      </c>
      <c r="M142" s="121" t="str">
        <f>VLOOKUP(K142,[6]stage_hints!$A:$C,3,FALSE)</f>
        <v>ユニットの覚醒</v>
      </c>
      <c r="N142" s="122" t="str">
        <f>VLOOKUP(K142,[6]stage_hints!$A:$D,4,FALSE)</f>
        <v>ユニットを覚醒させると_x000D_比べものにならない強さが手に入ります</v>
      </c>
      <c r="O142" s="36" t="s">
        <v>235</v>
      </c>
      <c r="P142">
        <v>13</v>
      </c>
    </row>
    <row r="143" spans="1:16" x14ac:dyDescent="0.15">
      <c r="A143" s="114" t="str">
        <f t="shared" si="2"/>
        <v>11007_3_10</v>
      </c>
      <c r="B143" s="115" t="s">
        <v>231</v>
      </c>
      <c r="C143" s="116">
        <v>11007</v>
      </c>
      <c r="D143" s="117" t="str">
        <f ca="1">VLOOKUP($C143,OFFSET([2]quests!$A$1,0,0,COUNTA([2]quests!$A:$A),MATCH(D$1,[2]quests!$1:$1,0)-MATCH($C$1,[2]quests!$1:$1,0)+1),MATCH(D$1,[2]quests!$1:$1,0)-MATCH($C$1,[2]quests!$1:$1,0)+1,FALSE)</f>
        <v>【土曜限定】 赤と緑の素材</v>
      </c>
      <c r="E143" s="117" t="str">
        <f ca="1">VLOOKUP($C143,OFFSET([2]quests!$A$1,0,0,COUNTA([2]quests!$A:$A),MATCH(E$1,[2]quests!$1:$1,0)-MATCH($C$1,[2]quests!$1:$1,0)+1),MATCH(E$1,[2]quests!$1:$1,0)-MATCH($C$1,[2]quests!$1:$1,0)+1,FALSE)</f>
        <v>土曜クエスト</v>
      </c>
      <c r="F143" s="118">
        <v>3</v>
      </c>
      <c r="G143" s="117" t="str">
        <f ca="1">VLOOKUP($C143&amp;"_"&amp;$F143,OFFSET([2]stages!$A$1,0,0,COUNTA([2]stages!$A:$A),MATCH(G$1,[2]stages!$2:$2,0)-MATCH("temp_stage",[2]stages!$2:$2,0)+1),MATCH(G$1,[2]stages!$2:$2,0)-MATCH("temp_stage",[2]stages!$2:$2,0)+1,FALSE)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3" s="117" t="str">
        <f ca="1">VLOOKUP($C143&amp;"_"&amp;$F143,OFFSET([2]stages!$A$1,0,0,COUNTA([2]stages!$A:$A),MATCH(H$1,[2]stages!$2:$2,0)-MATCH("temp_stage",[2]stages!$2:$2,0)+1),MATCH(H$1,[2]stages!$2:$2,0)-MATCH("temp_stage",[2]stages!$2:$2,0)+1,FALSE)</f>
        <v>土曜クエスト</v>
      </c>
      <c r="I143" s="119">
        <v>0</v>
      </c>
      <c r="J143" s="118">
        <f>COUNTIF(C$1:C143,C143)</f>
        <v>10</v>
      </c>
      <c r="K143" s="120">
        <v>14</v>
      </c>
      <c r="L143" s="118" t="s">
        <v>257</v>
      </c>
      <c r="M143" s="121" t="str">
        <f>VLOOKUP(K143,[6]stage_hints!$A:$C,3,FALSE)</f>
        <v>覚醒するにはレベルを最大に</v>
      </c>
      <c r="N143" s="122" t="str">
        <f>VLOOKUP(K143,[6]stage_hints!$A:$D,4,FALSE)</f>
        <v>覚醒するにはユニットのレベルを_x000D_最大まで上げる必要があります</v>
      </c>
      <c r="O143" s="36" t="s">
        <v>235</v>
      </c>
      <c r="P143">
        <v>14</v>
      </c>
    </row>
    <row r="144" spans="1:16" x14ac:dyDescent="0.15">
      <c r="A144" s="114" t="str">
        <f t="shared" si="2"/>
        <v>11007_3_11</v>
      </c>
      <c r="B144" s="115" t="s">
        <v>231</v>
      </c>
      <c r="C144" s="116">
        <v>11007</v>
      </c>
      <c r="D144" s="117" t="str">
        <f ca="1">VLOOKUP($C144,OFFSET([2]quests!$A$1,0,0,COUNTA([2]quests!$A:$A),MATCH(D$1,[2]quests!$1:$1,0)-MATCH($C$1,[2]quests!$1:$1,0)+1),MATCH(D$1,[2]quests!$1:$1,0)-MATCH($C$1,[2]quests!$1:$1,0)+1,FALSE)</f>
        <v>【土曜限定】 赤と緑の素材</v>
      </c>
      <c r="E144" s="117" t="str">
        <f ca="1">VLOOKUP($C144,OFFSET([2]quests!$A$1,0,0,COUNTA([2]quests!$A:$A),MATCH(E$1,[2]quests!$1:$1,0)-MATCH($C$1,[2]quests!$1:$1,0)+1),MATCH(E$1,[2]quests!$1:$1,0)-MATCH($C$1,[2]quests!$1:$1,0)+1,FALSE)</f>
        <v>土曜クエスト</v>
      </c>
      <c r="F144" s="118">
        <v>3</v>
      </c>
      <c r="G144" s="117" t="str">
        <f ca="1">VLOOKUP($C144&amp;"_"&amp;$F144,OFFSET([2]stages!$A$1,0,0,COUNTA([2]stages!$A:$A),MATCH(G$1,[2]stages!$2:$2,0)-MATCH("temp_stage",[2]stages!$2:$2,0)+1),MATCH(G$1,[2]stages!$2:$2,0)-MATCH("temp_stage",[2]stages!$2:$2,0)+1,FALSE)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4" s="117" t="str">
        <f ca="1">VLOOKUP($C144&amp;"_"&amp;$F144,OFFSET([2]stages!$A$1,0,0,COUNTA([2]stages!$A:$A),MATCH(H$1,[2]stages!$2:$2,0)-MATCH("temp_stage",[2]stages!$2:$2,0)+1),MATCH(H$1,[2]stages!$2:$2,0)-MATCH("temp_stage",[2]stages!$2:$2,0)+1,FALSE)</f>
        <v>土曜クエスト</v>
      </c>
      <c r="I144" s="119">
        <v>0</v>
      </c>
      <c r="J144" s="118">
        <f>COUNTIF(C$1:C144,C144)</f>
        <v>11</v>
      </c>
      <c r="K144" s="120">
        <v>15</v>
      </c>
      <c r="L144" s="118" t="s">
        <v>241</v>
      </c>
      <c r="M144" s="121" t="str">
        <f>VLOOKUP(K144,[6]stage_hints!$A:$C,3,FALSE)</f>
        <v>覚醒素材を獲得</v>
      </c>
      <c r="N144" s="122" t="str">
        <f>VLOOKUP(K144,[6]stage_hints!$A:$D,4,FALSE)</f>
        <v>「曜日クエスト」では_x000D_ユニットの覚醒に必要な素材が手に入ります</v>
      </c>
      <c r="O144" s="36" t="s">
        <v>265</v>
      </c>
      <c r="P144">
        <v>15</v>
      </c>
    </row>
    <row r="145" spans="1:16" x14ac:dyDescent="0.15">
      <c r="A145" s="114" t="str">
        <f t="shared" si="2"/>
        <v>11007_3_12</v>
      </c>
      <c r="B145" s="115" t="s">
        <v>231</v>
      </c>
      <c r="C145" s="116">
        <v>11007</v>
      </c>
      <c r="D145" s="117" t="str">
        <f ca="1">VLOOKUP($C145,OFFSET([2]quests!$A$1,0,0,COUNTA([2]quests!$A:$A),MATCH(D$1,[2]quests!$1:$1,0)-MATCH($C$1,[2]quests!$1:$1,0)+1),MATCH(D$1,[2]quests!$1:$1,0)-MATCH($C$1,[2]quests!$1:$1,0)+1,FALSE)</f>
        <v>【土曜限定】 赤と緑の素材</v>
      </c>
      <c r="E145" s="117" t="str">
        <f ca="1">VLOOKUP($C145,OFFSET([2]quests!$A$1,0,0,COUNTA([2]quests!$A:$A),MATCH(E$1,[2]quests!$1:$1,0)-MATCH($C$1,[2]quests!$1:$1,0)+1),MATCH(E$1,[2]quests!$1:$1,0)-MATCH($C$1,[2]quests!$1:$1,0)+1,FALSE)</f>
        <v>土曜クエスト</v>
      </c>
      <c r="F145" s="118">
        <v>3</v>
      </c>
      <c r="G145" s="117" t="str">
        <f ca="1">VLOOKUP($C145&amp;"_"&amp;$F145,OFFSET([2]stages!$A$1,0,0,COUNTA([2]stages!$A:$A),MATCH(G$1,[2]stages!$2:$2,0)-MATCH("temp_stage",[2]stages!$2:$2,0)+1),MATCH(G$1,[2]stages!$2:$2,0)-MATCH("temp_stage",[2]stages!$2:$2,0)+1,FALSE)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5" s="117" t="str">
        <f ca="1">VLOOKUP($C145&amp;"_"&amp;$F145,OFFSET([2]stages!$A$1,0,0,COUNTA([2]stages!$A:$A),MATCH(H$1,[2]stages!$2:$2,0)-MATCH("temp_stage",[2]stages!$2:$2,0)+1),MATCH(H$1,[2]stages!$2:$2,0)-MATCH("temp_stage",[2]stages!$2:$2,0)+1,FALSE)</f>
        <v>土曜クエスト</v>
      </c>
      <c r="I145" s="119">
        <v>0</v>
      </c>
      <c r="J145" s="118">
        <f>COUNTIF(C$1:C145,C145)</f>
        <v>12</v>
      </c>
      <c r="K145" s="120">
        <v>16</v>
      </c>
      <c r="L145" s="118" t="s">
        <v>277</v>
      </c>
      <c r="M145" s="121" t="str">
        <f>VLOOKUP(K145,[6]stage_hints!$A:$C,3,FALSE)</f>
        <v>マルチプレイのメリット（その1）</v>
      </c>
      <c r="N145" s="122" t="str">
        <f>VLOOKUP(K145,[6]stage_hints!$A:$D,4,FALSE)</f>
        <v>他のプレイヤーとマルチプレイで遊ぶと_x000D_ポリゴンがもらえます（100人まで）</v>
      </c>
      <c r="O145" s="36" t="s">
        <v>235</v>
      </c>
      <c r="P145">
        <v>16</v>
      </c>
    </row>
    <row r="146" spans="1:16" x14ac:dyDescent="0.15">
      <c r="A146" s="114" t="str">
        <f t="shared" si="2"/>
        <v>11007_3_13</v>
      </c>
      <c r="B146" s="115" t="s">
        <v>231</v>
      </c>
      <c r="C146" s="116">
        <v>11007</v>
      </c>
      <c r="D146" s="117" t="str">
        <f ca="1">VLOOKUP($C146,OFFSET([2]quests!$A$1,0,0,COUNTA([2]quests!$A:$A),MATCH(D$1,[2]quests!$1:$1,0)-MATCH($C$1,[2]quests!$1:$1,0)+1),MATCH(D$1,[2]quests!$1:$1,0)-MATCH($C$1,[2]quests!$1:$1,0)+1,FALSE)</f>
        <v>【土曜限定】 赤と緑の素材</v>
      </c>
      <c r="E146" s="117" t="str">
        <f ca="1">VLOOKUP($C146,OFFSET([2]quests!$A$1,0,0,COUNTA([2]quests!$A:$A),MATCH(E$1,[2]quests!$1:$1,0)-MATCH($C$1,[2]quests!$1:$1,0)+1),MATCH(E$1,[2]quests!$1:$1,0)-MATCH($C$1,[2]quests!$1:$1,0)+1,FALSE)</f>
        <v>土曜クエスト</v>
      </c>
      <c r="F146" s="118">
        <v>3</v>
      </c>
      <c r="G146" s="117" t="str">
        <f ca="1">VLOOKUP($C146&amp;"_"&amp;$F146,OFFSET([2]stages!$A$1,0,0,COUNTA([2]stages!$A:$A),MATCH(G$1,[2]stages!$2:$2,0)-MATCH("temp_stage",[2]stages!$2:$2,0)+1),MATCH(G$1,[2]stages!$2:$2,0)-MATCH("temp_stage",[2]stages!$2:$2,0)+1,FALSE)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6" s="117" t="str">
        <f ca="1">VLOOKUP($C146&amp;"_"&amp;$F146,OFFSET([2]stages!$A$1,0,0,COUNTA([2]stages!$A:$A),MATCH(H$1,[2]stages!$2:$2,0)-MATCH("temp_stage",[2]stages!$2:$2,0)+1),MATCH(H$1,[2]stages!$2:$2,0)-MATCH("temp_stage",[2]stages!$2:$2,0)+1,FALSE)</f>
        <v>土曜クエスト</v>
      </c>
      <c r="I146" s="119">
        <v>0</v>
      </c>
      <c r="J146" s="118">
        <f>COUNTIF(C$1:C146,C146)</f>
        <v>13</v>
      </c>
      <c r="K146" s="120">
        <v>17</v>
      </c>
      <c r="L146" s="118" t="s">
        <v>280</v>
      </c>
      <c r="M146" s="121" t="str">
        <f>VLOOKUP(K146,[6]stage_hints!$A:$C,3,FALSE)</f>
        <v>リンクガチャ</v>
      </c>
      <c r="N146" s="122" t="str">
        <f>VLOOKUP(K146,[6]stage_hints!$A:$D,4,FALSE)</f>
        <v>無料のリンクガチャを回して_x000D_経験値素材や売却素材を獲得しましょう</v>
      </c>
      <c r="O146" s="36" t="s">
        <v>265</v>
      </c>
      <c r="P146">
        <v>17</v>
      </c>
    </row>
    <row r="147" spans="1:16" x14ac:dyDescent="0.15">
      <c r="A147" s="114" t="str">
        <f t="shared" si="2"/>
        <v>11007_3_14</v>
      </c>
      <c r="B147" s="115" t="s">
        <v>231</v>
      </c>
      <c r="C147" s="116">
        <v>11007</v>
      </c>
      <c r="D147" s="117" t="str">
        <f ca="1">VLOOKUP($C147,OFFSET([2]quests!$A$1,0,0,COUNTA([2]quests!$A:$A),MATCH(D$1,[2]quests!$1:$1,0)-MATCH($C$1,[2]quests!$1:$1,0)+1),MATCH(D$1,[2]quests!$1:$1,0)-MATCH($C$1,[2]quests!$1:$1,0)+1,FALSE)</f>
        <v>【土曜限定】 赤と緑の素材</v>
      </c>
      <c r="E147" s="117" t="str">
        <f ca="1">VLOOKUP($C147,OFFSET([2]quests!$A$1,0,0,COUNTA([2]quests!$A:$A),MATCH(E$1,[2]quests!$1:$1,0)-MATCH($C$1,[2]quests!$1:$1,0)+1),MATCH(E$1,[2]quests!$1:$1,0)-MATCH($C$1,[2]quests!$1:$1,0)+1,FALSE)</f>
        <v>土曜クエスト</v>
      </c>
      <c r="F147" s="118">
        <v>3</v>
      </c>
      <c r="G147" s="117" t="str">
        <f ca="1">VLOOKUP($C147&amp;"_"&amp;$F147,OFFSET([2]stages!$A$1,0,0,COUNTA([2]stages!$A:$A),MATCH(G$1,[2]stages!$2:$2,0)-MATCH("temp_stage",[2]stages!$2:$2,0)+1),MATCH(G$1,[2]stages!$2:$2,0)-MATCH("temp_stage",[2]stages!$2:$2,0)+1,FALSE)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7" s="117" t="str">
        <f ca="1">VLOOKUP($C147&amp;"_"&amp;$F147,OFFSET([2]stages!$A$1,0,0,COUNTA([2]stages!$A:$A),MATCH(H$1,[2]stages!$2:$2,0)-MATCH("temp_stage",[2]stages!$2:$2,0)+1),MATCH(H$1,[2]stages!$2:$2,0)-MATCH("temp_stage",[2]stages!$2:$2,0)+1,FALSE)</f>
        <v>土曜クエスト</v>
      </c>
      <c r="I147" s="119">
        <v>0</v>
      </c>
      <c r="J147" s="118">
        <f>COUNTIF(C$1:C147,C147)</f>
        <v>14</v>
      </c>
      <c r="K147" s="120">
        <v>18</v>
      </c>
      <c r="L147" s="118" t="s">
        <v>234</v>
      </c>
      <c r="M147" s="121" t="str">
        <f>VLOOKUP(K147,[6]stage_hints!$A:$C,3,FALSE)</f>
        <v>マルチプレイのメリット（その2）</v>
      </c>
      <c r="N147" s="122" t="str">
        <f>VLOOKUP(K147,[6]stage_hints!$A:$D,4,FALSE)</f>
        <v>マルチプレイならリンクが2倍もらえます_x000D_リンクガチャをたくさん回しましょう</v>
      </c>
      <c r="O147" s="36" t="s">
        <v>235</v>
      </c>
      <c r="P147">
        <v>18</v>
      </c>
    </row>
    <row r="148" spans="1:16" x14ac:dyDescent="0.15">
      <c r="A148" s="114" t="str">
        <f t="shared" si="2"/>
        <v>11007_3_15</v>
      </c>
      <c r="B148" s="115" t="s">
        <v>231</v>
      </c>
      <c r="C148" s="116">
        <v>11007</v>
      </c>
      <c r="D148" s="117" t="str">
        <f ca="1">VLOOKUP($C148,OFFSET([2]quests!$A$1,0,0,COUNTA([2]quests!$A:$A),MATCH(D$1,[2]quests!$1:$1,0)-MATCH($C$1,[2]quests!$1:$1,0)+1),MATCH(D$1,[2]quests!$1:$1,0)-MATCH($C$1,[2]quests!$1:$1,0)+1,FALSE)</f>
        <v>【土曜限定】 赤と緑の素材</v>
      </c>
      <c r="E148" s="117" t="str">
        <f ca="1">VLOOKUP($C148,OFFSET([2]quests!$A$1,0,0,COUNTA([2]quests!$A:$A),MATCH(E$1,[2]quests!$1:$1,0)-MATCH($C$1,[2]quests!$1:$1,0)+1),MATCH(E$1,[2]quests!$1:$1,0)-MATCH($C$1,[2]quests!$1:$1,0)+1,FALSE)</f>
        <v>土曜クエスト</v>
      </c>
      <c r="F148" s="118">
        <v>3</v>
      </c>
      <c r="G148" s="117" t="str">
        <f ca="1">VLOOKUP($C148&amp;"_"&amp;$F148,OFFSET([2]stages!$A$1,0,0,COUNTA([2]stages!$A:$A),MATCH(G$1,[2]stages!$2:$2,0)-MATCH("temp_stage",[2]stages!$2:$2,0)+1),MATCH(G$1,[2]stages!$2:$2,0)-MATCH("temp_stage",[2]stages!$2:$2,0)+1,FALSE)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8" s="117" t="str">
        <f ca="1">VLOOKUP($C148&amp;"_"&amp;$F148,OFFSET([2]stages!$A$1,0,0,COUNTA([2]stages!$A:$A),MATCH(H$1,[2]stages!$2:$2,0)-MATCH("temp_stage",[2]stages!$2:$2,0)+1),MATCH(H$1,[2]stages!$2:$2,0)-MATCH("temp_stage",[2]stages!$2:$2,0)+1,FALSE)</f>
        <v>土曜クエスト</v>
      </c>
      <c r="I148" s="119">
        <v>0</v>
      </c>
      <c r="J148" s="118">
        <f>COUNTIF(C$1:C148,C148)</f>
        <v>15</v>
      </c>
      <c r="K148" s="120">
        <v>19</v>
      </c>
      <c r="L148" s="118" t="s">
        <v>234</v>
      </c>
      <c r="M148" s="121" t="str">
        <f>VLOOKUP(K148,[6]stage_hints!$A:$C,3,FALSE)</f>
        <v>ソロ専用タワーオブザクイーン</v>
      </c>
      <c r="N148" s="122" t="str">
        <f>VLOOKUP(K148,[6]stage_hints!$A:$D,4,FALSE)</f>
        <v>ソロ専用の「タワーオブザクイーン」は_x000D_期間限定で定期的に開催されます_x000D_ここでしか獲得できない報酬もあるようです</v>
      </c>
      <c r="O148" s="36" t="s">
        <v>235</v>
      </c>
      <c r="P148">
        <v>19</v>
      </c>
    </row>
    <row r="149" spans="1:16" x14ac:dyDescent="0.15">
      <c r="A149" s="114" t="str">
        <f t="shared" si="2"/>
        <v>11007_3_16</v>
      </c>
      <c r="B149" s="115" t="s">
        <v>231</v>
      </c>
      <c r="C149" s="116">
        <v>11007</v>
      </c>
      <c r="D149" s="117" t="str">
        <f ca="1">VLOOKUP($C149,OFFSET([2]quests!$A$1,0,0,COUNTA([2]quests!$A:$A),MATCH(D$1,[2]quests!$1:$1,0)-MATCH($C$1,[2]quests!$1:$1,0)+1),MATCH(D$1,[2]quests!$1:$1,0)-MATCH($C$1,[2]quests!$1:$1,0)+1,FALSE)</f>
        <v>【土曜限定】 赤と緑の素材</v>
      </c>
      <c r="E149" s="117" t="str">
        <f ca="1">VLOOKUP($C149,OFFSET([2]quests!$A$1,0,0,COUNTA([2]quests!$A:$A),MATCH(E$1,[2]quests!$1:$1,0)-MATCH($C$1,[2]quests!$1:$1,0)+1),MATCH(E$1,[2]quests!$1:$1,0)-MATCH($C$1,[2]quests!$1:$1,0)+1,FALSE)</f>
        <v>土曜クエスト</v>
      </c>
      <c r="F149" s="118">
        <v>3</v>
      </c>
      <c r="G149" s="117" t="str">
        <f ca="1">VLOOKUP($C149&amp;"_"&amp;$F149,OFFSET([2]stages!$A$1,0,0,COUNTA([2]stages!$A:$A),MATCH(G$1,[2]stages!$2:$2,0)-MATCH("temp_stage",[2]stages!$2:$2,0)+1),MATCH(G$1,[2]stages!$2:$2,0)-MATCH("temp_stage",[2]stages!$2:$2,0)+1,FALSE)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49" s="117" t="str">
        <f ca="1">VLOOKUP($C149&amp;"_"&amp;$F149,OFFSET([2]stages!$A$1,0,0,COUNTA([2]stages!$A:$A),MATCH(H$1,[2]stages!$2:$2,0)-MATCH("temp_stage",[2]stages!$2:$2,0)+1),MATCH(H$1,[2]stages!$2:$2,0)-MATCH("temp_stage",[2]stages!$2:$2,0)+1,FALSE)</f>
        <v>土曜クエスト</v>
      </c>
      <c r="I149" s="119">
        <v>0</v>
      </c>
      <c r="J149" s="118">
        <f>COUNTIF(C$1:C149,C149)</f>
        <v>16</v>
      </c>
      <c r="K149" s="120">
        <v>20</v>
      </c>
      <c r="L149" s="118" t="s">
        <v>281</v>
      </c>
      <c r="M149" s="121" t="str">
        <f>VLOOKUP(K149,[6]stage_hints!$A:$C,3,FALSE)</f>
        <v>マルチプレイのメリット（その3）</v>
      </c>
      <c r="N149" s="122" t="str">
        <f>VLOOKUP(K149,[6]stage_hints!$A:$D,4,FALSE)</f>
        <v>マルチプレイへの参加はエナジー消費ゼロ_x000D_いつでも好きなだけ遊ぶことができます</v>
      </c>
      <c r="O149" s="36" t="s">
        <v>276</v>
      </c>
      <c r="P149">
        <v>20</v>
      </c>
    </row>
    <row r="150" spans="1:16" x14ac:dyDescent="0.15">
      <c r="A150" s="114" t="str">
        <f t="shared" si="2"/>
        <v>11007_3_17</v>
      </c>
      <c r="B150" s="115" t="s">
        <v>231</v>
      </c>
      <c r="C150" s="116">
        <v>11007</v>
      </c>
      <c r="D150" s="117" t="str">
        <f ca="1">VLOOKUP($C150,OFFSET([2]quests!$A$1,0,0,COUNTA([2]quests!$A:$A),MATCH(D$1,[2]quests!$1:$1,0)-MATCH($C$1,[2]quests!$1:$1,0)+1),MATCH(D$1,[2]quests!$1:$1,0)-MATCH($C$1,[2]quests!$1:$1,0)+1,FALSE)</f>
        <v>【土曜限定】 赤と緑の素材</v>
      </c>
      <c r="E150" s="117" t="str">
        <f ca="1">VLOOKUP($C150,OFFSET([2]quests!$A$1,0,0,COUNTA([2]quests!$A:$A),MATCH(E$1,[2]quests!$1:$1,0)-MATCH($C$1,[2]quests!$1:$1,0)+1),MATCH(E$1,[2]quests!$1:$1,0)-MATCH($C$1,[2]quests!$1:$1,0)+1,FALSE)</f>
        <v>土曜クエスト</v>
      </c>
      <c r="F150" s="118">
        <v>3</v>
      </c>
      <c r="G150" s="117" t="str">
        <f ca="1">VLOOKUP($C150&amp;"_"&amp;$F150,OFFSET([2]stages!$A$1,0,0,COUNTA([2]stages!$A:$A),MATCH(G$1,[2]stages!$2:$2,0)-MATCH("temp_stage",[2]stages!$2:$2,0)+1),MATCH(G$1,[2]stages!$2:$2,0)-MATCH("temp_stage",[2]stages!$2:$2,0)+1,FALSE)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0" s="117" t="str">
        <f ca="1">VLOOKUP($C150&amp;"_"&amp;$F150,OFFSET([2]stages!$A$1,0,0,COUNTA([2]stages!$A:$A),MATCH(H$1,[2]stages!$2:$2,0)-MATCH("temp_stage",[2]stages!$2:$2,0)+1),MATCH(H$1,[2]stages!$2:$2,0)-MATCH("temp_stage",[2]stages!$2:$2,0)+1,FALSE)</f>
        <v>土曜クエスト</v>
      </c>
      <c r="I150" s="119">
        <v>0</v>
      </c>
      <c r="J150" s="118">
        <f>COUNTIF(C$1:C150,C150)</f>
        <v>17</v>
      </c>
      <c r="K150" s="120">
        <v>21</v>
      </c>
      <c r="L150" s="118" t="s">
        <v>282</v>
      </c>
      <c r="M150" s="121" t="str">
        <f>VLOOKUP(K150,[6]stage_hints!$A:$C,3,FALSE)</f>
        <v>スキルを有効に</v>
      </c>
      <c r="N150" s="122" t="str">
        <f>VLOOKUP(K150,[6]stage_hints!$A:$D,4,FALSE)</f>
        <v>ターン経過でユニットのスキルが使えます_x000D_強力スキルでバトルを有利に進めましょう</v>
      </c>
      <c r="O150" s="36" t="s">
        <v>276</v>
      </c>
      <c r="P150">
        <v>21</v>
      </c>
    </row>
    <row r="151" spans="1:16" x14ac:dyDescent="0.15">
      <c r="A151" s="114" t="str">
        <f t="shared" si="2"/>
        <v>11007_3_18</v>
      </c>
      <c r="B151" s="115" t="s">
        <v>231</v>
      </c>
      <c r="C151" s="116">
        <v>11007</v>
      </c>
      <c r="D151" s="117" t="str">
        <f ca="1">VLOOKUP($C151,OFFSET([2]quests!$A$1,0,0,COUNTA([2]quests!$A:$A),MATCH(D$1,[2]quests!$1:$1,0)-MATCH($C$1,[2]quests!$1:$1,0)+1),MATCH(D$1,[2]quests!$1:$1,0)-MATCH($C$1,[2]quests!$1:$1,0)+1,FALSE)</f>
        <v>【土曜限定】 赤と緑の素材</v>
      </c>
      <c r="E151" s="117" t="str">
        <f ca="1">VLOOKUP($C151,OFFSET([2]quests!$A$1,0,0,COUNTA([2]quests!$A:$A),MATCH(E$1,[2]quests!$1:$1,0)-MATCH($C$1,[2]quests!$1:$1,0)+1),MATCH(E$1,[2]quests!$1:$1,0)-MATCH($C$1,[2]quests!$1:$1,0)+1,FALSE)</f>
        <v>土曜クエスト</v>
      </c>
      <c r="F151" s="118">
        <v>3</v>
      </c>
      <c r="G151" s="117" t="str">
        <f ca="1">VLOOKUP($C151&amp;"_"&amp;$F151,OFFSET([2]stages!$A$1,0,0,COUNTA([2]stages!$A:$A),MATCH(G$1,[2]stages!$2:$2,0)-MATCH("temp_stage",[2]stages!$2:$2,0)+1),MATCH(G$1,[2]stages!$2:$2,0)-MATCH("temp_stage",[2]stages!$2:$2,0)+1,FALSE)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1" s="117" t="str">
        <f ca="1">VLOOKUP($C151&amp;"_"&amp;$F151,OFFSET([2]stages!$A$1,0,0,COUNTA([2]stages!$A:$A),MATCH(H$1,[2]stages!$2:$2,0)-MATCH("temp_stage",[2]stages!$2:$2,0)+1),MATCH(H$1,[2]stages!$2:$2,0)-MATCH("temp_stage",[2]stages!$2:$2,0)+1,FALSE)</f>
        <v>土曜クエスト</v>
      </c>
      <c r="I151" s="119">
        <v>0</v>
      </c>
      <c r="J151" s="118">
        <f>COUNTIF(C$1:C151,C151)</f>
        <v>18</v>
      </c>
      <c r="K151" s="120">
        <v>22</v>
      </c>
      <c r="L151" s="118" t="s">
        <v>234</v>
      </c>
      <c r="M151" s="121" t="str">
        <f>VLOOKUP(K151,[6]stage_hints!$A:$C,3,FALSE)</f>
        <v>フィーバーで一発逆転（その1）</v>
      </c>
      <c r="N151" s="122" t="str">
        <f>VLOOKUP(K151,[6]stage_hints!$A:$D,4,FALSE)</f>
        <v>フィーバーは攻撃と回復を兼ね備えます_x000D_ピンチからの一発逆転を狙いましょう</v>
      </c>
      <c r="O151" s="36" t="s">
        <v>235</v>
      </c>
      <c r="P151">
        <v>22</v>
      </c>
    </row>
    <row r="152" spans="1:16" x14ac:dyDescent="0.15">
      <c r="A152" s="114" t="str">
        <f t="shared" si="2"/>
        <v>11007_3_19</v>
      </c>
      <c r="B152" s="115" t="s">
        <v>231</v>
      </c>
      <c r="C152" s="116">
        <v>11007</v>
      </c>
      <c r="D152" s="117" t="str">
        <f ca="1">VLOOKUP($C152,OFFSET([2]quests!$A$1,0,0,COUNTA([2]quests!$A:$A),MATCH(D$1,[2]quests!$1:$1,0)-MATCH($C$1,[2]quests!$1:$1,0)+1),MATCH(D$1,[2]quests!$1:$1,0)-MATCH($C$1,[2]quests!$1:$1,0)+1,FALSE)</f>
        <v>【土曜限定】 赤と緑の素材</v>
      </c>
      <c r="E152" s="117" t="str">
        <f ca="1">VLOOKUP($C152,OFFSET([2]quests!$A$1,0,0,COUNTA([2]quests!$A:$A),MATCH(E$1,[2]quests!$1:$1,0)-MATCH($C$1,[2]quests!$1:$1,0)+1),MATCH(E$1,[2]quests!$1:$1,0)-MATCH($C$1,[2]quests!$1:$1,0)+1,FALSE)</f>
        <v>土曜クエスト</v>
      </c>
      <c r="F152" s="118">
        <v>3</v>
      </c>
      <c r="G152" s="117" t="str">
        <f ca="1">VLOOKUP($C152&amp;"_"&amp;$F152,OFFSET([2]stages!$A$1,0,0,COUNTA([2]stages!$A:$A),MATCH(G$1,[2]stages!$2:$2,0)-MATCH("temp_stage",[2]stages!$2:$2,0)+1),MATCH(G$1,[2]stages!$2:$2,0)-MATCH("temp_stage",[2]stages!$2:$2,0)+1,FALSE)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2" s="117" t="str">
        <f ca="1">VLOOKUP($C152&amp;"_"&amp;$F152,OFFSET([2]stages!$A$1,0,0,COUNTA([2]stages!$A:$A),MATCH(H$1,[2]stages!$2:$2,0)-MATCH("temp_stage",[2]stages!$2:$2,0)+1),MATCH(H$1,[2]stages!$2:$2,0)-MATCH("temp_stage",[2]stages!$2:$2,0)+1,FALSE)</f>
        <v>土曜クエスト</v>
      </c>
      <c r="I152" s="119">
        <v>0</v>
      </c>
      <c r="J152" s="118">
        <f>COUNTIF(C$1:C152,C152)</f>
        <v>19</v>
      </c>
      <c r="K152" s="120">
        <v>23</v>
      </c>
      <c r="L152" s="118" t="s">
        <v>234</v>
      </c>
      <c r="M152" s="121" t="str">
        <f>VLOOKUP(K152,[6]stage_hints!$A:$C,3,FALSE)</f>
        <v>フィーバーで一発逆転（その2）</v>
      </c>
      <c r="N152" s="122" t="str">
        <f>VLOOKUP(K152,[6]stage_hints!$A:$D,4,FALSE)</f>
        <v>フィーバー中は虹色のボムパネルを狙って_x000D_画面上のパネルを一気に破壊しましょう</v>
      </c>
      <c r="O152" s="36" t="s">
        <v>235</v>
      </c>
      <c r="P152">
        <v>23</v>
      </c>
    </row>
    <row r="153" spans="1:16" x14ac:dyDescent="0.15">
      <c r="A153" s="114" t="str">
        <f t="shared" si="2"/>
        <v>11007_3_20</v>
      </c>
      <c r="B153" s="115" t="s">
        <v>231</v>
      </c>
      <c r="C153" s="116">
        <v>11007</v>
      </c>
      <c r="D153" s="117" t="str">
        <f ca="1">VLOOKUP($C153,OFFSET([2]quests!$A$1,0,0,COUNTA([2]quests!$A:$A),MATCH(D$1,[2]quests!$1:$1,0)-MATCH($C$1,[2]quests!$1:$1,0)+1),MATCH(D$1,[2]quests!$1:$1,0)-MATCH($C$1,[2]quests!$1:$1,0)+1,FALSE)</f>
        <v>【土曜限定】 赤と緑の素材</v>
      </c>
      <c r="E153" s="117" t="str">
        <f ca="1">VLOOKUP($C153,OFFSET([2]quests!$A$1,0,0,COUNTA([2]quests!$A:$A),MATCH(E$1,[2]quests!$1:$1,0)-MATCH($C$1,[2]quests!$1:$1,0)+1),MATCH(E$1,[2]quests!$1:$1,0)-MATCH($C$1,[2]quests!$1:$1,0)+1,FALSE)</f>
        <v>土曜クエスト</v>
      </c>
      <c r="F153" s="118">
        <v>3</v>
      </c>
      <c r="G153" s="117" t="str">
        <f ca="1">VLOOKUP($C153&amp;"_"&amp;$F153,OFFSET([2]stages!$A$1,0,0,COUNTA([2]stages!$A:$A),MATCH(G$1,[2]stages!$2:$2,0)-MATCH("temp_stage",[2]stages!$2:$2,0)+1),MATCH(G$1,[2]stages!$2:$2,0)-MATCH("temp_stage",[2]stages!$2:$2,0)+1,FALSE)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3" s="117" t="str">
        <f ca="1">VLOOKUP($C153&amp;"_"&amp;$F153,OFFSET([2]stages!$A$1,0,0,COUNTA([2]stages!$A:$A),MATCH(H$1,[2]stages!$2:$2,0)-MATCH("temp_stage",[2]stages!$2:$2,0)+1),MATCH(H$1,[2]stages!$2:$2,0)-MATCH("temp_stage",[2]stages!$2:$2,0)+1,FALSE)</f>
        <v>土曜クエスト</v>
      </c>
      <c r="I153" s="119">
        <v>0</v>
      </c>
      <c r="J153" s="118">
        <f>COUNTIF(C$1:C153,C153)</f>
        <v>20</v>
      </c>
      <c r="K153" s="120">
        <v>24</v>
      </c>
      <c r="L153" s="118" t="s">
        <v>234</v>
      </c>
      <c r="M153" s="121" t="str">
        <f>VLOOKUP(K153,[6]stage_hints!$A:$C,3,FALSE)</f>
        <v>果実を使って限界突破</v>
      </c>
      <c r="N153" s="122" t="str">
        <f>VLOOKUP(K153,[6]stage_hints!$A:$D,4,FALSE)</f>
        <v>攻めの果実 癒しの果実_x000D_生命の果実をユニット強化に使うと_x000D_ステータスが限界突破します（計99個迄）</v>
      </c>
      <c r="O153" s="36" t="s">
        <v>283</v>
      </c>
      <c r="P153">
        <v>24</v>
      </c>
    </row>
    <row r="154" spans="1:16" x14ac:dyDescent="0.15">
      <c r="A154" s="114" t="str">
        <f t="shared" si="2"/>
        <v>11007_3_21</v>
      </c>
      <c r="B154" s="115" t="s">
        <v>231</v>
      </c>
      <c r="C154" s="116">
        <v>11007</v>
      </c>
      <c r="D154" s="117" t="str">
        <f ca="1">VLOOKUP($C154,OFFSET([2]quests!$A$1,0,0,COUNTA([2]quests!$A:$A),MATCH(D$1,[2]quests!$1:$1,0)-MATCH($C$1,[2]quests!$1:$1,0)+1),MATCH(D$1,[2]quests!$1:$1,0)-MATCH($C$1,[2]quests!$1:$1,0)+1,FALSE)</f>
        <v>【土曜限定】 赤と緑の素材</v>
      </c>
      <c r="E154" s="117" t="str">
        <f ca="1">VLOOKUP($C154,OFFSET([2]quests!$A$1,0,0,COUNTA([2]quests!$A:$A),MATCH(E$1,[2]quests!$1:$1,0)-MATCH($C$1,[2]quests!$1:$1,0)+1),MATCH(E$1,[2]quests!$1:$1,0)-MATCH($C$1,[2]quests!$1:$1,0)+1,FALSE)</f>
        <v>土曜クエスト</v>
      </c>
      <c r="F154" s="118">
        <v>3</v>
      </c>
      <c r="G154" s="117" t="str">
        <f ca="1">VLOOKUP($C154&amp;"_"&amp;$F154,OFFSET([2]stages!$A$1,0,0,COUNTA([2]stages!$A:$A),MATCH(G$1,[2]stages!$2:$2,0)-MATCH("temp_stage",[2]stages!$2:$2,0)+1),MATCH(G$1,[2]stages!$2:$2,0)-MATCH("temp_stage",[2]stages!$2:$2,0)+1,FALSE)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4" s="117" t="str">
        <f ca="1">VLOOKUP($C154&amp;"_"&amp;$F154,OFFSET([2]stages!$A$1,0,0,COUNTA([2]stages!$A:$A),MATCH(H$1,[2]stages!$2:$2,0)-MATCH("temp_stage",[2]stages!$2:$2,0)+1),MATCH(H$1,[2]stages!$2:$2,0)-MATCH("temp_stage",[2]stages!$2:$2,0)+1,FALSE)</f>
        <v>土曜クエスト</v>
      </c>
      <c r="I154" s="119">
        <v>0</v>
      </c>
      <c r="J154" s="118">
        <f>COUNTIF(C$1:C154,C154)</f>
        <v>21</v>
      </c>
      <c r="K154" s="120">
        <v>25</v>
      </c>
      <c r="L154" s="118" t="s">
        <v>269</v>
      </c>
      <c r="M154" s="121" t="str">
        <f>VLOOKUP(K154,[6]stage_hints!$A:$C,3,FALSE)</f>
        <v>スキルレベルアップ</v>
      </c>
      <c r="N154" s="122" t="str">
        <f>VLOOKUP(K154,[6]stage_hints!$A:$D,4,FALSE)</f>
        <v>「秘術の果実」を強化に使うと_x000D_スキルレベルを上げることができます</v>
      </c>
      <c r="O154" s="36" t="s">
        <v>284</v>
      </c>
      <c r="P154">
        <v>25</v>
      </c>
    </row>
    <row r="155" spans="1:16" x14ac:dyDescent="0.15">
      <c r="A155" s="114" t="str">
        <f t="shared" si="2"/>
        <v>11007_3_22</v>
      </c>
      <c r="B155" s="115" t="s">
        <v>231</v>
      </c>
      <c r="C155" s="116">
        <v>11007</v>
      </c>
      <c r="D155" s="117" t="str">
        <f ca="1">VLOOKUP($C155,OFFSET([2]quests!$A$1,0,0,COUNTA([2]quests!$A:$A),MATCH(D$1,[2]quests!$1:$1,0)-MATCH($C$1,[2]quests!$1:$1,0)+1),MATCH(D$1,[2]quests!$1:$1,0)-MATCH($C$1,[2]quests!$1:$1,0)+1,FALSE)</f>
        <v>【土曜限定】 赤と緑の素材</v>
      </c>
      <c r="E155" s="117" t="str">
        <f ca="1">VLOOKUP($C155,OFFSET([2]quests!$A$1,0,0,COUNTA([2]quests!$A:$A),MATCH(E$1,[2]quests!$1:$1,0)-MATCH($C$1,[2]quests!$1:$1,0)+1),MATCH(E$1,[2]quests!$1:$1,0)-MATCH($C$1,[2]quests!$1:$1,0)+1,FALSE)</f>
        <v>土曜クエスト</v>
      </c>
      <c r="F155" s="118">
        <v>3</v>
      </c>
      <c r="G155" s="117" t="str">
        <f ca="1">VLOOKUP($C155&amp;"_"&amp;$F155,OFFSET([2]stages!$A$1,0,0,COUNTA([2]stages!$A:$A),MATCH(G$1,[2]stages!$2:$2,0)-MATCH("temp_stage",[2]stages!$2:$2,0)+1),MATCH(G$1,[2]stages!$2:$2,0)-MATCH("temp_stage",[2]stages!$2:$2,0)+1,FALSE)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5" s="117" t="str">
        <f ca="1">VLOOKUP($C155&amp;"_"&amp;$F155,OFFSET([2]stages!$A$1,0,0,COUNTA([2]stages!$A:$A),MATCH(H$1,[2]stages!$2:$2,0)-MATCH("temp_stage",[2]stages!$2:$2,0)+1),MATCH(H$1,[2]stages!$2:$2,0)-MATCH("temp_stage",[2]stages!$2:$2,0)+1,FALSE)</f>
        <v>土曜クエスト</v>
      </c>
      <c r="I155" s="119">
        <v>0</v>
      </c>
      <c r="J155" s="118">
        <f>COUNTIF(C$1:C155,C155)</f>
        <v>22</v>
      </c>
      <c r="K155" s="120">
        <v>26</v>
      </c>
      <c r="L155" s="118" t="s">
        <v>234</v>
      </c>
      <c r="M155" s="121" t="str">
        <f>VLOOKUP(K155,[6]stage_hints!$A:$C,3,FALSE)</f>
        <v>スキルレベルの効果</v>
      </c>
      <c r="N155" s="122" t="str">
        <f>VLOOKUP(K155,[6]stage_hints!$A:$D,4,FALSE)</f>
        <v>スキルレベルが上がると_x000D_短いターンでスキルを使うことができます</v>
      </c>
      <c r="O155" s="36" t="s">
        <v>235</v>
      </c>
      <c r="P155">
        <v>26</v>
      </c>
    </row>
    <row r="156" spans="1:16" x14ac:dyDescent="0.15">
      <c r="A156" s="114" t="str">
        <f t="shared" si="2"/>
        <v>11007_3_23</v>
      </c>
      <c r="B156" s="115" t="s">
        <v>231</v>
      </c>
      <c r="C156" s="116">
        <v>11007</v>
      </c>
      <c r="D156" s="117" t="str">
        <f ca="1">VLOOKUP($C156,OFFSET([2]quests!$A$1,0,0,COUNTA([2]quests!$A:$A),MATCH(D$1,[2]quests!$1:$1,0)-MATCH($C$1,[2]quests!$1:$1,0)+1),MATCH(D$1,[2]quests!$1:$1,0)-MATCH($C$1,[2]quests!$1:$1,0)+1,FALSE)</f>
        <v>【土曜限定】 赤と緑の素材</v>
      </c>
      <c r="E156" s="117" t="str">
        <f ca="1">VLOOKUP($C156,OFFSET([2]quests!$A$1,0,0,COUNTA([2]quests!$A:$A),MATCH(E$1,[2]quests!$1:$1,0)-MATCH($C$1,[2]quests!$1:$1,0)+1),MATCH(E$1,[2]quests!$1:$1,0)-MATCH($C$1,[2]quests!$1:$1,0)+1,FALSE)</f>
        <v>土曜クエスト</v>
      </c>
      <c r="F156" s="118">
        <v>3</v>
      </c>
      <c r="G156" s="117" t="str">
        <f ca="1">VLOOKUP($C156&amp;"_"&amp;$F156,OFFSET([2]stages!$A$1,0,0,COUNTA([2]stages!$A:$A),MATCH(G$1,[2]stages!$2:$2,0)-MATCH("temp_stage",[2]stages!$2:$2,0)+1),MATCH(G$1,[2]stages!$2:$2,0)-MATCH("temp_stage",[2]stages!$2:$2,0)+1,FALSE)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6" s="117" t="str">
        <f ca="1">VLOOKUP($C156&amp;"_"&amp;$F156,OFFSET([2]stages!$A$1,0,0,COUNTA([2]stages!$A:$A),MATCH(H$1,[2]stages!$2:$2,0)-MATCH("temp_stage",[2]stages!$2:$2,0)+1),MATCH(H$1,[2]stages!$2:$2,0)-MATCH("temp_stage",[2]stages!$2:$2,0)+1,FALSE)</f>
        <v>土曜クエスト</v>
      </c>
      <c r="I156" s="119">
        <v>0</v>
      </c>
      <c r="J156" s="118">
        <f>COUNTIF(C$1:C156,C156)</f>
        <v>23</v>
      </c>
      <c r="K156" s="120">
        <v>27</v>
      </c>
      <c r="L156" s="118" t="s">
        <v>234</v>
      </c>
      <c r="M156" s="121" t="str">
        <f>VLOOKUP(K156,[6]stage_hints!$A:$C,3,FALSE)</f>
        <v>ホーム画面からデッキを編成</v>
      </c>
      <c r="N156" s="122" t="str">
        <f>VLOOKUP(K156,[6]stage_hints!$A:$D,4,FALSE)</f>
        <v>ホーム画面でユニットを長押しすると_x000D_すぐにパーティ編成に移動できます</v>
      </c>
      <c r="O156" s="36" t="s">
        <v>235</v>
      </c>
      <c r="P156">
        <v>27</v>
      </c>
    </row>
    <row r="157" spans="1:16" x14ac:dyDescent="0.15">
      <c r="A157" s="114" t="str">
        <f t="shared" si="2"/>
        <v>11007_3_24</v>
      </c>
      <c r="B157" s="115" t="s">
        <v>231</v>
      </c>
      <c r="C157" s="116">
        <v>11007</v>
      </c>
      <c r="D157" s="117" t="str">
        <f ca="1">VLOOKUP($C157,OFFSET([2]quests!$A$1,0,0,COUNTA([2]quests!$A:$A),MATCH(D$1,[2]quests!$1:$1,0)-MATCH($C$1,[2]quests!$1:$1,0)+1),MATCH(D$1,[2]quests!$1:$1,0)-MATCH($C$1,[2]quests!$1:$1,0)+1,FALSE)</f>
        <v>【土曜限定】 赤と緑の素材</v>
      </c>
      <c r="E157" s="117" t="str">
        <f ca="1">VLOOKUP($C157,OFFSET([2]quests!$A$1,0,0,COUNTA([2]quests!$A:$A),MATCH(E$1,[2]quests!$1:$1,0)-MATCH($C$1,[2]quests!$1:$1,0)+1),MATCH(E$1,[2]quests!$1:$1,0)-MATCH($C$1,[2]quests!$1:$1,0)+1,FALSE)</f>
        <v>土曜クエスト</v>
      </c>
      <c r="F157" s="118">
        <v>3</v>
      </c>
      <c r="G157" s="117" t="str">
        <f ca="1">VLOOKUP($C157&amp;"_"&amp;$F157,OFFSET([2]stages!$A$1,0,0,COUNTA([2]stages!$A:$A),MATCH(G$1,[2]stages!$2:$2,0)-MATCH("temp_stage",[2]stages!$2:$2,0)+1),MATCH(G$1,[2]stages!$2:$2,0)-MATCH("temp_stage",[2]stages!$2:$2,0)+1,FALSE)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7" s="117" t="str">
        <f ca="1">VLOOKUP($C157&amp;"_"&amp;$F157,OFFSET([2]stages!$A$1,0,0,COUNTA([2]stages!$A:$A),MATCH(H$1,[2]stages!$2:$2,0)-MATCH("temp_stage",[2]stages!$2:$2,0)+1),MATCH(H$1,[2]stages!$2:$2,0)-MATCH("temp_stage",[2]stages!$2:$2,0)+1,FALSE)</f>
        <v>土曜クエスト</v>
      </c>
      <c r="I157" s="119">
        <v>0</v>
      </c>
      <c r="J157" s="118">
        <f>COUNTIF(C$1:C157,C157)</f>
        <v>24</v>
      </c>
      <c r="K157" s="120">
        <v>28</v>
      </c>
      <c r="L157" s="118" t="s">
        <v>234</v>
      </c>
      <c r="M157" s="121" t="str">
        <f>VLOOKUP(K157,[6]stage_hints!$A:$C,3,FALSE)</f>
        <v>ステータス情報は長押しで</v>
      </c>
      <c r="N157" s="122" t="str">
        <f>VLOOKUP(K157,[6]stage_hints!$A:$D,4,FALSE)</f>
        <v>ユニットのアイコンを長押しすると_x000D_ステータス情報を確認することができます</v>
      </c>
      <c r="O157" s="36" t="s">
        <v>235</v>
      </c>
      <c r="P157">
        <v>28</v>
      </c>
    </row>
    <row r="158" spans="1:16" x14ac:dyDescent="0.15">
      <c r="A158" s="114" t="str">
        <f t="shared" si="2"/>
        <v>11007_3_25</v>
      </c>
      <c r="B158" s="115" t="s">
        <v>231</v>
      </c>
      <c r="C158" s="116">
        <v>11007</v>
      </c>
      <c r="D158" s="117" t="str">
        <f ca="1">VLOOKUP($C158,OFFSET([2]quests!$A$1,0,0,COUNTA([2]quests!$A:$A),MATCH(D$1,[2]quests!$1:$1,0)-MATCH($C$1,[2]quests!$1:$1,0)+1),MATCH(D$1,[2]quests!$1:$1,0)-MATCH($C$1,[2]quests!$1:$1,0)+1,FALSE)</f>
        <v>【土曜限定】 赤と緑の素材</v>
      </c>
      <c r="E158" s="117" t="str">
        <f ca="1">VLOOKUP($C158,OFFSET([2]quests!$A$1,0,0,COUNTA([2]quests!$A:$A),MATCH(E$1,[2]quests!$1:$1,0)-MATCH($C$1,[2]quests!$1:$1,0)+1),MATCH(E$1,[2]quests!$1:$1,0)-MATCH($C$1,[2]quests!$1:$1,0)+1,FALSE)</f>
        <v>土曜クエスト</v>
      </c>
      <c r="F158" s="118">
        <v>3</v>
      </c>
      <c r="G158" s="117" t="str">
        <f ca="1">VLOOKUP($C158&amp;"_"&amp;$F158,OFFSET([2]stages!$A$1,0,0,COUNTA([2]stages!$A:$A),MATCH(G$1,[2]stages!$2:$2,0)-MATCH("temp_stage",[2]stages!$2:$2,0)+1),MATCH(G$1,[2]stages!$2:$2,0)-MATCH("temp_stage",[2]stages!$2:$2,0)+1,FALSE)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8" s="117" t="str">
        <f ca="1">VLOOKUP($C158&amp;"_"&amp;$F158,OFFSET([2]stages!$A$1,0,0,COUNTA([2]stages!$A:$A),MATCH(H$1,[2]stages!$2:$2,0)-MATCH("temp_stage",[2]stages!$2:$2,0)+1),MATCH(H$1,[2]stages!$2:$2,0)-MATCH("temp_stage",[2]stages!$2:$2,0)+1,FALSE)</f>
        <v>土曜クエスト</v>
      </c>
      <c r="I158" s="119">
        <v>0</v>
      </c>
      <c r="J158" s="118">
        <f>COUNTIF(C$1:C158,C158)</f>
        <v>25</v>
      </c>
      <c r="K158" s="120">
        <v>29</v>
      </c>
      <c r="L158" s="118" t="s">
        <v>234</v>
      </c>
      <c r="M158" s="121" t="str">
        <f>VLOOKUP(K158,[6]stage_hints!$A:$C,3,FALSE)</f>
        <v>「バグ」のメリット</v>
      </c>
      <c r="N158" s="122" t="str">
        <f>VLOOKUP(K158,[6]stage_hints!$A:$D,4,FALSE)</f>
        <v>ユニットの「バグ」を増やすと_x000D_報酬をもらえる確率がアップします</v>
      </c>
      <c r="O158" s="36" t="s">
        <v>235</v>
      </c>
      <c r="P158">
        <v>29</v>
      </c>
    </row>
    <row r="159" spans="1:16" x14ac:dyDescent="0.15">
      <c r="A159" s="114" t="str">
        <f t="shared" si="2"/>
        <v>11007_3_26</v>
      </c>
      <c r="B159" s="115" t="s">
        <v>231</v>
      </c>
      <c r="C159" s="116">
        <v>11007</v>
      </c>
      <c r="D159" s="117" t="str">
        <f ca="1">VLOOKUP($C159,OFFSET([2]quests!$A$1,0,0,COUNTA([2]quests!$A:$A),MATCH(D$1,[2]quests!$1:$1,0)-MATCH($C$1,[2]quests!$1:$1,0)+1),MATCH(D$1,[2]quests!$1:$1,0)-MATCH($C$1,[2]quests!$1:$1,0)+1,FALSE)</f>
        <v>【土曜限定】 赤と緑の素材</v>
      </c>
      <c r="E159" s="117" t="str">
        <f ca="1">VLOOKUP($C159,OFFSET([2]quests!$A$1,0,0,COUNTA([2]quests!$A:$A),MATCH(E$1,[2]quests!$1:$1,0)-MATCH($C$1,[2]quests!$1:$1,0)+1),MATCH(E$1,[2]quests!$1:$1,0)-MATCH($C$1,[2]quests!$1:$1,0)+1,FALSE)</f>
        <v>土曜クエスト</v>
      </c>
      <c r="F159" s="118">
        <v>3</v>
      </c>
      <c r="G159" s="117" t="str">
        <f ca="1">VLOOKUP($C159&amp;"_"&amp;$F159,OFFSET([2]stages!$A$1,0,0,COUNTA([2]stages!$A:$A),MATCH(G$1,[2]stages!$2:$2,0)-MATCH("temp_stage",[2]stages!$2:$2,0)+1),MATCH(G$1,[2]stages!$2:$2,0)-MATCH("temp_stage",[2]stages!$2:$2,0)+1,FALSE)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59" s="117" t="str">
        <f ca="1">VLOOKUP($C159&amp;"_"&amp;$F159,OFFSET([2]stages!$A$1,0,0,COUNTA([2]stages!$A:$A),MATCH(H$1,[2]stages!$2:$2,0)-MATCH("temp_stage",[2]stages!$2:$2,0)+1),MATCH(H$1,[2]stages!$2:$2,0)-MATCH("temp_stage",[2]stages!$2:$2,0)+1,FALSE)</f>
        <v>土曜クエスト</v>
      </c>
      <c r="I159" s="119">
        <v>0</v>
      </c>
      <c r="J159" s="118">
        <f>COUNTIF(C$1:C159,C159)</f>
        <v>26</v>
      </c>
      <c r="K159" s="120">
        <v>30</v>
      </c>
      <c r="L159" s="118" t="s">
        <v>234</v>
      </c>
      <c r="M159" s="121" t="str">
        <f>VLOOKUP(K159,[6]stage_hints!$A:$C,3,FALSE)</f>
        <v>「バグ」の増やし方</v>
      </c>
      <c r="N159" s="122" t="str">
        <f>VLOOKUP(K159,[6]stage_hints!$A:$D,4,FALSE)</f>
        <v>同じユニット同士を強化で合成すると_x000D_「バグ」を増やすことができます</v>
      </c>
      <c r="O159" s="36" t="s">
        <v>235</v>
      </c>
      <c r="P159">
        <v>30</v>
      </c>
    </row>
    <row r="160" spans="1:16" x14ac:dyDescent="0.15">
      <c r="A160" s="114" t="str">
        <f t="shared" si="2"/>
        <v>11007_3_27</v>
      </c>
      <c r="B160" s="115" t="s">
        <v>231</v>
      </c>
      <c r="C160" s="116">
        <v>11007</v>
      </c>
      <c r="D160" s="117" t="str">
        <f ca="1">VLOOKUP($C160,OFFSET([2]quests!$A$1,0,0,COUNTA([2]quests!$A:$A),MATCH(D$1,[2]quests!$1:$1,0)-MATCH($C$1,[2]quests!$1:$1,0)+1),MATCH(D$1,[2]quests!$1:$1,0)-MATCH($C$1,[2]quests!$1:$1,0)+1,FALSE)</f>
        <v>【土曜限定】 赤と緑の素材</v>
      </c>
      <c r="E160" s="117" t="str">
        <f ca="1">VLOOKUP($C160,OFFSET([2]quests!$A$1,0,0,COUNTA([2]quests!$A:$A),MATCH(E$1,[2]quests!$1:$1,0)-MATCH($C$1,[2]quests!$1:$1,0)+1),MATCH(E$1,[2]quests!$1:$1,0)-MATCH($C$1,[2]quests!$1:$1,0)+1,FALSE)</f>
        <v>土曜クエスト</v>
      </c>
      <c r="F160" s="118">
        <v>3</v>
      </c>
      <c r="G160" s="117" t="str">
        <f ca="1">VLOOKUP($C160&amp;"_"&amp;$F160,OFFSET([2]stages!$A$1,0,0,COUNTA([2]stages!$A:$A),MATCH(G$1,[2]stages!$2:$2,0)-MATCH("temp_stage",[2]stages!$2:$2,0)+1),MATCH(G$1,[2]stages!$2:$2,0)-MATCH("temp_stage",[2]stages!$2:$2,0)+1,FALSE)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0" s="117" t="str">
        <f ca="1">VLOOKUP($C160&amp;"_"&amp;$F160,OFFSET([2]stages!$A$1,0,0,COUNTA([2]stages!$A:$A),MATCH(H$1,[2]stages!$2:$2,0)-MATCH("temp_stage",[2]stages!$2:$2,0)+1),MATCH(H$1,[2]stages!$2:$2,0)-MATCH("temp_stage",[2]stages!$2:$2,0)+1,FALSE)</f>
        <v>土曜クエスト</v>
      </c>
      <c r="I160" s="119">
        <v>0</v>
      </c>
      <c r="J160" s="118">
        <f>COUNTIF(C$1:C160,C160)</f>
        <v>27</v>
      </c>
      <c r="K160" s="120">
        <v>31</v>
      </c>
      <c r="L160" s="118" t="s">
        <v>234</v>
      </c>
      <c r="M160" s="121" t="str">
        <f>VLOOKUP(K160,[6]stage_hints!$A:$C,3,FALSE)</f>
        <v>イベントはお知らせでチェック</v>
      </c>
      <c r="N160" s="122" t="str">
        <f>VLOOKUP(K160,[6]stage_hints!$A:$D,4,FALSE)</f>
        <v>イベント限定ユニットを取り忘れないように_x000D_お知らせをこまめにチェックしましょう</v>
      </c>
      <c r="O160" s="36" t="s">
        <v>235</v>
      </c>
      <c r="P160">
        <v>31</v>
      </c>
    </row>
    <row r="161" spans="1:16" x14ac:dyDescent="0.15">
      <c r="A161" s="114" t="str">
        <f t="shared" si="2"/>
        <v>11007_3_28</v>
      </c>
      <c r="B161" s="115" t="s">
        <v>231</v>
      </c>
      <c r="C161" s="116">
        <v>11007</v>
      </c>
      <c r="D161" s="117" t="str">
        <f ca="1">VLOOKUP($C161,OFFSET([2]quests!$A$1,0,0,COUNTA([2]quests!$A:$A),MATCH(D$1,[2]quests!$1:$1,0)-MATCH($C$1,[2]quests!$1:$1,0)+1),MATCH(D$1,[2]quests!$1:$1,0)-MATCH($C$1,[2]quests!$1:$1,0)+1,FALSE)</f>
        <v>【土曜限定】 赤と緑の素材</v>
      </c>
      <c r="E161" s="117" t="str">
        <f ca="1">VLOOKUP($C161,OFFSET([2]quests!$A$1,0,0,COUNTA([2]quests!$A:$A),MATCH(E$1,[2]quests!$1:$1,0)-MATCH($C$1,[2]quests!$1:$1,0)+1),MATCH(E$1,[2]quests!$1:$1,0)-MATCH($C$1,[2]quests!$1:$1,0)+1,FALSE)</f>
        <v>土曜クエスト</v>
      </c>
      <c r="F161" s="118">
        <v>3</v>
      </c>
      <c r="G161" s="117" t="str">
        <f ca="1">VLOOKUP($C161&amp;"_"&amp;$F161,OFFSET([2]stages!$A$1,0,0,COUNTA([2]stages!$A:$A),MATCH(G$1,[2]stages!$2:$2,0)-MATCH("temp_stage",[2]stages!$2:$2,0)+1),MATCH(G$1,[2]stages!$2:$2,0)-MATCH("temp_stage",[2]stages!$2:$2,0)+1,FALSE)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1" s="117" t="str">
        <f ca="1">VLOOKUP($C161&amp;"_"&amp;$F161,OFFSET([2]stages!$A$1,0,0,COUNTA([2]stages!$A:$A),MATCH(H$1,[2]stages!$2:$2,0)-MATCH("temp_stage",[2]stages!$2:$2,0)+1),MATCH(H$1,[2]stages!$2:$2,0)-MATCH("temp_stage",[2]stages!$2:$2,0)+1,FALSE)</f>
        <v>土曜クエスト</v>
      </c>
      <c r="I161" s="119">
        <v>0</v>
      </c>
      <c r="J161" s="118">
        <f>COUNTIF(C$1:C161,C161)</f>
        <v>28</v>
      </c>
      <c r="K161" s="120">
        <v>32</v>
      </c>
      <c r="L161" s="118" t="s">
        <v>234</v>
      </c>
      <c r="M161" s="121" t="str">
        <f>VLOOKUP(K161,[6]stage_hints!$A:$C,3,FALSE)</f>
        <v>敵の連続攻撃には</v>
      </c>
      <c r="N161" s="122" t="str">
        <f>VLOOKUP(K161,[6]stage_hints!$A:$D,4,FALSE)</f>
        <v>カウンタースキルを持つユニットがいれば_x000D_ダメージ回数分の反撃ができます</v>
      </c>
      <c r="O161" s="36" t="s">
        <v>235</v>
      </c>
      <c r="P161">
        <v>32</v>
      </c>
    </row>
    <row r="162" spans="1:16" x14ac:dyDescent="0.15">
      <c r="A162" s="114" t="str">
        <f t="shared" si="2"/>
        <v>11007_3_29</v>
      </c>
      <c r="B162" s="115" t="s">
        <v>231</v>
      </c>
      <c r="C162" s="116">
        <v>11007</v>
      </c>
      <c r="D162" s="117" t="str">
        <f ca="1">VLOOKUP($C162,OFFSET([2]quests!$A$1,0,0,COUNTA([2]quests!$A:$A),MATCH(D$1,[2]quests!$1:$1,0)-MATCH($C$1,[2]quests!$1:$1,0)+1),MATCH(D$1,[2]quests!$1:$1,0)-MATCH($C$1,[2]quests!$1:$1,0)+1,FALSE)</f>
        <v>【土曜限定】 赤と緑の素材</v>
      </c>
      <c r="E162" s="117" t="str">
        <f ca="1">VLOOKUP($C162,OFFSET([2]quests!$A$1,0,0,COUNTA([2]quests!$A:$A),MATCH(E$1,[2]quests!$1:$1,0)-MATCH($C$1,[2]quests!$1:$1,0)+1),MATCH(E$1,[2]quests!$1:$1,0)-MATCH($C$1,[2]quests!$1:$1,0)+1,FALSE)</f>
        <v>土曜クエスト</v>
      </c>
      <c r="F162" s="118">
        <v>3</v>
      </c>
      <c r="G162" s="117" t="str">
        <f ca="1">VLOOKUP($C162&amp;"_"&amp;$F162,OFFSET([2]stages!$A$1,0,0,COUNTA([2]stages!$A:$A),MATCH(G$1,[2]stages!$2:$2,0)-MATCH("temp_stage",[2]stages!$2:$2,0)+1),MATCH(G$1,[2]stages!$2:$2,0)-MATCH("temp_stage",[2]stages!$2:$2,0)+1,FALSE)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2" s="117" t="str">
        <f ca="1">VLOOKUP($C162&amp;"_"&amp;$F162,OFFSET([2]stages!$A$1,0,0,COUNTA([2]stages!$A:$A),MATCH(H$1,[2]stages!$2:$2,0)-MATCH("temp_stage",[2]stages!$2:$2,0)+1),MATCH(H$1,[2]stages!$2:$2,0)-MATCH("temp_stage",[2]stages!$2:$2,0)+1,FALSE)</f>
        <v>土曜クエスト</v>
      </c>
      <c r="I162" s="119">
        <v>0</v>
      </c>
      <c r="J162" s="118">
        <f>COUNTIF(C$1:C162,C162)</f>
        <v>29</v>
      </c>
      <c r="K162" s="120">
        <v>33</v>
      </c>
      <c r="L162" s="118" t="s">
        <v>234</v>
      </c>
      <c r="M162" s="121" t="str">
        <f>VLOOKUP(K162,[6]stage_hints!$A:$C,3,FALSE)</f>
        <v>敵のカウンター攻撃には</v>
      </c>
      <c r="N162" s="122" t="str">
        <f>VLOOKUP(K162,[6]stage_hints!$A:$D,4,FALSE)</f>
        <v>カウンターブレイクスキルを持っていれば_x000D_敵のカウンターを解除して攻撃ができます</v>
      </c>
      <c r="O162" s="36" t="s">
        <v>235</v>
      </c>
      <c r="P162">
        <v>33</v>
      </c>
    </row>
    <row r="163" spans="1:16" x14ac:dyDescent="0.15">
      <c r="A163" s="114" t="str">
        <f t="shared" si="2"/>
        <v>11007_3_30</v>
      </c>
      <c r="B163" s="115" t="s">
        <v>231</v>
      </c>
      <c r="C163" s="116">
        <v>11007</v>
      </c>
      <c r="D163" s="117" t="str">
        <f ca="1">VLOOKUP($C163,OFFSET([2]quests!$A$1,0,0,COUNTA([2]quests!$A:$A),MATCH(D$1,[2]quests!$1:$1,0)-MATCH($C$1,[2]quests!$1:$1,0)+1),MATCH(D$1,[2]quests!$1:$1,0)-MATCH($C$1,[2]quests!$1:$1,0)+1,FALSE)</f>
        <v>【土曜限定】 赤と緑の素材</v>
      </c>
      <c r="E163" s="117" t="str">
        <f ca="1">VLOOKUP($C163,OFFSET([2]quests!$A$1,0,0,COUNTA([2]quests!$A:$A),MATCH(E$1,[2]quests!$1:$1,0)-MATCH($C$1,[2]quests!$1:$1,0)+1),MATCH(E$1,[2]quests!$1:$1,0)-MATCH($C$1,[2]quests!$1:$1,0)+1,FALSE)</f>
        <v>土曜クエスト</v>
      </c>
      <c r="F163" s="118">
        <v>3</v>
      </c>
      <c r="G163" s="117" t="str">
        <f ca="1">VLOOKUP($C163&amp;"_"&amp;$F163,OFFSET([2]stages!$A$1,0,0,COUNTA([2]stages!$A:$A),MATCH(G$1,[2]stages!$2:$2,0)-MATCH("temp_stage",[2]stages!$2:$2,0)+1),MATCH(G$1,[2]stages!$2:$2,0)-MATCH("temp_stage",[2]stages!$2:$2,0)+1,FALSE)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3" s="117" t="str">
        <f ca="1">VLOOKUP($C163&amp;"_"&amp;$F163,OFFSET([2]stages!$A$1,0,0,COUNTA([2]stages!$A:$A),MATCH(H$1,[2]stages!$2:$2,0)-MATCH("temp_stage",[2]stages!$2:$2,0)+1),MATCH(H$1,[2]stages!$2:$2,0)-MATCH("temp_stage",[2]stages!$2:$2,0)+1,FALSE)</f>
        <v>土曜クエスト</v>
      </c>
      <c r="I163" s="119">
        <v>0</v>
      </c>
      <c r="J163" s="118">
        <f>COUNTIF(C$1:C163,C163)</f>
        <v>30</v>
      </c>
      <c r="K163" s="120">
        <v>34</v>
      </c>
      <c r="L163" s="118" t="s">
        <v>234</v>
      </c>
      <c r="M163" s="121" t="str">
        <f>VLOOKUP(K163,[6]stage_hints!$A:$C,3,FALSE)</f>
        <v>ステータスをスキルで下げられたら</v>
      </c>
      <c r="N163" s="122" t="str">
        <f>VLOOKUP(K163,[6]stage_hints!$A:$D,4,FALSE)</f>
        <v>ステータスダウンのスキルを受けたら_x000D_ステータスアップスキルで上書きしましょう</v>
      </c>
      <c r="O163" s="36" t="s">
        <v>235</v>
      </c>
      <c r="P163">
        <v>34</v>
      </c>
    </row>
    <row r="164" spans="1:16" x14ac:dyDescent="0.15">
      <c r="A164" s="114" t="str">
        <f t="shared" si="2"/>
        <v>11007_3_31</v>
      </c>
      <c r="B164" s="115" t="s">
        <v>231</v>
      </c>
      <c r="C164" s="116">
        <v>11007</v>
      </c>
      <c r="D164" s="117" t="str">
        <f ca="1">VLOOKUP($C164,OFFSET([2]quests!$A$1,0,0,COUNTA([2]quests!$A:$A),MATCH(D$1,[2]quests!$1:$1,0)-MATCH($C$1,[2]quests!$1:$1,0)+1),MATCH(D$1,[2]quests!$1:$1,0)-MATCH($C$1,[2]quests!$1:$1,0)+1,FALSE)</f>
        <v>【土曜限定】 赤と緑の素材</v>
      </c>
      <c r="E164" s="117" t="str">
        <f ca="1">VLOOKUP($C164,OFFSET([2]quests!$A$1,0,0,COUNTA([2]quests!$A:$A),MATCH(E$1,[2]quests!$1:$1,0)-MATCH($C$1,[2]quests!$1:$1,0)+1),MATCH(E$1,[2]quests!$1:$1,0)-MATCH($C$1,[2]quests!$1:$1,0)+1,FALSE)</f>
        <v>土曜クエスト</v>
      </c>
      <c r="F164" s="118">
        <v>3</v>
      </c>
      <c r="G164" s="117" t="str">
        <f ca="1">VLOOKUP($C164&amp;"_"&amp;$F164,OFFSET([2]stages!$A$1,0,0,COUNTA([2]stages!$A:$A),MATCH(G$1,[2]stages!$2:$2,0)-MATCH("temp_stage",[2]stages!$2:$2,0)+1),MATCH(G$1,[2]stages!$2:$2,0)-MATCH("temp_stage",[2]stages!$2:$2,0)+1,FALSE)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4" s="117" t="str">
        <f ca="1">VLOOKUP($C164&amp;"_"&amp;$F164,OFFSET([2]stages!$A$1,0,0,COUNTA([2]stages!$A:$A),MATCH(H$1,[2]stages!$2:$2,0)-MATCH("temp_stage",[2]stages!$2:$2,0)+1),MATCH(H$1,[2]stages!$2:$2,0)-MATCH("temp_stage",[2]stages!$2:$2,0)+1,FALSE)</f>
        <v>土曜クエスト</v>
      </c>
      <c r="I164" s="119">
        <v>0</v>
      </c>
      <c r="J164" s="118">
        <f>COUNTIF(C$1:C164,C164)</f>
        <v>31</v>
      </c>
      <c r="K164" s="120">
        <v>35</v>
      </c>
      <c r="L164" s="118" t="s">
        <v>285</v>
      </c>
      <c r="M164" s="121" t="str">
        <f>VLOOKUP(K164,[6]stage_hints!$A:$C,3,FALSE)</f>
        <v>敵のステータスがスキルで上がったら</v>
      </c>
      <c r="N164" s="122" t="str">
        <f>VLOOKUP(K164,[6]stage_hints!$A:$D,4,FALSE)</f>
        <v>敵のステータスがスキルでアップしたときは_x000D_ステータスダウンスキルで上書きしましょう</v>
      </c>
      <c r="O164" s="36" t="s">
        <v>235</v>
      </c>
      <c r="P164">
        <v>35</v>
      </c>
    </row>
    <row r="165" spans="1:16" x14ac:dyDescent="0.15">
      <c r="A165" s="114" t="str">
        <f t="shared" si="2"/>
        <v>11007_3_32</v>
      </c>
      <c r="B165" s="115" t="s">
        <v>231</v>
      </c>
      <c r="C165" s="116">
        <v>11007</v>
      </c>
      <c r="D165" s="117" t="str">
        <f ca="1">VLOOKUP($C165,OFFSET([2]quests!$A$1,0,0,COUNTA([2]quests!$A:$A),MATCH(D$1,[2]quests!$1:$1,0)-MATCH($C$1,[2]quests!$1:$1,0)+1),MATCH(D$1,[2]quests!$1:$1,0)-MATCH($C$1,[2]quests!$1:$1,0)+1,FALSE)</f>
        <v>【土曜限定】 赤と緑の素材</v>
      </c>
      <c r="E165" s="117" t="str">
        <f ca="1">VLOOKUP($C165,OFFSET([2]quests!$A$1,0,0,COUNTA([2]quests!$A:$A),MATCH(E$1,[2]quests!$1:$1,0)-MATCH($C$1,[2]quests!$1:$1,0)+1),MATCH(E$1,[2]quests!$1:$1,0)-MATCH($C$1,[2]quests!$1:$1,0)+1,FALSE)</f>
        <v>土曜クエスト</v>
      </c>
      <c r="F165" s="118">
        <v>3</v>
      </c>
      <c r="G165" s="117" t="str">
        <f ca="1">VLOOKUP($C165&amp;"_"&amp;$F165,OFFSET([2]stages!$A$1,0,0,COUNTA([2]stages!$A:$A),MATCH(G$1,[2]stages!$2:$2,0)-MATCH("temp_stage",[2]stages!$2:$2,0)+1),MATCH(G$1,[2]stages!$2:$2,0)-MATCH("temp_stage",[2]stages!$2:$2,0)+1,FALSE)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5" s="117" t="str">
        <f ca="1">VLOOKUP($C165&amp;"_"&amp;$F165,OFFSET([2]stages!$A$1,0,0,COUNTA([2]stages!$A:$A),MATCH(H$1,[2]stages!$2:$2,0)-MATCH("temp_stage",[2]stages!$2:$2,0)+1),MATCH(H$1,[2]stages!$2:$2,0)-MATCH("temp_stage",[2]stages!$2:$2,0)+1,FALSE)</f>
        <v>土曜クエスト</v>
      </c>
      <c r="I165" s="119">
        <v>0</v>
      </c>
      <c r="J165" s="118">
        <f>COUNTIF(C$1:C165,C165)</f>
        <v>32</v>
      </c>
      <c r="K165" s="120">
        <v>36</v>
      </c>
      <c r="L165" s="118" t="s">
        <v>234</v>
      </c>
      <c r="M165" s="121" t="str">
        <f>VLOOKUP(K165,[6]stage_hints!$A:$C,3,FALSE)</f>
        <v>タワーオブザクイーンのボス</v>
      </c>
      <c r="N165" s="122" t="str">
        <f>VLOOKUP(K165,[6]stage_hints!$A:$D,4,FALSE)</f>
        <v>「タワーオブザクイーン」最上階のボスは_x000D_15階の初回クリア報酬で獲得できるほか_x000D_その階にて低確率でドロップもします</v>
      </c>
      <c r="O165" s="36" t="s">
        <v>235</v>
      </c>
      <c r="P165">
        <v>36</v>
      </c>
    </row>
    <row r="166" spans="1:16" x14ac:dyDescent="0.15">
      <c r="A166" s="114" t="str">
        <f t="shared" si="2"/>
        <v>11007_3_33</v>
      </c>
      <c r="B166" s="115" t="s">
        <v>231</v>
      </c>
      <c r="C166" s="116">
        <v>11007</v>
      </c>
      <c r="D166" s="117" t="str">
        <f ca="1">VLOOKUP($C166,OFFSET([2]quests!$A$1,0,0,COUNTA([2]quests!$A:$A),MATCH(D$1,[2]quests!$1:$1,0)-MATCH($C$1,[2]quests!$1:$1,0)+1),MATCH(D$1,[2]quests!$1:$1,0)-MATCH($C$1,[2]quests!$1:$1,0)+1,FALSE)</f>
        <v>【土曜限定】 赤と緑の素材</v>
      </c>
      <c r="E166" s="117" t="str">
        <f ca="1">VLOOKUP($C166,OFFSET([2]quests!$A$1,0,0,COUNTA([2]quests!$A:$A),MATCH(E$1,[2]quests!$1:$1,0)-MATCH($C$1,[2]quests!$1:$1,0)+1),MATCH(E$1,[2]quests!$1:$1,0)-MATCH($C$1,[2]quests!$1:$1,0)+1,FALSE)</f>
        <v>土曜クエスト</v>
      </c>
      <c r="F166" s="118">
        <v>3</v>
      </c>
      <c r="G166" s="117" t="str">
        <f ca="1">VLOOKUP($C166&amp;"_"&amp;$F166,OFFSET([2]stages!$A$1,0,0,COUNTA([2]stages!$A:$A),MATCH(G$1,[2]stages!$2:$2,0)-MATCH("temp_stage",[2]stages!$2:$2,0)+1),MATCH(G$1,[2]stages!$2:$2,0)-MATCH("temp_stage",[2]stages!$2:$2,0)+1,FALSE)</f>
        <v xml:space="preserve">【上級】火と樹のイモムシ </v>
      </c>
      <c r="H166" s="117" t="str">
        <f ca="1">VLOOKUP($C166&amp;"_"&amp;$F166,OFFSET([2]stages!$A$1,0,0,COUNTA([2]stages!$A:$A),MATCH(H$1,[2]stages!$2:$2,0)-MATCH("temp_stage",[2]stages!$2:$2,0)+1),MATCH(H$1,[2]stages!$2:$2,0)-MATCH("temp_stage",[2]stages!$2:$2,0)+1,FALSE)</f>
        <v>土曜クエスト</v>
      </c>
      <c r="I166" s="119">
        <v>0</v>
      </c>
      <c r="J166" s="118">
        <f>COUNTIF(C$1:C166,C166)</f>
        <v>33</v>
      </c>
      <c r="K166" s="120">
        <v>37</v>
      </c>
      <c r="L166" s="118" t="s">
        <v>286</v>
      </c>
      <c r="M166" s="121" t="str">
        <f>VLOOKUP(K166,[6]stage_hints!$A:$C,3,FALSE)</f>
        <v>限界突破値の引き継ぎ</v>
      </c>
      <c r="N166" s="122" t="str">
        <f>VLOOKUP(K166,[6]stage_hints!$A:$D,4,FALSE)</f>
        <v>同じユニットを強化で合成すると_x000D_限界突破値を引き継げます（覚醒前後も可）</v>
      </c>
      <c r="O166" s="36" t="s">
        <v>287</v>
      </c>
      <c r="P166">
        <v>37</v>
      </c>
    </row>
    <row r="167" spans="1:16" x14ac:dyDescent="0.15">
      <c r="A167" s="114" t="str">
        <f t="shared" si="2"/>
        <v>11008_3_1</v>
      </c>
      <c r="B167" s="115" t="s">
        <v>231</v>
      </c>
      <c r="C167" s="116">
        <v>11008</v>
      </c>
      <c r="D167" s="117" t="str">
        <f ca="1">VLOOKUP($C167,OFFSET([2]quests!$A$1,0,0,COUNTA([2]quests!$A:$A),MATCH(D$1,[2]quests!$1:$1,0)-MATCH($C$1,[2]quests!$1:$1,0)+1),MATCH(D$1,[2]quests!$1:$1,0)-MATCH($C$1,[2]quests!$1:$1,0)+1,FALSE)</f>
        <v>【日曜限定】 青と黄の素材</v>
      </c>
      <c r="E167" s="117" t="str">
        <f ca="1">VLOOKUP($C167,OFFSET([2]quests!$A$1,0,0,COUNTA([2]quests!$A:$A),MATCH(E$1,[2]quests!$1:$1,0)-MATCH($C$1,[2]quests!$1:$1,0)+1),MATCH(E$1,[2]quests!$1:$1,0)-MATCH($C$1,[2]quests!$1:$1,0)+1,FALSE)</f>
        <v>日曜クエスト</v>
      </c>
      <c r="F167" s="118">
        <v>3</v>
      </c>
      <c r="G167" s="117" t="str">
        <f ca="1">VLOOKUP($C167&amp;"_"&amp;$F167,OFFSET([2]stages!$A$1,0,0,COUNTA([2]stages!$A:$A),MATCH(G$1,[2]stages!$2:$2,0)-MATCH("temp_stage",[2]stages!$2:$2,0)+1),MATCH(G$1,[2]stages!$2:$2,0)-MATCH("temp_stage",[2]stages!$2:$2,0)+1,FALSE)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67" s="117" t="str">
        <f ca="1">VLOOKUP($C167&amp;"_"&amp;$F167,OFFSET([2]stages!$A$1,0,0,COUNTA([2]stages!$A:$A),MATCH(H$1,[2]stages!$2:$2,0)-MATCH("temp_stage",[2]stages!$2:$2,0)+1),MATCH(H$1,[2]stages!$2:$2,0)-MATCH("temp_stage",[2]stages!$2:$2,0)+1,FALSE)</f>
        <v>日曜クエスト</v>
      </c>
      <c r="I167" s="119">
        <v>0</v>
      </c>
      <c r="J167" s="118">
        <f>COUNTIF(C$1:C167,C167)</f>
        <v>1</v>
      </c>
      <c r="K167" s="120">
        <v>3</v>
      </c>
      <c r="L167" s="118" t="s">
        <v>260</v>
      </c>
      <c r="M167" s="121" t="str">
        <f>VLOOKUP(K167,[6]stage_hints!$A:$C,3,FALSE)</f>
        <v>ターゲット</v>
      </c>
      <c r="N167" s="122" t="str">
        <f>VLOOKUP(K167,[6]stage_hints!$A:$D,4,FALSE)</f>
        <v>敵ユニットをタップすると_x000D_その敵を狙い撃ちできます</v>
      </c>
      <c r="O167" s="36" t="s">
        <v>235</v>
      </c>
      <c r="P167">
        <v>3</v>
      </c>
    </row>
    <row r="168" spans="1:16" x14ac:dyDescent="0.15">
      <c r="A168" s="114" t="str">
        <f t="shared" si="2"/>
        <v>11008_3_2</v>
      </c>
      <c r="B168" s="115" t="s">
        <v>231</v>
      </c>
      <c r="C168" s="116">
        <v>11008</v>
      </c>
      <c r="D168" s="117" t="str">
        <f ca="1">VLOOKUP($C168,OFFSET([2]quests!$A$1,0,0,COUNTA([2]quests!$A:$A),MATCH(D$1,[2]quests!$1:$1,0)-MATCH($C$1,[2]quests!$1:$1,0)+1),MATCH(D$1,[2]quests!$1:$1,0)-MATCH($C$1,[2]quests!$1:$1,0)+1,FALSE)</f>
        <v>【日曜限定】 青と黄の素材</v>
      </c>
      <c r="E168" s="117" t="str">
        <f ca="1">VLOOKUP($C168,OFFSET([2]quests!$A$1,0,0,COUNTA([2]quests!$A:$A),MATCH(E$1,[2]quests!$1:$1,0)-MATCH($C$1,[2]quests!$1:$1,0)+1),MATCH(E$1,[2]quests!$1:$1,0)-MATCH($C$1,[2]quests!$1:$1,0)+1,FALSE)</f>
        <v>日曜クエスト</v>
      </c>
      <c r="F168" s="118">
        <v>3</v>
      </c>
      <c r="G168" s="117" t="str">
        <f ca="1">VLOOKUP($C168&amp;"_"&amp;$F168,OFFSET([2]stages!$A$1,0,0,COUNTA([2]stages!$A:$A),MATCH(G$1,[2]stages!$2:$2,0)-MATCH("temp_stage",[2]stages!$2:$2,0)+1),MATCH(G$1,[2]stages!$2:$2,0)-MATCH("temp_stage",[2]stages!$2:$2,0)+1,FALSE)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68" s="117" t="str">
        <f ca="1">VLOOKUP($C168&amp;"_"&amp;$F168,OFFSET([2]stages!$A$1,0,0,COUNTA([2]stages!$A:$A),MATCH(H$1,[2]stages!$2:$2,0)-MATCH("temp_stage",[2]stages!$2:$2,0)+1),MATCH(H$1,[2]stages!$2:$2,0)-MATCH("temp_stage",[2]stages!$2:$2,0)+1,FALSE)</f>
        <v>日曜クエスト</v>
      </c>
      <c r="I168" s="119">
        <v>0</v>
      </c>
      <c r="J168" s="118">
        <f>COUNTIF(C$1:C168,C168)</f>
        <v>2</v>
      </c>
      <c r="K168" s="120">
        <v>6</v>
      </c>
      <c r="L168" s="118" t="s">
        <v>234</v>
      </c>
      <c r="M168" s="121" t="str">
        <f>VLOOKUP(K168,[6]stage_hints!$A:$C,3,FALSE)</f>
        <v>ユニット強化の属性ボーナス</v>
      </c>
      <c r="N168" s="122" t="str">
        <f>VLOOKUP(K168,[6]stage_hints!$A:$D,4,FALSE)</f>
        <v>同属性ユニットを強化素材にすると_x000D_経験値が多くもらえます</v>
      </c>
      <c r="O168" s="36" t="s">
        <v>288</v>
      </c>
      <c r="P168">
        <v>6</v>
      </c>
    </row>
    <row r="169" spans="1:16" x14ac:dyDescent="0.15">
      <c r="A169" s="114" t="str">
        <f t="shared" si="2"/>
        <v>11008_3_3</v>
      </c>
      <c r="B169" s="115" t="s">
        <v>231</v>
      </c>
      <c r="C169" s="116">
        <v>11008</v>
      </c>
      <c r="D169" s="117" t="str">
        <f ca="1">VLOOKUP($C169,OFFSET([2]quests!$A$1,0,0,COUNTA([2]quests!$A:$A),MATCH(D$1,[2]quests!$1:$1,0)-MATCH($C$1,[2]quests!$1:$1,0)+1),MATCH(D$1,[2]quests!$1:$1,0)-MATCH($C$1,[2]quests!$1:$1,0)+1,FALSE)</f>
        <v>【日曜限定】 青と黄の素材</v>
      </c>
      <c r="E169" s="117" t="str">
        <f ca="1">VLOOKUP($C169,OFFSET([2]quests!$A$1,0,0,COUNTA([2]quests!$A:$A),MATCH(E$1,[2]quests!$1:$1,0)-MATCH($C$1,[2]quests!$1:$1,0)+1),MATCH(E$1,[2]quests!$1:$1,0)-MATCH($C$1,[2]quests!$1:$1,0)+1,FALSE)</f>
        <v>日曜クエスト</v>
      </c>
      <c r="F169" s="118">
        <v>3</v>
      </c>
      <c r="G169" s="117" t="str">
        <f ca="1">VLOOKUP($C169&amp;"_"&amp;$F169,OFFSET([2]stages!$A$1,0,0,COUNTA([2]stages!$A:$A),MATCH(G$1,[2]stages!$2:$2,0)-MATCH("temp_stage",[2]stages!$2:$2,0)+1),MATCH(G$1,[2]stages!$2:$2,0)-MATCH("temp_stage",[2]stages!$2:$2,0)+1,FALSE)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69" s="117" t="str">
        <f ca="1">VLOOKUP($C169&amp;"_"&amp;$F169,OFFSET([2]stages!$A$1,0,0,COUNTA([2]stages!$A:$A),MATCH(H$1,[2]stages!$2:$2,0)-MATCH("temp_stage",[2]stages!$2:$2,0)+1),MATCH(H$1,[2]stages!$2:$2,0)-MATCH("temp_stage",[2]stages!$2:$2,0)+1,FALSE)</f>
        <v>日曜クエスト</v>
      </c>
      <c r="I169" s="119">
        <v>0</v>
      </c>
      <c r="J169" s="118">
        <f>COUNTIF(C$1:C169,C169)</f>
        <v>3</v>
      </c>
      <c r="K169" s="120">
        <v>7</v>
      </c>
      <c r="L169" s="118" t="s">
        <v>234</v>
      </c>
      <c r="M169" s="121" t="str">
        <f>VLOOKUP(K169,[6]stage_hints!$A:$C,3,FALSE)</f>
        <v>メタルダックで経験値を獲得</v>
      </c>
      <c r="N169" s="122" t="str">
        <f>VLOOKUP(K169,[6]stage_hints!$A:$D,4,FALSE)</f>
        <v>「メタルなアヒル」を強化素材にすると_x000D_大量の経験値がもらえます</v>
      </c>
      <c r="O169" s="36" t="s">
        <v>289</v>
      </c>
      <c r="P169">
        <v>7</v>
      </c>
    </row>
    <row r="170" spans="1:16" x14ac:dyDescent="0.15">
      <c r="A170" s="114" t="str">
        <f t="shared" si="2"/>
        <v>11008_3_4</v>
      </c>
      <c r="B170" s="115" t="s">
        <v>231</v>
      </c>
      <c r="C170" s="116">
        <v>11008</v>
      </c>
      <c r="D170" s="117" t="str">
        <f ca="1">VLOOKUP($C170,OFFSET([2]quests!$A$1,0,0,COUNTA([2]quests!$A:$A),MATCH(D$1,[2]quests!$1:$1,0)-MATCH($C$1,[2]quests!$1:$1,0)+1),MATCH(D$1,[2]quests!$1:$1,0)-MATCH($C$1,[2]quests!$1:$1,0)+1,FALSE)</f>
        <v>【日曜限定】 青と黄の素材</v>
      </c>
      <c r="E170" s="117" t="str">
        <f ca="1">VLOOKUP($C170,OFFSET([2]quests!$A$1,0,0,COUNTA([2]quests!$A:$A),MATCH(E$1,[2]quests!$1:$1,0)-MATCH($C$1,[2]quests!$1:$1,0)+1),MATCH(E$1,[2]quests!$1:$1,0)-MATCH($C$1,[2]quests!$1:$1,0)+1,FALSE)</f>
        <v>日曜クエスト</v>
      </c>
      <c r="F170" s="118">
        <v>3</v>
      </c>
      <c r="G170" s="117" t="str">
        <f ca="1">VLOOKUP($C170&amp;"_"&amp;$F170,OFFSET([2]stages!$A$1,0,0,COUNTA([2]stages!$A:$A),MATCH(G$1,[2]stages!$2:$2,0)-MATCH("temp_stage",[2]stages!$2:$2,0)+1),MATCH(G$1,[2]stages!$2:$2,0)-MATCH("temp_stage",[2]stages!$2:$2,0)+1,FALSE)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0" s="117" t="str">
        <f ca="1">VLOOKUP($C170&amp;"_"&amp;$F170,OFFSET([2]stages!$A$1,0,0,COUNTA([2]stages!$A:$A),MATCH(H$1,[2]stages!$2:$2,0)-MATCH("temp_stage",[2]stages!$2:$2,0)+1),MATCH(H$1,[2]stages!$2:$2,0)-MATCH("temp_stage",[2]stages!$2:$2,0)+1,FALSE)</f>
        <v>日曜クエスト</v>
      </c>
      <c r="I170" s="119">
        <v>0</v>
      </c>
      <c r="J170" s="118">
        <f>COUNTIF(C$1:C170,C170)</f>
        <v>4</v>
      </c>
      <c r="K170" s="120">
        <v>8</v>
      </c>
      <c r="L170" s="118" t="s">
        <v>234</v>
      </c>
      <c r="M170" s="121" t="str">
        <f>VLOOKUP(K170,[6]stage_hints!$A:$C,3,FALSE)</f>
        <v>ゲリラクエストは要チェック</v>
      </c>
      <c r="N170" s="122" t="str">
        <f>VLOOKUP(K170,[6]stage_hints!$A:$D,4,FALSE)</f>
        <v>時間限定の「アヒル捕獲作戦」では_x000D_経験値素材ユニットが多く手に入ります</v>
      </c>
      <c r="O170" s="36" t="s">
        <v>235</v>
      </c>
      <c r="P170">
        <v>8</v>
      </c>
    </row>
    <row r="171" spans="1:16" x14ac:dyDescent="0.15">
      <c r="A171" s="114" t="str">
        <f t="shared" si="2"/>
        <v>11008_3_5</v>
      </c>
      <c r="B171" s="115" t="s">
        <v>231</v>
      </c>
      <c r="C171" s="116">
        <v>11008</v>
      </c>
      <c r="D171" s="117" t="str">
        <f ca="1">VLOOKUP($C171,OFFSET([2]quests!$A$1,0,0,COUNTA([2]quests!$A:$A),MATCH(D$1,[2]quests!$1:$1,0)-MATCH($C$1,[2]quests!$1:$1,0)+1),MATCH(D$1,[2]quests!$1:$1,0)-MATCH($C$1,[2]quests!$1:$1,0)+1,FALSE)</f>
        <v>【日曜限定】 青と黄の素材</v>
      </c>
      <c r="E171" s="117" t="str">
        <f ca="1">VLOOKUP($C171,OFFSET([2]quests!$A$1,0,0,COUNTA([2]quests!$A:$A),MATCH(E$1,[2]quests!$1:$1,0)-MATCH($C$1,[2]quests!$1:$1,0)+1),MATCH(E$1,[2]quests!$1:$1,0)-MATCH($C$1,[2]quests!$1:$1,0)+1,FALSE)</f>
        <v>日曜クエスト</v>
      </c>
      <c r="F171" s="118">
        <v>3</v>
      </c>
      <c r="G171" s="117" t="str">
        <f ca="1">VLOOKUP($C171&amp;"_"&amp;$F171,OFFSET([2]stages!$A$1,0,0,COUNTA([2]stages!$A:$A),MATCH(G$1,[2]stages!$2:$2,0)-MATCH("temp_stage",[2]stages!$2:$2,0)+1),MATCH(G$1,[2]stages!$2:$2,0)-MATCH("temp_stage",[2]stages!$2:$2,0)+1,FALSE)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1" s="117" t="str">
        <f ca="1">VLOOKUP($C171&amp;"_"&amp;$F171,OFFSET([2]stages!$A$1,0,0,COUNTA([2]stages!$A:$A),MATCH(H$1,[2]stages!$2:$2,0)-MATCH("temp_stage",[2]stages!$2:$2,0)+1),MATCH(H$1,[2]stages!$2:$2,0)-MATCH("temp_stage",[2]stages!$2:$2,0)+1,FALSE)</f>
        <v>日曜クエスト</v>
      </c>
      <c r="I171" s="119">
        <v>0</v>
      </c>
      <c r="J171" s="118">
        <f>COUNTIF(C$1:C171,C171)</f>
        <v>5</v>
      </c>
      <c r="K171" s="120">
        <v>9</v>
      </c>
      <c r="L171" s="118" t="s">
        <v>290</v>
      </c>
      <c r="M171" s="121" t="str">
        <f>VLOOKUP(K171,[6]stage_hints!$A:$C,3,FALSE)</f>
        <v>ゴールドダックでビットを獲得</v>
      </c>
      <c r="N171" s="122" t="str">
        <f>VLOOKUP(K171,[6]stage_hints!$A:$D,4,FALSE)</f>
        <v>「ゴールドなアヒル」を売却すると_x000D_大量のビットがもらえます</v>
      </c>
      <c r="O171" s="36" t="s">
        <v>291</v>
      </c>
      <c r="P171">
        <v>9</v>
      </c>
    </row>
    <row r="172" spans="1:16" x14ac:dyDescent="0.15">
      <c r="A172" s="114" t="str">
        <f t="shared" si="2"/>
        <v>11008_3_6</v>
      </c>
      <c r="B172" s="115" t="s">
        <v>231</v>
      </c>
      <c r="C172" s="116">
        <v>11008</v>
      </c>
      <c r="D172" s="117" t="str">
        <f ca="1">VLOOKUP($C172,OFFSET([2]quests!$A$1,0,0,COUNTA([2]quests!$A:$A),MATCH(D$1,[2]quests!$1:$1,0)-MATCH($C$1,[2]quests!$1:$1,0)+1),MATCH(D$1,[2]quests!$1:$1,0)-MATCH($C$1,[2]quests!$1:$1,0)+1,FALSE)</f>
        <v>【日曜限定】 青と黄の素材</v>
      </c>
      <c r="E172" s="117" t="str">
        <f ca="1">VLOOKUP($C172,OFFSET([2]quests!$A$1,0,0,COUNTA([2]quests!$A:$A),MATCH(E$1,[2]quests!$1:$1,0)-MATCH($C$1,[2]quests!$1:$1,0)+1),MATCH(E$1,[2]quests!$1:$1,0)-MATCH($C$1,[2]quests!$1:$1,0)+1,FALSE)</f>
        <v>日曜クエスト</v>
      </c>
      <c r="F172" s="118">
        <v>3</v>
      </c>
      <c r="G172" s="117" t="str">
        <f ca="1">VLOOKUP($C172&amp;"_"&amp;$F172,OFFSET([2]stages!$A$1,0,0,COUNTA([2]stages!$A:$A),MATCH(G$1,[2]stages!$2:$2,0)-MATCH("temp_stage",[2]stages!$2:$2,0)+1),MATCH(G$1,[2]stages!$2:$2,0)-MATCH("temp_stage",[2]stages!$2:$2,0)+1,FALSE)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2" s="117" t="str">
        <f ca="1">VLOOKUP($C172&amp;"_"&amp;$F172,OFFSET([2]stages!$A$1,0,0,COUNTA([2]stages!$A:$A),MATCH(H$1,[2]stages!$2:$2,0)-MATCH("temp_stage",[2]stages!$2:$2,0)+1),MATCH(H$1,[2]stages!$2:$2,0)-MATCH("temp_stage",[2]stages!$2:$2,0)+1,FALSE)</f>
        <v>日曜クエスト</v>
      </c>
      <c r="I172" s="119">
        <v>0</v>
      </c>
      <c r="J172" s="118">
        <f>COUNTIF(C$1:C172,C172)</f>
        <v>6</v>
      </c>
      <c r="K172" s="120">
        <v>10</v>
      </c>
      <c r="L172" s="118" t="s">
        <v>234</v>
      </c>
      <c r="M172" s="121" t="str">
        <f>VLOOKUP(K172,[6]stage_hints!$A:$C,3,FALSE)</f>
        <v>土日に大量のビットを獲得</v>
      </c>
      <c r="N172" s="122" t="str">
        <f>VLOOKUP(K172,[6]stage_hints!$A:$D,4,FALSE)</f>
        <v>土日限定の「ゴールドカジノ」では_x000D_売却素材ユニットが多く手に入ります</v>
      </c>
      <c r="O172" s="36" t="s">
        <v>235</v>
      </c>
      <c r="P172">
        <v>10</v>
      </c>
    </row>
    <row r="173" spans="1:16" x14ac:dyDescent="0.15">
      <c r="A173" s="114" t="str">
        <f t="shared" si="2"/>
        <v>11008_3_7</v>
      </c>
      <c r="B173" s="115" t="s">
        <v>231</v>
      </c>
      <c r="C173" s="116">
        <v>11008</v>
      </c>
      <c r="D173" s="117" t="str">
        <f ca="1">VLOOKUP($C173,OFFSET([2]quests!$A$1,0,0,COUNTA([2]quests!$A:$A),MATCH(D$1,[2]quests!$1:$1,0)-MATCH($C$1,[2]quests!$1:$1,0)+1),MATCH(D$1,[2]quests!$1:$1,0)-MATCH($C$1,[2]quests!$1:$1,0)+1,FALSE)</f>
        <v>【日曜限定】 青と黄の素材</v>
      </c>
      <c r="E173" s="117" t="str">
        <f ca="1">VLOOKUP($C173,OFFSET([2]quests!$A$1,0,0,COUNTA([2]quests!$A:$A),MATCH(E$1,[2]quests!$1:$1,0)-MATCH($C$1,[2]quests!$1:$1,0)+1),MATCH(E$1,[2]quests!$1:$1,0)-MATCH($C$1,[2]quests!$1:$1,0)+1,FALSE)</f>
        <v>日曜クエスト</v>
      </c>
      <c r="F173" s="118">
        <v>3</v>
      </c>
      <c r="G173" s="117" t="str">
        <f ca="1">VLOOKUP($C173&amp;"_"&amp;$F173,OFFSET([2]stages!$A$1,0,0,COUNTA([2]stages!$A:$A),MATCH(G$1,[2]stages!$2:$2,0)-MATCH("temp_stage",[2]stages!$2:$2,0)+1),MATCH(G$1,[2]stages!$2:$2,0)-MATCH("temp_stage",[2]stages!$2:$2,0)+1,FALSE)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3" s="117" t="str">
        <f ca="1">VLOOKUP($C173&amp;"_"&amp;$F173,OFFSET([2]stages!$A$1,0,0,COUNTA([2]stages!$A:$A),MATCH(H$1,[2]stages!$2:$2,0)-MATCH("temp_stage",[2]stages!$2:$2,0)+1),MATCH(H$1,[2]stages!$2:$2,0)-MATCH("temp_stage",[2]stages!$2:$2,0)+1,FALSE)</f>
        <v>日曜クエスト</v>
      </c>
      <c r="I173" s="119">
        <v>0</v>
      </c>
      <c r="J173" s="118">
        <f>COUNTIF(C$1:C173,C173)</f>
        <v>7</v>
      </c>
      <c r="K173" s="120">
        <v>11</v>
      </c>
      <c r="L173" s="118" t="s">
        <v>234</v>
      </c>
      <c r="M173" s="121" t="str">
        <f>VLOOKUP(K173,[6]stage_hints!$A:$C,3,FALSE)</f>
        <v>ランク解放クエスト</v>
      </c>
      <c r="N173" s="122" t="str">
        <f>VLOOKUP(K173,[6]stage_hints!$A:$D,4,FALSE)</f>
        <v>一定ランクに到達すると_x000D_報酬付きのランク開放クエストが現れます</v>
      </c>
      <c r="O173" s="36" t="s">
        <v>235</v>
      </c>
      <c r="P173">
        <v>11</v>
      </c>
    </row>
    <row r="174" spans="1:16" x14ac:dyDescent="0.15">
      <c r="A174" s="114" t="str">
        <f t="shared" si="2"/>
        <v>11008_3_8</v>
      </c>
      <c r="B174" s="115" t="s">
        <v>231</v>
      </c>
      <c r="C174" s="116">
        <v>11008</v>
      </c>
      <c r="D174" s="117" t="str">
        <f ca="1">VLOOKUP($C174,OFFSET([2]quests!$A$1,0,0,COUNTA([2]quests!$A:$A),MATCH(D$1,[2]quests!$1:$1,0)-MATCH($C$1,[2]quests!$1:$1,0)+1),MATCH(D$1,[2]quests!$1:$1,0)-MATCH($C$1,[2]quests!$1:$1,0)+1,FALSE)</f>
        <v>【日曜限定】 青と黄の素材</v>
      </c>
      <c r="E174" s="117" t="str">
        <f ca="1">VLOOKUP($C174,OFFSET([2]quests!$A$1,0,0,COUNTA([2]quests!$A:$A),MATCH(E$1,[2]quests!$1:$1,0)-MATCH($C$1,[2]quests!$1:$1,0)+1),MATCH(E$1,[2]quests!$1:$1,0)-MATCH($C$1,[2]quests!$1:$1,0)+1,FALSE)</f>
        <v>日曜クエスト</v>
      </c>
      <c r="F174" s="118">
        <v>3</v>
      </c>
      <c r="G174" s="117" t="str">
        <f ca="1">VLOOKUP($C174&amp;"_"&amp;$F174,OFFSET([2]stages!$A$1,0,0,COUNTA([2]stages!$A:$A),MATCH(G$1,[2]stages!$2:$2,0)-MATCH("temp_stage",[2]stages!$2:$2,0)+1),MATCH(G$1,[2]stages!$2:$2,0)-MATCH("temp_stage",[2]stages!$2:$2,0)+1,FALSE)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4" s="117" t="str">
        <f ca="1">VLOOKUP($C174&amp;"_"&amp;$F174,OFFSET([2]stages!$A$1,0,0,COUNTA([2]stages!$A:$A),MATCH(H$1,[2]stages!$2:$2,0)-MATCH("temp_stage",[2]stages!$2:$2,0)+1),MATCH(H$1,[2]stages!$2:$2,0)-MATCH("temp_stage",[2]stages!$2:$2,0)+1,FALSE)</f>
        <v>日曜クエスト</v>
      </c>
      <c r="I174" s="119">
        <v>0</v>
      </c>
      <c r="J174" s="118">
        <f>COUNTIF(C$1:C174,C174)</f>
        <v>8</v>
      </c>
      <c r="K174" s="120">
        <v>12</v>
      </c>
      <c r="L174" s="118" t="s">
        <v>234</v>
      </c>
      <c r="M174" s="121" t="str">
        <f>VLOOKUP(K174,[6]stage_hints!$A:$C,3,FALSE)</f>
        <v>ユニットのお気に入り登録</v>
      </c>
      <c r="N174" s="122" t="str">
        <f>VLOOKUP(K174,[6]stage_hints!$A:$D,4,FALSE)</f>
        <v>大事なユニットを誤って消さないように_x000D_フォルダから「お気に入り登録」しましょう</v>
      </c>
      <c r="O174" s="36" t="s">
        <v>292</v>
      </c>
      <c r="P174">
        <v>12</v>
      </c>
    </row>
    <row r="175" spans="1:16" x14ac:dyDescent="0.15">
      <c r="A175" s="114" t="str">
        <f t="shared" si="2"/>
        <v>11008_3_9</v>
      </c>
      <c r="B175" s="115" t="s">
        <v>231</v>
      </c>
      <c r="C175" s="116">
        <v>11008</v>
      </c>
      <c r="D175" s="117" t="str">
        <f ca="1">VLOOKUP($C175,OFFSET([2]quests!$A$1,0,0,COUNTA([2]quests!$A:$A),MATCH(D$1,[2]quests!$1:$1,0)-MATCH($C$1,[2]quests!$1:$1,0)+1),MATCH(D$1,[2]quests!$1:$1,0)-MATCH($C$1,[2]quests!$1:$1,0)+1,FALSE)</f>
        <v>【日曜限定】 青と黄の素材</v>
      </c>
      <c r="E175" s="117" t="str">
        <f ca="1">VLOOKUP($C175,OFFSET([2]quests!$A$1,0,0,COUNTA([2]quests!$A:$A),MATCH(E$1,[2]quests!$1:$1,0)-MATCH($C$1,[2]quests!$1:$1,0)+1),MATCH(E$1,[2]quests!$1:$1,0)-MATCH($C$1,[2]quests!$1:$1,0)+1,FALSE)</f>
        <v>日曜クエスト</v>
      </c>
      <c r="F175" s="118">
        <v>3</v>
      </c>
      <c r="G175" s="117" t="str">
        <f ca="1">VLOOKUP($C175&amp;"_"&amp;$F175,OFFSET([2]stages!$A$1,0,0,COUNTA([2]stages!$A:$A),MATCH(G$1,[2]stages!$2:$2,0)-MATCH("temp_stage",[2]stages!$2:$2,0)+1),MATCH(G$1,[2]stages!$2:$2,0)-MATCH("temp_stage",[2]stages!$2:$2,0)+1,FALSE)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5" s="117" t="str">
        <f ca="1">VLOOKUP($C175&amp;"_"&amp;$F175,OFFSET([2]stages!$A$1,0,0,COUNTA([2]stages!$A:$A),MATCH(H$1,[2]stages!$2:$2,0)-MATCH("temp_stage",[2]stages!$2:$2,0)+1),MATCH(H$1,[2]stages!$2:$2,0)-MATCH("temp_stage",[2]stages!$2:$2,0)+1,FALSE)</f>
        <v>日曜クエスト</v>
      </c>
      <c r="I175" s="119">
        <v>0</v>
      </c>
      <c r="J175" s="118">
        <f>COUNTIF(C$1:C175,C175)</f>
        <v>9</v>
      </c>
      <c r="K175" s="120">
        <v>13</v>
      </c>
      <c r="L175" s="118" t="s">
        <v>234</v>
      </c>
      <c r="M175" s="121" t="str">
        <f>VLOOKUP(K175,[6]stage_hints!$A:$C,3,FALSE)</f>
        <v>ユニットの覚醒</v>
      </c>
      <c r="N175" s="122" t="str">
        <f>VLOOKUP(K175,[6]stage_hints!$A:$D,4,FALSE)</f>
        <v>ユニットを覚醒させると_x000D_比べものにならない強さが手に入ります</v>
      </c>
      <c r="O175" s="36" t="s">
        <v>235</v>
      </c>
      <c r="P175">
        <v>13</v>
      </c>
    </row>
    <row r="176" spans="1:16" x14ac:dyDescent="0.15">
      <c r="A176" s="114" t="str">
        <f t="shared" si="2"/>
        <v>11008_3_10</v>
      </c>
      <c r="B176" s="115" t="s">
        <v>231</v>
      </c>
      <c r="C176" s="116">
        <v>11008</v>
      </c>
      <c r="D176" s="117" t="str">
        <f ca="1">VLOOKUP($C176,OFFSET([2]quests!$A$1,0,0,COUNTA([2]quests!$A:$A),MATCH(D$1,[2]quests!$1:$1,0)-MATCH($C$1,[2]quests!$1:$1,0)+1),MATCH(D$1,[2]quests!$1:$1,0)-MATCH($C$1,[2]quests!$1:$1,0)+1,FALSE)</f>
        <v>【日曜限定】 青と黄の素材</v>
      </c>
      <c r="E176" s="117" t="str">
        <f ca="1">VLOOKUP($C176,OFFSET([2]quests!$A$1,0,0,COUNTA([2]quests!$A:$A),MATCH(E$1,[2]quests!$1:$1,0)-MATCH($C$1,[2]quests!$1:$1,0)+1),MATCH(E$1,[2]quests!$1:$1,0)-MATCH($C$1,[2]quests!$1:$1,0)+1,FALSE)</f>
        <v>日曜クエスト</v>
      </c>
      <c r="F176" s="118">
        <v>3</v>
      </c>
      <c r="G176" s="117" t="str">
        <f ca="1">VLOOKUP($C176&amp;"_"&amp;$F176,OFFSET([2]stages!$A$1,0,0,COUNTA([2]stages!$A:$A),MATCH(G$1,[2]stages!$2:$2,0)-MATCH("temp_stage",[2]stages!$2:$2,0)+1),MATCH(G$1,[2]stages!$2:$2,0)-MATCH("temp_stage",[2]stages!$2:$2,0)+1,FALSE)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6" s="117" t="str">
        <f ca="1">VLOOKUP($C176&amp;"_"&amp;$F176,OFFSET([2]stages!$A$1,0,0,COUNTA([2]stages!$A:$A),MATCH(H$1,[2]stages!$2:$2,0)-MATCH("temp_stage",[2]stages!$2:$2,0)+1),MATCH(H$1,[2]stages!$2:$2,0)-MATCH("temp_stage",[2]stages!$2:$2,0)+1,FALSE)</f>
        <v>日曜クエスト</v>
      </c>
      <c r="I176" s="119">
        <v>0</v>
      </c>
      <c r="J176" s="118">
        <f>COUNTIF(C$1:C176,C176)</f>
        <v>10</v>
      </c>
      <c r="K176" s="120">
        <v>14</v>
      </c>
      <c r="L176" s="118" t="s">
        <v>234</v>
      </c>
      <c r="M176" s="121" t="str">
        <f>VLOOKUP(K176,[6]stage_hints!$A:$C,3,FALSE)</f>
        <v>覚醒するにはレベルを最大に</v>
      </c>
      <c r="N176" s="122" t="str">
        <f>VLOOKUP(K176,[6]stage_hints!$A:$D,4,FALSE)</f>
        <v>覚醒するにはユニットのレベルを_x000D_最大まで上げる必要があります</v>
      </c>
      <c r="O176" s="36" t="s">
        <v>291</v>
      </c>
      <c r="P176">
        <v>14</v>
      </c>
    </row>
    <row r="177" spans="1:16" x14ac:dyDescent="0.15">
      <c r="A177" s="114" t="str">
        <f t="shared" si="2"/>
        <v>11008_3_11</v>
      </c>
      <c r="B177" s="115" t="s">
        <v>231</v>
      </c>
      <c r="C177" s="116">
        <v>11008</v>
      </c>
      <c r="D177" s="117" t="str">
        <f ca="1">VLOOKUP($C177,OFFSET([2]quests!$A$1,0,0,COUNTA([2]quests!$A:$A),MATCH(D$1,[2]quests!$1:$1,0)-MATCH($C$1,[2]quests!$1:$1,0)+1),MATCH(D$1,[2]quests!$1:$1,0)-MATCH($C$1,[2]quests!$1:$1,0)+1,FALSE)</f>
        <v>【日曜限定】 青と黄の素材</v>
      </c>
      <c r="E177" s="117" t="str">
        <f ca="1">VLOOKUP($C177,OFFSET([2]quests!$A$1,0,0,COUNTA([2]quests!$A:$A),MATCH(E$1,[2]quests!$1:$1,0)-MATCH($C$1,[2]quests!$1:$1,0)+1),MATCH(E$1,[2]quests!$1:$1,0)-MATCH($C$1,[2]quests!$1:$1,0)+1,FALSE)</f>
        <v>日曜クエスト</v>
      </c>
      <c r="F177" s="118">
        <v>3</v>
      </c>
      <c r="G177" s="117" t="str">
        <f ca="1">VLOOKUP($C177&amp;"_"&amp;$F177,OFFSET([2]stages!$A$1,0,0,COUNTA([2]stages!$A:$A),MATCH(G$1,[2]stages!$2:$2,0)-MATCH("temp_stage",[2]stages!$2:$2,0)+1),MATCH(G$1,[2]stages!$2:$2,0)-MATCH("temp_stage",[2]stages!$2:$2,0)+1,FALSE)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7" s="117" t="str">
        <f ca="1">VLOOKUP($C177&amp;"_"&amp;$F177,OFFSET([2]stages!$A$1,0,0,COUNTA([2]stages!$A:$A),MATCH(H$1,[2]stages!$2:$2,0)-MATCH("temp_stage",[2]stages!$2:$2,0)+1),MATCH(H$1,[2]stages!$2:$2,0)-MATCH("temp_stage",[2]stages!$2:$2,0)+1,FALSE)</f>
        <v>日曜クエスト</v>
      </c>
      <c r="I177" s="119">
        <v>0</v>
      </c>
      <c r="J177" s="118">
        <f>COUNTIF(C$1:C177,C177)</f>
        <v>11</v>
      </c>
      <c r="K177" s="120">
        <v>15</v>
      </c>
      <c r="L177" s="118" t="s">
        <v>234</v>
      </c>
      <c r="M177" s="121" t="str">
        <f>VLOOKUP(K177,[6]stage_hints!$A:$C,3,FALSE)</f>
        <v>覚醒素材を獲得</v>
      </c>
      <c r="N177" s="122" t="str">
        <f>VLOOKUP(K177,[6]stage_hints!$A:$D,4,FALSE)</f>
        <v>「曜日クエスト」では_x000D_ユニットの覚醒に必要な素材が手に入ります</v>
      </c>
      <c r="O177" s="36" t="s">
        <v>293</v>
      </c>
      <c r="P177">
        <v>15</v>
      </c>
    </row>
    <row r="178" spans="1:16" x14ac:dyDescent="0.15">
      <c r="A178" s="114" t="str">
        <f t="shared" si="2"/>
        <v>11008_3_12</v>
      </c>
      <c r="B178" s="115" t="s">
        <v>231</v>
      </c>
      <c r="C178" s="116">
        <v>11008</v>
      </c>
      <c r="D178" s="117" t="str">
        <f ca="1">VLOOKUP($C178,OFFSET([2]quests!$A$1,0,0,COUNTA([2]quests!$A:$A),MATCH(D$1,[2]quests!$1:$1,0)-MATCH($C$1,[2]quests!$1:$1,0)+1),MATCH(D$1,[2]quests!$1:$1,0)-MATCH($C$1,[2]quests!$1:$1,0)+1,FALSE)</f>
        <v>【日曜限定】 青と黄の素材</v>
      </c>
      <c r="E178" s="117" t="str">
        <f ca="1">VLOOKUP($C178,OFFSET([2]quests!$A$1,0,0,COUNTA([2]quests!$A:$A),MATCH(E$1,[2]quests!$1:$1,0)-MATCH($C$1,[2]quests!$1:$1,0)+1),MATCH(E$1,[2]quests!$1:$1,0)-MATCH($C$1,[2]quests!$1:$1,0)+1,FALSE)</f>
        <v>日曜クエスト</v>
      </c>
      <c r="F178" s="118">
        <v>3</v>
      </c>
      <c r="G178" s="117" t="str">
        <f ca="1">VLOOKUP($C178&amp;"_"&amp;$F178,OFFSET([2]stages!$A$1,0,0,COUNTA([2]stages!$A:$A),MATCH(G$1,[2]stages!$2:$2,0)-MATCH("temp_stage",[2]stages!$2:$2,0)+1),MATCH(G$1,[2]stages!$2:$2,0)-MATCH("temp_stage",[2]stages!$2:$2,0)+1,FALSE)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8" s="117" t="str">
        <f ca="1">VLOOKUP($C178&amp;"_"&amp;$F178,OFFSET([2]stages!$A$1,0,0,COUNTA([2]stages!$A:$A),MATCH(H$1,[2]stages!$2:$2,0)-MATCH("temp_stage",[2]stages!$2:$2,0)+1),MATCH(H$1,[2]stages!$2:$2,0)-MATCH("temp_stage",[2]stages!$2:$2,0)+1,FALSE)</f>
        <v>日曜クエスト</v>
      </c>
      <c r="I178" s="119">
        <v>0</v>
      </c>
      <c r="J178" s="118">
        <f>COUNTIF(C$1:C178,C178)</f>
        <v>12</v>
      </c>
      <c r="K178" s="120">
        <v>16</v>
      </c>
      <c r="L178" s="118" t="s">
        <v>234</v>
      </c>
      <c r="M178" s="121" t="str">
        <f>VLOOKUP(K178,[6]stage_hints!$A:$C,3,FALSE)</f>
        <v>マルチプレイのメリット（その1）</v>
      </c>
      <c r="N178" s="122" t="str">
        <f>VLOOKUP(K178,[6]stage_hints!$A:$D,4,FALSE)</f>
        <v>他のプレイヤーとマルチプレイで遊ぶと_x000D_ポリゴンがもらえます（100人まで）</v>
      </c>
      <c r="O178" s="36" t="s">
        <v>235</v>
      </c>
      <c r="P178">
        <v>16</v>
      </c>
    </row>
    <row r="179" spans="1:16" x14ac:dyDescent="0.15">
      <c r="A179" s="114" t="str">
        <f t="shared" si="2"/>
        <v>11008_3_13</v>
      </c>
      <c r="B179" s="115" t="s">
        <v>231</v>
      </c>
      <c r="C179" s="116">
        <v>11008</v>
      </c>
      <c r="D179" s="117" t="str">
        <f ca="1">VLOOKUP($C179,OFFSET([2]quests!$A$1,0,0,COUNTA([2]quests!$A:$A),MATCH(D$1,[2]quests!$1:$1,0)-MATCH($C$1,[2]quests!$1:$1,0)+1),MATCH(D$1,[2]quests!$1:$1,0)-MATCH($C$1,[2]quests!$1:$1,0)+1,FALSE)</f>
        <v>【日曜限定】 青と黄の素材</v>
      </c>
      <c r="E179" s="117" t="str">
        <f ca="1">VLOOKUP($C179,OFFSET([2]quests!$A$1,0,0,COUNTA([2]quests!$A:$A),MATCH(E$1,[2]quests!$1:$1,0)-MATCH($C$1,[2]quests!$1:$1,0)+1),MATCH(E$1,[2]quests!$1:$1,0)-MATCH($C$1,[2]quests!$1:$1,0)+1,FALSE)</f>
        <v>日曜クエスト</v>
      </c>
      <c r="F179" s="118">
        <v>3</v>
      </c>
      <c r="G179" s="117" t="str">
        <f ca="1">VLOOKUP($C179&amp;"_"&amp;$F179,OFFSET([2]stages!$A$1,0,0,COUNTA([2]stages!$A:$A),MATCH(G$1,[2]stages!$2:$2,0)-MATCH("temp_stage",[2]stages!$2:$2,0)+1),MATCH(G$1,[2]stages!$2:$2,0)-MATCH("temp_stage",[2]stages!$2:$2,0)+1,FALSE)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79" s="117" t="str">
        <f ca="1">VLOOKUP($C179&amp;"_"&amp;$F179,OFFSET([2]stages!$A$1,0,0,COUNTA([2]stages!$A:$A),MATCH(H$1,[2]stages!$2:$2,0)-MATCH("temp_stage",[2]stages!$2:$2,0)+1),MATCH(H$1,[2]stages!$2:$2,0)-MATCH("temp_stage",[2]stages!$2:$2,0)+1,FALSE)</f>
        <v>日曜クエスト</v>
      </c>
      <c r="I179" s="119">
        <v>0</v>
      </c>
      <c r="J179" s="118">
        <f>COUNTIF(C$1:C179,C179)</f>
        <v>13</v>
      </c>
      <c r="K179" s="120">
        <v>17</v>
      </c>
      <c r="L179" s="118" t="s">
        <v>234</v>
      </c>
      <c r="M179" s="121" t="str">
        <f>VLOOKUP(K179,[6]stage_hints!$A:$C,3,FALSE)</f>
        <v>リンクガチャ</v>
      </c>
      <c r="N179" s="122" t="str">
        <f>VLOOKUP(K179,[6]stage_hints!$A:$D,4,FALSE)</f>
        <v>無料のリンクガチャを回して_x000D_経験値素材や売却素材を獲得しましょう</v>
      </c>
      <c r="O179" s="36" t="s">
        <v>235</v>
      </c>
      <c r="P179">
        <v>17</v>
      </c>
    </row>
    <row r="180" spans="1:16" x14ac:dyDescent="0.15">
      <c r="A180" s="114" t="str">
        <f t="shared" si="2"/>
        <v>11008_3_14</v>
      </c>
      <c r="B180" s="115" t="s">
        <v>231</v>
      </c>
      <c r="C180" s="116">
        <v>11008</v>
      </c>
      <c r="D180" s="117" t="str">
        <f ca="1">VLOOKUP($C180,OFFSET([2]quests!$A$1,0,0,COUNTA([2]quests!$A:$A),MATCH(D$1,[2]quests!$1:$1,0)-MATCH($C$1,[2]quests!$1:$1,0)+1),MATCH(D$1,[2]quests!$1:$1,0)-MATCH($C$1,[2]quests!$1:$1,0)+1,FALSE)</f>
        <v>【日曜限定】 青と黄の素材</v>
      </c>
      <c r="E180" s="117" t="str">
        <f ca="1">VLOOKUP($C180,OFFSET([2]quests!$A$1,0,0,COUNTA([2]quests!$A:$A),MATCH(E$1,[2]quests!$1:$1,0)-MATCH($C$1,[2]quests!$1:$1,0)+1),MATCH(E$1,[2]quests!$1:$1,0)-MATCH($C$1,[2]quests!$1:$1,0)+1,FALSE)</f>
        <v>日曜クエスト</v>
      </c>
      <c r="F180" s="118">
        <v>3</v>
      </c>
      <c r="G180" s="117" t="str">
        <f ca="1">VLOOKUP($C180&amp;"_"&amp;$F180,OFFSET([2]stages!$A$1,0,0,COUNTA([2]stages!$A:$A),MATCH(G$1,[2]stages!$2:$2,0)-MATCH("temp_stage",[2]stages!$2:$2,0)+1),MATCH(G$1,[2]stages!$2:$2,0)-MATCH("temp_stage",[2]stages!$2:$2,0)+1,FALSE)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0" s="117" t="str">
        <f ca="1">VLOOKUP($C180&amp;"_"&amp;$F180,OFFSET([2]stages!$A$1,0,0,COUNTA([2]stages!$A:$A),MATCH(H$1,[2]stages!$2:$2,0)-MATCH("temp_stage",[2]stages!$2:$2,0)+1),MATCH(H$1,[2]stages!$2:$2,0)-MATCH("temp_stage",[2]stages!$2:$2,0)+1,FALSE)</f>
        <v>日曜クエスト</v>
      </c>
      <c r="I180" s="119">
        <v>0</v>
      </c>
      <c r="J180" s="118">
        <f>COUNTIF(C$1:C180,C180)</f>
        <v>14</v>
      </c>
      <c r="K180" s="120">
        <v>18</v>
      </c>
      <c r="L180" s="118" t="s">
        <v>234</v>
      </c>
      <c r="M180" s="121" t="str">
        <f>VLOOKUP(K180,[6]stage_hints!$A:$C,3,FALSE)</f>
        <v>マルチプレイのメリット（その2）</v>
      </c>
      <c r="N180" s="122" t="str">
        <f>VLOOKUP(K180,[6]stage_hints!$A:$D,4,FALSE)</f>
        <v>マルチプレイならリンクが2倍もらえます_x000D_リンクガチャをたくさん回しましょう</v>
      </c>
      <c r="O180" s="36" t="s">
        <v>294</v>
      </c>
      <c r="P180">
        <v>18</v>
      </c>
    </row>
    <row r="181" spans="1:16" x14ac:dyDescent="0.15">
      <c r="A181" s="114" t="str">
        <f t="shared" si="2"/>
        <v>11008_3_15</v>
      </c>
      <c r="B181" s="115" t="s">
        <v>231</v>
      </c>
      <c r="C181" s="116">
        <v>11008</v>
      </c>
      <c r="D181" s="117" t="str">
        <f ca="1">VLOOKUP($C181,OFFSET([2]quests!$A$1,0,0,COUNTA([2]quests!$A:$A),MATCH(D$1,[2]quests!$1:$1,0)-MATCH($C$1,[2]quests!$1:$1,0)+1),MATCH(D$1,[2]quests!$1:$1,0)-MATCH($C$1,[2]quests!$1:$1,0)+1,FALSE)</f>
        <v>【日曜限定】 青と黄の素材</v>
      </c>
      <c r="E181" s="117" t="str">
        <f ca="1">VLOOKUP($C181,OFFSET([2]quests!$A$1,0,0,COUNTA([2]quests!$A:$A),MATCH(E$1,[2]quests!$1:$1,0)-MATCH($C$1,[2]quests!$1:$1,0)+1),MATCH(E$1,[2]quests!$1:$1,0)-MATCH($C$1,[2]quests!$1:$1,0)+1,FALSE)</f>
        <v>日曜クエスト</v>
      </c>
      <c r="F181" s="118">
        <v>3</v>
      </c>
      <c r="G181" s="117" t="str">
        <f ca="1">VLOOKUP($C181&amp;"_"&amp;$F181,OFFSET([2]stages!$A$1,0,0,COUNTA([2]stages!$A:$A),MATCH(G$1,[2]stages!$2:$2,0)-MATCH("temp_stage",[2]stages!$2:$2,0)+1),MATCH(G$1,[2]stages!$2:$2,0)-MATCH("temp_stage",[2]stages!$2:$2,0)+1,FALSE)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1" s="117" t="str">
        <f ca="1">VLOOKUP($C181&amp;"_"&amp;$F181,OFFSET([2]stages!$A$1,0,0,COUNTA([2]stages!$A:$A),MATCH(H$1,[2]stages!$2:$2,0)-MATCH("temp_stage",[2]stages!$2:$2,0)+1),MATCH(H$1,[2]stages!$2:$2,0)-MATCH("temp_stage",[2]stages!$2:$2,0)+1,FALSE)</f>
        <v>日曜クエスト</v>
      </c>
      <c r="I181" s="119">
        <v>0</v>
      </c>
      <c r="J181" s="118">
        <f>COUNTIF(C$1:C181,C181)</f>
        <v>15</v>
      </c>
      <c r="K181" s="120">
        <v>19</v>
      </c>
      <c r="L181" s="118" t="s">
        <v>279</v>
      </c>
      <c r="M181" s="121" t="str">
        <f>VLOOKUP(K181,[6]stage_hints!$A:$C,3,FALSE)</f>
        <v>ソロ専用タワーオブザクイーン</v>
      </c>
      <c r="N181" s="122" t="str">
        <f>VLOOKUP(K181,[6]stage_hints!$A:$D,4,FALSE)</f>
        <v>ソロ専用の「タワーオブザクイーン」は_x000D_期間限定で定期的に開催されます_x000D_ここでしか獲得できない報酬もあるようです</v>
      </c>
      <c r="O181" s="36" t="s">
        <v>235</v>
      </c>
      <c r="P181">
        <v>19</v>
      </c>
    </row>
    <row r="182" spans="1:16" x14ac:dyDescent="0.15">
      <c r="A182" s="114" t="str">
        <f t="shared" si="2"/>
        <v>11008_3_16</v>
      </c>
      <c r="B182" s="115" t="s">
        <v>231</v>
      </c>
      <c r="C182" s="116">
        <v>11008</v>
      </c>
      <c r="D182" s="117" t="str">
        <f ca="1">VLOOKUP($C182,OFFSET([2]quests!$A$1,0,0,COUNTA([2]quests!$A:$A),MATCH(D$1,[2]quests!$1:$1,0)-MATCH($C$1,[2]quests!$1:$1,0)+1),MATCH(D$1,[2]quests!$1:$1,0)-MATCH($C$1,[2]quests!$1:$1,0)+1,FALSE)</f>
        <v>【日曜限定】 青と黄の素材</v>
      </c>
      <c r="E182" s="117" t="str">
        <f ca="1">VLOOKUP($C182,OFFSET([2]quests!$A$1,0,0,COUNTA([2]quests!$A:$A),MATCH(E$1,[2]quests!$1:$1,0)-MATCH($C$1,[2]quests!$1:$1,0)+1),MATCH(E$1,[2]quests!$1:$1,0)-MATCH($C$1,[2]quests!$1:$1,0)+1,FALSE)</f>
        <v>日曜クエスト</v>
      </c>
      <c r="F182" s="118">
        <v>3</v>
      </c>
      <c r="G182" s="117" t="str">
        <f ca="1">VLOOKUP($C182&amp;"_"&amp;$F182,OFFSET([2]stages!$A$1,0,0,COUNTA([2]stages!$A:$A),MATCH(G$1,[2]stages!$2:$2,0)-MATCH("temp_stage",[2]stages!$2:$2,0)+1),MATCH(G$1,[2]stages!$2:$2,0)-MATCH("temp_stage",[2]stages!$2:$2,0)+1,FALSE)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2" s="117" t="str">
        <f ca="1">VLOOKUP($C182&amp;"_"&amp;$F182,OFFSET([2]stages!$A$1,0,0,COUNTA([2]stages!$A:$A),MATCH(H$1,[2]stages!$2:$2,0)-MATCH("temp_stage",[2]stages!$2:$2,0)+1),MATCH(H$1,[2]stages!$2:$2,0)-MATCH("temp_stage",[2]stages!$2:$2,0)+1,FALSE)</f>
        <v>日曜クエスト</v>
      </c>
      <c r="I182" s="119">
        <v>0</v>
      </c>
      <c r="J182" s="118">
        <f>COUNTIF(C$1:C182,C182)</f>
        <v>16</v>
      </c>
      <c r="K182" s="120">
        <v>20</v>
      </c>
      <c r="L182" s="118" t="s">
        <v>234</v>
      </c>
      <c r="M182" s="121" t="str">
        <f>VLOOKUP(K182,[6]stage_hints!$A:$C,3,FALSE)</f>
        <v>マルチプレイのメリット（その3）</v>
      </c>
      <c r="N182" s="122" t="str">
        <f>VLOOKUP(K182,[6]stage_hints!$A:$D,4,FALSE)</f>
        <v>マルチプレイへの参加はエナジー消費ゼロ_x000D_いつでも好きなだけ遊ぶことができます</v>
      </c>
      <c r="O182" s="36" t="s">
        <v>295</v>
      </c>
      <c r="P182">
        <v>20</v>
      </c>
    </row>
    <row r="183" spans="1:16" x14ac:dyDescent="0.15">
      <c r="A183" s="114" t="str">
        <f t="shared" si="2"/>
        <v>11008_3_17</v>
      </c>
      <c r="B183" s="115" t="s">
        <v>231</v>
      </c>
      <c r="C183" s="116">
        <v>11008</v>
      </c>
      <c r="D183" s="117" t="str">
        <f ca="1">VLOOKUP($C183,OFFSET([2]quests!$A$1,0,0,COUNTA([2]quests!$A:$A),MATCH(D$1,[2]quests!$1:$1,0)-MATCH($C$1,[2]quests!$1:$1,0)+1),MATCH(D$1,[2]quests!$1:$1,0)-MATCH($C$1,[2]quests!$1:$1,0)+1,FALSE)</f>
        <v>【日曜限定】 青と黄の素材</v>
      </c>
      <c r="E183" s="117" t="str">
        <f ca="1">VLOOKUP($C183,OFFSET([2]quests!$A$1,0,0,COUNTA([2]quests!$A:$A),MATCH(E$1,[2]quests!$1:$1,0)-MATCH($C$1,[2]quests!$1:$1,0)+1),MATCH(E$1,[2]quests!$1:$1,0)-MATCH($C$1,[2]quests!$1:$1,0)+1,FALSE)</f>
        <v>日曜クエスト</v>
      </c>
      <c r="F183" s="118">
        <v>3</v>
      </c>
      <c r="G183" s="117" t="str">
        <f ca="1">VLOOKUP($C183&amp;"_"&amp;$F183,OFFSET([2]stages!$A$1,0,0,COUNTA([2]stages!$A:$A),MATCH(G$1,[2]stages!$2:$2,0)-MATCH("temp_stage",[2]stages!$2:$2,0)+1),MATCH(G$1,[2]stages!$2:$2,0)-MATCH("temp_stage",[2]stages!$2:$2,0)+1,FALSE)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3" s="117" t="str">
        <f ca="1">VLOOKUP($C183&amp;"_"&amp;$F183,OFFSET([2]stages!$A$1,0,0,COUNTA([2]stages!$A:$A),MATCH(H$1,[2]stages!$2:$2,0)-MATCH("temp_stage",[2]stages!$2:$2,0)+1),MATCH(H$1,[2]stages!$2:$2,0)-MATCH("temp_stage",[2]stages!$2:$2,0)+1,FALSE)</f>
        <v>日曜クエスト</v>
      </c>
      <c r="I183" s="119">
        <v>0</v>
      </c>
      <c r="J183" s="118">
        <f>COUNTIF(C$1:C183,C183)</f>
        <v>17</v>
      </c>
      <c r="K183" s="120">
        <v>21</v>
      </c>
      <c r="L183" s="118" t="s">
        <v>261</v>
      </c>
      <c r="M183" s="121" t="str">
        <f>VLOOKUP(K183,[6]stage_hints!$A:$C,3,FALSE)</f>
        <v>スキルを有効に</v>
      </c>
      <c r="N183" s="122" t="str">
        <f>VLOOKUP(K183,[6]stage_hints!$A:$D,4,FALSE)</f>
        <v>ターン経過でユニットのスキルが使えます_x000D_強力スキルでバトルを有利に進めましょう</v>
      </c>
      <c r="O183" s="36" t="s">
        <v>235</v>
      </c>
      <c r="P183">
        <v>21</v>
      </c>
    </row>
    <row r="184" spans="1:16" x14ac:dyDescent="0.15">
      <c r="A184" s="114" t="str">
        <f t="shared" si="2"/>
        <v>11008_3_18</v>
      </c>
      <c r="B184" s="115" t="s">
        <v>231</v>
      </c>
      <c r="C184" s="116">
        <v>11008</v>
      </c>
      <c r="D184" s="117" t="str">
        <f ca="1">VLOOKUP($C184,OFFSET([2]quests!$A$1,0,0,COUNTA([2]quests!$A:$A),MATCH(D$1,[2]quests!$1:$1,0)-MATCH($C$1,[2]quests!$1:$1,0)+1),MATCH(D$1,[2]quests!$1:$1,0)-MATCH($C$1,[2]quests!$1:$1,0)+1,FALSE)</f>
        <v>【日曜限定】 青と黄の素材</v>
      </c>
      <c r="E184" s="117" t="str">
        <f ca="1">VLOOKUP($C184,OFFSET([2]quests!$A$1,0,0,COUNTA([2]quests!$A:$A),MATCH(E$1,[2]quests!$1:$1,0)-MATCH($C$1,[2]quests!$1:$1,0)+1),MATCH(E$1,[2]quests!$1:$1,0)-MATCH($C$1,[2]quests!$1:$1,0)+1,FALSE)</f>
        <v>日曜クエスト</v>
      </c>
      <c r="F184" s="118">
        <v>3</v>
      </c>
      <c r="G184" s="117" t="str">
        <f ca="1">VLOOKUP($C184&amp;"_"&amp;$F184,OFFSET([2]stages!$A$1,0,0,COUNTA([2]stages!$A:$A),MATCH(G$1,[2]stages!$2:$2,0)-MATCH("temp_stage",[2]stages!$2:$2,0)+1),MATCH(G$1,[2]stages!$2:$2,0)-MATCH("temp_stage",[2]stages!$2:$2,0)+1,FALSE)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4" s="117" t="str">
        <f ca="1">VLOOKUP($C184&amp;"_"&amp;$F184,OFFSET([2]stages!$A$1,0,0,COUNTA([2]stages!$A:$A),MATCH(H$1,[2]stages!$2:$2,0)-MATCH("temp_stage",[2]stages!$2:$2,0)+1),MATCH(H$1,[2]stages!$2:$2,0)-MATCH("temp_stage",[2]stages!$2:$2,0)+1,FALSE)</f>
        <v>日曜クエスト</v>
      </c>
      <c r="I184" s="119">
        <v>0</v>
      </c>
      <c r="J184" s="118">
        <f>COUNTIF(C$1:C184,C184)</f>
        <v>18</v>
      </c>
      <c r="K184" s="120">
        <v>22</v>
      </c>
      <c r="L184" s="118" t="s">
        <v>234</v>
      </c>
      <c r="M184" s="121" t="str">
        <f>VLOOKUP(K184,[6]stage_hints!$A:$C,3,FALSE)</f>
        <v>フィーバーで一発逆転（その1）</v>
      </c>
      <c r="N184" s="122" t="str">
        <f>VLOOKUP(K184,[6]stage_hints!$A:$D,4,FALSE)</f>
        <v>フィーバーは攻撃と回復を兼ね備えます_x000D_ピンチからの一発逆転を狙いましょう</v>
      </c>
      <c r="O184" s="36" t="s">
        <v>235</v>
      </c>
      <c r="P184">
        <v>22</v>
      </c>
    </row>
    <row r="185" spans="1:16" x14ac:dyDescent="0.15">
      <c r="A185" s="114" t="str">
        <f t="shared" si="2"/>
        <v>11008_3_19</v>
      </c>
      <c r="B185" s="115" t="s">
        <v>231</v>
      </c>
      <c r="C185" s="116">
        <v>11008</v>
      </c>
      <c r="D185" s="117" t="str">
        <f ca="1">VLOOKUP($C185,OFFSET([2]quests!$A$1,0,0,COUNTA([2]quests!$A:$A),MATCH(D$1,[2]quests!$1:$1,0)-MATCH($C$1,[2]quests!$1:$1,0)+1),MATCH(D$1,[2]quests!$1:$1,0)-MATCH($C$1,[2]quests!$1:$1,0)+1,FALSE)</f>
        <v>【日曜限定】 青と黄の素材</v>
      </c>
      <c r="E185" s="117" t="str">
        <f ca="1">VLOOKUP($C185,OFFSET([2]quests!$A$1,0,0,COUNTA([2]quests!$A:$A),MATCH(E$1,[2]quests!$1:$1,0)-MATCH($C$1,[2]quests!$1:$1,0)+1),MATCH(E$1,[2]quests!$1:$1,0)-MATCH($C$1,[2]quests!$1:$1,0)+1,FALSE)</f>
        <v>日曜クエスト</v>
      </c>
      <c r="F185" s="118">
        <v>3</v>
      </c>
      <c r="G185" s="117" t="str">
        <f ca="1">VLOOKUP($C185&amp;"_"&amp;$F185,OFFSET([2]stages!$A$1,0,0,COUNTA([2]stages!$A:$A),MATCH(G$1,[2]stages!$2:$2,0)-MATCH("temp_stage",[2]stages!$2:$2,0)+1),MATCH(G$1,[2]stages!$2:$2,0)-MATCH("temp_stage",[2]stages!$2:$2,0)+1,FALSE)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5" s="117" t="str">
        <f ca="1">VLOOKUP($C185&amp;"_"&amp;$F185,OFFSET([2]stages!$A$1,0,0,COUNTA([2]stages!$A:$A),MATCH(H$1,[2]stages!$2:$2,0)-MATCH("temp_stage",[2]stages!$2:$2,0)+1),MATCH(H$1,[2]stages!$2:$2,0)-MATCH("temp_stage",[2]stages!$2:$2,0)+1,FALSE)</f>
        <v>日曜クエスト</v>
      </c>
      <c r="I185" s="119">
        <v>0</v>
      </c>
      <c r="J185" s="118">
        <f>COUNTIF(C$1:C185,C185)</f>
        <v>19</v>
      </c>
      <c r="K185" s="120">
        <v>23</v>
      </c>
      <c r="L185" s="118" t="s">
        <v>234</v>
      </c>
      <c r="M185" s="121" t="str">
        <f>VLOOKUP(K185,[6]stage_hints!$A:$C,3,FALSE)</f>
        <v>フィーバーで一発逆転（その2）</v>
      </c>
      <c r="N185" s="122" t="str">
        <f>VLOOKUP(K185,[6]stage_hints!$A:$D,4,FALSE)</f>
        <v>フィーバー中は虹色のボムパネルを狙って_x000D_画面上のパネルを一気に破壊しましょう</v>
      </c>
      <c r="O185" s="36" t="s">
        <v>235</v>
      </c>
      <c r="P185">
        <v>23</v>
      </c>
    </row>
    <row r="186" spans="1:16" x14ac:dyDescent="0.15">
      <c r="A186" s="114" t="str">
        <f t="shared" si="2"/>
        <v>11008_3_20</v>
      </c>
      <c r="B186" s="115" t="s">
        <v>231</v>
      </c>
      <c r="C186" s="116">
        <v>11008</v>
      </c>
      <c r="D186" s="117" t="str">
        <f ca="1">VLOOKUP($C186,OFFSET([2]quests!$A$1,0,0,COUNTA([2]quests!$A:$A),MATCH(D$1,[2]quests!$1:$1,0)-MATCH($C$1,[2]quests!$1:$1,0)+1),MATCH(D$1,[2]quests!$1:$1,0)-MATCH($C$1,[2]quests!$1:$1,0)+1,FALSE)</f>
        <v>【日曜限定】 青と黄の素材</v>
      </c>
      <c r="E186" s="117" t="str">
        <f ca="1">VLOOKUP($C186,OFFSET([2]quests!$A$1,0,0,COUNTA([2]quests!$A:$A),MATCH(E$1,[2]quests!$1:$1,0)-MATCH($C$1,[2]quests!$1:$1,0)+1),MATCH(E$1,[2]quests!$1:$1,0)-MATCH($C$1,[2]quests!$1:$1,0)+1,FALSE)</f>
        <v>日曜クエスト</v>
      </c>
      <c r="F186" s="118">
        <v>3</v>
      </c>
      <c r="G186" s="117" t="str">
        <f ca="1">VLOOKUP($C186&amp;"_"&amp;$F186,OFFSET([2]stages!$A$1,0,0,COUNTA([2]stages!$A:$A),MATCH(G$1,[2]stages!$2:$2,0)-MATCH("temp_stage",[2]stages!$2:$2,0)+1),MATCH(G$1,[2]stages!$2:$2,0)-MATCH("temp_stage",[2]stages!$2:$2,0)+1,FALSE)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6" s="117" t="str">
        <f ca="1">VLOOKUP($C186&amp;"_"&amp;$F186,OFFSET([2]stages!$A$1,0,0,COUNTA([2]stages!$A:$A),MATCH(H$1,[2]stages!$2:$2,0)-MATCH("temp_stage",[2]stages!$2:$2,0)+1),MATCH(H$1,[2]stages!$2:$2,0)-MATCH("temp_stage",[2]stages!$2:$2,0)+1,FALSE)</f>
        <v>日曜クエスト</v>
      </c>
      <c r="I186" s="119">
        <v>0</v>
      </c>
      <c r="J186" s="118">
        <f>COUNTIF(C$1:C186,C186)</f>
        <v>20</v>
      </c>
      <c r="K186" s="120">
        <v>24</v>
      </c>
      <c r="L186" s="118" t="s">
        <v>296</v>
      </c>
      <c r="M186" s="121" t="str">
        <f>VLOOKUP(K186,[6]stage_hints!$A:$C,3,FALSE)</f>
        <v>果実を使って限界突破</v>
      </c>
      <c r="N186" s="122" t="str">
        <f>VLOOKUP(K186,[6]stage_hints!$A:$D,4,FALSE)</f>
        <v>攻めの果実 癒しの果実_x000D_生命の果実をユニット強化に使うと_x000D_ステータスが限界突破します（計99個迄）</v>
      </c>
      <c r="O186" s="36" t="s">
        <v>235</v>
      </c>
      <c r="P186">
        <v>24</v>
      </c>
    </row>
    <row r="187" spans="1:16" x14ac:dyDescent="0.15">
      <c r="A187" s="114" t="str">
        <f t="shared" si="2"/>
        <v>11008_3_21</v>
      </c>
      <c r="B187" s="115" t="s">
        <v>231</v>
      </c>
      <c r="C187" s="116">
        <v>11008</v>
      </c>
      <c r="D187" s="117" t="str">
        <f ca="1">VLOOKUP($C187,OFFSET([2]quests!$A$1,0,0,COUNTA([2]quests!$A:$A),MATCH(D$1,[2]quests!$1:$1,0)-MATCH($C$1,[2]quests!$1:$1,0)+1),MATCH(D$1,[2]quests!$1:$1,0)-MATCH($C$1,[2]quests!$1:$1,0)+1,FALSE)</f>
        <v>【日曜限定】 青と黄の素材</v>
      </c>
      <c r="E187" s="117" t="str">
        <f ca="1">VLOOKUP($C187,OFFSET([2]quests!$A$1,0,0,COUNTA([2]quests!$A:$A),MATCH(E$1,[2]quests!$1:$1,0)-MATCH($C$1,[2]quests!$1:$1,0)+1),MATCH(E$1,[2]quests!$1:$1,0)-MATCH($C$1,[2]quests!$1:$1,0)+1,FALSE)</f>
        <v>日曜クエスト</v>
      </c>
      <c r="F187" s="118">
        <v>3</v>
      </c>
      <c r="G187" s="117" t="str">
        <f ca="1">VLOOKUP($C187&amp;"_"&amp;$F187,OFFSET([2]stages!$A$1,0,0,COUNTA([2]stages!$A:$A),MATCH(G$1,[2]stages!$2:$2,0)-MATCH("temp_stage",[2]stages!$2:$2,0)+1),MATCH(G$1,[2]stages!$2:$2,0)-MATCH("temp_stage",[2]stages!$2:$2,0)+1,FALSE)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7" s="117" t="str">
        <f ca="1">VLOOKUP($C187&amp;"_"&amp;$F187,OFFSET([2]stages!$A$1,0,0,COUNTA([2]stages!$A:$A),MATCH(H$1,[2]stages!$2:$2,0)-MATCH("temp_stage",[2]stages!$2:$2,0)+1),MATCH(H$1,[2]stages!$2:$2,0)-MATCH("temp_stage",[2]stages!$2:$2,0)+1,FALSE)</f>
        <v>日曜クエスト</v>
      </c>
      <c r="I187" s="119">
        <v>0</v>
      </c>
      <c r="J187" s="118">
        <f>COUNTIF(C$1:C187,C187)</f>
        <v>21</v>
      </c>
      <c r="K187" s="120">
        <v>25</v>
      </c>
      <c r="L187" s="118" t="s">
        <v>234</v>
      </c>
      <c r="M187" s="121" t="str">
        <f>VLOOKUP(K187,[6]stage_hints!$A:$C,3,FALSE)</f>
        <v>スキルレベルアップ</v>
      </c>
      <c r="N187" s="122" t="str">
        <f>VLOOKUP(K187,[6]stage_hints!$A:$D,4,FALSE)</f>
        <v>「秘術の果実」を強化に使うと_x000D_スキルレベルを上げることができます</v>
      </c>
      <c r="O187" s="36" t="s">
        <v>235</v>
      </c>
      <c r="P187">
        <v>25</v>
      </c>
    </row>
    <row r="188" spans="1:16" x14ac:dyDescent="0.15">
      <c r="A188" s="114" t="str">
        <f t="shared" si="2"/>
        <v>11008_3_22</v>
      </c>
      <c r="B188" s="115" t="s">
        <v>231</v>
      </c>
      <c r="C188" s="116">
        <v>11008</v>
      </c>
      <c r="D188" s="117" t="str">
        <f ca="1">VLOOKUP($C188,OFFSET([2]quests!$A$1,0,0,COUNTA([2]quests!$A:$A),MATCH(D$1,[2]quests!$1:$1,0)-MATCH($C$1,[2]quests!$1:$1,0)+1),MATCH(D$1,[2]quests!$1:$1,0)-MATCH($C$1,[2]quests!$1:$1,0)+1,FALSE)</f>
        <v>【日曜限定】 青と黄の素材</v>
      </c>
      <c r="E188" s="117" t="str">
        <f ca="1">VLOOKUP($C188,OFFSET([2]quests!$A$1,0,0,COUNTA([2]quests!$A:$A),MATCH(E$1,[2]quests!$1:$1,0)-MATCH($C$1,[2]quests!$1:$1,0)+1),MATCH(E$1,[2]quests!$1:$1,0)-MATCH($C$1,[2]quests!$1:$1,0)+1,FALSE)</f>
        <v>日曜クエスト</v>
      </c>
      <c r="F188" s="118">
        <v>3</v>
      </c>
      <c r="G188" s="117" t="str">
        <f ca="1">VLOOKUP($C188&amp;"_"&amp;$F188,OFFSET([2]stages!$A$1,0,0,COUNTA([2]stages!$A:$A),MATCH(G$1,[2]stages!$2:$2,0)-MATCH("temp_stage",[2]stages!$2:$2,0)+1),MATCH(G$1,[2]stages!$2:$2,0)-MATCH("temp_stage",[2]stages!$2:$2,0)+1,FALSE)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8" s="117" t="str">
        <f ca="1">VLOOKUP($C188&amp;"_"&amp;$F188,OFFSET([2]stages!$A$1,0,0,COUNTA([2]stages!$A:$A),MATCH(H$1,[2]stages!$2:$2,0)-MATCH("temp_stage",[2]stages!$2:$2,0)+1),MATCH(H$1,[2]stages!$2:$2,0)-MATCH("temp_stage",[2]stages!$2:$2,0)+1,FALSE)</f>
        <v>日曜クエスト</v>
      </c>
      <c r="I188" s="119">
        <v>0</v>
      </c>
      <c r="J188" s="118">
        <f>COUNTIF(C$1:C188,C188)</f>
        <v>22</v>
      </c>
      <c r="K188" s="120">
        <v>26</v>
      </c>
      <c r="L188" s="118" t="s">
        <v>297</v>
      </c>
      <c r="M188" s="121" t="str">
        <f>VLOOKUP(K188,[6]stage_hints!$A:$C,3,FALSE)</f>
        <v>スキルレベルの効果</v>
      </c>
      <c r="N188" s="122" t="str">
        <f>VLOOKUP(K188,[6]stage_hints!$A:$D,4,FALSE)</f>
        <v>スキルレベルが上がると_x000D_短いターンでスキルを使うことができます</v>
      </c>
      <c r="O188" s="36" t="s">
        <v>235</v>
      </c>
      <c r="P188">
        <v>26</v>
      </c>
    </row>
    <row r="189" spans="1:16" x14ac:dyDescent="0.15">
      <c r="A189" s="114" t="str">
        <f t="shared" si="2"/>
        <v>11008_3_23</v>
      </c>
      <c r="B189" s="115" t="s">
        <v>231</v>
      </c>
      <c r="C189" s="116">
        <v>11008</v>
      </c>
      <c r="D189" s="117" t="str">
        <f ca="1">VLOOKUP($C189,OFFSET([2]quests!$A$1,0,0,COUNTA([2]quests!$A:$A),MATCH(D$1,[2]quests!$1:$1,0)-MATCH($C$1,[2]quests!$1:$1,0)+1),MATCH(D$1,[2]quests!$1:$1,0)-MATCH($C$1,[2]quests!$1:$1,0)+1,FALSE)</f>
        <v>【日曜限定】 青と黄の素材</v>
      </c>
      <c r="E189" s="117" t="str">
        <f ca="1">VLOOKUP($C189,OFFSET([2]quests!$A$1,0,0,COUNTA([2]quests!$A:$A),MATCH(E$1,[2]quests!$1:$1,0)-MATCH($C$1,[2]quests!$1:$1,0)+1),MATCH(E$1,[2]quests!$1:$1,0)-MATCH($C$1,[2]quests!$1:$1,0)+1,FALSE)</f>
        <v>日曜クエスト</v>
      </c>
      <c r="F189" s="118">
        <v>3</v>
      </c>
      <c r="G189" s="117" t="str">
        <f ca="1">VLOOKUP($C189&amp;"_"&amp;$F189,OFFSET([2]stages!$A$1,0,0,COUNTA([2]stages!$A:$A),MATCH(G$1,[2]stages!$2:$2,0)-MATCH("temp_stage",[2]stages!$2:$2,0)+1),MATCH(G$1,[2]stages!$2:$2,0)-MATCH("temp_stage",[2]stages!$2:$2,0)+1,FALSE)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89" s="117" t="str">
        <f ca="1">VLOOKUP($C189&amp;"_"&amp;$F189,OFFSET([2]stages!$A$1,0,0,COUNTA([2]stages!$A:$A),MATCH(H$1,[2]stages!$2:$2,0)-MATCH("temp_stage",[2]stages!$2:$2,0)+1),MATCH(H$1,[2]stages!$2:$2,0)-MATCH("temp_stage",[2]stages!$2:$2,0)+1,FALSE)</f>
        <v>日曜クエスト</v>
      </c>
      <c r="I189" s="119">
        <v>0</v>
      </c>
      <c r="J189" s="118">
        <f>COUNTIF(C$1:C189,C189)</f>
        <v>23</v>
      </c>
      <c r="K189" s="120">
        <v>27</v>
      </c>
      <c r="L189" s="118" t="s">
        <v>234</v>
      </c>
      <c r="M189" s="121" t="str">
        <f>VLOOKUP(K189,[6]stage_hints!$A:$C,3,FALSE)</f>
        <v>ホーム画面からデッキを編成</v>
      </c>
      <c r="N189" s="122" t="str">
        <f>VLOOKUP(K189,[6]stage_hints!$A:$D,4,FALSE)</f>
        <v>ホーム画面でユニットを長押しすると_x000D_すぐにパーティ編成に移動できます</v>
      </c>
      <c r="O189" s="36" t="s">
        <v>235</v>
      </c>
      <c r="P189">
        <v>27</v>
      </c>
    </row>
    <row r="190" spans="1:16" x14ac:dyDescent="0.15">
      <c r="A190" s="114" t="str">
        <f t="shared" si="2"/>
        <v>11008_3_24</v>
      </c>
      <c r="B190" s="115" t="s">
        <v>231</v>
      </c>
      <c r="C190" s="116">
        <v>11008</v>
      </c>
      <c r="D190" s="117" t="str">
        <f ca="1">VLOOKUP($C190,OFFSET([2]quests!$A$1,0,0,COUNTA([2]quests!$A:$A),MATCH(D$1,[2]quests!$1:$1,0)-MATCH($C$1,[2]quests!$1:$1,0)+1),MATCH(D$1,[2]quests!$1:$1,0)-MATCH($C$1,[2]quests!$1:$1,0)+1,FALSE)</f>
        <v>【日曜限定】 青と黄の素材</v>
      </c>
      <c r="E190" s="117" t="str">
        <f ca="1">VLOOKUP($C190,OFFSET([2]quests!$A$1,0,0,COUNTA([2]quests!$A:$A),MATCH(E$1,[2]quests!$1:$1,0)-MATCH($C$1,[2]quests!$1:$1,0)+1),MATCH(E$1,[2]quests!$1:$1,0)-MATCH($C$1,[2]quests!$1:$1,0)+1,FALSE)</f>
        <v>日曜クエスト</v>
      </c>
      <c r="F190" s="118">
        <v>3</v>
      </c>
      <c r="G190" s="117" t="str">
        <f ca="1">VLOOKUP($C190&amp;"_"&amp;$F190,OFFSET([2]stages!$A$1,0,0,COUNTA([2]stages!$A:$A),MATCH(G$1,[2]stages!$2:$2,0)-MATCH("temp_stage",[2]stages!$2:$2,0)+1),MATCH(G$1,[2]stages!$2:$2,0)-MATCH("temp_stage",[2]stages!$2:$2,0)+1,FALSE)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0" s="117" t="str">
        <f ca="1">VLOOKUP($C190&amp;"_"&amp;$F190,OFFSET([2]stages!$A$1,0,0,COUNTA([2]stages!$A:$A),MATCH(H$1,[2]stages!$2:$2,0)-MATCH("temp_stage",[2]stages!$2:$2,0)+1),MATCH(H$1,[2]stages!$2:$2,0)-MATCH("temp_stage",[2]stages!$2:$2,0)+1,FALSE)</f>
        <v>日曜クエスト</v>
      </c>
      <c r="I190" s="119">
        <v>0</v>
      </c>
      <c r="J190" s="118">
        <f>COUNTIF(C$1:C190,C190)</f>
        <v>24</v>
      </c>
      <c r="K190" s="120">
        <v>28</v>
      </c>
      <c r="L190" s="118" t="s">
        <v>298</v>
      </c>
      <c r="M190" s="121" t="str">
        <f>VLOOKUP(K190,[6]stage_hints!$A:$C,3,FALSE)</f>
        <v>ステータス情報は長押しで</v>
      </c>
      <c r="N190" s="122" t="str">
        <f>VLOOKUP(K190,[6]stage_hints!$A:$D,4,FALSE)</f>
        <v>ユニットのアイコンを長押しすると_x000D_ステータス情報を確認することができます</v>
      </c>
      <c r="O190" s="36" t="s">
        <v>299</v>
      </c>
      <c r="P190">
        <v>28</v>
      </c>
    </row>
    <row r="191" spans="1:16" x14ac:dyDescent="0.15">
      <c r="A191" s="114" t="str">
        <f t="shared" si="2"/>
        <v>11008_3_25</v>
      </c>
      <c r="B191" s="115" t="s">
        <v>231</v>
      </c>
      <c r="C191" s="116">
        <v>11008</v>
      </c>
      <c r="D191" s="117" t="str">
        <f ca="1">VLOOKUP($C191,OFFSET([2]quests!$A$1,0,0,COUNTA([2]quests!$A:$A),MATCH(D$1,[2]quests!$1:$1,0)-MATCH($C$1,[2]quests!$1:$1,0)+1),MATCH(D$1,[2]quests!$1:$1,0)-MATCH($C$1,[2]quests!$1:$1,0)+1,FALSE)</f>
        <v>【日曜限定】 青と黄の素材</v>
      </c>
      <c r="E191" s="117" t="str">
        <f ca="1">VLOOKUP($C191,OFFSET([2]quests!$A$1,0,0,COUNTA([2]quests!$A:$A),MATCH(E$1,[2]quests!$1:$1,0)-MATCH($C$1,[2]quests!$1:$1,0)+1),MATCH(E$1,[2]quests!$1:$1,0)-MATCH($C$1,[2]quests!$1:$1,0)+1,FALSE)</f>
        <v>日曜クエスト</v>
      </c>
      <c r="F191" s="118">
        <v>3</v>
      </c>
      <c r="G191" s="117" t="str">
        <f ca="1">VLOOKUP($C191&amp;"_"&amp;$F191,OFFSET([2]stages!$A$1,0,0,COUNTA([2]stages!$A:$A),MATCH(G$1,[2]stages!$2:$2,0)-MATCH("temp_stage",[2]stages!$2:$2,0)+1),MATCH(G$1,[2]stages!$2:$2,0)-MATCH("temp_stage",[2]stages!$2:$2,0)+1,FALSE)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1" s="117" t="str">
        <f ca="1">VLOOKUP($C191&amp;"_"&amp;$F191,OFFSET([2]stages!$A$1,0,0,COUNTA([2]stages!$A:$A),MATCH(H$1,[2]stages!$2:$2,0)-MATCH("temp_stage",[2]stages!$2:$2,0)+1),MATCH(H$1,[2]stages!$2:$2,0)-MATCH("temp_stage",[2]stages!$2:$2,0)+1,FALSE)</f>
        <v>日曜クエスト</v>
      </c>
      <c r="I191" s="119">
        <v>0</v>
      </c>
      <c r="J191" s="118">
        <f>COUNTIF(C$1:C191,C191)</f>
        <v>25</v>
      </c>
      <c r="K191" s="120">
        <v>29</v>
      </c>
      <c r="L191" s="118" t="s">
        <v>234</v>
      </c>
      <c r="M191" s="121" t="str">
        <f>VLOOKUP(K191,[6]stage_hints!$A:$C,3,FALSE)</f>
        <v>「バグ」のメリット</v>
      </c>
      <c r="N191" s="122" t="str">
        <f>VLOOKUP(K191,[6]stage_hints!$A:$D,4,FALSE)</f>
        <v>ユニットの「バグ」を増やすと_x000D_報酬をもらえる確率がアップします</v>
      </c>
      <c r="O191" s="36" t="s">
        <v>300</v>
      </c>
      <c r="P191">
        <v>29</v>
      </c>
    </row>
    <row r="192" spans="1:16" x14ac:dyDescent="0.15">
      <c r="A192" s="114" t="str">
        <f t="shared" si="2"/>
        <v>11008_3_26</v>
      </c>
      <c r="B192" s="115" t="s">
        <v>231</v>
      </c>
      <c r="C192" s="116">
        <v>11008</v>
      </c>
      <c r="D192" s="117" t="str">
        <f ca="1">VLOOKUP($C192,OFFSET([2]quests!$A$1,0,0,COUNTA([2]quests!$A:$A),MATCH(D$1,[2]quests!$1:$1,0)-MATCH($C$1,[2]quests!$1:$1,0)+1),MATCH(D$1,[2]quests!$1:$1,0)-MATCH($C$1,[2]quests!$1:$1,0)+1,FALSE)</f>
        <v>【日曜限定】 青と黄の素材</v>
      </c>
      <c r="E192" s="117" t="str">
        <f ca="1">VLOOKUP($C192,OFFSET([2]quests!$A$1,0,0,COUNTA([2]quests!$A:$A),MATCH(E$1,[2]quests!$1:$1,0)-MATCH($C$1,[2]quests!$1:$1,0)+1),MATCH(E$1,[2]quests!$1:$1,0)-MATCH($C$1,[2]quests!$1:$1,0)+1,FALSE)</f>
        <v>日曜クエスト</v>
      </c>
      <c r="F192" s="118">
        <v>3</v>
      </c>
      <c r="G192" s="117" t="str">
        <f ca="1">VLOOKUP($C192&amp;"_"&amp;$F192,OFFSET([2]stages!$A$1,0,0,COUNTA([2]stages!$A:$A),MATCH(G$1,[2]stages!$2:$2,0)-MATCH("temp_stage",[2]stages!$2:$2,0)+1),MATCH(G$1,[2]stages!$2:$2,0)-MATCH("temp_stage",[2]stages!$2:$2,0)+1,FALSE)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2" s="117" t="str">
        <f ca="1">VLOOKUP($C192&amp;"_"&amp;$F192,OFFSET([2]stages!$A$1,0,0,COUNTA([2]stages!$A:$A),MATCH(H$1,[2]stages!$2:$2,0)-MATCH("temp_stage",[2]stages!$2:$2,0)+1),MATCH(H$1,[2]stages!$2:$2,0)-MATCH("temp_stage",[2]stages!$2:$2,0)+1,FALSE)</f>
        <v>日曜クエスト</v>
      </c>
      <c r="I192" s="119">
        <v>0</v>
      </c>
      <c r="J192" s="118">
        <f>COUNTIF(C$1:C192,C192)</f>
        <v>26</v>
      </c>
      <c r="K192" s="120">
        <v>30</v>
      </c>
      <c r="L192" s="118" t="s">
        <v>234</v>
      </c>
      <c r="M192" s="121" t="str">
        <f>VLOOKUP(K192,[6]stage_hints!$A:$C,3,FALSE)</f>
        <v>「バグ」の増やし方</v>
      </c>
      <c r="N192" s="122" t="str">
        <f>VLOOKUP(K192,[6]stage_hints!$A:$D,4,FALSE)</f>
        <v>同じユニット同士を強化で合成すると_x000D_「バグ」を増やすことができます</v>
      </c>
      <c r="O192" s="36" t="s">
        <v>235</v>
      </c>
      <c r="P192">
        <v>30</v>
      </c>
    </row>
    <row r="193" spans="1:16" x14ac:dyDescent="0.15">
      <c r="A193" s="114" t="str">
        <f t="shared" si="2"/>
        <v>11008_3_27</v>
      </c>
      <c r="B193" s="115" t="s">
        <v>231</v>
      </c>
      <c r="C193" s="116">
        <v>11008</v>
      </c>
      <c r="D193" s="117" t="str">
        <f ca="1">VLOOKUP($C193,OFFSET([2]quests!$A$1,0,0,COUNTA([2]quests!$A:$A),MATCH(D$1,[2]quests!$1:$1,0)-MATCH($C$1,[2]quests!$1:$1,0)+1),MATCH(D$1,[2]quests!$1:$1,0)-MATCH($C$1,[2]quests!$1:$1,0)+1,FALSE)</f>
        <v>【日曜限定】 青と黄の素材</v>
      </c>
      <c r="E193" s="117" t="str">
        <f ca="1">VLOOKUP($C193,OFFSET([2]quests!$A$1,0,0,COUNTA([2]quests!$A:$A),MATCH(E$1,[2]quests!$1:$1,0)-MATCH($C$1,[2]quests!$1:$1,0)+1),MATCH(E$1,[2]quests!$1:$1,0)-MATCH($C$1,[2]quests!$1:$1,0)+1,FALSE)</f>
        <v>日曜クエスト</v>
      </c>
      <c r="F193" s="118">
        <v>3</v>
      </c>
      <c r="G193" s="117" t="str">
        <f ca="1">VLOOKUP($C193&amp;"_"&amp;$F193,OFFSET([2]stages!$A$1,0,0,COUNTA([2]stages!$A:$A),MATCH(G$1,[2]stages!$2:$2,0)-MATCH("temp_stage",[2]stages!$2:$2,0)+1),MATCH(G$1,[2]stages!$2:$2,0)-MATCH("temp_stage",[2]stages!$2:$2,0)+1,FALSE)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3" s="117" t="str">
        <f ca="1">VLOOKUP($C193&amp;"_"&amp;$F193,OFFSET([2]stages!$A$1,0,0,COUNTA([2]stages!$A:$A),MATCH(H$1,[2]stages!$2:$2,0)-MATCH("temp_stage",[2]stages!$2:$2,0)+1),MATCH(H$1,[2]stages!$2:$2,0)-MATCH("temp_stage",[2]stages!$2:$2,0)+1,FALSE)</f>
        <v>日曜クエスト</v>
      </c>
      <c r="I193" s="119">
        <v>0</v>
      </c>
      <c r="J193" s="118">
        <f>COUNTIF(C$1:C193,C193)</f>
        <v>27</v>
      </c>
      <c r="K193" s="120">
        <v>31</v>
      </c>
      <c r="L193" s="118" t="s">
        <v>301</v>
      </c>
      <c r="M193" s="121" t="str">
        <f>VLOOKUP(K193,[6]stage_hints!$A:$C,3,FALSE)</f>
        <v>イベントはお知らせでチェック</v>
      </c>
      <c r="N193" s="122" t="str">
        <f>VLOOKUP(K193,[6]stage_hints!$A:$D,4,FALSE)</f>
        <v>イベント限定ユニットを取り忘れないように_x000D_お知らせをこまめにチェックしましょう</v>
      </c>
      <c r="O193" s="36" t="s">
        <v>235</v>
      </c>
      <c r="P193">
        <v>31</v>
      </c>
    </row>
    <row r="194" spans="1:16" x14ac:dyDescent="0.15">
      <c r="A194" s="114" t="str">
        <f t="shared" si="2"/>
        <v>11008_3_28</v>
      </c>
      <c r="B194" s="115" t="s">
        <v>231</v>
      </c>
      <c r="C194" s="116">
        <v>11008</v>
      </c>
      <c r="D194" s="117" t="str">
        <f ca="1">VLOOKUP($C194,OFFSET([2]quests!$A$1,0,0,COUNTA([2]quests!$A:$A),MATCH(D$1,[2]quests!$1:$1,0)-MATCH($C$1,[2]quests!$1:$1,0)+1),MATCH(D$1,[2]quests!$1:$1,0)-MATCH($C$1,[2]quests!$1:$1,0)+1,FALSE)</f>
        <v>【日曜限定】 青と黄の素材</v>
      </c>
      <c r="E194" s="117" t="str">
        <f ca="1">VLOOKUP($C194,OFFSET([2]quests!$A$1,0,0,COUNTA([2]quests!$A:$A),MATCH(E$1,[2]quests!$1:$1,0)-MATCH($C$1,[2]quests!$1:$1,0)+1),MATCH(E$1,[2]quests!$1:$1,0)-MATCH($C$1,[2]quests!$1:$1,0)+1,FALSE)</f>
        <v>日曜クエスト</v>
      </c>
      <c r="F194" s="118">
        <v>3</v>
      </c>
      <c r="G194" s="117" t="str">
        <f ca="1">VLOOKUP($C194&amp;"_"&amp;$F194,OFFSET([2]stages!$A$1,0,0,COUNTA([2]stages!$A:$A),MATCH(G$1,[2]stages!$2:$2,0)-MATCH("temp_stage",[2]stages!$2:$2,0)+1),MATCH(G$1,[2]stages!$2:$2,0)-MATCH("temp_stage",[2]stages!$2:$2,0)+1,FALSE)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4" s="117" t="str">
        <f ca="1">VLOOKUP($C194&amp;"_"&amp;$F194,OFFSET([2]stages!$A$1,0,0,COUNTA([2]stages!$A:$A),MATCH(H$1,[2]stages!$2:$2,0)-MATCH("temp_stage",[2]stages!$2:$2,0)+1),MATCH(H$1,[2]stages!$2:$2,0)-MATCH("temp_stage",[2]stages!$2:$2,0)+1,FALSE)</f>
        <v>日曜クエスト</v>
      </c>
      <c r="I194" s="119">
        <v>0</v>
      </c>
      <c r="J194" s="118">
        <f>COUNTIF(C$1:C194,C194)</f>
        <v>28</v>
      </c>
      <c r="K194" s="120">
        <v>32</v>
      </c>
      <c r="L194" s="118" t="s">
        <v>234</v>
      </c>
      <c r="M194" s="121" t="str">
        <f>VLOOKUP(K194,[6]stage_hints!$A:$C,3,FALSE)</f>
        <v>敵の連続攻撃には</v>
      </c>
      <c r="N194" s="122" t="str">
        <f>VLOOKUP(K194,[6]stage_hints!$A:$D,4,FALSE)</f>
        <v>カウンタースキルを持つユニットがいれば_x000D_ダメージ回数分の反撃ができます</v>
      </c>
      <c r="O194" s="36" t="s">
        <v>302</v>
      </c>
      <c r="P194">
        <v>32</v>
      </c>
    </row>
    <row r="195" spans="1:16" x14ac:dyDescent="0.15">
      <c r="A195" s="114" t="str">
        <f t="shared" si="2"/>
        <v>11008_3_29</v>
      </c>
      <c r="B195" s="115" t="s">
        <v>231</v>
      </c>
      <c r="C195" s="116">
        <v>11008</v>
      </c>
      <c r="D195" s="117" t="str">
        <f ca="1">VLOOKUP($C195,OFFSET([2]quests!$A$1,0,0,COUNTA([2]quests!$A:$A),MATCH(D$1,[2]quests!$1:$1,0)-MATCH($C$1,[2]quests!$1:$1,0)+1),MATCH(D$1,[2]quests!$1:$1,0)-MATCH($C$1,[2]quests!$1:$1,0)+1,FALSE)</f>
        <v>【日曜限定】 青と黄の素材</v>
      </c>
      <c r="E195" s="117" t="str">
        <f ca="1">VLOOKUP($C195,OFFSET([2]quests!$A$1,0,0,COUNTA([2]quests!$A:$A),MATCH(E$1,[2]quests!$1:$1,0)-MATCH($C$1,[2]quests!$1:$1,0)+1),MATCH(E$1,[2]quests!$1:$1,0)-MATCH($C$1,[2]quests!$1:$1,0)+1,FALSE)</f>
        <v>日曜クエスト</v>
      </c>
      <c r="F195" s="118">
        <v>3</v>
      </c>
      <c r="G195" s="117" t="str">
        <f ca="1">VLOOKUP($C195&amp;"_"&amp;$F195,OFFSET([2]stages!$A$1,0,0,COUNTA([2]stages!$A:$A),MATCH(G$1,[2]stages!$2:$2,0)-MATCH("temp_stage",[2]stages!$2:$2,0)+1),MATCH(G$1,[2]stages!$2:$2,0)-MATCH("temp_stage",[2]stages!$2:$2,0)+1,FALSE)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5" s="117" t="str">
        <f ca="1">VLOOKUP($C195&amp;"_"&amp;$F195,OFFSET([2]stages!$A$1,0,0,COUNTA([2]stages!$A:$A),MATCH(H$1,[2]stages!$2:$2,0)-MATCH("temp_stage",[2]stages!$2:$2,0)+1),MATCH(H$1,[2]stages!$2:$2,0)-MATCH("temp_stage",[2]stages!$2:$2,0)+1,FALSE)</f>
        <v>日曜クエスト</v>
      </c>
      <c r="I195" s="119">
        <v>0</v>
      </c>
      <c r="J195" s="118">
        <f>COUNTIF(C$1:C195,C195)</f>
        <v>29</v>
      </c>
      <c r="K195" s="120">
        <v>33</v>
      </c>
      <c r="L195" s="118" t="s">
        <v>303</v>
      </c>
      <c r="M195" s="121" t="str">
        <f>VLOOKUP(K195,[6]stage_hints!$A:$C,3,FALSE)</f>
        <v>敵のカウンター攻撃には</v>
      </c>
      <c r="N195" s="122" t="str">
        <f>VLOOKUP(K195,[6]stage_hints!$A:$D,4,FALSE)</f>
        <v>カウンターブレイクスキルを持っていれば_x000D_敵のカウンターを解除して攻撃ができます</v>
      </c>
      <c r="O195" s="36" t="s">
        <v>235</v>
      </c>
      <c r="P195">
        <v>33</v>
      </c>
    </row>
    <row r="196" spans="1:16" x14ac:dyDescent="0.15">
      <c r="A196" s="114" t="str">
        <f t="shared" ref="A196:A199" si="3">C196&amp;"_"&amp;F196&amp;"_"&amp;J196</f>
        <v>11008_3_30</v>
      </c>
      <c r="B196" s="115" t="s">
        <v>231</v>
      </c>
      <c r="C196" s="116">
        <v>11008</v>
      </c>
      <c r="D196" s="117" t="str">
        <f ca="1">VLOOKUP($C196,OFFSET([2]quests!$A$1,0,0,COUNTA([2]quests!$A:$A),MATCH(D$1,[2]quests!$1:$1,0)-MATCH($C$1,[2]quests!$1:$1,0)+1),MATCH(D$1,[2]quests!$1:$1,0)-MATCH($C$1,[2]quests!$1:$1,0)+1,FALSE)</f>
        <v>【日曜限定】 青と黄の素材</v>
      </c>
      <c r="E196" s="117" t="str">
        <f ca="1">VLOOKUP($C196,OFFSET([2]quests!$A$1,0,0,COUNTA([2]quests!$A:$A),MATCH(E$1,[2]quests!$1:$1,0)-MATCH($C$1,[2]quests!$1:$1,0)+1),MATCH(E$1,[2]quests!$1:$1,0)-MATCH($C$1,[2]quests!$1:$1,0)+1,FALSE)</f>
        <v>日曜クエスト</v>
      </c>
      <c r="F196" s="118">
        <v>3</v>
      </c>
      <c r="G196" s="117" t="str">
        <f ca="1">VLOOKUP($C196&amp;"_"&amp;$F196,OFFSET([2]stages!$A$1,0,0,COUNTA([2]stages!$A:$A),MATCH(G$1,[2]stages!$2:$2,0)-MATCH("temp_stage",[2]stages!$2:$2,0)+1),MATCH(G$1,[2]stages!$2:$2,0)-MATCH("temp_stage",[2]stages!$2:$2,0)+1,FALSE)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6" s="117" t="str">
        <f ca="1">VLOOKUP($C196&amp;"_"&amp;$F196,OFFSET([2]stages!$A$1,0,0,COUNTA([2]stages!$A:$A),MATCH(H$1,[2]stages!$2:$2,0)-MATCH("temp_stage",[2]stages!$2:$2,0)+1),MATCH(H$1,[2]stages!$2:$2,0)-MATCH("temp_stage",[2]stages!$2:$2,0)+1,FALSE)</f>
        <v>日曜クエスト</v>
      </c>
      <c r="I196" s="119">
        <v>0</v>
      </c>
      <c r="J196" s="118">
        <f>COUNTIF(C$1:C196,C196)</f>
        <v>30</v>
      </c>
      <c r="K196" s="120">
        <v>34</v>
      </c>
      <c r="L196" s="118" t="s">
        <v>304</v>
      </c>
      <c r="M196" s="121" t="str">
        <f>VLOOKUP(K196,[6]stage_hints!$A:$C,3,FALSE)</f>
        <v>ステータスをスキルで下げられたら</v>
      </c>
      <c r="N196" s="122" t="str">
        <f>VLOOKUP(K196,[6]stage_hints!$A:$D,4,FALSE)</f>
        <v>ステータスダウンのスキルを受けたら_x000D_ステータスアップスキルで上書きしましょう</v>
      </c>
      <c r="O196" s="36" t="s">
        <v>305</v>
      </c>
      <c r="P196">
        <v>34</v>
      </c>
    </row>
    <row r="197" spans="1:16" x14ac:dyDescent="0.15">
      <c r="A197" s="114" t="str">
        <f t="shared" si="3"/>
        <v>11008_3_31</v>
      </c>
      <c r="B197" s="115" t="s">
        <v>231</v>
      </c>
      <c r="C197" s="116">
        <v>11008</v>
      </c>
      <c r="D197" s="117" t="str">
        <f ca="1">VLOOKUP($C197,OFFSET([2]quests!$A$1,0,0,COUNTA([2]quests!$A:$A),MATCH(D$1,[2]quests!$1:$1,0)-MATCH($C$1,[2]quests!$1:$1,0)+1),MATCH(D$1,[2]quests!$1:$1,0)-MATCH($C$1,[2]quests!$1:$1,0)+1,FALSE)</f>
        <v>【日曜限定】 青と黄の素材</v>
      </c>
      <c r="E197" s="117" t="str">
        <f ca="1">VLOOKUP($C197,OFFSET([2]quests!$A$1,0,0,COUNTA([2]quests!$A:$A),MATCH(E$1,[2]quests!$1:$1,0)-MATCH($C$1,[2]quests!$1:$1,0)+1),MATCH(E$1,[2]quests!$1:$1,0)-MATCH($C$1,[2]quests!$1:$1,0)+1,FALSE)</f>
        <v>日曜クエスト</v>
      </c>
      <c r="F197" s="118">
        <v>3</v>
      </c>
      <c r="G197" s="117" t="str">
        <f ca="1">VLOOKUP($C197&amp;"_"&amp;$F197,OFFSET([2]stages!$A$1,0,0,COUNTA([2]stages!$A:$A),MATCH(G$1,[2]stages!$2:$2,0)-MATCH("temp_stage",[2]stages!$2:$2,0)+1),MATCH(G$1,[2]stages!$2:$2,0)-MATCH("temp_stage",[2]stages!$2:$2,0)+1,FALSE)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7" s="117" t="str">
        <f ca="1">VLOOKUP($C197&amp;"_"&amp;$F197,OFFSET([2]stages!$A$1,0,0,COUNTA([2]stages!$A:$A),MATCH(H$1,[2]stages!$2:$2,0)-MATCH("temp_stage",[2]stages!$2:$2,0)+1),MATCH(H$1,[2]stages!$2:$2,0)-MATCH("temp_stage",[2]stages!$2:$2,0)+1,FALSE)</f>
        <v>日曜クエスト</v>
      </c>
      <c r="I197" s="119">
        <v>0</v>
      </c>
      <c r="J197" s="118">
        <f>COUNTIF(C$1:C197,C197)</f>
        <v>31</v>
      </c>
      <c r="K197" s="120">
        <v>35</v>
      </c>
      <c r="L197" s="118" t="s">
        <v>234</v>
      </c>
      <c r="M197" s="121" t="str">
        <f>VLOOKUP(K197,[6]stage_hints!$A:$C,3,FALSE)</f>
        <v>敵のステータスがスキルで上がったら</v>
      </c>
      <c r="N197" s="122" t="str">
        <f>VLOOKUP(K197,[6]stage_hints!$A:$D,4,FALSE)</f>
        <v>敵のステータスがスキルでアップしたときは_x000D_ステータスダウンスキルで上書きしましょう</v>
      </c>
      <c r="O197" s="36" t="s">
        <v>235</v>
      </c>
      <c r="P197">
        <v>35</v>
      </c>
    </row>
    <row r="198" spans="1:16" x14ac:dyDescent="0.15">
      <c r="A198" s="114" t="str">
        <f t="shared" si="3"/>
        <v>11008_3_32</v>
      </c>
      <c r="B198" s="115" t="s">
        <v>231</v>
      </c>
      <c r="C198" s="116">
        <v>11008</v>
      </c>
      <c r="D198" s="117" t="str">
        <f ca="1">VLOOKUP($C198,OFFSET([2]quests!$A$1,0,0,COUNTA([2]quests!$A:$A),MATCH(D$1,[2]quests!$1:$1,0)-MATCH($C$1,[2]quests!$1:$1,0)+1),MATCH(D$1,[2]quests!$1:$1,0)-MATCH($C$1,[2]quests!$1:$1,0)+1,FALSE)</f>
        <v>【日曜限定】 青と黄の素材</v>
      </c>
      <c r="E198" s="117" t="str">
        <f ca="1">VLOOKUP($C198,OFFSET([2]quests!$A$1,0,0,COUNTA([2]quests!$A:$A),MATCH(E$1,[2]quests!$1:$1,0)-MATCH($C$1,[2]quests!$1:$1,0)+1),MATCH(E$1,[2]quests!$1:$1,0)-MATCH($C$1,[2]quests!$1:$1,0)+1,FALSE)</f>
        <v>日曜クエスト</v>
      </c>
      <c r="F198" s="118">
        <v>3</v>
      </c>
      <c r="G198" s="117" t="str">
        <f ca="1">VLOOKUP($C198&amp;"_"&amp;$F198,OFFSET([2]stages!$A$1,0,0,COUNTA([2]stages!$A:$A),MATCH(G$1,[2]stages!$2:$2,0)-MATCH("temp_stage",[2]stages!$2:$2,0)+1),MATCH(G$1,[2]stages!$2:$2,0)-MATCH("temp_stage",[2]stages!$2:$2,0)+1,FALSE)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8" s="117" t="str">
        <f ca="1">VLOOKUP($C198&amp;"_"&amp;$F198,OFFSET([2]stages!$A$1,0,0,COUNTA([2]stages!$A:$A),MATCH(H$1,[2]stages!$2:$2,0)-MATCH("temp_stage",[2]stages!$2:$2,0)+1),MATCH(H$1,[2]stages!$2:$2,0)-MATCH("temp_stage",[2]stages!$2:$2,0)+1,FALSE)</f>
        <v>日曜クエスト</v>
      </c>
      <c r="I198" s="119">
        <v>0</v>
      </c>
      <c r="J198" s="118">
        <f>COUNTIF(C$1:C198,C198)</f>
        <v>32</v>
      </c>
      <c r="K198" s="120">
        <v>36</v>
      </c>
      <c r="L198" s="118" t="s">
        <v>297</v>
      </c>
      <c r="M198" s="121" t="str">
        <f>VLOOKUP(K198,[6]stage_hints!$A:$C,3,FALSE)</f>
        <v>タワーオブザクイーンのボス</v>
      </c>
      <c r="N198" s="122" t="str">
        <f>VLOOKUP(K198,[6]stage_hints!$A:$D,4,FALSE)</f>
        <v>「タワーオブザクイーン」最上階のボスは_x000D_15階の初回クリア報酬で獲得できるほか_x000D_その階にて低確率でドロップもします</v>
      </c>
      <c r="O198" s="36" t="s">
        <v>235</v>
      </c>
      <c r="P198">
        <v>36</v>
      </c>
    </row>
    <row r="199" spans="1:16" x14ac:dyDescent="0.15">
      <c r="A199" s="114" t="str">
        <f t="shared" si="3"/>
        <v>11008_3_33</v>
      </c>
      <c r="B199" s="115" t="s">
        <v>231</v>
      </c>
      <c r="C199" s="116">
        <v>11008</v>
      </c>
      <c r="D199" s="117" t="str">
        <f ca="1">VLOOKUP($C199,OFFSET([2]quests!$A$1,0,0,COUNTA([2]quests!$A:$A),MATCH(D$1,[2]quests!$1:$1,0)-MATCH($C$1,[2]quests!$1:$1,0)+1),MATCH(D$1,[2]quests!$1:$1,0)-MATCH($C$1,[2]quests!$1:$1,0)+1,FALSE)</f>
        <v>【日曜限定】 青と黄の素材</v>
      </c>
      <c r="E199" s="117" t="str">
        <f ca="1">VLOOKUP($C199,OFFSET([2]quests!$A$1,0,0,COUNTA([2]quests!$A:$A),MATCH(E$1,[2]quests!$1:$1,0)-MATCH($C$1,[2]quests!$1:$1,0)+1),MATCH(E$1,[2]quests!$1:$1,0)-MATCH($C$1,[2]quests!$1:$1,0)+1,FALSE)</f>
        <v>日曜クエスト</v>
      </c>
      <c r="F199" s="118">
        <v>3</v>
      </c>
      <c r="G199" s="117" t="str">
        <f ca="1">VLOOKUP($C199&amp;"_"&amp;$F199,OFFSET([2]stages!$A$1,0,0,COUNTA([2]stages!$A:$A),MATCH(G$1,[2]stages!$2:$2,0)-MATCH("temp_stage",[2]stages!$2:$2,0)+1),MATCH(G$1,[2]stages!$2:$2,0)-MATCH("temp_stage",[2]stages!$2:$2,0)+1,FALSE)</f>
        <v xml:space="preserve">【上級】水と雷のイモムシ </v>
      </c>
      <c r="H199" s="117" t="str">
        <f ca="1">VLOOKUP($C199&amp;"_"&amp;$F199,OFFSET([2]stages!$A$1,0,0,COUNTA([2]stages!$A:$A),MATCH(H$1,[2]stages!$2:$2,0)-MATCH("temp_stage",[2]stages!$2:$2,0)+1),MATCH(H$1,[2]stages!$2:$2,0)-MATCH("temp_stage",[2]stages!$2:$2,0)+1,FALSE)</f>
        <v>日曜クエスト</v>
      </c>
      <c r="I199" s="119">
        <v>0</v>
      </c>
      <c r="J199" s="118">
        <f>COUNTIF(C$1:C199,C199)</f>
        <v>33</v>
      </c>
      <c r="K199" s="120">
        <v>37</v>
      </c>
      <c r="L199" s="118" t="s">
        <v>306</v>
      </c>
      <c r="M199" s="121" t="str">
        <f>VLOOKUP(K199,[6]stage_hints!$A:$C,3,FALSE)</f>
        <v>限界突破値の引き継ぎ</v>
      </c>
      <c r="N199" s="122" t="str">
        <f>VLOOKUP(K199,[6]stage_hints!$A:$D,4,FALSE)</f>
        <v>同じユニットを強化で合成すると_x000D_限界突破値を引き継げます（覚醒前後も可）</v>
      </c>
      <c r="O199" s="36" t="s">
        <v>307</v>
      </c>
      <c r="P199">
        <v>37</v>
      </c>
    </row>
    <row r="200" spans="1:16" x14ac:dyDescent="0.15">
      <c r="A200" s="114" t="str">
        <f t="shared" si="2"/>
        <v>11101_4_1</v>
      </c>
      <c r="B200" s="115" t="s">
        <v>231</v>
      </c>
      <c r="C200" s="116">
        <v>11101</v>
      </c>
      <c r="D200" s="117" t="str">
        <f ca="1">VLOOKUP($C200,OFFSET([2]quests!$A$1,0,0,COUNTA([2]quests!$A:$A),MATCH(D$1,[2]quests!$1:$1,0)-MATCH($C$1,[2]quests!$1:$1,0)+1),MATCH(D$1,[2]quests!$1:$1,0)-MATCH($C$1,[2]quests!$1:$1,0)+1,FALSE)</f>
        <v>【期間限定】 黄の素材</v>
      </c>
      <c r="E200" s="117" t="str">
        <f ca="1">VLOOKUP($C200,OFFSET([2]quests!$A$1,0,0,COUNTA([2]quests!$A:$A),MATCH(E$1,[2]quests!$1:$1,0)-MATCH($C$1,[2]quests!$1:$1,0)+1),MATCH(E$1,[2]quests!$1:$1,0)-MATCH($C$1,[2]quests!$1:$1,0)+1,FALSE)</f>
        <v>月曜クエスト</v>
      </c>
      <c r="F200" s="118">
        <v>4</v>
      </c>
      <c r="G200" s="117" t="str">
        <f ca="1">VLOOKUP($C200&amp;"_"&amp;$F200,OFFSET([2]stages!$A$1,0,0,COUNTA([2]stages!$A:$A),MATCH(G$1,[2]stages!$2:$2,0)-MATCH("temp_stage",[2]stages!$2:$2,0)+1),MATCH(G$1,[2]stages!$2:$2,0)-MATCH("temp_stage",[2]stages!$2:$2,0)+1,FALSE)</f>
        <v>【上級】雷のイモムシ</v>
      </c>
      <c r="H200" s="117" t="str">
        <f ca="1">VLOOKUP($C200&amp;"_"&amp;$F200,OFFSET([2]stages!$A$1,0,0,COUNTA([2]stages!$A:$A),MATCH(H$1,[2]stages!$2:$2,0)-MATCH("temp_stage",[2]stages!$2:$2,0)+1),MATCH(H$1,[2]stages!$2:$2,0)-MATCH("temp_stage",[2]stages!$2:$2,0)+1,FALSE)</f>
        <v>月曜クエスト</v>
      </c>
      <c r="I200" s="119">
        <v>0</v>
      </c>
      <c r="J200" s="118">
        <f>COUNTIF(C$1:C200,C200)</f>
        <v>1</v>
      </c>
      <c r="K200" s="120">
        <v>3</v>
      </c>
      <c r="L200" s="118" t="s">
        <v>234</v>
      </c>
      <c r="M200" s="121" t="str">
        <f>VLOOKUP(K200,[6]stage_hints!$A:$C,3,FALSE)</f>
        <v>ターゲット</v>
      </c>
      <c r="N200" s="122" t="str">
        <f>VLOOKUP(K200,[6]stage_hints!$A:$D,4,FALSE)</f>
        <v>敵ユニットをタップすると_x000D_その敵を狙い撃ちできます</v>
      </c>
      <c r="O200" s="36" t="s">
        <v>235</v>
      </c>
      <c r="P200">
        <v>3</v>
      </c>
    </row>
    <row r="201" spans="1:16" x14ac:dyDescent="0.15">
      <c r="A201" s="114" t="str">
        <f t="shared" si="2"/>
        <v>11101_4_2</v>
      </c>
      <c r="B201" s="115" t="s">
        <v>231</v>
      </c>
      <c r="C201" s="116">
        <v>11101</v>
      </c>
      <c r="D201" s="117" t="str">
        <f ca="1">VLOOKUP($C201,OFFSET([2]quests!$A$1,0,0,COUNTA([2]quests!$A:$A),MATCH(D$1,[2]quests!$1:$1,0)-MATCH($C$1,[2]quests!$1:$1,0)+1),MATCH(D$1,[2]quests!$1:$1,0)-MATCH($C$1,[2]quests!$1:$1,0)+1,FALSE)</f>
        <v>【期間限定】 黄の素材</v>
      </c>
      <c r="E201" s="117" t="str">
        <f ca="1">VLOOKUP($C201,OFFSET([2]quests!$A$1,0,0,COUNTA([2]quests!$A:$A),MATCH(E$1,[2]quests!$1:$1,0)-MATCH($C$1,[2]quests!$1:$1,0)+1),MATCH(E$1,[2]quests!$1:$1,0)-MATCH($C$1,[2]quests!$1:$1,0)+1,FALSE)</f>
        <v>月曜クエスト</v>
      </c>
      <c r="F201" s="118">
        <v>4</v>
      </c>
      <c r="G201" s="117" t="str">
        <f ca="1">VLOOKUP($C201&amp;"_"&amp;$F201,OFFSET([2]stages!$A$1,0,0,COUNTA([2]stages!$A:$A),MATCH(G$1,[2]stages!$2:$2,0)-MATCH("temp_stage",[2]stages!$2:$2,0)+1),MATCH(G$1,[2]stages!$2:$2,0)-MATCH("temp_stage",[2]stages!$2:$2,0)+1,FALSE)</f>
        <v>【上級】雷のイモムシ</v>
      </c>
      <c r="H201" s="117" t="str">
        <f ca="1">VLOOKUP($C201&amp;"_"&amp;$F201,OFFSET([2]stages!$A$1,0,0,COUNTA([2]stages!$A:$A),MATCH(H$1,[2]stages!$2:$2,0)-MATCH("temp_stage",[2]stages!$2:$2,0)+1),MATCH(H$1,[2]stages!$2:$2,0)-MATCH("temp_stage",[2]stages!$2:$2,0)+1,FALSE)</f>
        <v>月曜クエスト</v>
      </c>
      <c r="I201" s="119">
        <v>0</v>
      </c>
      <c r="J201" s="118">
        <f>COUNTIF(C$1:C201,C201)</f>
        <v>2</v>
      </c>
      <c r="K201" s="120">
        <v>6</v>
      </c>
      <c r="L201" s="118" t="s">
        <v>308</v>
      </c>
      <c r="M201" s="121" t="str">
        <f>VLOOKUP(K201,[6]stage_hints!$A:$C,3,FALSE)</f>
        <v>ユニット強化の属性ボーナス</v>
      </c>
      <c r="N201" s="122" t="str">
        <f>VLOOKUP(K201,[6]stage_hints!$A:$D,4,FALSE)</f>
        <v>同属性ユニットを強化素材にすると_x000D_経験値が多くもらえます</v>
      </c>
      <c r="O201" s="36" t="s">
        <v>309</v>
      </c>
      <c r="P201">
        <v>6</v>
      </c>
    </row>
    <row r="202" spans="1:16" x14ac:dyDescent="0.15">
      <c r="A202" s="114" t="str">
        <f t="shared" si="2"/>
        <v>11101_4_3</v>
      </c>
      <c r="B202" s="115" t="s">
        <v>231</v>
      </c>
      <c r="C202" s="116">
        <v>11101</v>
      </c>
      <c r="D202" s="117" t="str">
        <f ca="1">VLOOKUP($C202,OFFSET([2]quests!$A$1,0,0,COUNTA([2]quests!$A:$A),MATCH(D$1,[2]quests!$1:$1,0)-MATCH($C$1,[2]quests!$1:$1,0)+1),MATCH(D$1,[2]quests!$1:$1,0)-MATCH($C$1,[2]quests!$1:$1,0)+1,FALSE)</f>
        <v>【期間限定】 黄の素材</v>
      </c>
      <c r="E202" s="117" t="str">
        <f ca="1">VLOOKUP($C202,OFFSET([2]quests!$A$1,0,0,COUNTA([2]quests!$A:$A),MATCH(E$1,[2]quests!$1:$1,0)-MATCH($C$1,[2]quests!$1:$1,0)+1),MATCH(E$1,[2]quests!$1:$1,0)-MATCH($C$1,[2]quests!$1:$1,0)+1,FALSE)</f>
        <v>月曜クエスト</v>
      </c>
      <c r="F202" s="118">
        <v>4</v>
      </c>
      <c r="G202" s="117" t="str">
        <f ca="1">VLOOKUP($C202&amp;"_"&amp;$F202,OFFSET([2]stages!$A$1,0,0,COUNTA([2]stages!$A:$A),MATCH(G$1,[2]stages!$2:$2,0)-MATCH("temp_stage",[2]stages!$2:$2,0)+1),MATCH(G$1,[2]stages!$2:$2,0)-MATCH("temp_stage",[2]stages!$2:$2,0)+1,FALSE)</f>
        <v>【上級】雷のイモムシ</v>
      </c>
      <c r="H202" s="117" t="str">
        <f ca="1">VLOOKUP($C202&amp;"_"&amp;$F202,OFFSET([2]stages!$A$1,0,0,COUNTA([2]stages!$A:$A),MATCH(H$1,[2]stages!$2:$2,0)-MATCH("temp_stage",[2]stages!$2:$2,0)+1),MATCH(H$1,[2]stages!$2:$2,0)-MATCH("temp_stage",[2]stages!$2:$2,0)+1,FALSE)</f>
        <v>月曜クエスト</v>
      </c>
      <c r="I202" s="119">
        <v>0</v>
      </c>
      <c r="J202" s="118">
        <f>COUNTIF(C$1:C202,C202)</f>
        <v>3</v>
      </c>
      <c r="K202" s="120">
        <v>7</v>
      </c>
      <c r="L202" s="118" t="s">
        <v>234</v>
      </c>
      <c r="M202" s="121" t="str">
        <f>VLOOKUP(K202,[6]stage_hints!$A:$C,3,FALSE)</f>
        <v>メタルダックで経験値を獲得</v>
      </c>
      <c r="N202" s="122" t="str">
        <f>VLOOKUP(K202,[6]stage_hints!$A:$D,4,FALSE)</f>
        <v>「メタルなアヒル」を強化素材にすると_x000D_大量の経験値がもらえます</v>
      </c>
      <c r="O202" s="36" t="s">
        <v>310</v>
      </c>
      <c r="P202">
        <v>7</v>
      </c>
    </row>
    <row r="203" spans="1:16" x14ac:dyDescent="0.15">
      <c r="A203" s="114" t="str">
        <f t="shared" si="2"/>
        <v>11101_4_4</v>
      </c>
      <c r="B203" s="115" t="s">
        <v>231</v>
      </c>
      <c r="C203" s="116">
        <v>11101</v>
      </c>
      <c r="D203" s="117" t="str">
        <f ca="1">VLOOKUP($C203,OFFSET([2]quests!$A$1,0,0,COUNTA([2]quests!$A:$A),MATCH(D$1,[2]quests!$1:$1,0)-MATCH($C$1,[2]quests!$1:$1,0)+1),MATCH(D$1,[2]quests!$1:$1,0)-MATCH($C$1,[2]quests!$1:$1,0)+1,FALSE)</f>
        <v>【期間限定】 黄の素材</v>
      </c>
      <c r="E203" s="117" t="str">
        <f ca="1">VLOOKUP($C203,OFFSET([2]quests!$A$1,0,0,COUNTA([2]quests!$A:$A),MATCH(E$1,[2]quests!$1:$1,0)-MATCH($C$1,[2]quests!$1:$1,0)+1),MATCH(E$1,[2]quests!$1:$1,0)-MATCH($C$1,[2]quests!$1:$1,0)+1,FALSE)</f>
        <v>月曜クエスト</v>
      </c>
      <c r="F203" s="118">
        <v>4</v>
      </c>
      <c r="G203" s="117" t="str">
        <f ca="1">VLOOKUP($C203&amp;"_"&amp;$F203,OFFSET([2]stages!$A$1,0,0,COUNTA([2]stages!$A:$A),MATCH(G$1,[2]stages!$2:$2,0)-MATCH("temp_stage",[2]stages!$2:$2,0)+1),MATCH(G$1,[2]stages!$2:$2,0)-MATCH("temp_stage",[2]stages!$2:$2,0)+1,FALSE)</f>
        <v>【上級】雷のイモムシ</v>
      </c>
      <c r="H203" s="117" t="str">
        <f ca="1">VLOOKUP($C203&amp;"_"&amp;$F203,OFFSET([2]stages!$A$1,0,0,COUNTA([2]stages!$A:$A),MATCH(H$1,[2]stages!$2:$2,0)-MATCH("temp_stage",[2]stages!$2:$2,0)+1),MATCH(H$1,[2]stages!$2:$2,0)-MATCH("temp_stage",[2]stages!$2:$2,0)+1,FALSE)</f>
        <v>月曜クエスト</v>
      </c>
      <c r="I203" s="119">
        <v>0</v>
      </c>
      <c r="J203" s="118">
        <f>COUNTIF(C$1:C203,C203)</f>
        <v>4</v>
      </c>
      <c r="K203" s="120">
        <v>8</v>
      </c>
      <c r="L203" s="118" t="s">
        <v>311</v>
      </c>
      <c r="M203" s="121" t="str">
        <f>VLOOKUP(K203,[6]stage_hints!$A:$C,3,FALSE)</f>
        <v>ゲリラクエストは要チェック</v>
      </c>
      <c r="N203" s="122" t="str">
        <f>VLOOKUP(K203,[6]stage_hints!$A:$D,4,FALSE)</f>
        <v>時間限定の「アヒル捕獲作戦」では_x000D_経験値素材ユニットが多く手に入ります</v>
      </c>
      <c r="O203" s="36" t="s">
        <v>312</v>
      </c>
      <c r="P203">
        <v>8</v>
      </c>
    </row>
    <row r="204" spans="1:16" x14ac:dyDescent="0.15">
      <c r="A204" s="114" t="str">
        <f t="shared" si="2"/>
        <v>11101_4_5</v>
      </c>
      <c r="B204" s="115" t="s">
        <v>231</v>
      </c>
      <c r="C204" s="116">
        <v>11101</v>
      </c>
      <c r="D204" s="117" t="str">
        <f ca="1">VLOOKUP($C204,OFFSET([2]quests!$A$1,0,0,COUNTA([2]quests!$A:$A),MATCH(D$1,[2]quests!$1:$1,0)-MATCH($C$1,[2]quests!$1:$1,0)+1),MATCH(D$1,[2]quests!$1:$1,0)-MATCH($C$1,[2]quests!$1:$1,0)+1,FALSE)</f>
        <v>【期間限定】 黄の素材</v>
      </c>
      <c r="E204" s="117" t="str">
        <f ca="1">VLOOKUP($C204,OFFSET([2]quests!$A$1,0,0,COUNTA([2]quests!$A:$A),MATCH(E$1,[2]quests!$1:$1,0)-MATCH($C$1,[2]quests!$1:$1,0)+1),MATCH(E$1,[2]quests!$1:$1,0)-MATCH($C$1,[2]quests!$1:$1,0)+1,FALSE)</f>
        <v>月曜クエスト</v>
      </c>
      <c r="F204" s="118">
        <v>4</v>
      </c>
      <c r="G204" s="117" t="str">
        <f ca="1">VLOOKUP($C204&amp;"_"&amp;$F204,OFFSET([2]stages!$A$1,0,0,COUNTA([2]stages!$A:$A),MATCH(G$1,[2]stages!$2:$2,0)-MATCH("temp_stage",[2]stages!$2:$2,0)+1),MATCH(G$1,[2]stages!$2:$2,0)-MATCH("temp_stage",[2]stages!$2:$2,0)+1,FALSE)</f>
        <v>【上級】雷のイモムシ</v>
      </c>
      <c r="H204" s="117" t="str">
        <f ca="1">VLOOKUP($C204&amp;"_"&amp;$F204,OFFSET([2]stages!$A$1,0,0,COUNTA([2]stages!$A:$A),MATCH(H$1,[2]stages!$2:$2,0)-MATCH("temp_stage",[2]stages!$2:$2,0)+1),MATCH(H$1,[2]stages!$2:$2,0)-MATCH("temp_stage",[2]stages!$2:$2,0)+1,FALSE)</f>
        <v>月曜クエスト</v>
      </c>
      <c r="I204" s="119">
        <v>0</v>
      </c>
      <c r="J204" s="118">
        <f>COUNTIF(C$1:C204,C204)</f>
        <v>5</v>
      </c>
      <c r="K204" s="120">
        <v>9</v>
      </c>
      <c r="L204" s="118" t="s">
        <v>313</v>
      </c>
      <c r="M204" s="121" t="str">
        <f>VLOOKUP(K204,[6]stage_hints!$A:$C,3,FALSE)</f>
        <v>ゴールドダックでビットを獲得</v>
      </c>
      <c r="N204" s="122" t="str">
        <f>VLOOKUP(K204,[6]stage_hints!$A:$D,4,FALSE)</f>
        <v>「ゴールドなアヒル」を売却すると_x000D_大量のビットがもらえます</v>
      </c>
      <c r="O204" s="36" t="s">
        <v>235</v>
      </c>
      <c r="P204">
        <v>9</v>
      </c>
    </row>
    <row r="205" spans="1:16" x14ac:dyDescent="0.15">
      <c r="A205" s="114" t="str">
        <f t="shared" si="2"/>
        <v>11101_4_6</v>
      </c>
      <c r="B205" s="115" t="s">
        <v>231</v>
      </c>
      <c r="C205" s="116">
        <v>11101</v>
      </c>
      <c r="D205" s="117" t="str">
        <f ca="1">VLOOKUP($C205,OFFSET([2]quests!$A$1,0,0,COUNTA([2]quests!$A:$A),MATCH(D$1,[2]quests!$1:$1,0)-MATCH($C$1,[2]quests!$1:$1,0)+1),MATCH(D$1,[2]quests!$1:$1,0)-MATCH($C$1,[2]quests!$1:$1,0)+1,FALSE)</f>
        <v>【期間限定】 黄の素材</v>
      </c>
      <c r="E205" s="117" t="str">
        <f ca="1">VLOOKUP($C205,OFFSET([2]quests!$A$1,0,0,COUNTA([2]quests!$A:$A),MATCH(E$1,[2]quests!$1:$1,0)-MATCH($C$1,[2]quests!$1:$1,0)+1),MATCH(E$1,[2]quests!$1:$1,0)-MATCH($C$1,[2]quests!$1:$1,0)+1,FALSE)</f>
        <v>月曜クエスト</v>
      </c>
      <c r="F205" s="118">
        <v>4</v>
      </c>
      <c r="G205" s="117" t="str">
        <f ca="1">VLOOKUP($C205&amp;"_"&amp;$F205,OFFSET([2]stages!$A$1,0,0,COUNTA([2]stages!$A:$A),MATCH(G$1,[2]stages!$2:$2,0)-MATCH("temp_stage",[2]stages!$2:$2,0)+1),MATCH(G$1,[2]stages!$2:$2,0)-MATCH("temp_stage",[2]stages!$2:$2,0)+1,FALSE)</f>
        <v>【上級】雷のイモムシ</v>
      </c>
      <c r="H205" s="117" t="str">
        <f ca="1">VLOOKUP($C205&amp;"_"&amp;$F205,OFFSET([2]stages!$A$1,0,0,COUNTA([2]stages!$A:$A),MATCH(H$1,[2]stages!$2:$2,0)-MATCH("temp_stage",[2]stages!$2:$2,0)+1),MATCH(H$1,[2]stages!$2:$2,0)-MATCH("temp_stage",[2]stages!$2:$2,0)+1,FALSE)</f>
        <v>月曜クエスト</v>
      </c>
      <c r="I205" s="119">
        <v>0</v>
      </c>
      <c r="J205" s="118">
        <f>COUNTIF(C$1:C205,C205)</f>
        <v>6</v>
      </c>
      <c r="K205" s="120">
        <v>10</v>
      </c>
      <c r="L205" s="118" t="s">
        <v>314</v>
      </c>
      <c r="M205" s="121" t="str">
        <f>VLOOKUP(K205,[6]stage_hints!$A:$C,3,FALSE)</f>
        <v>土日に大量のビットを獲得</v>
      </c>
      <c r="N205" s="122" t="str">
        <f>VLOOKUP(K205,[6]stage_hints!$A:$D,4,FALSE)</f>
        <v>土日限定の「ゴールドカジノ」では_x000D_売却素材ユニットが多く手に入ります</v>
      </c>
      <c r="O205" s="36" t="s">
        <v>235</v>
      </c>
      <c r="P205">
        <v>10</v>
      </c>
    </row>
    <row r="206" spans="1:16" x14ac:dyDescent="0.15">
      <c r="A206" s="114" t="str">
        <f t="shared" si="2"/>
        <v>11101_4_7</v>
      </c>
      <c r="B206" s="115" t="s">
        <v>231</v>
      </c>
      <c r="C206" s="116">
        <v>11101</v>
      </c>
      <c r="D206" s="117" t="str">
        <f ca="1">VLOOKUP($C206,OFFSET([2]quests!$A$1,0,0,COUNTA([2]quests!$A:$A),MATCH(D$1,[2]quests!$1:$1,0)-MATCH($C$1,[2]quests!$1:$1,0)+1),MATCH(D$1,[2]quests!$1:$1,0)-MATCH($C$1,[2]quests!$1:$1,0)+1,FALSE)</f>
        <v>【期間限定】 黄の素材</v>
      </c>
      <c r="E206" s="117" t="str">
        <f ca="1">VLOOKUP($C206,OFFSET([2]quests!$A$1,0,0,COUNTA([2]quests!$A:$A),MATCH(E$1,[2]quests!$1:$1,0)-MATCH($C$1,[2]quests!$1:$1,0)+1),MATCH(E$1,[2]quests!$1:$1,0)-MATCH($C$1,[2]quests!$1:$1,0)+1,FALSE)</f>
        <v>月曜クエスト</v>
      </c>
      <c r="F206" s="118">
        <v>4</v>
      </c>
      <c r="G206" s="117" t="str">
        <f ca="1">VLOOKUP($C206&amp;"_"&amp;$F206,OFFSET([2]stages!$A$1,0,0,COUNTA([2]stages!$A:$A),MATCH(G$1,[2]stages!$2:$2,0)-MATCH("temp_stage",[2]stages!$2:$2,0)+1),MATCH(G$1,[2]stages!$2:$2,0)-MATCH("temp_stage",[2]stages!$2:$2,0)+1,FALSE)</f>
        <v>【上級】雷のイモムシ</v>
      </c>
      <c r="H206" s="117" t="str">
        <f ca="1">VLOOKUP($C206&amp;"_"&amp;$F206,OFFSET([2]stages!$A$1,0,0,COUNTA([2]stages!$A:$A),MATCH(H$1,[2]stages!$2:$2,0)-MATCH("temp_stage",[2]stages!$2:$2,0)+1),MATCH(H$1,[2]stages!$2:$2,0)-MATCH("temp_stage",[2]stages!$2:$2,0)+1,FALSE)</f>
        <v>月曜クエスト</v>
      </c>
      <c r="I206" s="119">
        <v>0</v>
      </c>
      <c r="J206" s="118">
        <f>COUNTIF(C$1:C206,C206)</f>
        <v>7</v>
      </c>
      <c r="K206" s="120">
        <v>11</v>
      </c>
      <c r="L206" s="118" t="s">
        <v>315</v>
      </c>
      <c r="M206" s="121" t="str">
        <f>VLOOKUP(K206,[6]stage_hints!$A:$C,3,FALSE)</f>
        <v>ランク解放クエスト</v>
      </c>
      <c r="N206" s="122" t="str">
        <f>VLOOKUP(K206,[6]stage_hints!$A:$D,4,FALSE)</f>
        <v>一定ランクに到達すると_x000D_報酬付きのランク開放クエストが現れます</v>
      </c>
      <c r="O206" s="36" t="s">
        <v>316</v>
      </c>
      <c r="P206">
        <v>11</v>
      </c>
    </row>
    <row r="207" spans="1:16" x14ac:dyDescent="0.15">
      <c r="A207" s="114" t="str">
        <f t="shared" si="2"/>
        <v>11101_4_8</v>
      </c>
      <c r="B207" s="115" t="s">
        <v>231</v>
      </c>
      <c r="C207" s="116">
        <v>11101</v>
      </c>
      <c r="D207" s="117" t="str">
        <f ca="1">VLOOKUP($C207,OFFSET([2]quests!$A$1,0,0,COUNTA([2]quests!$A:$A),MATCH(D$1,[2]quests!$1:$1,0)-MATCH($C$1,[2]quests!$1:$1,0)+1),MATCH(D$1,[2]quests!$1:$1,0)-MATCH($C$1,[2]quests!$1:$1,0)+1,FALSE)</f>
        <v>【期間限定】 黄の素材</v>
      </c>
      <c r="E207" s="117" t="str">
        <f ca="1">VLOOKUP($C207,OFFSET([2]quests!$A$1,0,0,COUNTA([2]quests!$A:$A),MATCH(E$1,[2]quests!$1:$1,0)-MATCH($C$1,[2]quests!$1:$1,0)+1),MATCH(E$1,[2]quests!$1:$1,0)-MATCH($C$1,[2]quests!$1:$1,0)+1,FALSE)</f>
        <v>月曜クエスト</v>
      </c>
      <c r="F207" s="118">
        <v>4</v>
      </c>
      <c r="G207" s="117" t="str">
        <f ca="1">VLOOKUP($C207&amp;"_"&amp;$F207,OFFSET([2]stages!$A$1,0,0,COUNTA([2]stages!$A:$A),MATCH(G$1,[2]stages!$2:$2,0)-MATCH("temp_stage",[2]stages!$2:$2,0)+1),MATCH(G$1,[2]stages!$2:$2,0)-MATCH("temp_stage",[2]stages!$2:$2,0)+1,FALSE)</f>
        <v>【上級】雷のイモムシ</v>
      </c>
      <c r="H207" s="117" t="str">
        <f ca="1">VLOOKUP($C207&amp;"_"&amp;$F207,OFFSET([2]stages!$A$1,0,0,COUNTA([2]stages!$A:$A),MATCH(H$1,[2]stages!$2:$2,0)-MATCH("temp_stage",[2]stages!$2:$2,0)+1),MATCH(H$1,[2]stages!$2:$2,0)-MATCH("temp_stage",[2]stages!$2:$2,0)+1,FALSE)</f>
        <v>月曜クエスト</v>
      </c>
      <c r="I207" s="119">
        <v>0</v>
      </c>
      <c r="J207" s="118">
        <f>COUNTIF(C$1:C207,C207)</f>
        <v>8</v>
      </c>
      <c r="K207" s="120">
        <v>12</v>
      </c>
      <c r="L207" s="118" t="s">
        <v>317</v>
      </c>
      <c r="M207" s="121" t="str">
        <f>VLOOKUP(K207,[6]stage_hints!$A:$C,3,FALSE)</f>
        <v>ユニットのお気に入り登録</v>
      </c>
      <c r="N207" s="122" t="str">
        <f>VLOOKUP(K207,[6]stage_hints!$A:$D,4,FALSE)</f>
        <v>大事なユニットを誤って消さないように_x000D_フォルダから「お気に入り登録」しましょう</v>
      </c>
      <c r="O207" s="36" t="s">
        <v>318</v>
      </c>
      <c r="P207">
        <v>12</v>
      </c>
    </row>
    <row r="208" spans="1:16" x14ac:dyDescent="0.15">
      <c r="A208" s="114" t="str">
        <f t="shared" si="2"/>
        <v>11101_4_9</v>
      </c>
      <c r="B208" s="115" t="s">
        <v>231</v>
      </c>
      <c r="C208" s="116">
        <v>11101</v>
      </c>
      <c r="D208" s="117" t="str">
        <f ca="1">VLOOKUP($C208,OFFSET([2]quests!$A$1,0,0,COUNTA([2]quests!$A:$A),MATCH(D$1,[2]quests!$1:$1,0)-MATCH($C$1,[2]quests!$1:$1,0)+1),MATCH(D$1,[2]quests!$1:$1,0)-MATCH($C$1,[2]quests!$1:$1,0)+1,FALSE)</f>
        <v>【期間限定】 黄の素材</v>
      </c>
      <c r="E208" s="117" t="str">
        <f ca="1">VLOOKUP($C208,OFFSET([2]quests!$A$1,0,0,COUNTA([2]quests!$A:$A),MATCH(E$1,[2]quests!$1:$1,0)-MATCH($C$1,[2]quests!$1:$1,0)+1),MATCH(E$1,[2]quests!$1:$1,0)-MATCH($C$1,[2]quests!$1:$1,0)+1,FALSE)</f>
        <v>月曜クエスト</v>
      </c>
      <c r="F208" s="118">
        <v>4</v>
      </c>
      <c r="G208" s="117" t="str">
        <f ca="1">VLOOKUP($C208&amp;"_"&amp;$F208,OFFSET([2]stages!$A$1,0,0,COUNTA([2]stages!$A:$A),MATCH(G$1,[2]stages!$2:$2,0)-MATCH("temp_stage",[2]stages!$2:$2,0)+1),MATCH(G$1,[2]stages!$2:$2,0)-MATCH("temp_stage",[2]stages!$2:$2,0)+1,FALSE)</f>
        <v>【上級】雷のイモムシ</v>
      </c>
      <c r="H208" s="117" t="str">
        <f ca="1">VLOOKUP($C208&amp;"_"&amp;$F208,OFFSET([2]stages!$A$1,0,0,COUNTA([2]stages!$A:$A),MATCH(H$1,[2]stages!$2:$2,0)-MATCH("temp_stage",[2]stages!$2:$2,0)+1),MATCH(H$1,[2]stages!$2:$2,0)-MATCH("temp_stage",[2]stages!$2:$2,0)+1,FALSE)</f>
        <v>月曜クエスト</v>
      </c>
      <c r="I208" s="119">
        <v>0</v>
      </c>
      <c r="J208" s="118">
        <f>COUNTIF(C$1:C208,C208)</f>
        <v>9</v>
      </c>
      <c r="K208" s="120">
        <v>13</v>
      </c>
      <c r="L208" s="118" t="s">
        <v>234</v>
      </c>
      <c r="M208" s="121" t="str">
        <f>VLOOKUP(K208,[6]stage_hints!$A:$C,3,FALSE)</f>
        <v>ユニットの覚醒</v>
      </c>
      <c r="N208" s="122" t="str">
        <f>VLOOKUP(K208,[6]stage_hints!$A:$D,4,FALSE)</f>
        <v>ユニットを覚醒させると_x000D_比べものにならない強さが手に入ります</v>
      </c>
      <c r="O208" s="36" t="s">
        <v>235</v>
      </c>
      <c r="P208">
        <v>13</v>
      </c>
    </row>
    <row r="209" spans="1:16" x14ac:dyDescent="0.15">
      <c r="A209" s="114" t="str">
        <f t="shared" si="2"/>
        <v>11101_4_10</v>
      </c>
      <c r="B209" s="115" t="s">
        <v>231</v>
      </c>
      <c r="C209" s="116">
        <v>11101</v>
      </c>
      <c r="D209" s="117" t="str">
        <f ca="1">VLOOKUP($C209,OFFSET([2]quests!$A$1,0,0,COUNTA([2]quests!$A:$A),MATCH(D$1,[2]quests!$1:$1,0)-MATCH($C$1,[2]quests!$1:$1,0)+1),MATCH(D$1,[2]quests!$1:$1,0)-MATCH($C$1,[2]quests!$1:$1,0)+1,FALSE)</f>
        <v>【期間限定】 黄の素材</v>
      </c>
      <c r="E209" s="117" t="str">
        <f ca="1">VLOOKUP($C209,OFFSET([2]quests!$A$1,0,0,COUNTA([2]quests!$A:$A),MATCH(E$1,[2]quests!$1:$1,0)-MATCH($C$1,[2]quests!$1:$1,0)+1),MATCH(E$1,[2]quests!$1:$1,0)-MATCH($C$1,[2]quests!$1:$1,0)+1,FALSE)</f>
        <v>月曜クエスト</v>
      </c>
      <c r="F209" s="118">
        <v>4</v>
      </c>
      <c r="G209" s="117" t="str">
        <f ca="1">VLOOKUP($C209&amp;"_"&amp;$F209,OFFSET([2]stages!$A$1,0,0,COUNTA([2]stages!$A:$A),MATCH(G$1,[2]stages!$2:$2,0)-MATCH("temp_stage",[2]stages!$2:$2,0)+1),MATCH(G$1,[2]stages!$2:$2,0)-MATCH("temp_stage",[2]stages!$2:$2,0)+1,FALSE)</f>
        <v>【上級】雷のイモムシ</v>
      </c>
      <c r="H209" s="117" t="str">
        <f ca="1">VLOOKUP($C209&amp;"_"&amp;$F209,OFFSET([2]stages!$A$1,0,0,COUNTA([2]stages!$A:$A),MATCH(H$1,[2]stages!$2:$2,0)-MATCH("temp_stage",[2]stages!$2:$2,0)+1),MATCH(H$1,[2]stages!$2:$2,0)-MATCH("temp_stage",[2]stages!$2:$2,0)+1,FALSE)</f>
        <v>月曜クエスト</v>
      </c>
      <c r="I209" s="119">
        <v>0</v>
      </c>
      <c r="J209" s="118">
        <f>COUNTIF(C$1:C209,C209)</f>
        <v>10</v>
      </c>
      <c r="K209" s="120">
        <v>14</v>
      </c>
      <c r="L209" s="118" t="s">
        <v>319</v>
      </c>
      <c r="M209" s="121" t="str">
        <f>VLOOKUP(K209,[6]stage_hints!$A:$C,3,FALSE)</f>
        <v>覚醒するにはレベルを最大に</v>
      </c>
      <c r="N209" s="122" t="str">
        <f>VLOOKUP(K209,[6]stage_hints!$A:$D,4,FALSE)</f>
        <v>覚醒するにはユニットのレベルを_x000D_最大まで上げる必要があります</v>
      </c>
      <c r="O209" s="36" t="s">
        <v>318</v>
      </c>
      <c r="P209">
        <v>14</v>
      </c>
    </row>
    <row r="210" spans="1:16" x14ac:dyDescent="0.15">
      <c r="A210" s="114" t="str">
        <f t="shared" si="2"/>
        <v>11101_4_11</v>
      </c>
      <c r="B210" s="115" t="s">
        <v>231</v>
      </c>
      <c r="C210" s="116">
        <v>11101</v>
      </c>
      <c r="D210" s="117" t="str">
        <f ca="1">VLOOKUP($C210,OFFSET([2]quests!$A$1,0,0,COUNTA([2]quests!$A:$A),MATCH(D$1,[2]quests!$1:$1,0)-MATCH($C$1,[2]quests!$1:$1,0)+1),MATCH(D$1,[2]quests!$1:$1,0)-MATCH($C$1,[2]quests!$1:$1,0)+1,FALSE)</f>
        <v>【期間限定】 黄の素材</v>
      </c>
      <c r="E210" s="117" t="str">
        <f ca="1">VLOOKUP($C210,OFFSET([2]quests!$A$1,0,0,COUNTA([2]quests!$A:$A),MATCH(E$1,[2]quests!$1:$1,0)-MATCH($C$1,[2]quests!$1:$1,0)+1),MATCH(E$1,[2]quests!$1:$1,0)-MATCH($C$1,[2]quests!$1:$1,0)+1,FALSE)</f>
        <v>月曜クエスト</v>
      </c>
      <c r="F210" s="118">
        <v>4</v>
      </c>
      <c r="G210" s="117" t="str">
        <f ca="1">VLOOKUP($C210&amp;"_"&amp;$F210,OFFSET([2]stages!$A$1,0,0,COUNTA([2]stages!$A:$A),MATCH(G$1,[2]stages!$2:$2,0)-MATCH("temp_stage",[2]stages!$2:$2,0)+1),MATCH(G$1,[2]stages!$2:$2,0)-MATCH("temp_stage",[2]stages!$2:$2,0)+1,FALSE)</f>
        <v>【上級】雷のイモムシ</v>
      </c>
      <c r="H210" s="117" t="str">
        <f ca="1">VLOOKUP($C210&amp;"_"&amp;$F210,OFFSET([2]stages!$A$1,0,0,COUNTA([2]stages!$A:$A),MATCH(H$1,[2]stages!$2:$2,0)-MATCH("temp_stage",[2]stages!$2:$2,0)+1),MATCH(H$1,[2]stages!$2:$2,0)-MATCH("temp_stage",[2]stages!$2:$2,0)+1,FALSE)</f>
        <v>月曜クエスト</v>
      </c>
      <c r="I210" s="119">
        <v>0</v>
      </c>
      <c r="J210" s="118">
        <f>COUNTIF(C$1:C210,C210)</f>
        <v>11</v>
      </c>
      <c r="K210" s="120">
        <v>15</v>
      </c>
      <c r="L210" s="118" t="s">
        <v>320</v>
      </c>
      <c r="M210" s="121" t="str">
        <f>VLOOKUP(K210,[6]stage_hints!$A:$C,3,FALSE)</f>
        <v>覚醒素材を獲得</v>
      </c>
      <c r="N210" s="122" t="str">
        <f>VLOOKUP(K210,[6]stage_hints!$A:$D,4,FALSE)</f>
        <v>「曜日クエスト」では_x000D_ユニットの覚醒に必要な素材が手に入ります</v>
      </c>
      <c r="O210" s="36" t="s">
        <v>235</v>
      </c>
      <c r="P210">
        <v>15</v>
      </c>
    </row>
    <row r="211" spans="1:16" x14ac:dyDescent="0.15">
      <c r="A211" s="114" t="str">
        <f t="shared" si="2"/>
        <v>11101_4_12</v>
      </c>
      <c r="B211" s="115" t="s">
        <v>231</v>
      </c>
      <c r="C211" s="116">
        <v>11101</v>
      </c>
      <c r="D211" s="117" t="str">
        <f ca="1">VLOOKUP($C211,OFFSET([2]quests!$A$1,0,0,COUNTA([2]quests!$A:$A),MATCH(D$1,[2]quests!$1:$1,0)-MATCH($C$1,[2]quests!$1:$1,0)+1),MATCH(D$1,[2]quests!$1:$1,0)-MATCH($C$1,[2]quests!$1:$1,0)+1,FALSE)</f>
        <v>【期間限定】 黄の素材</v>
      </c>
      <c r="E211" s="117" t="str">
        <f ca="1">VLOOKUP($C211,OFFSET([2]quests!$A$1,0,0,COUNTA([2]quests!$A:$A),MATCH(E$1,[2]quests!$1:$1,0)-MATCH($C$1,[2]quests!$1:$1,0)+1),MATCH(E$1,[2]quests!$1:$1,0)-MATCH($C$1,[2]quests!$1:$1,0)+1,FALSE)</f>
        <v>月曜クエスト</v>
      </c>
      <c r="F211" s="118">
        <v>4</v>
      </c>
      <c r="G211" s="117" t="str">
        <f ca="1">VLOOKUP($C211&amp;"_"&amp;$F211,OFFSET([2]stages!$A$1,0,0,COUNTA([2]stages!$A:$A),MATCH(G$1,[2]stages!$2:$2,0)-MATCH("temp_stage",[2]stages!$2:$2,0)+1),MATCH(G$1,[2]stages!$2:$2,0)-MATCH("temp_stage",[2]stages!$2:$2,0)+1,FALSE)</f>
        <v>【上級】雷のイモムシ</v>
      </c>
      <c r="H211" s="117" t="str">
        <f ca="1">VLOOKUP($C211&amp;"_"&amp;$F211,OFFSET([2]stages!$A$1,0,0,COUNTA([2]stages!$A:$A),MATCH(H$1,[2]stages!$2:$2,0)-MATCH("temp_stage",[2]stages!$2:$2,0)+1),MATCH(H$1,[2]stages!$2:$2,0)-MATCH("temp_stage",[2]stages!$2:$2,0)+1,FALSE)</f>
        <v>月曜クエスト</v>
      </c>
      <c r="I211" s="119">
        <v>0</v>
      </c>
      <c r="J211" s="118">
        <f>COUNTIF(C$1:C211,C211)</f>
        <v>12</v>
      </c>
      <c r="K211" s="120">
        <v>16</v>
      </c>
      <c r="L211" s="118" t="s">
        <v>321</v>
      </c>
      <c r="M211" s="121" t="str">
        <f>VLOOKUP(K211,[6]stage_hints!$A:$C,3,FALSE)</f>
        <v>マルチプレイのメリット（その1）</v>
      </c>
      <c r="N211" s="122" t="str">
        <f>VLOOKUP(K211,[6]stage_hints!$A:$D,4,FALSE)</f>
        <v>他のプレイヤーとマルチプレイで遊ぶと_x000D_ポリゴンがもらえます（100人まで）</v>
      </c>
      <c r="O211" s="36" t="s">
        <v>235</v>
      </c>
      <c r="P211">
        <v>16</v>
      </c>
    </row>
    <row r="212" spans="1:16" x14ac:dyDescent="0.15">
      <c r="A212" s="114" t="str">
        <f t="shared" si="2"/>
        <v>11101_4_13</v>
      </c>
      <c r="B212" s="115" t="s">
        <v>231</v>
      </c>
      <c r="C212" s="116">
        <v>11101</v>
      </c>
      <c r="D212" s="117" t="str">
        <f ca="1">VLOOKUP($C212,OFFSET([2]quests!$A$1,0,0,COUNTA([2]quests!$A:$A),MATCH(D$1,[2]quests!$1:$1,0)-MATCH($C$1,[2]quests!$1:$1,0)+1),MATCH(D$1,[2]quests!$1:$1,0)-MATCH($C$1,[2]quests!$1:$1,0)+1,FALSE)</f>
        <v>【期間限定】 黄の素材</v>
      </c>
      <c r="E212" s="117" t="str">
        <f ca="1">VLOOKUP($C212,OFFSET([2]quests!$A$1,0,0,COUNTA([2]quests!$A:$A),MATCH(E$1,[2]quests!$1:$1,0)-MATCH($C$1,[2]quests!$1:$1,0)+1),MATCH(E$1,[2]quests!$1:$1,0)-MATCH($C$1,[2]quests!$1:$1,0)+1,FALSE)</f>
        <v>月曜クエスト</v>
      </c>
      <c r="F212" s="118">
        <v>4</v>
      </c>
      <c r="G212" s="117" t="str">
        <f ca="1">VLOOKUP($C212&amp;"_"&amp;$F212,OFFSET([2]stages!$A$1,0,0,COUNTA([2]stages!$A:$A),MATCH(G$1,[2]stages!$2:$2,0)-MATCH("temp_stage",[2]stages!$2:$2,0)+1),MATCH(G$1,[2]stages!$2:$2,0)-MATCH("temp_stage",[2]stages!$2:$2,0)+1,FALSE)</f>
        <v>【上級】雷のイモムシ</v>
      </c>
      <c r="H212" s="117" t="str">
        <f ca="1">VLOOKUP($C212&amp;"_"&amp;$F212,OFFSET([2]stages!$A$1,0,0,COUNTA([2]stages!$A:$A),MATCH(H$1,[2]stages!$2:$2,0)-MATCH("temp_stage",[2]stages!$2:$2,0)+1),MATCH(H$1,[2]stages!$2:$2,0)-MATCH("temp_stage",[2]stages!$2:$2,0)+1,FALSE)</f>
        <v>月曜クエスト</v>
      </c>
      <c r="I212" s="119">
        <v>0</v>
      </c>
      <c r="J212" s="118">
        <f>COUNTIF(C$1:C212,C212)</f>
        <v>13</v>
      </c>
      <c r="K212" s="120">
        <v>17</v>
      </c>
      <c r="L212" s="118" t="s">
        <v>234</v>
      </c>
      <c r="M212" s="121" t="str">
        <f>VLOOKUP(K212,[6]stage_hints!$A:$C,3,FALSE)</f>
        <v>リンクガチャ</v>
      </c>
      <c r="N212" s="122" t="str">
        <f>VLOOKUP(K212,[6]stage_hints!$A:$D,4,FALSE)</f>
        <v>無料のリンクガチャを回して_x000D_経験値素材や売却素材を獲得しましょう</v>
      </c>
      <c r="O212" s="36" t="s">
        <v>322</v>
      </c>
      <c r="P212">
        <v>17</v>
      </c>
    </row>
    <row r="213" spans="1:16" x14ac:dyDescent="0.15">
      <c r="A213" s="114" t="str">
        <f t="shared" si="2"/>
        <v>11101_4_14</v>
      </c>
      <c r="B213" s="115" t="s">
        <v>231</v>
      </c>
      <c r="C213" s="116">
        <v>11101</v>
      </c>
      <c r="D213" s="117" t="str">
        <f ca="1">VLOOKUP($C213,OFFSET([2]quests!$A$1,0,0,COUNTA([2]quests!$A:$A),MATCH(D$1,[2]quests!$1:$1,0)-MATCH($C$1,[2]quests!$1:$1,0)+1),MATCH(D$1,[2]quests!$1:$1,0)-MATCH($C$1,[2]quests!$1:$1,0)+1,FALSE)</f>
        <v>【期間限定】 黄の素材</v>
      </c>
      <c r="E213" s="117" t="str">
        <f ca="1">VLOOKUP($C213,OFFSET([2]quests!$A$1,0,0,COUNTA([2]quests!$A:$A),MATCH(E$1,[2]quests!$1:$1,0)-MATCH($C$1,[2]quests!$1:$1,0)+1),MATCH(E$1,[2]quests!$1:$1,0)-MATCH($C$1,[2]quests!$1:$1,0)+1,FALSE)</f>
        <v>月曜クエスト</v>
      </c>
      <c r="F213" s="118">
        <v>4</v>
      </c>
      <c r="G213" s="117" t="str">
        <f ca="1">VLOOKUP($C213&amp;"_"&amp;$F213,OFFSET([2]stages!$A$1,0,0,COUNTA([2]stages!$A:$A),MATCH(G$1,[2]stages!$2:$2,0)-MATCH("temp_stage",[2]stages!$2:$2,0)+1),MATCH(G$1,[2]stages!$2:$2,0)-MATCH("temp_stage",[2]stages!$2:$2,0)+1,FALSE)</f>
        <v>【上級】雷のイモムシ</v>
      </c>
      <c r="H213" s="117" t="str">
        <f ca="1">VLOOKUP($C213&amp;"_"&amp;$F213,OFFSET([2]stages!$A$1,0,0,COUNTA([2]stages!$A:$A),MATCH(H$1,[2]stages!$2:$2,0)-MATCH("temp_stage",[2]stages!$2:$2,0)+1),MATCH(H$1,[2]stages!$2:$2,0)-MATCH("temp_stage",[2]stages!$2:$2,0)+1,FALSE)</f>
        <v>月曜クエスト</v>
      </c>
      <c r="I213" s="119">
        <v>0</v>
      </c>
      <c r="J213" s="118">
        <f>COUNTIF(C$1:C213,C213)</f>
        <v>14</v>
      </c>
      <c r="K213" s="120">
        <v>18</v>
      </c>
      <c r="L213" s="118" t="s">
        <v>323</v>
      </c>
      <c r="M213" s="121" t="str">
        <f>VLOOKUP(K213,[6]stage_hints!$A:$C,3,FALSE)</f>
        <v>マルチプレイのメリット（その2）</v>
      </c>
      <c r="N213" s="122" t="str">
        <f>VLOOKUP(K213,[6]stage_hints!$A:$D,4,FALSE)</f>
        <v>マルチプレイならリンクが2倍もらえます_x000D_リンクガチャをたくさん回しましょう</v>
      </c>
      <c r="O213" s="36" t="s">
        <v>324</v>
      </c>
      <c r="P213">
        <v>18</v>
      </c>
    </row>
    <row r="214" spans="1:16" x14ac:dyDescent="0.15">
      <c r="A214" s="114" t="str">
        <f t="shared" si="2"/>
        <v>11101_4_15</v>
      </c>
      <c r="B214" s="115" t="s">
        <v>231</v>
      </c>
      <c r="C214" s="116">
        <v>11101</v>
      </c>
      <c r="D214" s="117" t="str">
        <f ca="1">VLOOKUP($C214,OFFSET([2]quests!$A$1,0,0,COUNTA([2]quests!$A:$A),MATCH(D$1,[2]quests!$1:$1,0)-MATCH($C$1,[2]quests!$1:$1,0)+1),MATCH(D$1,[2]quests!$1:$1,0)-MATCH($C$1,[2]quests!$1:$1,0)+1,FALSE)</f>
        <v>【期間限定】 黄の素材</v>
      </c>
      <c r="E214" s="117" t="str">
        <f ca="1">VLOOKUP($C214,OFFSET([2]quests!$A$1,0,0,COUNTA([2]quests!$A:$A),MATCH(E$1,[2]quests!$1:$1,0)-MATCH($C$1,[2]quests!$1:$1,0)+1),MATCH(E$1,[2]quests!$1:$1,0)-MATCH($C$1,[2]quests!$1:$1,0)+1,FALSE)</f>
        <v>月曜クエスト</v>
      </c>
      <c r="F214" s="118">
        <v>4</v>
      </c>
      <c r="G214" s="117" t="str">
        <f ca="1">VLOOKUP($C214&amp;"_"&amp;$F214,OFFSET([2]stages!$A$1,0,0,COUNTA([2]stages!$A:$A),MATCH(G$1,[2]stages!$2:$2,0)-MATCH("temp_stage",[2]stages!$2:$2,0)+1),MATCH(G$1,[2]stages!$2:$2,0)-MATCH("temp_stage",[2]stages!$2:$2,0)+1,FALSE)</f>
        <v>【上級】雷のイモムシ</v>
      </c>
      <c r="H214" s="117" t="str">
        <f ca="1">VLOOKUP($C214&amp;"_"&amp;$F214,OFFSET([2]stages!$A$1,0,0,COUNTA([2]stages!$A:$A),MATCH(H$1,[2]stages!$2:$2,0)-MATCH("temp_stage",[2]stages!$2:$2,0)+1),MATCH(H$1,[2]stages!$2:$2,0)-MATCH("temp_stage",[2]stages!$2:$2,0)+1,FALSE)</f>
        <v>月曜クエスト</v>
      </c>
      <c r="I214" s="119">
        <v>0</v>
      </c>
      <c r="J214" s="118">
        <f>COUNTIF(C$1:C214,C214)</f>
        <v>15</v>
      </c>
      <c r="K214" s="120">
        <v>19</v>
      </c>
      <c r="L214" s="118" t="s">
        <v>234</v>
      </c>
      <c r="M214" s="121" t="str">
        <f>VLOOKUP(K214,[6]stage_hints!$A:$C,3,FALSE)</f>
        <v>ソロ専用タワーオブザクイーン</v>
      </c>
      <c r="N214" s="122" t="str">
        <f>VLOOKUP(K214,[6]stage_hints!$A:$D,4,FALSE)</f>
        <v>ソロ専用の「タワーオブザクイーン」は_x000D_期間限定で定期的に開催されます_x000D_ここでしか獲得できない報酬もあるようです</v>
      </c>
      <c r="O214" s="36" t="s">
        <v>325</v>
      </c>
      <c r="P214">
        <v>19</v>
      </c>
    </row>
    <row r="215" spans="1:16" x14ac:dyDescent="0.15">
      <c r="A215" s="114" t="str">
        <f t="shared" si="2"/>
        <v>11101_4_16</v>
      </c>
      <c r="B215" s="115" t="s">
        <v>231</v>
      </c>
      <c r="C215" s="116">
        <v>11101</v>
      </c>
      <c r="D215" s="117" t="str">
        <f ca="1">VLOOKUP($C215,OFFSET([2]quests!$A$1,0,0,COUNTA([2]quests!$A:$A),MATCH(D$1,[2]quests!$1:$1,0)-MATCH($C$1,[2]quests!$1:$1,0)+1),MATCH(D$1,[2]quests!$1:$1,0)-MATCH($C$1,[2]quests!$1:$1,0)+1,FALSE)</f>
        <v>【期間限定】 黄の素材</v>
      </c>
      <c r="E215" s="117" t="str">
        <f ca="1">VLOOKUP($C215,OFFSET([2]quests!$A$1,0,0,COUNTA([2]quests!$A:$A),MATCH(E$1,[2]quests!$1:$1,0)-MATCH($C$1,[2]quests!$1:$1,0)+1),MATCH(E$1,[2]quests!$1:$1,0)-MATCH($C$1,[2]quests!$1:$1,0)+1,FALSE)</f>
        <v>月曜クエスト</v>
      </c>
      <c r="F215" s="118">
        <v>4</v>
      </c>
      <c r="G215" s="117" t="str">
        <f ca="1">VLOOKUP($C215&amp;"_"&amp;$F215,OFFSET([2]stages!$A$1,0,0,COUNTA([2]stages!$A:$A),MATCH(G$1,[2]stages!$2:$2,0)-MATCH("temp_stage",[2]stages!$2:$2,0)+1),MATCH(G$1,[2]stages!$2:$2,0)-MATCH("temp_stage",[2]stages!$2:$2,0)+1,FALSE)</f>
        <v>【上級】雷のイモムシ</v>
      </c>
      <c r="H215" s="117" t="str">
        <f ca="1">VLOOKUP($C215&amp;"_"&amp;$F215,OFFSET([2]stages!$A$1,0,0,COUNTA([2]stages!$A:$A),MATCH(H$1,[2]stages!$2:$2,0)-MATCH("temp_stage",[2]stages!$2:$2,0)+1),MATCH(H$1,[2]stages!$2:$2,0)-MATCH("temp_stage",[2]stages!$2:$2,0)+1,FALSE)</f>
        <v>月曜クエスト</v>
      </c>
      <c r="I215" s="119">
        <v>0</v>
      </c>
      <c r="J215" s="118">
        <f>COUNTIF(C$1:C215,C215)</f>
        <v>16</v>
      </c>
      <c r="K215" s="120">
        <v>20</v>
      </c>
      <c r="L215" s="118" t="s">
        <v>234</v>
      </c>
      <c r="M215" s="121" t="str">
        <f>VLOOKUP(K215,[6]stage_hints!$A:$C,3,FALSE)</f>
        <v>マルチプレイのメリット（その3）</v>
      </c>
      <c r="N215" s="122" t="str">
        <f>VLOOKUP(K215,[6]stage_hints!$A:$D,4,FALSE)</f>
        <v>マルチプレイへの参加はエナジー消費ゼロ_x000D_いつでも好きなだけ遊ぶことができます</v>
      </c>
      <c r="O215" s="36" t="s">
        <v>326</v>
      </c>
      <c r="P215">
        <v>20</v>
      </c>
    </row>
    <row r="216" spans="1:16" x14ac:dyDescent="0.15">
      <c r="A216" s="114" t="str">
        <f t="shared" si="2"/>
        <v>11101_4_17</v>
      </c>
      <c r="B216" s="115" t="s">
        <v>231</v>
      </c>
      <c r="C216" s="116">
        <v>11101</v>
      </c>
      <c r="D216" s="117" t="str">
        <f ca="1">VLOOKUP($C216,OFFSET([2]quests!$A$1,0,0,COUNTA([2]quests!$A:$A),MATCH(D$1,[2]quests!$1:$1,0)-MATCH($C$1,[2]quests!$1:$1,0)+1),MATCH(D$1,[2]quests!$1:$1,0)-MATCH($C$1,[2]quests!$1:$1,0)+1,FALSE)</f>
        <v>【期間限定】 黄の素材</v>
      </c>
      <c r="E216" s="117" t="str">
        <f ca="1">VLOOKUP($C216,OFFSET([2]quests!$A$1,0,0,COUNTA([2]quests!$A:$A),MATCH(E$1,[2]quests!$1:$1,0)-MATCH($C$1,[2]quests!$1:$1,0)+1),MATCH(E$1,[2]quests!$1:$1,0)-MATCH($C$1,[2]quests!$1:$1,0)+1,FALSE)</f>
        <v>月曜クエスト</v>
      </c>
      <c r="F216" s="118">
        <v>4</v>
      </c>
      <c r="G216" s="117" t="str">
        <f ca="1">VLOOKUP($C216&amp;"_"&amp;$F216,OFFSET([2]stages!$A$1,0,0,COUNTA([2]stages!$A:$A),MATCH(G$1,[2]stages!$2:$2,0)-MATCH("temp_stage",[2]stages!$2:$2,0)+1),MATCH(G$1,[2]stages!$2:$2,0)-MATCH("temp_stage",[2]stages!$2:$2,0)+1,FALSE)</f>
        <v>【上級】雷のイモムシ</v>
      </c>
      <c r="H216" s="117" t="str">
        <f ca="1">VLOOKUP($C216&amp;"_"&amp;$F216,OFFSET([2]stages!$A$1,0,0,COUNTA([2]stages!$A:$A),MATCH(H$1,[2]stages!$2:$2,0)-MATCH("temp_stage",[2]stages!$2:$2,0)+1),MATCH(H$1,[2]stages!$2:$2,0)-MATCH("temp_stage",[2]stages!$2:$2,0)+1,FALSE)</f>
        <v>月曜クエスト</v>
      </c>
      <c r="I216" s="119">
        <v>0</v>
      </c>
      <c r="J216" s="118">
        <f>COUNTIF(C$1:C216,C216)</f>
        <v>17</v>
      </c>
      <c r="K216" s="120">
        <v>21</v>
      </c>
      <c r="L216" s="118" t="s">
        <v>234</v>
      </c>
      <c r="M216" s="121" t="str">
        <f>VLOOKUP(K216,[6]stage_hints!$A:$C,3,FALSE)</f>
        <v>スキルを有効に</v>
      </c>
      <c r="N216" s="122" t="str">
        <f>VLOOKUP(K216,[6]stage_hints!$A:$D,4,FALSE)</f>
        <v>ターン経過でユニットのスキルが使えます_x000D_強力スキルでバトルを有利に進めましょう</v>
      </c>
      <c r="O216" s="36" t="s">
        <v>235</v>
      </c>
      <c r="P216">
        <v>21</v>
      </c>
    </row>
    <row r="217" spans="1:16" x14ac:dyDescent="0.15">
      <c r="A217" s="114" t="str">
        <f t="shared" si="2"/>
        <v>11101_4_18</v>
      </c>
      <c r="B217" s="115" t="s">
        <v>231</v>
      </c>
      <c r="C217" s="116">
        <v>11101</v>
      </c>
      <c r="D217" s="117" t="str">
        <f ca="1">VLOOKUP($C217,OFFSET([2]quests!$A$1,0,0,COUNTA([2]quests!$A:$A),MATCH(D$1,[2]quests!$1:$1,0)-MATCH($C$1,[2]quests!$1:$1,0)+1),MATCH(D$1,[2]quests!$1:$1,0)-MATCH($C$1,[2]quests!$1:$1,0)+1,FALSE)</f>
        <v>【期間限定】 黄の素材</v>
      </c>
      <c r="E217" s="117" t="str">
        <f ca="1">VLOOKUP($C217,OFFSET([2]quests!$A$1,0,0,COUNTA([2]quests!$A:$A),MATCH(E$1,[2]quests!$1:$1,0)-MATCH($C$1,[2]quests!$1:$1,0)+1),MATCH(E$1,[2]quests!$1:$1,0)-MATCH($C$1,[2]quests!$1:$1,0)+1,FALSE)</f>
        <v>月曜クエスト</v>
      </c>
      <c r="F217" s="118">
        <v>4</v>
      </c>
      <c r="G217" s="117" t="str">
        <f ca="1">VLOOKUP($C217&amp;"_"&amp;$F217,OFFSET([2]stages!$A$1,0,0,COUNTA([2]stages!$A:$A),MATCH(G$1,[2]stages!$2:$2,0)-MATCH("temp_stage",[2]stages!$2:$2,0)+1),MATCH(G$1,[2]stages!$2:$2,0)-MATCH("temp_stage",[2]stages!$2:$2,0)+1,FALSE)</f>
        <v>【上級】雷のイモムシ</v>
      </c>
      <c r="H217" s="117" t="str">
        <f ca="1">VLOOKUP($C217&amp;"_"&amp;$F217,OFFSET([2]stages!$A$1,0,0,COUNTA([2]stages!$A:$A),MATCH(H$1,[2]stages!$2:$2,0)-MATCH("temp_stage",[2]stages!$2:$2,0)+1),MATCH(H$1,[2]stages!$2:$2,0)-MATCH("temp_stage",[2]stages!$2:$2,0)+1,FALSE)</f>
        <v>月曜クエスト</v>
      </c>
      <c r="I217" s="119">
        <v>0</v>
      </c>
      <c r="J217" s="118">
        <f>COUNTIF(C$1:C217,C217)</f>
        <v>18</v>
      </c>
      <c r="K217" s="120">
        <v>22</v>
      </c>
      <c r="L217" s="118" t="s">
        <v>327</v>
      </c>
      <c r="M217" s="121" t="str">
        <f>VLOOKUP(K217,[6]stage_hints!$A:$C,3,FALSE)</f>
        <v>フィーバーで一発逆転（その1）</v>
      </c>
      <c r="N217" s="122" t="str">
        <f>VLOOKUP(K217,[6]stage_hints!$A:$D,4,FALSE)</f>
        <v>フィーバーは攻撃と回復を兼ね備えます_x000D_ピンチからの一発逆転を狙いましょう</v>
      </c>
      <c r="O217" s="36" t="s">
        <v>235</v>
      </c>
      <c r="P217">
        <v>22</v>
      </c>
    </row>
    <row r="218" spans="1:16" x14ac:dyDescent="0.15">
      <c r="A218" s="114" t="str">
        <f t="shared" si="2"/>
        <v>11101_4_19</v>
      </c>
      <c r="B218" s="115" t="s">
        <v>231</v>
      </c>
      <c r="C218" s="116">
        <v>11101</v>
      </c>
      <c r="D218" s="117" t="str">
        <f ca="1">VLOOKUP($C218,OFFSET([2]quests!$A$1,0,0,COUNTA([2]quests!$A:$A),MATCH(D$1,[2]quests!$1:$1,0)-MATCH($C$1,[2]quests!$1:$1,0)+1),MATCH(D$1,[2]quests!$1:$1,0)-MATCH($C$1,[2]quests!$1:$1,0)+1,FALSE)</f>
        <v>【期間限定】 黄の素材</v>
      </c>
      <c r="E218" s="117" t="str">
        <f ca="1">VLOOKUP($C218,OFFSET([2]quests!$A$1,0,0,COUNTA([2]quests!$A:$A),MATCH(E$1,[2]quests!$1:$1,0)-MATCH($C$1,[2]quests!$1:$1,0)+1),MATCH(E$1,[2]quests!$1:$1,0)-MATCH($C$1,[2]quests!$1:$1,0)+1,FALSE)</f>
        <v>月曜クエスト</v>
      </c>
      <c r="F218" s="118">
        <v>4</v>
      </c>
      <c r="G218" s="117" t="str">
        <f ca="1">VLOOKUP($C218&amp;"_"&amp;$F218,OFFSET([2]stages!$A$1,0,0,COUNTA([2]stages!$A:$A),MATCH(G$1,[2]stages!$2:$2,0)-MATCH("temp_stage",[2]stages!$2:$2,0)+1),MATCH(G$1,[2]stages!$2:$2,0)-MATCH("temp_stage",[2]stages!$2:$2,0)+1,FALSE)</f>
        <v>【上級】雷のイモムシ</v>
      </c>
      <c r="H218" s="117" t="str">
        <f ca="1">VLOOKUP($C218&amp;"_"&amp;$F218,OFFSET([2]stages!$A$1,0,0,COUNTA([2]stages!$A:$A),MATCH(H$1,[2]stages!$2:$2,0)-MATCH("temp_stage",[2]stages!$2:$2,0)+1),MATCH(H$1,[2]stages!$2:$2,0)-MATCH("temp_stage",[2]stages!$2:$2,0)+1,FALSE)</f>
        <v>月曜クエスト</v>
      </c>
      <c r="I218" s="119">
        <v>0</v>
      </c>
      <c r="J218" s="118">
        <f>COUNTIF(C$1:C218,C218)</f>
        <v>19</v>
      </c>
      <c r="K218" s="120">
        <v>23</v>
      </c>
      <c r="L218" s="118" t="s">
        <v>234</v>
      </c>
      <c r="M218" s="121" t="str">
        <f>VLOOKUP(K218,[6]stage_hints!$A:$C,3,FALSE)</f>
        <v>フィーバーで一発逆転（その2）</v>
      </c>
      <c r="N218" s="122" t="str">
        <f>VLOOKUP(K218,[6]stage_hints!$A:$D,4,FALSE)</f>
        <v>フィーバー中は虹色のボムパネルを狙って_x000D_画面上のパネルを一気に破壊しましょう</v>
      </c>
      <c r="O218" s="36" t="s">
        <v>328</v>
      </c>
      <c r="P218">
        <v>23</v>
      </c>
    </row>
    <row r="219" spans="1:16" x14ac:dyDescent="0.15">
      <c r="A219" s="114" t="str">
        <f t="shared" si="2"/>
        <v>11101_4_20</v>
      </c>
      <c r="B219" s="115" t="s">
        <v>231</v>
      </c>
      <c r="C219" s="116">
        <v>11101</v>
      </c>
      <c r="D219" s="117" t="str">
        <f ca="1">VLOOKUP($C219,OFFSET([2]quests!$A$1,0,0,COUNTA([2]quests!$A:$A),MATCH(D$1,[2]quests!$1:$1,0)-MATCH($C$1,[2]quests!$1:$1,0)+1),MATCH(D$1,[2]quests!$1:$1,0)-MATCH($C$1,[2]quests!$1:$1,0)+1,FALSE)</f>
        <v>【期間限定】 黄の素材</v>
      </c>
      <c r="E219" s="117" t="str">
        <f ca="1">VLOOKUP($C219,OFFSET([2]quests!$A$1,0,0,COUNTA([2]quests!$A:$A),MATCH(E$1,[2]quests!$1:$1,0)-MATCH($C$1,[2]quests!$1:$1,0)+1),MATCH(E$1,[2]quests!$1:$1,0)-MATCH($C$1,[2]quests!$1:$1,0)+1,FALSE)</f>
        <v>月曜クエスト</v>
      </c>
      <c r="F219" s="118">
        <v>4</v>
      </c>
      <c r="G219" s="117" t="str">
        <f ca="1">VLOOKUP($C219&amp;"_"&amp;$F219,OFFSET([2]stages!$A$1,0,0,COUNTA([2]stages!$A:$A),MATCH(G$1,[2]stages!$2:$2,0)-MATCH("temp_stage",[2]stages!$2:$2,0)+1),MATCH(G$1,[2]stages!$2:$2,0)-MATCH("temp_stage",[2]stages!$2:$2,0)+1,FALSE)</f>
        <v>【上級】雷のイモムシ</v>
      </c>
      <c r="H219" s="117" t="str">
        <f ca="1">VLOOKUP($C219&amp;"_"&amp;$F219,OFFSET([2]stages!$A$1,0,0,COUNTA([2]stages!$A:$A),MATCH(H$1,[2]stages!$2:$2,0)-MATCH("temp_stage",[2]stages!$2:$2,0)+1),MATCH(H$1,[2]stages!$2:$2,0)-MATCH("temp_stage",[2]stages!$2:$2,0)+1,FALSE)</f>
        <v>月曜クエスト</v>
      </c>
      <c r="I219" s="119">
        <v>0</v>
      </c>
      <c r="J219" s="118">
        <f>COUNTIF(C$1:C219,C219)</f>
        <v>20</v>
      </c>
      <c r="K219" s="120">
        <v>24</v>
      </c>
      <c r="L219" s="118" t="s">
        <v>329</v>
      </c>
      <c r="M219" s="121" t="str">
        <f>VLOOKUP(K219,[6]stage_hints!$A:$C,3,FALSE)</f>
        <v>果実を使って限界突破</v>
      </c>
      <c r="N219" s="122" t="str">
        <f>VLOOKUP(K219,[6]stage_hints!$A:$D,4,FALSE)</f>
        <v>攻めの果実 癒しの果実_x000D_生命の果実をユニット強化に使うと_x000D_ステータスが限界突破します（計99個迄）</v>
      </c>
      <c r="O219" s="36" t="s">
        <v>235</v>
      </c>
      <c r="P219">
        <v>24</v>
      </c>
    </row>
    <row r="220" spans="1:16" x14ac:dyDescent="0.15">
      <c r="A220" s="114" t="str">
        <f t="shared" si="2"/>
        <v>11101_4_21</v>
      </c>
      <c r="B220" s="115" t="s">
        <v>231</v>
      </c>
      <c r="C220" s="116">
        <v>11101</v>
      </c>
      <c r="D220" s="117" t="str">
        <f ca="1">VLOOKUP($C220,OFFSET([2]quests!$A$1,0,0,COUNTA([2]quests!$A:$A),MATCH(D$1,[2]quests!$1:$1,0)-MATCH($C$1,[2]quests!$1:$1,0)+1),MATCH(D$1,[2]quests!$1:$1,0)-MATCH($C$1,[2]quests!$1:$1,0)+1,FALSE)</f>
        <v>【期間限定】 黄の素材</v>
      </c>
      <c r="E220" s="117" t="str">
        <f ca="1">VLOOKUP($C220,OFFSET([2]quests!$A$1,0,0,COUNTA([2]quests!$A:$A),MATCH(E$1,[2]quests!$1:$1,0)-MATCH($C$1,[2]quests!$1:$1,0)+1),MATCH(E$1,[2]quests!$1:$1,0)-MATCH($C$1,[2]quests!$1:$1,0)+1,FALSE)</f>
        <v>月曜クエスト</v>
      </c>
      <c r="F220" s="118">
        <v>4</v>
      </c>
      <c r="G220" s="117" t="str">
        <f ca="1">VLOOKUP($C220&amp;"_"&amp;$F220,OFFSET([2]stages!$A$1,0,0,COUNTA([2]stages!$A:$A),MATCH(G$1,[2]stages!$2:$2,0)-MATCH("temp_stage",[2]stages!$2:$2,0)+1),MATCH(G$1,[2]stages!$2:$2,0)-MATCH("temp_stage",[2]stages!$2:$2,0)+1,FALSE)</f>
        <v>【上級】雷のイモムシ</v>
      </c>
      <c r="H220" s="117" t="str">
        <f ca="1">VLOOKUP($C220&amp;"_"&amp;$F220,OFFSET([2]stages!$A$1,0,0,COUNTA([2]stages!$A:$A),MATCH(H$1,[2]stages!$2:$2,0)-MATCH("temp_stage",[2]stages!$2:$2,0)+1),MATCH(H$1,[2]stages!$2:$2,0)-MATCH("temp_stage",[2]stages!$2:$2,0)+1,FALSE)</f>
        <v>月曜クエスト</v>
      </c>
      <c r="I220" s="119">
        <v>0</v>
      </c>
      <c r="J220" s="118">
        <f>COUNTIF(C$1:C220,C220)</f>
        <v>21</v>
      </c>
      <c r="K220" s="120">
        <v>25</v>
      </c>
      <c r="L220" s="118" t="s">
        <v>330</v>
      </c>
      <c r="M220" s="121" t="str">
        <f>VLOOKUP(K220,[6]stage_hints!$A:$C,3,FALSE)</f>
        <v>スキルレベルアップ</v>
      </c>
      <c r="N220" s="122" t="str">
        <f>VLOOKUP(K220,[6]stage_hints!$A:$D,4,FALSE)</f>
        <v>「秘術の果実」を強化に使うと_x000D_スキルレベルを上げることができます</v>
      </c>
      <c r="O220" s="36" t="s">
        <v>331</v>
      </c>
      <c r="P220">
        <v>25</v>
      </c>
    </row>
    <row r="221" spans="1:16" x14ac:dyDescent="0.15">
      <c r="A221" s="114" t="str">
        <f t="shared" si="2"/>
        <v>11101_4_22</v>
      </c>
      <c r="B221" s="115" t="s">
        <v>231</v>
      </c>
      <c r="C221" s="116">
        <v>11101</v>
      </c>
      <c r="D221" s="117" t="str">
        <f ca="1">VLOOKUP($C221,OFFSET([2]quests!$A$1,0,0,COUNTA([2]quests!$A:$A),MATCH(D$1,[2]quests!$1:$1,0)-MATCH($C$1,[2]quests!$1:$1,0)+1),MATCH(D$1,[2]quests!$1:$1,0)-MATCH($C$1,[2]quests!$1:$1,0)+1,FALSE)</f>
        <v>【期間限定】 黄の素材</v>
      </c>
      <c r="E221" s="117" t="str">
        <f ca="1">VLOOKUP($C221,OFFSET([2]quests!$A$1,0,0,COUNTA([2]quests!$A:$A),MATCH(E$1,[2]quests!$1:$1,0)-MATCH($C$1,[2]quests!$1:$1,0)+1),MATCH(E$1,[2]quests!$1:$1,0)-MATCH($C$1,[2]quests!$1:$1,0)+1,FALSE)</f>
        <v>月曜クエスト</v>
      </c>
      <c r="F221" s="118">
        <v>4</v>
      </c>
      <c r="G221" s="117" t="str">
        <f ca="1">VLOOKUP($C221&amp;"_"&amp;$F221,OFFSET([2]stages!$A$1,0,0,COUNTA([2]stages!$A:$A),MATCH(G$1,[2]stages!$2:$2,0)-MATCH("temp_stage",[2]stages!$2:$2,0)+1),MATCH(G$1,[2]stages!$2:$2,0)-MATCH("temp_stage",[2]stages!$2:$2,0)+1,FALSE)</f>
        <v>【上級】雷のイモムシ</v>
      </c>
      <c r="H221" s="117" t="str">
        <f ca="1">VLOOKUP($C221&amp;"_"&amp;$F221,OFFSET([2]stages!$A$1,0,0,COUNTA([2]stages!$A:$A),MATCH(H$1,[2]stages!$2:$2,0)-MATCH("temp_stage",[2]stages!$2:$2,0)+1),MATCH(H$1,[2]stages!$2:$2,0)-MATCH("temp_stage",[2]stages!$2:$2,0)+1,FALSE)</f>
        <v>月曜クエスト</v>
      </c>
      <c r="I221" s="119">
        <v>0</v>
      </c>
      <c r="J221" s="118">
        <f>COUNTIF(C$1:C221,C221)</f>
        <v>22</v>
      </c>
      <c r="K221" s="120">
        <v>26</v>
      </c>
      <c r="L221" s="118" t="s">
        <v>234</v>
      </c>
      <c r="M221" s="121" t="str">
        <f>VLOOKUP(K221,[6]stage_hints!$A:$C,3,FALSE)</f>
        <v>スキルレベルの効果</v>
      </c>
      <c r="N221" s="122" t="str">
        <f>VLOOKUP(K221,[6]stage_hints!$A:$D,4,FALSE)</f>
        <v>スキルレベルが上がると_x000D_短いターンでスキルを使うことができます</v>
      </c>
      <c r="O221" s="36" t="s">
        <v>235</v>
      </c>
      <c r="P221">
        <v>26</v>
      </c>
    </row>
    <row r="222" spans="1:16" x14ac:dyDescent="0.15">
      <c r="A222" s="114" t="str">
        <f t="shared" si="2"/>
        <v>11101_4_23</v>
      </c>
      <c r="B222" s="115" t="s">
        <v>231</v>
      </c>
      <c r="C222" s="116">
        <v>11101</v>
      </c>
      <c r="D222" s="117" t="str">
        <f ca="1">VLOOKUP($C222,OFFSET([2]quests!$A$1,0,0,COUNTA([2]quests!$A:$A),MATCH(D$1,[2]quests!$1:$1,0)-MATCH($C$1,[2]quests!$1:$1,0)+1),MATCH(D$1,[2]quests!$1:$1,0)-MATCH($C$1,[2]quests!$1:$1,0)+1,FALSE)</f>
        <v>【期間限定】 黄の素材</v>
      </c>
      <c r="E222" s="117" t="str">
        <f ca="1">VLOOKUP($C222,OFFSET([2]quests!$A$1,0,0,COUNTA([2]quests!$A:$A),MATCH(E$1,[2]quests!$1:$1,0)-MATCH($C$1,[2]quests!$1:$1,0)+1),MATCH(E$1,[2]quests!$1:$1,0)-MATCH($C$1,[2]quests!$1:$1,0)+1,FALSE)</f>
        <v>月曜クエスト</v>
      </c>
      <c r="F222" s="118">
        <v>4</v>
      </c>
      <c r="G222" s="117" t="str">
        <f ca="1">VLOOKUP($C222&amp;"_"&amp;$F222,OFFSET([2]stages!$A$1,0,0,COUNTA([2]stages!$A:$A),MATCH(G$1,[2]stages!$2:$2,0)-MATCH("temp_stage",[2]stages!$2:$2,0)+1),MATCH(G$1,[2]stages!$2:$2,0)-MATCH("temp_stage",[2]stages!$2:$2,0)+1,FALSE)</f>
        <v>【上級】雷のイモムシ</v>
      </c>
      <c r="H222" s="117" t="str">
        <f ca="1">VLOOKUP($C222&amp;"_"&amp;$F222,OFFSET([2]stages!$A$1,0,0,COUNTA([2]stages!$A:$A),MATCH(H$1,[2]stages!$2:$2,0)-MATCH("temp_stage",[2]stages!$2:$2,0)+1),MATCH(H$1,[2]stages!$2:$2,0)-MATCH("temp_stage",[2]stages!$2:$2,0)+1,FALSE)</f>
        <v>月曜クエスト</v>
      </c>
      <c r="I222" s="119">
        <v>0</v>
      </c>
      <c r="J222" s="118">
        <f>COUNTIF(C$1:C222,C222)</f>
        <v>23</v>
      </c>
      <c r="K222" s="120">
        <v>27</v>
      </c>
      <c r="L222" s="118" t="s">
        <v>332</v>
      </c>
      <c r="M222" s="121" t="str">
        <f>VLOOKUP(K222,[6]stage_hints!$A:$C,3,FALSE)</f>
        <v>ホーム画面からデッキを編成</v>
      </c>
      <c r="N222" s="122" t="str">
        <f>VLOOKUP(K222,[6]stage_hints!$A:$D,4,FALSE)</f>
        <v>ホーム画面でユニットを長押しすると_x000D_すぐにパーティ編成に移動できます</v>
      </c>
      <c r="O222" s="36" t="s">
        <v>333</v>
      </c>
      <c r="P222">
        <v>27</v>
      </c>
    </row>
    <row r="223" spans="1:16" x14ac:dyDescent="0.15">
      <c r="A223" s="114" t="str">
        <f t="shared" si="2"/>
        <v>11101_4_24</v>
      </c>
      <c r="B223" s="115" t="s">
        <v>231</v>
      </c>
      <c r="C223" s="116">
        <v>11101</v>
      </c>
      <c r="D223" s="117" t="str">
        <f ca="1">VLOOKUP($C223,OFFSET([2]quests!$A$1,0,0,COUNTA([2]quests!$A:$A),MATCH(D$1,[2]quests!$1:$1,0)-MATCH($C$1,[2]quests!$1:$1,0)+1),MATCH(D$1,[2]quests!$1:$1,0)-MATCH($C$1,[2]quests!$1:$1,0)+1,FALSE)</f>
        <v>【期間限定】 黄の素材</v>
      </c>
      <c r="E223" s="117" t="str">
        <f ca="1">VLOOKUP($C223,OFFSET([2]quests!$A$1,0,0,COUNTA([2]quests!$A:$A),MATCH(E$1,[2]quests!$1:$1,0)-MATCH($C$1,[2]quests!$1:$1,0)+1),MATCH(E$1,[2]quests!$1:$1,0)-MATCH($C$1,[2]quests!$1:$1,0)+1,FALSE)</f>
        <v>月曜クエスト</v>
      </c>
      <c r="F223" s="118">
        <v>4</v>
      </c>
      <c r="G223" s="117" t="str">
        <f ca="1">VLOOKUP($C223&amp;"_"&amp;$F223,OFFSET([2]stages!$A$1,0,0,COUNTA([2]stages!$A:$A),MATCH(G$1,[2]stages!$2:$2,0)-MATCH("temp_stage",[2]stages!$2:$2,0)+1),MATCH(G$1,[2]stages!$2:$2,0)-MATCH("temp_stage",[2]stages!$2:$2,0)+1,FALSE)</f>
        <v>【上級】雷のイモムシ</v>
      </c>
      <c r="H223" s="117" t="str">
        <f ca="1">VLOOKUP($C223&amp;"_"&amp;$F223,OFFSET([2]stages!$A$1,0,0,COUNTA([2]stages!$A:$A),MATCH(H$1,[2]stages!$2:$2,0)-MATCH("temp_stage",[2]stages!$2:$2,0)+1),MATCH(H$1,[2]stages!$2:$2,0)-MATCH("temp_stage",[2]stages!$2:$2,0)+1,FALSE)</f>
        <v>月曜クエスト</v>
      </c>
      <c r="I223" s="119">
        <v>0</v>
      </c>
      <c r="J223" s="118">
        <f>COUNTIF(C$1:C223,C223)</f>
        <v>24</v>
      </c>
      <c r="K223" s="120">
        <v>28</v>
      </c>
      <c r="L223" s="118" t="s">
        <v>234</v>
      </c>
      <c r="M223" s="121" t="str">
        <f>VLOOKUP(K223,[6]stage_hints!$A:$C,3,FALSE)</f>
        <v>ステータス情報は長押しで</v>
      </c>
      <c r="N223" s="122" t="str">
        <f>VLOOKUP(K223,[6]stage_hints!$A:$D,4,FALSE)</f>
        <v>ユニットのアイコンを長押しすると_x000D_ステータス情報を確認することができます</v>
      </c>
      <c r="O223" s="36" t="s">
        <v>334</v>
      </c>
      <c r="P223">
        <v>28</v>
      </c>
    </row>
    <row r="224" spans="1:16" x14ac:dyDescent="0.15">
      <c r="A224" s="114" t="str">
        <f t="shared" si="2"/>
        <v>11101_4_25</v>
      </c>
      <c r="B224" s="115" t="s">
        <v>231</v>
      </c>
      <c r="C224" s="116">
        <v>11101</v>
      </c>
      <c r="D224" s="117" t="str">
        <f ca="1">VLOOKUP($C224,OFFSET([2]quests!$A$1,0,0,COUNTA([2]quests!$A:$A),MATCH(D$1,[2]quests!$1:$1,0)-MATCH($C$1,[2]quests!$1:$1,0)+1),MATCH(D$1,[2]quests!$1:$1,0)-MATCH($C$1,[2]quests!$1:$1,0)+1,FALSE)</f>
        <v>【期間限定】 黄の素材</v>
      </c>
      <c r="E224" s="117" t="str">
        <f ca="1">VLOOKUP($C224,OFFSET([2]quests!$A$1,0,0,COUNTA([2]quests!$A:$A),MATCH(E$1,[2]quests!$1:$1,0)-MATCH($C$1,[2]quests!$1:$1,0)+1),MATCH(E$1,[2]quests!$1:$1,0)-MATCH($C$1,[2]quests!$1:$1,0)+1,FALSE)</f>
        <v>月曜クエスト</v>
      </c>
      <c r="F224" s="118">
        <v>4</v>
      </c>
      <c r="G224" s="117" t="str">
        <f ca="1">VLOOKUP($C224&amp;"_"&amp;$F224,OFFSET([2]stages!$A$1,0,0,COUNTA([2]stages!$A:$A),MATCH(G$1,[2]stages!$2:$2,0)-MATCH("temp_stage",[2]stages!$2:$2,0)+1),MATCH(G$1,[2]stages!$2:$2,0)-MATCH("temp_stage",[2]stages!$2:$2,0)+1,FALSE)</f>
        <v>【上級】雷のイモムシ</v>
      </c>
      <c r="H224" s="117" t="str">
        <f ca="1">VLOOKUP($C224&amp;"_"&amp;$F224,OFFSET([2]stages!$A$1,0,0,COUNTA([2]stages!$A:$A),MATCH(H$1,[2]stages!$2:$2,0)-MATCH("temp_stage",[2]stages!$2:$2,0)+1),MATCH(H$1,[2]stages!$2:$2,0)-MATCH("temp_stage",[2]stages!$2:$2,0)+1,FALSE)</f>
        <v>月曜クエスト</v>
      </c>
      <c r="I224" s="119">
        <v>0</v>
      </c>
      <c r="J224" s="118">
        <f>COUNTIF(C$1:C224,C224)</f>
        <v>25</v>
      </c>
      <c r="K224" s="120">
        <v>29</v>
      </c>
      <c r="L224" s="118" t="s">
        <v>234</v>
      </c>
      <c r="M224" s="121" t="str">
        <f>VLOOKUP(K224,[6]stage_hints!$A:$C,3,FALSE)</f>
        <v>「バグ」のメリット</v>
      </c>
      <c r="N224" s="122" t="str">
        <f>VLOOKUP(K224,[6]stage_hints!$A:$D,4,FALSE)</f>
        <v>ユニットの「バグ」を増やすと_x000D_報酬をもらえる確率がアップします</v>
      </c>
      <c r="O224" s="36" t="s">
        <v>235</v>
      </c>
      <c r="P224">
        <v>29</v>
      </c>
    </row>
    <row r="225" spans="1:16" x14ac:dyDescent="0.15">
      <c r="A225" s="114" t="str">
        <f t="shared" si="2"/>
        <v>11101_4_26</v>
      </c>
      <c r="B225" s="115" t="s">
        <v>231</v>
      </c>
      <c r="C225" s="116">
        <v>11101</v>
      </c>
      <c r="D225" s="117" t="str">
        <f ca="1">VLOOKUP($C225,OFFSET([2]quests!$A$1,0,0,COUNTA([2]quests!$A:$A),MATCH(D$1,[2]quests!$1:$1,0)-MATCH($C$1,[2]quests!$1:$1,0)+1),MATCH(D$1,[2]quests!$1:$1,0)-MATCH($C$1,[2]quests!$1:$1,0)+1,FALSE)</f>
        <v>【期間限定】 黄の素材</v>
      </c>
      <c r="E225" s="117" t="str">
        <f ca="1">VLOOKUP($C225,OFFSET([2]quests!$A$1,0,0,COUNTA([2]quests!$A:$A),MATCH(E$1,[2]quests!$1:$1,0)-MATCH($C$1,[2]quests!$1:$1,0)+1),MATCH(E$1,[2]quests!$1:$1,0)-MATCH($C$1,[2]quests!$1:$1,0)+1,FALSE)</f>
        <v>月曜クエスト</v>
      </c>
      <c r="F225" s="118">
        <v>4</v>
      </c>
      <c r="G225" s="117" t="str">
        <f ca="1">VLOOKUP($C225&amp;"_"&amp;$F225,OFFSET([2]stages!$A$1,0,0,COUNTA([2]stages!$A:$A),MATCH(G$1,[2]stages!$2:$2,0)-MATCH("temp_stage",[2]stages!$2:$2,0)+1),MATCH(G$1,[2]stages!$2:$2,0)-MATCH("temp_stage",[2]stages!$2:$2,0)+1,FALSE)</f>
        <v>【上級】雷のイモムシ</v>
      </c>
      <c r="H225" s="117" t="str">
        <f ca="1">VLOOKUP($C225&amp;"_"&amp;$F225,OFFSET([2]stages!$A$1,0,0,COUNTA([2]stages!$A:$A),MATCH(H$1,[2]stages!$2:$2,0)-MATCH("temp_stage",[2]stages!$2:$2,0)+1),MATCH(H$1,[2]stages!$2:$2,0)-MATCH("temp_stage",[2]stages!$2:$2,0)+1,FALSE)</f>
        <v>月曜クエスト</v>
      </c>
      <c r="I225" s="119">
        <v>0</v>
      </c>
      <c r="J225" s="118">
        <f>COUNTIF(C$1:C225,C225)</f>
        <v>26</v>
      </c>
      <c r="K225" s="120">
        <v>30</v>
      </c>
      <c r="L225" s="118" t="s">
        <v>335</v>
      </c>
      <c r="M225" s="121" t="str">
        <f>VLOOKUP(K225,[6]stage_hints!$A:$C,3,FALSE)</f>
        <v>「バグ」の増やし方</v>
      </c>
      <c r="N225" s="122" t="str">
        <f>VLOOKUP(K225,[6]stage_hints!$A:$D,4,FALSE)</f>
        <v>同じユニット同士を強化で合成すると_x000D_「バグ」を増やすことができます</v>
      </c>
      <c r="O225" s="36" t="s">
        <v>235</v>
      </c>
      <c r="P225">
        <v>30</v>
      </c>
    </row>
    <row r="226" spans="1:16" x14ac:dyDescent="0.15">
      <c r="A226" s="114" t="str">
        <f t="shared" si="2"/>
        <v>11101_4_27</v>
      </c>
      <c r="B226" s="115" t="s">
        <v>231</v>
      </c>
      <c r="C226" s="116">
        <v>11101</v>
      </c>
      <c r="D226" s="117" t="str">
        <f ca="1">VLOOKUP($C226,OFFSET([2]quests!$A$1,0,0,COUNTA([2]quests!$A:$A),MATCH(D$1,[2]quests!$1:$1,0)-MATCH($C$1,[2]quests!$1:$1,0)+1),MATCH(D$1,[2]quests!$1:$1,0)-MATCH($C$1,[2]quests!$1:$1,0)+1,FALSE)</f>
        <v>【期間限定】 黄の素材</v>
      </c>
      <c r="E226" s="117" t="str">
        <f ca="1">VLOOKUP($C226,OFFSET([2]quests!$A$1,0,0,COUNTA([2]quests!$A:$A),MATCH(E$1,[2]quests!$1:$1,0)-MATCH($C$1,[2]quests!$1:$1,0)+1),MATCH(E$1,[2]quests!$1:$1,0)-MATCH($C$1,[2]quests!$1:$1,0)+1,FALSE)</f>
        <v>月曜クエスト</v>
      </c>
      <c r="F226" s="118">
        <v>4</v>
      </c>
      <c r="G226" s="117" t="str">
        <f ca="1">VLOOKUP($C226&amp;"_"&amp;$F226,OFFSET([2]stages!$A$1,0,0,COUNTA([2]stages!$A:$A),MATCH(G$1,[2]stages!$2:$2,0)-MATCH("temp_stage",[2]stages!$2:$2,0)+1),MATCH(G$1,[2]stages!$2:$2,0)-MATCH("temp_stage",[2]stages!$2:$2,0)+1,FALSE)</f>
        <v>【上級】雷のイモムシ</v>
      </c>
      <c r="H226" s="117" t="str">
        <f ca="1">VLOOKUP($C226&amp;"_"&amp;$F226,OFFSET([2]stages!$A$1,0,0,COUNTA([2]stages!$A:$A),MATCH(H$1,[2]stages!$2:$2,0)-MATCH("temp_stage",[2]stages!$2:$2,0)+1),MATCH(H$1,[2]stages!$2:$2,0)-MATCH("temp_stage",[2]stages!$2:$2,0)+1,FALSE)</f>
        <v>月曜クエスト</v>
      </c>
      <c r="I226" s="119">
        <v>0</v>
      </c>
      <c r="J226" s="118">
        <f>COUNTIF(C$1:C226,C226)</f>
        <v>27</v>
      </c>
      <c r="K226" s="120">
        <v>31</v>
      </c>
      <c r="L226" s="118" t="s">
        <v>336</v>
      </c>
      <c r="M226" s="121" t="str">
        <f>VLOOKUP(K226,[6]stage_hints!$A:$C,3,FALSE)</f>
        <v>イベントはお知らせでチェック</v>
      </c>
      <c r="N226" s="122" t="str">
        <f>VLOOKUP(K226,[6]stage_hints!$A:$D,4,FALSE)</f>
        <v>イベント限定ユニットを取り忘れないように_x000D_お知らせをこまめにチェックしましょう</v>
      </c>
      <c r="O226" s="36" t="s">
        <v>337</v>
      </c>
      <c r="P226">
        <v>31</v>
      </c>
    </row>
    <row r="227" spans="1:16" x14ac:dyDescent="0.15">
      <c r="A227" s="114" t="str">
        <f t="shared" si="2"/>
        <v>11101_4_28</v>
      </c>
      <c r="B227" s="115" t="s">
        <v>231</v>
      </c>
      <c r="C227" s="116">
        <v>11101</v>
      </c>
      <c r="D227" s="117" t="str">
        <f ca="1">VLOOKUP($C227,OFFSET([2]quests!$A$1,0,0,COUNTA([2]quests!$A:$A),MATCH(D$1,[2]quests!$1:$1,0)-MATCH($C$1,[2]quests!$1:$1,0)+1),MATCH(D$1,[2]quests!$1:$1,0)-MATCH($C$1,[2]quests!$1:$1,0)+1,FALSE)</f>
        <v>【期間限定】 黄の素材</v>
      </c>
      <c r="E227" s="117" t="str">
        <f ca="1">VLOOKUP($C227,OFFSET([2]quests!$A$1,0,0,COUNTA([2]quests!$A:$A),MATCH(E$1,[2]quests!$1:$1,0)-MATCH($C$1,[2]quests!$1:$1,0)+1),MATCH(E$1,[2]quests!$1:$1,0)-MATCH($C$1,[2]quests!$1:$1,0)+1,FALSE)</f>
        <v>月曜クエスト</v>
      </c>
      <c r="F227" s="118">
        <v>4</v>
      </c>
      <c r="G227" s="117" t="str">
        <f ca="1">VLOOKUP($C227&amp;"_"&amp;$F227,OFFSET([2]stages!$A$1,0,0,COUNTA([2]stages!$A:$A),MATCH(G$1,[2]stages!$2:$2,0)-MATCH("temp_stage",[2]stages!$2:$2,0)+1),MATCH(G$1,[2]stages!$2:$2,0)-MATCH("temp_stage",[2]stages!$2:$2,0)+1,FALSE)</f>
        <v>【上級】雷のイモムシ</v>
      </c>
      <c r="H227" s="117" t="str">
        <f ca="1">VLOOKUP($C227&amp;"_"&amp;$F227,OFFSET([2]stages!$A$1,0,0,COUNTA([2]stages!$A:$A),MATCH(H$1,[2]stages!$2:$2,0)-MATCH("temp_stage",[2]stages!$2:$2,0)+1),MATCH(H$1,[2]stages!$2:$2,0)-MATCH("temp_stage",[2]stages!$2:$2,0)+1,FALSE)</f>
        <v>月曜クエスト</v>
      </c>
      <c r="I227" s="119">
        <v>0</v>
      </c>
      <c r="J227" s="118">
        <f>COUNTIF(C$1:C227,C227)</f>
        <v>28</v>
      </c>
      <c r="K227" s="120">
        <v>32</v>
      </c>
      <c r="L227" s="118" t="s">
        <v>234</v>
      </c>
      <c r="M227" s="121" t="str">
        <f>VLOOKUP(K227,[6]stage_hints!$A:$C,3,FALSE)</f>
        <v>敵の連続攻撃には</v>
      </c>
      <c r="N227" s="122" t="str">
        <f>VLOOKUP(K227,[6]stage_hints!$A:$D,4,FALSE)</f>
        <v>カウンタースキルを持つユニットがいれば_x000D_ダメージ回数分の反撃ができます</v>
      </c>
      <c r="O227" s="36" t="s">
        <v>338</v>
      </c>
      <c r="P227">
        <v>32</v>
      </c>
    </row>
    <row r="228" spans="1:16" x14ac:dyDescent="0.15">
      <c r="A228" s="114" t="str">
        <f t="shared" si="2"/>
        <v>11101_4_29</v>
      </c>
      <c r="B228" s="115" t="s">
        <v>231</v>
      </c>
      <c r="C228" s="116">
        <v>11101</v>
      </c>
      <c r="D228" s="117" t="str">
        <f ca="1">VLOOKUP($C228,OFFSET([2]quests!$A$1,0,0,COUNTA([2]quests!$A:$A),MATCH(D$1,[2]quests!$1:$1,0)-MATCH($C$1,[2]quests!$1:$1,0)+1),MATCH(D$1,[2]quests!$1:$1,0)-MATCH($C$1,[2]quests!$1:$1,0)+1,FALSE)</f>
        <v>【期間限定】 黄の素材</v>
      </c>
      <c r="E228" s="117" t="str">
        <f ca="1">VLOOKUP($C228,OFFSET([2]quests!$A$1,0,0,COUNTA([2]quests!$A:$A),MATCH(E$1,[2]quests!$1:$1,0)-MATCH($C$1,[2]quests!$1:$1,0)+1),MATCH(E$1,[2]quests!$1:$1,0)-MATCH($C$1,[2]quests!$1:$1,0)+1,FALSE)</f>
        <v>月曜クエスト</v>
      </c>
      <c r="F228" s="118">
        <v>4</v>
      </c>
      <c r="G228" s="117" t="str">
        <f ca="1">VLOOKUP($C228&amp;"_"&amp;$F228,OFFSET([2]stages!$A$1,0,0,COUNTA([2]stages!$A:$A),MATCH(G$1,[2]stages!$2:$2,0)-MATCH("temp_stage",[2]stages!$2:$2,0)+1),MATCH(G$1,[2]stages!$2:$2,0)-MATCH("temp_stage",[2]stages!$2:$2,0)+1,FALSE)</f>
        <v>【上級】雷のイモムシ</v>
      </c>
      <c r="H228" s="117" t="str">
        <f ca="1">VLOOKUP($C228&amp;"_"&amp;$F228,OFFSET([2]stages!$A$1,0,0,COUNTA([2]stages!$A:$A),MATCH(H$1,[2]stages!$2:$2,0)-MATCH("temp_stage",[2]stages!$2:$2,0)+1),MATCH(H$1,[2]stages!$2:$2,0)-MATCH("temp_stage",[2]stages!$2:$2,0)+1,FALSE)</f>
        <v>月曜クエスト</v>
      </c>
      <c r="I228" s="119">
        <v>0</v>
      </c>
      <c r="J228" s="118">
        <f>COUNTIF(C$1:C228,C228)</f>
        <v>29</v>
      </c>
      <c r="K228" s="120">
        <v>33</v>
      </c>
      <c r="L228" s="118" t="s">
        <v>339</v>
      </c>
      <c r="M228" s="121" t="str">
        <f>VLOOKUP(K228,[6]stage_hints!$A:$C,3,FALSE)</f>
        <v>敵のカウンター攻撃には</v>
      </c>
      <c r="N228" s="122" t="str">
        <f>VLOOKUP(K228,[6]stage_hints!$A:$D,4,FALSE)</f>
        <v>カウンターブレイクスキルを持っていれば_x000D_敵のカウンターを解除して攻撃ができます</v>
      </c>
      <c r="O228" s="36" t="s">
        <v>340</v>
      </c>
      <c r="P228">
        <v>33</v>
      </c>
    </row>
    <row r="229" spans="1:16" x14ac:dyDescent="0.15">
      <c r="A229" s="114" t="str">
        <f t="shared" si="2"/>
        <v>11101_4_30</v>
      </c>
      <c r="B229" s="115" t="s">
        <v>231</v>
      </c>
      <c r="C229" s="116">
        <v>11101</v>
      </c>
      <c r="D229" s="117" t="str">
        <f ca="1">VLOOKUP($C229,OFFSET([2]quests!$A$1,0,0,COUNTA([2]quests!$A:$A),MATCH(D$1,[2]quests!$1:$1,0)-MATCH($C$1,[2]quests!$1:$1,0)+1),MATCH(D$1,[2]quests!$1:$1,0)-MATCH($C$1,[2]quests!$1:$1,0)+1,FALSE)</f>
        <v>【期間限定】 黄の素材</v>
      </c>
      <c r="E229" s="117" t="str">
        <f ca="1">VLOOKUP($C229,OFFSET([2]quests!$A$1,0,0,COUNTA([2]quests!$A:$A),MATCH(E$1,[2]quests!$1:$1,0)-MATCH($C$1,[2]quests!$1:$1,0)+1),MATCH(E$1,[2]quests!$1:$1,0)-MATCH($C$1,[2]quests!$1:$1,0)+1,FALSE)</f>
        <v>月曜クエスト</v>
      </c>
      <c r="F229" s="118">
        <v>4</v>
      </c>
      <c r="G229" s="117" t="str">
        <f ca="1">VLOOKUP($C229&amp;"_"&amp;$F229,OFFSET([2]stages!$A$1,0,0,COUNTA([2]stages!$A:$A),MATCH(G$1,[2]stages!$2:$2,0)-MATCH("temp_stage",[2]stages!$2:$2,0)+1),MATCH(G$1,[2]stages!$2:$2,0)-MATCH("temp_stage",[2]stages!$2:$2,0)+1,FALSE)</f>
        <v>【上級】雷のイモムシ</v>
      </c>
      <c r="H229" s="117" t="str">
        <f ca="1">VLOOKUP($C229&amp;"_"&amp;$F229,OFFSET([2]stages!$A$1,0,0,COUNTA([2]stages!$A:$A),MATCH(H$1,[2]stages!$2:$2,0)-MATCH("temp_stage",[2]stages!$2:$2,0)+1),MATCH(H$1,[2]stages!$2:$2,0)-MATCH("temp_stage",[2]stages!$2:$2,0)+1,FALSE)</f>
        <v>月曜クエスト</v>
      </c>
      <c r="I229" s="119">
        <v>0</v>
      </c>
      <c r="J229" s="118">
        <f>COUNTIF(C$1:C229,C229)</f>
        <v>30</v>
      </c>
      <c r="K229" s="120">
        <v>34</v>
      </c>
      <c r="L229" s="118" t="s">
        <v>341</v>
      </c>
      <c r="M229" s="121" t="str">
        <f>VLOOKUP(K229,[6]stage_hints!$A:$C,3,FALSE)</f>
        <v>ステータスをスキルで下げられたら</v>
      </c>
      <c r="N229" s="122" t="str">
        <f>VLOOKUP(K229,[6]stage_hints!$A:$D,4,FALSE)</f>
        <v>ステータスダウンのスキルを受けたら_x000D_ステータスアップスキルで上書きしましょう</v>
      </c>
      <c r="O229" s="36" t="s">
        <v>342</v>
      </c>
      <c r="P229">
        <v>34</v>
      </c>
    </row>
    <row r="230" spans="1:16" x14ac:dyDescent="0.15">
      <c r="A230" s="114" t="str">
        <f t="shared" si="2"/>
        <v>11101_4_31</v>
      </c>
      <c r="B230" s="115" t="s">
        <v>231</v>
      </c>
      <c r="C230" s="116">
        <v>11101</v>
      </c>
      <c r="D230" s="117" t="str">
        <f ca="1">VLOOKUP($C230,OFFSET([2]quests!$A$1,0,0,COUNTA([2]quests!$A:$A),MATCH(D$1,[2]quests!$1:$1,0)-MATCH($C$1,[2]quests!$1:$1,0)+1),MATCH(D$1,[2]quests!$1:$1,0)-MATCH($C$1,[2]quests!$1:$1,0)+1,FALSE)</f>
        <v>【期間限定】 黄の素材</v>
      </c>
      <c r="E230" s="117" t="str">
        <f ca="1">VLOOKUP($C230,OFFSET([2]quests!$A$1,0,0,COUNTA([2]quests!$A:$A),MATCH(E$1,[2]quests!$1:$1,0)-MATCH($C$1,[2]quests!$1:$1,0)+1),MATCH(E$1,[2]quests!$1:$1,0)-MATCH($C$1,[2]quests!$1:$1,0)+1,FALSE)</f>
        <v>月曜クエスト</v>
      </c>
      <c r="F230" s="118">
        <v>4</v>
      </c>
      <c r="G230" s="117" t="str">
        <f ca="1">VLOOKUP($C230&amp;"_"&amp;$F230,OFFSET([2]stages!$A$1,0,0,COUNTA([2]stages!$A:$A),MATCH(G$1,[2]stages!$2:$2,0)-MATCH("temp_stage",[2]stages!$2:$2,0)+1),MATCH(G$1,[2]stages!$2:$2,0)-MATCH("temp_stage",[2]stages!$2:$2,0)+1,FALSE)</f>
        <v>【上級】雷のイモムシ</v>
      </c>
      <c r="H230" s="117" t="str">
        <f ca="1">VLOOKUP($C230&amp;"_"&amp;$F230,OFFSET([2]stages!$A$1,0,0,COUNTA([2]stages!$A:$A),MATCH(H$1,[2]stages!$2:$2,0)-MATCH("temp_stage",[2]stages!$2:$2,0)+1),MATCH(H$1,[2]stages!$2:$2,0)-MATCH("temp_stage",[2]stages!$2:$2,0)+1,FALSE)</f>
        <v>月曜クエスト</v>
      </c>
      <c r="I230" s="119">
        <v>0</v>
      </c>
      <c r="J230" s="118">
        <f>COUNTIF(C$1:C230,C230)</f>
        <v>31</v>
      </c>
      <c r="K230" s="120">
        <v>35</v>
      </c>
      <c r="L230" s="118" t="s">
        <v>343</v>
      </c>
      <c r="M230" s="121" t="str">
        <f>VLOOKUP(K230,[6]stage_hints!$A:$C,3,FALSE)</f>
        <v>敵のステータスがスキルで上がったら</v>
      </c>
      <c r="N230" s="122" t="str">
        <f>VLOOKUP(K230,[6]stage_hints!$A:$D,4,FALSE)</f>
        <v>敵のステータスがスキルでアップしたときは_x000D_ステータスダウンスキルで上書きしましょう</v>
      </c>
      <c r="O230" s="36" t="s">
        <v>344</v>
      </c>
      <c r="P230">
        <v>35</v>
      </c>
    </row>
    <row r="231" spans="1:16" x14ac:dyDescent="0.15">
      <c r="A231" s="114" t="str">
        <f t="shared" si="2"/>
        <v>11101_4_32</v>
      </c>
      <c r="B231" s="115" t="s">
        <v>231</v>
      </c>
      <c r="C231" s="116">
        <v>11101</v>
      </c>
      <c r="D231" s="117" t="str">
        <f ca="1">VLOOKUP($C231,OFFSET([2]quests!$A$1,0,0,COUNTA([2]quests!$A:$A),MATCH(D$1,[2]quests!$1:$1,0)-MATCH($C$1,[2]quests!$1:$1,0)+1),MATCH(D$1,[2]quests!$1:$1,0)-MATCH($C$1,[2]quests!$1:$1,0)+1,FALSE)</f>
        <v>【期間限定】 黄の素材</v>
      </c>
      <c r="E231" s="117" t="str">
        <f ca="1">VLOOKUP($C231,OFFSET([2]quests!$A$1,0,0,COUNTA([2]quests!$A:$A),MATCH(E$1,[2]quests!$1:$1,0)-MATCH($C$1,[2]quests!$1:$1,0)+1),MATCH(E$1,[2]quests!$1:$1,0)-MATCH($C$1,[2]quests!$1:$1,0)+1,FALSE)</f>
        <v>月曜クエスト</v>
      </c>
      <c r="F231" s="118">
        <v>4</v>
      </c>
      <c r="G231" s="117" t="str">
        <f ca="1">VLOOKUP($C231&amp;"_"&amp;$F231,OFFSET([2]stages!$A$1,0,0,COUNTA([2]stages!$A:$A),MATCH(G$1,[2]stages!$2:$2,0)-MATCH("temp_stage",[2]stages!$2:$2,0)+1),MATCH(G$1,[2]stages!$2:$2,0)-MATCH("temp_stage",[2]stages!$2:$2,0)+1,FALSE)</f>
        <v>【上級】雷のイモムシ</v>
      </c>
      <c r="H231" s="117" t="str">
        <f ca="1">VLOOKUP($C231&amp;"_"&amp;$F231,OFFSET([2]stages!$A$1,0,0,COUNTA([2]stages!$A:$A),MATCH(H$1,[2]stages!$2:$2,0)-MATCH("temp_stage",[2]stages!$2:$2,0)+1),MATCH(H$1,[2]stages!$2:$2,0)-MATCH("temp_stage",[2]stages!$2:$2,0)+1,FALSE)</f>
        <v>月曜クエスト</v>
      </c>
      <c r="I231" s="119">
        <v>0</v>
      </c>
      <c r="J231" s="118">
        <f>COUNTIF(C$1:C231,C231)</f>
        <v>32</v>
      </c>
      <c r="K231" s="120">
        <v>36</v>
      </c>
      <c r="L231" s="118" t="s">
        <v>234</v>
      </c>
      <c r="M231" s="121" t="str">
        <f>VLOOKUP(K231,[6]stage_hints!$A:$C,3,FALSE)</f>
        <v>タワーオブザクイーンのボス</v>
      </c>
      <c r="N231" s="122" t="str">
        <f>VLOOKUP(K231,[6]stage_hints!$A:$D,4,FALSE)</f>
        <v>「タワーオブザクイーン」最上階のボスは_x000D_15階の初回クリア報酬で獲得できるほか_x000D_その階にて低確率でドロップもします</v>
      </c>
      <c r="O231" s="36" t="s">
        <v>235</v>
      </c>
      <c r="P231">
        <v>36</v>
      </c>
    </row>
    <row r="232" spans="1:16" x14ac:dyDescent="0.15">
      <c r="A232" s="114" t="str">
        <f t="shared" si="2"/>
        <v>11101_4_33</v>
      </c>
      <c r="B232" s="115" t="s">
        <v>231</v>
      </c>
      <c r="C232" s="116">
        <v>11101</v>
      </c>
      <c r="D232" s="117" t="str">
        <f ca="1">VLOOKUP($C232,OFFSET([2]quests!$A$1,0,0,COUNTA([2]quests!$A:$A),MATCH(D$1,[2]quests!$1:$1,0)-MATCH($C$1,[2]quests!$1:$1,0)+1),MATCH(D$1,[2]quests!$1:$1,0)-MATCH($C$1,[2]quests!$1:$1,0)+1,FALSE)</f>
        <v>【期間限定】 黄の素材</v>
      </c>
      <c r="E232" s="117" t="str">
        <f ca="1">VLOOKUP($C232,OFFSET([2]quests!$A$1,0,0,COUNTA([2]quests!$A:$A),MATCH(E$1,[2]quests!$1:$1,0)-MATCH($C$1,[2]quests!$1:$1,0)+1),MATCH(E$1,[2]quests!$1:$1,0)-MATCH($C$1,[2]quests!$1:$1,0)+1,FALSE)</f>
        <v>月曜クエスト</v>
      </c>
      <c r="F232" s="118">
        <v>4</v>
      </c>
      <c r="G232" s="117" t="str">
        <f ca="1">VLOOKUP($C232&amp;"_"&amp;$F232,OFFSET([2]stages!$A$1,0,0,COUNTA([2]stages!$A:$A),MATCH(G$1,[2]stages!$2:$2,0)-MATCH("temp_stage",[2]stages!$2:$2,0)+1),MATCH(G$1,[2]stages!$2:$2,0)-MATCH("temp_stage",[2]stages!$2:$2,0)+1,FALSE)</f>
        <v>【上級】雷のイモムシ</v>
      </c>
      <c r="H232" s="117" t="str">
        <f ca="1">VLOOKUP($C232&amp;"_"&amp;$F232,OFFSET([2]stages!$A$1,0,0,COUNTA([2]stages!$A:$A),MATCH(H$1,[2]stages!$2:$2,0)-MATCH("temp_stage",[2]stages!$2:$2,0)+1),MATCH(H$1,[2]stages!$2:$2,0)-MATCH("temp_stage",[2]stages!$2:$2,0)+1,FALSE)</f>
        <v>月曜クエスト</v>
      </c>
      <c r="I232" s="119">
        <v>0</v>
      </c>
      <c r="J232" s="118">
        <f>COUNTIF(C$1:C232,C232)</f>
        <v>33</v>
      </c>
      <c r="K232" s="120">
        <v>37</v>
      </c>
      <c r="L232" s="118" t="s">
        <v>345</v>
      </c>
      <c r="M232" s="121" t="str">
        <f>VLOOKUP(K232,[6]stage_hints!$A:$C,3,FALSE)</f>
        <v>限界突破値の引き継ぎ</v>
      </c>
      <c r="N232" s="122" t="str">
        <f>VLOOKUP(K232,[6]stage_hints!$A:$D,4,FALSE)</f>
        <v>同じユニットを強化で合成すると_x000D_限界突破値を引き継げます（覚醒前後も可）</v>
      </c>
      <c r="O232" s="36" t="s">
        <v>235</v>
      </c>
      <c r="P232">
        <v>37</v>
      </c>
    </row>
    <row r="233" spans="1:16" x14ac:dyDescent="0.15">
      <c r="A233" s="114" t="str">
        <f t="shared" si="2"/>
        <v>11102_4_1</v>
      </c>
      <c r="B233" s="115" t="s">
        <v>231</v>
      </c>
      <c r="C233" s="116">
        <v>11102</v>
      </c>
      <c r="D233" s="117" t="str">
        <f ca="1">VLOOKUP($C233,OFFSET([2]quests!$A$1,0,0,COUNTA([2]quests!$A:$A),MATCH(D$1,[2]quests!$1:$1,0)-MATCH($C$1,[2]quests!$1:$1,0)+1),MATCH(D$1,[2]quests!$1:$1,0)-MATCH($C$1,[2]quests!$1:$1,0)+1,FALSE)</f>
        <v>【期間限定】 赤の素材</v>
      </c>
      <c r="E233" s="117" t="str">
        <f ca="1">VLOOKUP($C233,OFFSET([2]quests!$A$1,0,0,COUNTA([2]quests!$A:$A),MATCH(E$1,[2]quests!$1:$1,0)-MATCH($C$1,[2]quests!$1:$1,0)+1),MATCH(E$1,[2]quests!$1:$1,0)-MATCH($C$1,[2]quests!$1:$1,0)+1,FALSE)</f>
        <v>火曜クエスト</v>
      </c>
      <c r="F233" s="118">
        <v>4</v>
      </c>
      <c r="G233" s="117" t="str">
        <f ca="1">VLOOKUP($C233&amp;"_"&amp;$F233,OFFSET([2]stages!$A$1,0,0,COUNTA([2]stages!$A:$A),MATCH(G$1,[2]stages!$2:$2,0)-MATCH("temp_stage",[2]stages!$2:$2,0)+1),MATCH(G$1,[2]stages!$2:$2,0)-MATCH("temp_stage",[2]stages!$2:$2,0)+1,FALSE)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3" s="117" t="str">
        <f ca="1">VLOOKUP($C233&amp;"_"&amp;$F233,OFFSET([2]stages!$A$1,0,0,COUNTA([2]stages!$A:$A),MATCH(H$1,[2]stages!$2:$2,0)-MATCH("temp_stage",[2]stages!$2:$2,0)+1),MATCH(H$1,[2]stages!$2:$2,0)-MATCH("temp_stage",[2]stages!$2:$2,0)+1,FALSE)</f>
        <v>火曜クエスト</v>
      </c>
      <c r="I233" s="119">
        <v>0</v>
      </c>
      <c r="J233" s="118">
        <f>COUNTIF(C$1:C233,C233)</f>
        <v>1</v>
      </c>
      <c r="K233" s="120">
        <v>3</v>
      </c>
      <c r="L233" s="118" t="s">
        <v>346</v>
      </c>
      <c r="M233" s="121" t="str">
        <f>VLOOKUP(K233,[6]stage_hints!$A:$C,3,FALSE)</f>
        <v>ターゲット</v>
      </c>
      <c r="N233" s="122" t="str">
        <f>VLOOKUP(K233,[6]stage_hints!$A:$D,4,FALSE)</f>
        <v>敵ユニットをタップすると_x000D_その敵を狙い撃ちできます</v>
      </c>
      <c r="O233" s="36" t="s">
        <v>347</v>
      </c>
      <c r="P233">
        <v>3</v>
      </c>
    </row>
    <row r="234" spans="1:16" x14ac:dyDescent="0.15">
      <c r="A234" s="114" t="str">
        <f t="shared" si="2"/>
        <v>11102_4_2</v>
      </c>
      <c r="B234" s="115" t="s">
        <v>231</v>
      </c>
      <c r="C234" s="116">
        <v>11102</v>
      </c>
      <c r="D234" s="117" t="str">
        <f ca="1">VLOOKUP($C234,OFFSET([2]quests!$A$1,0,0,COUNTA([2]quests!$A:$A),MATCH(D$1,[2]quests!$1:$1,0)-MATCH($C$1,[2]quests!$1:$1,0)+1),MATCH(D$1,[2]quests!$1:$1,0)-MATCH($C$1,[2]quests!$1:$1,0)+1,FALSE)</f>
        <v>【期間限定】 赤の素材</v>
      </c>
      <c r="E234" s="117" t="str">
        <f ca="1">VLOOKUP($C234,OFFSET([2]quests!$A$1,0,0,COUNTA([2]quests!$A:$A),MATCH(E$1,[2]quests!$1:$1,0)-MATCH($C$1,[2]quests!$1:$1,0)+1),MATCH(E$1,[2]quests!$1:$1,0)-MATCH($C$1,[2]quests!$1:$1,0)+1,FALSE)</f>
        <v>火曜クエスト</v>
      </c>
      <c r="F234" s="118">
        <v>4</v>
      </c>
      <c r="G234" s="117" t="str">
        <f ca="1">VLOOKUP($C234&amp;"_"&amp;$F234,OFFSET([2]stages!$A$1,0,0,COUNTA([2]stages!$A:$A),MATCH(G$1,[2]stages!$2:$2,0)-MATCH("temp_stage",[2]stages!$2:$2,0)+1),MATCH(G$1,[2]stages!$2:$2,0)-MATCH("temp_stage",[2]stages!$2:$2,0)+1,FALSE)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4" s="117" t="str">
        <f ca="1">VLOOKUP($C234&amp;"_"&amp;$F234,OFFSET([2]stages!$A$1,0,0,COUNTA([2]stages!$A:$A),MATCH(H$1,[2]stages!$2:$2,0)-MATCH("temp_stage",[2]stages!$2:$2,0)+1),MATCH(H$1,[2]stages!$2:$2,0)-MATCH("temp_stage",[2]stages!$2:$2,0)+1,FALSE)</f>
        <v>火曜クエスト</v>
      </c>
      <c r="I234" s="119">
        <v>0</v>
      </c>
      <c r="J234" s="118">
        <f>COUNTIF(C$1:C234,C234)</f>
        <v>2</v>
      </c>
      <c r="K234" s="120">
        <v>6</v>
      </c>
      <c r="L234" s="118" t="s">
        <v>234</v>
      </c>
      <c r="M234" s="121" t="str">
        <f>VLOOKUP(K234,[6]stage_hints!$A:$C,3,FALSE)</f>
        <v>ユニット強化の属性ボーナス</v>
      </c>
      <c r="N234" s="122" t="str">
        <f>VLOOKUP(K234,[6]stage_hints!$A:$D,4,FALSE)</f>
        <v>同属性ユニットを強化素材にすると_x000D_経験値が多くもらえます</v>
      </c>
      <c r="O234" s="36" t="s">
        <v>235</v>
      </c>
      <c r="P234">
        <v>6</v>
      </c>
    </row>
    <row r="235" spans="1:16" x14ac:dyDescent="0.15">
      <c r="A235" s="114" t="str">
        <f t="shared" si="2"/>
        <v>11102_4_3</v>
      </c>
      <c r="B235" s="115" t="s">
        <v>231</v>
      </c>
      <c r="C235" s="116">
        <v>11102</v>
      </c>
      <c r="D235" s="117" t="str">
        <f ca="1">VLOOKUP($C235,OFFSET([2]quests!$A$1,0,0,COUNTA([2]quests!$A:$A),MATCH(D$1,[2]quests!$1:$1,0)-MATCH($C$1,[2]quests!$1:$1,0)+1),MATCH(D$1,[2]quests!$1:$1,0)-MATCH($C$1,[2]quests!$1:$1,0)+1,FALSE)</f>
        <v>【期間限定】 赤の素材</v>
      </c>
      <c r="E235" s="117" t="str">
        <f ca="1">VLOOKUP($C235,OFFSET([2]quests!$A$1,0,0,COUNTA([2]quests!$A:$A),MATCH(E$1,[2]quests!$1:$1,0)-MATCH($C$1,[2]quests!$1:$1,0)+1),MATCH(E$1,[2]quests!$1:$1,0)-MATCH($C$1,[2]quests!$1:$1,0)+1,FALSE)</f>
        <v>火曜クエスト</v>
      </c>
      <c r="F235" s="118">
        <v>4</v>
      </c>
      <c r="G235" s="117" t="str">
        <f ca="1">VLOOKUP($C235&amp;"_"&amp;$F235,OFFSET([2]stages!$A$1,0,0,COUNTA([2]stages!$A:$A),MATCH(G$1,[2]stages!$2:$2,0)-MATCH("temp_stage",[2]stages!$2:$2,0)+1),MATCH(G$1,[2]stages!$2:$2,0)-MATCH("temp_stage",[2]stages!$2:$2,0)+1,FALSE)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5" s="117" t="str">
        <f ca="1">VLOOKUP($C235&amp;"_"&amp;$F235,OFFSET([2]stages!$A$1,0,0,COUNTA([2]stages!$A:$A),MATCH(H$1,[2]stages!$2:$2,0)-MATCH("temp_stage",[2]stages!$2:$2,0)+1),MATCH(H$1,[2]stages!$2:$2,0)-MATCH("temp_stage",[2]stages!$2:$2,0)+1,FALSE)</f>
        <v>火曜クエスト</v>
      </c>
      <c r="I235" s="119">
        <v>0</v>
      </c>
      <c r="J235" s="118">
        <f>COUNTIF(C$1:C235,C235)</f>
        <v>3</v>
      </c>
      <c r="K235" s="120">
        <v>7</v>
      </c>
      <c r="L235" s="118" t="s">
        <v>313</v>
      </c>
      <c r="M235" s="121" t="str">
        <f>VLOOKUP(K235,[6]stage_hints!$A:$C,3,FALSE)</f>
        <v>メタルダックで経験値を獲得</v>
      </c>
      <c r="N235" s="122" t="str">
        <f>VLOOKUP(K235,[6]stage_hints!$A:$D,4,FALSE)</f>
        <v>「メタルなアヒル」を強化素材にすると_x000D_大量の経験値がもらえます</v>
      </c>
      <c r="O235" s="36" t="s">
        <v>235</v>
      </c>
      <c r="P235">
        <v>7</v>
      </c>
    </row>
    <row r="236" spans="1:16" x14ac:dyDescent="0.15">
      <c r="A236" s="114" t="str">
        <f t="shared" si="2"/>
        <v>11102_4_4</v>
      </c>
      <c r="B236" s="115" t="s">
        <v>231</v>
      </c>
      <c r="C236" s="116">
        <v>11102</v>
      </c>
      <c r="D236" s="117" t="str">
        <f ca="1">VLOOKUP($C236,OFFSET([2]quests!$A$1,0,0,COUNTA([2]quests!$A:$A),MATCH(D$1,[2]quests!$1:$1,0)-MATCH($C$1,[2]quests!$1:$1,0)+1),MATCH(D$1,[2]quests!$1:$1,0)-MATCH($C$1,[2]quests!$1:$1,0)+1,FALSE)</f>
        <v>【期間限定】 赤の素材</v>
      </c>
      <c r="E236" s="117" t="str">
        <f ca="1">VLOOKUP($C236,OFFSET([2]quests!$A$1,0,0,COUNTA([2]quests!$A:$A),MATCH(E$1,[2]quests!$1:$1,0)-MATCH($C$1,[2]quests!$1:$1,0)+1),MATCH(E$1,[2]quests!$1:$1,0)-MATCH($C$1,[2]quests!$1:$1,0)+1,FALSE)</f>
        <v>火曜クエスト</v>
      </c>
      <c r="F236" s="118">
        <v>4</v>
      </c>
      <c r="G236" s="117" t="str">
        <f ca="1">VLOOKUP($C236&amp;"_"&amp;$F236,OFFSET([2]stages!$A$1,0,0,COUNTA([2]stages!$A:$A),MATCH(G$1,[2]stages!$2:$2,0)-MATCH("temp_stage",[2]stages!$2:$2,0)+1),MATCH(G$1,[2]stages!$2:$2,0)-MATCH("temp_stage",[2]stages!$2:$2,0)+1,FALSE)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6" s="117" t="str">
        <f ca="1">VLOOKUP($C236&amp;"_"&amp;$F236,OFFSET([2]stages!$A$1,0,0,COUNTA([2]stages!$A:$A),MATCH(H$1,[2]stages!$2:$2,0)-MATCH("temp_stage",[2]stages!$2:$2,0)+1),MATCH(H$1,[2]stages!$2:$2,0)-MATCH("temp_stage",[2]stages!$2:$2,0)+1,FALSE)</f>
        <v>火曜クエスト</v>
      </c>
      <c r="I236" s="119">
        <v>0</v>
      </c>
      <c r="J236" s="118">
        <f>COUNTIF(C$1:C236,C236)</f>
        <v>4</v>
      </c>
      <c r="K236" s="120">
        <v>8</v>
      </c>
      <c r="L236" s="118" t="s">
        <v>234</v>
      </c>
      <c r="M236" s="121" t="str">
        <f>VLOOKUP(K236,[6]stage_hints!$A:$C,3,FALSE)</f>
        <v>ゲリラクエストは要チェック</v>
      </c>
      <c r="N236" s="122" t="str">
        <f>VLOOKUP(K236,[6]stage_hints!$A:$D,4,FALSE)</f>
        <v>時間限定の「アヒル捕獲作戦」では_x000D_経験値素材ユニットが多く手に入ります</v>
      </c>
      <c r="O236" s="36" t="s">
        <v>348</v>
      </c>
      <c r="P236">
        <v>8</v>
      </c>
    </row>
    <row r="237" spans="1:16" x14ac:dyDescent="0.15">
      <c r="A237" s="114" t="str">
        <f t="shared" si="2"/>
        <v>11102_4_5</v>
      </c>
      <c r="B237" s="115" t="s">
        <v>231</v>
      </c>
      <c r="C237" s="116">
        <v>11102</v>
      </c>
      <c r="D237" s="117" t="str">
        <f ca="1">VLOOKUP($C237,OFFSET([2]quests!$A$1,0,0,COUNTA([2]quests!$A:$A),MATCH(D$1,[2]quests!$1:$1,0)-MATCH($C$1,[2]quests!$1:$1,0)+1),MATCH(D$1,[2]quests!$1:$1,0)-MATCH($C$1,[2]quests!$1:$1,0)+1,FALSE)</f>
        <v>【期間限定】 赤の素材</v>
      </c>
      <c r="E237" s="117" t="str">
        <f ca="1">VLOOKUP($C237,OFFSET([2]quests!$A$1,0,0,COUNTA([2]quests!$A:$A),MATCH(E$1,[2]quests!$1:$1,0)-MATCH($C$1,[2]quests!$1:$1,0)+1),MATCH(E$1,[2]quests!$1:$1,0)-MATCH($C$1,[2]quests!$1:$1,0)+1,FALSE)</f>
        <v>火曜クエスト</v>
      </c>
      <c r="F237" s="118">
        <v>4</v>
      </c>
      <c r="G237" s="117" t="str">
        <f ca="1">VLOOKUP($C237&amp;"_"&amp;$F237,OFFSET([2]stages!$A$1,0,0,COUNTA([2]stages!$A:$A),MATCH(G$1,[2]stages!$2:$2,0)-MATCH("temp_stage",[2]stages!$2:$2,0)+1),MATCH(G$1,[2]stages!$2:$2,0)-MATCH("temp_stage",[2]stages!$2:$2,0)+1,FALSE)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7" s="117" t="str">
        <f ca="1">VLOOKUP($C237&amp;"_"&amp;$F237,OFFSET([2]stages!$A$1,0,0,COUNTA([2]stages!$A:$A),MATCH(H$1,[2]stages!$2:$2,0)-MATCH("temp_stage",[2]stages!$2:$2,0)+1),MATCH(H$1,[2]stages!$2:$2,0)-MATCH("temp_stage",[2]stages!$2:$2,0)+1,FALSE)</f>
        <v>火曜クエスト</v>
      </c>
      <c r="I237" s="119">
        <v>0</v>
      </c>
      <c r="J237" s="118">
        <f>COUNTIF(C$1:C237,C237)</f>
        <v>5</v>
      </c>
      <c r="K237" s="120">
        <v>9</v>
      </c>
      <c r="L237" s="118" t="s">
        <v>234</v>
      </c>
      <c r="M237" s="121" t="str">
        <f>VLOOKUP(K237,[6]stage_hints!$A:$C,3,FALSE)</f>
        <v>ゴールドダックでビットを獲得</v>
      </c>
      <c r="N237" s="122" t="str">
        <f>VLOOKUP(K237,[6]stage_hints!$A:$D,4,FALSE)</f>
        <v>「ゴールドなアヒル」を売却すると_x000D_大量のビットがもらえます</v>
      </c>
      <c r="O237" s="36" t="s">
        <v>235</v>
      </c>
      <c r="P237">
        <v>9</v>
      </c>
    </row>
    <row r="238" spans="1:16" x14ac:dyDescent="0.15">
      <c r="A238" s="114" t="str">
        <f t="shared" si="2"/>
        <v>11102_4_6</v>
      </c>
      <c r="B238" s="115" t="s">
        <v>231</v>
      </c>
      <c r="C238" s="116">
        <v>11102</v>
      </c>
      <c r="D238" s="117" t="str">
        <f ca="1">VLOOKUP($C238,OFFSET([2]quests!$A$1,0,0,COUNTA([2]quests!$A:$A),MATCH(D$1,[2]quests!$1:$1,0)-MATCH($C$1,[2]quests!$1:$1,0)+1),MATCH(D$1,[2]quests!$1:$1,0)-MATCH($C$1,[2]quests!$1:$1,0)+1,FALSE)</f>
        <v>【期間限定】 赤の素材</v>
      </c>
      <c r="E238" s="117" t="str">
        <f ca="1">VLOOKUP($C238,OFFSET([2]quests!$A$1,0,0,COUNTA([2]quests!$A:$A),MATCH(E$1,[2]quests!$1:$1,0)-MATCH($C$1,[2]quests!$1:$1,0)+1),MATCH(E$1,[2]quests!$1:$1,0)-MATCH($C$1,[2]quests!$1:$1,0)+1,FALSE)</f>
        <v>火曜クエスト</v>
      </c>
      <c r="F238" s="118">
        <v>4</v>
      </c>
      <c r="G238" s="117" t="str">
        <f ca="1">VLOOKUP($C238&amp;"_"&amp;$F238,OFFSET([2]stages!$A$1,0,0,COUNTA([2]stages!$A:$A),MATCH(G$1,[2]stages!$2:$2,0)-MATCH("temp_stage",[2]stages!$2:$2,0)+1),MATCH(G$1,[2]stages!$2:$2,0)-MATCH("temp_stage",[2]stages!$2:$2,0)+1,FALSE)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8" s="117" t="str">
        <f ca="1">VLOOKUP($C238&amp;"_"&amp;$F238,OFFSET([2]stages!$A$1,0,0,COUNTA([2]stages!$A:$A),MATCH(H$1,[2]stages!$2:$2,0)-MATCH("temp_stage",[2]stages!$2:$2,0)+1),MATCH(H$1,[2]stages!$2:$2,0)-MATCH("temp_stage",[2]stages!$2:$2,0)+1,FALSE)</f>
        <v>火曜クエスト</v>
      </c>
      <c r="I238" s="119">
        <v>0</v>
      </c>
      <c r="J238" s="118">
        <f>COUNTIF(C$1:C238,C238)</f>
        <v>6</v>
      </c>
      <c r="K238" s="120">
        <v>10</v>
      </c>
      <c r="L238" s="118" t="s">
        <v>349</v>
      </c>
      <c r="M238" s="121" t="str">
        <f>VLOOKUP(K238,[6]stage_hints!$A:$C,3,FALSE)</f>
        <v>土日に大量のビットを獲得</v>
      </c>
      <c r="N238" s="122" t="str">
        <f>VLOOKUP(K238,[6]stage_hints!$A:$D,4,FALSE)</f>
        <v>土日限定の「ゴールドカジノ」では_x000D_売却素材ユニットが多く手に入ります</v>
      </c>
      <c r="O238" s="36" t="s">
        <v>235</v>
      </c>
      <c r="P238">
        <v>10</v>
      </c>
    </row>
    <row r="239" spans="1:16" x14ac:dyDescent="0.15">
      <c r="A239" s="114" t="str">
        <f t="shared" si="2"/>
        <v>11102_4_7</v>
      </c>
      <c r="B239" s="115" t="s">
        <v>231</v>
      </c>
      <c r="C239" s="116">
        <v>11102</v>
      </c>
      <c r="D239" s="117" t="str">
        <f ca="1">VLOOKUP($C239,OFFSET([2]quests!$A$1,0,0,COUNTA([2]quests!$A:$A),MATCH(D$1,[2]quests!$1:$1,0)-MATCH($C$1,[2]quests!$1:$1,0)+1),MATCH(D$1,[2]quests!$1:$1,0)-MATCH($C$1,[2]quests!$1:$1,0)+1,FALSE)</f>
        <v>【期間限定】 赤の素材</v>
      </c>
      <c r="E239" s="117" t="str">
        <f ca="1">VLOOKUP($C239,OFFSET([2]quests!$A$1,0,0,COUNTA([2]quests!$A:$A),MATCH(E$1,[2]quests!$1:$1,0)-MATCH($C$1,[2]quests!$1:$1,0)+1),MATCH(E$1,[2]quests!$1:$1,0)-MATCH($C$1,[2]quests!$1:$1,0)+1,FALSE)</f>
        <v>火曜クエスト</v>
      </c>
      <c r="F239" s="118">
        <v>4</v>
      </c>
      <c r="G239" s="117" t="str">
        <f ca="1">VLOOKUP($C239&amp;"_"&amp;$F239,OFFSET([2]stages!$A$1,0,0,COUNTA([2]stages!$A:$A),MATCH(G$1,[2]stages!$2:$2,0)-MATCH("temp_stage",[2]stages!$2:$2,0)+1),MATCH(G$1,[2]stages!$2:$2,0)-MATCH("temp_stage",[2]stages!$2:$2,0)+1,FALSE)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39" s="117" t="str">
        <f ca="1">VLOOKUP($C239&amp;"_"&amp;$F239,OFFSET([2]stages!$A$1,0,0,COUNTA([2]stages!$A:$A),MATCH(H$1,[2]stages!$2:$2,0)-MATCH("temp_stage",[2]stages!$2:$2,0)+1),MATCH(H$1,[2]stages!$2:$2,0)-MATCH("temp_stage",[2]stages!$2:$2,0)+1,FALSE)</f>
        <v>火曜クエスト</v>
      </c>
      <c r="I239" s="119">
        <v>0</v>
      </c>
      <c r="J239" s="118">
        <f>COUNTIF(C$1:C239,C239)</f>
        <v>7</v>
      </c>
      <c r="K239" s="120">
        <v>11</v>
      </c>
      <c r="L239" s="118" t="s">
        <v>350</v>
      </c>
      <c r="M239" s="121" t="str">
        <f>VLOOKUP(K239,[6]stage_hints!$A:$C,3,FALSE)</f>
        <v>ランク解放クエスト</v>
      </c>
      <c r="N239" s="122" t="str">
        <f>VLOOKUP(K239,[6]stage_hints!$A:$D,4,FALSE)</f>
        <v>一定ランクに到達すると_x000D_報酬付きのランク開放クエストが現れます</v>
      </c>
      <c r="O239" s="36" t="s">
        <v>235</v>
      </c>
      <c r="P239">
        <v>11</v>
      </c>
    </row>
    <row r="240" spans="1:16" x14ac:dyDescent="0.15">
      <c r="A240" s="114" t="str">
        <f t="shared" si="2"/>
        <v>11102_4_8</v>
      </c>
      <c r="B240" s="115" t="s">
        <v>231</v>
      </c>
      <c r="C240" s="116">
        <v>11102</v>
      </c>
      <c r="D240" s="117" t="str">
        <f ca="1">VLOOKUP($C240,OFFSET([2]quests!$A$1,0,0,COUNTA([2]quests!$A:$A),MATCH(D$1,[2]quests!$1:$1,0)-MATCH($C$1,[2]quests!$1:$1,0)+1),MATCH(D$1,[2]quests!$1:$1,0)-MATCH($C$1,[2]quests!$1:$1,0)+1,FALSE)</f>
        <v>【期間限定】 赤の素材</v>
      </c>
      <c r="E240" s="117" t="str">
        <f ca="1">VLOOKUP($C240,OFFSET([2]quests!$A$1,0,0,COUNTA([2]quests!$A:$A),MATCH(E$1,[2]quests!$1:$1,0)-MATCH($C$1,[2]quests!$1:$1,0)+1),MATCH(E$1,[2]quests!$1:$1,0)-MATCH($C$1,[2]quests!$1:$1,0)+1,FALSE)</f>
        <v>火曜クエスト</v>
      </c>
      <c r="F240" s="118">
        <v>4</v>
      </c>
      <c r="G240" s="117" t="str">
        <f ca="1">VLOOKUP($C240&amp;"_"&amp;$F240,OFFSET([2]stages!$A$1,0,0,COUNTA([2]stages!$A:$A),MATCH(G$1,[2]stages!$2:$2,0)-MATCH("temp_stage",[2]stages!$2:$2,0)+1),MATCH(G$1,[2]stages!$2:$2,0)-MATCH("temp_stage",[2]stages!$2:$2,0)+1,FALSE)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0" s="117" t="str">
        <f ca="1">VLOOKUP($C240&amp;"_"&amp;$F240,OFFSET([2]stages!$A$1,0,0,COUNTA([2]stages!$A:$A),MATCH(H$1,[2]stages!$2:$2,0)-MATCH("temp_stage",[2]stages!$2:$2,0)+1),MATCH(H$1,[2]stages!$2:$2,0)-MATCH("temp_stage",[2]stages!$2:$2,0)+1,FALSE)</f>
        <v>火曜クエスト</v>
      </c>
      <c r="I240" s="119">
        <v>0</v>
      </c>
      <c r="J240" s="118">
        <f>COUNTIF(C$1:C240,C240)</f>
        <v>8</v>
      </c>
      <c r="K240" s="120">
        <v>12</v>
      </c>
      <c r="L240" s="118" t="s">
        <v>351</v>
      </c>
      <c r="M240" s="121" t="str">
        <f>VLOOKUP(K240,[6]stage_hints!$A:$C,3,FALSE)</f>
        <v>ユニットのお気に入り登録</v>
      </c>
      <c r="N240" s="122" t="str">
        <f>VLOOKUP(K240,[6]stage_hints!$A:$D,4,FALSE)</f>
        <v>大事なユニットを誤って消さないように_x000D_フォルダから「お気に入り登録」しましょう</v>
      </c>
      <c r="O240" s="36" t="s">
        <v>235</v>
      </c>
      <c r="P240">
        <v>12</v>
      </c>
    </row>
    <row r="241" spans="1:16" x14ac:dyDescent="0.15">
      <c r="A241" s="114" t="str">
        <f t="shared" si="2"/>
        <v>11102_4_9</v>
      </c>
      <c r="B241" s="115" t="s">
        <v>231</v>
      </c>
      <c r="C241" s="116">
        <v>11102</v>
      </c>
      <c r="D241" s="117" t="str">
        <f ca="1">VLOOKUP($C241,OFFSET([2]quests!$A$1,0,0,COUNTA([2]quests!$A:$A),MATCH(D$1,[2]quests!$1:$1,0)-MATCH($C$1,[2]quests!$1:$1,0)+1),MATCH(D$1,[2]quests!$1:$1,0)-MATCH($C$1,[2]quests!$1:$1,0)+1,FALSE)</f>
        <v>【期間限定】 赤の素材</v>
      </c>
      <c r="E241" s="117" t="str">
        <f ca="1">VLOOKUP($C241,OFFSET([2]quests!$A$1,0,0,COUNTA([2]quests!$A:$A),MATCH(E$1,[2]quests!$1:$1,0)-MATCH($C$1,[2]quests!$1:$1,0)+1),MATCH(E$1,[2]quests!$1:$1,0)-MATCH($C$1,[2]quests!$1:$1,0)+1,FALSE)</f>
        <v>火曜クエスト</v>
      </c>
      <c r="F241" s="118">
        <v>4</v>
      </c>
      <c r="G241" s="117" t="str">
        <f ca="1">VLOOKUP($C241&amp;"_"&amp;$F241,OFFSET([2]stages!$A$1,0,0,COUNTA([2]stages!$A:$A),MATCH(G$1,[2]stages!$2:$2,0)-MATCH("temp_stage",[2]stages!$2:$2,0)+1),MATCH(G$1,[2]stages!$2:$2,0)-MATCH("temp_stage",[2]stages!$2:$2,0)+1,FALSE)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1" s="117" t="str">
        <f ca="1">VLOOKUP($C241&amp;"_"&amp;$F241,OFFSET([2]stages!$A$1,0,0,COUNTA([2]stages!$A:$A),MATCH(H$1,[2]stages!$2:$2,0)-MATCH("temp_stage",[2]stages!$2:$2,0)+1),MATCH(H$1,[2]stages!$2:$2,0)-MATCH("temp_stage",[2]stages!$2:$2,0)+1,FALSE)</f>
        <v>火曜クエスト</v>
      </c>
      <c r="I241" s="119">
        <v>0</v>
      </c>
      <c r="J241" s="118">
        <f>COUNTIF(C$1:C241,C241)</f>
        <v>9</v>
      </c>
      <c r="K241" s="120">
        <v>13</v>
      </c>
      <c r="L241" s="118" t="s">
        <v>352</v>
      </c>
      <c r="M241" s="121" t="str">
        <f>VLOOKUP(K241,[6]stage_hints!$A:$C,3,FALSE)</f>
        <v>ユニットの覚醒</v>
      </c>
      <c r="N241" s="122" t="str">
        <f>VLOOKUP(K241,[6]stage_hints!$A:$D,4,FALSE)</f>
        <v>ユニットを覚醒させると_x000D_比べものにならない強さが手に入ります</v>
      </c>
      <c r="O241" s="36" t="s">
        <v>353</v>
      </c>
      <c r="P241">
        <v>13</v>
      </c>
    </row>
    <row r="242" spans="1:16" x14ac:dyDescent="0.15">
      <c r="A242" s="114" t="str">
        <f t="shared" si="2"/>
        <v>11102_4_10</v>
      </c>
      <c r="B242" s="115" t="s">
        <v>231</v>
      </c>
      <c r="C242" s="116">
        <v>11102</v>
      </c>
      <c r="D242" s="117" t="str">
        <f ca="1">VLOOKUP($C242,OFFSET([2]quests!$A$1,0,0,COUNTA([2]quests!$A:$A),MATCH(D$1,[2]quests!$1:$1,0)-MATCH($C$1,[2]quests!$1:$1,0)+1),MATCH(D$1,[2]quests!$1:$1,0)-MATCH($C$1,[2]quests!$1:$1,0)+1,FALSE)</f>
        <v>【期間限定】 赤の素材</v>
      </c>
      <c r="E242" s="117" t="str">
        <f ca="1">VLOOKUP($C242,OFFSET([2]quests!$A$1,0,0,COUNTA([2]quests!$A:$A),MATCH(E$1,[2]quests!$1:$1,0)-MATCH($C$1,[2]quests!$1:$1,0)+1),MATCH(E$1,[2]quests!$1:$1,0)-MATCH($C$1,[2]quests!$1:$1,0)+1,FALSE)</f>
        <v>火曜クエスト</v>
      </c>
      <c r="F242" s="118">
        <v>4</v>
      </c>
      <c r="G242" s="117" t="str">
        <f ca="1">VLOOKUP($C242&amp;"_"&amp;$F242,OFFSET([2]stages!$A$1,0,0,COUNTA([2]stages!$A:$A),MATCH(G$1,[2]stages!$2:$2,0)-MATCH("temp_stage",[2]stages!$2:$2,0)+1),MATCH(G$1,[2]stages!$2:$2,0)-MATCH("temp_stage",[2]stages!$2:$2,0)+1,FALSE)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2" s="117" t="str">
        <f ca="1">VLOOKUP($C242&amp;"_"&amp;$F242,OFFSET([2]stages!$A$1,0,0,COUNTA([2]stages!$A:$A),MATCH(H$1,[2]stages!$2:$2,0)-MATCH("temp_stage",[2]stages!$2:$2,0)+1),MATCH(H$1,[2]stages!$2:$2,0)-MATCH("temp_stage",[2]stages!$2:$2,0)+1,FALSE)</f>
        <v>火曜クエスト</v>
      </c>
      <c r="I242" s="119">
        <v>0</v>
      </c>
      <c r="J242" s="118">
        <f>COUNTIF(C$1:C242,C242)</f>
        <v>10</v>
      </c>
      <c r="K242" s="120">
        <v>14</v>
      </c>
      <c r="L242" s="118" t="s">
        <v>354</v>
      </c>
      <c r="M242" s="121" t="str">
        <f>VLOOKUP(K242,[6]stage_hints!$A:$C,3,FALSE)</f>
        <v>覚醒するにはレベルを最大に</v>
      </c>
      <c r="N242" s="122" t="str">
        <f>VLOOKUP(K242,[6]stage_hints!$A:$D,4,FALSE)</f>
        <v>覚醒するにはユニットのレベルを_x000D_最大まで上げる必要があります</v>
      </c>
      <c r="O242" s="36" t="s">
        <v>235</v>
      </c>
      <c r="P242">
        <v>14</v>
      </c>
    </row>
    <row r="243" spans="1:16" x14ac:dyDescent="0.15">
      <c r="A243" s="114" t="str">
        <f t="shared" si="2"/>
        <v>11102_4_11</v>
      </c>
      <c r="B243" s="115" t="s">
        <v>231</v>
      </c>
      <c r="C243" s="116">
        <v>11102</v>
      </c>
      <c r="D243" s="117" t="str">
        <f ca="1">VLOOKUP($C243,OFFSET([2]quests!$A$1,0,0,COUNTA([2]quests!$A:$A),MATCH(D$1,[2]quests!$1:$1,0)-MATCH($C$1,[2]quests!$1:$1,0)+1),MATCH(D$1,[2]quests!$1:$1,0)-MATCH($C$1,[2]quests!$1:$1,0)+1,FALSE)</f>
        <v>【期間限定】 赤の素材</v>
      </c>
      <c r="E243" s="117" t="str">
        <f ca="1">VLOOKUP($C243,OFFSET([2]quests!$A$1,0,0,COUNTA([2]quests!$A:$A),MATCH(E$1,[2]quests!$1:$1,0)-MATCH($C$1,[2]quests!$1:$1,0)+1),MATCH(E$1,[2]quests!$1:$1,0)-MATCH($C$1,[2]quests!$1:$1,0)+1,FALSE)</f>
        <v>火曜クエスト</v>
      </c>
      <c r="F243" s="118">
        <v>4</v>
      </c>
      <c r="G243" s="117" t="str">
        <f ca="1">VLOOKUP($C243&amp;"_"&amp;$F243,OFFSET([2]stages!$A$1,0,0,COUNTA([2]stages!$A:$A),MATCH(G$1,[2]stages!$2:$2,0)-MATCH("temp_stage",[2]stages!$2:$2,0)+1),MATCH(G$1,[2]stages!$2:$2,0)-MATCH("temp_stage",[2]stages!$2:$2,0)+1,FALSE)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3" s="117" t="str">
        <f ca="1">VLOOKUP($C243&amp;"_"&amp;$F243,OFFSET([2]stages!$A$1,0,0,COUNTA([2]stages!$A:$A),MATCH(H$1,[2]stages!$2:$2,0)-MATCH("temp_stage",[2]stages!$2:$2,0)+1),MATCH(H$1,[2]stages!$2:$2,0)-MATCH("temp_stage",[2]stages!$2:$2,0)+1,FALSE)</f>
        <v>火曜クエスト</v>
      </c>
      <c r="I243" s="119">
        <v>0</v>
      </c>
      <c r="J243" s="118">
        <f>COUNTIF(C$1:C243,C243)</f>
        <v>11</v>
      </c>
      <c r="K243" s="120">
        <v>15</v>
      </c>
      <c r="L243" s="118" t="s">
        <v>355</v>
      </c>
      <c r="M243" s="121" t="str">
        <f>VLOOKUP(K243,[6]stage_hints!$A:$C,3,FALSE)</f>
        <v>覚醒素材を獲得</v>
      </c>
      <c r="N243" s="122" t="str">
        <f>VLOOKUP(K243,[6]stage_hints!$A:$D,4,FALSE)</f>
        <v>「曜日クエスト」では_x000D_ユニットの覚醒に必要な素材が手に入ります</v>
      </c>
      <c r="O243" s="36" t="s">
        <v>356</v>
      </c>
      <c r="P243">
        <v>15</v>
      </c>
    </row>
    <row r="244" spans="1:16" x14ac:dyDescent="0.15">
      <c r="A244" s="114" t="str">
        <f t="shared" si="2"/>
        <v>11102_4_12</v>
      </c>
      <c r="B244" s="115" t="s">
        <v>231</v>
      </c>
      <c r="C244" s="116">
        <v>11102</v>
      </c>
      <c r="D244" s="117" t="str">
        <f ca="1">VLOOKUP($C244,OFFSET([2]quests!$A$1,0,0,COUNTA([2]quests!$A:$A),MATCH(D$1,[2]quests!$1:$1,0)-MATCH($C$1,[2]quests!$1:$1,0)+1),MATCH(D$1,[2]quests!$1:$1,0)-MATCH($C$1,[2]quests!$1:$1,0)+1,FALSE)</f>
        <v>【期間限定】 赤の素材</v>
      </c>
      <c r="E244" s="117" t="str">
        <f ca="1">VLOOKUP($C244,OFFSET([2]quests!$A$1,0,0,COUNTA([2]quests!$A:$A),MATCH(E$1,[2]quests!$1:$1,0)-MATCH($C$1,[2]quests!$1:$1,0)+1),MATCH(E$1,[2]quests!$1:$1,0)-MATCH($C$1,[2]quests!$1:$1,0)+1,FALSE)</f>
        <v>火曜クエスト</v>
      </c>
      <c r="F244" s="118">
        <v>4</v>
      </c>
      <c r="G244" s="117" t="str">
        <f ca="1">VLOOKUP($C244&amp;"_"&amp;$F244,OFFSET([2]stages!$A$1,0,0,COUNTA([2]stages!$A:$A),MATCH(G$1,[2]stages!$2:$2,0)-MATCH("temp_stage",[2]stages!$2:$2,0)+1),MATCH(G$1,[2]stages!$2:$2,0)-MATCH("temp_stage",[2]stages!$2:$2,0)+1,FALSE)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4" s="117" t="str">
        <f ca="1">VLOOKUP($C244&amp;"_"&amp;$F244,OFFSET([2]stages!$A$1,0,0,COUNTA([2]stages!$A:$A),MATCH(H$1,[2]stages!$2:$2,0)-MATCH("temp_stage",[2]stages!$2:$2,0)+1),MATCH(H$1,[2]stages!$2:$2,0)-MATCH("temp_stage",[2]stages!$2:$2,0)+1,FALSE)</f>
        <v>火曜クエスト</v>
      </c>
      <c r="I244" s="119">
        <v>0</v>
      </c>
      <c r="J244" s="118">
        <f>COUNTIF(C$1:C244,C244)</f>
        <v>12</v>
      </c>
      <c r="K244" s="120">
        <v>16</v>
      </c>
      <c r="L244" s="118" t="s">
        <v>234</v>
      </c>
      <c r="M244" s="121" t="str">
        <f>VLOOKUP(K244,[6]stage_hints!$A:$C,3,FALSE)</f>
        <v>マルチプレイのメリット（その1）</v>
      </c>
      <c r="N244" s="122" t="str">
        <f>VLOOKUP(K244,[6]stage_hints!$A:$D,4,FALSE)</f>
        <v>他のプレイヤーとマルチプレイで遊ぶと_x000D_ポリゴンがもらえます（100人まで）</v>
      </c>
      <c r="O244" s="36" t="s">
        <v>235</v>
      </c>
      <c r="P244">
        <v>16</v>
      </c>
    </row>
    <row r="245" spans="1:16" x14ac:dyDescent="0.15">
      <c r="A245" s="114" t="str">
        <f t="shared" si="2"/>
        <v>11102_4_13</v>
      </c>
      <c r="B245" s="115" t="s">
        <v>231</v>
      </c>
      <c r="C245" s="116">
        <v>11102</v>
      </c>
      <c r="D245" s="117" t="str">
        <f ca="1">VLOOKUP($C245,OFFSET([2]quests!$A$1,0,0,COUNTA([2]quests!$A:$A),MATCH(D$1,[2]quests!$1:$1,0)-MATCH($C$1,[2]quests!$1:$1,0)+1),MATCH(D$1,[2]quests!$1:$1,0)-MATCH($C$1,[2]quests!$1:$1,0)+1,FALSE)</f>
        <v>【期間限定】 赤の素材</v>
      </c>
      <c r="E245" s="117" t="str">
        <f ca="1">VLOOKUP($C245,OFFSET([2]quests!$A$1,0,0,COUNTA([2]quests!$A:$A),MATCH(E$1,[2]quests!$1:$1,0)-MATCH($C$1,[2]quests!$1:$1,0)+1),MATCH(E$1,[2]quests!$1:$1,0)-MATCH($C$1,[2]quests!$1:$1,0)+1,FALSE)</f>
        <v>火曜クエスト</v>
      </c>
      <c r="F245" s="118">
        <v>4</v>
      </c>
      <c r="G245" s="117" t="str">
        <f ca="1">VLOOKUP($C245&amp;"_"&amp;$F245,OFFSET([2]stages!$A$1,0,0,COUNTA([2]stages!$A:$A),MATCH(G$1,[2]stages!$2:$2,0)-MATCH("temp_stage",[2]stages!$2:$2,0)+1),MATCH(G$1,[2]stages!$2:$2,0)-MATCH("temp_stage",[2]stages!$2:$2,0)+1,FALSE)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5" s="117" t="str">
        <f ca="1">VLOOKUP($C245&amp;"_"&amp;$F245,OFFSET([2]stages!$A$1,0,0,COUNTA([2]stages!$A:$A),MATCH(H$1,[2]stages!$2:$2,0)-MATCH("temp_stage",[2]stages!$2:$2,0)+1),MATCH(H$1,[2]stages!$2:$2,0)-MATCH("temp_stage",[2]stages!$2:$2,0)+1,FALSE)</f>
        <v>火曜クエスト</v>
      </c>
      <c r="I245" s="119">
        <v>0</v>
      </c>
      <c r="J245" s="118">
        <f>COUNTIF(C$1:C245,C245)</f>
        <v>13</v>
      </c>
      <c r="K245" s="120">
        <v>17</v>
      </c>
      <c r="L245" s="118" t="s">
        <v>234</v>
      </c>
      <c r="M245" s="121" t="str">
        <f>VLOOKUP(K245,[6]stage_hints!$A:$C,3,FALSE)</f>
        <v>リンクガチャ</v>
      </c>
      <c r="N245" s="122" t="str">
        <f>VLOOKUP(K245,[6]stage_hints!$A:$D,4,FALSE)</f>
        <v>無料のリンクガチャを回して_x000D_経験値素材や売却素材を獲得しましょう</v>
      </c>
      <c r="O245" s="36" t="s">
        <v>357</v>
      </c>
      <c r="P245">
        <v>17</v>
      </c>
    </row>
    <row r="246" spans="1:16" x14ac:dyDescent="0.15">
      <c r="A246" s="114" t="str">
        <f t="shared" si="2"/>
        <v>11102_4_14</v>
      </c>
      <c r="B246" s="115" t="s">
        <v>231</v>
      </c>
      <c r="C246" s="116">
        <v>11102</v>
      </c>
      <c r="D246" s="117" t="str">
        <f ca="1">VLOOKUP($C246,OFFSET([2]quests!$A$1,0,0,COUNTA([2]quests!$A:$A),MATCH(D$1,[2]quests!$1:$1,0)-MATCH($C$1,[2]quests!$1:$1,0)+1),MATCH(D$1,[2]quests!$1:$1,0)-MATCH($C$1,[2]quests!$1:$1,0)+1,FALSE)</f>
        <v>【期間限定】 赤の素材</v>
      </c>
      <c r="E246" s="117" t="str">
        <f ca="1">VLOOKUP($C246,OFFSET([2]quests!$A$1,0,0,COUNTA([2]quests!$A:$A),MATCH(E$1,[2]quests!$1:$1,0)-MATCH($C$1,[2]quests!$1:$1,0)+1),MATCH(E$1,[2]quests!$1:$1,0)-MATCH($C$1,[2]quests!$1:$1,0)+1,FALSE)</f>
        <v>火曜クエスト</v>
      </c>
      <c r="F246" s="118">
        <v>4</v>
      </c>
      <c r="G246" s="117" t="str">
        <f ca="1">VLOOKUP($C246&amp;"_"&amp;$F246,OFFSET([2]stages!$A$1,0,0,COUNTA([2]stages!$A:$A),MATCH(G$1,[2]stages!$2:$2,0)-MATCH("temp_stage",[2]stages!$2:$2,0)+1),MATCH(G$1,[2]stages!$2:$2,0)-MATCH("temp_stage",[2]stages!$2:$2,0)+1,FALSE)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6" s="117" t="str">
        <f ca="1">VLOOKUP($C246&amp;"_"&amp;$F246,OFFSET([2]stages!$A$1,0,0,COUNTA([2]stages!$A:$A),MATCH(H$1,[2]stages!$2:$2,0)-MATCH("temp_stage",[2]stages!$2:$2,0)+1),MATCH(H$1,[2]stages!$2:$2,0)-MATCH("temp_stage",[2]stages!$2:$2,0)+1,FALSE)</f>
        <v>火曜クエスト</v>
      </c>
      <c r="I246" s="119">
        <v>0</v>
      </c>
      <c r="J246" s="118">
        <f>COUNTIF(C$1:C246,C246)</f>
        <v>14</v>
      </c>
      <c r="K246" s="120">
        <v>18</v>
      </c>
      <c r="L246" s="118" t="s">
        <v>234</v>
      </c>
      <c r="M246" s="121" t="str">
        <f>VLOOKUP(K246,[6]stage_hints!$A:$C,3,FALSE)</f>
        <v>マルチプレイのメリット（その2）</v>
      </c>
      <c r="N246" s="122" t="str">
        <f>VLOOKUP(K246,[6]stage_hints!$A:$D,4,FALSE)</f>
        <v>マルチプレイならリンクが2倍もらえます_x000D_リンクガチャをたくさん回しましょう</v>
      </c>
      <c r="O246" s="36" t="s">
        <v>235</v>
      </c>
      <c r="P246">
        <v>18</v>
      </c>
    </row>
    <row r="247" spans="1:16" x14ac:dyDescent="0.15">
      <c r="A247" s="114" t="str">
        <f t="shared" si="2"/>
        <v>11102_4_15</v>
      </c>
      <c r="B247" s="115" t="s">
        <v>231</v>
      </c>
      <c r="C247" s="116">
        <v>11102</v>
      </c>
      <c r="D247" s="117" t="str">
        <f ca="1">VLOOKUP($C247,OFFSET([2]quests!$A$1,0,0,COUNTA([2]quests!$A:$A),MATCH(D$1,[2]quests!$1:$1,0)-MATCH($C$1,[2]quests!$1:$1,0)+1),MATCH(D$1,[2]quests!$1:$1,0)-MATCH($C$1,[2]quests!$1:$1,0)+1,FALSE)</f>
        <v>【期間限定】 赤の素材</v>
      </c>
      <c r="E247" s="117" t="str">
        <f ca="1">VLOOKUP($C247,OFFSET([2]quests!$A$1,0,0,COUNTA([2]quests!$A:$A),MATCH(E$1,[2]quests!$1:$1,0)-MATCH($C$1,[2]quests!$1:$1,0)+1),MATCH(E$1,[2]quests!$1:$1,0)-MATCH($C$1,[2]quests!$1:$1,0)+1,FALSE)</f>
        <v>火曜クエスト</v>
      </c>
      <c r="F247" s="118">
        <v>4</v>
      </c>
      <c r="G247" s="117" t="str">
        <f ca="1">VLOOKUP($C247&amp;"_"&amp;$F247,OFFSET([2]stages!$A$1,0,0,COUNTA([2]stages!$A:$A),MATCH(G$1,[2]stages!$2:$2,0)-MATCH("temp_stage",[2]stages!$2:$2,0)+1),MATCH(G$1,[2]stages!$2:$2,0)-MATCH("temp_stage",[2]stages!$2:$2,0)+1,FALSE)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7" s="117" t="str">
        <f ca="1">VLOOKUP($C247&amp;"_"&amp;$F247,OFFSET([2]stages!$A$1,0,0,COUNTA([2]stages!$A:$A),MATCH(H$1,[2]stages!$2:$2,0)-MATCH("temp_stage",[2]stages!$2:$2,0)+1),MATCH(H$1,[2]stages!$2:$2,0)-MATCH("temp_stage",[2]stages!$2:$2,0)+1,FALSE)</f>
        <v>火曜クエスト</v>
      </c>
      <c r="I247" s="119">
        <v>0</v>
      </c>
      <c r="J247" s="118">
        <f>COUNTIF(C$1:C247,C247)</f>
        <v>15</v>
      </c>
      <c r="K247" s="120">
        <v>19</v>
      </c>
      <c r="L247" s="118" t="s">
        <v>358</v>
      </c>
      <c r="M247" s="121" t="str">
        <f>VLOOKUP(K247,[6]stage_hints!$A:$C,3,FALSE)</f>
        <v>ソロ専用タワーオブザクイーン</v>
      </c>
      <c r="N247" s="122" t="str">
        <f>VLOOKUP(K247,[6]stage_hints!$A:$D,4,FALSE)</f>
        <v>ソロ専用の「タワーオブザクイーン」は_x000D_期間限定で定期的に開催されます_x000D_ここでしか獲得できない報酬もあるようです</v>
      </c>
      <c r="O247" s="36" t="s">
        <v>359</v>
      </c>
      <c r="P247">
        <v>19</v>
      </c>
    </row>
    <row r="248" spans="1:16" x14ac:dyDescent="0.15">
      <c r="A248" s="114" t="str">
        <f t="shared" si="2"/>
        <v>11102_4_16</v>
      </c>
      <c r="B248" s="115" t="s">
        <v>231</v>
      </c>
      <c r="C248" s="116">
        <v>11102</v>
      </c>
      <c r="D248" s="117" t="str">
        <f ca="1">VLOOKUP($C248,OFFSET([2]quests!$A$1,0,0,COUNTA([2]quests!$A:$A),MATCH(D$1,[2]quests!$1:$1,0)-MATCH($C$1,[2]quests!$1:$1,0)+1),MATCH(D$1,[2]quests!$1:$1,0)-MATCH($C$1,[2]quests!$1:$1,0)+1,FALSE)</f>
        <v>【期間限定】 赤の素材</v>
      </c>
      <c r="E248" s="117" t="str">
        <f ca="1">VLOOKUP($C248,OFFSET([2]quests!$A$1,0,0,COUNTA([2]quests!$A:$A),MATCH(E$1,[2]quests!$1:$1,0)-MATCH($C$1,[2]quests!$1:$1,0)+1),MATCH(E$1,[2]quests!$1:$1,0)-MATCH($C$1,[2]quests!$1:$1,0)+1,FALSE)</f>
        <v>火曜クエスト</v>
      </c>
      <c r="F248" s="118">
        <v>4</v>
      </c>
      <c r="G248" s="117" t="str">
        <f ca="1">VLOOKUP($C248&amp;"_"&amp;$F248,OFFSET([2]stages!$A$1,0,0,COUNTA([2]stages!$A:$A),MATCH(G$1,[2]stages!$2:$2,0)-MATCH("temp_stage",[2]stages!$2:$2,0)+1),MATCH(G$1,[2]stages!$2:$2,0)-MATCH("temp_stage",[2]stages!$2:$2,0)+1,FALSE)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8" s="117" t="str">
        <f ca="1">VLOOKUP($C248&amp;"_"&amp;$F248,OFFSET([2]stages!$A$1,0,0,COUNTA([2]stages!$A:$A),MATCH(H$1,[2]stages!$2:$2,0)-MATCH("temp_stage",[2]stages!$2:$2,0)+1),MATCH(H$1,[2]stages!$2:$2,0)-MATCH("temp_stage",[2]stages!$2:$2,0)+1,FALSE)</f>
        <v>火曜クエスト</v>
      </c>
      <c r="I248" s="119">
        <v>0</v>
      </c>
      <c r="J248" s="118">
        <f>COUNTIF(C$1:C248,C248)</f>
        <v>16</v>
      </c>
      <c r="K248" s="120">
        <v>20</v>
      </c>
      <c r="L248" s="118" t="s">
        <v>360</v>
      </c>
      <c r="M248" s="121" t="str">
        <f>VLOOKUP(K248,[6]stage_hints!$A:$C,3,FALSE)</f>
        <v>マルチプレイのメリット（その3）</v>
      </c>
      <c r="N248" s="122" t="str">
        <f>VLOOKUP(K248,[6]stage_hints!$A:$D,4,FALSE)</f>
        <v>マルチプレイへの参加はエナジー消費ゼロ_x000D_いつでも好きなだけ遊ぶことができます</v>
      </c>
      <c r="O248" s="36" t="s">
        <v>361</v>
      </c>
      <c r="P248">
        <v>20</v>
      </c>
    </row>
    <row r="249" spans="1:16" x14ac:dyDescent="0.15">
      <c r="A249" s="114" t="str">
        <f t="shared" si="2"/>
        <v>11102_4_17</v>
      </c>
      <c r="B249" s="115" t="s">
        <v>231</v>
      </c>
      <c r="C249" s="116">
        <v>11102</v>
      </c>
      <c r="D249" s="117" t="str">
        <f ca="1">VLOOKUP($C249,OFFSET([2]quests!$A$1,0,0,COUNTA([2]quests!$A:$A),MATCH(D$1,[2]quests!$1:$1,0)-MATCH($C$1,[2]quests!$1:$1,0)+1),MATCH(D$1,[2]quests!$1:$1,0)-MATCH($C$1,[2]quests!$1:$1,0)+1,FALSE)</f>
        <v>【期間限定】 赤の素材</v>
      </c>
      <c r="E249" s="117" t="str">
        <f ca="1">VLOOKUP($C249,OFFSET([2]quests!$A$1,0,0,COUNTA([2]quests!$A:$A),MATCH(E$1,[2]quests!$1:$1,0)-MATCH($C$1,[2]quests!$1:$1,0)+1),MATCH(E$1,[2]quests!$1:$1,0)-MATCH($C$1,[2]quests!$1:$1,0)+1,FALSE)</f>
        <v>火曜クエスト</v>
      </c>
      <c r="F249" s="118">
        <v>4</v>
      </c>
      <c r="G249" s="117" t="str">
        <f ca="1">VLOOKUP($C249&amp;"_"&amp;$F249,OFFSET([2]stages!$A$1,0,0,COUNTA([2]stages!$A:$A),MATCH(G$1,[2]stages!$2:$2,0)-MATCH("temp_stage",[2]stages!$2:$2,0)+1),MATCH(G$1,[2]stages!$2:$2,0)-MATCH("temp_stage",[2]stages!$2:$2,0)+1,FALSE)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49" s="117" t="str">
        <f ca="1">VLOOKUP($C249&amp;"_"&amp;$F249,OFFSET([2]stages!$A$1,0,0,COUNTA([2]stages!$A:$A),MATCH(H$1,[2]stages!$2:$2,0)-MATCH("temp_stage",[2]stages!$2:$2,0)+1),MATCH(H$1,[2]stages!$2:$2,0)-MATCH("temp_stage",[2]stages!$2:$2,0)+1,FALSE)</f>
        <v>火曜クエスト</v>
      </c>
      <c r="I249" s="119">
        <v>0</v>
      </c>
      <c r="J249" s="118">
        <f>COUNTIF(C$1:C249,C249)</f>
        <v>17</v>
      </c>
      <c r="K249" s="120">
        <v>21</v>
      </c>
      <c r="L249" s="118" t="s">
        <v>234</v>
      </c>
      <c r="M249" s="121" t="str">
        <f>VLOOKUP(K249,[6]stage_hints!$A:$C,3,FALSE)</f>
        <v>スキルを有効に</v>
      </c>
      <c r="N249" s="122" t="str">
        <f>VLOOKUP(K249,[6]stage_hints!$A:$D,4,FALSE)</f>
        <v>ターン経過でユニットのスキルが使えます_x000D_強力スキルでバトルを有利に進めましょう</v>
      </c>
      <c r="O249" s="36" t="s">
        <v>235</v>
      </c>
      <c r="P249">
        <v>21</v>
      </c>
    </row>
    <row r="250" spans="1:16" x14ac:dyDescent="0.15">
      <c r="A250" s="114" t="str">
        <f t="shared" si="2"/>
        <v>11102_4_18</v>
      </c>
      <c r="B250" s="115" t="s">
        <v>231</v>
      </c>
      <c r="C250" s="116">
        <v>11102</v>
      </c>
      <c r="D250" s="117" t="str">
        <f ca="1">VLOOKUP($C250,OFFSET([2]quests!$A$1,0,0,COUNTA([2]quests!$A:$A),MATCH(D$1,[2]quests!$1:$1,0)-MATCH($C$1,[2]quests!$1:$1,0)+1),MATCH(D$1,[2]quests!$1:$1,0)-MATCH($C$1,[2]quests!$1:$1,0)+1,FALSE)</f>
        <v>【期間限定】 赤の素材</v>
      </c>
      <c r="E250" s="117" t="str">
        <f ca="1">VLOOKUP($C250,OFFSET([2]quests!$A$1,0,0,COUNTA([2]quests!$A:$A),MATCH(E$1,[2]quests!$1:$1,0)-MATCH($C$1,[2]quests!$1:$1,0)+1),MATCH(E$1,[2]quests!$1:$1,0)-MATCH($C$1,[2]quests!$1:$1,0)+1,FALSE)</f>
        <v>火曜クエスト</v>
      </c>
      <c r="F250" s="118">
        <v>4</v>
      </c>
      <c r="G250" s="117" t="str">
        <f ca="1">VLOOKUP($C250&amp;"_"&amp;$F250,OFFSET([2]stages!$A$1,0,0,COUNTA([2]stages!$A:$A),MATCH(G$1,[2]stages!$2:$2,0)-MATCH("temp_stage",[2]stages!$2:$2,0)+1),MATCH(G$1,[2]stages!$2:$2,0)-MATCH("temp_stage",[2]stages!$2:$2,0)+1,FALSE)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0" s="117" t="str">
        <f ca="1">VLOOKUP($C250&amp;"_"&amp;$F250,OFFSET([2]stages!$A$1,0,0,COUNTA([2]stages!$A:$A),MATCH(H$1,[2]stages!$2:$2,0)-MATCH("temp_stage",[2]stages!$2:$2,0)+1),MATCH(H$1,[2]stages!$2:$2,0)-MATCH("temp_stage",[2]stages!$2:$2,0)+1,FALSE)</f>
        <v>火曜クエスト</v>
      </c>
      <c r="I250" s="119">
        <v>0</v>
      </c>
      <c r="J250" s="118">
        <f>COUNTIF(C$1:C250,C250)</f>
        <v>18</v>
      </c>
      <c r="K250" s="120">
        <v>22</v>
      </c>
      <c r="L250" s="118" t="s">
        <v>234</v>
      </c>
      <c r="M250" s="121" t="str">
        <f>VLOOKUP(K250,[6]stage_hints!$A:$C,3,FALSE)</f>
        <v>フィーバーで一発逆転（その1）</v>
      </c>
      <c r="N250" s="122" t="str">
        <f>VLOOKUP(K250,[6]stage_hints!$A:$D,4,FALSE)</f>
        <v>フィーバーは攻撃と回復を兼ね備えます_x000D_ピンチからの一発逆転を狙いましょう</v>
      </c>
      <c r="O250" s="36" t="s">
        <v>318</v>
      </c>
      <c r="P250">
        <v>22</v>
      </c>
    </row>
    <row r="251" spans="1:16" x14ac:dyDescent="0.15">
      <c r="A251" s="114" t="str">
        <f t="shared" si="2"/>
        <v>11102_4_19</v>
      </c>
      <c r="B251" s="115" t="s">
        <v>231</v>
      </c>
      <c r="C251" s="116">
        <v>11102</v>
      </c>
      <c r="D251" s="117" t="str">
        <f ca="1">VLOOKUP($C251,OFFSET([2]quests!$A$1,0,0,COUNTA([2]quests!$A:$A),MATCH(D$1,[2]quests!$1:$1,0)-MATCH($C$1,[2]quests!$1:$1,0)+1),MATCH(D$1,[2]quests!$1:$1,0)-MATCH($C$1,[2]quests!$1:$1,0)+1,FALSE)</f>
        <v>【期間限定】 赤の素材</v>
      </c>
      <c r="E251" s="117" t="str">
        <f ca="1">VLOOKUP($C251,OFFSET([2]quests!$A$1,0,0,COUNTA([2]quests!$A:$A),MATCH(E$1,[2]quests!$1:$1,0)-MATCH($C$1,[2]quests!$1:$1,0)+1),MATCH(E$1,[2]quests!$1:$1,0)-MATCH($C$1,[2]quests!$1:$1,0)+1,FALSE)</f>
        <v>火曜クエスト</v>
      </c>
      <c r="F251" s="118">
        <v>4</v>
      </c>
      <c r="G251" s="117" t="str">
        <f ca="1">VLOOKUP($C251&amp;"_"&amp;$F251,OFFSET([2]stages!$A$1,0,0,COUNTA([2]stages!$A:$A),MATCH(G$1,[2]stages!$2:$2,0)-MATCH("temp_stage",[2]stages!$2:$2,0)+1),MATCH(G$1,[2]stages!$2:$2,0)-MATCH("temp_stage",[2]stages!$2:$2,0)+1,FALSE)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1" s="117" t="str">
        <f ca="1">VLOOKUP($C251&amp;"_"&amp;$F251,OFFSET([2]stages!$A$1,0,0,COUNTA([2]stages!$A:$A),MATCH(H$1,[2]stages!$2:$2,0)-MATCH("temp_stage",[2]stages!$2:$2,0)+1),MATCH(H$1,[2]stages!$2:$2,0)-MATCH("temp_stage",[2]stages!$2:$2,0)+1,FALSE)</f>
        <v>火曜クエスト</v>
      </c>
      <c r="I251" s="119">
        <v>0</v>
      </c>
      <c r="J251" s="118">
        <f>COUNTIF(C$1:C251,C251)</f>
        <v>19</v>
      </c>
      <c r="K251" s="120">
        <v>23</v>
      </c>
      <c r="L251" s="118" t="s">
        <v>234</v>
      </c>
      <c r="M251" s="121" t="str">
        <f>VLOOKUP(K251,[6]stage_hints!$A:$C,3,FALSE)</f>
        <v>フィーバーで一発逆転（その2）</v>
      </c>
      <c r="N251" s="122" t="str">
        <f>VLOOKUP(K251,[6]stage_hints!$A:$D,4,FALSE)</f>
        <v>フィーバー中は虹色のボムパネルを狙って_x000D_画面上のパネルを一気に破壊しましょう</v>
      </c>
      <c r="O251" s="36" t="s">
        <v>331</v>
      </c>
      <c r="P251">
        <v>23</v>
      </c>
    </row>
    <row r="252" spans="1:16" x14ac:dyDescent="0.15">
      <c r="A252" s="114" t="str">
        <f t="shared" si="2"/>
        <v>11102_4_20</v>
      </c>
      <c r="B252" s="115" t="s">
        <v>231</v>
      </c>
      <c r="C252" s="116">
        <v>11102</v>
      </c>
      <c r="D252" s="117" t="str">
        <f ca="1">VLOOKUP($C252,OFFSET([2]quests!$A$1,0,0,COUNTA([2]quests!$A:$A),MATCH(D$1,[2]quests!$1:$1,0)-MATCH($C$1,[2]quests!$1:$1,0)+1),MATCH(D$1,[2]quests!$1:$1,0)-MATCH($C$1,[2]quests!$1:$1,0)+1,FALSE)</f>
        <v>【期間限定】 赤の素材</v>
      </c>
      <c r="E252" s="117" t="str">
        <f ca="1">VLOOKUP($C252,OFFSET([2]quests!$A$1,0,0,COUNTA([2]quests!$A:$A),MATCH(E$1,[2]quests!$1:$1,0)-MATCH($C$1,[2]quests!$1:$1,0)+1),MATCH(E$1,[2]quests!$1:$1,0)-MATCH($C$1,[2]quests!$1:$1,0)+1,FALSE)</f>
        <v>火曜クエスト</v>
      </c>
      <c r="F252" s="118">
        <v>4</v>
      </c>
      <c r="G252" s="117" t="str">
        <f ca="1">VLOOKUP($C252&amp;"_"&amp;$F252,OFFSET([2]stages!$A$1,0,0,COUNTA([2]stages!$A:$A),MATCH(G$1,[2]stages!$2:$2,0)-MATCH("temp_stage",[2]stages!$2:$2,0)+1),MATCH(G$1,[2]stages!$2:$2,0)-MATCH("temp_stage",[2]stages!$2:$2,0)+1,FALSE)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2" s="117" t="str">
        <f ca="1">VLOOKUP($C252&amp;"_"&amp;$F252,OFFSET([2]stages!$A$1,0,0,COUNTA([2]stages!$A:$A),MATCH(H$1,[2]stages!$2:$2,0)-MATCH("temp_stage",[2]stages!$2:$2,0)+1),MATCH(H$1,[2]stages!$2:$2,0)-MATCH("temp_stage",[2]stages!$2:$2,0)+1,FALSE)</f>
        <v>火曜クエスト</v>
      </c>
      <c r="I252" s="119">
        <v>0</v>
      </c>
      <c r="J252" s="118">
        <f>COUNTIF(C$1:C252,C252)</f>
        <v>20</v>
      </c>
      <c r="K252" s="120">
        <v>24</v>
      </c>
      <c r="L252" s="118" t="s">
        <v>362</v>
      </c>
      <c r="M252" s="121" t="str">
        <f>VLOOKUP(K252,[6]stage_hints!$A:$C,3,FALSE)</f>
        <v>果実を使って限界突破</v>
      </c>
      <c r="N252" s="122" t="str">
        <f>VLOOKUP(K252,[6]stage_hints!$A:$D,4,FALSE)</f>
        <v>攻めの果実 癒しの果実_x000D_生命の果実をユニット強化に使うと_x000D_ステータスが限界突破します（計99個迄）</v>
      </c>
      <c r="O252" s="36" t="s">
        <v>363</v>
      </c>
      <c r="P252">
        <v>24</v>
      </c>
    </row>
    <row r="253" spans="1:16" x14ac:dyDescent="0.15">
      <c r="A253" s="114" t="str">
        <f t="shared" si="2"/>
        <v>11102_4_21</v>
      </c>
      <c r="B253" s="115" t="s">
        <v>231</v>
      </c>
      <c r="C253" s="116">
        <v>11102</v>
      </c>
      <c r="D253" s="117" t="str">
        <f ca="1">VLOOKUP($C253,OFFSET([2]quests!$A$1,0,0,COUNTA([2]quests!$A:$A),MATCH(D$1,[2]quests!$1:$1,0)-MATCH($C$1,[2]quests!$1:$1,0)+1),MATCH(D$1,[2]quests!$1:$1,0)-MATCH($C$1,[2]quests!$1:$1,0)+1,FALSE)</f>
        <v>【期間限定】 赤の素材</v>
      </c>
      <c r="E253" s="117" t="str">
        <f ca="1">VLOOKUP($C253,OFFSET([2]quests!$A$1,0,0,COUNTA([2]quests!$A:$A),MATCH(E$1,[2]quests!$1:$1,0)-MATCH($C$1,[2]quests!$1:$1,0)+1),MATCH(E$1,[2]quests!$1:$1,0)-MATCH($C$1,[2]quests!$1:$1,0)+1,FALSE)</f>
        <v>火曜クエスト</v>
      </c>
      <c r="F253" s="118">
        <v>4</v>
      </c>
      <c r="G253" s="117" t="str">
        <f ca="1">VLOOKUP($C253&amp;"_"&amp;$F253,OFFSET([2]stages!$A$1,0,0,COUNTA([2]stages!$A:$A),MATCH(G$1,[2]stages!$2:$2,0)-MATCH("temp_stage",[2]stages!$2:$2,0)+1),MATCH(G$1,[2]stages!$2:$2,0)-MATCH("temp_stage",[2]stages!$2:$2,0)+1,FALSE)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3" s="117" t="str">
        <f ca="1">VLOOKUP($C253&amp;"_"&amp;$F253,OFFSET([2]stages!$A$1,0,0,COUNTA([2]stages!$A:$A),MATCH(H$1,[2]stages!$2:$2,0)-MATCH("temp_stage",[2]stages!$2:$2,0)+1),MATCH(H$1,[2]stages!$2:$2,0)-MATCH("temp_stage",[2]stages!$2:$2,0)+1,FALSE)</f>
        <v>火曜クエスト</v>
      </c>
      <c r="I253" s="119">
        <v>0</v>
      </c>
      <c r="J253" s="118">
        <f>COUNTIF(C$1:C253,C253)</f>
        <v>21</v>
      </c>
      <c r="K253" s="120">
        <v>25</v>
      </c>
      <c r="L253" s="118" t="s">
        <v>234</v>
      </c>
      <c r="M253" s="121" t="str">
        <f>VLOOKUP(K253,[6]stage_hints!$A:$C,3,FALSE)</f>
        <v>スキルレベルアップ</v>
      </c>
      <c r="N253" s="122" t="str">
        <f>VLOOKUP(K253,[6]stage_hints!$A:$D,4,FALSE)</f>
        <v>「秘術の果実」を強化に使うと_x000D_スキルレベルを上げることができます</v>
      </c>
      <c r="O253" s="36" t="s">
        <v>235</v>
      </c>
      <c r="P253">
        <v>25</v>
      </c>
    </row>
    <row r="254" spans="1:16" x14ac:dyDescent="0.15">
      <c r="A254" s="114" t="str">
        <f t="shared" si="2"/>
        <v>11102_4_22</v>
      </c>
      <c r="B254" s="115" t="s">
        <v>231</v>
      </c>
      <c r="C254" s="116">
        <v>11102</v>
      </c>
      <c r="D254" s="117" t="str">
        <f ca="1">VLOOKUP($C254,OFFSET([2]quests!$A$1,0,0,COUNTA([2]quests!$A:$A),MATCH(D$1,[2]quests!$1:$1,0)-MATCH($C$1,[2]quests!$1:$1,0)+1),MATCH(D$1,[2]quests!$1:$1,0)-MATCH($C$1,[2]quests!$1:$1,0)+1,FALSE)</f>
        <v>【期間限定】 赤の素材</v>
      </c>
      <c r="E254" s="117" t="str">
        <f ca="1">VLOOKUP($C254,OFFSET([2]quests!$A$1,0,0,COUNTA([2]quests!$A:$A),MATCH(E$1,[2]quests!$1:$1,0)-MATCH($C$1,[2]quests!$1:$1,0)+1),MATCH(E$1,[2]quests!$1:$1,0)-MATCH($C$1,[2]quests!$1:$1,0)+1,FALSE)</f>
        <v>火曜クエスト</v>
      </c>
      <c r="F254" s="118">
        <v>4</v>
      </c>
      <c r="G254" s="117" t="str">
        <f ca="1">VLOOKUP($C254&amp;"_"&amp;$F254,OFFSET([2]stages!$A$1,0,0,COUNTA([2]stages!$A:$A),MATCH(G$1,[2]stages!$2:$2,0)-MATCH("temp_stage",[2]stages!$2:$2,0)+1),MATCH(G$1,[2]stages!$2:$2,0)-MATCH("temp_stage",[2]stages!$2:$2,0)+1,FALSE)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4" s="117" t="str">
        <f ca="1">VLOOKUP($C254&amp;"_"&amp;$F254,OFFSET([2]stages!$A$1,0,0,COUNTA([2]stages!$A:$A),MATCH(H$1,[2]stages!$2:$2,0)-MATCH("temp_stage",[2]stages!$2:$2,0)+1),MATCH(H$1,[2]stages!$2:$2,0)-MATCH("temp_stage",[2]stages!$2:$2,0)+1,FALSE)</f>
        <v>火曜クエスト</v>
      </c>
      <c r="I254" s="119">
        <v>0</v>
      </c>
      <c r="J254" s="118">
        <f>COUNTIF(C$1:C254,C254)</f>
        <v>22</v>
      </c>
      <c r="K254" s="120">
        <v>26</v>
      </c>
      <c r="L254" s="118" t="s">
        <v>364</v>
      </c>
      <c r="M254" s="121" t="str">
        <f>VLOOKUP(K254,[6]stage_hints!$A:$C,3,FALSE)</f>
        <v>スキルレベルの効果</v>
      </c>
      <c r="N254" s="122" t="str">
        <f>VLOOKUP(K254,[6]stage_hints!$A:$D,4,FALSE)</f>
        <v>スキルレベルが上がると_x000D_短いターンでスキルを使うことができます</v>
      </c>
      <c r="O254" s="36" t="s">
        <v>235</v>
      </c>
      <c r="P254">
        <v>26</v>
      </c>
    </row>
    <row r="255" spans="1:16" x14ac:dyDescent="0.15">
      <c r="A255" s="114" t="str">
        <f t="shared" si="2"/>
        <v>11102_4_23</v>
      </c>
      <c r="B255" s="115" t="s">
        <v>231</v>
      </c>
      <c r="C255" s="116">
        <v>11102</v>
      </c>
      <c r="D255" s="117" t="str">
        <f ca="1">VLOOKUP($C255,OFFSET([2]quests!$A$1,0,0,COUNTA([2]quests!$A:$A),MATCH(D$1,[2]quests!$1:$1,0)-MATCH($C$1,[2]quests!$1:$1,0)+1),MATCH(D$1,[2]quests!$1:$1,0)-MATCH($C$1,[2]quests!$1:$1,0)+1,FALSE)</f>
        <v>【期間限定】 赤の素材</v>
      </c>
      <c r="E255" s="117" t="str">
        <f ca="1">VLOOKUP($C255,OFFSET([2]quests!$A$1,0,0,COUNTA([2]quests!$A:$A),MATCH(E$1,[2]quests!$1:$1,0)-MATCH($C$1,[2]quests!$1:$1,0)+1),MATCH(E$1,[2]quests!$1:$1,0)-MATCH($C$1,[2]quests!$1:$1,0)+1,FALSE)</f>
        <v>火曜クエスト</v>
      </c>
      <c r="F255" s="118">
        <v>4</v>
      </c>
      <c r="G255" s="117" t="str">
        <f ca="1">VLOOKUP($C255&amp;"_"&amp;$F255,OFFSET([2]stages!$A$1,0,0,COUNTA([2]stages!$A:$A),MATCH(G$1,[2]stages!$2:$2,0)-MATCH("temp_stage",[2]stages!$2:$2,0)+1),MATCH(G$1,[2]stages!$2:$2,0)-MATCH("temp_stage",[2]stages!$2:$2,0)+1,FALSE)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5" s="117" t="str">
        <f ca="1">VLOOKUP($C255&amp;"_"&amp;$F255,OFFSET([2]stages!$A$1,0,0,COUNTA([2]stages!$A:$A),MATCH(H$1,[2]stages!$2:$2,0)-MATCH("temp_stage",[2]stages!$2:$2,0)+1),MATCH(H$1,[2]stages!$2:$2,0)-MATCH("temp_stage",[2]stages!$2:$2,0)+1,FALSE)</f>
        <v>火曜クエスト</v>
      </c>
      <c r="I255" s="119">
        <v>0</v>
      </c>
      <c r="J255" s="118">
        <f>COUNTIF(C$1:C255,C255)</f>
        <v>23</v>
      </c>
      <c r="K255" s="120">
        <v>27</v>
      </c>
      <c r="L255" s="118" t="s">
        <v>234</v>
      </c>
      <c r="M255" s="121" t="str">
        <f>VLOOKUP(K255,[6]stage_hints!$A:$C,3,FALSE)</f>
        <v>ホーム画面からデッキを編成</v>
      </c>
      <c r="N255" s="122" t="str">
        <f>VLOOKUP(K255,[6]stage_hints!$A:$D,4,FALSE)</f>
        <v>ホーム画面でユニットを長押しすると_x000D_すぐにパーティ編成に移動できます</v>
      </c>
      <c r="O255" s="36" t="s">
        <v>235</v>
      </c>
      <c r="P255">
        <v>27</v>
      </c>
    </row>
    <row r="256" spans="1:16" x14ac:dyDescent="0.15">
      <c r="A256" s="114" t="str">
        <f t="shared" si="2"/>
        <v>11102_4_24</v>
      </c>
      <c r="B256" s="115" t="s">
        <v>231</v>
      </c>
      <c r="C256" s="116">
        <v>11102</v>
      </c>
      <c r="D256" s="117" t="str">
        <f ca="1">VLOOKUP($C256,OFFSET([2]quests!$A$1,0,0,COUNTA([2]quests!$A:$A),MATCH(D$1,[2]quests!$1:$1,0)-MATCH($C$1,[2]quests!$1:$1,0)+1),MATCH(D$1,[2]quests!$1:$1,0)-MATCH($C$1,[2]quests!$1:$1,0)+1,FALSE)</f>
        <v>【期間限定】 赤の素材</v>
      </c>
      <c r="E256" s="117" t="str">
        <f ca="1">VLOOKUP($C256,OFFSET([2]quests!$A$1,0,0,COUNTA([2]quests!$A:$A),MATCH(E$1,[2]quests!$1:$1,0)-MATCH($C$1,[2]quests!$1:$1,0)+1),MATCH(E$1,[2]quests!$1:$1,0)-MATCH($C$1,[2]quests!$1:$1,0)+1,FALSE)</f>
        <v>火曜クエスト</v>
      </c>
      <c r="F256" s="118">
        <v>4</v>
      </c>
      <c r="G256" s="117" t="str">
        <f ca="1">VLOOKUP($C256&amp;"_"&amp;$F256,OFFSET([2]stages!$A$1,0,0,COUNTA([2]stages!$A:$A),MATCH(G$1,[2]stages!$2:$2,0)-MATCH("temp_stage",[2]stages!$2:$2,0)+1),MATCH(G$1,[2]stages!$2:$2,0)-MATCH("temp_stage",[2]stages!$2:$2,0)+1,FALSE)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6" s="117" t="str">
        <f ca="1">VLOOKUP($C256&amp;"_"&amp;$F256,OFFSET([2]stages!$A$1,0,0,COUNTA([2]stages!$A:$A),MATCH(H$1,[2]stages!$2:$2,0)-MATCH("temp_stage",[2]stages!$2:$2,0)+1),MATCH(H$1,[2]stages!$2:$2,0)-MATCH("temp_stage",[2]stages!$2:$2,0)+1,FALSE)</f>
        <v>火曜クエスト</v>
      </c>
      <c r="I256" s="119">
        <v>0</v>
      </c>
      <c r="J256" s="118">
        <f>COUNTIF(C$1:C256,C256)</f>
        <v>24</v>
      </c>
      <c r="K256" s="120">
        <v>28</v>
      </c>
      <c r="L256" s="118" t="s">
        <v>234</v>
      </c>
      <c r="M256" s="121" t="str">
        <f>VLOOKUP(K256,[6]stage_hints!$A:$C,3,FALSE)</f>
        <v>ステータス情報は長押しで</v>
      </c>
      <c r="N256" s="122" t="str">
        <f>VLOOKUP(K256,[6]stage_hints!$A:$D,4,FALSE)</f>
        <v>ユニットのアイコンを長押しすると_x000D_ステータス情報を確認することができます</v>
      </c>
      <c r="O256" s="36" t="s">
        <v>235</v>
      </c>
      <c r="P256">
        <v>28</v>
      </c>
    </row>
    <row r="257" spans="1:16" x14ac:dyDescent="0.15">
      <c r="A257" s="114" t="str">
        <f t="shared" si="2"/>
        <v>11102_4_25</v>
      </c>
      <c r="B257" s="115" t="s">
        <v>231</v>
      </c>
      <c r="C257" s="116">
        <v>11102</v>
      </c>
      <c r="D257" s="117" t="str">
        <f ca="1">VLOOKUP($C257,OFFSET([2]quests!$A$1,0,0,COUNTA([2]quests!$A:$A),MATCH(D$1,[2]quests!$1:$1,0)-MATCH($C$1,[2]quests!$1:$1,0)+1),MATCH(D$1,[2]quests!$1:$1,0)-MATCH($C$1,[2]quests!$1:$1,0)+1,FALSE)</f>
        <v>【期間限定】 赤の素材</v>
      </c>
      <c r="E257" s="117" t="str">
        <f ca="1">VLOOKUP($C257,OFFSET([2]quests!$A$1,0,0,COUNTA([2]quests!$A:$A),MATCH(E$1,[2]quests!$1:$1,0)-MATCH($C$1,[2]quests!$1:$1,0)+1),MATCH(E$1,[2]quests!$1:$1,0)-MATCH($C$1,[2]quests!$1:$1,0)+1,FALSE)</f>
        <v>火曜クエスト</v>
      </c>
      <c r="F257" s="118">
        <v>4</v>
      </c>
      <c r="G257" s="117" t="str">
        <f ca="1">VLOOKUP($C257&amp;"_"&amp;$F257,OFFSET([2]stages!$A$1,0,0,COUNTA([2]stages!$A:$A),MATCH(G$1,[2]stages!$2:$2,0)-MATCH("temp_stage",[2]stages!$2:$2,0)+1),MATCH(G$1,[2]stages!$2:$2,0)-MATCH("temp_stage",[2]stages!$2:$2,0)+1,FALSE)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7" s="117" t="str">
        <f ca="1">VLOOKUP($C257&amp;"_"&amp;$F257,OFFSET([2]stages!$A$1,0,0,COUNTA([2]stages!$A:$A),MATCH(H$1,[2]stages!$2:$2,0)-MATCH("temp_stage",[2]stages!$2:$2,0)+1),MATCH(H$1,[2]stages!$2:$2,0)-MATCH("temp_stage",[2]stages!$2:$2,0)+1,FALSE)</f>
        <v>火曜クエスト</v>
      </c>
      <c r="I257" s="119">
        <v>0</v>
      </c>
      <c r="J257" s="118">
        <f>COUNTIF(C$1:C257,C257)</f>
        <v>25</v>
      </c>
      <c r="K257" s="120">
        <v>29</v>
      </c>
      <c r="L257" s="118" t="s">
        <v>358</v>
      </c>
      <c r="M257" s="121" t="str">
        <f>VLOOKUP(K257,[6]stage_hints!$A:$C,3,FALSE)</f>
        <v>「バグ」のメリット</v>
      </c>
      <c r="N257" s="122" t="str">
        <f>VLOOKUP(K257,[6]stage_hints!$A:$D,4,FALSE)</f>
        <v>ユニットの「バグ」を増やすと_x000D_報酬をもらえる確率がアップします</v>
      </c>
      <c r="O257" s="36" t="s">
        <v>365</v>
      </c>
      <c r="P257">
        <v>29</v>
      </c>
    </row>
    <row r="258" spans="1:16" x14ac:dyDescent="0.15">
      <c r="A258" s="114" t="str">
        <f t="shared" si="2"/>
        <v>11102_4_26</v>
      </c>
      <c r="B258" s="115" t="s">
        <v>231</v>
      </c>
      <c r="C258" s="116">
        <v>11102</v>
      </c>
      <c r="D258" s="117" t="str">
        <f ca="1">VLOOKUP($C258,OFFSET([2]quests!$A$1,0,0,COUNTA([2]quests!$A:$A),MATCH(D$1,[2]quests!$1:$1,0)-MATCH($C$1,[2]quests!$1:$1,0)+1),MATCH(D$1,[2]quests!$1:$1,0)-MATCH($C$1,[2]quests!$1:$1,0)+1,FALSE)</f>
        <v>【期間限定】 赤の素材</v>
      </c>
      <c r="E258" s="117" t="str">
        <f ca="1">VLOOKUP($C258,OFFSET([2]quests!$A$1,0,0,COUNTA([2]quests!$A:$A),MATCH(E$1,[2]quests!$1:$1,0)-MATCH($C$1,[2]quests!$1:$1,0)+1),MATCH(E$1,[2]quests!$1:$1,0)-MATCH($C$1,[2]quests!$1:$1,0)+1,FALSE)</f>
        <v>火曜クエスト</v>
      </c>
      <c r="F258" s="118">
        <v>4</v>
      </c>
      <c r="G258" s="117" t="str">
        <f ca="1">VLOOKUP($C258&amp;"_"&amp;$F258,OFFSET([2]stages!$A$1,0,0,COUNTA([2]stages!$A:$A),MATCH(G$1,[2]stages!$2:$2,0)-MATCH("temp_stage",[2]stages!$2:$2,0)+1),MATCH(G$1,[2]stages!$2:$2,0)-MATCH("temp_stage",[2]stages!$2:$2,0)+1,FALSE)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8" s="117" t="str">
        <f ca="1">VLOOKUP($C258&amp;"_"&amp;$F258,OFFSET([2]stages!$A$1,0,0,COUNTA([2]stages!$A:$A),MATCH(H$1,[2]stages!$2:$2,0)-MATCH("temp_stage",[2]stages!$2:$2,0)+1),MATCH(H$1,[2]stages!$2:$2,0)-MATCH("temp_stage",[2]stages!$2:$2,0)+1,FALSE)</f>
        <v>火曜クエスト</v>
      </c>
      <c r="I258" s="119">
        <v>0</v>
      </c>
      <c r="J258" s="118">
        <f>COUNTIF(C$1:C258,C258)</f>
        <v>26</v>
      </c>
      <c r="K258" s="120">
        <v>30</v>
      </c>
      <c r="L258" s="118" t="s">
        <v>234</v>
      </c>
      <c r="M258" s="121" t="str">
        <f>VLOOKUP(K258,[6]stage_hints!$A:$C,3,FALSE)</f>
        <v>「バグ」の増やし方</v>
      </c>
      <c r="N258" s="122" t="str">
        <f>VLOOKUP(K258,[6]stage_hints!$A:$D,4,FALSE)</f>
        <v>同じユニット同士を強化で合成すると_x000D_「バグ」を増やすことができます</v>
      </c>
      <c r="O258" s="36" t="s">
        <v>235</v>
      </c>
      <c r="P258">
        <v>30</v>
      </c>
    </row>
    <row r="259" spans="1:16" x14ac:dyDescent="0.15">
      <c r="A259" s="114" t="str">
        <f t="shared" si="2"/>
        <v>11102_4_27</v>
      </c>
      <c r="B259" s="115" t="s">
        <v>231</v>
      </c>
      <c r="C259" s="116">
        <v>11102</v>
      </c>
      <c r="D259" s="117" t="str">
        <f ca="1">VLOOKUP($C259,OFFSET([2]quests!$A$1,0,0,COUNTA([2]quests!$A:$A),MATCH(D$1,[2]quests!$1:$1,0)-MATCH($C$1,[2]quests!$1:$1,0)+1),MATCH(D$1,[2]quests!$1:$1,0)-MATCH($C$1,[2]quests!$1:$1,0)+1,FALSE)</f>
        <v>【期間限定】 赤の素材</v>
      </c>
      <c r="E259" s="117" t="str">
        <f ca="1">VLOOKUP($C259,OFFSET([2]quests!$A$1,0,0,COUNTA([2]quests!$A:$A),MATCH(E$1,[2]quests!$1:$1,0)-MATCH($C$1,[2]quests!$1:$1,0)+1),MATCH(E$1,[2]quests!$1:$1,0)-MATCH($C$1,[2]quests!$1:$1,0)+1,FALSE)</f>
        <v>火曜クエスト</v>
      </c>
      <c r="F259" s="118">
        <v>4</v>
      </c>
      <c r="G259" s="117" t="str">
        <f ca="1">VLOOKUP($C259&amp;"_"&amp;$F259,OFFSET([2]stages!$A$1,0,0,COUNTA([2]stages!$A:$A),MATCH(G$1,[2]stages!$2:$2,0)-MATCH("temp_stage",[2]stages!$2:$2,0)+1),MATCH(G$1,[2]stages!$2:$2,0)-MATCH("temp_stage",[2]stages!$2:$2,0)+1,FALSE)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59" s="117" t="str">
        <f ca="1">VLOOKUP($C259&amp;"_"&amp;$F259,OFFSET([2]stages!$A$1,0,0,COUNTA([2]stages!$A:$A),MATCH(H$1,[2]stages!$2:$2,0)-MATCH("temp_stage",[2]stages!$2:$2,0)+1),MATCH(H$1,[2]stages!$2:$2,0)-MATCH("temp_stage",[2]stages!$2:$2,0)+1,FALSE)</f>
        <v>火曜クエスト</v>
      </c>
      <c r="I259" s="119">
        <v>0</v>
      </c>
      <c r="J259" s="118">
        <f>COUNTIF(C$1:C259,C259)</f>
        <v>27</v>
      </c>
      <c r="K259" s="120">
        <v>31</v>
      </c>
      <c r="L259" s="118" t="s">
        <v>358</v>
      </c>
      <c r="M259" s="121" t="str">
        <f>VLOOKUP(K259,[6]stage_hints!$A:$C,3,FALSE)</f>
        <v>イベントはお知らせでチェック</v>
      </c>
      <c r="N259" s="122" t="str">
        <f>VLOOKUP(K259,[6]stage_hints!$A:$D,4,FALSE)</f>
        <v>イベント限定ユニットを取り忘れないように_x000D_お知らせをこまめにチェックしましょう</v>
      </c>
      <c r="O259" s="36" t="s">
        <v>366</v>
      </c>
      <c r="P259">
        <v>31</v>
      </c>
    </row>
    <row r="260" spans="1:16" x14ac:dyDescent="0.15">
      <c r="A260" s="114" t="str">
        <f t="shared" ref="A260:A323" si="4">C260&amp;"_"&amp;F260&amp;"_"&amp;J260</f>
        <v>11102_4_28</v>
      </c>
      <c r="B260" s="115" t="s">
        <v>231</v>
      </c>
      <c r="C260" s="116">
        <v>11102</v>
      </c>
      <c r="D260" s="117" t="str">
        <f ca="1">VLOOKUP($C260,OFFSET([2]quests!$A$1,0,0,COUNTA([2]quests!$A:$A),MATCH(D$1,[2]quests!$1:$1,0)-MATCH($C$1,[2]quests!$1:$1,0)+1),MATCH(D$1,[2]quests!$1:$1,0)-MATCH($C$1,[2]quests!$1:$1,0)+1,FALSE)</f>
        <v>【期間限定】 赤の素材</v>
      </c>
      <c r="E260" s="117" t="str">
        <f ca="1">VLOOKUP($C260,OFFSET([2]quests!$A$1,0,0,COUNTA([2]quests!$A:$A),MATCH(E$1,[2]quests!$1:$1,0)-MATCH($C$1,[2]quests!$1:$1,0)+1),MATCH(E$1,[2]quests!$1:$1,0)-MATCH($C$1,[2]quests!$1:$1,0)+1,FALSE)</f>
        <v>火曜クエスト</v>
      </c>
      <c r="F260" s="118">
        <v>4</v>
      </c>
      <c r="G260" s="117" t="str">
        <f ca="1">VLOOKUP($C260&amp;"_"&amp;$F260,OFFSET([2]stages!$A$1,0,0,COUNTA([2]stages!$A:$A),MATCH(G$1,[2]stages!$2:$2,0)-MATCH("temp_stage",[2]stages!$2:$2,0)+1),MATCH(G$1,[2]stages!$2:$2,0)-MATCH("temp_stage",[2]stages!$2:$2,0)+1,FALSE)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60" s="117" t="str">
        <f ca="1">VLOOKUP($C260&amp;"_"&amp;$F260,OFFSET([2]stages!$A$1,0,0,COUNTA([2]stages!$A:$A),MATCH(H$1,[2]stages!$2:$2,0)-MATCH("temp_stage",[2]stages!$2:$2,0)+1),MATCH(H$1,[2]stages!$2:$2,0)-MATCH("temp_stage",[2]stages!$2:$2,0)+1,FALSE)</f>
        <v>火曜クエスト</v>
      </c>
      <c r="I260" s="119">
        <v>0</v>
      </c>
      <c r="J260" s="118">
        <f>COUNTIF(C$1:C260,C260)</f>
        <v>28</v>
      </c>
      <c r="K260" s="120">
        <v>32</v>
      </c>
      <c r="L260" s="118" t="s">
        <v>367</v>
      </c>
      <c r="M260" s="121" t="str">
        <f>VLOOKUP(K260,[6]stage_hints!$A:$C,3,FALSE)</f>
        <v>敵の連続攻撃には</v>
      </c>
      <c r="N260" s="122" t="str">
        <f>VLOOKUP(K260,[6]stage_hints!$A:$D,4,FALSE)</f>
        <v>カウンタースキルを持つユニットがいれば_x000D_ダメージ回数分の反撃ができます</v>
      </c>
      <c r="O260" s="36" t="s">
        <v>235</v>
      </c>
      <c r="P260">
        <v>32</v>
      </c>
    </row>
    <row r="261" spans="1:16" x14ac:dyDescent="0.15">
      <c r="A261" s="114" t="str">
        <f t="shared" si="4"/>
        <v>11102_4_29</v>
      </c>
      <c r="B261" s="115" t="s">
        <v>231</v>
      </c>
      <c r="C261" s="116">
        <v>11102</v>
      </c>
      <c r="D261" s="117" t="str">
        <f ca="1">VLOOKUP($C261,OFFSET([2]quests!$A$1,0,0,COUNTA([2]quests!$A:$A),MATCH(D$1,[2]quests!$1:$1,0)-MATCH($C$1,[2]quests!$1:$1,0)+1),MATCH(D$1,[2]quests!$1:$1,0)-MATCH($C$1,[2]quests!$1:$1,0)+1,FALSE)</f>
        <v>【期間限定】 赤の素材</v>
      </c>
      <c r="E261" s="117" t="str">
        <f ca="1">VLOOKUP($C261,OFFSET([2]quests!$A$1,0,0,COUNTA([2]quests!$A:$A),MATCH(E$1,[2]quests!$1:$1,0)-MATCH($C$1,[2]quests!$1:$1,0)+1),MATCH(E$1,[2]quests!$1:$1,0)-MATCH($C$1,[2]quests!$1:$1,0)+1,FALSE)</f>
        <v>火曜クエスト</v>
      </c>
      <c r="F261" s="118">
        <v>4</v>
      </c>
      <c r="G261" s="117" t="str">
        <f ca="1">VLOOKUP($C261&amp;"_"&amp;$F261,OFFSET([2]stages!$A$1,0,0,COUNTA([2]stages!$A:$A),MATCH(G$1,[2]stages!$2:$2,0)-MATCH("temp_stage",[2]stages!$2:$2,0)+1),MATCH(G$1,[2]stages!$2:$2,0)-MATCH("temp_stage",[2]stages!$2:$2,0)+1,FALSE)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61" s="117" t="str">
        <f ca="1">VLOOKUP($C261&amp;"_"&amp;$F261,OFFSET([2]stages!$A$1,0,0,COUNTA([2]stages!$A:$A),MATCH(H$1,[2]stages!$2:$2,0)-MATCH("temp_stage",[2]stages!$2:$2,0)+1),MATCH(H$1,[2]stages!$2:$2,0)-MATCH("temp_stage",[2]stages!$2:$2,0)+1,FALSE)</f>
        <v>火曜クエスト</v>
      </c>
      <c r="I261" s="119">
        <v>0</v>
      </c>
      <c r="J261" s="118">
        <f>COUNTIF(C$1:C261,C261)</f>
        <v>29</v>
      </c>
      <c r="K261" s="120">
        <v>33</v>
      </c>
      <c r="L261" s="118" t="s">
        <v>234</v>
      </c>
      <c r="M261" s="121" t="str">
        <f>VLOOKUP(K261,[6]stage_hints!$A:$C,3,FALSE)</f>
        <v>敵のカウンター攻撃には</v>
      </c>
      <c r="N261" s="122" t="str">
        <f>VLOOKUP(K261,[6]stage_hints!$A:$D,4,FALSE)</f>
        <v>カウンターブレイクスキルを持っていれば_x000D_敵のカウンターを解除して攻撃ができます</v>
      </c>
      <c r="O261" s="36" t="s">
        <v>235</v>
      </c>
      <c r="P261">
        <v>33</v>
      </c>
    </row>
    <row r="262" spans="1:16" x14ac:dyDescent="0.15">
      <c r="A262" s="114" t="str">
        <f t="shared" si="4"/>
        <v>11102_4_30</v>
      </c>
      <c r="B262" s="115" t="s">
        <v>231</v>
      </c>
      <c r="C262" s="116">
        <v>11102</v>
      </c>
      <c r="D262" s="117" t="str">
        <f ca="1">VLOOKUP($C262,OFFSET([2]quests!$A$1,0,0,COUNTA([2]quests!$A:$A),MATCH(D$1,[2]quests!$1:$1,0)-MATCH($C$1,[2]quests!$1:$1,0)+1),MATCH(D$1,[2]quests!$1:$1,0)-MATCH($C$1,[2]quests!$1:$1,0)+1,FALSE)</f>
        <v>【期間限定】 赤の素材</v>
      </c>
      <c r="E262" s="117" t="str">
        <f ca="1">VLOOKUP($C262,OFFSET([2]quests!$A$1,0,0,COUNTA([2]quests!$A:$A),MATCH(E$1,[2]quests!$1:$1,0)-MATCH($C$1,[2]quests!$1:$1,0)+1),MATCH(E$1,[2]quests!$1:$1,0)-MATCH($C$1,[2]quests!$1:$1,0)+1,FALSE)</f>
        <v>火曜クエスト</v>
      </c>
      <c r="F262" s="118">
        <v>4</v>
      </c>
      <c r="G262" s="117" t="str">
        <f ca="1">VLOOKUP($C262&amp;"_"&amp;$F262,OFFSET([2]stages!$A$1,0,0,COUNTA([2]stages!$A:$A),MATCH(G$1,[2]stages!$2:$2,0)-MATCH("temp_stage",[2]stages!$2:$2,0)+1),MATCH(G$1,[2]stages!$2:$2,0)-MATCH("temp_stage",[2]stages!$2:$2,0)+1,FALSE)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62" s="117" t="str">
        <f ca="1">VLOOKUP($C262&amp;"_"&amp;$F262,OFFSET([2]stages!$A$1,0,0,COUNTA([2]stages!$A:$A),MATCH(H$1,[2]stages!$2:$2,0)-MATCH("temp_stage",[2]stages!$2:$2,0)+1),MATCH(H$1,[2]stages!$2:$2,0)-MATCH("temp_stage",[2]stages!$2:$2,0)+1,FALSE)</f>
        <v>火曜クエスト</v>
      </c>
      <c r="I262" s="119">
        <v>0</v>
      </c>
      <c r="J262" s="118">
        <f>COUNTIF(C$1:C262,C262)</f>
        <v>30</v>
      </c>
      <c r="K262" s="120">
        <v>34</v>
      </c>
      <c r="L262" s="118" t="s">
        <v>234</v>
      </c>
      <c r="M262" s="121" t="str">
        <f>VLOOKUP(K262,[6]stage_hints!$A:$C,3,FALSE)</f>
        <v>ステータスをスキルで下げられたら</v>
      </c>
      <c r="N262" s="122" t="str">
        <f>VLOOKUP(K262,[6]stage_hints!$A:$D,4,FALSE)</f>
        <v>ステータスダウンのスキルを受けたら_x000D_ステータスアップスキルで上書きしましょう</v>
      </c>
      <c r="O262" s="36" t="s">
        <v>235</v>
      </c>
      <c r="P262">
        <v>34</v>
      </c>
    </row>
    <row r="263" spans="1:16" x14ac:dyDescent="0.15">
      <c r="A263" s="114" t="str">
        <f t="shared" si="4"/>
        <v>11102_4_31</v>
      </c>
      <c r="B263" s="115" t="s">
        <v>231</v>
      </c>
      <c r="C263" s="116">
        <v>11102</v>
      </c>
      <c r="D263" s="117" t="str">
        <f ca="1">VLOOKUP($C263,OFFSET([2]quests!$A$1,0,0,COUNTA([2]quests!$A:$A),MATCH(D$1,[2]quests!$1:$1,0)-MATCH($C$1,[2]quests!$1:$1,0)+1),MATCH(D$1,[2]quests!$1:$1,0)-MATCH($C$1,[2]quests!$1:$1,0)+1,FALSE)</f>
        <v>【期間限定】 赤の素材</v>
      </c>
      <c r="E263" s="117" t="str">
        <f ca="1">VLOOKUP($C263,OFFSET([2]quests!$A$1,0,0,COUNTA([2]quests!$A:$A),MATCH(E$1,[2]quests!$1:$1,0)-MATCH($C$1,[2]quests!$1:$1,0)+1),MATCH(E$1,[2]quests!$1:$1,0)-MATCH($C$1,[2]quests!$1:$1,0)+1,FALSE)</f>
        <v>火曜クエスト</v>
      </c>
      <c r="F263" s="118">
        <v>4</v>
      </c>
      <c r="G263" s="117" t="str">
        <f ca="1">VLOOKUP($C263&amp;"_"&amp;$F263,OFFSET([2]stages!$A$1,0,0,COUNTA([2]stages!$A:$A),MATCH(G$1,[2]stages!$2:$2,0)-MATCH("temp_stage",[2]stages!$2:$2,0)+1),MATCH(G$1,[2]stages!$2:$2,0)-MATCH("temp_stage",[2]stages!$2:$2,0)+1,FALSE)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63" s="117" t="str">
        <f ca="1">VLOOKUP($C263&amp;"_"&amp;$F263,OFFSET([2]stages!$A$1,0,0,COUNTA([2]stages!$A:$A),MATCH(H$1,[2]stages!$2:$2,0)-MATCH("temp_stage",[2]stages!$2:$2,0)+1),MATCH(H$1,[2]stages!$2:$2,0)-MATCH("temp_stage",[2]stages!$2:$2,0)+1,FALSE)</f>
        <v>火曜クエスト</v>
      </c>
      <c r="I263" s="119">
        <v>0</v>
      </c>
      <c r="J263" s="118">
        <f>COUNTIF(C$1:C263,C263)</f>
        <v>31</v>
      </c>
      <c r="K263" s="120">
        <v>35</v>
      </c>
      <c r="L263" s="118" t="s">
        <v>234</v>
      </c>
      <c r="M263" s="121" t="str">
        <f>VLOOKUP(K263,[6]stage_hints!$A:$C,3,FALSE)</f>
        <v>敵のステータスがスキルで上がったら</v>
      </c>
      <c r="N263" s="122" t="str">
        <f>VLOOKUP(K263,[6]stage_hints!$A:$D,4,FALSE)</f>
        <v>敵のステータスがスキルでアップしたときは_x000D_ステータスダウンスキルで上書きしましょう</v>
      </c>
      <c r="O263" s="36" t="s">
        <v>235</v>
      </c>
      <c r="P263">
        <v>35</v>
      </c>
    </row>
    <row r="264" spans="1:16" x14ac:dyDescent="0.15">
      <c r="A264" s="114" t="str">
        <f t="shared" si="4"/>
        <v>11102_4_32</v>
      </c>
      <c r="B264" s="115" t="s">
        <v>231</v>
      </c>
      <c r="C264" s="116">
        <v>11102</v>
      </c>
      <c r="D264" s="117" t="str">
        <f ca="1">VLOOKUP($C264,OFFSET([2]quests!$A$1,0,0,COUNTA([2]quests!$A:$A),MATCH(D$1,[2]quests!$1:$1,0)-MATCH($C$1,[2]quests!$1:$1,0)+1),MATCH(D$1,[2]quests!$1:$1,0)-MATCH($C$1,[2]quests!$1:$1,0)+1,FALSE)</f>
        <v>【期間限定】 赤の素材</v>
      </c>
      <c r="E264" s="117" t="str">
        <f ca="1">VLOOKUP($C264,OFFSET([2]quests!$A$1,0,0,COUNTA([2]quests!$A:$A),MATCH(E$1,[2]quests!$1:$1,0)-MATCH($C$1,[2]quests!$1:$1,0)+1),MATCH(E$1,[2]quests!$1:$1,0)-MATCH($C$1,[2]quests!$1:$1,0)+1,FALSE)</f>
        <v>火曜クエスト</v>
      </c>
      <c r="F264" s="118">
        <v>4</v>
      </c>
      <c r="G264" s="117" t="str">
        <f ca="1">VLOOKUP($C264&amp;"_"&amp;$F264,OFFSET([2]stages!$A$1,0,0,COUNTA([2]stages!$A:$A),MATCH(G$1,[2]stages!$2:$2,0)-MATCH("temp_stage",[2]stages!$2:$2,0)+1),MATCH(G$1,[2]stages!$2:$2,0)-MATCH("temp_stage",[2]stages!$2:$2,0)+1,FALSE)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64" s="117" t="str">
        <f ca="1">VLOOKUP($C264&amp;"_"&amp;$F264,OFFSET([2]stages!$A$1,0,0,COUNTA([2]stages!$A:$A),MATCH(H$1,[2]stages!$2:$2,0)-MATCH("temp_stage",[2]stages!$2:$2,0)+1),MATCH(H$1,[2]stages!$2:$2,0)-MATCH("temp_stage",[2]stages!$2:$2,0)+1,FALSE)</f>
        <v>火曜クエスト</v>
      </c>
      <c r="I264" s="119">
        <v>0</v>
      </c>
      <c r="J264" s="118">
        <f>COUNTIF(C$1:C264,C264)</f>
        <v>32</v>
      </c>
      <c r="K264" s="120">
        <v>36</v>
      </c>
      <c r="L264" s="118" t="s">
        <v>234</v>
      </c>
      <c r="M264" s="121" t="str">
        <f>VLOOKUP(K264,[6]stage_hints!$A:$C,3,FALSE)</f>
        <v>タワーオブザクイーンのボス</v>
      </c>
      <c r="N264" s="122" t="str">
        <f>VLOOKUP(K264,[6]stage_hints!$A:$D,4,FALSE)</f>
        <v>「タワーオブザクイーン」最上階のボスは_x000D_15階の初回クリア報酬で獲得できるほか_x000D_その階にて低確率でドロップもします</v>
      </c>
      <c r="O264" s="36" t="s">
        <v>368</v>
      </c>
      <c r="P264">
        <v>36</v>
      </c>
    </row>
    <row r="265" spans="1:16" x14ac:dyDescent="0.15">
      <c r="A265" s="114" t="str">
        <f t="shared" si="4"/>
        <v>11102_4_33</v>
      </c>
      <c r="B265" s="115" t="s">
        <v>231</v>
      </c>
      <c r="C265" s="116">
        <v>11102</v>
      </c>
      <c r="D265" s="117" t="str">
        <f ca="1">VLOOKUP($C265,OFFSET([2]quests!$A$1,0,0,COUNTA([2]quests!$A:$A),MATCH(D$1,[2]quests!$1:$1,0)-MATCH($C$1,[2]quests!$1:$1,0)+1),MATCH(D$1,[2]quests!$1:$1,0)-MATCH($C$1,[2]quests!$1:$1,0)+1,FALSE)</f>
        <v>【期間限定】 赤の素材</v>
      </c>
      <c r="E265" s="117" t="str">
        <f ca="1">VLOOKUP($C265,OFFSET([2]quests!$A$1,0,0,COUNTA([2]quests!$A:$A),MATCH(E$1,[2]quests!$1:$1,0)-MATCH($C$1,[2]quests!$1:$1,0)+1),MATCH(E$1,[2]quests!$1:$1,0)-MATCH($C$1,[2]quests!$1:$1,0)+1,FALSE)</f>
        <v>火曜クエスト</v>
      </c>
      <c r="F265" s="118">
        <v>4</v>
      </c>
      <c r="G265" s="117" t="str">
        <f ca="1">VLOOKUP($C265&amp;"_"&amp;$F265,OFFSET([2]stages!$A$1,0,0,COUNTA([2]stages!$A:$A),MATCH(G$1,[2]stages!$2:$2,0)-MATCH("temp_stage",[2]stages!$2:$2,0)+1),MATCH(G$1,[2]stages!$2:$2,0)-MATCH("temp_stage",[2]stages!$2:$2,0)+1,FALSE)</f>
        <v xml:space="preserve">【上級】火のイモムシ </v>
      </c>
      <c r="H265" s="117" t="str">
        <f ca="1">VLOOKUP($C265&amp;"_"&amp;$F265,OFFSET([2]stages!$A$1,0,0,COUNTA([2]stages!$A:$A),MATCH(H$1,[2]stages!$2:$2,0)-MATCH("temp_stage",[2]stages!$2:$2,0)+1),MATCH(H$1,[2]stages!$2:$2,0)-MATCH("temp_stage",[2]stages!$2:$2,0)+1,FALSE)</f>
        <v>火曜クエスト</v>
      </c>
      <c r="I265" s="119">
        <v>0</v>
      </c>
      <c r="J265" s="118">
        <f>COUNTIF(C$1:C265,C265)</f>
        <v>33</v>
      </c>
      <c r="K265" s="120">
        <v>37</v>
      </c>
      <c r="L265" s="118" t="s">
        <v>369</v>
      </c>
      <c r="M265" s="121" t="str">
        <f>VLOOKUP(K265,[6]stage_hints!$A:$C,3,FALSE)</f>
        <v>限界突破値の引き継ぎ</v>
      </c>
      <c r="N265" s="122" t="str">
        <f>VLOOKUP(K265,[6]stage_hints!$A:$D,4,FALSE)</f>
        <v>同じユニットを強化で合成すると_x000D_限界突破値を引き継げます（覚醒前後も可）</v>
      </c>
      <c r="O265" s="36" t="s">
        <v>370</v>
      </c>
      <c r="P265">
        <v>37</v>
      </c>
    </row>
    <row r="266" spans="1:16" x14ac:dyDescent="0.15">
      <c r="A266" s="114" t="str">
        <f t="shared" si="4"/>
        <v>11103_4_1</v>
      </c>
      <c r="B266" s="115" t="s">
        <v>231</v>
      </c>
      <c r="C266" s="116">
        <v>11103</v>
      </c>
      <c r="D266" s="117" t="str">
        <f ca="1">VLOOKUP($C266,OFFSET([2]quests!$A$1,0,0,COUNTA([2]quests!$A:$A),MATCH(D$1,[2]quests!$1:$1,0)-MATCH($C$1,[2]quests!$1:$1,0)+1),MATCH(D$1,[2]quests!$1:$1,0)-MATCH($C$1,[2]quests!$1:$1,0)+1,FALSE)</f>
        <v>【期間限定】 青の素材</v>
      </c>
      <c r="E266" s="117" t="str">
        <f ca="1">VLOOKUP($C266,OFFSET([2]quests!$A$1,0,0,COUNTA([2]quests!$A:$A),MATCH(E$1,[2]quests!$1:$1,0)-MATCH($C$1,[2]quests!$1:$1,0)+1),MATCH(E$1,[2]quests!$1:$1,0)-MATCH($C$1,[2]quests!$1:$1,0)+1,FALSE)</f>
        <v>水曜クエスト</v>
      </c>
      <c r="F266" s="118">
        <v>4</v>
      </c>
      <c r="G266" s="117" t="str">
        <f ca="1">VLOOKUP($C266&amp;"_"&amp;$F266,OFFSET([2]stages!$A$1,0,0,COUNTA([2]stages!$A:$A),MATCH(G$1,[2]stages!$2:$2,0)-MATCH("temp_stage",[2]stages!$2:$2,0)+1),MATCH(G$1,[2]stages!$2:$2,0)-MATCH("temp_stage",[2]stages!$2:$2,0)+1,FALSE)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66" s="117" t="str">
        <f ca="1">VLOOKUP($C266&amp;"_"&amp;$F266,OFFSET([2]stages!$A$1,0,0,COUNTA([2]stages!$A:$A),MATCH(H$1,[2]stages!$2:$2,0)-MATCH("temp_stage",[2]stages!$2:$2,0)+1),MATCH(H$1,[2]stages!$2:$2,0)-MATCH("temp_stage",[2]stages!$2:$2,0)+1,FALSE)</f>
        <v>水曜クエスト</v>
      </c>
      <c r="I266" s="119">
        <v>0</v>
      </c>
      <c r="J266" s="118">
        <f>COUNTIF(C$1:C266,C266)</f>
        <v>1</v>
      </c>
      <c r="K266" s="120">
        <v>3</v>
      </c>
      <c r="L266" s="118" t="s">
        <v>371</v>
      </c>
      <c r="M266" s="121" t="str">
        <f>VLOOKUP(K266,[6]stage_hints!$A:$C,3,FALSE)</f>
        <v>ターゲット</v>
      </c>
      <c r="N266" s="122" t="str">
        <f>VLOOKUP(K266,[6]stage_hints!$A:$D,4,FALSE)</f>
        <v>敵ユニットをタップすると_x000D_その敵を狙い撃ちできます</v>
      </c>
      <c r="O266" s="36" t="s">
        <v>235</v>
      </c>
      <c r="P266">
        <v>3</v>
      </c>
    </row>
    <row r="267" spans="1:16" x14ac:dyDescent="0.15">
      <c r="A267" s="114" t="str">
        <f t="shared" si="4"/>
        <v>11103_4_2</v>
      </c>
      <c r="B267" s="115" t="s">
        <v>231</v>
      </c>
      <c r="C267" s="116">
        <v>11103</v>
      </c>
      <c r="D267" s="117" t="str">
        <f ca="1">VLOOKUP($C267,OFFSET([2]quests!$A$1,0,0,COUNTA([2]quests!$A:$A),MATCH(D$1,[2]quests!$1:$1,0)-MATCH($C$1,[2]quests!$1:$1,0)+1),MATCH(D$1,[2]quests!$1:$1,0)-MATCH($C$1,[2]quests!$1:$1,0)+1,FALSE)</f>
        <v>【期間限定】 青の素材</v>
      </c>
      <c r="E267" s="117" t="str">
        <f ca="1">VLOOKUP($C267,OFFSET([2]quests!$A$1,0,0,COUNTA([2]quests!$A:$A),MATCH(E$1,[2]quests!$1:$1,0)-MATCH($C$1,[2]quests!$1:$1,0)+1),MATCH(E$1,[2]quests!$1:$1,0)-MATCH($C$1,[2]quests!$1:$1,0)+1,FALSE)</f>
        <v>水曜クエスト</v>
      </c>
      <c r="F267" s="118">
        <v>4</v>
      </c>
      <c r="G267" s="117" t="str">
        <f ca="1">VLOOKUP($C267&amp;"_"&amp;$F267,OFFSET([2]stages!$A$1,0,0,COUNTA([2]stages!$A:$A),MATCH(G$1,[2]stages!$2:$2,0)-MATCH("temp_stage",[2]stages!$2:$2,0)+1),MATCH(G$1,[2]stages!$2:$2,0)-MATCH("temp_stage",[2]stages!$2:$2,0)+1,FALSE)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67" s="117" t="str">
        <f ca="1">VLOOKUP($C267&amp;"_"&amp;$F267,OFFSET([2]stages!$A$1,0,0,COUNTA([2]stages!$A:$A),MATCH(H$1,[2]stages!$2:$2,0)-MATCH("temp_stage",[2]stages!$2:$2,0)+1),MATCH(H$1,[2]stages!$2:$2,0)-MATCH("temp_stage",[2]stages!$2:$2,0)+1,FALSE)</f>
        <v>水曜クエスト</v>
      </c>
      <c r="I267" s="119">
        <v>0</v>
      </c>
      <c r="J267" s="118">
        <f>COUNTIF(C$1:C267,C267)</f>
        <v>2</v>
      </c>
      <c r="K267" s="120">
        <v>6</v>
      </c>
      <c r="L267" s="118" t="s">
        <v>372</v>
      </c>
      <c r="M267" s="121" t="str">
        <f>VLOOKUP(K267,[6]stage_hints!$A:$C,3,FALSE)</f>
        <v>ユニット強化の属性ボーナス</v>
      </c>
      <c r="N267" s="122" t="str">
        <f>VLOOKUP(K267,[6]stage_hints!$A:$D,4,FALSE)</f>
        <v>同属性ユニットを強化素材にすると_x000D_経験値が多くもらえます</v>
      </c>
      <c r="O267" s="36" t="s">
        <v>353</v>
      </c>
      <c r="P267">
        <v>6</v>
      </c>
    </row>
    <row r="268" spans="1:16" x14ac:dyDescent="0.15">
      <c r="A268" s="114" t="str">
        <f t="shared" si="4"/>
        <v>11103_4_3</v>
      </c>
      <c r="B268" s="115" t="s">
        <v>231</v>
      </c>
      <c r="C268" s="116">
        <v>11103</v>
      </c>
      <c r="D268" s="117" t="str">
        <f ca="1">VLOOKUP($C268,OFFSET([2]quests!$A$1,0,0,COUNTA([2]quests!$A:$A),MATCH(D$1,[2]quests!$1:$1,0)-MATCH($C$1,[2]quests!$1:$1,0)+1),MATCH(D$1,[2]quests!$1:$1,0)-MATCH($C$1,[2]quests!$1:$1,0)+1,FALSE)</f>
        <v>【期間限定】 青の素材</v>
      </c>
      <c r="E268" s="117" t="str">
        <f ca="1">VLOOKUP($C268,OFFSET([2]quests!$A$1,0,0,COUNTA([2]quests!$A:$A),MATCH(E$1,[2]quests!$1:$1,0)-MATCH($C$1,[2]quests!$1:$1,0)+1),MATCH(E$1,[2]quests!$1:$1,0)-MATCH($C$1,[2]quests!$1:$1,0)+1,FALSE)</f>
        <v>水曜クエスト</v>
      </c>
      <c r="F268" s="118">
        <v>4</v>
      </c>
      <c r="G268" s="117" t="str">
        <f ca="1">VLOOKUP($C268&amp;"_"&amp;$F268,OFFSET([2]stages!$A$1,0,0,COUNTA([2]stages!$A:$A),MATCH(G$1,[2]stages!$2:$2,0)-MATCH("temp_stage",[2]stages!$2:$2,0)+1),MATCH(G$1,[2]stages!$2:$2,0)-MATCH("temp_stage",[2]stages!$2:$2,0)+1,FALSE)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68" s="117" t="str">
        <f ca="1">VLOOKUP($C268&amp;"_"&amp;$F268,OFFSET([2]stages!$A$1,0,0,COUNTA([2]stages!$A:$A),MATCH(H$1,[2]stages!$2:$2,0)-MATCH("temp_stage",[2]stages!$2:$2,0)+1),MATCH(H$1,[2]stages!$2:$2,0)-MATCH("temp_stage",[2]stages!$2:$2,0)+1,FALSE)</f>
        <v>水曜クエスト</v>
      </c>
      <c r="I268" s="119">
        <v>0</v>
      </c>
      <c r="J268" s="118">
        <f>COUNTIF(C$1:C268,C268)</f>
        <v>3</v>
      </c>
      <c r="K268" s="120">
        <v>7</v>
      </c>
      <c r="L268" s="118" t="s">
        <v>234</v>
      </c>
      <c r="M268" s="121" t="str">
        <f>VLOOKUP(K268,[6]stage_hints!$A:$C,3,FALSE)</f>
        <v>メタルダックで経験値を獲得</v>
      </c>
      <c r="N268" s="122" t="str">
        <f>VLOOKUP(K268,[6]stage_hints!$A:$D,4,FALSE)</f>
        <v>「メタルなアヒル」を強化素材にすると_x000D_大量の経験値がもらえます</v>
      </c>
      <c r="O268" s="36" t="s">
        <v>373</v>
      </c>
      <c r="P268">
        <v>7</v>
      </c>
    </row>
    <row r="269" spans="1:16" x14ac:dyDescent="0.15">
      <c r="A269" s="114" t="str">
        <f t="shared" si="4"/>
        <v>11103_4_4</v>
      </c>
      <c r="B269" s="115" t="s">
        <v>231</v>
      </c>
      <c r="C269" s="116">
        <v>11103</v>
      </c>
      <c r="D269" s="117" t="str">
        <f ca="1">VLOOKUP($C269,OFFSET([2]quests!$A$1,0,0,COUNTA([2]quests!$A:$A),MATCH(D$1,[2]quests!$1:$1,0)-MATCH($C$1,[2]quests!$1:$1,0)+1),MATCH(D$1,[2]quests!$1:$1,0)-MATCH($C$1,[2]quests!$1:$1,0)+1,FALSE)</f>
        <v>【期間限定】 青の素材</v>
      </c>
      <c r="E269" s="117" t="str">
        <f ca="1">VLOOKUP($C269,OFFSET([2]quests!$A$1,0,0,COUNTA([2]quests!$A:$A),MATCH(E$1,[2]quests!$1:$1,0)-MATCH($C$1,[2]quests!$1:$1,0)+1),MATCH(E$1,[2]quests!$1:$1,0)-MATCH($C$1,[2]quests!$1:$1,0)+1,FALSE)</f>
        <v>水曜クエスト</v>
      </c>
      <c r="F269" s="118">
        <v>4</v>
      </c>
      <c r="G269" s="117" t="str">
        <f ca="1">VLOOKUP($C269&amp;"_"&amp;$F269,OFFSET([2]stages!$A$1,0,0,COUNTA([2]stages!$A:$A),MATCH(G$1,[2]stages!$2:$2,0)-MATCH("temp_stage",[2]stages!$2:$2,0)+1),MATCH(G$1,[2]stages!$2:$2,0)-MATCH("temp_stage",[2]stages!$2:$2,0)+1,FALSE)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69" s="117" t="str">
        <f ca="1">VLOOKUP($C269&amp;"_"&amp;$F269,OFFSET([2]stages!$A$1,0,0,COUNTA([2]stages!$A:$A),MATCH(H$1,[2]stages!$2:$2,0)-MATCH("temp_stage",[2]stages!$2:$2,0)+1),MATCH(H$1,[2]stages!$2:$2,0)-MATCH("temp_stage",[2]stages!$2:$2,0)+1,FALSE)</f>
        <v>水曜クエスト</v>
      </c>
      <c r="I269" s="119">
        <v>0</v>
      </c>
      <c r="J269" s="118">
        <f>COUNTIF(C$1:C269,C269)</f>
        <v>4</v>
      </c>
      <c r="K269" s="120">
        <v>8</v>
      </c>
      <c r="L269" s="118" t="s">
        <v>234</v>
      </c>
      <c r="M269" s="121" t="str">
        <f>VLOOKUP(K269,[6]stage_hints!$A:$C,3,FALSE)</f>
        <v>ゲリラクエストは要チェック</v>
      </c>
      <c r="N269" s="122" t="str">
        <f>VLOOKUP(K269,[6]stage_hints!$A:$D,4,FALSE)</f>
        <v>時間限定の「アヒル捕獲作戦」では_x000D_経験値素材ユニットが多く手に入ります</v>
      </c>
      <c r="O269" s="36" t="s">
        <v>374</v>
      </c>
      <c r="P269">
        <v>8</v>
      </c>
    </row>
    <row r="270" spans="1:16" x14ac:dyDescent="0.15">
      <c r="A270" s="114" t="str">
        <f t="shared" si="4"/>
        <v>11103_4_5</v>
      </c>
      <c r="B270" s="115" t="s">
        <v>231</v>
      </c>
      <c r="C270" s="116">
        <v>11103</v>
      </c>
      <c r="D270" s="117" t="str">
        <f ca="1">VLOOKUP($C270,OFFSET([2]quests!$A$1,0,0,COUNTA([2]quests!$A:$A),MATCH(D$1,[2]quests!$1:$1,0)-MATCH($C$1,[2]quests!$1:$1,0)+1),MATCH(D$1,[2]quests!$1:$1,0)-MATCH($C$1,[2]quests!$1:$1,0)+1,FALSE)</f>
        <v>【期間限定】 青の素材</v>
      </c>
      <c r="E270" s="117" t="str">
        <f ca="1">VLOOKUP($C270,OFFSET([2]quests!$A$1,0,0,COUNTA([2]quests!$A:$A),MATCH(E$1,[2]quests!$1:$1,0)-MATCH($C$1,[2]quests!$1:$1,0)+1),MATCH(E$1,[2]quests!$1:$1,0)-MATCH($C$1,[2]quests!$1:$1,0)+1,FALSE)</f>
        <v>水曜クエスト</v>
      </c>
      <c r="F270" s="118">
        <v>4</v>
      </c>
      <c r="G270" s="117" t="str">
        <f ca="1">VLOOKUP($C270&amp;"_"&amp;$F270,OFFSET([2]stages!$A$1,0,0,COUNTA([2]stages!$A:$A),MATCH(G$1,[2]stages!$2:$2,0)-MATCH("temp_stage",[2]stages!$2:$2,0)+1),MATCH(G$1,[2]stages!$2:$2,0)-MATCH("temp_stage",[2]stages!$2:$2,0)+1,FALSE)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0" s="117" t="str">
        <f ca="1">VLOOKUP($C270&amp;"_"&amp;$F270,OFFSET([2]stages!$A$1,0,0,COUNTA([2]stages!$A:$A),MATCH(H$1,[2]stages!$2:$2,0)-MATCH("temp_stage",[2]stages!$2:$2,0)+1),MATCH(H$1,[2]stages!$2:$2,0)-MATCH("temp_stage",[2]stages!$2:$2,0)+1,FALSE)</f>
        <v>水曜クエスト</v>
      </c>
      <c r="I270" s="119">
        <v>0</v>
      </c>
      <c r="J270" s="118">
        <f>COUNTIF(C$1:C270,C270)</f>
        <v>5</v>
      </c>
      <c r="K270" s="120">
        <v>9</v>
      </c>
      <c r="L270" s="118" t="s">
        <v>234</v>
      </c>
      <c r="M270" s="121" t="str">
        <f>VLOOKUP(K270,[6]stage_hints!$A:$C,3,FALSE)</f>
        <v>ゴールドダックでビットを獲得</v>
      </c>
      <c r="N270" s="122" t="str">
        <f>VLOOKUP(K270,[6]stage_hints!$A:$D,4,FALSE)</f>
        <v>「ゴールドなアヒル」を売却すると_x000D_大量のビットがもらえます</v>
      </c>
      <c r="O270" s="36" t="s">
        <v>375</v>
      </c>
      <c r="P270">
        <v>9</v>
      </c>
    </row>
    <row r="271" spans="1:16" x14ac:dyDescent="0.15">
      <c r="A271" s="114" t="str">
        <f t="shared" si="4"/>
        <v>11103_4_6</v>
      </c>
      <c r="B271" s="115" t="s">
        <v>231</v>
      </c>
      <c r="C271" s="116">
        <v>11103</v>
      </c>
      <c r="D271" s="117" t="str">
        <f ca="1">VLOOKUP($C271,OFFSET([2]quests!$A$1,0,0,COUNTA([2]quests!$A:$A),MATCH(D$1,[2]quests!$1:$1,0)-MATCH($C$1,[2]quests!$1:$1,0)+1),MATCH(D$1,[2]quests!$1:$1,0)-MATCH($C$1,[2]quests!$1:$1,0)+1,FALSE)</f>
        <v>【期間限定】 青の素材</v>
      </c>
      <c r="E271" s="117" t="str">
        <f ca="1">VLOOKUP($C271,OFFSET([2]quests!$A$1,0,0,COUNTA([2]quests!$A:$A),MATCH(E$1,[2]quests!$1:$1,0)-MATCH($C$1,[2]quests!$1:$1,0)+1),MATCH(E$1,[2]quests!$1:$1,0)-MATCH($C$1,[2]quests!$1:$1,0)+1,FALSE)</f>
        <v>水曜クエスト</v>
      </c>
      <c r="F271" s="118">
        <v>4</v>
      </c>
      <c r="G271" s="117" t="str">
        <f ca="1">VLOOKUP($C271&amp;"_"&amp;$F271,OFFSET([2]stages!$A$1,0,0,COUNTA([2]stages!$A:$A),MATCH(G$1,[2]stages!$2:$2,0)-MATCH("temp_stage",[2]stages!$2:$2,0)+1),MATCH(G$1,[2]stages!$2:$2,0)-MATCH("temp_stage",[2]stages!$2:$2,0)+1,FALSE)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1" s="117" t="str">
        <f ca="1">VLOOKUP($C271&amp;"_"&amp;$F271,OFFSET([2]stages!$A$1,0,0,COUNTA([2]stages!$A:$A),MATCH(H$1,[2]stages!$2:$2,0)-MATCH("temp_stage",[2]stages!$2:$2,0)+1),MATCH(H$1,[2]stages!$2:$2,0)-MATCH("temp_stage",[2]stages!$2:$2,0)+1,FALSE)</f>
        <v>水曜クエスト</v>
      </c>
      <c r="I271" s="119">
        <v>0</v>
      </c>
      <c r="J271" s="118">
        <f>COUNTIF(C$1:C271,C271)</f>
        <v>6</v>
      </c>
      <c r="K271" s="120">
        <v>10</v>
      </c>
      <c r="L271" s="118" t="s">
        <v>376</v>
      </c>
      <c r="M271" s="121" t="str">
        <f>VLOOKUP(K271,[6]stage_hints!$A:$C,3,FALSE)</f>
        <v>土日に大量のビットを獲得</v>
      </c>
      <c r="N271" s="122" t="str">
        <f>VLOOKUP(K271,[6]stage_hints!$A:$D,4,FALSE)</f>
        <v>土日限定の「ゴールドカジノ」では_x000D_売却素材ユニットが多く手に入ります</v>
      </c>
      <c r="O271" s="36" t="s">
        <v>235</v>
      </c>
      <c r="P271">
        <v>10</v>
      </c>
    </row>
    <row r="272" spans="1:16" x14ac:dyDescent="0.15">
      <c r="A272" s="114" t="str">
        <f t="shared" si="4"/>
        <v>11103_4_7</v>
      </c>
      <c r="B272" s="115" t="s">
        <v>231</v>
      </c>
      <c r="C272" s="116">
        <v>11103</v>
      </c>
      <c r="D272" s="117" t="str">
        <f ca="1">VLOOKUP($C272,OFFSET([2]quests!$A$1,0,0,COUNTA([2]quests!$A:$A),MATCH(D$1,[2]quests!$1:$1,0)-MATCH($C$1,[2]quests!$1:$1,0)+1),MATCH(D$1,[2]quests!$1:$1,0)-MATCH($C$1,[2]quests!$1:$1,0)+1,FALSE)</f>
        <v>【期間限定】 青の素材</v>
      </c>
      <c r="E272" s="117" t="str">
        <f ca="1">VLOOKUP($C272,OFFSET([2]quests!$A$1,0,0,COUNTA([2]quests!$A:$A),MATCH(E$1,[2]quests!$1:$1,0)-MATCH($C$1,[2]quests!$1:$1,0)+1),MATCH(E$1,[2]quests!$1:$1,0)-MATCH($C$1,[2]quests!$1:$1,0)+1,FALSE)</f>
        <v>水曜クエスト</v>
      </c>
      <c r="F272" s="118">
        <v>4</v>
      </c>
      <c r="G272" s="117" t="str">
        <f ca="1">VLOOKUP($C272&amp;"_"&amp;$F272,OFFSET([2]stages!$A$1,0,0,COUNTA([2]stages!$A:$A),MATCH(G$1,[2]stages!$2:$2,0)-MATCH("temp_stage",[2]stages!$2:$2,0)+1),MATCH(G$1,[2]stages!$2:$2,0)-MATCH("temp_stage",[2]stages!$2:$2,0)+1,FALSE)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2" s="117" t="str">
        <f ca="1">VLOOKUP($C272&amp;"_"&amp;$F272,OFFSET([2]stages!$A$1,0,0,COUNTA([2]stages!$A:$A),MATCH(H$1,[2]stages!$2:$2,0)-MATCH("temp_stage",[2]stages!$2:$2,0)+1),MATCH(H$1,[2]stages!$2:$2,0)-MATCH("temp_stage",[2]stages!$2:$2,0)+1,FALSE)</f>
        <v>水曜クエスト</v>
      </c>
      <c r="I272" s="119">
        <v>0</v>
      </c>
      <c r="J272" s="118">
        <f>COUNTIF(C$1:C272,C272)</f>
        <v>7</v>
      </c>
      <c r="K272" s="120">
        <v>11</v>
      </c>
      <c r="L272" s="118" t="s">
        <v>377</v>
      </c>
      <c r="M272" s="121" t="str">
        <f>VLOOKUP(K272,[6]stage_hints!$A:$C,3,FALSE)</f>
        <v>ランク解放クエスト</v>
      </c>
      <c r="N272" s="122" t="str">
        <f>VLOOKUP(K272,[6]stage_hints!$A:$D,4,FALSE)</f>
        <v>一定ランクに到達すると_x000D_報酬付きのランク開放クエストが現れます</v>
      </c>
      <c r="O272" s="36" t="s">
        <v>235</v>
      </c>
      <c r="P272">
        <v>11</v>
      </c>
    </row>
    <row r="273" spans="1:16" x14ac:dyDescent="0.15">
      <c r="A273" s="114" t="str">
        <f t="shared" si="4"/>
        <v>11103_4_8</v>
      </c>
      <c r="B273" s="115" t="s">
        <v>231</v>
      </c>
      <c r="C273" s="116">
        <v>11103</v>
      </c>
      <c r="D273" s="117" t="str">
        <f ca="1">VLOOKUP($C273,OFFSET([2]quests!$A$1,0,0,COUNTA([2]quests!$A:$A),MATCH(D$1,[2]quests!$1:$1,0)-MATCH($C$1,[2]quests!$1:$1,0)+1),MATCH(D$1,[2]quests!$1:$1,0)-MATCH($C$1,[2]quests!$1:$1,0)+1,FALSE)</f>
        <v>【期間限定】 青の素材</v>
      </c>
      <c r="E273" s="117" t="str">
        <f ca="1">VLOOKUP($C273,OFFSET([2]quests!$A$1,0,0,COUNTA([2]quests!$A:$A),MATCH(E$1,[2]quests!$1:$1,0)-MATCH($C$1,[2]quests!$1:$1,0)+1),MATCH(E$1,[2]quests!$1:$1,0)-MATCH($C$1,[2]quests!$1:$1,0)+1,FALSE)</f>
        <v>水曜クエスト</v>
      </c>
      <c r="F273" s="118">
        <v>4</v>
      </c>
      <c r="G273" s="117" t="str">
        <f ca="1">VLOOKUP($C273&amp;"_"&amp;$F273,OFFSET([2]stages!$A$1,0,0,COUNTA([2]stages!$A:$A),MATCH(G$1,[2]stages!$2:$2,0)-MATCH("temp_stage",[2]stages!$2:$2,0)+1),MATCH(G$1,[2]stages!$2:$2,0)-MATCH("temp_stage",[2]stages!$2:$2,0)+1,FALSE)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3" s="117" t="str">
        <f ca="1">VLOOKUP($C273&amp;"_"&amp;$F273,OFFSET([2]stages!$A$1,0,0,COUNTA([2]stages!$A:$A),MATCH(H$1,[2]stages!$2:$2,0)-MATCH("temp_stage",[2]stages!$2:$2,0)+1),MATCH(H$1,[2]stages!$2:$2,0)-MATCH("temp_stage",[2]stages!$2:$2,0)+1,FALSE)</f>
        <v>水曜クエスト</v>
      </c>
      <c r="I273" s="119">
        <v>0</v>
      </c>
      <c r="J273" s="118">
        <f>COUNTIF(C$1:C273,C273)</f>
        <v>8</v>
      </c>
      <c r="K273" s="120">
        <v>12</v>
      </c>
      <c r="L273" s="118" t="s">
        <v>378</v>
      </c>
      <c r="M273" s="121" t="str">
        <f>VLOOKUP(K273,[6]stage_hints!$A:$C,3,FALSE)</f>
        <v>ユニットのお気に入り登録</v>
      </c>
      <c r="N273" s="122" t="str">
        <f>VLOOKUP(K273,[6]stage_hints!$A:$D,4,FALSE)</f>
        <v>大事なユニットを誤って消さないように_x000D_フォルダから「お気に入り登録」しましょう</v>
      </c>
      <c r="O273" s="36" t="s">
        <v>379</v>
      </c>
      <c r="P273">
        <v>12</v>
      </c>
    </row>
    <row r="274" spans="1:16" x14ac:dyDescent="0.15">
      <c r="A274" s="114" t="str">
        <f t="shared" si="4"/>
        <v>11103_4_9</v>
      </c>
      <c r="B274" s="115" t="s">
        <v>231</v>
      </c>
      <c r="C274" s="116">
        <v>11103</v>
      </c>
      <c r="D274" s="117" t="str">
        <f ca="1">VLOOKUP($C274,OFFSET([2]quests!$A$1,0,0,COUNTA([2]quests!$A:$A),MATCH(D$1,[2]quests!$1:$1,0)-MATCH($C$1,[2]quests!$1:$1,0)+1),MATCH(D$1,[2]quests!$1:$1,0)-MATCH($C$1,[2]quests!$1:$1,0)+1,FALSE)</f>
        <v>【期間限定】 青の素材</v>
      </c>
      <c r="E274" s="117" t="str">
        <f ca="1">VLOOKUP($C274,OFFSET([2]quests!$A$1,0,0,COUNTA([2]quests!$A:$A),MATCH(E$1,[2]quests!$1:$1,0)-MATCH($C$1,[2]quests!$1:$1,0)+1),MATCH(E$1,[2]quests!$1:$1,0)-MATCH($C$1,[2]quests!$1:$1,0)+1,FALSE)</f>
        <v>水曜クエスト</v>
      </c>
      <c r="F274" s="118">
        <v>4</v>
      </c>
      <c r="G274" s="117" t="str">
        <f ca="1">VLOOKUP($C274&amp;"_"&amp;$F274,OFFSET([2]stages!$A$1,0,0,COUNTA([2]stages!$A:$A),MATCH(G$1,[2]stages!$2:$2,0)-MATCH("temp_stage",[2]stages!$2:$2,0)+1),MATCH(G$1,[2]stages!$2:$2,0)-MATCH("temp_stage",[2]stages!$2:$2,0)+1,FALSE)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4" s="117" t="str">
        <f ca="1">VLOOKUP($C274&amp;"_"&amp;$F274,OFFSET([2]stages!$A$1,0,0,COUNTA([2]stages!$A:$A),MATCH(H$1,[2]stages!$2:$2,0)-MATCH("temp_stage",[2]stages!$2:$2,0)+1),MATCH(H$1,[2]stages!$2:$2,0)-MATCH("temp_stage",[2]stages!$2:$2,0)+1,FALSE)</f>
        <v>水曜クエスト</v>
      </c>
      <c r="I274" s="119">
        <v>0</v>
      </c>
      <c r="J274" s="118">
        <f>COUNTIF(C$1:C274,C274)</f>
        <v>9</v>
      </c>
      <c r="K274" s="120">
        <v>13</v>
      </c>
      <c r="L274" s="118" t="s">
        <v>234</v>
      </c>
      <c r="M274" s="121" t="str">
        <f>VLOOKUP(K274,[6]stage_hints!$A:$C,3,FALSE)</f>
        <v>ユニットの覚醒</v>
      </c>
      <c r="N274" s="122" t="str">
        <f>VLOOKUP(K274,[6]stage_hints!$A:$D,4,FALSE)</f>
        <v>ユニットを覚醒させると_x000D_比べものにならない強さが手に入ります</v>
      </c>
      <c r="O274" s="36" t="s">
        <v>235</v>
      </c>
      <c r="P274">
        <v>13</v>
      </c>
    </row>
    <row r="275" spans="1:16" x14ac:dyDescent="0.15">
      <c r="A275" s="114" t="str">
        <f t="shared" si="4"/>
        <v>11103_4_10</v>
      </c>
      <c r="B275" s="115" t="s">
        <v>231</v>
      </c>
      <c r="C275" s="116">
        <v>11103</v>
      </c>
      <c r="D275" s="117" t="str">
        <f ca="1">VLOOKUP($C275,OFFSET([2]quests!$A$1,0,0,COUNTA([2]quests!$A:$A),MATCH(D$1,[2]quests!$1:$1,0)-MATCH($C$1,[2]quests!$1:$1,0)+1),MATCH(D$1,[2]quests!$1:$1,0)-MATCH($C$1,[2]quests!$1:$1,0)+1,FALSE)</f>
        <v>【期間限定】 青の素材</v>
      </c>
      <c r="E275" s="117" t="str">
        <f ca="1">VLOOKUP($C275,OFFSET([2]quests!$A$1,0,0,COUNTA([2]quests!$A:$A),MATCH(E$1,[2]quests!$1:$1,0)-MATCH($C$1,[2]quests!$1:$1,0)+1),MATCH(E$1,[2]quests!$1:$1,0)-MATCH($C$1,[2]quests!$1:$1,0)+1,FALSE)</f>
        <v>水曜クエスト</v>
      </c>
      <c r="F275" s="118">
        <v>4</v>
      </c>
      <c r="G275" s="117" t="str">
        <f ca="1">VLOOKUP($C275&amp;"_"&amp;$F275,OFFSET([2]stages!$A$1,0,0,COUNTA([2]stages!$A:$A),MATCH(G$1,[2]stages!$2:$2,0)-MATCH("temp_stage",[2]stages!$2:$2,0)+1),MATCH(G$1,[2]stages!$2:$2,0)-MATCH("temp_stage",[2]stages!$2:$2,0)+1,FALSE)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5" s="117" t="str">
        <f ca="1">VLOOKUP($C275&amp;"_"&amp;$F275,OFFSET([2]stages!$A$1,0,0,COUNTA([2]stages!$A:$A),MATCH(H$1,[2]stages!$2:$2,0)-MATCH("temp_stage",[2]stages!$2:$2,0)+1),MATCH(H$1,[2]stages!$2:$2,0)-MATCH("temp_stage",[2]stages!$2:$2,0)+1,FALSE)</f>
        <v>水曜クエスト</v>
      </c>
      <c r="I275" s="119">
        <v>0</v>
      </c>
      <c r="J275" s="118">
        <f>COUNTIF(C$1:C275,C275)</f>
        <v>10</v>
      </c>
      <c r="K275" s="120">
        <v>14</v>
      </c>
      <c r="L275" s="118" t="s">
        <v>380</v>
      </c>
      <c r="M275" s="121" t="str">
        <f>VLOOKUP(K275,[6]stage_hints!$A:$C,3,FALSE)</f>
        <v>覚醒するにはレベルを最大に</v>
      </c>
      <c r="N275" s="122" t="str">
        <f>VLOOKUP(K275,[6]stage_hints!$A:$D,4,FALSE)</f>
        <v>覚醒するにはユニットのレベルを_x000D_最大まで上げる必要があります</v>
      </c>
      <c r="O275" s="36" t="s">
        <v>373</v>
      </c>
      <c r="P275">
        <v>14</v>
      </c>
    </row>
    <row r="276" spans="1:16" x14ac:dyDescent="0.15">
      <c r="A276" s="114" t="str">
        <f t="shared" si="4"/>
        <v>11103_4_11</v>
      </c>
      <c r="B276" s="115" t="s">
        <v>231</v>
      </c>
      <c r="C276" s="116">
        <v>11103</v>
      </c>
      <c r="D276" s="117" t="str">
        <f ca="1">VLOOKUP($C276,OFFSET([2]quests!$A$1,0,0,COUNTA([2]quests!$A:$A),MATCH(D$1,[2]quests!$1:$1,0)-MATCH($C$1,[2]quests!$1:$1,0)+1),MATCH(D$1,[2]quests!$1:$1,0)-MATCH($C$1,[2]quests!$1:$1,0)+1,FALSE)</f>
        <v>【期間限定】 青の素材</v>
      </c>
      <c r="E276" s="117" t="str">
        <f ca="1">VLOOKUP($C276,OFFSET([2]quests!$A$1,0,0,COUNTA([2]quests!$A:$A),MATCH(E$1,[2]quests!$1:$1,0)-MATCH($C$1,[2]quests!$1:$1,0)+1),MATCH(E$1,[2]quests!$1:$1,0)-MATCH($C$1,[2]quests!$1:$1,0)+1,FALSE)</f>
        <v>水曜クエスト</v>
      </c>
      <c r="F276" s="118">
        <v>4</v>
      </c>
      <c r="G276" s="117" t="str">
        <f ca="1">VLOOKUP($C276&amp;"_"&amp;$F276,OFFSET([2]stages!$A$1,0,0,COUNTA([2]stages!$A:$A),MATCH(G$1,[2]stages!$2:$2,0)-MATCH("temp_stage",[2]stages!$2:$2,0)+1),MATCH(G$1,[2]stages!$2:$2,0)-MATCH("temp_stage",[2]stages!$2:$2,0)+1,FALSE)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6" s="117" t="str">
        <f ca="1">VLOOKUP($C276&amp;"_"&amp;$F276,OFFSET([2]stages!$A$1,0,0,COUNTA([2]stages!$A:$A),MATCH(H$1,[2]stages!$2:$2,0)-MATCH("temp_stage",[2]stages!$2:$2,0)+1),MATCH(H$1,[2]stages!$2:$2,0)-MATCH("temp_stage",[2]stages!$2:$2,0)+1,FALSE)</f>
        <v>水曜クエスト</v>
      </c>
      <c r="I276" s="119">
        <v>0</v>
      </c>
      <c r="J276" s="118">
        <f>COUNTIF(C$1:C276,C276)</f>
        <v>11</v>
      </c>
      <c r="K276" s="120">
        <v>15</v>
      </c>
      <c r="L276" s="118" t="s">
        <v>297</v>
      </c>
      <c r="M276" s="121" t="str">
        <f>VLOOKUP(K276,[6]stage_hints!$A:$C,3,FALSE)</f>
        <v>覚醒素材を獲得</v>
      </c>
      <c r="N276" s="122" t="str">
        <f>VLOOKUP(K276,[6]stage_hints!$A:$D,4,FALSE)</f>
        <v>「曜日クエスト」では_x000D_ユニットの覚醒に必要な素材が手に入ります</v>
      </c>
      <c r="O276" s="36" t="s">
        <v>381</v>
      </c>
      <c r="P276">
        <v>15</v>
      </c>
    </row>
    <row r="277" spans="1:16" x14ac:dyDescent="0.15">
      <c r="A277" s="114" t="str">
        <f t="shared" si="4"/>
        <v>11103_4_12</v>
      </c>
      <c r="B277" s="115" t="s">
        <v>231</v>
      </c>
      <c r="C277" s="116">
        <v>11103</v>
      </c>
      <c r="D277" s="117" t="str">
        <f ca="1">VLOOKUP($C277,OFFSET([2]quests!$A$1,0,0,COUNTA([2]quests!$A:$A),MATCH(D$1,[2]quests!$1:$1,0)-MATCH($C$1,[2]quests!$1:$1,0)+1),MATCH(D$1,[2]quests!$1:$1,0)-MATCH($C$1,[2]quests!$1:$1,0)+1,FALSE)</f>
        <v>【期間限定】 青の素材</v>
      </c>
      <c r="E277" s="117" t="str">
        <f ca="1">VLOOKUP($C277,OFFSET([2]quests!$A$1,0,0,COUNTA([2]quests!$A:$A),MATCH(E$1,[2]quests!$1:$1,0)-MATCH($C$1,[2]quests!$1:$1,0)+1),MATCH(E$1,[2]quests!$1:$1,0)-MATCH($C$1,[2]quests!$1:$1,0)+1,FALSE)</f>
        <v>水曜クエスト</v>
      </c>
      <c r="F277" s="118">
        <v>4</v>
      </c>
      <c r="G277" s="117" t="str">
        <f ca="1">VLOOKUP($C277&amp;"_"&amp;$F277,OFFSET([2]stages!$A$1,0,0,COUNTA([2]stages!$A:$A),MATCH(G$1,[2]stages!$2:$2,0)-MATCH("temp_stage",[2]stages!$2:$2,0)+1),MATCH(G$1,[2]stages!$2:$2,0)-MATCH("temp_stage",[2]stages!$2:$2,0)+1,FALSE)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7" s="117" t="str">
        <f ca="1">VLOOKUP($C277&amp;"_"&amp;$F277,OFFSET([2]stages!$A$1,0,0,COUNTA([2]stages!$A:$A),MATCH(H$1,[2]stages!$2:$2,0)-MATCH("temp_stage",[2]stages!$2:$2,0)+1),MATCH(H$1,[2]stages!$2:$2,0)-MATCH("temp_stage",[2]stages!$2:$2,0)+1,FALSE)</f>
        <v>水曜クエスト</v>
      </c>
      <c r="I277" s="119">
        <v>0</v>
      </c>
      <c r="J277" s="118">
        <f>COUNTIF(C$1:C277,C277)</f>
        <v>12</v>
      </c>
      <c r="K277" s="120">
        <v>16</v>
      </c>
      <c r="L277" s="118" t="s">
        <v>297</v>
      </c>
      <c r="M277" s="121" t="str">
        <f>VLOOKUP(K277,[6]stage_hints!$A:$C,3,FALSE)</f>
        <v>マルチプレイのメリット（その1）</v>
      </c>
      <c r="N277" s="122" t="str">
        <f>VLOOKUP(K277,[6]stage_hints!$A:$D,4,FALSE)</f>
        <v>他のプレイヤーとマルチプレイで遊ぶと_x000D_ポリゴンがもらえます（100人まで）</v>
      </c>
      <c r="O277" s="36" t="s">
        <v>235</v>
      </c>
      <c r="P277">
        <v>16</v>
      </c>
    </row>
    <row r="278" spans="1:16" x14ac:dyDescent="0.15">
      <c r="A278" s="114" t="str">
        <f t="shared" si="4"/>
        <v>11103_4_13</v>
      </c>
      <c r="B278" s="115" t="s">
        <v>231</v>
      </c>
      <c r="C278" s="116">
        <v>11103</v>
      </c>
      <c r="D278" s="117" t="str">
        <f ca="1">VLOOKUP($C278,OFFSET([2]quests!$A$1,0,0,COUNTA([2]quests!$A:$A),MATCH(D$1,[2]quests!$1:$1,0)-MATCH($C$1,[2]quests!$1:$1,0)+1),MATCH(D$1,[2]quests!$1:$1,0)-MATCH($C$1,[2]quests!$1:$1,0)+1,FALSE)</f>
        <v>【期間限定】 青の素材</v>
      </c>
      <c r="E278" s="117" t="str">
        <f ca="1">VLOOKUP($C278,OFFSET([2]quests!$A$1,0,0,COUNTA([2]quests!$A:$A),MATCH(E$1,[2]quests!$1:$1,0)-MATCH($C$1,[2]quests!$1:$1,0)+1),MATCH(E$1,[2]quests!$1:$1,0)-MATCH($C$1,[2]quests!$1:$1,0)+1,FALSE)</f>
        <v>水曜クエスト</v>
      </c>
      <c r="F278" s="118">
        <v>4</v>
      </c>
      <c r="G278" s="117" t="str">
        <f ca="1">VLOOKUP($C278&amp;"_"&amp;$F278,OFFSET([2]stages!$A$1,0,0,COUNTA([2]stages!$A:$A),MATCH(G$1,[2]stages!$2:$2,0)-MATCH("temp_stage",[2]stages!$2:$2,0)+1),MATCH(G$1,[2]stages!$2:$2,0)-MATCH("temp_stage",[2]stages!$2:$2,0)+1,FALSE)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8" s="117" t="str">
        <f ca="1">VLOOKUP($C278&amp;"_"&amp;$F278,OFFSET([2]stages!$A$1,0,0,COUNTA([2]stages!$A:$A),MATCH(H$1,[2]stages!$2:$2,0)-MATCH("temp_stage",[2]stages!$2:$2,0)+1),MATCH(H$1,[2]stages!$2:$2,0)-MATCH("temp_stage",[2]stages!$2:$2,0)+1,FALSE)</f>
        <v>水曜クエスト</v>
      </c>
      <c r="I278" s="119">
        <v>0</v>
      </c>
      <c r="J278" s="118">
        <f>COUNTIF(C$1:C278,C278)</f>
        <v>13</v>
      </c>
      <c r="K278" s="120">
        <v>17</v>
      </c>
      <c r="L278" s="118" t="s">
        <v>382</v>
      </c>
      <c r="M278" s="121" t="str">
        <f>VLOOKUP(K278,[6]stage_hints!$A:$C,3,FALSE)</f>
        <v>リンクガチャ</v>
      </c>
      <c r="N278" s="122" t="str">
        <f>VLOOKUP(K278,[6]stage_hints!$A:$D,4,FALSE)</f>
        <v>無料のリンクガチャを回して_x000D_経験値素材や売却素材を獲得しましょう</v>
      </c>
      <c r="O278" s="36" t="s">
        <v>353</v>
      </c>
      <c r="P278">
        <v>17</v>
      </c>
    </row>
    <row r="279" spans="1:16" x14ac:dyDescent="0.15">
      <c r="A279" s="114" t="str">
        <f t="shared" si="4"/>
        <v>11103_4_14</v>
      </c>
      <c r="B279" s="115" t="s">
        <v>231</v>
      </c>
      <c r="C279" s="116">
        <v>11103</v>
      </c>
      <c r="D279" s="117" t="str">
        <f ca="1">VLOOKUP($C279,OFFSET([2]quests!$A$1,0,0,COUNTA([2]quests!$A:$A),MATCH(D$1,[2]quests!$1:$1,0)-MATCH($C$1,[2]quests!$1:$1,0)+1),MATCH(D$1,[2]quests!$1:$1,0)-MATCH($C$1,[2]quests!$1:$1,0)+1,FALSE)</f>
        <v>【期間限定】 青の素材</v>
      </c>
      <c r="E279" s="117" t="str">
        <f ca="1">VLOOKUP($C279,OFFSET([2]quests!$A$1,0,0,COUNTA([2]quests!$A:$A),MATCH(E$1,[2]quests!$1:$1,0)-MATCH($C$1,[2]quests!$1:$1,0)+1),MATCH(E$1,[2]quests!$1:$1,0)-MATCH($C$1,[2]quests!$1:$1,0)+1,FALSE)</f>
        <v>水曜クエスト</v>
      </c>
      <c r="F279" s="118">
        <v>4</v>
      </c>
      <c r="G279" s="117" t="str">
        <f ca="1">VLOOKUP($C279&amp;"_"&amp;$F279,OFFSET([2]stages!$A$1,0,0,COUNTA([2]stages!$A:$A),MATCH(G$1,[2]stages!$2:$2,0)-MATCH("temp_stage",[2]stages!$2:$2,0)+1),MATCH(G$1,[2]stages!$2:$2,0)-MATCH("temp_stage",[2]stages!$2:$2,0)+1,FALSE)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79" s="117" t="str">
        <f ca="1">VLOOKUP($C279&amp;"_"&amp;$F279,OFFSET([2]stages!$A$1,0,0,COUNTA([2]stages!$A:$A),MATCH(H$1,[2]stages!$2:$2,0)-MATCH("temp_stage",[2]stages!$2:$2,0)+1),MATCH(H$1,[2]stages!$2:$2,0)-MATCH("temp_stage",[2]stages!$2:$2,0)+1,FALSE)</f>
        <v>水曜クエスト</v>
      </c>
      <c r="I279" s="119">
        <v>0</v>
      </c>
      <c r="J279" s="118">
        <f>COUNTIF(C$1:C279,C279)</f>
        <v>14</v>
      </c>
      <c r="K279" s="120">
        <v>18</v>
      </c>
      <c r="L279" s="118" t="s">
        <v>383</v>
      </c>
      <c r="M279" s="121" t="str">
        <f>VLOOKUP(K279,[6]stage_hints!$A:$C,3,FALSE)</f>
        <v>マルチプレイのメリット（その2）</v>
      </c>
      <c r="N279" s="122" t="str">
        <f>VLOOKUP(K279,[6]stage_hints!$A:$D,4,FALSE)</f>
        <v>マルチプレイならリンクが2倍もらえます_x000D_リンクガチャをたくさん回しましょう</v>
      </c>
      <c r="O279" s="36" t="s">
        <v>384</v>
      </c>
      <c r="P279">
        <v>18</v>
      </c>
    </row>
    <row r="280" spans="1:16" x14ac:dyDescent="0.15">
      <c r="A280" s="114" t="str">
        <f t="shared" si="4"/>
        <v>11103_4_15</v>
      </c>
      <c r="B280" s="115" t="s">
        <v>231</v>
      </c>
      <c r="C280" s="116">
        <v>11103</v>
      </c>
      <c r="D280" s="117" t="str">
        <f ca="1">VLOOKUP($C280,OFFSET([2]quests!$A$1,0,0,COUNTA([2]quests!$A:$A),MATCH(D$1,[2]quests!$1:$1,0)-MATCH($C$1,[2]quests!$1:$1,0)+1),MATCH(D$1,[2]quests!$1:$1,0)-MATCH($C$1,[2]quests!$1:$1,0)+1,FALSE)</f>
        <v>【期間限定】 青の素材</v>
      </c>
      <c r="E280" s="117" t="str">
        <f ca="1">VLOOKUP($C280,OFFSET([2]quests!$A$1,0,0,COUNTA([2]quests!$A:$A),MATCH(E$1,[2]quests!$1:$1,0)-MATCH($C$1,[2]quests!$1:$1,0)+1),MATCH(E$1,[2]quests!$1:$1,0)-MATCH($C$1,[2]quests!$1:$1,0)+1,FALSE)</f>
        <v>水曜クエスト</v>
      </c>
      <c r="F280" s="118">
        <v>4</v>
      </c>
      <c r="G280" s="117" t="str">
        <f ca="1">VLOOKUP($C280&amp;"_"&amp;$F280,OFFSET([2]stages!$A$1,0,0,COUNTA([2]stages!$A:$A),MATCH(G$1,[2]stages!$2:$2,0)-MATCH("temp_stage",[2]stages!$2:$2,0)+1),MATCH(G$1,[2]stages!$2:$2,0)-MATCH("temp_stage",[2]stages!$2:$2,0)+1,FALSE)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0" s="117" t="str">
        <f ca="1">VLOOKUP($C280&amp;"_"&amp;$F280,OFFSET([2]stages!$A$1,0,0,COUNTA([2]stages!$A:$A),MATCH(H$1,[2]stages!$2:$2,0)-MATCH("temp_stage",[2]stages!$2:$2,0)+1),MATCH(H$1,[2]stages!$2:$2,0)-MATCH("temp_stage",[2]stages!$2:$2,0)+1,FALSE)</f>
        <v>水曜クエスト</v>
      </c>
      <c r="I280" s="119">
        <v>0</v>
      </c>
      <c r="J280" s="118">
        <f>COUNTIF(C$1:C280,C280)</f>
        <v>15</v>
      </c>
      <c r="K280" s="120">
        <v>19</v>
      </c>
      <c r="L280" s="118" t="s">
        <v>385</v>
      </c>
      <c r="M280" s="121" t="str">
        <f>VLOOKUP(K280,[6]stage_hints!$A:$C,3,FALSE)</f>
        <v>ソロ専用タワーオブザクイーン</v>
      </c>
      <c r="N280" s="122" t="str">
        <f>VLOOKUP(K280,[6]stage_hints!$A:$D,4,FALSE)</f>
        <v>ソロ専用の「タワーオブザクイーン」は_x000D_期間限定で定期的に開催されます_x000D_ここでしか獲得できない報酬もあるようです</v>
      </c>
      <c r="O280" s="36" t="s">
        <v>235</v>
      </c>
      <c r="P280">
        <v>19</v>
      </c>
    </row>
    <row r="281" spans="1:16" x14ac:dyDescent="0.15">
      <c r="A281" s="114" t="str">
        <f t="shared" si="4"/>
        <v>11103_4_16</v>
      </c>
      <c r="B281" s="115" t="s">
        <v>231</v>
      </c>
      <c r="C281" s="116">
        <v>11103</v>
      </c>
      <c r="D281" s="117" t="str">
        <f ca="1">VLOOKUP($C281,OFFSET([2]quests!$A$1,0,0,COUNTA([2]quests!$A:$A),MATCH(D$1,[2]quests!$1:$1,0)-MATCH($C$1,[2]quests!$1:$1,0)+1),MATCH(D$1,[2]quests!$1:$1,0)-MATCH($C$1,[2]quests!$1:$1,0)+1,FALSE)</f>
        <v>【期間限定】 青の素材</v>
      </c>
      <c r="E281" s="117" t="str">
        <f ca="1">VLOOKUP($C281,OFFSET([2]quests!$A$1,0,0,COUNTA([2]quests!$A:$A),MATCH(E$1,[2]quests!$1:$1,0)-MATCH($C$1,[2]quests!$1:$1,0)+1),MATCH(E$1,[2]quests!$1:$1,0)-MATCH($C$1,[2]quests!$1:$1,0)+1,FALSE)</f>
        <v>水曜クエスト</v>
      </c>
      <c r="F281" s="118">
        <v>4</v>
      </c>
      <c r="G281" s="117" t="str">
        <f ca="1">VLOOKUP($C281&amp;"_"&amp;$F281,OFFSET([2]stages!$A$1,0,0,COUNTA([2]stages!$A:$A),MATCH(G$1,[2]stages!$2:$2,0)-MATCH("temp_stage",[2]stages!$2:$2,0)+1),MATCH(G$1,[2]stages!$2:$2,0)-MATCH("temp_stage",[2]stages!$2:$2,0)+1,FALSE)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1" s="117" t="str">
        <f ca="1">VLOOKUP($C281&amp;"_"&amp;$F281,OFFSET([2]stages!$A$1,0,0,COUNTA([2]stages!$A:$A),MATCH(H$1,[2]stages!$2:$2,0)-MATCH("temp_stage",[2]stages!$2:$2,0)+1),MATCH(H$1,[2]stages!$2:$2,0)-MATCH("temp_stage",[2]stages!$2:$2,0)+1,FALSE)</f>
        <v>水曜クエスト</v>
      </c>
      <c r="I281" s="119">
        <v>0</v>
      </c>
      <c r="J281" s="118">
        <f>COUNTIF(C$1:C281,C281)</f>
        <v>16</v>
      </c>
      <c r="K281" s="120">
        <v>20</v>
      </c>
      <c r="L281" s="118" t="s">
        <v>234</v>
      </c>
      <c r="M281" s="121" t="str">
        <f>VLOOKUP(K281,[6]stage_hints!$A:$C,3,FALSE)</f>
        <v>マルチプレイのメリット（その3）</v>
      </c>
      <c r="N281" s="122" t="str">
        <f>VLOOKUP(K281,[6]stage_hints!$A:$D,4,FALSE)</f>
        <v>マルチプレイへの参加はエナジー消費ゼロ_x000D_いつでも好きなだけ遊ぶことができます</v>
      </c>
      <c r="O281" s="36" t="s">
        <v>386</v>
      </c>
      <c r="P281">
        <v>20</v>
      </c>
    </row>
    <row r="282" spans="1:16" x14ac:dyDescent="0.15">
      <c r="A282" s="114" t="str">
        <f t="shared" si="4"/>
        <v>11103_4_17</v>
      </c>
      <c r="B282" s="115" t="s">
        <v>231</v>
      </c>
      <c r="C282" s="116">
        <v>11103</v>
      </c>
      <c r="D282" s="117" t="str">
        <f ca="1">VLOOKUP($C282,OFFSET([2]quests!$A$1,0,0,COUNTA([2]quests!$A:$A),MATCH(D$1,[2]quests!$1:$1,0)-MATCH($C$1,[2]quests!$1:$1,0)+1),MATCH(D$1,[2]quests!$1:$1,0)-MATCH($C$1,[2]quests!$1:$1,0)+1,FALSE)</f>
        <v>【期間限定】 青の素材</v>
      </c>
      <c r="E282" s="117" t="str">
        <f ca="1">VLOOKUP($C282,OFFSET([2]quests!$A$1,0,0,COUNTA([2]quests!$A:$A),MATCH(E$1,[2]quests!$1:$1,0)-MATCH($C$1,[2]quests!$1:$1,0)+1),MATCH(E$1,[2]quests!$1:$1,0)-MATCH($C$1,[2]quests!$1:$1,0)+1,FALSE)</f>
        <v>水曜クエスト</v>
      </c>
      <c r="F282" s="118">
        <v>4</v>
      </c>
      <c r="G282" s="117" t="str">
        <f ca="1">VLOOKUP($C282&amp;"_"&amp;$F282,OFFSET([2]stages!$A$1,0,0,COUNTA([2]stages!$A:$A),MATCH(G$1,[2]stages!$2:$2,0)-MATCH("temp_stage",[2]stages!$2:$2,0)+1),MATCH(G$1,[2]stages!$2:$2,0)-MATCH("temp_stage",[2]stages!$2:$2,0)+1,FALSE)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2" s="117" t="str">
        <f ca="1">VLOOKUP($C282&amp;"_"&amp;$F282,OFFSET([2]stages!$A$1,0,0,COUNTA([2]stages!$A:$A),MATCH(H$1,[2]stages!$2:$2,0)-MATCH("temp_stage",[2]stages!$2:$2,0)+1),MATCH(H$1,[2]stages!$2:$2,0)-MATCH("temp_stage",[2]stages!$2:$2,0)+1,FALSE)</f>
        <v>水曜クエスト</v>
      </c>
      <c r="I282" s="119">
        <v>0</v>
      </c>
      <c r="J282" s="118">
        <f>COUNTIF(C$1:C282,C282)</f>
        <v>17</v>
      </c>
      <c r="K282" s="120">
        <v>21</v>
      </c>
      <c r="L282" s="118" t="s">
        <v>387</v>
      </c>
      <c r="M282" s="121" t="str">
        <f>VLOOKUP(K282,[6]stage_hints!$A:$C,3,FALSE)</f>
        <v>スキルを有効に</v>
      </c>
      <c r="N282" s="122" t="str">
        <f>VLOOKUP(K282,[6]stage_hints!$A:$D,4,FALSE)</f>
        <v>ターン経過でユニットのスキルが使えます_x000D_強力スキルでバトルを有利に進めましょう</v>
      </c>
      <c r="O282" s="36" t="s">
        <v>388</v>
      </c>
      <c r="P282">
        <v>21</v>
      </c>
    </row>
    <row r="283" spans="1:16" x14ac:dyDescent="0.15">
      <c r="A283" s="114" t="str">
        <f t="shared" si="4"/>
        <v>11103_4_18</v>
      </c>
      <c r="B283" s="115" t="s">
        <v>231</v>
      </c>
      <c r="C283" s="116">
        <v>11103</v>
      </c>
      <c r="D283" s="117" t="str">
        <f ca="1">VLOOKUP($C283,OFFSET([2]quests!$A$1,0,0,COUNTA([2]quests!$A:$A),MATCH(D$1,[2]quests!$1:$1,0)-MATCH($C$1,[2]quests!$1:$1,0)+1),MATCH(D$1,[2]quests!$1:$1,0)-MATCH($C$1,[2]quests!$1:$1,0)+1,FALSE)</f>
        <v>【期間限定】 青の素材</v>
      </c>
      <c r="E283" s="117" t="str">
        <f ca="1">VLOOKUP($C283,OFFSET([2]quests!$A$1,0,0,COUNTA([2]quests!$A:$A),MATCH(E$1,[2]quests!$1:$1,0)-MATCH($C$1,[2]quests!$1:$1,0)+1),MATCH(E$1,[2]quests!$1:$1,0)-MATCH($C$1,[2]quests!$1:$1,0)+1,FALSE)</f>
        <v>水曜クエスト</v>
      </c>
      <c r="F283" s="118">
        <v>4</v>
      </c>
      <c r="G283" s="117" t="str">
        <f ca="1">VLOOKUP($C283&amp;"_"&amp;$F283,OFFSET([2]stages!$A$1,0,0,COUNTA([2]stages!$A:$A),MATCH(G$1,[2]stages!$2:$2,0)-MATCH("temp_stage",[2]stages!$2:$2,0)+1),MATCH(G$1,[2]stages!$2:$2,0)-MATCH("temp_stage",[2]stages!$2:$2,0)+1,FALSE)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3" s="117" t="str">
        <f ca="1">VLOOKUP($C283&amp;"_"&amp;$F283,OFFSET([2]stages!$A$1,0,0,COUNTA([2]stages!$A:$A),MATCH(H$1,[2]stages!$2:$2,0)-MATCH("temp_stage",[2]stages!$2:$2,0)+1),MATCH(H$1,[2]stages!$2:$2,0)-MATCH("temp_stage",[2]stages!$2:$2,0)+1,FALSE)</f>
        <v>水曜クエスト</v>
      </c>
      <c r="I283" s="119">
        <v>0</v>
      </c>
      <c r="J283" s="118">
        <f>COUNTIF(C$1:C283,C283)</f>
        <v>18</v>
      </c>
      <c r="K283" s="120">
        <v>22</v>
      </c>
      <c r="L283" s="118" t="s">
        <v>389</v>
      </c>
      <c r="M283" s="121" t="str">
        <f>VLOOKUP(K283,[6]stage_hints!$A:$C,3,FALSE)</f>
        <v>フィーバーで一発逆転（その1）</v>
      </c>
      <c r="N283" s="122" t="str">
        <f>VLOOKUP(K283,[6]stage_hints!$A:$D,4,FALSE)</f>
        <v>フィーバーは攻撃と回復を兼ね備えます_x000D_ピンチからの一発逆転を狙いましょう</v>
      </c>
      <c r="O283" s="36" t="s">
        <v>235</v>
      </c>
      <c r="P283">
        <v>22</v>
      </c>
    </row>
    <row r="284" spans="1:16" x14ac:dyDescent="0.15">
      <c r="A284" s="114" t="str">
        <f t="shared" si="4"/>
        <v>11103_4_19</v>
      </c>
      <c r="B284" s="115" t="s">
        <v>231</v>
      </c>
      <c r="C284" s="116">
        <v>11103</v>
      </c>
      <c r="D284" s="117" t="str">
        <f ca="1">VLOOKUP($C284,OFFSET([2]quests!$A$1,0,0,COUNTA([2]quests!$A:$A),MATCH(D$1,[2]quests!$1:$1,0)-MATCH($C$1,[2]quests!$1:$1,0)+1),MATCH(D$1,[2]quests!$1:$1,0)-MATCH($C$1,[2]quests!$1:$1,0)+1,FALSE)</f>
        <v>【期間限定】 青の素材</v>
      </c>
      <c r="E284" s="117" t="str">
        <f ca="1">VLOOKUP($C284,OFFSET([2]quests!$A$1,0,0,COUNTA([2]quests!$A:$A),MATCH(E$1,[2]quests!$1:$1,0)-MATCH($C$1,[2]quests!$1:$1,0)+1),MATCH(E$1,[2]quests!$1:$1,0)-MATCH($C$1,[2]quests!$1:$1,0)+1,FALSE)</f>
        <v>水曜クエスト</v>
      </c>
      <c r="F284" s="118">
        <v>4</v>
      </c>
      <c r="G284" s="117" t="str">
        <f ca="1">VLOOKUP($C284&amp;"_"&amp;$F284,OFFSET([2]stages!$A$1,0,0,COUNTA([2]stages!$A:$A),MATCH(G$1,[2]stages!$2:$2,0)-MATCH("temp_stage",[2]stages!$2:$2,0)+1),MATCH(G$1,[2]stages!$2:$2,0)-MATCH("temp_stage",[2]stages!$2:$2,0)+1,FALSE)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4" s="117" t="str">
        <f ca="1">VLOOKUP($C284&amp;"_"&amp;$F284,OFFSET([2]stages!$A$1,0,0,COUNTA([2]stages!$A:$A),MATCH(H$1,[2]stages!$2:$2,0)-MATCH("temp_stage",[2]stages!$2:$2,0)+1),MATCH(H$1,[2]stages!$2:$2,0)-MATCH("temp_stage",[2]stages!$2:$2,0)+1,FALSE)</f>
        <v>水曜クエスト</v>
      </c>
      <c r="I284" s="119">
        <v>0</v>
      </c>
      <c r="J284" s="118">
        <f>COUNTIF(C$1:C284,C284)</f>
        <v>19</v>
      </c>
      <c r="K284" s="120">
        <v>23</v>
      </c>
      <c r="L284" s="118" t="s">
        <v>390</v>
      </c>
      <c r="M284" s="121" t="str">
        <f>VLOOKUP(K284,[6]stage_hints!$A:$C,3,FALSE)</f>
        <v>フィーバーで一発逆転（その2）</v>
      </c>
      <c r="N284" s="122" t="str">
        <f>VLOOKUP(K284,[6]stage_hints!$A:$D,4,FALSE)</f>
        <v>フィーバー中は虹色のボムパネルを狙って_x000D_画面上のパネルを一気に破壊しましょう</v>
      </c>
      <c r="O284" s="36" t="s">
        <v>353</v>
      </c>
      <c r="P284">
        <v>23</v>
      </c>
    </row>
    <row r="285" spans="1:16" x14ac:dyDescent="0.15">
      <c r="A285" s="114" t="str">
        <f t="shared" si="4"/>
        <v>11103_4_20</v>
      </c>
      <c r="B285" s="115" t="s">
        <v>231</v>
      </c>
      <c r="C285" s="116">
        <v>11103</v>
      </c>
      <c r="D285" s="117" t="str">
        <f ca="1">VLOOKUP($C285,OFFSET([2]quests!$A$1,0,0,COUNTA([2]quests!$A:$A),MATCH(D$1,[2]quests!$1:$1,0)-MATCH($C$1,[2]quests!$1:$1,0)+1),MATCH(D$1,[2]quests!$1:$1,0)-MATCH($C$1,[2]quests!$1:$1,0)+1,FALSE)</f>
        <v>【期間限定】 青の素材</v>
      </c>
      <c r="E285" s="117" t="str">
        <f ca="1">VLOOKUP($C285,OFFSET([2]quests!$A$1,0,0,COUNTA([2]quests!$A:$A),MATCH(E$1,[2]quests!$1:$1,0)-MATCH($C$1,[2]quests!$1:$1,0)+1),MATCH(E$1,[2]quests!$1:$1,0)-MATCH($C$1,[2]quests!$1:$1,0)+1,FALSE)</f>
        <v>水曜クエスト</v>
      </c>
      <c r="F285" s="118">
        <v>4</v>
      </c>
      <c r="G285" s="117" t="str">
        <f ca="1">VLOOKUP($C285&amp;"_"&amp;$F285,OFFSET([2]stages!$A$1,0,0,COUNTA([2]stages!$A:$A),MATCH(G$1,[2]stages!$2:$2,0)-MATCH("temp_stage",[2]stages!$2:$2,0)+1),MATCH(G$1,[2]stages!$2:$2,0)-MATCH("temp_stage",[2]stages!$2:$2,0)+1,FALSE)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5" s="117" t="str">
        <f ca="1">VLOOKUP($C285&amp;"_"&amp;$F285,OFFSET([2]stages!$A$1,0,0,COUNTA([2]stages!$A:$A),MATCH(H$1,[2]stages!$2:$2,0)-MATCH("temp_stage",[2]stages!$2:$2,0)+1),MATCH(H$1,[2]stages!$2:$2,0)-MATCH("temp_stage",[2]stages!$2:$2,0)+1,FALSE)</f>
        <v>水曜クエスト</v>
      </c>
      <c r="I285" s="119">
        <v>0</v>
      </c>
      <c r="J285" s="118">
        <f>COUNTIF(C$1:C285,C285)</f>
        <v>20</v>
      </c>
      <c r="K285" s="120">
        <v>24</v>
      </c>
      <c r="L285" s="118" t="s">
        <v>234</v>
      </c>
      <c r="M285" s="121" t="str">
        <f>VLOOKUP(K285,[6]stage_hints!$A:$C,3,FALSE)</f>
        <v>果実を使って限界突破</v>
      </c>
      <c r="N285" s="122" t="str">
        <f>VLOOKUP(K285,[6]stage_hints!$A:$D,4,FALSE)</f>
        <v>攻めの果実 癒しの果実_x000D_生命の果実をユニット強化に使うと_x000D_ステータスが限界突破します（計99個迄）</v>
      </c>
      <c r="O285" s="36" t="s">
        <v>235</v>
      </c>
      <c r="P285">
        <v>24</v>
      </c>
    </row>
    <row r="286" spans="1:16" x14ac:dyDescent="0.15">
      <c r="A286" s="114" t="str">
        <f t="shared" si="4"/>
        <v>11103_4_21</v>
      </c>
      <c r="B286" s="115" t="s">
        <v>231</v>
      </c>
      <c r="C286" s="116">
        <v>11103</v>
      </c>
      <c r="D286" s="117" t="str">
        <f ca="1">VLOOKUP($C286,OFFSET([2]quests!$A$1,0,0,COUNTA([2]quests!$A:$A),MATCH(D$1,[2]quests!$1:$1,0)-MATCH($C$1,[2]quests!$1:$1,0)+1),MATCH(D$1,[2]quests!$1:$1,0)-MATCH($C$1,[2]quests!$1:$1,0)+1,FALSE)</f>
        <v>【期間限定】 青の素材</v>
      </c>
      <c r="E286" s="117" t="str">
        <f ca="1">VLOOKUP($C286,OFFSET([2]quests!$A$1,0,0,COUNTA([2]quests!$A:$A),MATCH(E$1,[2]quests!$1:$1,0)-MATCH($C$1,[2]quests!$1:$1,0)+1),MATCH(E$1,[2]quests!$1:$1,0)-MATCH($C$1,[2]quests!$1:$1,0)+1,FALSE)</f>
        <v>水曜クエスト</v>
      </c>
      <c r="F286" s="118">
        <v>4</v>
      </c>
      <c r="G286" s="117" t="str">
        <f ca="1">VLOOKUP($C286&amp;"_"&amp;$F286,OFFSET([2]stages!$A$1,0,0,COUNTA([2]stages!$A:$A),MATCH(G$1,[2]stages!$2:$2,0)-MATCH("temp_stage",[2]stages!$2:$2,0)+1),MATCH(G$1,[2]stages!$2:$2,0)-MATCH("temp_stage",[2]stages!$2:$2,0)+1,FALSE)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6" s="117" t="str">
        <f ca="1">VLOOKUP($C286&amp;"_"&amp;$F286,OFFSET([2]stages!$A$1,0,0,COUNTA([2]stages!$A:$A),MATCH(H$1,[2]stages!$2:$2,0)-MATCH("temp_stage",[2]stages!$2:$2,0)+1),MATCH(H$1,[2]stages!$2:$2,0)-MATCH("temp_stage",[2]stages!$2:$2,0)+1,FALSE)</f>
        <v>水曜クエスト</v>
      </c>
      <c r="I286" s="119">
        <v>0</v>
      </c>
      <c r="J286" s="118">
        <f>COUNTIF(C$1:C286,C286)</f>
        <v>21</v>
      </c>
      <c r="K286" s="120">
        <v>25</v>
      </c>
      <c r="L286" s="118" t="s">
        <v>391</v>
      </c>
      <c r="M286" s="121" t="str">
        <f>VLOOKUP(K286,[6]stage_hints!$A:$C,3,FALSE)</f>
        <v>スキルレベルアップ</v>
      </c>
      <c r="N286" s="122" t="str">
        <f>VLOOKUP(K286,[6]stage_hints!$A:$D,4,FALSE)</f>
        <v>「秘術の果実」を強化に使うと_x000D_スキルレベルを上げることができます</v>
      </c>
      <c r="O286" s="36" t="s">
        <v>392</v>
      </c>
      <c r="P286">
        <v>25</v>
      </c>
    </row>
    <row r="287" spans="1:16" x14ac:dyDescent="0.15">
      <c r="A287" s="114" t="str">
        <f t="shared" si="4"/>
        <v>11103_4_22</v>
      </c>
      <c r="B287" s="115" t="s">
        <v>231</v>
      </c>
      <c r="C287" s="116">
        <v>11103</v>
      </c>
      <c r="D287" s="117" t="str">
        <f ca="1">VLOOKUP($C287,OFFSET([2]quests!$A$1,0,0,COUNTA([2]quests!$A:$A),MATCH(D$1,[2]quests!$1:$1,0)-MATCH($C$1,[2]quests!$1:$1,0)+1),MATCH(D$1,[2]quests!$1:$1,0)-MATCH($C$1,[2]quests!$1:$1,0)+1,FALSE)</f>
        <v>【期間限定】 青の素材</v>
      </c>
      <c r="E287" s="117" t="str">
        <f ca="1">VLOOKUP($C287,OFFSET([2]quests!$A$1,0,0,COUNTA([2]quests!$A:$A),MATCH(E$1,[2]quests!$1:$1,0)-MATCH($C$1,[2]quests!$1:$1,0)+1),MATCH(E$1,[2]quests!$1:$1,0)-MATCH($C$1,[2]quests!$1:$1,0)+1,FALSE)</f>
        <v>水曜クエスト</v>
      </c>
      <c r="F287" s="118">
        <v>4</v>
      </c>
      <c r="G287" s="117" t="str">
        <f ca="1">VLOOKUP($C287&amp;"_"&amp;$F287,OFFSET([2]stages!$A$1,0,0,COUNTA([2]stages!$A:$A),MATCH(G$1,[2]stages!$2:$2,0)-MATCH("temp_stage",[2]stages!$2:$2,0)+1),MATCH(G$1,[2]stages!$2:$2,0)-MATCH("temp_stage",[2]stages!$2:$2,0)+1,FALSE)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7" s="117" t="str">
        <f ca="1">VLOOKUP($C287&amp;"_"&amp;$F287,OFFSET([2]stages!$A$1,0,0,COUNTA([2]stages!$A:$A),MATCH(H$1,[2]stages!$2:$2,0)-MATCH("temp_stage",[2]stages!$2:$2,0)+1),MATCH(H$1,[2]stages!$2:$2,0)-MATCH("temp_stage",[2]stages!$2:$2,0)+1,FALSE)</f>
        <v>水曜クエスト</v>
      </c>
      <c r="I287" s="119">
        <v>0</v>
      </c>
      <c r="J287" s="118">
        <f>COUNTIF(C$1:C287,C287)</f>
        <v>22</v>
      </c>
      <c r="K287" s="120">
        <v>26</v>
      </c>
      <c r="L287" s="118" t="s">
        <v>234</v>
      </c>
      <c r="M287" s="121" t="str">
        <f>VLOOKUP(K287,[6]stage_hints!$A:$C,3,FALSE)</f>
        <v>スキルレベルの効果</v>
      </c>
      <c r="N287" s="122" t="str">
        <f>VLOOKUP(K287,[6]stage_hints!$A:$D,4,FALSE)</f>
        <v>スキルレベルが上がると_x000D_短いターンでスキルを使うことができます</v>
      </c>
      <c r="O287" s="36" t="s">
        <v>393</v>
      </c>
      <c r="P287">
        <v>26</v>
      </c>
    </row>
    <row r="288" spans="1:16" x14ac:dyDescent="0.15">
      <c r="A288" s="114" t="str">
        <f t="shared" si="4"/>
        <v>11103_4_23</v>
      </c>
      <c r="B288" s="115" t="s">
        <v>231</v>
      </c>
      <c r="C288" s="116">
        <v>11103</v>
      </c>
      <c r="D288" s="117" t="str">
        <f ca="1">VLOOKUP($C288,OFFSET([2]quests!$A$1,0,0,COUNTA([2]quests!$A:$A),MATCH(D$1,[2]quests!$1:$1,0)-MATCH($C$1,[2]quests!$1:$1,0)+1),MATCH(D$1,[2]quests!$1:$1,0)-MATCH($C$1,[2]quests!$1:$1,0)+1,FALSE)</f>
        <v>【期間限定】 青の素材</v>
      </c>
      <c r="E288" s="117" t="str">
        <f ca="1">VLOOKUP($C288,OFFSET([2]quests!$A$1,0,0,COUNTA([2]quests!$A:$A),MATCH(E$1,[2]quests!$1:$1,0)-MATCH($C$1,[2]quests!$1:$1,0)+1),MATCH(E$1,[2]quests!$1:$1,0)-MATCH($C$1,[2]quests!$1:$1,0)+1,FALSE)</f>
        <v>水曜クエスト</v>
      </c>
      <c r="F288" s="118">
        <v>4</v>
      </c>
      <c r="G288" s="117" t="str">
        <f ca="1">VLOOKUP($C288&amp;"_"&amp;$F288,OFFSET([2]stages!$A$1,0,0,COUNTA([2]stages!$A:$A),MATCH(G$1,[2]stages!$2:$2,0)-MATCH("temp_stage",[2]stages!$2:$2,0)+1),MATCH(G$1,[2]stages!$2:$2,0)-MATCH("temp_stage",[2]stages!$2:$2,0)+1,FALSE)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8" s="117" t="str">
        <f ca="1">VLOOKUP($C288&amp;"_"&amp;$F288,OFFSET([2]stages!$A$1,0,0,COUNTA([2]stages!$A:$A),MATCH(H$1,[2]stages!$2:$2,0)-MATCH("temp_stage",[2]stages!$2:$2,0)+1),MATCH(H$1,[2]stages!$2:$2,0)-MATCH("temp_stage",[2]stages!$2:$2,0)+1,FALSE)</f>
        <v>水曜クエスト</v>
      </c>
      <c r="I288" s="119">
        <v>0</v>
      </c>
      <c r="J288" s="118">
        <f>COUNTIF(C$1:C288,C288)</f>
        <v>23</v>
      </c>
      <c r="K288" s="120">
        <v>27</v>
      </c>
      <c r="L288" s="118" t="s">
        <v>234</v>
      </c>
      <c r="M288" s="121" t="str">
        <f>VLOOKUP(K288,[6]stage_hints!$A:$C,3,FALSE)</f>
        <v>ホーム画面からデッキを編成</v>
      </c>
      <c r="N288" s="122" t="str">
        <f>VLOOKUP(K288,[6]stage_hints!$A:$D,4,FALSE)</f>
        <v>ホーム画面でユニットを長押しすると_x000D_すぐにパーティ編成に移動できます</v>
      </c>
      <c r="O288" s="36" t="s">
        <v>235</v>
      </c>
      <c r="P288">
        <v>27</v>
      </c>
    </row>
    <row r="289" spans="1:16" x14ac:dyDescent="0.15">
      <c r="A289" s="114" t="str">
        <f t="shared" si="4"/>
        <v>11103_4_24</v>
      </c>
      <c r="B289" s="115" t="s">
        <v>231</v>
      </c>
      <c r="C289" s="116">
        <v>11103</v>
      </c>
      <c r="D289" s="117" t="str">
        <f ca="1">VLOOKUP($C289,OFFSET([2]quests!$A$1,0,0,COUNTA([2]quests!$A:$A),MATCH(D$1,[2]quests!$1:$1,0)-MATCH($C$1,[2]quests!$1:$1,0)+1),MATCH(D$1,[2]quests!$1:$1,0)-MATCH($C$1,[2]quests!$1:$1,0)+1,FALSE)</f>
        <v>【期間限定】 青の素材</v>
      </c>
      <c r="E289" s="117" t="str">
        <f ca="1">VLOOKUP($C289,OFFSET([2]quests!$A$1,0,0,COUNTA([2]quests!$A:$A),MATCH(E$1,[2]quests!$1:$1,0)-MATCH($C$1,[2]quests!$1:$1,0)+1),MATCH(E$1,[2]quests!$1:$1,0)-MATCH($C$1,[2]quests!$1:$1,0)+1,FALSE)</f>
        <v>水曜クエスト</v>
      </c>
      <c r="F289" s="118">
        <v>4</v>
      </c>
      <c r="G289" s="117" t="str">
        <f ca="1">VLOOKUP($C289&amp;"_"&amp;$F289,OFFSET([2]stages!$A$1,0,0,COUNTA([2]stages!$A:$A),MATCH(G$1,[2]stages!$2:$2,0)-MATCH("temp_stage",[2]stages!$2:$2,0)+1),MATCH(G$1,[2]stages!$2:$2,0)-MATCH("temp_stage",[2]stages!$2:$2,0)+1,FALSE)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89" s="117" t="str">
        <f ca="1">VLOOKUP($C289&amp;"_"&amp;$F289,OFFSET([2]stages!$A$1,0,0,COUNTA([2]stages!$A:$A),MATCH(H$1,[2]stages!$2:$2,0)-MATCH("temp_stage",[2]stages!$2:$2,0)+1),MATCH(H$1,[2]stages!$2:$2,0)-MATCH("temp_stage",[2]stages!$2:$2,0)+1,FALSE)</f>
        <v>水曜クエスト</v>
      </c>
      <c r="I289" s="119">
        <v>0</v>
      </c>
      <c r="J289" s="118">
        <f>COUNTIF(C$1:C289,C289)</f>
        <v>24</v>
      </c>
      <c r="K289" s="120">
        <v>28</v>
      </c>
      <c r="L289" s="118" t="s">
        <v>394</v>
      </c>
      <c r="M289" s="121" t="str">
        <f>VLOOKUP(K289,[6]stage_hints!$A:$C,3,FALSE)</f>
        <v>ステータス情報は長押しで</v>
      </c>
      <c r="N289" s="122" t="str">
        <f>VLOOKUP(K289,[6]stage_hints!$A:$D,4,FALSE)</f>
        <v>ユニットのアイコンを長押しすると_x000D_ステータス情報を確認することができます</v>
      </c>
      <c r="O289" s="36" t="s">
        <v>235</v>
      </c>
      <c r="P289">
        <v>28</v>
      </c>
    </row>
    <row r="290" spans="1:16" x14ac:dyDescent="0.15">
      <c r="A290" s="114" t="str">
        <f t="shared" si="4"/>
        <v>11103_4_25</v>
      </c>
      <c r="B290" s="115" t="s">
        <v>231</v>
      </c>
      <c r="C290" s="116">
        <v>11103</v>
      </c>
      <c r="D290" s="117" t="str">
        <f ca="1">VLOOKUP($C290,OFFSET([2]quests!$A$1,0,0,COUNTA([2]quests!$A:$A),MATCH(D$1,[2]quests!$1:$1,0)-MATCH($C$1,[2]quests!$1:$1,0)+1),MATCH(D$1,[2]quests!$1:$1,0)-MATCH($C$1,[2]quests!$1:$1,0)+1,FALSE)</f>
        <v>【期間限定】 青の素材</v>
      </c>
      <c r="E290" s="117" t="str">
        <f ca="1">VLOOKUP($C290,OFFSET([2]quests!$A$1,0,0,COUNTA([2]quests!$A:$A),MATCH(E$1,[2]quests!$1:$1,0)-MATCH($C$1,[2]quests!$1:$1,0)+1),MATCH(E$1,[2]quests!$1:$1,0)-MATCH($C$1,[2]quests!$1:$1,0)+1,FALSE)</f>
        <v>水曜クエスト</v>
      </c>
      <c r="F290" s="118">
        <v>4</v>
      </c>
      <c r="G290" s="117" t="str">
        <f ca="1">VLOOKUP($C290&amp;"_"&amp;$F290,OFFSET([2]stages!$A$1,0,0,COUNTA([2]stages!$A:$A),MATCH(G$1,[2]stages!$2:$2,0)-MATCH("temp_stage",[2]stages!$2:$2,0)+1),MATCH(G$1,[2]stages!$2:$2,0)-MATCH("temp_stage",[2]stages!$2:$2,0)+1,FALSE)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0" s="117" t="str">
        <f ca="1">VLOOKUP($C290&amp;"_"&amp;$F290,OFFSET([2]stages!$A$1,0,0,COUNTA([2]stages!$A:$A),MATCH(H$1,[2]stages!$2:$2,0)-MATCH("temp_stage",[2]stages!$2:$2,0)+1),MATCH(H$1,[2]stages!$2:$2,0)-MATCH("temp_stage",[2]stages!$2:$2,0)+1,FALSE)</f>
        <v>水曜クエスト</v>
      </c>
      <c r="I290" s="119">
        <v>0</v>
      </c>
      <c r="J290" s="118">
        <f>COUNTIF(C$1:C290,C290)</f>
        <v>25</v>
      </c>
      <c r="K290" s="120">
        <v>29</v>
      </c>
      <c r="L290" s="118" t="s">
        <v>297</v>
      </c>
      <c r="M290" s="121" t="str">
        <f>VLOOKUP(K290,[6]stage_hints!$A:$C,3,FALSE)</f>
        <v>「バグ」のメリット</v>
      </c>
      <c r="N290" s="122" t="str">
        <f>VLOOKUP(K290,[6]stage_hints!$A:$D,4,FALSE)</f>
        <v>ユニットの「バグ」を増やすと_x000D_報酬をもらえる確率がアップします</v>
      </c>
      <c r="O290" s="36" t="s">
        <v>395</v>
      </c>
      <c r="P290">
        <v>29</v>
      </c>
    </row>
    <row r="291" spans="1:16" x14ac:dyDescent="0.15">
      <c r="A291" s="114" t="str">
        <f t="shared" si="4"/>
        <v>11103_4_26</v>
      </c>
      <c r="B291" s="115" t="s">
        <v>231</v>
      </c>
      <c r="C291" s="116">
        <v>11103</v>
      </c>
      <c r="D291" s="117" t="str">
        <f ca="1">VLOOKUP($C291,OFFSET([2]quests!$A$1,0,0,COUNTA([2]quests!$A:$A),MATCH(D$1,[2]quests!$1:$1,0)-MATCH($C$1,[2]quests!$1:$1,0)+1),MATCH(D$1,[2]quests!$1:$1,0)-MATCH($C$1,[2]quests!$1:$1,0)+1,FALSE)</f>
        <v>【期間限定】 青の素材</v>
      </c>
      <c r="E291" s="117" t="str">
        <f ca="1">VLOOKUP($C291,OFFSET([2]quests!$A$1,0,0,COUNTA([2]quests!$A:$A),MATCH(E$1,[2]quests!$1:$1,0)-MATCH($C$1,[2]quests!$1:$1,0)+1),MATCH(E$1,[2]quests!$1:$1,0)-MATCH($C$1,[2]quests!$1:$1,0)+1,FALSE)</f>
        <v>水曜クエスト</v>
      </c>
      <c r="F291" s="118">
        <v>4</v>
      </c>
      <c r="G291" s="117" t="str">
        <f ca="1">VLOOKUP($C291&amp;"_"&amp;$F291,OFFSET([2]stages!$A$1,0,0,COUNTA([2]stages!$A:$A),MATCH(G$1,[2]stages!$2:$2,0)-MATCH("temp_stage",[2]stages!$2:$2,0)+1),MATCH(G$1,[2]stages!$2:$2,0)-MATCH("temp_stage",[2]stages!$2:$2,0)+1,FALSE)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1" s="117" t="str">
        <f ca="1">VLOOKUP($C291&amp;"_"&amp;$F291,OFFSET([2]stages!$A$1,0,0,COUNTA([2]stages!$A:$A),MATCH(H$1,[2]stages!$2:$2,0)-MATCH("temp_stage",[2]stages!$2:$2,0)+1),MATCH(H$1,[2]stages!$2:$2,0)-MATCH("temp_stage",[2]stages!$2:$2,0)+1,FALSE)</f>
        <v>水曜クエスト</v>
      </c>
      <c r="I291" s="119">
        <v>0</v>
      </c>
      <c r="J291" s="118">
        <f>COUNTIF(C$1:C291,C291)</f>
        <v>26</v>
      </c>
      <c r="K291" s="120">
        <v>30</v>
      </c>
      <c r="L291" s="118" t="s">
        <v>234</v>
      </c>
      <c r="M291" s="121" t="str">
        <f>VLOOKUP(K291,[6]stage_hints!$A:$C,3,FALSE)</f>
        <v>「バグ」の増やし方</v>
      </c>
      <c r="N291" s="122" t="str">
        <f>VLOOKUP(K291,[6]stage_hints!$A:$D,4,FALSE)</f>
        <v>同じユニット同士を強化で合成すると_x000D_「バグ」を増やすことができます</v>
      </c>
      <c r="O291" s="36" t="s">
        <v>396</v>
      </c>
      <c r="P291">
        <v>30</v>
      </c>
    </row>
    <row r="292" spans="1:16" x14ac:dyDescent="0.15">
      <c r="A292" s="114" t="str">
        <f t="shared" si="4"/>
        <v>11103_4_27</v>
      </c>
      <c r="B292" s="115" t="s">
        <v>231</v>
      </c>
      <c r="C292" s="116">
        <v>11103</v>
      </c>
      <c r="D292" s="117" t="str">
        <f ca="1">VLOOKUP($C292,OFFSET([2]quests!$A$1,0,0,COUNTA([2]quests!$A:$A),MATCH(D$1,[2]quests!$1:$1,0)-MATCH($C$1,[2]quests!$1:$1,0)+1),MATCH(D$1,[2]quests!$1:$1,0)-MATCH($C$1,[2]quests!$1:$1,0)+1,FALSE)</f>
        <v>【期間限定】 青の素材</v>
      </c>
      <c r="E292" s="117" t="str">
        <f ca="1">VLOOKUP($C292,OFFSET([2]quests!$A$1,0,0,COUNTA([2]quests!$A:$A),MATCH(E$1,[2]quests!$1:$1,0)-MATCH($C$1,[2]quests!$1:$1,0)+1),MATCH(E$1,[2]quests!$1:$1,0)-MATCH($C$1,[2]quests!$1:$1,0)+1,FALSE)</f>
        <v>水曜クエスト</v>
      </c>
      <c r="F292" s="118">
        <v>4</v>
      </c>
      <c r="G292" s="117" t="str">
        <f ca="1">VLOOKUP($C292&amp;"_"&amp;$F292,OFFSET([2]stages!$A$1,0,0,COUNTA([2]stages!$A:$A),MATCH(G$1,[2]stages!$2:$2,0)-MATCH("temp_stage",[2]stages!$2:$2,0)+1),MATCH(G$1,[2]stages!$2:$2,0)-MATCH("temp_stage",[2]stages!$2:$2,0)+1,FALSE)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2" s="117" t="str">
        <f ca="1">VLOOKUP($C292&amp;"_"&amp;$F292,OFFSET([2]stages!$A$1,0,0,COUNTA([2]stages!$A:$A),MATCH(H$1,[2]stages!$2:$2,0)-MATCH("temp_stage",[2]stages!$2:$2,0)+1),MATCH(H$1,[2]stages!$2:$2,0)-MATCH("temp_stage",[2]stages!$2:$2,0)+1,FALSE)</f>
        <v>水曜クエスト</v>
      </c>
      <c r="I292" s="119">
        <v>0</v>
      </c>
      <c r="J292" s="118">
        <f>COUNTIF(C$1:C292,C292)</f>
        <v>27</v>
      </c>
      <c r="K292" s="120">
        <v>31</v>
      </c>
      <c r="L292" s="118" t="s">
        <v>234</v>
      </c>
      <c r="M292" s="121" t="str">
        <f>VLOOKUP(K292,[6]stage_hints!$A:$C,3,FALSE)</f>
        <v>イベントはお知らせでチェック</v>
      </c>
      <c r="N292" s="122" t="str">
        <f>VLOOKUP(K292,[6]stage_hints!$A:$D,4,FALSE)</f>
        <v>イベント限定ユニットを取り忘れないように_x000D_お知らせをこまめにチェックしましょう</v>
      </c>
      <c r="O292" s="36" t="s">
        <v>397</v>
      </c>
      <c r="P292">
        <v>31</v>
      </c>
    </row>
    <row r="293" spans="1:16" x14ac:dyDescent="0.15">
      <c r="A293" s="114" t="str">
        <f t="shared" si="4"/>
        <v>11103_4_28</v>
      </c>
      <c r="B293" s="115" t="s">
        <v>231</v>
      </c>
      <c r="C293" s="116">
        <v>11103</v>
      </c>
      <c r="D293" s="117" t="str">
        <f ca="1">VLOOKUP($C293,OFFSET([2]quests!$A$1,0,0,COUNTA([2]quests!$A:$A),MATCH(D$1,[2]quests!$1:$1,0)-MATCH($C$1,[2]quests!$1:$1,0)+1),MATCH(D$1,[2]quests!$1:$1,0)-MATCH($C$1,[2]quests!$1:$1,0)+1,FALSE)</f>
        <v>【期間限定】 青の素材</v>
      </c>
      <c r="E293" s="117" t="str">
        <f ca="1">VLOOKUP($C293,OFFSET([2]quests!$A$1,0,0,COUNTA([2]quests!$A:$A),MATCH(E$1,[2]quests!$1:$1,0)-MATCH($C$1,[2]quests!$1:$1,0)+1),MATCH(E$1,[2]quests!$1:$1,0)-MATCH($C$1,[2]quests!$1:$1,0)+1,FALSE)</f>
        <v>水曜クエスト</v>
      </c>
      <c r="F293" s="118">
        <v>4</v>
      </c>
      <c r="G293" s="117" t="str">
        <f ca="1">VLOOKUP($C293&amp;"_"&amp;$F293,OFFSET([2]stages!$A$1,0,0,COUNTA([2]stages!$A:$A),MATCH(G$1,[2]stages!$2:$2,0)-MATCH("temp_stage",[2]stages!$2:$2,0)+1),MATCH(G$1,[2]stages!$2:$2,0)-MATCH("temp_stage",[2]stages!$2:$2,0)+1,FALSE)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3" s="117" t="str">
        <f ca="1">VLOOKUP($C293&amp;"_"&amp;$F293,OFFSET([2]stages!$A$1,0,0,COUNTA([2]stages!$A:$A),MATCH(H$1,[2]stages!$2:$2,0)-MATCH("temp_stage",[2]stages!$2:$2,0)+1),MATCH(H$1,[2]stages!$2:$2,0)-MATCH("temp_stage",[2]stages!$2:$2,0)+1,FALSE)</f>
        <v>水曜クエスト</v>
      </c>
      <c r="I293" s="119">
        <v>0</v>
      </c>
      <c r="J293" s="118">
        <f>COUNTIF(C$1:C293,C293)</f>
        <v>28</v>
      </c>
      <c r="K293" s="120">
        <v>32</v>
      </c>
      <c r="L293" s="118" t="s">
        <v>398</v>
      </c>
      <c r="M293" s="121" t="str">
        <f>VLOOKUP(K293,[6]stage_hints!$A:$C,3,FALSE)</f>
        <v>敵の連続攻撃には</v>
      </c>
      <c r="N293" s="122" t="str">
        <f>VLOOKUP(K293,[6]stage_hints!$A:$D,4,FALSE)</f>
        <v>カウンタースキルを持つユニットがいれば_x000D_ダメージ回数分の反撃ができます</v>
      </c>
      <c r="O293" s="36" t="s">
        <v>392</v>
      </c>
      <c r="P293">
        <v>32</v>
      </c>
    </row>
    <row r="294" spans="1:16" x14ac:dyDescent="0.15">
      <c r="A294" s="114" t="str">
        <f t="shared" si="4"/>
        <v>11103_4_29</v>
      </c>
      <c r="B294" s="115" t="s">
        <v>231</v>
      </c>
      <c r="C294" s="116">
        <v>11103</v>
      </c>
      <c r="D294" s="117" t="str">
        <f ca="1">VLOOKUP($C294,OFFSET([2]quests!$A$1,0,0,COUNTA([2]quests!$A:$A),MATCH(D$1,[2]quests!$1:$1,0)-MATCH($C$1,[2]quests!$1:$1,0)+1),MATCH(D$1,[2]quests!$1:$1,0)-MATCH($C$1,[2]quests!$1:$1,0)+1,FALSE)</f>
        <v>【期間限定】 青の素材</v>
      </c>
      <c r="E294" s="117" t="str">
        <f ca="1">VLOOKUP($C294,OFFSET([2]quests!$A$1,0,0,COUNTA([2]quests!$A:$A),MATCH(E$1,[2]quests!$1:$1,0)-MATCH($C$1,[2]quests!$1:$1,0)+1),MATCH(E$1,[2]quests!$1:$1,0)-MATCH($C$1,[2]quests!$1:$1,0)+1,FALSE)</f>
        <v>水曜クエスト</v>
      </c>
      <c r="F294" s="118">
        <v>4</v>
      </c>
      <c r="G294" s="117" t="str">
        <f ca="1">VLOOKUP($C294&amp;"_"&amp;$F294,OFFSET([2]stages!$A$1,0,0,COUNTA([2]stages!$A:$A),MATCH(G$1,[2]stages!$2:$2,0)-MATCH("temp_stage",[2]stages!$2:$2,0)+1),MATCH(G$1,[2]stages!$2:$2,0)-MATCH("temp_stage",[2]stages!$2:$2,0)+1,FALSE)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4" s="117" t="str">
        <f ca="1">VLOOKUP($C294&amp;"_"&amp;$F294,OFFSET([2]stages!$A$1,0,0,COUNTA([2]stages!$A:$A),MATCH(H$1,[2]stages!$2:$2,0)-MATCH("temp_stage",[2]stages!$2:$2,0)+1),MATCH(H$1,[2]stages!$2:$2,0)-MATCH("temp_stage",[2]stages!$2:$2,0)+1,FALSE)</f>
        <v>水曜クエスト</v>
      </c>
      <c r="I294" s="119">
        <v>0</v>
      </c>
      <c r="J294" s="118">
        <f>COUNTIF(C$1:C294,C294)</f>
        <v>29</v>
      </c>
      <c r="K294" s="120">
        <v>33</v>
      </c>
      <c r="L294" s="118" t="s">
        <v>399</v>
      </c>
      <c r="M294" s="121" t="str">
        <f>VLOOKUP(K294,[6]stage_hints!$A:$C,3,FALSE)</f>
        <v>敵のカウンター攻撃には</v>
      </c>
      <c r="N294" s="122" t="str">
        <f>VLOOKUP(K294,[6]stage_hints!$A:$D,4,FALSE)</f>
        <v>カウンターブレイクスキルを持っていれば_x000D_敵のカウンターを解除して攻撃ができます</v>
      </c>
      <c r="O294" s="36" t="s">
        <v>235</v>
      </c>
      <c r="P294">
        <v>33</v>
      </c>
    </row>
    <row r="295" spans="1:16" x14ac:dyDescent="0.15">
      <c r="A295" s="114" t="str">
        <f t="shared" si="4"/>
        <v>11103_4_30</v>
      </c>
      <c r="B295" s="115" t="s">
        <v>231</v>
      </c>
      <c r="C295" s="116">
        <v>11103</v>
      </c>
      <c r="D295" s="117" t="str">
        <f ca="1">VLOOKUP($C295,OFFSET([2]quests!$A$1,0,0,COUNTA([2]quests!$A:$A),MATCH(D$1,[2]quests!$1:$1,0)-MATCH($C$1,[2]quests!$1:$1,0)+1),MATCH(D$1,[2]quests!$1:$1,0)-MATCH($C$1,[2]quests!$1:$1,0)+1,FALSE)</f>
        <v>【期間限定】 青の素材</v>
      </c>
      <c r="E295" s="117" t="str">
        <f ca="1">VLOOKUP($C295,OFFSET([2]quests!$A$1,0,0,COUNTA([2]quests!$A:$A),MATCH(E$1,[2]quests!$1:$1,0)-MATCH($C$1,[2]quests!$1:$1,0)+1),MATCH(E$1,[2]quests!$1:$1,0)-MATCH($C$1,[2]quests!$1:$1,0)+1,FALSE)</f>
        <v>水曜クエスト</v>
      </c>
      <c r="F295" s="118">
        <v>4</v>
      </c>
      <c r="G295" s="117" t="str">
        <f ca="1">VLOOKUP($C295&amp;"_"&amp;$F295,OFFSET([2]stages!$A$1,0,0,COUNTA([2]stages!$A:$A),MATCH(G$1,[2]stages!$2:$2,0)-MATCH("temp_stage",[2]stages!$2:$2,0)+1),MATCH(G$1,[2]stages!$2:$2,0)-MATCH("temp_stage",[2]stages!$2:$2,0)+1,FALSE)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5" s="117" t="str">
        <f ca="1">VLOOKUP($C295&amp;"_"&amp;$F295,OFFSET([2]stages!$A$1,0,0,COUNTA([2]stages!$A:$A),MATCH(H$1,[2]stages!$2:$2,0)-MATCH("temp_stage",[2]stages!$2:$2,0)+1),MATCH(H$1,[2]stages!$2:$2,0)-MATCH("temp_stage",[2]stages!$2:$2,0)+1,FALSE)</f>
        <v>水曜クエスト</v>
      </c>
      <c r="I295" s="119">
        <v>0</v>
      </c>
      <c r="J295" s="118">
        <f>COUNTIF(C$1:C295,C295)</f>
        <v>30</v>
      </c>
      <c r="K295" s="120">
        <v>34</v>
      </c>
      <c r="L295" s="118" t="s">
        <v>234</v>
      </c>
      <c r="M295" s="121" t="str">
        <f>VLOOKUP(K295,[6]stage_hints!$A:$C,3,FALSE)</f>
        <v>ステータスをスキルで下げられたら</v>
      </c>
      <c r="N295" s="122" t="str">
        <f>VLOOKUP(K295,[6]stage_hints!$A:$D,4,FALSE)</f>
        <v>ステータスダウンのスキルを受けたら_x000D_ステータスアップスキルで上書きしましょう</v>
      </c>
      <c r="O295" s="36" t="s">
        <v>318</v>
      </c>
      <c r="P295">
        <v>34</v>
      </c>
    </row>
    <row r="296" spans="1:16" x14ac:dyDescent="0.15">
      <c r="A296" s="114" t="str">
        <f t="shared" si="4"/>
        <v>11103_4_31</v>
      </c>
      <c r="B296" s="115" t="s">
        <v>231</v>
      </c>
      <c r="C296" s="116">
        <v>11103</v>
      </c>
      <c r="D296" s="117" t="str">
        <f ca="1">VLOOKUP($C296,OFFSET([2]quests!$A$1,0,0,COUNTA([2]quests!$A:$A),MATCH(D$1,[2]quests!$1:$1,0)-MATCH($C$1,[2]quests!$1:$1,0)+1),MATCH(D$1,[2]quests!$1:$1,0)-MATCH($C$1,[2]quests!$1:$1,0)+1,FALSE)</f>
        <v>【期間限定】 青の素材</v>
      </c>
      <c r="E296" s="117" t="str">
        <f ca="1">VLOOKUP($C296,OFFSET([2]quests!$A$1,0,0,COUNTA([2]quests!$A:$A),MATCH(E$1,[2]quests!$1:$1,0)-MATCH($C$1,[2]quests!$1:$1,0)+1),MATCH(E$1,[2]quests!$1:$1,0)-MATCH($C$1,[2]quests!$1:$1,0)+1,FALSE)</f>
        <v>水曜クエスト</v>
      </c>
      <c r="F296" s="118">
        <v>4</v>
      </c>
      <c r="G296" s="117" t="str">
        <f ca="1">VLOOKUP($C296&amp;"_"&amp;$F296,OFFSET([2]stages!$A$1,0,0,COUNTA([2]stages!$A:$A),MATCH(G$1,[2]stages!$2:$2,0)-MATCH("temp_stage",[2]stages!$2:$2,0)+1),MATCH(G$1,[2]stages!$2:$2,0)-MATCH("temp_stage",[2]stages!$2:$2,0)+1,FALSE)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6" s="117" t="str">
        <f ca="1">VLOOKUP($C296&amp;"_"&amp;$F296,OFFSET([2]stages!$A$1,0,0,COUNTA([2]stages!$A:$A),MATCH(H$1,[2]stages!$2:$2,0)-MATCH("temp_stage",[2]stages!$2:$2,0)+1),MATCH(H$1,[2]stages!$2:$2,0)-MATCH("temp_stage",[2]stages!$2:$2,0)+1,FALSE)</f>
        <v>水曜クエスト</v>
      </c>
      <c r="I296" s="119">
        <v>0</v>
      </c>
      <c r="J296" s="118">
        <f>COUNTIF(C$1:C296,C296)</f>
        <v>31</v>
      </c>
      <c r="K296" s="120">
        <v>35</v>
      </c>
      <c r="L296" s="118" t="s">
        <v>400</v>
      </c>
      <c r="M296" s="121" t="str">
        <f>VLOOKUP(K296,[6]stage_hints!$A:$C,3,FALSE)</f>
        <v>敵のステータスがスキルで上がったら</v>
      </c>
      <c r="N296" s="122" t="str">
        <f>VLOOKUP(K296,[6]stage_hints!$A:$D,4,FALSE)</f>
        <v>敵のステータスがスキルでアップしたときは_x000D_ステータスダウンスキルで上書きしましょう</v>
      </c>
      <c r="O296" s="36" t="s">
        <v>353</v>
      </c>
      <c r="P296">
        <v>35</v>
      </c>
    </row>
    <row r="297" spans="1:16" x14ac:dyDescent="0.15">
      <c r="A297" s="114" t="str">
        <f t="shared" si="4"/>
        <v>11103_4_32</v>
      </c>
      <c r="B297" s="115" t="s">
        <v>231</v>
      </c>
      <c r="C297" s="116">
        <v>11103</v>
      </c>
      <c r="D297" s="117" t="str">
        <f ca="1">VLOOKUP($C297,OFFSET([2]quests!$A$1,0,0,COUNTA([2]quests!$A:$A),MATCH(D$1,[2]quests!$1:$1,0)-MATCH($C$1,[2]quests!$1:$1,0)+1),MATCH(D$1,[2]quests!$1:$1,0)-MATCH($C$1,[2]quests!$1:$1,0)+1,FALSE)</f>
        <v>【期間限定】 青の素材</v>
      </c>
      <c r="E297" s="117" t="str">
        <f ca="1">VLOOKUP($C297,OFFSET([2]quests!$A$1,0,0,COUNTA([2]quests!$A:$A),MATCH(E$1,[2]quests!$1:$1,0)-MATCH($C$1,[2]quests!$1:$1,0)+1),MATCH(E$1,[2]quests!$1:$1,0)-MATCH($C$1,[2]quests!$1:$1,0)+1,FALSE)</f>
        <v>水曜クエスト</v>
      </c>
      <c r="F297" s="118">
        <v>4</v>
      </c>
      <c r="G297" s="117" t="str">
        <f ca="1">VLOOKUP($C297&amp;"_"&amp;$F297,OFFSET([2]stages!$A$1,0,0,COUNTA([2]stages!$A:$A),MATCH(G$1,[2]stages!$2:$2,0)-MATCH("temp_stage",[2]stages!$2:$2,0)+1),MATCH(G$1,[2]stages!$2:$2,0)-MATCH("temp_stage",[2]stages!$2:$2,0)+1,FALSE)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7" s="117" t="str">
        <f ca="1">VLOOKUP($C297&amp;"_"&amp;$F297,OFFSET([2]stages!$A$1,0,0,COUNTA([2]stages!$A:$A),MATCH(H$1,[2]stages!$2:$2,0)-MATCH("temp_stage",[2]stages!$2:$2,0)+1),MATCH(H$1,[2]stages!$2:$2,0)-MATCH("temp_stage",[2]stages!$2:$2,0)+1,FALSE)</f>
        <v>水曜クエスト</v>
      </c>
      <c r="I297" s="119">
        <v>0</v>
      </c>
      <c r="J297" s="118">
        <f>COUNTIF(C$1:C297,C297)</f>
        <v>32</v>
      </c>
      <c r="K297" s="120">
        <v>36</v>
      </c>
      <c r="L297" s="118" t="s">
        <v>401</v>
      </c>
      <c r="M297" s="121" t="str">
        <f>VLOOKUP(K297,[6]stage_hints!$A:$C,3,FALSE)</f>
        <v>タワーオブザクイーンのボス</v>
      </c>
      <c r="N297" s="122" t="str">
        <f>VLOOKUP(K297,[6]stage_hints!$A:$D,4,FALSE)</f>
        <v>「タワーオブザクイーン」最上階のボスは_x000D_15階の初回クリア報酬で獲得できるほか_x000D_その階にて低確率でドロップもします</v>
      </c>
      <c r="O297" s="36" t="s">
        <v>402</v>
      </c>
      <c r="P297">
        <v>36</v>
      </c>
    </row>
    <row r="298" spans="1:16" x14ac:dyDescent="0.15">
      <c r="A298" s="114" t="str">
        <f t="shared" si="4"/>
        <v>11103_4_33</v>
      </c>
      <c r="B298" s="115" t="s">
        <v>231</v>
      </c>
      <c r="C298" s="116">
        <v>11103</v>
      </c>
      <c r="D298" s="117" t="str">
        <f ca="1">VLOOKUP($C298,OFFSET([2]quests!$A$1,0,0,COUNTA([2]quests!$A:$A),MATCH(D$1,[2]quests!$1:$1,0)-MATCH($C$1,[2]quests!$1:$1,0)+1),MATCH(D$1,[2]quests!$1:$1,0)-MATCH($C$1,[2]quests!$1:$1,0)+1,FALSE)</f>
        <v>【期間限定】 青の素材</v>
      </c>
      <c r="E298" s="117" t="str">
        <f ca="1">VLOOKUP($C298,OFFSET([2]quests!$A$1,0,0,COUNTA([2]quests!$A:$A),MATCH(E$1,[2]quests!$1:$1,0)-MATCH($C$1,[2]quests!$1:$1,0)+1),MATCH(E$1,[2]quests!$1:$1,0)-MATCH($C$1,[2]quests!$1:$1,0)+1,FALSE)</f>
        <v>水曜クエスト</v>
      </c>
      <c r="F298" s="118">
        <v>4</v>
      </c>
      <c r="G298" s="117" t="str">
        <f ca="1">VLOOKUP($C298&amp;"_"&amp;$F298,OFFSET([2]stages!$A$1,0,0,COUNTA([2]stages!$A:$A),MATCH(G$1,[2]stages!$2:$2,0)-MATCH("temp_stage",[2]stages!$2:$2,0)+1),MATCH(G$1,[2]stages!$2:$2,0)-MATCH("temp_stage",[2]stages!$2:$2,0)+1,FALSE)</f>
        <v xml:space="preserve">【上級】水のイモムシ </v>
      </c>
      <c r="H298" s="117" t="str">
        <f ca="1">VLOOKUP($C298&amp;"_"&amp;$F298,OFFSET([2]stages!$A$1,0,0,COUNTA([2]stages!$A:$A),MATCH(H$1,[2]stages!$2:$2,0)-MATCH("temp_stage",[2]stages!$2:$2,0)+1),MATCH(H$1,[2]stages!$2:$2,0)-MATCH("temp_stage",[2]stages!$2:$2,0)+1,FALSE)</f>
        <v>水曜クエスト</v>
      </c>
      <c r="I298" s="119">
        <v>0</v>
      </c>
      <c r="J298" s="118">
        <f>COUNTIF(C$1:C298,C298)</f>
        <v>33</v>
      </c>
      <c r="K298" s="120">
        <v>37</v>
      </c>
      <c r="L298" s="118" t="s">
        <v>234</v>
      </c>
      <c r="M298" s="121" t="str">
        <f>VLOOKUP(K298,[6]stage_hints!$A:$C,3,FALSE)</f>
        <v>限界突破値の引き継ぎ</v>
      </c>
      <c r="N298" s="122" t="str">
        <f>VLOOKUP(K298,[6]stage_hints!$A:$D,4,FALSE)</f>
        <v>同じユニットを強化で合成すると_x000D_限界突破値を引き継げます（覚醒前後も可）</v>
      </c>
      <c r="O298" s="36" t="s">
        <v>235</v>
      </c>
      <c r="P298">
        <v>37</v>
      </c>
    </row>
    <row r="299" spans="1:16" x14ac:dyDescent="0.15">
      <c r="A299" s="114" t="str">
        <f t="shared" si="4"/>
        <v>11104_4_1</v>
      </c>
      <c r="B299" s="115" t="s">
        <v>231</v>
      </c>
      <c r="C299" s="116">
        <v>11104</v>
      </c>
      <c r="D299" s="117" t="str">
        <f ca="1">VLOOKUP($C299,OFFSET([2]quests!$A$1,0,0,COUNTA([2]quests!$A:$A),MATCH(D$1,[2]quests!$1:$1,0)-MATCH($C$1,[2]quests!$1:$1,0)+1),MATCH(D$1,[2]quests!$1:$1,0)-MATCH($C$1,[2]quests!$1:$1,0)+1,FALSE)</f>
        <v>【期間限定】 緑の素材</v>
      </c>
      <c r="E299" s="117" t="str">
        <f ca="1">VLOOKUP($C299,OFFSET([2]quests!$A$1,0,0,COUNTA([2]quests!$A:$A),MATCH(E$1,[2]quests!$1:$1,0)-MATCH($C$1,[2]quests!$1:$1,0)+1),MATCH(E$1,[2]quests!$1:$1,0)-MATCH($C$1,[2]quests!$1:$1,0)+1,FALSE)</f>
        <v>木曜クエスト</v>
      </c>
      <c r="F299" s="118">
        <v>4</v>
      </c>
      <c r="G299" s="117" t="str">
        <f ca="1">VLOOKUP($C299&amp;"_"&amp;$F299,OFFSET([2]stages!$A$1,0,0,COUNTA([2]stages!$A:$A),MATCH(G$1,[2]stages!$2:$2,0)-MATCH("temp_stage",[2]stages!$2:$2,0)+1),MATCH(G$1,[2]stages!$2:$2,0)-MATCH("temp_stage",[2]stages!$2:$2,0)+1,FALSE)</f>
        <v>【上級】樹のイモムシ</v>
      </c>
      <c r="H299" s="117" t="str">
        <f ca="1">VLOOKUP($C299&amp;"_"&amp;$F299,OFFSET([2]stages!$A$1,0,0,COUNTA([2]stages!$A:$A),MATCH(H$1,[2]stages!$2:$2,0)-MATCH("temp_stage",[2]stages!$2:$2,0)+1),MATCH(H$1,[2]stages!$2:$2,0)-MATCH("temp_stage",[2]stages!$2:$2,0)+1,FALSE)</f>
        <v>木曜クエスト</v>
      </c>
      <c r="I299" s="119">
        <v>0</v>
      </c>
      <c r="J299" s="118">
        <f>COUNTIF(C$1:C299,C299)</f>
        <v>1</v>
      </c>
      <c r="K299" s="120">
        <v>3</v>
      </c>
      <c r="L299" s="118" t="s">
        <v>297</v>
      </c>
      <c r="M299" s="121" t="str">
        <f>VLOOKUP(K299,[6]stage_hints!$A:$C,3,FALSE)</f>
        <v>ターゲット</v>
      </c>
      <c r="N299" s="122" t="str">
        <f>VLOOKUP(K299,[6]stage_hints!$A:$D,4,FALSE)</f>
        <v>敵ユニットをタップすると_x000D_その敵を狙い撃ちできます</v>
      </c>
      <c r="O299" s="36" t="s">
        <v>235</v>
      </c>
      <c r="P299">
        <v>3</v>
      </c>
    </row>
    <row r="300" spans="1:16" x14ac:dyDescent="0.15">
      <c r="A300" s="114" t="str">
        <f t="shared" si="4"/>
        <v>11104_4_2</v>
      </c>
      <c r="B300" s="115" t="s">
        <v>231</v>
      </c>
      <c r="C300" s="116">
        <v>11104</v>
      </c>
      <c r="D300" s="117" t="str">
        <f ca="1">VLOOKUP($C300,OFFSET([2]quests!$A$1,0,0,COUNTA([2]quests!$A:$A),MATCH(D$1,[2]quests!$1:$1,0)-MATCH($C$1,[2]quests!$1:$1,0)+1),MATCH(D$1,[2]quests!$1:$1,0)-MATCH($C$1,[2]quests!$1:$1,0)+1,FALSE)</f>
        <v>【期間限定】 緑の素材</v>
      </c>
      <c r="E300" s="117" t="str">
        <f ca="1">VLOOKUP($C300,OFFSET([2]quests!$A$1,0,0,COUNTA([2]quests!$A:$A),MATCH(E$1,[2]quests!$1:$1,0)-MATCH($C$1,[2]quests!$1:$1,0)+1),MATCH(E$1,[2]quests!$1:$1,0)-MATCH($C$1,[2]quests!$1:$1,0)+1,FALSE)</f>
        <v>木曜クエスト</v>
      </c>
      <c r="F300" s="118">
        <v>4</v>
      </c>
      <c r="G300" s="117" t="str">
        <f ca="1">VLOOKUP($C300&amp;"_"&amp;$F300,OFFSET([2]stages!$A$1,0,0,COUNTA([2]stages!$A:$A),MATCH(G$1,[2]stages!$2:$2,0)-MATCH("temp_stage",[2]stages!$2:$2,0)+1),MATCH(G$1,[2]stages!$2:$2,0)-MATCH("temp_stage",[2]stages!$2:$2,0)+1,FALSE)</f>
        <v>【上級】樹のイモムシ</v>
      </c>
      <c r="H300" s="117" t="str">
        <f ca="1">VLOOKUP($C300&amp;"_"&amp;$F300,OFFSET([2]stages!$A$1,0,0,COUNTA([2]stages!$A:$A),MATCH(H$1,[2]stages!$2:$2,0)-MATCH("temp_stage",[2]stages!$2:$2,0)+1),MATCH(H$1,[2]stages!$2:$2,0)-MATCH("temp_stage",[2]stages!$2:$2,0)+1,FALSE)</f>
        <v>木曜クエスト</v>
      </c>
      <c r="I300" s="119">
        <v>0</v>
      </c>
      <c r="J300" s="118">
        <f>COUNTIF(C$1:C300,C300)</f>
        <v>2</v>
      </c>
      <c r="K300" s="120">
        <v>6</v>
      </c>
      <c r="L300" s="118" t="s">
        <v>403</v>
      </c>
      <c r="M300" s="121" t="str">
        <f>VLOOKUP(K300,[6]stage_hints!$A:$C,3,FALSE)</f>
        <v>ユニット強化の属性ボーナス</v>
      </c>
      <c r="N300" s="122" t="str">
        <f>VLOOKUP(K300,[6]stage_hints!$A:$D,4,FALSE)</f>
        <v>同属性ユニットを強化素材にすると_x000D_経験値が多くもらえます</v>
      </c>
      <c r="O300" s="36" t="s">
        <v>404</v>
      </c>
      <c r="P300">
        <v>6</v>
      </c>
    </row>
    <row r="301" spans="1:16" x14ac:dyDescent="0.15">
      <c r="A301" s="114" t="str">
        <f t="shared" si="4"/>
        <v>11104_4_3</v>
      </c>
      <c r="B301" s="115" t="s">
        <v>231</v>
      </c>
      <c r="C301" s="116">
        <v>11104</v>
      </c>
      <c r="D301" s="117" t="str">
        <f ca="1">VLOOKUP($C301,OFFSET([2]quests!$A$1,0,0,COUNTA([2]quests!$A:$A),MATCH(D$1,[2]quests!$1:$1,0)-MATCH($C$1,[2]quests!$1:$1,0)+1),MATCH(D$1,[2]quests!$1:$1,0)-MATCH($C$1,[2]quests!$1:$1,0)+1,FALSE)</f>
        <v>【期間限定】 緑の素材</v>
      </c>
      <c r="E301" s="117" t="str">
        <f ca="1">VLOOKUP($C301,OFFSET([2]quests!$A$1,0,0,COUNTA([2]quests!$A:$A),MATCH(E$1,[2]quests!$1:$1,0)-MATCH($C$1,[2]quests!$1:$1,0)+1),MATCH(E$1,[2]quests!$1:$1,0)-MATCH($C$1,[2]quests!$1:$1,0)+1,FALSE)</f>
        <v>木曜クエスト</v>
      </c>
      <c r="F301" s="118">
        <v>4</v>
      </c>
      <c r="G301" s="117" t="str">
        <f ca="1">VLOOKUP($C301&amp;"_"&amp;$F301,OFFSET([2]stages!$A$1,0,0,COUNTA([2]stages!$A:$A),MATCH(G$1,[2]stages!$2:$2,0)-MATCH("temp_stage",[2]stages!$2:$2,0)+1),MATCH(G$1,[2]stages!$2:$2,0)-MATCH("temp_stage",[2]stages!$2:$2,0)+1,FALSE)</f>
        <v>【上級】樹のイモムシ</v>
      </c>
      <c r="H301" s="117" t="str">
        <f ca="1">VLOOKUP($C301&amp;"_"&amp;$F301,OFFSET([2]stages!$A$1,0,0,COUNTA([2]stages!$A:$A),MATCH(H$1,[2]stages!$2:$2,0)-MATCH("temp_stage",[2]stages!$2:$2,0)+1),MATCH(H$1,[2]stages!$2:$2,0)-MATCH("temp_stage",[2]stages!$2:$2,0)+1,FALSE)</f>
        <v>木曜クエスト</v>
      </c>
      <c r="I301" s="119">
        <v>0</v>
      </c>
      <c r="J301" s="118">
        <f>COUNTIF(C$1:C301,C301)</f>
        <v>3</v>
      </c>
      <c r="K301" s="120">
        <v>7</v>
      </c>
      <c r="L301" s="118" t="s">
        <v>405</v>
      </c>
      <c r="M301" s="121" t="str">
        <f>VLOOKUP(K301,[6]stage_hints!$A:$C,3,FALSE)</f>
        <v>メタルダックで経験値を獲得</v>
      </c>
      <c r="N301" s="122" t="str">
        <f>VLOOKUP(K301,[6]stage_hints!$A:$D,4,FALSE)</f>
        <v>「メタルなアヒル」を強化素材にすると_x000D_大量の経験値がもらえます</v>
      </c>
      <c r="O301" s="36" t="s">
        <v>235</v>
      </c>
      <c r="P301">
        <v>7</v>
      </c>
    </row>
    <row r="302" spans="1:16" x14ac:dyDescent="0.15">
      <c r="A302" s="114" t="str">
        <f t="shared" si="4"/>
        <v>11104_4_4</v>
      </c>
      <c r="B302" s="115" t="s">
        <v>231</v>
      </c>
      <c r="C302" s="116">
        <v>11104</v>
      </c>
      <c r="D302" s="117" t="str">
        <f ca="1">VLOOKUP($C302,OFFSET([2]quests!$A$1,0,0,COUNTA([2]quests!$A:$A),MATCH(D$1,[2]quests!$1:$1,0)-MATCH($C$1,[2]quests!$1:$1,0)+1),MATCH(D$1,[2]quests!$1:$1,0)-MATCH($C$1,[2]quests!$1:$1,0)+1,FALSE)</f>
        <v>【期間限定】 緑の素材</v>
      </c>
      <c r="E302" s="117" t="str">
        <f ca="1">VLOOKUP($C302,OFFSET([2]quests!$A$1,0,0,COUNTA([2]quests!$A:$A),MATCH(E$1,[2]quests!$1:$1,0)-MATCH($C$1,[2]quests!$1:$1,0)+1),MATCH(E$1,[2]quests!$1:$1,0)-MATCH($C$1,[2]quests!$1:$1,0)+1,FALSE)</f>
        <v>木曜クエスト</v>
      </c>
      <c r="F302" s="118">
        <v>4</v>
      </c>
      <c r="G302" s="117" t="str">
        <f ca="1">VLOOKUP($C302&amp;"_"&amp;$F302,OFFSET([2]stages!$A$1,0,0,COUNTA([2]stages!$A:$A),MATCH(G$1,[2]stages!$2:$2,0)-MATCH("temp_stage",[2]stages!$2:$2,0)+1),MATCH(G$1,[2]stages!$2:$2,0)-MATCH("temp_stage",[2]stages!$2:$2,0)+1,FALSE)</f>
        <v>【上級】樹のイモムシ</v>
      </c>
      <c r="H302" s="117" t="str">
        <f ca="1">VLOOKUP($C302&amp;"_"&amp;$F302,OFFSET([2]stages!$A$1,0,0,COUNTA([2]stages!$A:$A),MATCH(H$1,[2]stages!$2:$2,0)-MATCH("temp_stage",[2]stages!$2:$2,0)+1),MATCH(H$1,[2]stages!$2:$2,0)-MATCH("temp_stage",[2]stages!$2:$2,0)+1,FALSE)</f>
        <v>木曜クエスト</v>
      </c>
      <c r="I302" s="119">
        <v>0</v>
      </c>
      <c r="J302" s="118">
        <f>COUNTIF(C$1:C302,C302)</f>
        <v>4</v>
      </c>
      <c r="K302" s="120">
        <v>8</v>
      </c>
      <c r="L302" s="118" t="s">
        <v>234</v>
      </c>
      <c r="M302" s="121" t="str">
        <f>VLOOKUP(K302,[6]stage_hints!$A:$C,3,FALSE)</f>
        <v>ゲリラクエストは要チェック</v>
      </c>
      <c r="N302" s="122" t="str">
        <f>VLOOKUP(K302,[6]stage_hints!$A:$D,4,FALSE)</f>
        <v>時間限定の「アヒル捕獲作戦」では_x000D_経験値素材ユニットが多く手に入ります</v>
      </c>
      <c r="O302" s="36" t="s">
        <v>235</v>
      </c>
      <c r="P302">
        <v>8</v>
      </c>
    </row>
    <row r="303" spans="1:16" x14ac:dyDescent="0.15">
      <c r="A303" s="114" t="str">
        <f t="shared" si="4"/>
        <v>11104_4_5</v>
      </c>
      <c r="B303" s="115" t="s">
        <v>231</v>
      </c>
      <c r="C303" s="116">
        <v>11104</v>
      </c>
      <c r="D303" s="117" t="str">
        <f ca="1">VLOOKUP($C303,OFFSET([2]quests!$A$1,0,0,COUNTA([2]quests!$A:$A),MATCH(D$1,[2]quests!$1:$1,0)-MATCH($C$1,[2]quests!$1:$1,0)+1),MATCH(D$1,[2]quests!$1:$1,0)-MATCH($C$1,[2]quests!$1:$1,0)+1,FALSE)</f>
        <v>【期間限定】 緑の素材</v>
      </c>
      <c r="E303" s="117" t="str">
        <f ca="1">VLOOKUP($C303,OFFSET([2]quests!$A$1,0,0,COUNTA([2]quests!$A:$A),MATCH(E$1,[2]quests!$1:$1,0)-MATCH($C$1,[2]quests!$1:$1,0)+1),MATCH(E$1,[2]quests!$1:$1,0)-MATCH($C$1,[2]quests!$1:$1,0)+1,FALSE)</f>
        <v>木曜クエスト</v>
      </c>
      <c r="F303" s="118">
        <v>4</v>
      </c>
      <c r="G303" s="117" t="str">
        <f ca="1">VLOOKUP($C303&amp;"_"&amp;$F303,OFFSET([2]stages!$A$1,0,0,COUNTA([2]stages!$A:$A),MATCH(G$1,[2]stages!$2:$2,0)-MATCH("temp_stage",[2]stages!$2:$2,0)+1),MATCH(G$1,[2]stages!$2:$2,0)-MATCH("temp_stage",[2]stages!$2:$2,0)+1,FALSE)</f>
        <v>【上級】樹のイモムシ</v>
      </c>
      <c r="H303" s="117" t="str">
        <f ca="1">VLOOKUP($C303&amp;"_"&amp;$F303,OFFSET([2]stages!$A$1,0,0,COUNTA([2]stages!$A:$A),MATCH(H$1,[2]stages!$2:$2,0)-MATCH("temp_stage",[2]stages!$2:$2,0)+1),MATCH(H$1,[2]stages!$2:$2,0)-MATCH("temp_stage",[2]stages!$2:$2,0)+1,FALSE)</f>
        <v>木曜クエスト</v>
      </c>
      <c r="I303" s="119">
        <v>0</v>
      </c>
      <c r="J303" s="118">
        <f>COUNTIF(C$1:C303,C303)</f>
        <v>5</v>
      </c>
      <c r="K303" s="120">
        <v>9</v>
      </c>
      <c r="L303" s="118" t="s">
        <v>406</v>
      </c>
      <c r="M303" s="121" t="str">
        <f>VLOOKUP(K303,[6]stage_hints!$A:$C,3,FALSE)</f>
        <v>ゴールドダックでビットを獲得</v>
      </c>
      <c r="N303" s="122" t="str">
        <f>VLOOKUP(K303,[6]stage_hints!$A:$D,4,FALSE)</f>
        <v>「ゴールドなアヒル」を売却すると_x000D_大量のビットがもらえます</v>
      </c>
      <c r="O303" s="36" t="s">
        <v>235</v>
      </c>
      <c r="P303">
        <v>9</v>
      </c>
    </row>
    <row r="304" spans="1:16" x14ac:dyDescent="0.15">
      <c r="A304" s="114" t="str">
        <f t="shared" si="4"/>
        <v>11104_4_6</v>
      </c>
      <c r="B304" s="115" t="s">
        <v>231</v>
      </c>
      <c r="C304" s="116">
        <v>11104</v>
      </c>
      <c r="D304" s="117" t="str">
        <f ca="1">VLOOKUP($C304,OFFSET([2]quests!$A$1,0,0,COUNTA([2]quests!$A:$A),MATCH(D$1,[2]quests!$1:$1,0)-MATCH($C$1,[2]quests!$1:$1,0)+1),MATCH(D$1,[2]quests!$1:$1,0)-MATCH($C$1,[2]quests!$1:$1,0)+1,FALSE)</f>
        <v>【期間限定】 緑の素材</v>
      </c>
      <c r="E304" s="117" t="str">
        <f ca="1">VLOOKUP($C304,OFFSET([2]quests!$A$1,0,0,COUNTA([2]quests!$A:$A),MATCH(E$1,[2]quests!$1:$1,0)-MATCH($C$1,[2]quests!$1:$1,0)+1),MATCH(E$1,[2]quests!$1:$1,0)-MATCH($C$1,[2]quests!$1:$1,0)+1,FALSE)</f>
        <v>木曜クエスト</v>
      </c>
      <c r="F304" s="118">
        <v>4</v>
      </c>
      <c r="G304" s="117" t="str">
        <f ca="1">VLOOKUP($C304&amp;"_"&amp;$F304,OFFSET([2]stages!$A$1,0,0,COUNTA([2]stages!$A:$A),MATCH(G$1,[2]stages!$2:$2,0)-MATCH("temp_stage",[2]stages!$2:$2,0)+1),MATCH(G$1,[2]stages!$2:$2,0)-MATCH("temp_stage",[2]stages!$2:$2,0)+1,FALSE)</f>
        <v>【上級】樹のイモムシ</v>
      </c>
      <c r="H304" s="117" t="str">
        <f ca="1">VLOOKUP($C304&amp;"_"&amp;$F304,OFFSET([2]stages!$A$1,0,0,COUNTA([2]stages!$A:$A),MATCH(H$1,[2]stages!$2:$2,0)-MATCH("temp_stage",[2]stages!$2:$2,0)+1),MATCH(H$1,[2]stages!$2:$2,0)-MATCH("temp_stage",[2]stages!$2:$2,0)+1,FALSE)</f>
        <v>木曜クエスト</v>
      </c>
      <c r="I304" s="119">
        <v>0</v>
      </c>
      <c r="J304" s="118">
        <f>COUNTIF(C$1:C304,C304)</f>
        <v>6</v>
      </c>
      <c r="K304" s="120">
        <v>10</v>
      </c>
      <c r="L304" s="118" t="s">
        <v>407</v>
      </c>
      <c r="M304" s="121" t="str">
        <f>VLOOKUP(K304,[6]stage_hints!$A:$C,3,FALSE)</f>
        <v>土日に大量のビットを獲得</v>
      </c>
      <c r="N304" s="122" t="str">
        <f>VLOOKUP(K304,[6]stage_hints!$A:$D,4,FALSE)</f>
        <v>土日限定の「ゴールドカジノ」では_x000D_売却素材ユニットが多く手に入ります</v>
      </c>
      <c r="O304" s="36" t="s">
        <v>408</v>
      </c>
      <c r="P304">
        <v>10</v>
      </c>
    </row>
    <row r="305" spans="1:16" x14ac:dyDescent="0.15">
      <c r="A305" s="114" t="str">
        <f t="shared" si="4"/>
        <v>11104_4_7</v>
      </c>
      <c r="B305" s="115" t="s">
        <v>231</v>
      </c>
      <c r="C305" s="116">
        <v>11104</v>
      </c>
      <c r="D305" s="117" t="str">
        <f ca="1">VLOOKUP($C305,OFFSET([2]quests!$A$1,0,0,COUNTA([2]quests!$A:$A),MATCH(D$1,[2]quests!$1:$1,0)-MATCH($C$1,[2]quests!$1:$1,0)+1),MATCH(D$1,[2]quests!$1:$1,0)-MATCH($C$1,[2]quests!$1:$1,0)+1,FALSE)</f>
        <v>【期間限定】 緑の素材</v>
      </c>
      <c r="E305" s="117" t="str">
        <f ca="1">VLOOKUP($C305,OFFSET([2]quests!$A$1,0,0,COUNTA([2]quests!$A:$A),MATCH(E$1,[2]quests!$1:$1,0)-MATCH($C$1,[2]quests!$1:$1,0)+1),MATCH(E$1,[2]quests!$1:$1,0)-MATCH($C$1,[2]quests!$1:$1,0)+1,FALSE)</f>
        <v>木曜クエスト</v>
      </c>
      <c r="F305" s="118">
        <v>4</v>
      </c>
      <c r="G305" s="117" t="str">
        <f ca="1">VLOOKUP($C305&amp;"_"&amp;$F305,OFFSET([2]stages!$A$1,0,0,COUNTA([2]stages!$A:$A),MATCH(G$1,[2]stages!$2:$2,0)-MATCH("temp_stage",[2]stages!$2:$2,0)+1),MATCH(G$1,[2]stages!$2:$2,0)-MATCH("temp_stage",[2]stages!$2:$2,0)+1,FALSE)</f>
        <v>【上級】樹のイモムシ</v>
      </c>
      <c r="H305" s="117" t="str">
        <f ca="1">VLOOKUP($C305&amp;"_"&amp;$F305,OFFSET([2]stages!$A$1,0,0,COUNTA([2]stages!$A:$A),MATCH(H$1,[2]stages!$2:$2,0)-MATCH("temp_stage",[2]stages!$2:$2,0)+1),MATCH(H$1,[2]stages!$2:$2,0)-MATCH("temp_stage",[2]stages!$2:$2,0)+1,FALSE)</f>
        <v>木曜クエスト</v>
      </c>
      <c r="I305" s="119">
        <v>0</v>
      </c>
      <c r="J305" s="118">
        <f>COUNTIF(C$1:C305,C305)</f>
        <v>7</v>
      </c>
      <c r="K305" s="120">
        <v>11</v>
      </c>
      <c r="L305" s="118" t="s">
        <v>279</v>
      </c>
      <c r="M305" s="121" t="str">
        <f>VLOOKUP(K305,[6]stage_hints!$A:$C,3,FALSE)</f>
        <v>ランク解放クエスト</v>
      </c>
      <c r="N305" s="122" t="str">
        <f>VLOOKUP(K305,[6]stage_hints!$A:$D,4,FALSE)</f>
        <v>一定ランクに到達すると_x000D_報酬付きのランク開放クエストが現れます</v>
      </c>
      <c r="O305" s="36" t="s">
        <v>409</v>
      </c>
      <c r="P305">
        <v>11</v>
      </c>
    </row>
    <row r="306" spans="1:16" x14ac:dyDescent="0.15">
      <c r="A306" s="114" t="str">
        <f t="shared" si="4"/>
        <v>11104_4_8</v>
      </c>
      <c r="B306" s="115" t="s">
        <v>231</v>
      </c>
      <c r="C306" s="116">
        <v>11104</v>
      </c>
      <c r="D306" s="117" t="str">
        <f ca="1">VLOOKUP($C306,OFFSET([2]quests!$A$1,0,0,COUNTA([2]quests!$A:$A),MATCH(D$1,[2]quests!$1:$1,0)-MATCH($C$1,[2]quests!$1:$1,0)+1),MATCH(D$1,[2]quests!$1:$1,0)-MATCH($C$1,[2]quests!$1:$1,0)+1,FALSE)</f>
        <v>【期間限定】 緑の素材</v>
      </c>
      <c r="E306" s="117" t="str">
        <f ca="1">VLOOKUP($C306,OFFSET([2]quests!$A$1,0,0,COUNTA([2]quests!$A:$A),MATCH(E$1,[2]quests!$1:$1,0)-MATCH($C$1,[2]quests!$1:$1,0)+1),MATCH(E$1,[2]quests!$1:$1,0)-MATCH($C$1,[2]quests!$1:$1,0)+1,FALSE)</f>
        <v>木曜クエスト</v>
      </c>
      <c r="F306" s="118">
        <v>4</v>
      </c>
      <c r="G306" s="117" t="str">
        <f ca="1">VLOOKUP($C306&amp;"_"&amp;$F306,OFFSET([2]stages!$A$1,0,0,COUNTA([2]stages!$A:$A),MATCH(G$1,[2]stages!$2:$2,0)-MATCH("temp_stage",[2]stages!$2:$2,0)+1),MATCH(G$1,[2]stages!$2:$2,0)-MATCH("temp_stage",[2]stages!$2:$2,0)+1,FALSE)</f>
        <v>【上級】樹のイモムシ</v>
      </c>
      <c r="H306" s="117" t="str">
        <f ca="1">VLOOKUP($C306&amp;"_"&amp;$F306,OFFSET([2]stages!$A$1,0,0,COUNTA([2]stages!$A:$A),MATCH(H$1,[2]stages!$2:$2,0)-MATCH("temp_stage",[2]stages!$2:$2,0)+1),MATCH(H$1,[2]stages!$2:$2,0)-MATCH("temp_stage",[2]stages!$2:$2,0)+1,FALSE)</f>
        <v>木曜クエスト</v>
      </c>
      <c r="I306" s="119">
        <v>0</v>
      </c>
      <c r="J306" s="118">
        <f>COUNTIF(C$1:C306,C306)</f>
        <v>8</v>
      </c>
      <c r="K306" s="120">
        <v>12</v>
      </c>
      <c r="L306" s="118" t="s">
        <v>279</v>
      </c>
      <c r="M306" s="121" t="str">
        <f>VLOOKUP(K306,[6]stage_hints!$A:$C,3,FALSE)</f>
        <v>ユニットのお気に入り登録</v>
      </c>
      <c r="N306" s="122" t="str">
        <f>VLOOKUP(K306,[6]stage_hints!$A:$D,4,FALSE)</f>
        <v>大事なユニットを誤って消さないように_x000D_フォルダから「お気に入り登録」しましょう</v>
      </c>
      <c r="O306" s="36" t="s">
        <v>409</v>
      </c>
      <c r="P306">
        <v>12</v>
      </c>
    </row>
    <row r="307" spans="1:16" x14ac:dyDescent="0.15">
      <c r="A307" s="114" t="str">
        <f t="shared" si="4"/>
        <v>11104_4_9</v>
      </c>
      <c r="B307" s="115" t="s">
        <v>231</v>
      </c>
      <c r="C307" s="116">
        <v>11104</v>
      </c>
      <c r="D307" s="117" t="str">
        <f ca="1">VLOOKUP($C307,OFFSET([2]quests!$A$1,0,0,COUNTA([2]quests!$A:$A),MATCH(D$1,[2]quests!$1:$1,0)-MATCH($C$1,[2]quests!$1:$1,0)+1),MATCH(D$1,[2]quests!$1:$1,0)-MATCH($C$1,[2]quests!$1:$1,0)+1,FALSE)</f>
        <v>【期間限定】 緑の素材</v>
      </c>
      <c r="E307" s="117" t="str">
        <f ca="1">VLOOKUP($C307,OFFSET([2]quests!$A$1,0,0,COUNTA([2]quests!$A:$A),MATCH(E$1,[2]quests!$1:$1,0)-MATCH($C$1,[2]quests!$1:$1,0)+1),MATCH(E$1,[2]quests!$1:$1,0)-MATCH($C$1,[2]quests!$1:$1,0)+1,FALSE)</f>
        <v>木曜クエスト</v>
      </c>
      <c r="F307" s="118">
        <v>4</v>
      </c>
      <c r="G307" s="117" t="str">
        <f ca="1">VLOOKUP($C307&amp;"_"&amp;$F307,OFFSET([2]stages!$A$1,0,0,COUNTA([2]stages!$A:$A),MATCH(G$1,[2]stages!$2:$2,0)-MATCH("temp_stage",[2]stages!$2:$2,0)+1),MATCH(G$1,[2]stages!$2:$2,0)-MATCH("temp_stage",[2]stages!$2:$2,0)+1,FALSE)</f>
        <v>【上級】樹のイモムシ</v>
      </c>
      <c r="H307" s="117" t="str">
        <f ca="1">VLOOKUP($C307&amp;"_"&amp;$F307,OFFSET([2]stages!$A$1,0,0,COUNTA([2]stages!$A:$A),MATCH(H$1,[2]stages!$2:$2,0)-MATCH("temp_stage",[2]stages!$2:$2,0)+1),MATCH(H$1,[2]stages!$2:$2,0)-MATCH("temp_stage",[2]stages!$2:$2,0)+1,FALSE)</f>
        <v>木曜クエスト</v>
      </c>
      <c r="I307" s="119">
        <v>0</v>
      </c>
      <c r="J307" s="118">
        <f>COUNTIF(C$1:C307,C307)</f>
        <v>9</v>
      </c>
      <c r="K307" s="120">
        <v>13</v>
      </c>
      <c r="L307" s="118" t="s">
        <v>279</v>
      </c>
      <c r="M307" s="121" t="str">
        <f>VLOOKUP(K307,[6]stage_hints!$A:$C,3,FALSE)</f>
        <v>ユニットの覚醒</v>
      </c>
      <c r="N307" s="122" t="str">
        <f>VLOOKUP(K307,[6]stage_hints!$A:$D,4,FALSE)</f>
        <v>ユニットを覚醒させると_x000D_比べものにならない強さが手に入ります</v>
      </c>
      <c r="O307" s="36" t="s">
        <v>409</v>
      </c>
      <c r="P307">
        <v>13</v>
      </c>
    </row>
    <row r="308" spans="1:16" x14ac:dyDescent="0.15">
      <c r="A308" s="114" t="str">
        <f t="shared" si="4"/>
        <v>11104_4_10</v>
      </c>
      <c r="B308" s="115" t="s">
        <v>231</v>
      </c>
      <c r="C308" s="116">
        <v>11104</v>
      </c>
      <c r="D308" s="117" t="str">
        <f ca="1">VLOOKUP($C308,OFFSET([2]quests!$A$1,0,0,COUNTA([2]quests!$A:$A),MATCH(D$1,[2]quests!$1:$1,0)-MATCH($C$1,[2]quests!$1:$1,0)+1),MATCH(D$1,[2]quests!$1:$1,0)-MATCH($C$1,[2]quests!$1:$1,0)+1,FALSE)</f>
        <v>【期間限定】 緑の素材</v>
      </c>
      <c r="E308" s="117" t="str">
        <f ca="1">VLOOKUP($C308,OFFSET([2]quests!$A$1,0,0,COUNTA([2]quests!$A:$A),MATCH(E$1,[2]quests!$1:$1,0)-MATCH($C$1,[2]quests!$1:$1,0)+1),MATCH(E$1,[2]quests!$1:$1,0)-MATCH($C$1,[2]quests!$1:$1,0)+1,FALSE)</f>
        <v>木曜クエスト</v>
      </c>
      <c r="F308" s="118">
        <v>4</v>
      </c>
      <c r="G308" s="117" t="str">
        <f ca="1">VLOOKUP($C308&amp;"_"&amp;$F308,OFFSET([2]stages!$A$1,0,0,COUNTA([2]stages!$A:$A),MATCH(G$1,[2]stages!$2:$2,0)-MATCH("temp_stage",[2]stages!$2:$2,0)+1),MATCH(G$1,[2]stages!$2:$2,0)-MATCH("temp_stage",[2]stages!$2:$2,0)+1,FALSE)</f>
        <v>【上級】樹のイモムシ</v>
      </c>
      <c r="H308" s="117" t="str">
        <f ca="1">VLOOKUP($C308&amp;"_"&amp;$F308,OFFSET([2]stages!$A$1,0,0,COUNTA([2]stages!$A:$A),MATCH(H$1,[2]stages!$2:$2,0)-MATCH("temp_stage",[2]stages!$2:$2,0)+1),MATCH(H$1,[2]stages!$2:$2,0)-MATCH("temp_stage",[2]stages!$2:$2,0)+1,FALSE)</f>
        <v>木曜クエスト</v>
      </c>
      <c r="I308" s="119">
        <v>0</v>
      </c>
      <c r="J308" s="118">
        <f>COUNTIF(C$1:C308,C308)</f>
        <v>10</v>
      </c>
      <c r="K308" s="120">
        <v>14</v>
      </c>
      <c r="L308" s="118" t="s">
        <v>234</v>
      </c>
      <c r="M308" s="121" t="str">
        <f>VLOOKUP(K308,[6]stage_hints!$A:$C,3,FALSE)</f>
        <v>覚醒するにはレベルを最大に</v>
      </c>
      <c r="N308" s="122" t="str">
        <f>VLOOKUP(K308,[6]stage_hints!$A:$D,4,FALSE)</f>
        <v>覚醒するにはユニットのレベルを_x000D_最大まで上げる必要があります</v>
      </c>
      <c r="O308" s="36" t="s">
        <v>235</v>
      </c>
      <c r="P308">
        <v>14</v>
      </c>
    </row>
    <row r="309" spans="1:16" x14ac:dyDescent="0.15">
      <c r="A309" s="114" t="str">
        <f t="shared" si="4"/>
        <v>11104_4_11</v>
      </c>
      <c r="B309" s="115" t="s">
        <v>231</v>
      </c>
      <c r="C309" s="116">
        <v>11104</v>
      </c>
      <c r="D309" s="117" t="str">
        <f ca="1">VLOOKUP($C309,OFFSET([2]quests!$A$1,0,0,COUNTA([2]quests!$A:$A),MATCH(D$1,[2]quests!$1:$1,0)-MATCH($C$1,[2]quests!$1:$1,0)+1),MATCH(D$1,[2]quests!$1:$1,0)-MATCH($C$1,[2]quests!$1:$1,0)+1,FALSE)</f>
        <v>【期間限定】 緑の素材</v>
      </c>
      <c r="E309" s="117" t="str">
        <f ca="1">VLOOKUP($C309,OFFSET([2]quests!$A$1,0,0,COUNTA([2]quests!$A:$A),MATCH(E$1,[2]quests!$1:$1,0)-MATCH($C$1,[2]quests!$1:$1,0)+1),MATCH(E$1,[2]quests!$1:$1,0)-MATCH($C$1,[2]quests!$1:$1,0)+1,FALSE)</f>
        <v>木曜クエスト</v>
      </c>
      <c r="F309" s="118">
        <v>4</v>
      </c>
      <c r="G309" s="117" t="str">
        <f ca="1">VLOOKUP($C309&amp;"_"&amp;$F309,OFFSET([2]stages!$A$1,0,0,COUNTA([2]stages!$A:$A),MATCH(G$1,[2]stages!$2:$2,0)-MATCH("temp_stage",[2]stages!$2:$2,0)+1),MATCH(G$1,[2]stages!$2:$2,0)-MATCH("temp_stage",[2]stages!$2:$2,0)+1,FALSE)</f>
        <v>【上級】樹のイモムシ</v>
      </c>
      <c r="H309" s="117" t="str">
        <f ca="1">VLOOKUP($C309&amp;"_"&amp;$F309,OFFSET([2]stages!$A$1,0,0,COUNTA([2]stages!$A:$A),MATCH(H$1,[2]stages!$2:$2,0)-MATCH("temp_stage",[2]stages!$2:$2,0)+1),MATCH(H$1,[2]stages!$2:$2,0)-MATCH("temp_stage",[2]stages!$2:$2,0)+1,FALSE)</f>
        <v>木曜クエスト</v>
      </c>
      <c r="I309" s="119">
        <v>0</v>
      </c>
      <c r="J309" s="118">
        <f>COUNTIF(C$1:C309,C309)</f>
        <v>11</v>
      </c>
      <c r="K309" s="120">
        <v>15</v>
      </c>
      <c r="L309" s="118" t="s">
        <v>234</v>
      </c>
      <c r="M309" s="121" t="str">
        <f>VLOOKUP(K309,[6]stage_hints!$A:$C,3,FALSE)</f>
        <v>覚醒素材を獲得</v>
      </c>
      <c r="N309" s="122" t="str">
        <f>VLOOKUP(K309,[6]stage_hints!$A:$D,4,FALSE)</f>
        <v>「曜日クエスト」では_x000D_ユニットの覚醒に必要な素材が手に入ります</v>
      </c>
      <c r="O309" s="36" t="s">
        <v>235</v>
      </c>
      <c r="P309">
        <v>15</v>
      </c>
    </row>
    <row r="310" spans="1:16" x14ac:dyDescent="0.15">
      <c r="A310" s="114" t="str">
        <f t="shared" si="4"/>
        <v>11104_4_12</v>
      </c>
      <c r="B310" s="115" t="s">
        <v>231</v>
      </c>
      <c r="C310" s="116">
        <v>11104</v>
      </c>
      <c r="D310" s="117" t="str">
        <f ca="1">VLOOKUP($C310,OFFSET([2]quests!$A$1,0,0,COUNTA([2]quests!$A:$A),MATCH(D$1,[2]quests!$1:$1,0)-MATCH($C$1,[2]quests!$1:$1,0)+1),MATCH(D$1,[2]quests!$1:$1,0)-MATCH($C$1,[2]quests!$1:$1,0)+1,FALSE)</f>
        <v>【期間限定】 緑の素材</v>
      </c>
      <c r="E310" s="117" t="str">
        <f ca="1">VLOOKUP($C310,OFFSET([2]quests!$A$1,0,0,COUNTA([2]quests!$A:$A),MATCH(E$1,[2]quests!$1:$1,0)-MATCH($C$1,[2]quests!$1:$1,0)+1),MATCH(E$1,[2]quests!$1:$1,0)-MATCH($C$1,[2]quests!$1:$1,0)+1,FALSE)</f>
        <v>木曜クエスト</v>
      </c>
      <c r="F310" s="118">
        <v>4</v>
      </c>
      <c r="G310" s="117" t="str">
        <f ca="1">VLOOKUP($C310&amp;"_"&amp;$F310,OFFSET([2]stages!$A$1,0,0,COUNTA([2]stages!$A:$A),MATCH(G$1,[2]stages!$2:$2,0)-MATCH("temp_stage",[2]stages!$2:$2,0)+1),MATCH(G$1,[2]stages!$2:$2,0)-MATCH("temp_stage",[2]stages!$2:$2,0)+1,FALSE)</f>
        <v>【上級】樹のイモムシ</v>
      </c>
      <c r="H310" s="117" t="str">
        <f ca="1">VLOOKUP($C310&amp;"_"&amp;$F310,OFFSET([2]stages!$A$1,0,0,COUNTA([2]stages!$A:$A),MATCH(H$1,[2]stages!$2:$2,0)-MATCH("temp_stage",[2]stages!$2:$2,0)+1),MATCH(H$1,[2]stages!$2:$2,0)-MATCH("temp_stage",[2]stages!$2:$2,0)+1,FALSE)</f>
        <v>木曜クエスト</v>
      </c>
      <c r="I310" s="119">
        <v>0</v>
      </c>
      <c r="J310" s="118">
        <f>COUNTIF(C$1:C310,C310)</f>
        <v>12</v>
      </c>
      <c r="K310" s="120">
        <v>16</v>
      </c>
      <c r="L310" s="118" t="s">
        <v>410</v>
      </c>
      <c r="M310" s="121" t="str">
        <f>VLOOKUP(K310,[6]stage_hints!$A:$C,3,FALSE)</f>
        <v>マルチプレイのメリット（その1）</v>
      </c>
      <c r="N310" s="122" t="str">
        <f>VLOOKUP(K310,[6]stage_hints!$A:$D,4,FALSE)</f>
        <v>他のプレイヤーとマルチプレイで遊ぶと_x000D_ポリゴンがもらえます（100人まで）</v>
      </c>
      <c r="O310" s="36" t="s">
        <v>235</v>
      </c>
      <c r="P310">
        <v>16</v>
      </c>
    </row>
    <row r="311" spans="1:16" x14ac:dyDescent="0.15">
      <c r="A311" s="114" t="str">
        <f t="shared" si="4"/>
        <v>11104_4_13</v>
      </c>
      <c r="B311" s="115" t="s">
        <v>231</v>
      </c>
      <c r="C311" s="116">
        <v>11104</v>
      </c>
      <c r="D311" s="117" t="str">
        <f ca="1">VLOOKUP($C311,OFFSET([2]quests!$A$1,0,0,COUNTA([2]quests!$A:$A),MATCH(D$1,[2]quests!$1:$1,0)-MATCH($C$1,[2]quests!$1:$1,0)+1),MATCH(D$1,[2]quests!$1:$1,0)-MATCH($C$1,[2]quests!$1:$1,0)+1,FALSE)</f>
        <v>【期間限定】 緑の素材</v>
      </c>
      <c r="E311" s="117" t="str">
        <f ca="1">VLOOKUP($C311,OFFSET([2]quests!$A$1,0,0,COUNTA([2]quests!$A:$A),MATCH(E$1,[2]quests!$1:$1,0)-MATCH($C$1,[2]quests!$1:$1,0)+1),MATCH(E$1,[2]quests!$1:$1,0)-MATCH($C$1,[2]quests!$1:$1,0)+1,FALSE)</f>
        <v>木曜クエスト</v>
      </c>
      <c r="F311" s="118">
        <v>4</v>
      </c>
      <c r="G311" s="117" t="str">
        <f ca="1">VLOOKUP($C311&amp;"_"&amp;$F311,OFFSET([2]stages!$A$1,0,0,COUNTA([2]stages!$A:$A),MATCH(G$1,[2]stages!$2:$2,0)-MATCH("temp_stage",[2]stages!$2:$2,0)+1),MATCH(G$1,[2]stages!$2:$2,0)-MATCH("temp_stage",[2]stages!$2:$2,0)+1,FALSE)</f>
        <v>【上級】樹のイモムシ</v>
      </c>
      <c r="H311" s="117" t="str">
        <f ca="1">VLOOKUP($C311&amp;"_"&amp;$F311,OFFSET([2]stages!$A$1,0,0,COUNTA([2]stages!$A:$A),MATCH(H$1,[2]stages!$2:$2,0)-MATCH("temp_stage",[2]stages!$2:$2,0)+1),MATCH(H$1,[2]stages!$2:$2,0)-MATCH("temp_stage",[2]stages!$2:$2,0)+1,FALSE)</f>
        <v>木曜クエスト</v>
      </c>
      <c r="I311" s="119">
        <v>0</v>
      </c>
      <c r="J311" s="118">
        <f>COUNTIF(C$1:C311,C311)</f>
        <v>13</v>
      </c>
      <c r="K311" s="120">
        <v>17</v>
      </c>
      <c r="L311" s="118" t="s">
        <v>234</v>
      </c>
      <c r="M311" s="121" t="str">
        <f>VLOOKUP(K311,[6]stage_hints!$A:$C,3,FALSE)</f>
        <v>リンクガチャ</v>
      </c>
      <c r="N311" s="122" t="str">
        <f>VLOOKUP(K311,[6]stage_hints!$A:$D,4,FALSE)</f>
        <v>無料のリンクガチャを回して_x000D_経験値素材や売却素材を獲得しましょう</v>
      </c>
      <c r="O311" s="36" t="s">
        <v>235</v>
      </c>
      <c r="P311">
        <v>17</v>
      </c>
    </row>
    <row r="312" spans="1:16" x14ac:dyDescent="0.15">
      <c r="A312" s="114" t="str">
        <f t="shared" si="4"/>
        <v>11104_4_14</v>
      </c>
      <c r="B312" s="115" t="s">
        <v>231</v>
      </c>
      <c r="C312" s="116">
        <v>11104</v>
      </c>
      <c r="D312" s="117" t="str">
        <f ca="1">VLOOKUP($C312,OFFSET([2]quests!$A$1,0,0,COUNTA([2]quests!$A:$A),MATCH(D$1,[2]quests!$1:$1,0)-MATCH($C$1,[2]quests!$1:$1,0)+1),MATCH(D$1,[2]quests!$1:$1,0)-MATCH($C$1,[2]quests!$1:$1,0)+1,FALSE)</f>
        <v>【期間限定】 緑の素材</v>
      </c>
      <c r="E312" s="117" t="str">
        <f ca="1">VLOOKUP($C312,OFFSET([2]quests!$A$1,0,0,COUNTA([2]quests!$A:$A),MATCH(E$1,[2]quests!$1:$1,0)-MATCH($C$1,[2]quests!$1:$1,0)+1),MATCH(E$1,[2]quests!$1:$1,0)-MATCH($C$1,[2]quests!$1:$1,0)+1,FALSE)</f>
        <v>木曜クエスト</v>
      </c>
      <c r="F312" s="118">
        <v>4</v>
      </c>
      <c r="G312" s="117" t="str">
        <f ca="1">VLOOKUP($C312&amp;"_"&amp;$F312,OFFSET([2]stages!$A$1,0,0,COUNTA([2]stages!$A:$A),MATCH(G$1,[2]stages!$2:$2,0)-MATCH("temp_stage",[2]stages!$2:$2,0)+1),MATCH(G$1,[2]stages!$2:$2,0)-MATCH("temp_stage",[2]stages!$2:$2,0)+1,FALSE)</f>
        <v>【上級】樹のイモムシ</v>
      </c>
      <c r="H312" s="117" t="str">
        <f ca="1">VLOOKUP($C312&amp;"_"&amp;$F312,OFFSET([2]stages!$A$1,0,0,COUNTA([2]stages!$A:$A),MATCH(H$1,[2]stages!$2:$2,0)-MATCH("temp_stage",[2]stages!$2:$2,0)+1),MATCH(H$1,[2]stages!$2:$2,0)-MATCH("temp_stage",[2]stages!$2:$2,0)+1,FALSE)</f>
        <v>木曜クエスト</v>
      </c>
      <c r="I312" s="119">
        <v>0</v>
      </c>
      <c r="J312" s="118">
        <f>COUNTIF(C$1:C312,C312)</f>
        <v>14</v>
      </c>
      <c r="K312" s="120">
        <v>18</v>
      </c>
      <c r="L312" s="118" t="s">
        <v>234</v>
      </c>
      <c r="M312" s="121" t="str">
        <f>VLOOKUP(K312,[6]stage_hints!$A:$C,3,FALSE)</f>
        <v>マルチプレイのメリット（その2）</v>
      </c>
      <c r="N312" s="122" t="str">
        <f>VLOOKUP(K312,[6]stage_hints!$A:$D,4,FALSE)</f>
        <v>マルチプレイならリンクが2倍もらえます_x000D_リンクガチャをたくさん回しましょう</v>
      </c>
      <c r="O312" s="36" t="s">
        <v>235</v>
      </c>
      <c r="P312">
        <v>18</v>
      </c>
    </row>
    <row r="313" spans="1:16" x14ac:dyDescent="0.15">
      <c r="A313" s="114" t="str">
        <f t="shared" si="4"/>
        <v>11104_4_15</v>
      </c>
      <c r="B313" s="115" t="s">
        <v>231</v>
      </c>
      <c r="C313" s="116">
        <v>11104</v>
      </c>
      <c r="D313" s="117" t="str">
        <f ca="1">VLOOKUP($C313,OFFSET([2]quests!$A$1,0,0,COUNTA([2]quests!$A:$A),MATCH(D$1,[2]quests!$1:$1,0)-MATCH($C$1,[2]quests!$1:$1,0)+1),MATCH(D$1,[2]quests!$1:$1,0)-MATCH($C$1,[2]quests!$1:$1,0)+1,FALSE)</f>
        <v>【期間限定】 緑の素材</v>
      </c>
      <c r="E313" s="117" t="str">
        <f ca="1">VLOOKUP($C313,OFFSET([2]quests!$A$1,0,0,COUNTA([2]quests!$A:$A),MATCH(E$1,[2]quests!$1:$1,0)-MATCH($C$1,[2]quests!$1:$1,0)+1),MATCH(E$1,[2]quests!$1:$1,0)-MATCH($C$1,[2]quests!$1:$1,0)+1,FALSE)</f>
        <v>木曜クエスト</v>
      </c>
      <c r="F313" s="118">
        <v>4</v>
      </c>
      <c r="G313" s="117" t="str">
        <f ca="1">VLOOKUP($C313&amp;"_"&amp;$F313,OFFSET([2]stages!$A$1,0,0,COUNTA([2]stages!$A:$A),MATCH(G$1,[2]stages!$2:$2,0)-MATCH("temp_stage",[2]stages!$2:$2,0)+1),MATCH(G$1,[2]stages!$2:$2,0)-MATCH("temp_stage",[2]stages!$2:$2,0)+1,FALSE)</f>
        <v>【上級】樹のイモムシ</v>
      </c>
      <c r="H313" s="117" t="str">
        <f ca="1">VLOOKUP($C313&amp;"_"&amp;$F313,OFFSET([2]stages!$A$1,0,0,COUNTA([2]stages!$A:$A),MATCH(H$1,[2]stages!$2:$2,0)-MATCH("temp_stage",[2]stages!$2:$2,0)+1),MATCH(H$1,[2]stages!$2:$2,0)-MATCH("temp_stage",[2]stages!$2:$2,0)+1,FALSE)</f>
        <v>木曜クエスト</v>
      </c>
      <c r="I313" s="119">
        <v>0</v>
      </c>
      <c r="J313" s="118">
        <f>COUNTIF(C$1:C313,C313)</f>
        <v>15</v>
      </c>
      <c r="K313" s="120">
        <v>19</v>
      </c>
      <c r="L313" s="118" t="s">
        <v>234</v>
      </c>
      <c r="M313" s="121" t="str">
        <f>VLOOKUP(K313,[6]stage_hints!$A:$C,3,FALSE)</f>
        <v>ソロ専用タワーオブザクイーン</v>
      </c>
      <c r="N313" s="122" t="str">
        <f>VLOOKUP(K313,[6]stage_hints!$A:$D,4,FALSE)</f>
        <v>ソロ専用の「タワーオブザクイーン」は_x000D_期間限定で定期的に開催されます_x000D_ここでしか獲得できない報酬もあるようです</v>
      </c>
      <c r="O313" s="36" t="s">
        <v>235</v>
      </c>
      <c r="P313">
        <v>19</v>
      </c>
    </row>
    <row r="314" spans="1:16" x14ac:dyDescent="0.15">
      <c r="A314" s="114" t="str">
        <f t="shared" si="4"/>
        <v>11104_4_16</v>
      </c>
      <c r="B314" s="115" t="s">
        <v>231</v>
      </c>
      <c r="C314" s="116">
        <v>11104</v>
      </c>
      <c r="D314" s="117" t="str">
        <f ca="1">VLOOKUP($C314,OFFSET([2]quests!$A$1,0,0,COUNTA([2]quests!$A:$A),MATCH(D$1,[2]quests!$1:$1,0)-MATCH($C$1,[2]quests!$1:$1,0)+1),MATCH(D$1,[2]quests!$1:$1,0)-MATCH($C$1,[2]quests!$1:$1,0)+1,FALSE)</f>
        <v>【期間限定】 緑の素材</v>
      </c>
      <c r="E314" s="117" t="str">
        <f ca="1">VLOOKUP($C314,OFFSET([2]quests!$A$1,0,0,COUNTA([2]quests!$A:$A),MATCH(E$1,[2]quests!$1:$1,0)-MATCH($C$1,[2]quests!$1:$1,0)+1),MATCH(E$1,[2]quests!$1:$1,0)-MATCH($C$1,[2]quests!$1:$1,0)+1,FALSE)</f>
        <v>木曜クエスト</v>
      </c>
      <c r="F314" s="118">
        <v>4</v>
      </c>
      <c r="G314" s="117" t="str">
        <f ca="1">VLOOKUP($C314&amp;"_"&amp;$F314,OFFSET([2]stages!$A$1,0,0,COUNTA([2]stages!$A:$A),MATCH(G$1,[2]stages!$2:$2,0)-MATCH("temp_stage",[2]stages!$2:$2,0)+1),MATCH(G$1,[2]stages!$2:$2,0)-MATCH("temp_stage",[2]stages!$2:$2,0)+1,FALSE)</f>
        <v>【上級】樹のイモムシ</v>
      </c>
      <c r="H314" s="117" t="str">
        <f ca="1">VLOOKUP($C314&amp;"_"&amp;$F314,OFFSET([2]stages!$A$1,0,0,COUNTA([2]stages!$A:$A),MATCH(H$1,[2]stages!$2:$2,0)-MATCH("temp_stage",[2]stages!$2:$2,0)+1),MATCH(H$1,[2]stages!$2:$2,0)-MATCH("temp_stage",[2]stages!$2:$2,0)+1,FALSE)</f>
        <v>木曜クエスト</v>
      </c>
      <c r="I314" s="119">
        <v>0</v>
      </c>
      <c r="J314" s="118">
        <f>COUNTIF(C$1:C314,C314)</f>
        <v>16</v>
      </c>
      <c r="K314" s="120">
        <v>20</v>
      </c>
      <c r="L314" s="118" t="s">
        <v>234</v>
      </c>
      <c r="M314" s="121" t="str">
        <f>VLOOKUP(K314,[6]stage_hints!$A:$C,3,FALSE)</f>
        <v>マルチプレイのメリット（その3）</v>
      </c>
      <c r="N314" s="122" t="str">
        <f>VLOOKUP(K314,[6]stage_hints!$A:$D,4,FALSE)</f>
        <v>マルチプレイへの参加はエナジー消費ゼロ_x000D_いつでも好きなだけ遊ぶことができます</v>
      </c>
      <c r="O314" s="36" t="s">
        <v>235</v>
      </c>
      <c r="P314">
        <v>20</v>
      </c>
    </row>
    <row r="315" spans="1:16" x14ac:dyDescent="0.15">
      <c r="A315" s="114" t="str">
        <f t="shared" si="4"/>
        <v>11104_4_17</v>
      </c>
      <c r="B315" s="115" t="s">
        <v>231</v>
      </c>
      <c r="C315" s="116">
        <v>11104</v>
      </c>
      <c r="D315" s="117" t="str">
        <f ca="1">VLOOKUP($C315,OFFSET([2]quests!$A$1,0,0,COUNTA([2]quests!$A:$A),MATCH(D$1,[2]quests!$1:$1,0)-MATCH($C$1,[2]quests!$1:$1,0)+1),MATCH(D$1,[2]quests!$1:$1,0)-MATCH($C$1,[2]quests!$1:$1,0)+1,FALSE)</f>
        <v>【期間限定】 緑の素材</v>
      </c>
      <c r="E315" s="117" t="str">
        <f ca="1">VLOOKUP($C315,OFFSET([2]quests!$A$1,0,0,COUNTA([2]quests!$A:$A),MATCH(E$1,[2]quests!$1:$1,0)-MATCH($C$1,[2]quests!$1:$1,0)+1),MATCH(E$1,[2]quests!$1:$1,0)-MATCH($C$1,[2]quests!$1:$1,0)+1,FALSE)</f>
        <v>木曜クエスト</v>
      </c>
      <c r="F315" s="118">
        <v>4</v>
      </c>
      <c r="G315" s="117" t="str">
        <f ca="1">VLOOKUP($C315&amp;"_"&amp;$F315,OFFSET([2]stages!$A$1,0,0,COUNTA([2]stages!$A:$A),MATCH(G$1,[2]stages!$2:$2,0)-MATCH("temp_stage",[2]stages!$2:$2,0)+1),MATCH(G$1,[2]stages!$2:$2,0)-MATCH("temp_stage",[2]stages!$2:$2,0)+1,FALSE)</f>
        <v>【上級】樹のイモムシ</v>
      </c>
      <c r="H315" s="117" t="str">
        <f ca="1">VLOOKUP($C315&amp;"_"&amp;$F315,OFFSET([2]stages!$A$1,0,0,COUNTA([2]stages!$A:$A),MATCH(H$1,[2]stages!$2:$2,0)-MATCH("temp_stage",[2]stages!$2:$2,0)+1),MATCH(H$1,[2]stages!$2:$2,0)-MATCH("temp_stage",[2]stages!$2:$2,0)+1,FALSE)</f>
        <v>木曜クエスト</v>
      </c>
      <c r="I315" s="119">
        <v>0</v>
      </c>
      <c r="J315" s="118">
        <f>COUNTIF(C$1:C315,C315)</f>
        <v>17</v>
      </c>
      <c r="K315" s="120">
        <v>21</v>
      </c>
      <c r="L315" s="118" t="s">
        <v>234</v>
      </c>
      <c r="M315" s="121" t="str">
        <f>VLOOKUP(K315,[6]stage_hints!$A:$C,3,FALSE)</f>
        <v>スキルを有効に</v>
      </c>
      <c r="N315" s="122" t="str">
        <f>VLOOKUP(K315,[6]stage_hints!$A:$D,4,FALSE)</f>
        <v>ターン経過でユニットのスキルが使えます_x000D_強力スキルでバトルを有利に進めましょう</v>
      </c>
      <c r="O315" s="36" t="s">
        <v>235</v>
      </c>
      <c r="P315">
        <v>21</v>
      </c>
    </row>
    <row r="316" spans="1:16" x14ac:dyDescent="0.15">
      <c r="A316" s="114" t="str">
        <f t="shared" si="4"/>
        <v>11104_4_18</v>
      </c>
      <c r="B316" s="115" t="s">
        <v>231</v>
      </c>
      <c r="C316" s="116">
        <v>11104</v>
      </c>
      <c r="D316" s="117" t="str">
        <f ca="1">VLOOKUP($C316,OFFSET([2]quests!$A$1,0,0,COUNTA([2]quests!$A:$A),MATCH(D$1,[2]quests!$1:$1,0)-MATCH($C$1,[2]quests!$1:$1,0)+1),MATCH(D$1,[2]quests!$1:$1,0)-MATCH($C$1,[2]quests!$1:$1,0)+1,FALSE)</f>
        <v>【期間限定】 緑の素材</v>
      </c>
      <c r="E316" s="117" t="str">
        <f ca="1">VLOOKUP($C316,OFFSET([2]quests!$A$1,0,0,COUNTA([2]quests!$A:$A),MATCH(E$1,[2]quests!$1:$1,0)-MATCH($C$1,[2]quests!$1:$1,0)+1),MATCH(E$1,[2]quests!$1:$1,0)-MATCH($C$1,[2]quests!$1:$1,0)+1,FALSE)</f>
        <v>木曜クエスト</v>
      </c>
      <c r="F316" s="118">
        <v>4</v>
      </c>
      <c r="G316" s="117" t="str">
        <f ca="1">VLOOKUP($C316&amp;"_"&amp;$F316,OFFSET([2]stages!$A$1,0,0,COUNTA([2]stages!$A:$A),MATCH(G$1,[2]stages!$2:$2,0)-MATCH("temp_stage",[2]stages!$2:$2,0)+1),MATCH(G$1,[2]stages!$2:$2,0)-MATCH("temp_stage",[2]stages!$2:$2,0)+1,FALSE)</f>
        <v>【上級】樹のイモムシ</v>
      </c>
      <c r="H316" s="117" t="str">
        <f ca="1">VLOOKUP($C316&amp;"_"&amp;$F316,OFFSET([2]stages!$A$1,0,0,COUNTA([2]stages!$A:$A),MATCH(H$1,[2]stages!$2:$2,0)-MATCH("temp_stage",[2]stages!$2:$2,0)+1),MATCH(H$1,[2]stages!$2:$2,0)-MATCH("temp_stage",[2]stages!$2:$2,0)+1,FALSE)</f>
        <v>木曜クエスト</v>
      </c>
      <c r="I316" s="119">
        <v>0</v>
      </c>
      <c r="J316" s="118">
        <f>COUNTIF(C$1:C316,C316)</f>
        <v>18</v>
      </c>
      <c r="K316" s="120">
        <v>22</v>
      </c>
      <c r="L316" s="118" t="s">
        <v>234</v>
      </c>
      <c r="M316" s="121" t="str">
        <f>VLOOKUP(K316,[6]stage_hints!$A:$C,3,FALSE)</f>
        <v>フィーバーで一発逆転（その1）</v>
      </c>
      <c r="N316" s="122" t="str">
        <f>VLOOKUP(K316,[6]stage_hints!$A:$D,4,FALSE)</f>
        <v>フィーバーは攻撃と回復を兼ね備えます_x000D_ピンチからの一発逆転を狙いましょう</v>
      </c>
      <c r="O316" s="36" t="s">
        <v>235</v>
      </c>
      <c r="P316">
        <v>22</v>
      </c>
    </row>
    <row r="317" spans="1:16" x14ac:dyDescent="0.15">
      <c r="A317" s="114" t="str">
        <f t="shared" si="4"/>
        <v>11104_4_19</v>
      </c>
      <c r="B317" s="115" t="s">
        <v>231</v>
      </c>
      <c r="C317" s="116">
        <v>11104</v>
      </c>
      <c r="D317" s="117" t="str">
        <f ca="1">VLOOKUP($C317,OFFSET([2]quests!$A$1,0,0,COUNTA([2]quests!$A:$A),MATCH(D$1,[2]quests!$1:$1,0)-MATCH($C$1,[2]quests!$1:$1,0)+1),MATCH(D$1,[2]quests!$1:$1,0)-MATCH($C$1,[2]quests!$1:$1,0)+1,FALSE)</f>
        <v>【期間限定】 緑の素材</v>
      </c>
      <c r="E317" s="117" t="str">
        <f ca="1">VLOOKUP($C317,OFFSET([2]quests!$A$1,0,0,COUNTA([2]quests!$A:$A),MATCH(E$1,[2]quests!$1:$1,0)-MATCH($C$1,[2]quests!$1:$1,0)+1),MATCH(E$1,[2]quests!$1:$1,0)-MATCH($C$1,[2]quests!$1:$1,0)+1,FALSE)</f>
        <v>木曜クエスト</v>
      </c>
      <c r="F317" s="118">
        <v>4</v>
      </c>
      <c r="G317" s="117" t="str">
        <f ca="1">VLOOKUP($C317&amp;"_"&amp;$F317,OFFSET([2]stages!$A$1,0,0,COUNTA([2]stages!$A:$A),MATCH(G$1,[2]stages!$2:$2,0)-MATCH("temp_stage",[2]stages!$2:$2,0)+1),MATCH(G$1,[2]stages!$2:$2,0)-MATCH("temp_stage",[2]stages!$2:$2,0)+1,FALSE)</f>
        <v>【上級】樹のイモムシ</v>
      </c>
      <c r="H317" s="117" t="str">
        <f ca="1">VLOOKUP($C317&amp;"_"&amp;$F317,OFFSET([2]stages!$A$1,0,0,COUNTA([2]stages!$A:$A),MATCH(H$1,[2]stages!$2:$2,0)-MATCH("temp_stage",[2]stages!$2:$2,0)+1),MATCH(H$1,[2]stages!$2:$2,0)-MATCH("temp_stage",[2]stages!$2:$2,0)+1,FALSE)</f>
        <v>木曜クエスト</v>
      </c>
      <c r="I317" s="119">
        <v>0</v>
      </c>
      <c r="J317" s="118">
        <f>COUNTIF(C$1:C317,C317)</f>
        <v>19</v>
      </c>
      <c r="K317" s="120">
        <v>23</v>
      </c>
      <c r="L317" s="118" t="s">
        <v>234</v>
      </c>
      <c r="M317" s="121" t="str">
        <f>VLOOKUP(K317,[6]stage_hints!$A:$C,3,FALSE)</f>
        <v>フィーバーで一発逆転（その2）</v>
      </c>
      <c r="N317" s="122" t="str">
        <f>VLOOKUP(K317,[6]stage_hints!$A:$D,4,FALSE)</f>
        <v>フィーバー中は虹色のボムパネルを狙って_x000D_画面上のパネルを一気に破壊しましょう</v>
      </c>
      <c r="O317" s="36" t="s">
        <v>235</v>
      </c>
      <c r="P317">
        <v>23</v>
      </c>
    </row>
    <row r="318" spans="1:16" x14ac:dyDescent="0.15">
      <c r="A318" s="114" t="str">
        <f t="shared" si="4"/>
        <v>11104_4_20</v>
      </c>
      <c r="B318" s="115" t="s">
        <v>231</v>
      </c>
      <c r="C318" s="116">
        <v>11104</v>
      </c>
      <c r="D318" s="117" t="str">
        <f ca="1">VLOOKUP($C318,OFFSET([2]quests!$A$1,0,0,COUNTA([2]quests!$A:$A),MATCH(D$1,[2]quests!$1:$1,0)-MATCH($C$1,[2]quests!$1:$1,0)+1),MATCH(D$1,[2]quests!$1:$1,0)-MATCH($C$1,[2]quests!$1:$1,0)+1,FALSE)</f>
        <v>【期間限定】 緑の素材</v>
      </c>
      <c r="E318" s="117" t="str">
        <f ca="1">VLOOKUP($C318,OFFSET([2]quests!$A$1,0,0,COUNTA([2]quests!$A:$A),MATCH(E$1,[2]quests!$1:$1,0)-MATCH($C$1,[2]quests!$1:$1,0)+1),MATCH(E$1,[2]quests!$1:$1,0)-MATCH($C$1,[2]quests!$1:$1,0)+1,FALSE)</f>
        <v>木曜クエスト</v>
      </c>
      <c r="F318" s="118">
        <v>4</v>
      </c>
      <c r="G318" s="117" t="str">
        <f ca="1">VLOOKUP($C318&amp;"_"&amp;$F318,OFFSET([2]stages!$A$1,0,0,COUNTA([2]stages!$A:$A),MATCH(G$1,[2]stages!$2:$2,0)-MATCH("temp_stage",[2]stages!$2:$2,0)+1),MATCH(G$1,[2]stages!$2:$2,0)-MATCH("temp_stage",[2]stages!$2:$2,0)+1,FALSE)</f>
        <v>【上級】樹のイモムシ</v>
      </c>
      <c r="H318" s="117" t="str">
        <f ca="1">VLOOKUP($C318&amp;"_"&amp;$F318,OFFSET([2]stages!$A$1,0,0,COUNTA([2]stages!$A:$A),MATCH(H$1,[2]stages!$2:$2,0)-MATCH("temp_stage",[2]stages!$2:$2,0)+1),MATCH(H$1,[2]stages!$2:$2,0)-MATCH("temp_stage",[2]stages!$2:$2,0)+1,FALSE)</f>
        <v>木曜クエスト</v>
      </c>
      <c r="I318" s="119">
        <v>0</v>
      </c>
      <c r="J318" s="118">
        <f>COUNTIF(C$1:C318,C318)</f>
        <v>20</v>
      </c>
      <c r="K318" s="120">
        <v>24</v>
      </c>
      <c r="L318" s="118" t="s">
        <v>234</v>
      </c>
      <c r="M318" s="121" t="str">
        <f>VLOOKUP(K318,[6]stage_hints!$A:$C,3,FALSE)</f>
        <v>果実を使って限界突破</v>
      </c>
      <c r="N318" s="122" t="str">
        <f>VLOOKUP(K318,[6]stage_hints!$A:$D,4,FALSE)</f>
        <v>攻めの果実 癒しの果実_x000D_生命の果実をユニット強化に使うと_x000D_ステータスが限界突破します（計99個迄）</v>
      </c>
      <c r="O318" s="36" t="s">
        <v>235</v>
      </c>
      <c r="P318">
        <v>24</v>
      </c>
    </row>
    <row r="319" spans="1:16" x14ac:dyDescent="0.15">
      <c r="A319" s="114" t="str">
        <f t="shared" si="4"/>
        <v>11104_4_21</v>
      </c>
      <c r="B319" s="115" t="s">
        <v>231</v>
      </c>
      <c r="C319" s="116">
        <v>11104</v>
      </c>
      <c r="D319" s="117" t="str">
        <f ca="1">VLOOKUP($C319,OFFSET([2]quests!$A$1,0,0,COUNTA([2]quests!$A:$A),MATCH(D$1,[2]quests!$1:$1,0)-MATCH($C$1,[2]quests!$1:$1,0)+1),MATCH(D$1,[2]quests!$1:$1,0)-MATCH($C$1,[2]quests!$1:$1,0)+1,FALSE)</f>
        <v>【期間限定】 緑の素材</v>
      </c>
      <c r="E319" s="117" t="str">
        <f ca="1">VLOOKUP($C319,OFFSET([2]quests!$A$1,0,0,COUNTA([2]quests!$A:$A),MATCH(E$1,[2]quests!$1:$1,0)-MATCH($C$1,[2]quests!$1:$1,0)+1),MATCH(E$1,[2]quests!$1:$1,0)-MATCH($C$1,[2]quests!$1:$1,0)+1,FALSE)</f>
        <v>木曜クエスト</v>
      </c>
      <c r="F319" s="118">
        <v>4</v>
      </c>
      <c r="G319" s="117" t="str">
        <f ca="1">VLOOKUP($C319&amp;"_"&amp;$F319,OFFSET([2]stages!$A$1,0,0,COUNTA([2]stages!$A:$A),MATCH(G$1,[2]stages!$2:$2,0)-MATCH("temp_stage",[2]stages!$2:$2,0)+1),MATCH(G$1,[2]stages!$2:$2,0)-MATCH("temp_stage",[2]stages!$2:$2,0)+1,FALSE)</f>
        <v>【上級】樹のイモムシ</v>
      </c>
      <c r="H319" s="117" t="str">
        <f ca="1">VLOOKUP($C319&amp;"_"&amp;$F319,OFFSET([2]stages!$A$1,0,0,COUNTA([2]stages!$A:$A),MATCH(H$1,[2]stages!$2:$2,0)-MATCH("temp_stage",[2]stages!$2:$2,0)+1),MATCH(H$1,[2]stages!$2:$2,0)-MATCH("temp_stage",[2]stages!$2:$2,0)+1,FALSE)</f>
        <v>木曜クエスト</v>
      </c>
      <c r="I319" s="119">
        <v>0</v>
      </c>
      <c r="J319" s="118">
        <f>COUNTIF(C$1:C319,C319)</f>
        <v>21</v>
      </c>
      <c r="K319" s="120">
        <v>25</v>
      </c>
      <c r="L319" s="118" t="s">
        <v>234</v>
      </c>
      <c r="M319" s="121" t="str">
        <f>VLOOKUP(K319,[6]stage_hints!$A:$C,3,FALSE)</f>
        <v>スキルレベルアップ</v>
      </c>
      <c r="N319" s="122" t="str">
        <f>VLOOKUP(K319,[6]stage_hints!$A:$D,4,FALSE)</f>
        <v>「秘術の果実」を強化に使うと_x000D_スキルレベルを上げることができます</v>
      </c>
      <c r="O319" s="36" t="s">
        <v>235</v>
      </c>
      <c r="P319">
        <v>25</v>
      </c>
    </row>
    <row r="320" spans="1:16" x14ac:dyDescent="0.15">
      <c r="A320" s="114" t="str">
        <f t="shared" si="4"/>
        <v>11104_4_22</v>
      </c>
      <c r="B320" s="115" t="s">
        <v>231</v>
      </c>
      <c r="C320" s="116">
        <v>11104</v>
      </c>
      <c r="D320" s="117" t="str">
        <f ca="1">VLOOKUP($C320,OFFSET([2]quests!$A$1,0,0,COUNTA([2]quests!$A:$A),MATCH(D$1,[2]quests!$1:$1,0)-MATCH($C$1,[2]quests!$1:$1,0)+1),MATCH(D$1,[2]quests!$1:$1,0)-MATCH($C$1,[2]quests!$1:$1,0)+1,FALSE)</f>
        <v>【期間限定】 緑の素材</v>
      </c>
      <c r="E320" s="117" t="str">
        <f ca="1">VLOOKUP($C320,OFFSET([2]quests!$A$1,0,0,COUNTA([2]quests!$A:$A),MATCH(E$1,[2]quests!$1:$1,0)-MATCH($C$1,[2]quests!$1:$1,0)+1),MATCH(E$1,[2]quests!$1:$1,0)-MATCH($C$1,[2]quests!$1:$1,0)+1,FALSE)</f>
        <v>木曜クエスト</v>
      </c>
      <c r="F320" s="118">
        <v>4</v>
      </c>
      <c r="G320" s="117" t="str">
        <f ca="1">VLOOKUP($C320&amp;"_"&amp;$F320,OFFSET([2]stages!$A$1,0,0,COUNTA([2]stages!$A:$A),MATCH(G$1,[2]stages!$2:$2,0)-MATCH("temp_stage",[2]stages!$2:$2,0)+1),MATCH(G$1,[2]stages!$2:$2,0)-MATCH("temp_stage",[2]stages!$2:$2,0)+1,FALSE)</f>
        <v>【上級】樹のイモムシ</v>
      </c>
      <c r="H320" s="117" t="str">
        <f ca="1">VLOOKUP($C320&amp;"_"&amp;$F320,OFFSET([2]stages!$A$1,0,0,COUNTA([2]stages!$A:$A),MATCH(H$1,[2]stages!$2:$2,0)-MATCH("temp_stage",[2]stages!$2:$2,0)+1),MATCH(H$1,[2]stages!$2:$2,0)-MATCH("temp_stage",[2]stages!$2:$2,0)+1,FALSE)</f>
        <v>木曜クエスト</v>
      </c>
      <c r="I320" s="119">
        <v>0</v>
      </c>
      <c r="J320" s="118">
        <f>COUNTIF(C$1:C320,C320)</f>
        <v>22</v>
      </c>
      <c r="K320" s="120">
        <v>26</v>
      </c>
      <c r="L320" s="118" t="s">
        <v>234</v>
      </c>
      <c r="M320" s="121" t="str">
        <f>VLOOKUP(K320,[6]stage_hints!$A:$C,3,FALSE)</f>
        <v>スキルレベルの効果</v>
      </c>
      <c r="N320" s="122" t="str">
        <f>VLOOKUP(K320,[6]stage_hints!$A:$D,4,FALSE)</f>
        <v>スキルレベルが上がると_x000D_短いターンでスキルを使うことができます</v>
      </c>
      <c r="O320" s="36" t="s">
        <v>235</v>
      </c>
      <c r="P320">
        <v>26</v>
      </c>
    </row>
    <row r="321" spans="1:16" x14ac:dyDescent="0.15">
      <c r="A321" s="114" t="str">
        <f t="shared" si="4"/>
        <v>11104_4_23</v>
      </c>
      <c r="B321" s="115" t="s">
        <v>231</v>
      </c>
      <c r="C321" s="116">
        <v>11104</v>
      </c>
      <c r="D321" s="117" t="str">
        <f ca="1">VLOOKUP($C321,OFFSET([2]quests!$A$1,0,0,COUNTA([2]quests!$A:$A),MATCH(D$1,[2]quests!$1:$1,0)-MATCH($C$1,[2]quests!$1:$1,0)+1),MATCH(D$1,[2]quests!$1:$1,0)-MATCH($C$1,[2]quests!$1:$1,0)+1,FALSE)</f>
        <v>【期間限定】 緑の素材</v>
      </c>
      <c r="E321" s="117" t="str">
        <f ca="1">VLOOKUP($C321,OFFSET([2]quests!$A$1,0,0,COUNTA([2]quests!$A:$A),MATCH(E$1,[2]quests!$1:$1,0)-MATCH($C$1,[2]quests!$1:$1,0)+1),MATCH(E$1,[2]quests!$1:$1,0)-MATCH($C$1,[2]quests!$1:$1,0)+1,FALSE)</f>
        <v>木曜クエスト</v>
      </c>
      <c r="F321" s="118">
        <v>4</v>
      </c>
      <c r="G321" s="117" t="str">
        <f ca="1">VLOOKUP($C321&amp;"_"&amp;$F321,OFFSET([2]stages!$A$1,0,0,COUNTA([2]stages!$A:$A),MATCH(G$1,[2]stages!$2:$2,0)-MATCH("temp_stage",[2]stages!$2:$2,0)+1),MATCH(G$1,[2]stages!$2:$2,0)-MATCH("temp_stage",[2]stages!$2:$2,0)+1,FALSE)</f>
        <v>【上級】樹のイモムシ</v>
      </c>
      <c r="H321" s="117" t="str">
        <f ca="1">VLOOKUP($C321&amp;"_"&amp;$F321,OFFSET([2]stages!$A$1,0,0,COUNTA([2]stages!$A:$A),MATCH(H$1,[2]stages!$2:$2,0)-MATCH("temp_stage",[2]stages!$2:$2,0)+1),MATCH(H$1,[2]stages!$2:$2,0)-MATCH("temp_stage",[2]stages!$2:$2,0)+1,FALSE)</f>
        <v>木曜クエスト</v>
      </c>
      <c r="I321" s="119">
        <v>0</v>
      </c>
      <c r="J321" s="118">
        <f>COUNTIF(C$1:C321,C321)</f>
        <v>23</v>
      </c>
      <c r="K321" s="120">
        <v>27</v>
      </c>
      <c r="L321" s="118" t="s">
        <v>234</v>
      </c>
      <c r="M321" s="121" t="str">
        <f>VLOOKUP(K321,[6]stage_hints!$A:$C,3,FALSE)</f>
        <v>ホーム画面からデッキを編成</v>
      </c>
      <c r="N321" s="122" t="str">
        <f>VLOOKUP(K321,[6]stage_hints!$A:$D,4,FALSE)</f>
        <v>ホーム画面でユニットを長押しすると_x000D_すぐにパーティ編成に移動できます</v>
      </c>
      <c r="O321" s="36" t="s">
        <v>235</v>
      </c>
      <c r="P321">
        <v>27</v>
      </c>
    </row>
    <row r="322" spans="1:16" x14ac:dyDescent="0.15">
      <c r="A322" s="114" t="str">
        <f t="shared" si="4"/>
        <v>11104_4_24</v>
      </c>
      <c r="B322" s="115" t="s">
        <v>231</v>
      </c>
      <c r="C322" s="116">
        <v>11104</v>
      </c>
      <c r="D322" s="117" t="str">
        <f ca="1">VLOOKUP($C322,OFFSET([2]quests!$A$1,0,0,COUNTA([2]quests!$A:$A),MATCH(D$1,[2]quests!$1:$1,0)-MATCH($C$1,[2]quests!$1:$1,0)+1),MATCH(D$1,[2]quests!$1:$1,0)-MATCH($C$1,[2]quests!$1:$1,0)+1,FALSE)</f>
        <v>【期間限定】 緑の素材</v>
      </c>
      <c r="E322" s="117" t="str">
        <f ca="1">VLOOKUP($C322,OFFSET([2]quests!$A$1,0,0,COUNTA([2]quests!$A:$A),MATCH(E$1,[2]quests!$1:$1,0)-MATCH($C$1,[2]quests!$1:$1,0)+1),MATCH(E$1,[2]quests!$1:$1,0)-MATCH($C$1,[2]quests!$1:$1,0)+1,FALSE)</f>
        <v>木曜クエスト</v>
      </c>
      <c r="F322" s="118">
        <v>4</v>
      </c>
      <c r="G322" s="117" t="str">
        <f ca="1">VLOOKUP($C322&amp;"_"&amp;$F322,OFFSET([2]stages!$A$1,0,0,COUNTA([2]stages!$A:$A),MATCH(G$1,[2]stages!$2:$2,0)-MATCH("temp_stage",[2]stages!$2:$2,0)+1),MATCH(G$1,[2]stages!$2:$2,0)-MATCH("temp_stage",[2]stages!$2:$2,0)+1,FALSE)</f>
        <v>【上級】樹のイモムシ</v>
      </c>
      <c r="H322" s="117" t="str">
        <f ca="1">VLOOKUP($C322&amp;"_"&amp;$F322,OFFSET([2]stages!$A$1,0,0,COUNTA([2]stages!$A:$A),MATCH(H$1,[2]stages!$2:$2,0)-MATCH("temp_stage",[2]stages!$2:$2,0)+1),MATCH(H$1,[2]stages!$2:$2,0)-MATCH("temp_stage",[2]stages!$2:$2,0)+1,FALSE)</f>
        <v>木曜クエスト</v>
      </c>
      <c r="I322" s="119">
        <v>0</v>
      </c>
      <c r="J322" s="118">
        <f>COUNTIF(C$1:C322,C322)</f>
        <v>24</v>
      </c>
      <c r="K322" s="120">
        <v>28</v>
      </c>
      <c r="L322" s="118" t="s">
        <v>234</v>
      </c>
      <c r="M322" s="121" t="str">
        <f>VLOOKUP(K322,[6]stage_hints!$A:$C,3,FALSE)</f>
        <v>ステータス情報は長押しで</v>
      </c>
      <c r="N322" s="122" t="str">
        <f>VLOOKUP(K322,[6]stage_hints!$A:$D,4,FALSE)</f>
        <v>ユニットのアイコンを長押しすると_x000D_ステータス情報を確認することができます</v>
      </c>
      <c r="O322" s="36" t="s">
        <v>235</v>
      </c>
      <c r="P322">
        <v>28</v>
      </c>
    </row>
    <row r="323" spans="1:16" x14ac:dyDescent="0.15">
      <c r="A323" s="114" t="str">
        <f t="shared" si="4"/>
        <v>11104_4_25</v>
      </c>
      <c r="B323" s="115" t="s">
        <v>231</v>
      </c>
      <c r="C323" s="116">
        <v>11104</v>
      </c>
      <c r="D323" s="117" t="str">
        <f ca="1">VLOOKUP($C323,OFFSET([2]quests!$A$1,0,0,COUNTA([2]quests!$A:$A),MATCH(D$1,[2]quests!$1:$1,0)-MATCH($C$1,[2]quests!$1:$1,0)+1),MATCH(D$1,[2]quests!$1:$1,0)-MATCH($C$1,[2]quests!$1:$1,0)+1,FALSE)</f>
        <v>【期間限定】 緑の素材</v>
      </c>
      <c r="E323" s="117" t="str">
        <f ca="1">VLOOKUP($C323,OFFSET([2]quests!$A$1,0,0,COUNTA([2]quests!$A:$A),MATCH(E$1,[2]quests!$1:$1,0)-MATCH($C$1,[2]quests!$1:$1,0)+1),MATCH(E$1,[2]quests!$1:$1,0)-MATCH($C$1,[2]quests!$1:$1,0)+1,FALSE)</f>
        <v>木曜クエスト</v>
      </c>
      <c r="F323" s="118">
        <v>4</v>
      </c>
      <c r="G323" s="117" t="str">
        <f ca="1">VLOOKUP($C323&amp;"_"&amp;$F323,OFFSET([2]stages!$A$1,0,0,COUNTA([2]stages!$A:$A),MATCH(G$1,[2]stages!$2:$2,0)-MATCH("temp_stage",[2]stages!$2:$2,0)+1),MATCH(G$1,[2]stages!$2:$2,0)-MATCH("temp_stage",[2]stages!$2:$2,0)+1,FALSE)</f>
        <v>【上級】樹のイモムシ</v>
      </c>
      <c r="H323" s="117" t="str">
        <f ca="1">VLOOKUP($C323&amp;"_"&amp;$F323,OFFSET([2]stages!$A$1,0,0,COUNTA([2]stages!$A:$A),MATCH(H$1,[2]stages!$2:$2,0)-MATCH("temp_stage",[2]stages!$2:$2,0)+1),MATCH(H$1,[2]stages!$2:$2,0)-MATCH("temp_stage",[2]stages!$2:$2,0)+1,FALSE)</f>
        <v>木曜クエスト</v>
      </c>
      <c r="I323" s="119">
        <v>0</v>
      </c>
      <c r="J323" s="118">
        <f>COUNTIF(C$1:C323,C323)</f>
        <v>25</v>
      </c>
      <c r="K323" s="120">
        <v>29</v>
      </c>
      <c r="L323" s="118" t="s">
        <v>234</v>
      </c>
      <c r="M323" s="121" t="str">
        <f>VLOOKUP(K323,[6]stage_hints!$A:$C,3,FALSE)</f>
        <v>「バグ」のメリット</v>
      </c>
      <c r="N323" s="122" t="str">
        <f>VLOOKUP(K323,[6]stage_hints!$A:$D,4,FALSE)</f>
        <v>ユニットの「バグ」を増やすと_x000D_報酬をもらえる確率がアップします</v>
      </c>
      <c r="O323" s="36" t="s">
        <v>235</v>
      </c>
      <c r="P323">
        <v>29</v>
      </c>
    </row>
    <row r="324" spans="1:16" x14ac:dyDescent="0.15">
      <c r="A324" s="114" t="str">
        <f t="shared" ref="A324:A331" si="5">C324&amp;"_"&amp;F324&amp;"_"&amp;J324</f>
        <v>11104_4_26</v>
      </c>
      <c r="B324" s="115" t="s">
        <v>231</v>
      </c>
      <c r="C324" s="116">
        <v>11104</v>
      </c>
      <c r="D324" s="117" t="str">
        <f ca="1">VLOOKUP($C324,OFFSET([2]quests!$A$1,0,0,COUNTA([2]quests!$A:$A),MATCH(D$1,[2]quests!$1:$1,0)-MATCH($C$1,[2]quests!$1:$1,0)+1),MATCH(D$1,[2]quests!$1:$1,0)-MATCH($C$1,[2]quests!$1:$1,0)+1,FALSE)</f>
        <v>【期間限定】 緑の素材</v>
      </c>
      <c r="E324" s="117" t="str">
        <f ca="1">VLOOKUP($C324,OFFSET([2]quests!$A$1,0,0,COUNTA([2]quests!$A:$A),MATCH(E$1,[2]quests!$1:$1,0)-MATCH($C$1,[2]quests!$1:$1,0)+1),MATCH(E$1,[2]quests!$1:$1,0)-MATCH($C$1,[2]quests!$1:$1,0)+1,FALSE)</f>
        <v>木曜クエスト</v>
      </c>
      <c r="F324" s="118">
        <v>4</v>
      </c>
      <c r="G324" s="117" t="str">
        <f ca="1">VLOOKUP($C324&amp;"_"&amp;$F324,OFFSET([2]stages!$A$1,0,0,COUNTA([2]stages!$A:$A),MATCH(G$1,[2]stages!$2:$2,0)-MATCH("temp_stage",[2]stages!$2:$2,0)+1),MATCH(G$1,[2]stages!$2:$2,0)-MATCH("temp_stage",[2]stages!$2:$2,0)+1,FALSE)</f>
        <v>【上級】樹のイモムシ</v>
      </c>
      <c r="H324" s="117" t="str">
        <f ca="1">VLOOKUP($C324&amp;"_"&amp;$F324,OFFSET([2]stages!$A$1,0,0,COUNTA([2]stages!$A:$A),MATCH(H$1,[2]stages!$2:$2,0)-MATCH("temp_stage",[2]stages!$2:$2,0)+1),MATCH(H$1,[2]stages!$2:$2,0)-MATCH("temp_stage",[2]stages!$2:$2,0)+1,FALSE)</f>
        <v>木曜クエスト</v>
      </c>
      <c r="I324" s="119">
        <v>0</v>
      </c>
      <c r="J324" s="118">
        <f>COUNTIF(C$1:C324,C324)</f>
        <v>26</v>
      </c>
      <c r="K324" s="120">
        <v>30</v>
      </c>
      <c r="L324" s="118" t="s">
        <v>234</v>
      </c>
      <c r="M324" s="121" t="str">
        <f>VLOOKUP(K324,[6]stage_hints!$A:$C,3,FALSE)</f>
        <v>「バグ」の増やし方</v>
      </c>
      <c r="N324" s="122" t="str">
        <f>VLOOKUP(K324,[6]stage_hints!$A:$D,4,FALSE)</f>
        <v>同じユニット同士を強化で合成すると_x000D_「バグ」を増やすことができます</v>
      </c>
      <c r="O324" s="36" t="s">
        <v>235</v>
      </c>
      <c r="P324">
        <v>30</v>
      </c>
    </row>
    <row r="325" spans="1:16" x14ac:dyDescent="0.15">
      <c r="A325" s="114" t="str">
        <f t="shared" si="5"/>
        <v>11104_4_27</v>
      </c>
      <c r="B325" s="115" t="s">
        <v>231</v>
      </c>
      <c r="C325" s="116">
        <v>11104</v>
      </c>
      <c r="D325" s="117" t="str">
        <f ca="1">VLOOKUP($C325,OFFSET([2]quests!$A$1,0,0,COUNTA([2]quests!$A:$A),MATCH(D$1,[2]quests!$1:$1,0)-MATCH($C$1,[2]quests!$1:$1,0)+1),MATCH(D$1,[2]quests!$1:$1,0)-MATCH($C$1,[2]quests!$1:$1,0)+1,FALSE)</f>
        <v>【期間限定】 緑の素材</v>
      </c>
      <c r="E325" s="117" t="str">
        <f ca="1">VLOOKUP($C325,OFFSET([2]quests!$A$1,0,0,COUNTA([2]quests!$A:$A),MATCH(E$1,[2]quests!$1:$1,0)-MATCH($C$1,[2]quests!$1:$1,0)+1),MATCH(E$1,[2]quests!$1:$1,0)-MATCH($C$1,[2]quests!$1:$1,0)+1,FALSE)</f>
        <v>木曜クエスト</v>
      </c>
      <c r="F325" s="118">
        <v>4</v>
      </c>
      <c r="G325" s="117" t="str">
        <f ca="1">VLOOKUP($C325&amp;"_"&amp;$F325,OFFSET([2]stages!$A$1,0,0,COUNTA([2]stages!$A:$A),MATCH(G$1,[2]stages!$2:$2,0)-MATCH("temp_stage",[2]stages!$2:$2,0)+1),MATCH(G$1,[2]stages!$2:$2,0)-MATCH("temp_stage",[2]stages!$2:$2,0)+1,FALSE)</f>
        <v>【上級】樹のイモムシ</v>
      </c>
      <c r="H325" s="117" t="str">
        <f ca="1">VLOOKUP($C325&amp;"_"&amp;$F325,OFFSET([2]stages!$A$1,0,0,COUNTA([2]stages!$A:$A),MATCH(H$1,[2]stages!$2:$2,0)-MATCH("temp_stage",[2]stages!$2:$2,0)+1),MATCH(H$1,[2]stages!$2:$2,0)-MATCH("temp_stage",[2]stages!$2:$2,0)+1,FALSE)</f>
        <v>木曜クエスト</v>
      </c>
      <c r="I325" s="119">
        <v>0</v>
      </c>
      <c r="J325" s="118">
        <f>COUNTIF(C$1:C325,C325)</f>
        <v>27</v>
      </c>
      <c r="K325" s="120">
        <v>31</v>
      </c>
      <c r="L325" s="118" t="s">
        <v>234</v>
      </c>
      <c r="M325" s="121" t="str">
        <f>VLOOKUP(K325,[6]stage_hints!$A:$C,3,FALSE)</f>
        <v>イベントはお知らせでチェック</v>
      </c>
      <c r="N325" s="122" t="str">
        <f>VLOOKUP(K325,[6]stage_hints!$A:$D,4,FALSE)</f>
        <v>イベント限定ユニットを取り忘れないように_x000D_お知らせをこまめにチェックしましょう</v>
      </c>
      <c r="O325" s="36" t="s">
        <v>235</v>
      </c>
      <c r="P325">
        <v>31</v>
      </c>
    </row>
    <row r="326" spans="1:16" x14ac:dyDescent="0.15">
      <c r="A326" s="114" t="str">
        <f t="shared" si="5"/>
        <v>11104_4_28</v>
      </c>
      <c r="B326" s="115" t="s">
        <v>231</v>
      </c>
      <c r="C326" s="116">
        <v>11104</v>
      </c>
      <c r="D326" s="117" t="str">
        <f ca="1">VLOOKUP($C326,OFFSET([2]quests!$A$1,0,0,COUNTA([2]quests!$A:$A),MATCH(D$1,[2]quests!$1:$1,0)-MATCH($C$1,[2]quests!$1:$1,0)+1),MATCH(D$1,[2]quests!$1:$1,0)-MATCH($C$1,[2]quests!$1:$1,0)+1,FALSE)</f>
        <v>【期間限定】 緑の素材</v>
      </c>
      <c r="E326" s="117" t="str">
        <f ca="1">VLOOKUP($C326,OFFSET([2]quests!$A$1,0,0,COUNTA([2]quests!$A:$A),MATCH(E$1,[2]quests!$1:$1,0)-MATCH($C$1,[2]quests!$1:$1,0)+1),MATCH(E$1,[2]quests!$1:$1,0)-MATCH($C$1,[2]quests!$1:$1,0)+1,FALSE)</f>
        <v>木曜クエスト</v>
      </c>
      <c r="F326" s="118">
        <v>4</v>
      </c>
      <c r="G326" s="117" t="str">
        <f ca="1">VLOOKUP($C326&amp;"_"&amp;$F326,OFFSET([2]stages!$A$1,0,0,COUNTA([2]stages!$A:$A),MATCH(G$1,[2]stages!$2:$2,0)-MATCH("temp_stage",[2]stages!$2:$2,0)+1),MATCH(G$1,[2]stages!$2:$2,0)-MATCH("temp_stage",[2]stages!$2:$2,0)+1,FALSE)</f>
        <v>【上級】樹のイモムシ</v>
      </c>
      <c r="H326" s="117" t="str">
        <f ca="1">VLOOKUP($C326&amp;"_"&amp;$F326,OFFSET([2]stages!$A$1,0,0,COUNTA([2]stages!$A:$A),MATCH(H$1,[2]stages!$2:$2,0)-MATCH("temp_stage",[2]stages!$2:$2,0)+1),MATCH(H$1,[2]stages!$2:$2,0)-MATCH("temp_stage",[2]stages!$2:$2,0)+1,FALSE)</f>
        <v>木曜クエスト</v>
      </c>
      <c r="I326" s="119">
        <v>0</v>
      </c>
      <c r="J326" s="118">
        <f>COUNTIF(C$1:C326,C326)</f>
        <v>28</v>
      </c>
      <c r="K326" s="120">
        <v>32</v>
      </c>
      <c r="L326" s="118" t="s">
        <v>234</v>
      </c>
      <c r="M326" s="121" t="str">
        <f>VLOOKUP(K326,[6]stage_hints!$A:$C,3,FALSE)</f>
        <v>敵の連続攻撃には</v>
      </c>
      <c r="N326" s="122" t="str">
        <f>VLOOKUP(K326,[6]stage_hints!$A:$D,4,FALSE)</f>
        <v>カウンタースキルを持つユニットがいれば_x000D_ダメージ回数分の反撃ができます</v>
      </c>
      <c r="O326" s="36" t="s">
        <v>235</v>
      </c>
      <c r="P326">
        <v>32</v>
      </c>
    </row>
    <row r="327" spans="1:16" x14ac:dyDescent="0.15">
      <c r="A327" s="114" t="str">
        <f t="shared" si="5"/>
        <v>11104_4_29</v>
      </c>
      <c r="B327" s="115" t="s">
        <v>231</v>
      </c>
      <c r="C327" s="116">
        <v>11104</v>
      </c>
      <c r="D327" s="117" t="str">
        <f ca="1">VLOOKUP($C327,OFFSET([2]quests!$A$1,0,0,COUNTA([2]quests!$A:$A),MATCH(D$1,[2]quests!$1:$1,0)-MATCH($C$1,[2]quests!$1:$1,0)+1),MATCH(D$1,[2]quests!$1:$1,0)-MATCH($C$1,[2]quests!$1:$1,0)+1,FALSE)</f>
        <v>【期間限定】 緑の素材</v>
      </c>
      <c r="E327" s="117" t="str">
        <f ca="1">VLOOKUP($C327,OFFSET([2]quests!$A$1,0,0,COUNTA([2]quests!$A:$A),MATCH(E$1,[2]quests!$1:$1,0)-MATCH($C$1,[2]quests!$1:$1,0)+1),MATCH(E$1,[2]quests!$1:$1,0)-MATCH($C$1,[2]quests!$1:$1,0)+1,FALSE)</f>
        <v>木曜クエスト</v>
      </c>
      <c r="F327" s="118">
        <v>4</v>
      </c>
      <c r="G327" s="117" t="str">
        <f ca="1">VLOOKUP($C327&amp;"_"&amp;$F327,OFFSET([2]stages!$A$1,0,0,COUNTA([2]stages!$A:$A),MATCH(G$1,[2]stages!$2:$2,0)-MATCH("temp_stage",[2]stages!$2:$2,0)+1),MATCH(G$1,[2]stages!$2:$2,0)-MATCH("temp_stage",[2]stages!$2:$2,0)+1,FALSE)</f>
        <v>【上級】樹のイモムシ</v>
      </c>
      <c r="H327" s="117" t="str">
        <f ca="1">VLOOKUP($C327&amp;"_"&amp;$F327,OFFSET([2]stages!$A$1,0,0,COUNTA([2]stages!$A:$A),MATCH(H$1,[2]stages!$2:$2,0)-MATCH("temp_stage",[2]stages!$2:$2,0)+1),MATCH(H$1,[2]stages!$2:$2,0)-MATCH("temp_stage",[2]stages!$2:$2,0)+1,FALSE)</f>
        <v>木曜クエスト</v>
      </c>
      <c r="I327" s="119">
        <v>0</v>
      </c>
      <c r="J327" s="118">
        <f>COUNTIF(C$1:C327,C327)</f>
        <v>29</v>
      </c>
      <c r="K327" s="120">
        <v>33</v>
      </c>
      <c r="L327" s="118" t="s">
        <v>234</v>
      </c>
      <c r="M327" s="121" t="str">
        <f>VLOOKUP(K327,[6]stage_hints!$A:$C,3,FALSE)</f>
        <v>敵のカウンター攻撃には</v>
      </c>
      <c r="N327" s="122" t="str">
        <f>VLOOKUP(K327,[6]stage_hints!$A:$D,4,FALSE)</f>
        <v>カウンターブレイクスキルを持っていれば_x000D_敵のカウンターを解除して攻撃ができます</v>
      </c>
      <c r="O327" s="36" t="s">
        <v>235</v>
      </c>
      <c r="P327">
        <v>33</v>
      </c>
    </row>
    <row r="328" spans="1:16" x14ac:dyDescent="0.15">
      <c r="A328" s="114" t="str">
        <f t="shared" si="5"/>
        <v>11104_4_30</v>
      </c>
      <c r="B328" s="115" t="s">
        <v>231</v>
      </c>
      <c r="C328" s="116">
        <v>11104</v>
      </c>
      <c r="D328" s="117" t="str">
        <f ca="1">VLOOKUP($C328,OFFSET([2]quests!$A$1,0,0,COUNTA([2]quests!$A:$A),MATCH(D$1,[2]quests!$1:$1,0)-MATCH($C$1,[2]quests!$1:$1,0)+1),MATCH(D$1,[2]quests!$1:$1,0)-MATCH($C$1,[2]quests!$1:$1,0)+1,FALSE)</f>
        <v>【期間限定】 緑の素材</v>
      </c>
      <c r="E328" s="117" t="str">
        <f ca="1">VLOOKUP($C328,OFFSET([2]quests!$A$1,0,0,COUNTA([2]quests!$A:$A),MATCH(E$1,[2]quests!$1:$1,0)-MATCH($C$1,[2]quests!$1:$1,0)+1),MATCH(E$1,[2]quests!$1:$1,0)-MATCH($C$1,[2]quests!$1:$1,0)+1,FALSE)</f>
        <v>木曜クエスト</v>
      </c>
      <c r="F328" s="118">
        <v>4</v>
      </c>
      <c r="G328" s="117" t="str">
        <f ca="1">VLOOKUP($C328&amp;"_"&amp;$F328,OFFSET([2]stages!$A$1,0,0,COUNTA([2]stages!$A:$A),MATCH(G$1,[2]stages!$2:$2,0)-MATCH("temp_stage",[2]stages!$2:$2,0)+1),MATCH(G$1,[2]stages!$2:$2,0)-MATCH("temp_stage",[2]stages!$2:$2,0)+1,FALSE)</f>
        <v>【上級】樹のイモムシ</v>
      </c>
      <c r="H328" s="117" t="str">
        <f ca="1">VLOOKUP($C328&amp;"_"&amp;$F328,OFFSET([2]stages!$A$1,0,0,COUNTA([2]stages!$A:$A),MATCH(H$1,[2]stages!$2:$2,0)-MATCH("temp_stage",[2]stages!$2:$2,0)+1),MATCH(H$1,[2]stages!$2:$2,0)-MATCH("temp_stage",[2]stages!$2:$2,0)+1,FALSE)</f>
        <v>木曜クエスト</v>
      </c>
      <c r="I328" s="119">
        <v>0</v>
      </c>
      <c r="J328" s="118">
        <f>COUNTIF(C$1:C328,C328)</f>
        <v>30</v>
      </c>
      <c r="K328" s="120">
        <v>34</v>
      </c>
      <c r="L328" s="118" t="s">
        <v>234</v>
      </c>
      <c r="M328" s="121" t="str">
        <f>VLOOKUP(K328,[6]stage_hints!$A:$C,3,FALSE)</f>
        <v>ステータスをスキルで下げられたら</v>
      </c>
      <c r="N328" s="122" t="str">
        <f>VLOOKUP(K328,[6]stage_hints!$A:$D,4,FALSE)</f>
        <v>ステータスダウンのスキルを受けたら_x000D_ステータスアップスキルで上書きしましょう</v>
      </c>
      <c r="O328" s="36" t="s">
        <v>235</v>
      </c>
      <c r="P328">
        <v>34</v>
      </c>
    </row>
    <row r="329" spans="1:16" x14ac:dyDescent="0.15">
      <c r="A329" s="114" t="str">
        <f t="shared" si="5"/>
        <v>11104_4_31</v>
      </c>
      <c r="B329" s="115" t="s">
        <v>231</v>
      </c>
      <c r="C329" s="116">
        <v>11104</v>
      </c>
      <c r="D329" s="117" t="str">
        <f ca="1">VLOOKUP($C329,OFFSET([2]quests!$A$1,0,0,COUNTA([2]quests!$A:$A),MATCH(D$1,[2]quests!$1:$1,0)-MATCH($C$1,[2]quests!$1:$1,0)+1),MATCH(D$1,[2]quests!$1:$1,0)-MATCH($C$1,[2]quests!$1:$1,0)+1,FALSE)</f>
        <v>【期間限定】 緑の素材</v>
      </c>
      <c r="E329" s="117" t="str">
        <f ca="1">VLOOKUP($C329,OFFSET([2]quests!$A$1,0,0,COUNTA([2]quests!$A:$A),MATCH(E$1,[2]quests!$1:$1,0)-MATCH($C$1,[2]quests!$1:$1,0)+1),MATCH(E$1,[2]quests!$1:$1,0)-MATCH($C$1,[2]quests!$1:$1,0)+1,FALSE)</f>
        <v>木曜クエスト</v>
      </c>
      <c r="F329" s="118">
        <v>4</v>
      </c>
      <c r="G329" s="117" t="str">
        <f ca="1">VLOOKUP($C329&amp;"_"&amp;$F329,OFFSET([2]stages!$A$1,0,0,COUNTA([2]stages!$A:$A),MATCH(G$1,[2]stages!$2:$2,0)-MATCH("temp_stage",[2]stages!$2:$2,0)+1),MATCH(G$1,[2]stages!$2:$2,0)-MATCH("temp_stage",[2]stages!$2:$2,0)+1,FALSE)</f>
        <v>【上級】樹のイモムシ</v>
      </c>
      <c r="H329" s="117" t="str">
        <f ca="1">VLOOKUP($C329&amp;"_"&amp;$F329,OFFSET([2]stages!$A$1,0,0,COUNTA([2]stages!$A:$A),MATCH(H$1,[2]stages!$2:$2,0)-MATCH("temp_stage",[2]stages!$2:$2,0)+1),MATCH(H$1,[2]stages!$2:$2,0)-MATCH("temp_stage",[2]stages!$2:$2,0)+1,FALSE)</f>
        <v>木曜クエスト</v>
      </c>
      <c r="I329" s="119">
        <v>0</v>
      </c>
      <c r="J329" s="118">
        <f>COUNTIF(C$1:C329,C329)</f>
        <v>31</v>
      </c>
      <c r="K329" s="120">
        <v>35</v>
      </c>
      <c r="L329" s="118" t="s">
        <v>234</v>
      </c>
      <c r="M329" s="121" t="str">
        <f>VLOOKUP(K329,[6]stage_hints!$A:$C,3,FALSE)</f>
        <v>敵のステータスがスキルで上がったら</v>
      </c>
      <c r="N329" s="122" t="str">
        <f>VLOOKUP(K329,[6]stage_hints!$A:$D,4,FALSE)</f>
        <v>敵のステータスがスキルでアップしたときは_x000D_ステータスダウンスキルで上書きしましょう</v>
      </c>
      <c r="O329" s="36" t="s">
        <v>235</v>
      </c>
      <c r="P329">
        <v>35</v>
      </c>
    </row>
    <row r="330" spans="1:16" x14ac:dyDescent="0.15">
      <c r="A330" s="114" t="str">
        <f t="shared" si="5"/>
        <v>11104_4_32</v>
      </c>
      <c r="B330" s="115" t="s">
        <v>231</v>
      </c>
      <c r="C330" s="116">
        <v>11104</v>
      </c>
      <c r="D330" s="117" t="str">
        <f ca="1">VLOOKUP($C330,OFFSET([2]quests!$A$1,0,0,COUNTA([2]quests!$A:$A),MATCH(D$1,[2]quests!$1:$1,0)-MATCH($C$1,[2]quests!$1:$1,0)+1),MATCH(D$1,[2]quests!$1:$1,0)-MATCH($C$1,[2]quests!$1:$1,0)+1,FALSE)</f>
        <v>【期間限定】 緑の素材</v>
      </c>
      <c r="E330" s="117" t="str">
        <f ca="1">VLOOKUP($C330,OFFSET([2]quests!$A$1,0,0,COUNTA([2]quests!$A:$A),MATCH(E$1,[2]quests!$1:$1,0)-MATCH($C$1,[2]quests!$1:$1,0)+1),MATCH(E$1,[2]quests!$1:$1,0)-MATCH($C$1,[2]quests!$1:$1,0)+1,FALSE)</f>
        <v>木曜クエスト</v>
      </c>
      <c r="F330" s="118">
        <v>4</v>
      </c>
      <c r="G330" s="117" t="str">
        <f ca="1">VLOOKUP($C330&amp;"_"&amp;$F330,OFFSET([2]stages!$A$1,0,0,COUNTA([2]stages!$A:$A),MATCH(G$1,[2]stages!$2:$2,0)-MATCH("temp_stage",[2]stages!$2:$2,0)+1),MATCH(G$1,[2]stages!$2:$2,0)-MATCH("temp_stage",[2]stages!$2:$2,0)+1,FALSE)</f>
        <v>【上級】樹のイモムシ</v>
      </c>
      <c r="H330" s="117" t="str">
        <f ca="1">VLOOKUP($C330&amp;"_"&amp;$F330,OFFSET([2]stages!$A$1,0,0,COUNTA([2]stages!$A:$A),MATCH(H$1,[2]stages!$2:$2,0)-MATCH("temp_stage",[2]stages!$2:$2,0)+1),MATCH(H$1,[2]stages!$2:$2,0)-MATCH("temp_stage",[2]stages!$2:$2,0)+1,FALSE)</f>
        <v>木曜クエスト</v>
      </c>
      <c r="I330" s="119">
        <v>0</v>
      </c>
      <c r="J330" s="118">
        <f>COUNTIF(C$1:C330,C330)</f>
        <v>32</v>
      </c>
      <c r="K330" s="120">
        <v>36</v>
      </c>
      <c r="L330" s="118" t="s">
        <v>234</v>
      </c>
      <c r="M330" s="121" t="str">
        <f>VLOOKUP(K330,[6]stage_hints!$A:$C,3,FALSE)</f>
        <v>タワーオブザクイーンのボス</v>
      </c>
      <c r="N330" s="122" t="str">
        <f>VLOOKUP(K330,[6]stage_hints!$A:$D,4,FALSE)</f>
        <v>「タワーオブザクイーン」最上階のボスは_x000D_15階の初回クリア報酬で獲得できるほか_x000D_その階にて低確率でドロップもします</v>
      </c>
      <c r="O330" s="36" t="s">
        <v>235</v>
      </c>
      <c r="P330">
        <v>36</v>
      </c>
    </row>
    <row r="331" spans="1:16" x14ac:dyDescent="0.15">
      <c r="A331" s="114" t="str">
        <f t="shared" si="5"/>
        <v>11104_4_33</v>
      </c>
      <c r="B331" s="115" t="s">
        <v>231</v>
      </c>
      <c r="C331" s="116">
        <v>11104</v>
      </c>
      <c r="D331" s="117" t="str">
        <f ca="1">VLOOKUP($C331,OFFSET([2]quests!$A$1,0,0,COUNTA([2]quests!$A:$A),MATCH(D$1,[2]quests!$1:$1,0)-MATCH($C$1,[2]quests!$1:$1,0)+1),MATCH(D$1,[2]quests!$1:$1,0)-MATCH($C$1,[2]quests!$1:$1,0)+1,FALSE)</f>
        <v>【期間限定】 緑の素材</v>
      </c>
      <c r="E331" s="117" t="str">
        <f ca="1">VLOOKUP($C331,OFFSET([2]quests!$A$1,0,0,COUNTA([2]quests!$A:$A),MATCH(E$1,[2]quests!$1:$1,0)-MATCH($C$1,[2]quests!$1:$1,0)+1),MATCH(E$1,[2]quests!$1:$1,0)-MATCH($C$1,[2]quests!$1:$1,0)+1,FALSE)</f>
        <v>木曜クエスト</v>
      </c>
      <c r="F331" s="118">
        <v>4</v>
      </c>
      <c r="G331" s="117" t="str">
        <f ca="1">VLOOKUP($C331&amp;"_"&amp;$F331,OFFSET([2]stages!$A$1,0,0,COUNTA([2]stages!$A:$A),MATCH(G$1,[2]stages!$2:$2,0)-MATCH("temp_stage",[2]stages!$2:$2,0)+1),MATCH(G$1,[2]stages!$2:$2,0)-MATCH("temp_stage",[2]stages!$2:$2,0)+1,FALSE)</f>
        <v>【上級】樹のイモムシ</v>
      </c>
      <c r="H331" s="117" t="str">
        <f ca="1">VLOOKUP($C331&amp;"_"&amp;$F331,OFFSET([2]stages!$A$1,0,0,COUNTA([2]stages!$A:$A),MATCH(H$1,[2]stages!$2:$2,0)-MATCH("temp_stage",[2]stages!$2:$2,0)+1),MATCH(H$1,[2]stages!$2:$2,0)-MATCH("temp_stage",[2]stages!$2:$2,0)+1,FALSE)</f>
        <v>木曜クエスト</v>
      </c>
      <c r="I331" s="119">
        <v>0</v>
      </c>
      <c r="J331" s="118">
        <f>COUNTIF(C$1:C331,C331)</f>
        <v>33</v>
      </c>
      <c r="K331" s="120">
        <v>37</v>
      </c>
      <c r="L331" s="118" t="s">
        <v>234</v>
      </c>
      <c r="M331" s="121" t="str">
        <f>VLOOKUP(K331,[6]stage_hints!$A:$C,3,FALSE)</f>
        <v>限界突破値の引き継ぎ</v>
      </c>
      <c r="N331" s="122" t="str">
        <f>VLOOKUP(K331,[6]stage_hints!$A:$D,4,FALSE)</f>
        <v>同じユニットを強化で合成すると_x000D_限界突破値を引き継げます（覚醒前後も可）</v>
      </c>
      <c r="O331" s="36" t="s">
        <v>235</v>
      </c>
      <c r="P331">
        <v>37</v>
      </c>
    </row>
  </sheetData>
  <phoneticPr fontId="5"/>
  <dataValidations count="1">
    <dataValidation type="list" allowBlank="1" showInputMessage="1" showErrorMessage="1" sqref="B2:B33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2017-02-27T07:44:20Z</dcterms:modified>
</cp:coreProperties>
</file>